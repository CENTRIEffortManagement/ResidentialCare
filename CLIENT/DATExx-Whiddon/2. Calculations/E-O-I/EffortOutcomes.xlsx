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2. Calculations\E-O-I\"/>
    </mc:Choice>
  </mc:AlternateContent>
  <xr:revisionPtr revIDLastSave="0" documentId="13_ncr:1_{7D882194-5F94-43CE-B570-3E1EE2A503EB}" xr6:coauthVersionLast="47" xr6:coauthVersionMax="47" xr10:uidLastSave="{00000000-0000-0000-0000-000000000000}"/>
  <bookViews>
    <workbookView xWindow="-120" yWindow="-120" windowWidth="38640" windowHeight="21120" firstSheet="3" activeTab="3" xr2:uid="{54BCF897-9282-43A6-91D7-49C181E3DA9F}"/>
  </bookViews>
  <sheets>
    <sheet name="Unit1Path" sheetId="12" r:id="rId1"/>
    <sheet name="FILEPATH-EffortALL" sheetId="11" r:id="rId2"/>
    <sheet name="Table_EffortAllMatrixAG1_1D" sheetId="8" r:id="rId3"/>
    <sheet name="EffortOutcomesAG1-1DayShift" sheetId="3" r:id="rId4"/>
  </sheets>
  <externalReferences>
    <externalReference r:id="rId5"/>
    <externalReference r:id="rId6"/>
    <externalReference r:id="rId7"/>
    <externalReference r:id="rId8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1">'FILEPATH-EffortALL'!$B$14</definedName>
    <definedName name="Client" localSheetId="0">Unit1Path!$B$21</definedName>
    <definedName name="Client">#REF!</definedName>
    <definedName name="Contractor_Margin" localSheetId="0">#REF!</definedName>
    <definedName name="Contractor_Margin">#REF!</definedName>
    <definedName name="Date" localSheetId="1">[1]FILEPATH!$B$21</definedName>
    <definedName name="Date">#REF!</definedName>
    <definedName name="Directory" localSheetId="1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Unit1Path!$A$3:$B$12</definedName>
    <definedName name="ExternalData_2" localSheetId="3" hidden="1">'EffortOutcomesAG1-1DayShift'!$A$1:$T$1021</definedName>
    <definedName name="ExternalData_3" localSheetId="2" hidden="1">Table_EffortAllMatrixAG1_1D!$A$1:$K$1021</definedName>
    <definedName name="Facility" localSheetId="0">#REF!</definedName>
    <definedName name="Facility">#REF!</definedName>
    <definedName name="FilePathUrl">Unit1Path!$B$1</definedName>
    <definedName name="FTE" localSheetId="1">#REF!</definedName>
    <definedName name="FTE">#REF!</definedName>
    <definedName name="HRS" localSheetId="1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1">'FILEPATH-EffortALL'!$B$18</definedName>
    <definedName name="Location" localSheetId="0">Unit1Path!#REF!</definedName>
    <definedName name="Location">#REF!</definedName>
    <definedName name="MAIT_date_adjusted_for_example" localSheetId="1">#REF!</definedName>
    <definedName name="MAIT_date_adjusted_for_example">#REF!</definedName>
    <definedName name="Max_HRS" localSheetId="1">[2]RN!$P$2</definedName>
    <definedName name="Max_HRS">#REF!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Unit1Path!$B$42</definedName>
    <definedName name="Role">#REF!</definedName>
    <definedName name="ROLE_TITLE">#REF!</definedName>
    <definedName name="Type" localSheetId="1">[1]FILEPATH!$B$19</definedName>
    <definedName name="Type">#REF!</definedName>
    <definedName name="UNIT" localSheetId="1">[2]RN!$M$2</definedName>
    <definedName name="UNIT">#REF!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2" l="1" a="1"/>
  <c r="C19" i="11"/>
  <c r="B14" i="11" a="1"/>
  <c r="B18" i="11" s="1"/>
  <c r="B9" i="11" a="1"/>
  <c r="B15" i="11" l="1" a="1"/>
  <c r="C15" i="11" s="1"/>
  <c r="C20" i="11" s="1"/>
  <c r="B27" i="11"/>
  <c r="C18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4FC707-12E7-4DF1-9C1C-024B1E387620}" keepAlive="1" name="Query - EffortOutcomesAG1-1DayShift" description="Connection to the 'EffortOutcomesAG1-1DayShift' query in the workbook." type="5" refreshedVersion="8" background="1" saveData="1">
    <dbPr connection="Provider=Microsoft.Mashup.OleDb.1;Data Source=$Workbook$;Location=EffortOutcomesAG1-1DayShift;Extended Properties=&quot;&quot;" command="SELECT * FROM [EffortOutcomesAG1-1DayShift]"/>
  </connection>
  <connection id="2" xr16:uid="{11521046-7509-4E0F-B479-EC31FD44D76F}" keepAlive="1" name="Query - Folder !!" description="Connection to the 'Folder !!' query in the workbook." type="5" refreshedVersion="0" background="1" saveData="1">
    <dbPr connection="Provider=Microsoft.Mashup.OleDb.1;Data Source=$Workbook$;Location=&quot;Folder !!&quot;;Extended Properties=&quot;&quot;" command="SELECT * FROM [Folder !!]"/>
  </connection>
  <connection id="3" xr16:uid="{DAB46E10-74AE-451A-92EE-4B269117B419}" keepAlive="1" name="Query - IMPORT Table_EffortAllMatrixAG1_1D !!" description="Connection to the 'IMPORT Table_EffortAllMatrixAG1_1D !!' query in the workbook." type="5" refreshedVersion="8" background="1" saveData="1">
    <dbPr connection="Provider=Microsoft.Mashup.OleDb.1;Data Source=$Workbook$;Location=&quot;IMPORT Table_EffortAllMatrixAG1_1D !!&quot;;Extended Properties=&quot;&quot;" command="SELECT * FROM [IMPORT Table_EffortAllMatrixAG1_1D !!]"/>
  </connection>
  <connection id="4" xr16:uid="{6EABCF84-B0AC-40DE-A79E-656E0603A841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<sst xmlns="http://schemas.openxmlformats.org/spreadsheetml/2006/main" count="8228" uniqueCount="149">
  <si>
    <t>Date</t>
  </si>
  <si>
    <t>Role</t>
  </si>
  <si>
    <t>Allocation</t>
  </si>
  <si>
    <t>Demand</t>
  </si>
  <si>
    <t>Capacity</t>
  </si>
  <si>
    <t>CapacityX</t>
  </si>
  <si>
    <t>Apn</t>
  </si>
  <si>
    <t>Apx</t>
  </si>
  <si>
    <t>Ai</t>
  </si>
  <si>
    <t>Epn</t>
  </si>
  <si>
    <t>EpX</t>
  </si>
  <si>
    <t>Ein</t>
  </si>
  <si>
    <t>Ipx</t>
  </si>
  <si>
    <t>AM</t>
  </si>
  <si>
    <t>PM</t>
  </si>
  <si>
    <t>NIGHT</t>
  </si>
  <si>
    <t>Iin</t>
  </si>
  <si>
    <t>Ipn</t>
  </si>
  <si>
    <t>Folder</t>
  </si>
  <si>
    <t>CapacityMaxHC</t>
  </si>
  <si>
    <t>DATESHIFT</t>
  </si>
  <si>
    <t>Shift</t>
  </si>
  <si>
    <t>Facility</t>
  </si>
  <si>
    <t>SharedPath</t>
  </si>
  <si>
    <t>Client</t>
  </si>
  <si>
    <t>Type</t>
  </si>
  <si>
    <t>04 Analysis</t>
  </si>
  <si>
    <t>Location</t>
  </si>
  <si>
    <t>ASHB</t>
  </si>
  <si>
    <t>COUR</t>
  </si>
  <si>
    <t>From Computerpath</t>
  </si>
  <si>
    <t>CommonSharedPath</t>
  </si>
  <si>
    <t>Manual Entry</t>
  </si>
  <si>
    <t>Calcualted</t>
  </si>
  <si>
    <t>Facility1</t>
  </si>
  <si>
    <t>Facility2</t>
  </si>
  <si>
    <t>DateAlignment</t>
  </si>
  <si>
    <t>AIN</t>
  </si>
  <si>
    <t>RN</t>
  </si>
  <si>
    <t>DateX</t>
  </si>
  <si>
    <t>Variable Name</t>
  </si>
  <si>
    <t>Value</t>
  </si>
  <si>
    <t>UserName</t>
  </si>
  <si>
    <t>Root Path</t>
  </si>
  <si>
    <t>FilePathUrl</t>
  </si>
  <si>
    <t>Unit</t>
  </si>
  <si>
    <t>FileName</t>
  </si>
  <si>
    <t>EffortOutcomes.xlsx</t>
  </si>
  <si>
    <t>Alex</t>
  </si>
  <si>
    <t>C:\Users\Alex\CentriNOTSYNC\ResidentialCare\CLIENT\DATExx-Whiddon\2. Calculations\E-O-I</t>
  </si>
  <si>
    <t>CLIENT</t>
  </si>
  <si>
    <t>DATExx-Whiddon</t>
  </si>
  <si>
    <t>Client Path</t>
  </si>
  <si>
    <t>C:\Users\Alex\CentriNOTSYNC\ResidentialCare\CLIENT\DATExx-Whiddon</t>
  </si>
  <si>
    <t>Units Path</t>
  </si>
  <si>
    <t>C:\Users\Alex\CentriNOTSYNC\ResidentialCare\CLIENT\DATExx-Whiddon\UNITS</t>
  </si>
  <si>
    <t>C:\Users\Alex\CentriNOTSYNC\ResidentialCare\CLIENT\DATExx-Whiddon\2. Calculations\E-O-I\[EffortOutcomes.xlsx]EffortOutcomesAG1-1DayShift</t>
  </si>
  <si>
    <t>EN</t>
  </si>
  <si>
    <t>BD</t>
  </si>
  <si>
    <t>JH-RY</t>
  </si>
  <si>
    <t>TE</t>
  </si>
  <si>
    <t>28/09/2026NIGHT</t>
  </si>
  <si>
    <t>28/09/2026PM</t>
  </si>
  <si>
    <t>28/09/2026AM</t>
  </si>
  <si>
    <t>29/09/2026AM</t>
  </si>
  <si>
    <t>29/09/2026NIGHT</t>
  </si>
  <si>
    <t>29/09/2026PM</t>
  </si>
  <si>
    <t>30/09/2026AM</t>
  </si>
  <si>
    <t>30/09/2026NIGHT</t>
  </si>
  <si>
    <t>30/09/2026PM</t>
  </si>
  <si>
    <t>1/10/2026AM</t>
  </si>
  <si>
    <t>1/10/2026PM</t>
  </si>
  <si>
    <t>1/10/2026NIGHT</t>
  </si>
  <si>
    <t>2/10/2026AM</t>
  </si>
  <si>
    <t>2/10/2026NIGHT</t>
  </si>
  <si>
    <t>2/10/2026PM</t>
  </si>
  <si>
    <t>3/10/2026NIGHT</t>
  </si>
  <si>
    <t>3/10/2026AM</t>
  </si>
  <si>
    <t>3/10/2026PM</t>
  </si>
  <si>
    <t>4/10/2026AM</t>
  </si>
  <si>
    <t>4/10/2026PM</t>
  </si>
  <si>
    <t>4/10/2026NIGHT</t>
  </si>
  <si>
    <t>5/10/2026NIGHT</t>
  </si>
  <si>
    <t>5/10/2026PM</t>
  </si>
  <si>
    <t>5/10/2026AM</t>
  </si>
  <si>
    <t>6/10/2026PM</t>
  </si>
  <si>
    <t>6/10/2026NIGHT</t>
  </si>
  <si>
    <t>6/10/2026AM</t>
  </si>
  <si>
    <t>7/10/2026PM</t>
  </si>
  <si>
    <t>7/10/2026NIGHT</t>
  </si>
  <si>
    <t>7/10/2026AM</t>
  </si>
  <si>
    <t>8/10/2026PM</t>
  </si>
  <si>
    <t>8/10/2026NIGHT</t>
  </si>
  <si>
    <t>8/10/2026AM</t>
  </si>
  <si>
    <t>9/10/2026PM</t>
  </si>
  <si>
    <t>9/10/2026AM</t>
  </si>
  <si>
    <t>9/10/2026NIGHT</t>
  </si>
  <si>
    <t>10/10/2026PM</t>
  </si>
  <si>
    <t>10/10/2026AM</t>
  </si>
  <si>
    <t>10/10/2026NIGHT</t>
  </si>
  <si>
    <t>11/10/2026PM</t>
  </si>
  <si>
    <t>11/10/2026NIGHT</t>
  </si>
  <si>
    <t>11/10/2026AM</t>
  </si>
  <si>
    <t>12/10/2026PM</t>
  </si>
  <si>
    <t>12/10/2026NIGHT</t>
  </si>
  <si>
    <t>12/10/2026AM</t>
  </si>
  <si>
    <t>13/10/2026NIGHT</t>
  </si>
  <si>
    <t>13/10/2026PM</t>
  </si>
  <si>
    <t>13/10/2026AM</t>
  </si>
  <si>
    <t>14/10/2026NIGHT</t>
  </si>
  <si>
    <t>14/10/2026PM</t>
  </si>
  <si>
    <t>14/10/2026AM</t>
  </si>
  <si>
    <t>15/10/2026NIGHT</t>
  </si>
  <si>
    <t>15/10/2026PM</t>
  </si>
  <si>
    <t>15/10/2026AM</t>
  </si>
  <si>
    <t>16/10/2026AM</t>
  </si>
  <si>
    <t>16/10/2026PM</t>
  </si>
  <si>
    <t>16/10/2026NIGHT</t>
  </si>
  <si>
    <t>17/10/2026PM</t>
  </si>
  <si>
    <t>17/10/2026AM</t>
  </si>
  <si>
    <t>17/10/2026NIGHT</t>
  </si>
  <si>
    <t>18/10/2026AM</t>
  </si>
  <si>
    <t>18/10/2026NIGHT</t>
  </si>
  <si>
    <t>18/10/2026PM</t>
  </si>
  <si>
    <t>19/10/2026PM</t>
  </si>
  <si>
    <t>19/10/2026NIGHT</t>
  </si>
  <si>
    <t>19/10/2026AM</t>
  </si>
  <si>
    <t>20/10/2026AM</t>
  </si>
  <si>
    <t>20/10/2026NIGHT</t>
  </si>
  <si>
    <t>20/10/2026PM</t>
  </si>
  <si>
    <t>21/10/2026PM</t>
  </si>
  <si>
    <t>21/10/2026NIGHT</t>
  </si>
  <si>
    <t>21/10/2026AM</t>
  </si>
  <si>
    <t>22/10/2026AM</t>
  </si>
  <si>
    <t>22/10/2026NIGHT</t>
  </si>
  <si>
    <t>22/10/2026PM</t>
  </si>
  <si>
    <t>23/10/2026AM</t>
  </si>
  <si>
    <t>23/10/2026NIGHT</t>
  </si>
  <si>
    <t>23/10/2026PM</t>
  </si>
  <si>
    <t>24/10/2026NIGHT</t>
  </si>
  <si>
    <t>24/10/2026PM</t>
  </si>
  <si>
    <t>24/10/2026AM</t>
  </si>
  <si>
    <t>25/10/2026NIGHT</t>
  </si>
  <si>
    <t>25/10/2026PM</t>
  </si>
  <si>
    <t>25/10/2026AM</t>
  </si>
  <si>
    <t>26/10/2026PM</t>
  </si>
  <si>
    <t>26/10/2026AM</t>
  </si>
  <si>
    <t>26/10/2026NIGHT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</si>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</sst>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2" fillId="2" borderId="0" xfId="1" applyFill="1" applyAlignment="1">
      <alignment horizontal="left" vertical="top"/>
    </xf>
    <xf numFmtId="0" fontId="8" fillId="0" borderId="2" xfId="0" applyFont="1" applyBorder="1"/>
    <xf numFmtId="0" fontId="0" fillId="0" borderId="0" xfId="0" applyNumberFormat="1"/>
  </cellXfs>
  <cellStyles count="2">
    <cellStyle name="Normal" xfId="0" builtinId="0"/>
    <cellStyle name="Normal 2" xfId="1" xr:uid="{6F165663-C337-4181-9B50-027A78909AC2}"/>
  </cellStyles>
  <dxfs count="35"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COMPUTERPATH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COMPUTERPA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AvailabilityDayShiftMATRIX"/>
      <sheetName val="PsuedoRoleCapacityMATRIX"/>
      <sheetName val="ResAvailWktCapMATRIXCheck"/>
      <sheetName val="RoleWardShiftCapacityLIST"/>
      <sheetName val="RoleCapacityWkCapLIST"/>
      <sheetName val="RoleShiftWardCapacityLIST"/>
      <sheetName val="RoleShiftWardCapacityMATRIXChec"/>
      <sheetName val="ResAvailWkCapMATRIXCheck"/>
      <sheetName val="ResDayShiftMaxMATRIX"/>
      <sheetName val="ResCapacityDay"/>
      <sheetName val="ResDayShiftMATRIX"/>
      <sheetName val="ResAvailabilityDayShift"/>
      <sheetName val="ResShiftAvailability"/>
      <sheetName val="RoleWardShiftCapacityLIST (2)"/>
      <sheetName val="NameCapacity"/>
      <sheetName val="WeeklyCapacityShifts"/>
      <sheetName val="DailyCapacityShif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uterpath"/>
    </sheetNames>
    <definedNames>
      <definedName name="Computerpath" refersTo="='Computerpath'!$B$15"/>
    </definedNames>
    <sheetDataSet>
      <sheetData sheetId="0">
        <row r="15">
          <cell r="B15" t="str">
            <v>C:\Users\Alex\Centri\4. Production - Documents\WFEffectiveness\4.1.1 AGED CARE\01 Christadelphian Aged Care\240715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F643977-ABBE-4A4B-8317-D8901169DCA3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D645556-DFD2-4F1F-8A58-AA844C389480}" autoFormatId="16" applyNumberFormats="0" applyBorderFormats="0" applyFontFormats="0" applyPatternFormats="0" applyAlignmentFormats="0" applyWidthHeightFormats="0">
  <queryTableRefresh nextId="25">
    <queryTableFields count="11">
      <queryTableField id="1" name="Facility" tableColumnId="1"/>
      <queryTableField id="2" name="Role" tableColumnId="2"/>
      <queryTableField id="4" name="Shift" tableColumnId="4"/>
      <queryTableField id="5" name="Demand" tableColumnId="5"/>
      <queryTableField id="6" name="Capacity" tableColumnId="6"/>
      <queryTableField id="8" name="CapacityMaxHC" tableColumnId="8"/>
      <queryTableField id="7" name="CapacityX" tableColumnId="7"/>
      <queryTableField id="9" name="Allocation" tableColumnId="9"/>
      <queryTableField id="10" name="DATESHIFT" tableColumnId="10"/>
      <queryTableField id="3" name="Date" tableColumnId="3"/>
      <queryTableField id="24" name="DateX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FBC0DCC-878B-41B2-8DE6-BA1C24BAFC00}" autoFormatId="16" applyNumberFormats="0" applyBorderFormats="0" applyFontFormats="0" applyPatternFormats="0" applyAlignmentFormats="0" applyWidthHeightFormats="0">
  <queryTableRefresh nextId="59">
    <queryTableFields count="20">
      <queryTableField id="39" name="Facility" tableColumnId="19"/>
      <queryTableField id="28" name="Role" tableColumnId="3"/>
      <queryTableField id="37" name="Shift" tableColumnId="2"/>
      <queryTableField id="15" name="Demand" tableColumnId="4"/>
      <queryTableField id="16" name="Capacity" tableColumnId="5"/>
      <queryTableField id="25" name="CapacityMaxHC" tableColumnId="17"/>
      <queryTableField id="17" name="CapacityX" tableColumnId="15"/>
      <queryTableField id="18" name="Allocation" tableColumnId="16"/>
      <queryTableField id="33" name="DATESHIFT" tableColumnId="18"/>
      <queryTableField id="1" name="Date" tableColumnId="1"/>
      <queryTableField id="57" name="DateX" tableColumnId="21"/>
      <queryTableField id="6" name="Apn" tableColumnId="6"/>
      <queryTableField id="7" name="Apx" tableColumnId="7"/>
      <queryTableField id="8" name="Ai" tableColumnId="8"/>
      <queryTableField id="9" name="Epn" tableColumnId="9"/>
      <queryTableField id="10" name="EpX" tableColumnId="10"/>
      <queryTableField id="11" name="Ein" tableColumnId="11"/>
      <queryTableField id="12" name="Ipn" tableColumnId="12"/>
      <queryTableField id="13" name="Ipx" tableColumnId="13"/>
      <queryTableField id="14" name="Ii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04006F-C315-44B8-B708-A510B47AD846}" name="UnitL1PathTABLE" displayName="UnitL1PathTABLE" ref="A3:B12" tableType="queryTable" totalsRowShown="0" headerRowDxfId="34" dataDxfId="33" headerRowCellStyle="Normal 2" dataCellStyle="Normal 2">
  <autoFilter ref="A3:B12" xr:uid="{1104006F-C315-44B8-B708-A510B47AD846}"/>
  <tableColumns count="2">
    <tableColumn id="1" xr3:uid="{2954DAA6-D857-4943-B2CF-738AB5C62B5B}" uniqueName="1" name="Variable Name" queryTableFieldId="1" dataDxfId="32" dataCellStyle="Normal 2"/>
    <tableColumn id="2" xr3:uid="{CF38F2D9-B626-448B-A35F-C8FFE697D17F}" uniqueName="2" name="Value" queryTableFieldId="2" dataDxfId="31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2FFA4E-52D9-411B-AE34-E59962F06D81}" name="Folder" displayName="Folder" ref="B26:B27" totalsRowShown="0" dataDxfId="30">
  <autoFilter ref="B26:B27" xr:uid="{336E7093-3530-42C5-AF8A-E29B36BB2C09}"/>
  <tableColumns count="1">
    <tableColumn id="1" xr3:uid="{2CCD0D41-6FD7-4F30-95DA-EC20844C2BB8}" name="Folder" dataDxfId="29">
      <calculatedColumnFormula>$B$18&amp;"\"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B3B224-E874-4BA3-93F4-A9F2726049CA}" name="Table3" displayName="Table3" ref="B33:C34" totalsRowShown="0" headerRowDxfId="28" dataDxfId="27" headerRowCellStyle="Normal 2" dataCellStyle="Normal 2">
  <autoFilter ref="B33:C34" xr:uid="{0255D31D-F9FA-4374-B7C7-436518B79140}"/>
  <tableColumns count="2">
    <tableColumn id="1" xr3:uid="{8CF1EED3-B2A1-40E8-8F99-5C2778EBD9A7}" name="Facility1" dataDxfId="26" dataCellStyle="Normal 2"/>
    <tableColumn id="2" xr3:uid="{69F7B9D1-DE25-494D-8AC7-55E765FFE61A}" name="Facility2" dataDxfId="25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CF829B-D223-4A25-B1E1-D5B352A7DA91}" name="DateAlignment" displayName="DateAlignment" ref="B38:B39" totalsRowShown="0" headerRowDxfId="24" dataDxfId="23" headerRowCellStyle="Normal 2" dataCellStyle="Normal 2">
  <autoFilter ref="B38:B39" xr:uid="{12E4D58C-491D-408F-AF2D-91CA83457DA4}"/>
  <tableColumns count="1">
    <tableColumn id="1" xr3:uid="{4E6EB875-3551-4CD4-8926-AC272C326060}" name="DateAlignment" dataDxfId="22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B66B24-70C9-412B-9583-00B29438E74B}" name="IMPORT_Table_EffortAllMatrixAG1_1D" displayName="IMPORT_Table_EffortAllMatrixAG1_1D" ref="A1:K1021" tableType="queryTable" totalsRowShown="0">
  <autoFilter ref="A1:K1021" xr:uid="{D4B66B24-70C9-412B-9583-00B29438E74B}">
    <filterColumn colId="2">
      <filters>
        <filter val="AM"/>
      </filters>
    </filterColumn>
  </autoFilter>
  <tableColumns count="11">
    <tableColumn id="1" xr3:uid="{F54DB5C9-E66C-425B-BAC5-6E27768F910D}" uniqueName="1" name="Facility" queryTableFieldId="1" dataDxfId="21"/>
    <tableColumn id="2" xr3:uid="{70F7E8C8-DA08-47AB-B417-D195F12B849B}" uniqueName="2" name="Role" queryTableFieldId="2" dataDxfId="20"/>
    <tableColumn id="4" xr3:uid="{891A5E37-5B48-408B-A4A4-B9F4D015DB77}" uniqueName="4" name="Shift" queryTableFieldId="4" dataDxfId="19"/>
    <tableColumn id="5" xr3:uid="{13C65675-28F5-4DB0-9DE5-7145D948148D}" uniqueName="5" name="Demand" queryTableFieldId="5" dataDxfId="18"/>
    <tableColumn id="6" xr3:uid="{E11B5A6C-C75B-4505-865F-56F3444CCE22}" uniqueName="6" name="Capacity" queryTableFieldId="6" dataDxfId="17"/>
    <tableColumn id="8" xr3:uid="{95A6631E-327F-4674-B4BA-D8E27A6B090F}" uniqueName="8" name="CapacityMaxHC" queryTableFieldId="8" dataDxfId="16"/>
    <tableColumn id="7" xr3:uid="{5852A6A5-A42C-4A09-8E6D-74290DD7DEC9}" uniqueName="7" name="CapacityX" queryTableFieldId="7" dataDxfId="15"/>
    <tableColumn id="9" xr3:uid="{6D8F2553-D59B-4DA6-B0CC-6FE4A9CD4CA1}" uniqueName="9" name="Allocation" queryTableFieldId="9" dataDxfId="14"/>
    <tableColumn id="10" xr3:uid="{055E6D43-F663-443E-A716-0F23B7BDE76B}" uniqueName="10" name="DATESHIFT" queryTableFieldId="10" dataDxfId="13"/>
    <tableColumn id="3" xr3:uid="{3DF1070A-67BF-428F-96A8-F6E4CC65BE8E}" uniqueName="3" name="Date" queryTableFieldId="3" dataDxfId="12"/>
    <tableColumn id="12" xr3:uid="{25EC1B9B-0218-4C4D-BAA4-F52824684807}" uniqueName="12" name="DateX" queryTableFieldId="2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76CDA7-A02B-4EB3-8987-D41E4FFB68E8}" name="EffortOutcomesAG1_1DayShift" displayName="EffortOutcomesAG1_1DayShift" ref="A1:T1021" tableType="queryTable" totalsRowShown="0">
  <autoFilter ref="A1:T1021" xr:uid="{E376CDA7-A02B-4EB3-8987-D41E4FFB68E8}"/>
  <sortState xmlns:xlrd2="http://schemas.microsoft.com/office/spreadsheetml/2017/richdata2" ref="A2:T1021">
    <sortCondition ref="B1:B1021"/>
  </sortState>
  <tableColumns count="20">
    <tableColumn id="19" xr3:uid="{57F01AFC-5859-4698-B903-9CE05E83E71D}" uniqueName="19" name="Facility" queryTableFieldId="39" dataDxfId="9"/>
    <tableColumn id="3" xr3:uid="{7E32F82B-F732-4D74-B9CB-DAC36EA21A23}" uniqueName="3" name="Role" queryTableFieldId="28" dataDxfId="8"/>
    <tableColumn id="2" xr3:uid="{6768E303-C1F9-431F-B122-A3D32916BF6F}" uniqueName="2" name="Shift" queryTableFieldId="37" dataDxfId="7"/>
    <tableColumn id="4" xr3:uid="{6C571069-025F-42BC-BBEE-D63EF56FB509}" uniqueName="4" name="Demand" queryTableFieldId="15" dataDxfId="6"/>
    <tableColumn id="5" xr3:uid="{8515A77B-BF20-4B1A-81C1-F81F740275A6}" uniqueName="5" name="Capacity" queryTableFieldId="16" dataDxfId="5"/>
    <tableColumn id="17" xr3:uid="{FBACAB40-A0D2-42EC-8B2D-7DAABE4DCBD8}" uniqueName="17" name="CapacityMaxHC" queryTableFieldId="25" dataDxfId="4"/>
    <tableColumn id="15" xr3:uid="{7A0CF3CF-31BE-499E-B5F9-1F9B01E54E3B}" uniqueName="15" name="CapacityX" queryTableFieldId="17" dataDxfId="3"/>
    <tableColumn id="16" xr3:uid="{6E3E4728-5A69-4410-9D54-62CB9720905C}" uniqueName="16" name="Allocation" queryTableFieldId="18" dataDxfId="2"/>
    <tableColumn id="18" xr3:uid="{34799610-D03A-4FCE-987A-356C335FB23E}" uniqueName="18" name="DATESHIFT" queryTableFieldId="33" dataDxfId="1"/>
    <tableColumn id="1" xr3:uid="{BF6A5ED0-C159-40D2-B185-7FD90016ED97}" uniqueName="1" name="Date" queryTableFieldId="1" dataDxfId="0"/>
    <tableColumn id="21" xr3:uid="{95119627-9DF9-4D39-8F9B-109D1E23BAB7}" uniqueName="21" name="DateX" queryTableFieldId="57"/>
    <tableColumn id="6" xr3:uid="{EC4EB5DE-04F5-46BC-93AE-847142925712}" uniqueName="6" name="Apn" queryTableFieldId="6"/>
    <tableColumn id="7" xr3:uid="{38509A44-BBF3-4508-9629-A8F0069A9DC0}" uniqueName="7" name="Apx" queryTableFieldId="7"/>
    <tableColumn id="8" xr3:uid="{9AC23104-623B-4022-8CA5-7BEEEEBDF625}" uniqueName="8" name="Ai" queryTableFieldId="8"/>
    <tableColumn id="9" xr3:uid="{C4ECCD0F-1A8E-4265-880A-834099C57DAA}" uniqueName="9" name="Epn" queryTableFieldId="9"/>
    <tableColumn id="10" xr3:uid="{01B9638D-492A-4274-B41C-25221218AEA8}" uniqueName="10" name="EpX" queryTableFieldId="10"/>
    <tableColumn id="11" xr3:uid="{53DE65C2-5FC3-47C6-BF3A-0E1CABE379A2}" uniqueName="11" name="Ein" queryTableFieldId="11"/>
    <tableColumn id="12" xr3:uid="{E7027AC6-0A11-4D35-8427-B0AEBC3F25D2}" uniqueName="12" name="Ipn" queryTableFieldId="12"/>
    <tableColumn id="13" xr3:uid="{DC281649-415E-4313-BB1C-B0140D9E737C}" uniqueName="13" name="Ipx" queryTableFieldId="13"/>
    <tableColumn id="14" xr3:uid="{C8AD6387-D9FB-4835-871D-B3D2B94FFEE0}" uniqueName="14" name="Iin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7A3B-AF81-4D04-A8CC-F817BA01750A}">
  <sheetPr>
    <tabColor rgb="FFFFFF00"/>
  </sheetPr>
  <dimension ref="A1:D33"/>
  <sheetViews>
    <sheetView workbookViewId="0">
      <selection activeCell="A3" sqref="A3:B12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1" t="s">
        <v>23</v>
      </c>
      <c r="B1" s="11" t="str" cm="1">
        <f t="array" aca="1" ref="B1" ca="1">CELL("filename")</f>
        <v>C:\Users\Alex\CentriNOTSYNC\ResidentialCare\CLIENT\DATExx-Whiddon\2. Calculations\E-O-I\[EffortOutcomes.xlsx]EffortOutcomesAG1-1DayShift</v>
      </c>
    </row>
    <row r="2" spans="1:4" x14ac:dyDescent="0.25">
      <c r="A2" s="3"/>
      <c r="B2" s="3"/>
    </row>
    <row r="3" spans="1:4" x14ac:dyDescent="0.25">
      <c r="A3" s="2" t="s">
        <v>40</v>
      </c>
      <c r="B3" s="2" t="s">
        <v>41</v>
      </c>
    </row>
    <row r="4" spans="1:4" ht="15" x14ac:dyDescent="0.25">
      <c r="A4" t="s">
        <v>42</v>
      </c>
      <c r="B4" t="s">
        <v>48</v>
      </c>
    </row>
    <row r="5" spans="1:4" ht="15" x14ac:dyDescent="0.25">
      <c r="A5" t="s">
        <v>43</v>
      </c>
      <c r="B5" t="s">
        <v>49</v>
      </c>
    </row>
    <row r="6" spans="1:4" ht="15" x14ac:dyDescent="0.25">
      <c r="A6" t="s">
        <v>44</v>
      </c>
      <c r="B6" t="s">
        <v>56</v>
      </c>
    </row>
    <row r="7" spans="1:4" ht="15" x14ac:dyDescent="0.25">
      <c r="A7" t="s">
        <v>24</v>
      </c>
      <c r="B7" t="s">
        <v>50</v>
      </c>
    </row>
    <row r="8" spans="1:4" ht="15" x14ac:dyDescent="0.25">
      <c r="A8" t="s">
        <v>0</v>
      </c>
      <c r="B8" t="s">
        <v>51</v>
      </c>
    </row>
    <row r="9" spans="1:4" ht="15" x14ac:dyDescent="0.25">
      <c r="A9" t="s">
        <v>45</v>
      </c>
      <c r="B9"/>
    </row>
    <row r="10" spans="1:4" ht="15" x14ac:dyDescent="0.25">
      <c r="A10" t="s">
        <v>46</v>
      </c>
      <c r="B10" t="s">
        <v>47</v>
      </c>
    </row>
    <row r="11" spans="1:4" ht="15" x14ac:dyDescent="0.25">
      <c r="A11" t="s">
        <v>52</v>
      </c>
      <c r="B11" t="s">
        <v>53</v>
      </c>
    </row>
    <row r="12" spans="1:4" ht="15" x14ac:dyDescent="0.25">
      <c r="A12" t="s">
        <v>54</v>
      </c>
      <c r="B12" t="s">
        <v>55</v>
      </c>
      <c r="D12" s="1"/>
    </row>
    <row r="14" spans="1:4" x14ac:dyDescent="0.25">
      <c r="B14" s="1"/>
    </row>
    <row r="17" spans="1:3" x14ac:dyDescent="0.25">
      <c r="A17" s="3"/>
      <c r="B17" s="3"/>
    </row>
    <row r="18" spans="1:3" x14ac:dyDescent="0.25">
      <c r="A18" s="7"/>
      <c r="B18" s="3"/>
    </row>
    <row r="19" spans="1:3" x14ac:dyDescent="0.25">
      <c r="A19" s="3"/>
      <c r="B19" s="3"/>
    </row>
    <row r="20" spans="1:3" x14ac:dyDescent="0.25">
      <c r="A20" s="3"/>
      <c r="B20" s="3"/>
      <c r="C20" s="8"/>
    </row>
    <row r="21" spans="1:3" ht="15" x14ac:dyDescent="0.25">
      <c r="A21" s="4"/>
      <c r="B21"/>
      <c r="C21" s="8"/>
    </row>
    <row r="22" spans="1:3" x14ac:dyDescent="0.25">
      <c r="A22" s="3"/>
      <c r="B22" s="3"/>
      <c r="C22" s="8"/>
    </row>
    <row r="23" spans="1:3" x14ac:dyDescent="0.25">
      <c r="C23" s="8"/>
    </row>
    <row r="24" spans="1:3" x14ac:dyDescent="0.25">
      <c r="C24" s="9"/>
    </row>
    <row r="25" spans="1:3" x14ac:dyDescent="0.25">
      <c r="C25" s="8"/>
    </row>
    <row r="26" spans="1:3" x14ac:dyDescent="0.25">
      <c r="A26" s="1"/>
      <c r="B26" s="1"/>
      <c r="C26" s="8"/>
    </row>
    <row r="27" spans="1:3" x14ac:dyDescent="0.25">
      <c r="C27" s="8"/>
    </row>
    <row r="28" spans="1:3" x14ac:dyDescent="0.25">
      <c r="A28" s="8"/>
      <c r="B28" s="8"/>
    </row>
    <row r="29" spans="1:3" x14ac:dyDescent="0.25">
      <c r="A29" s="8"/>
      <c r="B29" s="8"/>
    </row>
    <row r="33" spans="2:2" x14ac:dyDescent="0.25">
      <c r="B33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5853-AF8B-47EB-B45B-660264DFB90A}">
  <dimension ref="A7:D39"/>
  <sheetViews>
    <sheetView workbookViewId="0">
      <selection activeCell="B19" sqref="B19"/>
    </sheetView>
  </sheetViews>
  <sheetFormatPr defaultColWidth="8" defaultRowHeight="12.75" x14ac:dyDescent="0.25"/>
  <cols>
    <col min="1" max="1" width="23.140625" style="2" customWidth="1"/>
    <col min="2" max="2" width="131.42578125" style="2" customWidth="1"/>
    <col min="3" max="3" width="12.140625" style="2" customWidth="1"/>
    <col min="4" max="16384" width="8" style="2"/>
  </cols>
  <sheetData>
    <row r="7" spans="1:4" x14ac:dyDescent="0.25">
      <c r="A7" s="1"/>
      <c r="B7" s="1"/>
      <c r="C7" s="1"/>
      <c r="D7" s="1"/>
    </row>
    <row r="9" spans="1:4" x14ac:dyDescent="0.25">
      <c r="A9" s="3" t="s">
        <v>23</v>
      </c>
      <c r="B9" s="3" t="str" cm="1">
        <f t="array" aca="1" ref="B9" ca="1">CELL("filename",E16)</f>
        <v>C:\Users\Alex\CentriNOTSYNC\ResidentialCare\CLIENT\DATExx-Whiddon\2. Calculations\E-O-I\[EffortOutcomes.xlsx]FILEPATH-EffortALL</v>
      </c>
    </row>
    <row r="10" spans="1:4" x14ac:dyDescent="0.25">
      <c r="A10" s="3"/>
      <c r="B10" s="3"/>
    </row>
    <row r="11" spans="1:4" x14ac:dyDescent="0.25">
      <c r="A11" s="7"/>
      <c r="B11" s="3"/>
    </row>
    <row r="12" spans="1:4" x14ac:dyDescent="0.25">
      <c r="A12" s="3"/>
      <c r="B12" s="3"/>
    </row>
    <row r="13" spans="1:4" x14ac:dyDescent="0.25">
      <c r="A13" s="3"/>
      <c r="B13" s="3"/>
    </row>
    <row r="14" spans="1:4" x14ac:dyDescent="0.25">
      <c r="A14" s="4" t="s">
        <v>24</v>
      </c>
      <c r="B14" s="4" t="str" cm="1">
        <f t="array" ref="B14">[4]!Computerpath</f>
        <v>C:\Users\Alex\Centri\4. Production - Documents\WFEffectiveness\4.1.1 AGED CARE\01 Christadelphian Aged Care\240715</v>
      </c>
      <c r="D14" s="2" t="s">
        <v>30</v>
      </c>
    </row>
    <row r="15" spans="1:4" x14ac:dyDescent="0.25">
      <c r="A15" s="3" t="s">
        <v>31</v>
      </c>
      <c r="B15" s="3" t="e" cm="1">
        <f t="array" aca="1" ref="B15" ca="1">LEFT(CELL("filename",B9),FIND(Client,CELL("filename",B9),1)-1)</f>
        <v>#VALUE!</v>
      </c>
      <c r="C15" s="8" t="e">
        <f ca="1">LEN(B15)</f>
        <v>#VALUE!</v>
      </c>
    </row>
    <row r="16" spans="1:4" x14ac:dyDescent="0.25">
      <c r="C16" s="8"/>
    </row>
    <row r="17" spans="1:4" x14ac:dyDescent="0.25">
      <c r="C17" s="8"/>
    </row>
    <row r="18" spans="1:4" x14ac:dyDescent="0.25">
      <c r="A18" s="4" t="s">
        <v>27</v>
      </c>
      <c r="B18" s="4" t="str">
        <f>Client</f>
        <v>C:\Users\Alex\Centri\4. Production - Documents\WFEffectiveness\4.1.1 AGED CARE\01 Christadelphian Aged Care\240715</v>
      </c>
      <c r="C18" s="8">
        <f>LEN(B14)</f>
        <v>114</v>
      </c>
      <c r="D18" s="2" t="s">
        <v>30</v>
      </c>
    </row>
    <row r="19" spans="1:4" x14ac:dyDescent="0.25">
      <c r="A19" s="1" t="s">
        <v>25</v>
      </c>
      <c r="B19" s="1" t="s">
        <v>26</v>
      </c>
      <c r="C19" s="9">
        <f>LEN(B19)</f>
        <v>11</v>
      </c>
      <c r="D19" s="2" t="s">
        <v>32</v>
      </c>
    </row>
    <row r="20" spans="1:4" x14ac:dyDescent="0.25">
      <c r="C20" s="8" t="e">
        <f ca="1">SUM(C15:C19)</f>
        <v>#VALUE!</v>
      </c>
    </row>
    <row r="21" spans="1:4" x14ac:dyDescent="0.25">
      <c r="C21" s="8"/>
    </row>
    <row r="22" spans="1:4" x14ac:dyDescent="0.25">
      <c r="C22" s="8"/>
    </row>
    <row r="23" spans="1:4" x14ac:dyDescent="0.25">
      <c r="A23" s="2" t="s">
        <v>0</v>
      </c>
      <c r="B23" s="5"/>
      <c r="C23" s="8"/>
    </row>
    <row r="24" spans="1:4" x14ac:dyDescent="0.25">
      <c r="D24" s="2" t="s">
        <v>33</v>
      </c>
    </row>
    <row r="26" spans="1:4" x14ac:dyDescent="0.25">
      <c r="B26" s="2" t="s">
        <v>18</v>
      </c>
    </row>
    <row r="27" spans="1:4" x14ac:dyDescent="0.25">
      <c r="B27" s="5" t="str">
        <f>$B$18&amp;"\"</f>
        <v>C:\Users\Alex\Centri\4. Production - Documents\WFEffectiveness\4.1.1 AGED CARE\01 Christadelphian Aged Care\240715\</v>
      </c>
    </row>
    <row r="29" spans="1:4" x14ac:dyDescent="0.25">
      <c r="B29" s="10"/>
    </row>
    <row r="33" spans="2:3" x14ac:dyDescent="0.25">
      <c r="B33" s="2" t="s">
        <v>34</v>
      </c>
      <c r="C33" s="2" t="s">
        <v>35</v>
      </c>
    </row>
    <row r="34" spans="2:3" x14ac:dyDescent="0.25">
      <c r="B34" s="2" t="s">
        <v>29</v>
      </c>
      <c r="C34" s="2" t="s">
        <v>28</v>
      </c>
    </row>
    <row r="38" spans="2:3" x14ac:dyDescent="0.25">
      <c r="B38" s="2" t="s">
        <v>36</v>
      </c>
    </row>
    <row r="39" spans="2:3" x14ac:dyDescent="0.25">
      <c r="B39" s="2">
        <v>0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CC842-69EA-4A95-AF74-1E12A4EC71DC}">
  <dimension ref="A1:K1021"/>
  <sheetViews>
    <sheetView workbookViewId="0">
      <selection activeCell="B3" sqref="B3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7.42578125" bestFit="1" customWidth="1"/>
    <col min="4" max="4" width="12" bestFit="1" customWidth="1"/>
    <col min="5" max="5" width="10.7109375" bestFit="1" customWidth="1"/>
    <col min="6" max="6" width="17.140625" bestFit="1" customWidth="1"/>
    <col min="7" max="7" width="11.85546875" bestFit="1" customWidth="1"/>
    <col min="8" max="8" width="12.28515625" bestFit="1" customWidth="1"/>
    <col min="9" max="9" width="16.42578125" bestFit="1" customWidth="1"/>
    <col min="10" max="10" width="7.42578125" bestFit="1" customWidth="1"/>
    <col min="11" max="12" width="8.5703125" bestFit="1" customWidth="1"/>
    <col min="13" max="13" width="7.42578125" bestFit="1" customWidth="1"/>
    <col min="14" max="14" width="16.7109375" bestFit="1" customWidth="1"/>
  </cols>
  <sheetData>
    <row r="1" spans="1:11" x14ac:dyDescent="0.25">
      <c r="A1" t="s">
        <v>22</v>
      </c>
      <c r="B1" t="s">
        <v>1</v>
      </c>
      <c r="C1" t="s">
        <v>21</v>
      </c>
      <c r="D1" t="s">
        <v>3</v>
      </c>
      <c r="E1" t="s">
        <v>4</v>
      </c>
      <c r="F1" t="s">
        <v>19</v>
      </c>
      <c r="G1" t="s">
        <v>5</v>
      </c>
      <c r="H1" t="s">
        <v>2</v>
      </c>
      <c r="I1" t="s">
        <v>20</v>
      </c>
      <c r="J1" t="s">
        <v>0</v>
      </c>
      <c r="K1" t="s">
        <v>39</v>
      </c>
    </row>
    <row r="2" spans="1:11" hidden="1" x14ac:dyDescent="0.25">
      <c r="A2" s="12" t="s">
        <v>58</v>
      </c>
      <c r="B2" s="12" t="s">
        <v>57</v>
      </c>
      <c r="C2" s="12" t="s">
        <v>15</v>
      </c>
      <c r="D2" s="12">
        <v>0</v>
      </c>
      <c r="E2" s="12">
        <v>0.95</v>
      </c>
      <c r="F2" s="12">
        <v>18</v>
      </c>
      <c r="G2" s="12">
        <v>0.95</v>
      </c>
      <c r="H2" s="12">
        <v>0</v>
      </c>
      <c r="I2" s="12" t="s">
        <v>61</v>
      </c>
      <c r="J2" s="12">
        <v>46293</v>
      </c>
      <c r="K2">
        <v>46293</v>
      </c>
    </row>
    <row r="3" spans="1:11" x14ac:dyDescent="0.25">
      <c r="A3" s="12" t="s">
        <v>58</v>
      </c>
      <c r="B3" s="12" t="s">
        <v>148</v>
      </c>
      <c r="C3" s="12" t="s">
        <v>13</v>
      </c>
      <c r="D3" s="12">
        <v>13.625000000000004</v>
      </c>
      <c r="E3" s="12">
        <v>16.149999999999999</v>
      </c>
      <c r="F3" s="12">
        <v>20</v>
      </c>
      <c r="G3" s="12">
        <v>16.149999999999999</v>
      </c>
      <c r="H3" s="12">
        <v>11.109975961538456</v>
      </c>
      <c r="I3" s="12" t="s">
        <v>63</v>
      </c>
      <c r="J3" s="12">
        <v>46293</v>
      </c>
      <c r="K3">
        <v>46293</v>
      </c>
    </row>
    <row r="4" spans="1:11" x14ac:dyDescent="0.25">
      <c r="A4" s="12" t="s">
        <v>58</v>
      </c>
      <c r="B4" s="12" t="s">
        <v>38</v>
      </c>
      <c r="C4" s="12" t="s">
        <v>13</v>
      </c>
      <c r="D4" s="12">
        <v>5.8508369812393415</v>
      </c>
      <c r="E4" s="12">
        <v>2.8499999999999996</v>
      </c>
      <c r="F4" s="12">
        <v>20</v>
      </c>
      <c r="G4" s="12">
        <v>2.8499999999999996</v>
      </c>
      <c r="H4" s="12">
        <v>2.585477941176471</v>
      </c>
      <c r="I4" s="12" t="s">
        <v>63</v>
      </c>
      <c r="J4" s="12">
        <v>46293</v>
      </c>
      <c r="K4">
        <v>46293</v>
      </c>
    </row>
    <row r="5" spans="1:11" x14ac:dyDescent="0.25">
      <c r="A5" s="12" t="s">
        <v>58</v>
      </c>
      <c r="B5" s="12" t="s">
        <v>57</v>
      </c>
      <c r="C5" s="12" t="s">
        <v>13</v>
      </c>
      <c r="D5" s="12">
        <v>4.3768873710032166</v>
      </c>
      <c r="E5" s="12">
        <v>2.8499999999999996</v>
      </c>
      <c r="F5" s="12">
        <v>18</v>
      </c>
      <c r="G5" s="12">
        <v>2.8499999999999996</v>
      </c>
      <c r="H5" s="12">
        <v>2.8235294117647065</v>
      </c>
      <c r="I5" s="12" t="s">
        <v>63</v>
      </c>
      <c r="J5" s="12">
        <v>46293</v>
      </c>
      <c r="K5">
        <v>46293</v>
      </c>
    </row>
    <row r="6" spans="1:11" hidden="1" x14ac:dyDescent="0.25">
      <c r="A6" s="12" t="s">
        <v>58</v>
      </c>
      <c r="B6" s="12" t="s">
        <v>37</v>
      </c>
      <c r="C6" s="12" t="s">
        <v>15</v>
      </c>
      <c r="D6" s="12">
        <v>4.1033319103155144</v>
      </c>
      <c r="E6" s="12">
        <v>3.8</v>
      </c>
      <c r="F6" s="12">
        <v>20</v>
      </c>
      <c r="G6" s="12">
        <v>3.8</v>
      </c>
      <c r="H6" s="12">
        <v>3.75</v>
      </c>
      <c r="I6" s="12" t="s">
        <v>61</v>
      </c>
      <c r="J6" s="12">
        <v>46293</v>
      </c>
      <c r="K6">
        <v>46293</v>
      </c>
    </row>
    <row r="7" spans="1:11" hidden="1" x14ac:dyDescent="0.25">
      <c r="A7" s="12" t="s">
        <v>58</v>
      </c>
      <c r="B7" s="12" t="s">
        <v>148</v>
      </c>
      <c r="C7" s="12" t="s">
        <v>15</v>
      </c>
      <c r="D7" s="12">
        <v>0</v>
      </c>
      <c r="E7" s="12">
        <v>1.9</v>
      </c>
      <c r="F7" s="12">
        <v>20</v>
      </c>
      <c r="G7" s="12">
        <v>1.9</v>
      </c>
      <c r="H7" s="12">
        <v>0</v>
      </c>
      <c r="I7" s="12" t="s">
        <v>61</v>
      </c>
      <c r="J7" s="12">
        <v>46293</v>
      </c>
      <c r="K7">
        <v>46293</v>
      </c>
    </row>
    <row r="8" spans="1:11" x14ac:dyDescent="0.25">
      <c r="A8" s="12" t="s">
        <v>58</v>
      </c>
      <c r="B8" s="12" t="s">
        <v>37</v>
      </c>
      <c r="C8" s="12" t="s">
        <v>13</v>
      </c>
      <c r="D8" s="12">
        <v>11.54404044102098</v>
      </c>
      <c r="E8" s="12">
        <v>17.099999999999998</v>
      </c>
      <c r="F8" s="12">
        <v>20</v>
      </c>
      <c r="G8" s="12">
        <v>17.099999999999998</v>
      </c>
      <c r="H8" s="12">
        <v>10.889093137254903</v>
      </c>
      <c r="I8" s="12" t="s">
        <v>63</v>
      </c>
      <c r="J8" s="12">
        <v>46293</v>
      </c>
      <c r="K8">
        <v>46293</v>
      </c>
    </row>
    <row r="9" spans="1:11" hidden="1" x14ac:dyDescent="0.25">
      <c r="A9" s="12" t="s">
        <v>58</v>
      </c>
      <c r="B9" s="12" t="s">
        <v>148</v>
      </c>
      <c r="C9" s="12" t="s">
        <v>14</v>
      </c>
      <c r="D9" s="12">
        <v>3.5294117647058822</v>
      </c>
      <c r="E9" s="12">
        <v>5.6999999999999993</v>
      </c>
      <c r="F9" s="12">
        <v>20</v>
      </c>
      <c r="G9" s="12">
        <v>5.6999999999999993</v>
      </c>
      <c r="H9" s="12">
        <v>2.6097285067873299</v>
      </c>
      <c r="I9" s="12" t="s">
        <v>62</v>
      </c>
      <c r="J9" s="12">
        <v>46293</v>
      </c>
      <c r="K9">
        <v>46293</v>
      </c>
    </row>
    <row r="10" spans="1:11" hidden="1" x14ac:dyDescent="0.25">
      <c r="A10" s="12" t="s">
        <v>58</v>
      </c>
      <c r="B10" s="12" t="s">
        <v>57</v>
      </c>
      <c r="C10" s="12" t="s">
        <v>14</v>
      </c>
      <c r="D10" s="12">
        <v>3.0895675560022688</v>
      </c>
      <c r="E10" s="12">
        <v>7.6</v>
      </c>
      <c r="F10" s="12">
        <v>18</v>
      </c>
      <c r="G10" s="12">
        <v>7.6</v>
      </c>
      <c r="H10" s="12">
        <v>4.577854671280277</v>
      </c>
      <c r="I10" s="12" t="s">
        <v>62</v>
      </c>
      <c r="J10" s="12">
        <v>46293</v>
      </c>
      <c r="K10">
        <v>46293</v>
      </c>
    </row>
    <row r="11" spans="1:11" hidden="1" x14ac:dyDescent="0.25">
      <c r="A11" s="12" t="s">
        <v>58</v>
      </c>
      <c r="B11" s="12" t="s">
        <v>37</v>
      </c>
      <c r="C11" s="12" t="s">
        <v>14</v>
      </c>
      <c r="D11" s="12">
        <v>10.668662966820335</v>
      </c>
      <c r="E11" s="12">
        <v>13.3</v>
      </c>
      <c r="F11" s="12">
        <v>20</v>
      </c>
      <c r="G11" s="12">
        <v>13.3</v>
      </c>
      <c r="H11" s="12">
        <v>11.540073529411764</v>
      </c>
      <c r="I11" s="12" t="s">
        <v>62</v>
      </c>
      <c r="J11" s="12">
        <v>46293</v>
      </c>
      <c r="K11">
        <v>46293</v>
      </c>
    </row>
    <row r="12" spans="1:11" hidden="1" x14ac:dyDescent="0.25">
      <c r="A12" s="12" t="s">
        <v>58</v>
      </c>
      <c r="B12" s="12" t="s">
        <v>38</v>
      </c>
      <c r="C12" s="12" t="s">
        <v>14</v>
      </c>
      <c r="D12" s="12">
        <v>3.388720061532287</v>
      </c>
      <c r="E12" s="12">
        <v>7.6</v>
      </c>
      <c r="F12" s="12">
        <v>20</v>
      </c>
      <c r="G12" s="12">
        <v>7.6</v>
      </c>
      <c r="H12" s="12">
        <v>4.1513840830449817</v>
      </c>
      <c r="I12" s="12" t="s">
        <v>62</v>
      </c>
      <c r="J12" s="12">
        <v>46293</v>
      </c>
      <c r="K12">
        <v>46293</v>
      </c>
    </row>
    <row r="13" spans="1:11" hidden="1" x14ac:dyDescent="0.25">
      <c r="A13" s="12" t="s">
        <v>58</v>
      </c>
      <c r="B13" s="12" t="s">
        <v>38</v>
      </c>
      <c r="C13" s="12" t="s">
        <v>15</v>
      </c>
      <c r="D13" s="12">
        <v>1.2801831343566421</v>
      </c>
      <c r="E13" s="12">
        <v>0.95</v>
      </c>
      <c r="F13" s="12">
        <v>20</v>
      </c>
      <c r="G13" s="12">
        <v>0.95</v>
      </c>
      <c r="H13" s="12">
        <v>0.94117647058823517</v>
      </c>
      <c r="I13" s="12" t="s">
        <v>61</v>
      </c>
      <c r="J13" s="12">
        <v>46293</v>
      </c>
      <c r="K13">
        <v>46293</v>
      </c>
    </row>
    <row r="14" spans="1:11" hidden="1" x14ac:dyDescent="0.25">
      <c r="A14" s="12" t="s">
        <v>58</v>
      </c>
      <c r="B14" s="12" t="s">
        <v>37</v>
      </c>
      <c r="C14" s="12" t="s">
        <v>15</v>
      </c>
      <c r="D14" s="12">
        <v>4.1033319103155144</v>
      </c>
      <c r="E14" s="12">
        <v>4.75</v>
      </c>
      <c r="F14" s="12">
        <v>20</v>
      </c>
      <c r="G14" s="12">
        <v>4.75</v>
      </c>
      <c r="H14" s="12">
        <v>4.6875</v>
      </c>
      <c r="I14" s="12" t="s">
        <v>65</v>
      </c>
      <c r="J14" s="12">
        <v>46294</v>
      </c>
      <c r="K14">
        <v>46294</v>
      </c>
    </row>
    <row r="15" spans="1:11" x14ac:dyDescent="0.25">
      <c r="A15" s="12" t="s">
        <v>58</v>
      </c>
      <c r="B15" s="12" t="s">
        <v>38</v>
      </c>
      <c r="C15" s="12" t="s">
        <v>13</v>
      </c>
      <c r="D15" s="12">
        <v>5.8508369812393424</v>
      </c>
      <c r="E15" s="12">
        <v>4.75</v>
      </c>
      <c r="F15" s="12">
        <v>20</v>
      </c>
      <c r="G15" s="12">
        <v>4.75</v>
      </c>
      <c r="H15" s="12">
        <v>2.6443014705882359</v>
      </c>
      <c r="I15" s="12" t="s">
        <v>64</v>
      </c>
      <c r="J15" s="12">
        <v>46294</v>
      </c>
      <c r="K15">
        <v>46294</v>
      </c>
    </row>
    <row r="16" spans="1:11" x14ac:dyDescent="0.25">
      <c r="A16" s="12" t="s">
        <v>58</v>
      </c>
      <c r="B16" s="12" t="s">
        <v>148</v>
      </c>
      <c r="C16" s="12" t="s">
        <v>13</v>
      </c>
      <c r="D16" s="12">
        <v>13.625000000000002</v>
      </c>
      <c r="E16" s="12">
        <v>17.099999999999998</v>
      </c>
      <c r="F16" s="12">
        <v>20</v>
      </c>
      <c r="G16" s="12">
        <v>17.099999999999998</v>
      </c>
      <c r="H16" s="12">
        <v>11.395132211538447</v>
      </c>
      <c r="I16" s="12" t="s">
        <v>64</v>
      </c>
      <c r="J16" s="12">
        <v>46294</v>
      </c>
      <c r="K16">
        <v>46294</v>
      </c>
    </row>
    <row r="17" spans="1:11" hidden="1" x14ac:dyDescent="0.25">
      <c r="A17" s="12" t="s">
        <v>58</v>
      </c>
      <c r="B17" s="12" t="s">
        <v>38</v>
      </c>
      <c r="C17" s="12" t="s">
        <v>15</v>
      </c>
      <c r="D17" s="12">
        <v>1.2801831343566421</v>
      </c>
      <c r="E17" s="12">
        <v>0.95</v>
      </c>
      <c r="F17" s="12">
        <v>20</v>
      </c>
      <c r="G17" s="12">
        <v>0.95</v>
      </c>
      <c r="H17" s="12">
        <v>0.94117647058823517</v>
      </c>
      <c r="I17" s="12" t="s">
        <v>65</v>
      </c>
      <c r="J17" s="12">
        <v>46294</v>
      </c>
      <c r="K17">
        <v>46294</v>
      </c>
    </row>
    <row r="18" spans="1:11" x14ac:dyDescent="0.25">
      <c r="A18" s="12" t="s">
        <v>58</v>
      </c>
      <c r="B18" s="12" t="s">
        <v>37</v>
      </c>
      <c r="C18" s="12" t="s">
        <v>13</v>
      </c>
      <c r="D18" s="12">
        <v>12.665617829840556</v>
      </c>
      <c r="E18" s="12">
        <v>19</v>
      </c>
      <c r="F18" s="12">
        <v>20</v>
      </c>
      <c r="G18" s="12">
        <v>19</v>
      </c>
      <c r="H18" s="12">
        <v>12.162181020733652</v>
      </c>
      <c r="I18" s="12" t="s">
        <v>64</v>
      </c>
      <c r="J18" s="12">
        <v>46294</v>
      </c>
      <c r="K18">
        <v>46294</v>
      </c>
    </row>
    <row r="19" spans="1:11" hidden="1" x14ac:dyDescent="0.25">
      <c r="A19" s="12" t="s">
        <v>58</v>
      </c>
      <c r="B19" s="12" t="s">
        <v>57</v>
      </c>
      <c r="C19" s="12" t="s">
        <v>15</v>
      </c>
      <c r="D19" s="12">
        <v>0</v>
      </c>
      <c r="E19" s="12">
        <v>1.9</v>
      </c>
      <c r="F19" s="12">
        <v>18</v>
      </c>
      <c r="G19" s="12">
        <v>1.9</v>
      </c>
      <c r="H19" s="12">
        <v>0</v>
      </c>
      <c r="I19" s="12" t="s">
        <v>65</v>
      </c>
      <c r="J19" s="12">
        <v>46294</v>
      </c>
      <c r="K19">
        <v>46294</v>
      </c>
    </row>
    <row r="20" spans="1:11" hidden="1" x14ac:dyDescent="0.25">
      <c r="A20" s="12" t="s">
        <v>58</v>
      </c>
      <c r="B20" s="12" t="s">
        <v>148</v>
      </c>
      <c r="C20" s="12" t="s">
        <v>14</v>
      </c>
      <c r="D20" s="12">
        <v>2.8235294117647061</v>
      </c>
      <c r="E20" s="12">
        <v>6.6499999999999995</v>
      </c>
      <c r="F20" s="12">
        <v>20</v>
      </c>
      <c r="G20" s="12">
        <v>6.6499999999999995</v>
      </c>
      <c r="H20" s="12">
        <v>3.2163461538461537</v>
      </c>
      <c r="I20" s="12" t="s">
        <v>66</v>
      </c>
      <c r="J20" s="12">
        <v>46294</v>
      </c>
      <c r="K20">
        <v>46294</v>
      </c>
    </row>
    <row r="21" spans="1:11" hidden="1" x14ac:dyDescent="0.25">
      <c r="A21" s="12" t="s">
        <v>58</v>
      </c>
      <c r="B21" s="12" t="s">
        <v>148</v>
      </c>
      <c r="C21" s="12" t="s">
        <v>15</v>
      </c>
      <c r="D21" s="12">
        <v>0</v>
      </c>
      <c r="E21" s="12">
        <v>3.8</v>
      </c>
      <c r="F21" s="12">
        <v>20</v>
      </c>
      <c r="G21" s="12">
        <v>3.8</v>
      </c>
      <c r="H21" s="12">
        <v>0</v>
      </c>
      <c r="I21" s="12" t="s">
        <v>65</v>
      </c>
      <c r="J21" s="12">
        <v>46294</v>
      </c>
      <c r="K21">
        <v>46294</v>
      </c>
    </row>
    <row r="22" spans="1:11" hidden="1" x14ac:dyDescent="0.25">
      <c r="A22" s="12" t="s">
        <v>58</v>
      </c>
      <c r="B22" s="12" t="s">
        <v>38</v>
      </c>
      <c r="C22" s="12" t="s">
        <v>14</v>
      </c>
      <c r="D22" s="12">
        <v>3.388720061532287</v>
      </c>
      <c r="E22" s="12">
        <v>7.6</v>
      </c>
      <c r="F22" s="12">
        <v>20</v>
      </c>
      <c r="G22" s="12">
        <v>7.6</v>
      </c>
      <c r="H22" s="12">
        <v>4.0925605536332172</v>
      </c>
      <c r="I22" s="12" t="s">
        <v>66</v>
      </c>
      <c r="J22" s="12">
        <v>46294</v>
      </c>
      <c r="K22">
        <v>46294</v>
      </c>
    </row>
    <row r="23" spans="1:11" x14ac:dyDescent="0.25">
      <c r="A23" s="12" t="s">
        <v>58</v>
      </c>
      <c r="B23" s="12" t="s">
        <v>57</v>
      </c>
      <c r="C23" s="12" t="s">
        <v>13</v>
      </c>
      <c r="D23" s="12">
        <v>4.3768873710032166</v>
      </c>
      <c r="E23" s="12">
        <v>2.8499999999999996</v>
      </c>
      <c r="F23" s="12">
        <v>18</v>
      </c>
      <c r="G23" s="12">
        <v>2.8499999999999996</v>
      </c>
      <c r="H23" s="12">
        <v>3.7647058823529393</v>
      </c>
      <c r="I23" s="12" t="s">
        <v>64</v>
      </c>
      <c r="J23" s="12">
        <v>46294</v>
      </c>
      <c r="K23">
        <v>46294</v>
      </c>
    </row>
    <row r="24" spans="1:11" hidden="1" x14ac:dyDescent="0.25">
      <c r="A24" s="12" t="s">
        <v>58</v>
      </c>
      <c r="B24" s="12" t="s">
        <v>57</v>
      </c>
      <c r="C24" s="12" t="s">
        <v>14</v>
      </c>
      <c r="D24" s="12">
        <v>3.0895675560022688</v>
      </c>
      <c r="E24" s="12">
        <v>6.6499999999999995</v>
      </c>
      <c r="F24" s="12">
        <v>18</v>
      </c>
      <c r="G24" s="12">
        <v>6.6499999999999995</v>
      </c>
      <c r="H24" s="12">
        <v>3.7508650519031144</v>
      </c>
      <c r="I24" s="12" t="s">
        <v>66</v>
      </c>
      <c r="J24" s="12">
        <v>46294</v>
      </c>
      <c r="K24">
        <v>46294</v>
      </c>
    </row>
    <row r="25" spans="1:11" hidden="1" x14ac:dyDescent="0.25">
      <c r="A25" s="12" t="s">
        <v>58</v>
      </c>
      <c r="B25" s="12" t="s">
        <v>37</v>
      </c>
      <c r="C25" s="12" t="s">
        <v>14</v>
      </c>
      <c r="D25" s="12">
        <v>10.668662966820335</v>
      </c>
      <c r="E25" s="12">
        <v>12.35</v>
      </c>
      <c r="F25" s="12">
        <v>20</v>
      </c>
      <c r="G25" s="12">
        <v>12.35</v>
      </c>
      <c r="H25" s="12">
        <v>11.448639354066986</v>
      </c>
      <c r="I25" s="12" t="s">
        <v>66</v>
      </c>
      <c r="J25" s="12">
        <v>46294</v>
      </c>
      <c r="K25">
        <v>46294</v>
      </c>
    </row>
    <row r="26" spans="1:11" x14ac:dyDescent="0.25">
      <c r="A26" s="12" t="s">
        <v>58</v>
      </c>
      <c r="B26" s="12" t="s">
        <v>38</v>
      </c>
      <c r="C26" s="12" t="s">
        <v>13</v>
      </c>
      <c r="D26" s="12">
        <v>4.6506652927799896</v>
      </c>
      <c r="E26" s="12">
        <v>5.6999999999999993</v>
      </c>
      <c r="F26" s="12">
        <v>20</v>
      </c>
      <c r="G26" s="12">
        <v>5.6999999999999993</v>
      </c>
      <c r="H26" s="12">
        <v>2.9062500000000004</v>
      </c>
      <c r="I26" s="12" t="s">
        <v>67</v>
      </c>
      <c r="J26" s="12">
        <v>46295</v>
      </c>
      <c r="K26">
        <v>46295</v>
      </c>
    </row>
    <row r="27" spans="1:11" x14ac:dyDescent="0.25">
      <c r="A27" s="12" t="s">
        <v>58</v>
      </c>
      <c r="B27" s="12" t="s">
        <v>148</v>
      </c>
      <c r="C27" s="12" t="s">
        <v>13</v>
      </c>
      <c r="D27" s="12">
        <v>13.687500000000004</v>
      </c>
      <c r="E27" s="12">
        <v>17.099999999999998</v>
      </c>
      <c r="F27" s="12">
        <v>20</v>
      </c>
      <c r="G27" s="12">
        <v>17.099999999999998</v>
      </c>
      <c r="H27" s="12">
        <v>11.570489253393651</v>
      </c>
      <c r="I27" s="12" t="s">
        <v>67</v>
      </c>
      <c r="J27" s="12">
        <v>46295</v>
      </c>
      <c r="K27">
        <v>46295</v>
      </c>
    </row>
    <row r="28" spans="1:11" x14ac:dyDescent="0.25">
      <c r="A28" s="12" t="s">
        <v>58</v>
      </c>
      <c r="B28" s="12" t="s">
        <v>37</v>
      </c>
      <c r="C28" s="12" t="s">
        <v>13</v>
      </c>
      <c r="D28" s="12">
        <v>12.227929092740233</v>
      </c>
      <c r="E28" s="12">
        <v>19</v>
      </c>
      <c r="F28" s="12">
        <v>20</v>
      </c>
      <c r="G28" s="12">
        <v>19</v>
      </c>
      <c r="H28" s="12">
        <v>11.308823529411764</v>
      </c>
      <c r="I28" s="12" t="s">
        <v>67</v>
      </c>
      <c r="J28" s="12">
        <v>46295</v>
      </c>
      <c r="K28">
        <v>46295</v>
      </c>
    </row>
    <row r="29" spans="1:11" x14ac:dyDescent="0.25">
      <c r="A29" s="12" t="s">
        <v>58</v>
      </c>
      <c r="B29" s="12" t="s">
        <v>57</v>
      </c>
      <c r="C29" s="12" t="s">
        <v>13</v>
      </c>
      <c r="D29" s="12">
        <v>4.3768873710032157</v>
      </c>
      <c r="E29" s="12">
        <v>1.9</v>
      </c>
      <c r="F29" s="12">
        <v>18</v>
      </c>
      <c r="G29" s="12">
        <v>1.9</v>
      </c>
      <c r="H29" s="12">
        <v>2.8235294117647056</v>
      </c>
      <c r="I29" s="12" t="s">
        <v>67</v>
      </c>
      <c r="J29" s="12">
        <v>46295</v>
      </c>
      <c r="K29">
        <v>46295</v>
      </c>
    </row>
    <row r="30" spans="1:11" hidden="1" x14ac:dyDescent="0.25">
      <c r="A30" s="12" t="s">
        <v>58</v>
      </c>
      <c r="B30" s="12" t="s">
        <v>148</v>
      </c>
      <c r="C30" s="12" t="s">
        <v>15</v>
      </c>
      <c r="D30" s="12">
        <v>0</v>
      </c>
      <c r="E30" s="12">
        <v>5.6999999999999993</v>
      </c>
      <c r="F30" s="12">
        <v>20</v>
      </c>
      <c r="G30" s="12">
        <v>5.6999999999999993</v>
      </c>
      <c r="H30" s="12">
        <v>0</v>
      </c>
      <c r="I30" s="12" t="s">
        <v>68</v>
      </c>
      <c r="J30" s="12">
        <v>46295</v>
      </c>
      <c r="K30">
        <v>46295</v>
      </c>
    </row>
    <row r="31" spans="1:11" hidden="1" x14ac:dyDescent="0.25">
      <c r="A31" s="12" t="s">
        <v>58</v>
      </c>
      <c r="B31" s="12" t="s">
        <v>37</v>
      </c>
      <c r="C31" s="12" t="s">
        <v>15</v>
      </c>
      <c r="D31" s="12">
        <v>4.1033319103155144</v>
      </c>
      <c r="E31" s="12">
        <v>4.75</v>
      </c>
      <c r="F31" s="12">
        <v>20</v>
      </c>
      <c r="G31" s="12">
        <v>4.75</v>
      </c>
      <c r="H31" s="12">
        <v>4.6875</v>
      </c>
      <c r="I31" s="12" t="s">
        <v>68</v>
      </c>
      <c r="J31" s="12">
        <v>46295</v>
      </c>
      <c r="K31">
        <v>46295</v>
      </c>
    </row>
    <row r="32" spans="1:11" hidden="1" x14ac:dyDescent="0.25">
      <c r="A32" s="12" t="s">
        <v>58</v>
      </c>
      <c r="B32" s="12" t="s">
        <v>37</v>
      </c>
      <c r="C32" s="12" t="s">
        <v>14</v>
      </c>
      <c r="D32" s="12">
        <v>10.504529690407711</v>
      </c>
      <c r="E32" s="12">
        <v>11.4</v>
      </c>
      <c r="F32" s="12">
        <v>20</v>
      </c>
      <c r="G32" s="12">
        <v>11.4</v>
      </c>
      <c r="H32" s="12">
        <v>11.253676470588236</v>
      </c>
      <c r="I32" s="12" t="s">
        <v>69</v>
      </c>
      <c r="J32" s="12">
        <v>46295</v>
      </c>
      <c r="K32">
        <v>46295</v>
      </c>
    </row>
    <row r="33" spans="1:11" hidden="1" x14ac:dyDescent="0.25">
      <c r="A33" s="12" t="s">
        <v>58</v>
      </c>
      <c r="B33" s="12" t="s">
        <v>57</v>
      </c>
      <c r="C33" s="12" t="s">
        <v>15</v>
      </c>
      <c r="D33" s="12">
        <v>0</v>
      </c>
      <c r="E33" s="12">
        <v>3.8</v>
      </c>
      <c r="F33" s="12">
        <v>18</v>
      </c>
      <c r="G33" s="12">
        <v>3.8</v>
      </c>
      <c r="H33" s="12">
        <v>0</v>
      </c>
      <c r="I33" s="12" t="s">
        <v>68</v>
      </c>
      <c r="J33" s="12">
        <v>46295</v>
      </c>
      <c r="K33">
        <v>46295</v>
      </c>
    </row>
    <row r="34" spans="1:11" hidden="1" x14ac:dyDescent="0.25">
      <c r="A34" s="12" t="s">
        <v>58</v>
      </c>
      <c r="B34" s="12" t="s">
        <v>148</v>
      </c>
      <c r="C34" s="12" t="s">
        <v>14</v>
      </c>
      <c r="D34" s="12">
        <v>3.5294117647058822</v>
      </c>
      <c r="E34" s="12">
        <v>7.6</v>
      </c>
      <c r="F34" s="12">
        <v>20</v>
      </c>
      <c r="G34" s="12">
        <v>7.6</v>
      </c>
      <c r="H34" s="12">
        <v>3.8160101144530199</v>
      </c>
      <c r="I34" s="12" t="s">
        <v>69</v>
      </c>
      <c r="J34" s="12">
        <v>46295</v>
      </c>
      <c r="K34">
        <v>46295</v>
      </c>
    </row>
    <row r="35" spans="1:11" hidden="1" x14ac:dyDescent="0.25">
      <c r="A35" s="12" t="s">
        <v>58</v>
      </c>
      <c r="B35" s="12" t="s">
        <v>57</v>
      </c>
      <c r="C35" s="12" t="s">
        <v>14</v>
      </c>
      <c r="D35" s="12">
        <v>3.8619594450028361</v>
      </c>
      <c r="E35" s="12">
        <v>6.6499999999999995</v>
      </c>
      <c r="F35" s="12">
        <v>18</v>
      </c>
      <c r="G35" s="12">
        <v>6.6499999999999995</v>
      </c>
      <c r="H35" s="12">
        <v>4.577854671280277</v>
      </c>
      <c r="I35" s="12" t="s">
        <v>69</v>
      </c>
      <c r="J35" s="12">
        <v>46295</v>
      </c>
      <c r="K35">
        <v>46295</v>
      </c>
    </row>
    <row r="36" spans="1:11" hidden="1" x14ac:dyDescent="0.25">
      <c r="A36" s="12" t="s">
        <v>58</v>
      </c>
      <c r="B36" s="12" t="s">
        <v>38</v>
      </c>
      <c r="C36" s="12" t="s">
        <v>14</v>
      </c>
      <c r="D36" s="12">
        <v>3.9535067384543359</v>
      </c>
      <c r="E36" s="12">
        <v>7.6</v>
      </c>
      <c r="F36" s="12">
        <v>20</v>
      </c>
      <c r="G36" s="12">
        <v>7.6</v>
      </c>
      <c r="H36" s="12">
        <v>4.2577854671280253</v>
      </c>
      <c r="I36" s="12" t="s">
        <v>69</v>
      </c>
      <c r="J36" s="12">
        <v>46295</v>
      </c>
      <c r="K36">
        <v>46295</v>
      </c>
    </row>
    <row r="37" spans="1:11" hidden="1" x14ac:dyDescent="0.25">
      <c r="A37" s="12" t="s">
        <v>58</v>
      </c>
      <c r="B37" s="12" t="s">
        <v>38</v>
      </c>
      <c r="C37" s="12" t="s">
        <v>15</v>
      </c>
      <c r="D37" s="12">
        <v>1.2801831343566421</v>
      </c>
      <c r="E37" s="12">
        <v>0.95</v>
      </c>
      <c r="F37" s="12">
        <v>20</v>
      </c>
      <c r="G37" s="12">
        <v>0.95</v>
      </c>
      <c r="H37" s="12">
        <v>0.94117647058823517</v>
      </c>
      <c r="I37" s="12" t="s">
        <v>68</v>
      </c>
      <c r="J37" s="12">
        <v>46295</v>
      </c>
      <c r="K37">
        <v>46295</v>
      </c>
    </row>
    <row r="38" spans="1:11" x14ac:dyDescent="0.25">
      <c r="A38" s="12" t="s">
        <v>58</v>
      </c>
      <c r="B38" s="12" t="s">
        <v>37</v>
      </c>
      <c r="C38" s="12" t="s">
        <v>13</v>
      </c>
      <c r="D38" s="12">
        <v>11.407262710677127</v>
      </c>
      <c r="E38" s="12">
        <v>17.099999999999998</v>
      </c>
      <c r="F38" s="12">
        <v>20</v>
      </c>
      <c r="G38" s="12">
        <v>17.099999999999998</v>
      </c>
      <c r="H38" s="12">
        <v>12.09375</v>
      </c>
      <c r="I38" s="12" t="s">
        <v>70</v>
      </c>
      <c r="J38" s="12">
        <v>46296</v>
      </c>
      <c r="K38">
        <v>46296</v>
      </c>
    </row>
    <row r="39" spans="1:11" hidden="1" x14ac:dyDescent="0.25">
      <c r="A39" s="12" t="s">
        <v>58</v>
      </c>
      <c r="B39" s="12" t="s">
        <v>148</v>
      </c>
      <c r="C39" s="12" t="s">
        <v>14</v>
      </c>
      <c r="D39" s="12">
        <v>3.5294117647058827</v>
      </c>
      <c r="E39" s="12">
        <v>6.6499999999999995</v>
      </c>
      <c r="F39" s="12">
        <v>20</v>
      </c>
      <c r="G39" s="12">
        <v>6.6499999999999995</v>
      </c>
      <c r="H39" s="12">
        <v>3.2187250465797179</v>
      </c>
      <c r="I39" s="12" t="s">
        <v>71</v>
      </c>
      <c r="J39" s="12">
        <v>46296</v>
      </c>
      <c r="K39">
        <v>46296</v>
      </c>
    </row>
    <row r="40" spans="1:11" x14ac:dyDescent="0.25">
      <c r="A40" s="12" t="s">
        <v>58</v>
      </c>
      <c r="B40" s="12" t="s">
        <v>57</v>
      </c>
      <c r="C40" s="12" t="s">
        <v>13</v>
      </c>
      <c r="D40" s="12">
        <v>3.5015098968025731</v>
      </c>
      <c r="E40" s="12">
        <v>3.8</v>
      </c>
      <c r="F40" s="12">
        <v>18</v>
      </c>
      <c r="G40" s="12">
        <v>3.8</v>
      </c>
      <c r="H40" s="12">
        <v>3.7647058823529393</v>
      </c>
      <c r="I40" s="12" t="s">
        <v>70</v>
      </c>
      <c r="J40" s="12">
        <v>46296</v>
      </c>
      <c r="K40">
        <v>46296</v>
      </c>
    </row>
    <row r="41" spans="1:11" x14ac:dyDescent="0.25">
      <c r="A41" s="12" t="s">
        <v>58</v>
      </c>
      <c r="B41" s="12" t="s">
        <v>148</v>
      </c>
      <c r="C41" s="12" t="s">
        <v>13</v>
      </c>
      <c r="D41" s="12">
        <v>14.812500000000004</v>
      </c>
      <c r="E41" s="12">
        <v>14.25</v>
      </c>
      <c r="F41" s="12">
        <v>20</v>
      </c>
      <c r="G41" s="12">
        <v>14.25</v>
      </c>
      <c r="H41" s="12">
        <v>10.767604638009049</v>
      </c>
      <c r="I41" s="12" t="s">
        <v>70</v>
      </c>
      <c r="J41" s="12">
        <v>46296</v>
      </c>
      <c r="K41">
        <v>46296</v>
      </c>
    </row>
    <row r="42" spans="1:11" x14ac:dyDescent="0.25">
      <c r="A42" s="12" t="s">
        <v>58</v>
      </c>
      <c r="B42" s="12" t="s">
        <v>38</v>
      </c>
      <c r="C42" s="12" t="s">
        <v>13</v>
      </c>
      <c r="D42" s="12">
        <v>6.000858442296761</v>
      </c>
      <c r="E42" s="12">
        <v>5.6999999999999993</v>
      </c>
      <c r="F42" s="12">
        <v>20</v>
      </c>
      <c r="G42" s="12">
        <v>5.6999999999999993</v>
      </c>
      <c r="H42" s="12">
        <v>3.0007739938080498</v>
      </c>
      <c r="I42" s="12" t="s">
        <v>70</v>
      </c>
      <c r="J42" s="12">
        <v>46296</v>
      </c>
      <c r="K42">
        <v>46296</v>
      </c>
    </row>
    <row r="43" spans="1:11" hidden="1" x14ac:dyDescent="0.25">
      <c r="A43" s="12" t="s">
        <v>58</v>
      </c>
      <c r="B43" s="12" t="s">
        <v>37</v>
      </c>
      <c r="C43" s="12" t="s">
        <v>15</v>
      </c>
      <c r="D43" s="12">
        <v>4.1033319103155144</v>
      </c>
      <c r="E43" s="12">
        <v>4.75</v>
      </c>
      <c r="F43" s="12">
        <v>20</v>
      </c>
      <c r="G43" s="12">
        <v>4.75</v>
      </c>
      <c r="H43" s="12">
        <v>4.6875</v>
      </c>
      <c r="I43" s="12" t="s">
        <v>72</v>
      </c>
      <c r="J43" s="12">
        <v>46296</v>
      </c>
      <c r="K43">
        <v>46296</v>
      </c>
    </row>
    <row r="44" spans="1:11" hidden="1" x14ac:dyDescent="0.25">
      <c r="A44" s="12" t="s">
        <v>58</v>
      </c>
      <c r="B44" s="12" t="s">
        <v>57</v>
      </c>
      <c r="C44" s="12" t="s">
        <v>15</v>
      </c>
      <c r="D44" s="12">
        <v>0</v>
      </c>
      <c r="E44" s="12">
        <v>0</v>
      </c>
      <c r="F44" s="12">
        <v>18</v>
      </c>
      <c r="G44" s="12">
        <v>0</v>
      </c>
      <c r="H44" s="12">
        <v>0</v>
      </c>
      <c r="I44" s="12" t="s">
        <v>72</v>
      </c>
      <c r="J44" s="12">
        <v>46296</v>
      </c>
      <c r="K44">
        <v>46296</v>
      </c>
    </row>
    <row r="45" spans="1:11" hidden="1" x14ac:dyDescent="0.25">
      <c r="A45" s="12" t="s">
        <v>58</v>
      </c>
      <c r="B45" s="12" t="s">
        <v>38</v>
      </c>
      <c r="C45" s="12" t="s">
        <v>15</v>
      </c>
      <c r="D45" s="12">
        <v>1.2801831343566421</v>
      </c>
      <c r="E45" s="12">
        <v>0.95</v>
      </c>
      <c r="F45" s="12">
        <v>20</v>
      </c>
      <c r="G45" s="12">
        <v>0.95</v>
      </c>
      <c r="H45" s="12">
        <v>0.94117647058823517</v>
      </c>
      <c r="I45" s="12" t="s">
        <v>72</v>
      </c>
      <c r="J45" s="12">
        <v>46296</v>
      </c>
      <c r="K45">
        <v>46296</v>
      </c>
    </row>
    <row r="46" spans="1:11" hidden="1" x14ac:dyDescent="0.25">
      <c r="A46" s="12" t="s">
        <v>58</v>
      </c>
      <c r="B46" s="12" t="s">
        <v>148</v>
      </c>
      <c r="C46" s="12" t="s">
        <v>15</v>
      </c>
      <c r="D46" s="12">
        <v>0</v>
      </c>
      <c r="E46" s="12">
        <v>5.6999999999999993</v>
      </c>
      <c r="F46" s="12">
        <v>20</v>
      </c>
      <c r="G46" s="12">
        <v>5.6999999999999993</v>
      </c>
      <c r="H46" s="12">
        <v>0</v>
      </c>
      <c r="I46" s="12" t="s">
        <v>72</v>
      </c>
      <c r="J46" s="12">
        <v>46296</v>
      </c>
      <c r="K46">
        <v>46296</v>
      </c>
    </row>
    <row r="47" spans="1:11" hidden="1" x14ac:dyDescent="0.25">
      <c r="A47" s="12" t="s">
        <v>58</v>
      </c>
      <c r="B47" s="12" t="s">
        <v>37</v>
      </c>
      <c r="C47" s="12" t="s">
        <v>14</v>
      </c>
      <c r="D47" s="12">
        <v>10.668662966820335</v>
      </c>
      <c r="E47" s="12">
        <v>13.3</v>
      </c>
      <c r="F47" s="12">
        <v>20</v>
      </c>
      <c r="G47" s="12">
        <v>13.3</v>
      </c>
      <c r="H47" s="12">
        <v>11.25</v>
      </c>
      <c r="I47" s="12" t="s">
        <v>71</v>
      </c>
      <c r="J47" s="12">
        <v>46296</v>
      </c>
      <c r="K47">
        <v>46296</v>
      </c>
    </row>
    <row r="48" spans="1:11" hidden="1" x14ac:dyDescent="0.25">
      <c r="A48" s="12" t="s">
        <v>58</v>
      </c>
      <c r="B48" s="12" t="s">
        <v>38</v>
      </c>
      <c r="C48" s="12" t="s">
        <v>14</v>
      </c>
      <c r="D48" s="12">
        <v>3.5299167307627997</v>
      </c>
      <c r="E48" s="12">
        <v>6.6499999999999995</v>
      </c>
      <c r="F48" s="12">
        <v>20</v>
      </c>
      <c r="G48" s="12">
        <v>6.6499999999999995</v>
      </c>
      <c r="H48" s="12">
        <v>3.0511746494263332</v>
      </c>
      <c r="I48" s="12" t="s">
        <v>71</v>
      </c>
      <c r="J48" s="12">
        <v>46296</v>
      </c>
      <c r="K48">
        <v>46296</v>
      </c>
    </row>
    <row r="49" spans="1:11" hidden="1" x14ac:dyDescent="0.25">
      <c r="A49" s="12" t="s">
        <v>58</v>
      </c>
      <c r="B49" s="12" t="s">
        <v>57</v>
      </c>
      <c r="C49" s="12" t="s">
        <v>14</v>
      </c>
      <c r="D49" s="12">
        <v>3.8619594450028369</v>
      </c>
      <c r="E49" s="12">
        <v>6.6499999999999995</v>
      </c>
      <c r="F49" s="12">
        <v>18</v>
      </c>
      <c r="G49" s="12">
        <v>6.6499999999999995</v>
      </c>
      <c r="H49" s="12">
        <v>3.7508650519031144</v>
      </c>
      <c r="I49" s="12" t="s">
        <v>71</v>
      </c>
      <c r="J49" s="12">
        <v>46296</v>
      </c>
      <c r="K49">
        <v>46296</v>
      </c>
    </row>
    <row r="50" spans="1:11" x14ac:dyDescent="0.25">
      <c r="A50" s="12" t="s">
        <v>58</v>
      </c>
      <c r="B50" s="12" t="s">
        <v>38</v>
      </c>
      <c r="C50" s="12" t="s">
        <v>13</v>
      </c>
      <c r="D50" s="12">
        <v>4.8006867538374083</v>
      </c>
      <c r="E50" s="12">
        <v>4.75</v>
      </c>
      <c r="F50" s="12">
        <v>20</v>
      </c>
      <c r="G50" s="12">
        <v>4.75</v>
      </c>
      <c r="H50" s="12">
        <v>2.882352941176471</v>
      </c>
      <c r="I50" s="12" t="s">
        <v>73</v>
      </c>
      <c r="J50" s="12">
        <v>46297</v>
      </c>
      <c r="K50">
        <v>46297</v>
      </c>
    </row>
    <row r="51" spans="1:11" hidden="1" x14ac:dyDescent="0.25">
      <c r="A51" s="12" t="s">
        <v>58</v>
      </c>
      <c r="B51" s="12" t="s">
        <v>37</v>
      </c>
      <c r="C51" s="12" t="s">
        <v>14</v>
      </c>
      <c r="D51" s="12">
        <v>10.723374058957878</v>
      </c>
      <c r="E51" s="12">
        <v>12.35</v>
      </c>
      <c r="F51" s="12">
        <v>20</v>
      </c>
      <c r="G51" s="12">
        <v>12.35</v>
      </c>
      <c r="H51" s="12">
        <v>12.628676470588234</v>
      </c>
      <c r="I51" s="12" t="s">
        <v>75</v>
      </c>
      <c r="J51" s="12">
        <v>46297</v>
      </c>
      <c r="K51">
        <v>46297</v>
      </c>
    </row>
    <row r="52" spans="1:11" hidden="1" x14ac:dyDescent="0.25">
      <c r="A52" s="12" t="s">
        <v>58</v>
      </c>
      <c r="B52" s="12" t="s">
        <v>57</v>
      </c>
      <c r="C52" s="12" t="s">
        <v>15</v>
      </c>
      <c r="D52" s="12">
        <v>0</v>
      </c>
      <c r="E52" s="12">
        <v>1.9</v>
      </c>
      <c r="F52" s="12">
        <v>18</v>
      </c>
      <c r="G52" s="12">
        <v>1.9</v>
      </c>
      <c r="H52" s="12">
        <v>0</v>
      </c>
      <c r="I52" s="12" t="s">
        <v>74</v>
      </c>
      <c r="J52" s="12">
        <v>46297</v>
      </c>
      <c r="K52">
        <v>46297</v>
      </c>
    </row>
    <row r="53" spans="1:11" hidden="1" x14ac:dyDescent="0.25">
      <c r="A53" s="12" t="s">
        <v>58</v>
      </c>
      <c r="B53" s="12" t="s">
        <v>148</v>
      </c>
      <c r="C53" s="12" t="s">
        <v>15</v>
      </c>
      <c r="D53" s="12">
        <v>0</v>
      </c>
      <c r="E53" s="12">
        <v>2.8499999999999996</v>
      </c>
      <c r="F53" s="12">
        <v>20</v>
      </c>
      <c r="G53" s="12">
        <v>2.8499999999999996</v>
      </c>
      <c r="H53" s="12">
        <v>0</v>
      </c>
      <c r="I53" s="12" t="s">
        <v>74</v>
      </c>
      <c r="J53" s="12">
        <v>46297</v>
      </c>
      <c r="K53">
        <v>46297</v>
      </c>
    </row>
    <row r="54" spans="1:11" hidden="1" x14ac:dyDescent="0.25">
      <c r="A54" s="12" t="s">
        <v>58</v>
      </c>
      <c r="B54" s="12" t="s">
        <v>38</v>
      </c>
      <c r="C54" s="12" t="s">
        <v>15</v>
      </c>
      <c r="D54" s="12">
        <v>1.2801831343566421</v>
      </c>
      <c r="E54" s="12">
        <v>0.95</v>
      </c>
      <c r="F54" s="12">
        <v>20</v>
      </c>
      <c r="G54" s="12">
        <v>0.95</v>
      </c>
      <c r="H54" s="12">
        <v>0.94117647058823517</v>
      </c>
      <c r="I54" s="12" t="s">
        <v>74</v>
      </c>
      <c r="J54" s="12">
        <v>46297</v>
      </c>
      <c r="K54">
        <v>46297</v>
      </c>
    </row>
    <row r="55" spans="1:11" hidden="1" x14ac:dyDescent="0.25">
      <c r="A55" s="12" t="s">
        <v>58</v>
      </c>
      <c r="B55" s="12" t="s">
        <v>37</v>
      </c>
      <c r="C55" s="12" t="s">
        <v>15</v>
      </c>
      <c r="D55" s="12">
        <v>4.1033319103155144</v>
      </c>
      <c r="E55" s="12">
        <v>5.6999999999999993</v>
      </c>
      <c r="F55" s="12">
        <v>20</v>
      </c>
      <c r="G55" s="12">
        <v>5.6999999999999993</v>
      </c>
      <c r="H55" s="12">
        <v>4.6875</v>
      </c>
      <c r="I55" s="12" t="s">
        <v>74</v>
      </c>
      <c r="J55" s="12">
        <v>46297</v>
      </c>
      <c r="K55">
        <v>46297</v>
      </c>
    </row>
    <row r="56" spans="1:11" x14ac:dyDescent="0.25">
      <c r="A56" s="12" t="s">
        <v>58</v>
      </c>
      <c r="B56" s="12" t="s">
        <v>148</v>
      </c>
      <c r="C56" s="12" t="s">
        <v>13</v>
      </c>
      <c r="D56" s="12">
        <v>12.687500000000002</v>
      </c>
      <c r="E56" s="12">
        <v>13.3</v>
      </c>
      <c r="F56" s="12">
        <v>20</v>
      </c>
      <c r="G56" s="12">
        <v>13.3</v>
      </c>
      <c r="H56" s="12">
        <v>9.4771634615384546</v>
      </c>
      <c r="I56" s="12" t="s">
        <v>73</v>
      </c>
      <c r="J56" s="12">
        <v>46297</v>
      </c>
      <c r="K56">
        <v>46297</v>
      </c>
    </row>
    <row r="57" spans="1:11" x14ac:dyDescent="0.25">
      <c r="A57" s="12" t="s">
        <v>58</v>
      </c>
      <c r="B57" s="12" t="s">
        <v>37</v>
      </c>
      <c r="C57" s="12" t="s">
        <v>13</v>
      </c>
      <c r="D57" s="12">
        <v>10.668662966820335</v>
      </c>
      <c r="E57" s="12">
        <v>16.149999999999999</v>
      </c>
      <c r="F57" s="12">
        <v>20</v>
      </c>
      <c r="G57" s="12">
        <v>16.149999999999999</v>
      </c>
      <c r="H57" s="12">
        <v>10.996323529411764</v>
      </c>
      <c r="I57" s="12" t="s">
        <v>73</v>
      </c>
      <c r="J57" s="12">
        <v>46297</v>
      </c>
      <c r="K57">
        <v>46297</v>
      </c>
    </row>
    <row r="58" spans="1:11" x14ac:dyDescent="0.25">
      <c r="A58" s="12" t="s">
        <v>58</v>
      </c>
      <c r="B58" s="12" t="s">
        <v>57</v>
      </c>
      <c r="C58" s="12" t="s">
        <v>13</v>
      </c>
      <c r="D58" s="12">
        <v>3.5015098968025731</v>
      </c>
      <c r="E58" s="12">
        <v>2.8499999999999996</v>
      </c>
      <c r="F58" s="12">
        <v>18</v>
      </c>
      <c r="G58" s="12">
        <v>2.8499999999999996</v>
      </c>
      <c r="H58" s="12">
        <v>2.569852941176471</v>
      </c>
      <c r="I58" s="12" t="s">
        <v>73</v>
      </c>
      <c r="J58" s="12">
        <v>46297</v>
      </c>
      <c r="K58">
        <v>46297</v>
      </c>
    </row>
    <row r="59" spans="1:11" hidden="1" x14ac:dyDescent="0.25">
      <c r="A59" s="12" t="s">
        <v>58</v>
      </c>
      <c r="B59" s="12" t="s">
        <v>57</v>
      </c>
      <c r="C59" s="12" t="s">
        <v>14</v>
      </c>
      <c r="D59" s="12">
        <v>3.8619594450028369</v>
      </c>
      <c r="E59" s="12">
        <v>5.6999999999999993</v>
      </c>
      <c r="F59" s="12">
        <v>18</v>
      </c>
      <c r="G59" s="12">
        <v>5.6999999999999993</v>
      </c>
      <c r="H59" s="12">
        <v>3.45876585928489</v>
      </c>
      <c r="I59" s="12" t="s">
        <v>75</v>
      </c>
      <c r="J59" s="12">
        <v>46297</v>
      </c>
      <c r="K59">
        <v>46297</v>
      </c>
    </row>
    <row r="60" spans="1:11" hidden="1" x14ac:dyDescent="0.25">
      <c r="A60" s="12" t="s">
        <v>58</v>
      </c>
      <c r="B60" s="12" t="s">
        <v>38</v>
      </c>
      <c r="C60" s="12" t="s">
        <v>14</v>
      </c>
      <c r="D60" s="12">
        <v>2.2591467076881915</v>
      </c>
      <c r="E60" s="12">
        <v>5.6999999999999993</v>
      </c>
      <c r="F60" s="12">
        <v>20</v>
      </c>
      <c r="G60" s="12">
        <v>5.6999999999999993</v>
      </c>
      <c r="H60" s="12">
        <v>2.1038062283737027</v>
      </c>
      <c r="I60" s="12" t="s">
        <v>75</v>
      </c>
      <c r="J60" s="12">
        <v>46297</v>
      </c>
      <c r="K60">
        <v>46297</v>
      </c>
    </row>
    <row r="61" spans="1:11" hidden="1" x14ac:dyDescent="0.25">
      <c r="A61" s="12" t="s">
        <v>58</v>
      </c>
      <c r="B61" s="12" t="s">
        <v>148</v>
      </c>
      <c r="C61" s="12" t="s">
        <v>14</v>
      </c>
      <c r="D61" s="12">
        <v>3.5294117647058822</v>
      </c>
      <c r="E61" s="12">
        <v>5.6999999999999993</v>
      </c>
      <c r="F61" s="12">
        <v>20</v>
      </c>
      <c r="G61" s="12">
        <v>5.6999999999999993</v>
      </c>
      <c r="H61" s="12">
        <v>2.6097285067873304</v>
      </c>
      <c r="I61" s="12" t="s">
        <v>75</v>
      </c>
      <c r="J61" s="12">
        <v>46297</v>
      </c>
      <c r="K61">
        <v>46297</v>
      </c>
    </row>
    <row r="62" spans="1:11" hidden="1" x14ac:dyDescent="0.25">
      <c r="A62" s="12" t="s">
        <v>58</v>
      </c>
      <c r="B62" s="12" t="s">
        <v>37</v>
      </c>
      <c r="C62" s="12" t="s">
        <v>15</v>
      </c>
      <c r="D62" s="12">
        <v>4.1033319103155144</v>
      </c>
      <c r="E62" s="12">
        <v>4.75</v>
      </c>
      <c r="F62" s="12">
        <v>20</v>
      </c>
      <c r="G62" s="12">
        <v>4.75</v>
      </c>
      <c r="H62" s="12">
        <v>4.6875</v>
      </c>
      <c r="I62" s="12" t="s">
        <v>76</v>
      </c>
      <c r="J62" s="12">
        <v>46298</v>
      </c>
      <c r="K62">
        <v>46298</v>
      </c>
    </row>
    <row r="63" spans="1:11" hidden="1" x14ac:dyDescent="0.25">
      <c r="A63" s="12" t="s">
        <v>58</v>
      </c>
      <c r="B63" s="12" t="s">
        <v>148</v>
      </c>
      <c r="C63" s="12" t="s">
        <v>14</v>
      </c>
      <c r="D63" s="12">
        <v>2.8235294117647061</v>
      </c>
      <c r="E63" s="12">
        <v>3.8</v>
      </c>
      <c r="F63" s="12">
        <v>20</v>
      </c>
      <c r="G63" s="12">
        <v>3.8</v>
      </c>
      <c r="H63" s="12">
        <v>2.3984728506787327</v>
      </c>
      <c r="I63" s="12" t="s">
        <v>78</v>
      </c>
      <c r="J63" s="12">
        <v>46298</v>
      </c>
      <c r="K63">
        <v>46298</v>
      </c>
    </row>
    <row r="64" spans="1:11" hidden="1" x14ac:dyDescent="0.25">
      <c r="A64" s="12" t="s">
        <v>58</v>
      </c>
      <c r="B64" s="12" t="s">
        <v>57</v>
      </c>
      <c r="C64" s="12" t="s">
        <v>14</v>
      </c>
      <c r="D64" s="12">
        <v>3.8619594450028369</v>
      </c>
      <c r="E64" s="12">
        <v>3.8</v>
      </c>
      <c r="F64" s="12">
        <v>18</v>
      </c>
      <c r="G64" s="12">
        <v>3.8</v>
      </c>
      <c r="H64" s="12">
        <v>1.8754325259515572</v>
      </c>
      <c r="I64" s="12" t="s">
        <v>78</v>
      </c>
      <c r="J64" s="12">
        <v>46298</v>
      </c>
      <c r="K64">
        <v>46298</v>
      </c>
    </row>
    <row r="65" spans="1:11" hidden="1" x14ac:dyDescent="0.25">
      <c r="A65" s="12" t="s">
        <v>58</v>
      </c>
      <c r="B65" s="12" t="s">
        <v>37</v>
      </c>
      <c r="C65" s="12" t="s">
        <v>14</v>
      </c>
      <c r="D65" s="12">
        <v>10.668662966820335</v>
      </c>
      <c r="E65" s="12">
        <v>14.25</v>
      </c>
      <c r="F65" s="12">
        <v>20</v>
      </c>
      <c r="G65" s="12">
        <v>14.25</v>
      </c>
      <c r="H65" s="12">
        <v>12.278932225063937</v>
      </c>
      <c r="I65" s="12" t="s">
        <v>78</v>
      </c>
      <c r="J65" s="12">
        <v>46298</v>
      </c>
      <c r="K65">
        <v>46298</v>
      </c>
    </row>
    <row r="66" spans="1:11" hidden="1" x14ac:dyDescent="0.25">
      <c r="A66" s="12" t="s">
        <v>58</v>
      </c>
      <c r="B66" s="12" t="s">
        <v>148</v>
      </c>
      <c r="C66" s="12" t="s">
        <v>15</v>
      </c>
      <c r="D66" s="12">
        <v>0</v>
      </c>
      <c r="E66" s="12">
        <v>0.95</v>
      </c>
      <c r="F66" s="12">
        <v>20</v>
      </c>
      <c r="G66" s="12">
        <v>0.95</v>
      </c>
      <c r="H66" s="12">
        <v>0</v>
      </c>
      <c r="I66" s="12" t="s">
        <v>76</v>
      </c>
      <c r="J66" s="12">
        <v>46298</v>
      </c>
      <c r="K66">
        <v>46298</v>
      </c>
    </row>
    <row r="67" spans="1:11" hidden="1" x14ac:dyDescent="0.25">
      <c r="A67" s="12" t="s">
        <v>58</v>
      </c>
      <c r="B67" s="12" t="s">
        <v>38</v>
      </c>
      <c r="C67" s="12" t="s">
        <v>15</v>
      </c>
      <c r="D67" s="12">
        <v>1.2801831343566421</v>
      </c>
      <c r="E67" s="12">
        <v>0.95</v>
      </c>
      <c r="F67" s="12">
        <v>20</v>
      </c>
      <c r="G67" s="12">
        <v>0.95</v>
      </c>
      <c r="H67" s="12">
        <v>0.94117647058823517</v>
      </c>
      <c r="I67" s="12" t="s">
        <v>76</v>
      </c>
      <c r="J67" s="12">
        <v>46298</v>
      </c>
      <c r="K67">
        <v>46298</v>
      </c>
    </row>
    <row r="68" spans="1:11" hidden="1" x14ac:dyDescent="0.25">
      <c r="A68" s="12" t="s">
        <v>58</v>
      </c>
      <c r="B68" s="12" t="s">
        <v>38</v>
      </c>
      <c r="C68" s="12" t="s">
        <v>14</v>
      </c>
      <c r="D68" s="12">
        <v>3.388720061532287</v>
      </c>
      <c r="E68" s="12">
        <v>7.6</v>
      </c>
      <c r="F68" s="12">
        <v>20</v>
      </c>
      <c r="G68" s="12">
        <v>7.6</v>
      </c>
      <c r="H68" s="12">
        <v>3.9273356401384079</v>
      </c>
      <c r="I68" s="12" t="s">
        <v>78</v>
      </c>
      <c r="J68" s="12">
        <v>46298</v>
      </c>
      <c r="K68">
        <v>46298</v>
      </c>
    </row>
    <row r="69" spans="1:11" x14ac:dyDescent="0.25">
      <c r="A69" s="12" t="s">
        <v>58</v>
      </c>
      <c r="B69" s="12" t="s">
        <v>37</v>
      </c>
      <c r="C69" s="12" t="s">
        <v>13</v>
      </c>
      <c r="D69" s="12">
        <v>10.72337405895788</v>
      </c>
      <c r="E69" s="12">
        <v>14.25</v>
      </c>
      <c r="F69" s="12">
        <v>20</v>
      </c>
      <c r="G69" s="12">
        <v>14.25</v>
      </c>
      <c r="H69" s="12">
        <v>11.653132992327365</v>
      </c>
      <c r="I69" s="12" t="s">
        <v>77</v>
      </c>
      <c r="J69" s="12">
        <v>46298</v>
      </c>
      <c r="K69">
        <v>46298</v>
      </c>
    </row>
    <row r="70" spans="1:11" x14ac:dyDescent="0.25">
      <c r="A70" s="12" t="s">
        <v>58</v>
      </c>
      <c r="B70" s="12" t="s">
        <v>38</v>
      </c>
      <c r="C70" s="12" t="s">
        <v>13</v>
      </c>
      <c r="D70" s="12">
        <v>3.6005150653780569</v>
      </c>
      <c r="E70" s="12">
        <v>5.6999999999999993</v>
      </c>
      <c r="F70" s="12">
        <v>20</v>
      </c>
      <c r="G70" s="12">
        <v>5.6999999999999993</v>
      </c>
      <c r="H70" s="12">
        <v>3.8198529411764688</v>
      </c>
      <c r="I70" s="12" t="s">
        <v>77</v>
      </c>
      <c r="J70" s="12">
        <v>46298</v>
      </c>
      <c r="K70">
        <v>46298</v>
      </c>
    </row>
    <row r="71" spans="1:11" x14ac:dyDescent="0.25">
      <c r="A71" s="12" t="s">
        <v>58</v>
      </c>
      <c r="B71" s="12" t="s">
        <v>57</v>
      </c>
      <c r="C71" s="12" t="s">
        <v>13</v>
      </c>
      <c r="D71" s="12">
        <v>4.3768873710032166</v>
      </c>
      <c r="E71" s="12">
        <v>2.8499999999999996</v>
      </c>
      <c r="F71" s="12">
        <v>18</v>
      </c>
      <c r="G71" s="12">
        <v>2.8499999999999996</v>
      </c>
      <c r="H71" s="12">
        <v>1.8823529411764712</v>
      </c>
      <c r="I71" s="12" t="s">
        <v>77</v>
      </c>
      <c r="J71" s="12">
        <v>46298</v>
      </c>
      <c r="K71">
        <v>46298</v>
      </c>
    </row>
    <row r="72" spans="1:11" x14ac:dyDescent="0.25">
      <c r="A72" s="12" t="s">
        <v>58</v>
      </c>
      <c r="B72" s="12" t="s">
        <v>148</v>
      </c>
      <c r="C72" s="12" t="s">
        <v>13</v>
      </c>
      <c r="D72" s="12">
        <v>6.9375000000000018</v>
      </c>
      <c r="E72" s="12">
        <v>7.6</v>
      </c>
      <c r="F72" s="12">
        <v>20</v>
      </c>
      <c r="G72" s="12">
        <v>7.6</v>
      </c>
      <c r="H72" s="12">
        <v>5.1391225961538431</v>
      </c>
      <c r="I72" s="12" t="s">
        <v>77</v>
      </c>
      <c r="J72" s="12">
        <v>46298</v>
      </c>
      <c r="K72">
        <v>46298</v>
      </c>
    </row>
    <row r="73" spans="1:11" hidden="1" x14ac:dyDescent="0.25">
      <c r="A73" s="12" t="s">
        <v>58</v>
      </c>
      <c r="B73" s="12" t="s">
        <v>57</v>
      </c>
      <c r="C73" s="12" t="s">
        <v>15</v>
      </c>
      <c r="D73" s="12">
        <v>0</v>
      </c>
      <c r="E73" s="12">
        <v>0.95</v>
      </c>
      <c r="F73" s="12">
        <v>18</v>
      </c>
      <c r="G73" s="12">
        <v>0.95</v>
      </c>
      <c r="H73" s="12">
        <v>0</v>
      </c>
      <c r="I73" s="12" t="s">
        <v>76</v>
      </c>
      <c r="J73" s="12">
        <v>46298</v>
      </c>
      <c r="K73">
        <v>46298</v>
      </c>
    </row>
    <row r="74" spans="1:11" x14ac:dyDescent="0.25">
      <c r="A74" s="12" t="s">
        <v>58</v>
      </c>
      <c r="B74" s="12" t="s">
        <v>38</v>
      </c>
      <c r="C74" s="12" t="s">
        <v>13</v>
      </c>
      <c r="D74" s="12">
        <v>4.7256760233086981</v>
      </c>
      <c r="E74" s="12">
        <v>4.75</v>
      </c>
      <c r="F74" s="12">
        <v>20</v>
      </c>
      <c r="G74" s="12">
        <v>4.75</v>
      </c>
      <c r="H74" s="12">
        <v>3.5854779411764692</v>
      </c>
      <c r="I74" s="12" t="s">
        <v>79</v>
      </c>
      <c r="J74" s="12">
        <v>46299</v>
      </c>
      <c r="K74">
        <v>46299</v>
      </c>
    </row>
    <row r="75" spans="1:11" x14ac:dyDescent="0.25">
      <c r="A75" s="12" t="s">
        <v>58</v>
      </c>
      <c r="B75" s="12" t="s">
        <v>148</v>
      </c>
      <c r="C75" s="12" t="s">
        <v>13</v>
      </c>
      <c r="D75" s="12">
        <v>6.9375000000000018</v>
      </c>
      <c r="E75" s="12">
        <v>10.45</v>
      </c>
      <c r="F75" s="12">
        <v>20</v>
      </c>
      <c r="G75" s="12">
        <v>10.45</v>
      </c>
      <c r="H75" s="12">
        <v>5.8891225961538431</v>
      </c>
      <c r="I75" s="12" t="s">
        <v>79</v>
      </c>
      <c r="J75" s="12">
        <v>46299</v>
      </c>
      <c r="K75">
        <v>46299</v>
      </c>
    </row>
    <row r="76" spans="1:11" x14ac:dyDescent="0.25">
      <c r="A76" s="12" t="s">
        <v>58</v>
      </c>
      <c r="B76" s="12" t="s">
        <v>57</v>
      </c>
      <c r="C76" s="12" t="s">
        <v>13</v>
      </c>
      <c r="D76" s="12">
        <v>4.3768873710032166</v>
      </c>
      <c r="E76" s="12">
        <v>3.8</v>
      </c>
      <c r="F76" s="12">
        <v>18</v>
      </c>
      <c r="G76" s="12">
        <v>3.8</v>
      </c>
      <c r="H76" s="12">
        <v>3.5110294117647047</v>
      </c>
      <c r="I76" s="12" t="s">
        <v>79</v>
      </c>
      <c r="J76" s="12">
        <v>46299</v>
      </c>
      <c r="K76">
        <v>46299</v>
      </c>
    </row>
    <row r="77" spans="1:11" x14ac:dyDescent="0.25">
      <c r="A77" s="12" t="s">
        <v>58</v>
      </c>
      <c r="B77" s="12" t="s">
        <v>37</v>
      </c>
      <c r="C77" s="12" t="s">
        <v>13</v>
      </c>
      <c r="D77" s="12">
        <v>10.668662966820335</v>
      </c>
      <c r="E77" s="12">
        <v>12.35</v>
      </c>
      <c r="F77" s="12">
        <v>20</v>
      </c>
      <c r="G77" s="12">
        <v>12.35</v>
      </c>
      <c r="H77" s="12">
        <v>12.1875</v>
      </c>
      <c r="I77" s="12" t="s">
        <v>79</v>
      </c>
      <c r="J77" s="12">
        <v>46299</v>
      </c>
      <c r="K77">
        <v>46299</v>
      </c>
    </row>
    <row r="78" spans="1:11" hidden="1" x14ac:dyDescent="0.25">
      <c r="A78" s="12" t="s">
        <v>58</v>
      </c>
      <c r="B78" s="12" t="s">
        <v>57</v>
      </c>
      <c r="C78" s="12" t="s">
        <v>15</v>
      </c>
      <c r="D78" s="12">
        <v>0</v>
      </c>
      <c r="E78" s="12">
        <v>0</v>
      </c>
      <c r="F78" s="12">
        <v>18</v>
      </c>
      <c r="G78" s="12">
        <v>0</v>
      </c>
      <c r="H78" s="12">
        <v>0</v>
      </c>
      <c r="I78" s="12" t="s">
        <v>81</v>
      </c>
      <c r="J78" s="12">
        <v>46299</v>
      </c>
      <c r="K78">
        <v>46299</v>
      </c>
    </row>
    <row r="79" spans="1:11" hidden="1" x14ac:dyDescent="0.25">
      <c r="A79" s="12" t="s">
        <v>58</v>
      </c>
      <c r="B79" s="12" t="s">
        <v>37</v>
      </c>
      <c r="C79" s="12" t="s">
        <v>14</v>
      </c>
      <c r="D79" s="12">
        <v>11.489329348883439</v>
      </c>
      <c r="E79" s="12">
        <v>17.099999999999998</v>
      </c>
      <c r="F79" s="12">
        <v>20</v>
      </c>
      <c r="G79" s="12">
        <v>17.099999999999998</v>
      </c>
      <c r="H79" s="12">
        <v>12.1875</v>
      </c>
      <c r="I79" s="12" t="s">
        <v>80</v>
      </c>
      <c r="J79" s="12">
        <v>46299</v>
      </c>
      <c r="K79">
        <v>46299</v>
      </c>
    </row>
    <row r="80" spans="1:11" hidden="1" x14ac:dyDescent="0.25">
      <c r="A80" s="12" t="s">
        <v>58</v>
      </c>
      <c r="B80" s="12" t="s">
        <v>37</v>
      </c>
      <c r="C80" s="12" t="s">
        <v>15</v>
      </c>
      <c r="D80" s="12">
        <v>4.1033319103155144</v>
      </c>
      <c r="E80" s="12">
        <v>4.75</v>
      </c>
      <c r="F80" s="12">
        <v>20</v>
      </c>
      <c r="G80" s="12">
        <v>4.75</v>
      </c>
      <c r="H80" s="12">
        <v>4.6875</v>
      </c>
      <c r="I80" s="12" t="s">
        <v>81</v>
      </c>
      <c r="J80" s="12">
        <v>46299</v>
      </c>
      <c r="K80">
        <v>46299</v>
      </c>
    </row>
    <row r="81" spans="1:11" hidden="1" x14ac:dyDescent="0.25">
      <c r="A81" s="12" t="s">
        <v>58</v>
      </c>
      <c r="B81" s="12" t="s">
        <v>38</v>
      </c>
      <c r="C81" s="12" t="s">
        <v>15</v>
      </c>
      <c r="D81" s="12">
        <v>1.2801831343566421</v>
      </c>
      <c r="E81" s="12">
        <v>0.95</v>
      </c>
      <c r="F81" s="12">
        <v>20</v>
      </c>
      <c r="G81" s="12">
        <v>0.95</v>
      </c>
      <c r="H81" s="12">
        <v>0.94117647058823517</v>
      </c>
      <c r="I81" s="12" t="s">
        <v>81</v>
      </c>
      <c r="J81" s="12">
        <v>46299</v>
      </c>
      <c r="K81">
        <v>46299</v>
      </c>
    </row>
    <row r="82" spans="1:11" hidden="1" x14ac:dyDescent="0.25">
      <c r="A82" s="12" t="s">
        <v>58</v>
      </c>
      <c r="B82" s="12" t="s">
        <v>148</v>
      </c>
      <c r="C82" s="12" t="s">
        <v>14</v>
      </c>
      <c r="D82" s="12">
        <v>2.8235294117647061</v>
      </c>
      <c r="E82" s="12">
        <v>3.8</v>
      </c>
      <c r="F82" s="12">
        <v>20</v>
      </c>
      <c r="G82" s="12">
        <v>3.8</v>
      </c>
      <c r="H82" s="12">
        <v>2.3984728506787327</v>
      </c>
      <c r="I82" s="12" t="s">
        <v>80</v>
      </c>
      <c r="J82" s="12">
        <v>46299</v>
      </c>
      <c r="K82">
        <v>46299</v>
      </c>
    </row>
    <row r="83" spans="1:11" hidden="1" x14ac:dyDescent="0.25">
      <c r="A83" s="12" t="s">
        <v>58</v>
      </c>
      <c r="B83" s="12" t="s">
        <v>57</v>
      </c>
      <c r="C83" s="12" t="s">
        <v>14</v>
      </c>
      <c r="D83" s="12">
        <v>3.8619594450028361</v>
      </c>
      <c r="E83" s="12">
        <v>6.6499999999999995</v>
      </c>
      <c r="F83" s="12">
        <v>18</v>
      </c>
      <c r="G83" s="12">
        <v>6.6499999999999995</v>
      </c>
      <c r="H83" s="12">
        <v>3.5141291810841975</v>
      </c>
      <c r="I83" s="12" t="s">
        <v>80</v>
      </c>
      <c r="J83" s="12">
        <v>46299</v>
      </c>
      <c r="K83">
        <v>46299</v>
      </c>
    </row>
    <row r="84" spans="1:11" hidden="1" x14ac:dyDescent="0.25">
      <c r="A84" s="12" t="s">
        <v>58</v>
      </c>
      <c r="B84" s="12" t="s">
        <v>148</v>
      </c>
      <c r="C84" s="12" t="s">
        <v>15</v>
      </c>
      <c r="D84" s="12">
        <v>0</v>
      </c>
      <c r="E84" s="12">
        <v>0.95</v>
      </c>
      <c r="F84" s="12">
        <v>20</v>
      </c>
      <c r="G84" s="12">
        <v>0.95</v>
      </c>
      <c r="H84" s="12">
        <v>0.125</v>
      </c>
      <c r="I84" s="12" t="s">
        <v>81</v>
      </c>
      <c r="J84" s="12">
        <v>46299</v>
      </c>
      <c r="K84">
        <v>46299</v>
      </c>
    </row>
    <row r="85" spans="1:11" hidden="1" x14ac:dyDescent="0.25">
      <c r="A85" s="12" t="s">
        <v>58</v>
      </c>
      <c r="B85" s="12" t="s">
        <v>38</v>
      </c>
      <c r="C85" s="12" t="s">
        <v>14</v>
      </c>
      <c r="D85" s="12">
        <v>3.388720061532287</v>
      </c>
      <c r="E85" s="12">
        <v>7.6</v>
      </c>
      <c r="F85" s="12">
        <v>20</v>
      </c>
      <c r="G85" s="12">
        <v>7.6</v>
      </c>
      <c r="H85" s="12">
        <v>3.2655709342560546</v>
      </c>
      <c r="I85" s="12" t="s">
        <v>80</v>
      </c>
      <c r="J85" s="12">
        <v>46299</v>
      </c>
      <c r="K85">
        <v>46299</v>
      </c>
    </row>
    <row r="86" spans="1:11" hidden="1" x14ac:dyDescent="0.25">
      <c r="A86" s="12" t="s">
        <v>58</v>
      </c>
      <c r="B86" s="12" t="s">
        <v>37</v>
      </c>
      <c r="C86" s="12" t="s">
        <v>14</v>
      </c>
      <c r="D86" s="12">
        <v>10.668662966820335</v>
      </c>
      <c r="E86" s="12">
        <v>11.4</v>
      </c>
      <c r="F86" s="12">
        <v>20</v>
      </c>
      <c r="G86" s="12">
        <v>11.4</v>
      </c>
      <c r="H86" s="12">
        <v>11.590909090909092</v>
      </c>
      <c r="I86" s="12" t="s">
        <v>83</v>
      </c>
      <c r="J86" s="12">
        <v>46300</v>
      </c>
      <c r="K86">
        <v>46300</v>
      </c>
    </row>
    <row r="87" spans="1:11" hidden="1" x14ac:dyDescent="0.25">
      <c r="A87" s="12" t="s">
        <v>58</v>
      </c>
      <c r="B87" s="12" t="s">
        <v>37</v>
      </c>
      <c r="C87" s="12" t="s">
        <v>15</v>
      </c>
      <c r="D87" s="12">
        <v>4.1033319103155144</v>
      </c>
      <c r="E87" s="12">
        <v>5.6999999999999993</v>
      </c>
      <c r="F87" s="12">
        <v>20</v>
      </c>
      <c r="G87" s="12">
        <v>5.6999999999999993</v>
      </c>
      <c r="H87" s="12">
        <v>4.7159090909090899</v>
      </c>
      <c r="I87" s="12" t="s">
        <v>82</v>
      </c>
      <c r="J87" s="12">
        <v>46300</v>
      </c>
      <c r="K87">
        <v>46300</v>
      </c>
    </row>
    <row r="88" spans="1:11" hidden="1" x14ac:dyDescent="0.25">
      <c r="A88" s="12" t="s">
        <v>58</v>
      </c>
      <c r="B88" s="12" t="s">
        <v>57</v>
      </c>
      <c r="C88" s="12" t="s">
        <v>15</v>
      </c>
      <c r="D88" s="12">
        <v>0</v>
      </c>
      <c r="E88" s="12">
        <v>0.95</v>
      </c>
      <c r="F88" s="12">
        <v>18</v>
      </c>
      <c r="G88" s="12">
        <v>0.95</v>
      </c>
      <c r="H88" s="12">
        <v>0</v>
      </c>
      <c r="I88" s="12" t="s">
        <v>82</v>
      </c>
      <c r="J88" s="12">
        <v>46300</v>
      </c>
      <c r="K88">
        <v>46300</v>
      </c>
    </row>
    <row r="89" spans="1:11" hidden="1" x14ac:dyDescent="0.25">
      <c r="A89" s="12" t="s">
        <v>58</v>
      </c>
      <c r="B89" s="12" t="s">
        <v>148</v>
      </c>
      <c r="C89" s="12" t="s">
        <v>15</v>
      </c>
      <c r="D89" s="12">
        <v>0</v>
      </c>
      <c r="E89" s="12">
        <v>4.75</v>
      </c>
      <c r="F89" s="12">
        <v>20</v>
      </c>
      <c r="G89" s="12">
        <v>4.75</v>
      </c>
      <c r="H89" s="12">
        <v>0</v>
      </c>
      <c r="I89" s="12" t="s">
        <v>82</v>
      </c>
      <c r="J89" s="12">
        <v>46300</v>
      </c>
      <c r="K89">
        <v>46300</v>
      </c>
    </row>
    <row r="90" spans="1:11" hidden="1" x14ac:dyDescent="0.25">
      <c r="A90" s="12" t="s">
        <v>58</v>
      </c>
      <c r="B90" s="12" t="s">
        <v>57</v>
      </c>
      <c r="C90" s="12" t="s">
        <v>14</v>
      </c>
      <c r="D90" s="12">
        <v>3.0895675560022688</v>
      </c>
      <c r="E90" s="12">
        <v>8.5499999999999989</v>
      </c>
      <c r="F90" s="12">
        <v>18</v>
      </c>
      <c r="G90" s="12">
        <v>8.5499999999999989</v>
      </c>
      <c r="H90" s="12">
        <v>3.8062283737024214</v>
      </c>
      <c r="I90" s="12" t="s">
        <v>83</v>
      </c>
      <c r="J90" s="12">
        <v>46300</v>
      </c>
      <c r="K90">
        <v>46300</v>
      </c>
    </row>
    <row r="91" spans="1:11" hidden="1" x14ac:dyDescent="0.25">
      <c r="A91" s="12" t="s">
        <v>58</v>
      </c>
      <c r="B91" s="12" t="s">
        <v>38</v>
      </c>
      <c r="C91" s="12" t="s">
        <v>15</v>
      </c>
      <c r="D91" s="12">
        <v>1.2801831343566421</v>
      </c>
      <c r="E91" s="12">
        <v>0</v>
      </c>
      <c r="F91" s="12">
        <v>20</v>
      </c>
      <c r="G91" s="12">
        <v>0</v>
      </c>
      <c r="H91" s="12">
        <v>0</v>
      </c>
      <c r="I91" s="12" t="s">
        <v>82</v>
      </c>
      <c r="J91" s="12">
        <v>46300</v>
      </c>
      <c r="K91">
        <v>46300</v>
      </c>
    </row>
    <row r="92" spans="1:11" x14ac:dyDescent="0.25">
      <c r="A92" s="12" t="s">
        <v>58</v>
      </c>
      <c r="B92" s="12" t="s">
        <v>37</v>
      </c>
      <c r="C92" s="12" t="s">
        <v>13</v>
      </c>
      <c r="D92" s="12">
        <v>11.544040441020975</v>
      </c>
      <c r="E92" s="12">
        <v>17.099999999999998</v>
      </c>
      <c r="F92" s="12">
        <v>20</v>
      </c>
      <c r="G92" s="12">
        <v>17.099999999999998</v>
      </c>
      <c r="H92" s="12">
        <v>12.1875</v>
      </c>
      <c r="I92" s="12" t="s">
        <v>84</v>
      </c>
      <c r="J92" s="12">
        <v>46300</v>
      </c>
      <c r="K92">
        <v>46300</v>
      </c>
    </row>
    <row r="93" spans="1:11" x14ac:dyDescent="0.25">
      <c r="A93" s="12" t="s">
        <v>58</v>
      </c>
      <c r="B93" s="12" t="s">
        <v>57</v>
      </c>
      <c r="C93" s="12" t="s">
        <v>13</v>
      </c>
      <c r="D93" s="12">
        <v>4.3768873710032166</v>
      </c>
      <c r="E93" s="12">
        <v>4.75</v>
      </c>
      <c r="F93" s="12">
        <v>18</v>
      </c>
      <c r="G93" s="12">
        <v>4.75</v>
      </c>
      <c r="H93" s="12">
        <v>4.7058823529411749</v>
      </c>
      <c r="I93" s="12" t="s">
        <v>84</v>
      </c>
      <c r="J93" s="12">
        <v>46300</v>
      </c>
      <c r="K93">
        <v>46300</v>
      </c>
    </row>
    <row r="94" spans="1:11" x14ac:dyDescent="0.25">
      <c r="A94" s="12" t="s">
        <v>58</v>
      </c>
      <c r="B94" s="12" t="s">
        <v>38</v>
      </c>
      <c r="C94" s="12" t="s">
        <v>13</v>
      </c>
      <c r="D94" s="12">
        <v>3.5255043348493471</v>
      </c>
      <c r="E94" s="12">
        <v>3.8</v>
      </c>
      <c r="F94" s="12">
        <v>20</v>
      </c>
      <c r="G94" s="12">
        <v>3.8</v>
      </c>
      <c r="H94" s="12">
        <v>2.8786764705882355</v>
      </c>
      <c r="I94" s="12" t="s">
        <v>84</v>
      </c>
      <c r="J94" s="12">
        <v>46300</v>
      </c>
      <c r="K94">
        <v>46300</v>
      </c>
    </row>
    <row r="95" spans="1:11" x14ac:dyDescent="0.25">
      <c r="A95" s="12" t="s">
        <v>58</v>
      </c>
      <c r="B95" s="12" t="s">
        <v>148</v>
      </c>
      <c r="C95" s="12" t="s">
        <v>13</v>
      </c>
      <c r="D95" s="12">
        <v>14.5</v>
      </c>
      <c r="E95" s="12">
        <v>16.149999999999999</v>
      </c>
      <c r="F95" s="12">
        <v>20</v>
      </c>
      <c r="G95" s="12">
        <v>16.149999999999999</v>
      </c>
      <c r="H95" s="12">
        <v>10.655809294871789</v>
      </c>
      <c r="I95" s="12" t="s">
        <v>84</v>
      </c>
      <c r="J95" s="12">
        <v>46300</v>
      </c>
      <c r="K95">
        <v>46300</v>
      </c>
    </row>
    <row r="96" spans="1:11" hidden="1" x14ac:dyDescent="0.25">
      <c r="A96" s="12" t="s">
        <v>58</v>
      </c>
      <c r="B96" s="12" t="s">
        <v>148</v>
      </c>
      <c r="C96" s="12" t="s">
        <v>14</v>
      </c>
      <c r="D96" s="12">
        <v>2.8235294117647061</v>
      </c>
      <c r="E96" s="12">
        <v>6.6499999999999995</v>
      </c>
      <c r="F96" s="12">
        <v>20</v>
      </c>
      <c r="G96" s="12">
        <v>6.6499999999999995</v>
      </c>
      <c r="H96" s="12">
        <v>3.2136500754147801</v>
      </c>
      <c r="I96" s="12" t="s">
        <v>83</v>
      </c>
      <c r="J96" s="12">
        <v>46300</v>
      </c>
      <c r="K96">
        <v>46300</v>
      </c>
    </row>
    <row r="97" spans="1:11" hidden="1" x14ac:dyDescent="0.25">
      <c r="A97" s="12" t="s">
        <v>58</v>
      </c>
      <c r="B97" s="12" t="s">
        <v>38</v>
      </c>
      <c r="C97" s="12" t="s">
        <v>14</v>
      </c>
      <c r="D97" s="12">
        <v>3.388720061532287</v>
      </c>
      <c r="E97" s="12">
        <v>4.75</v>
      </c>
      <c r="F97" s="12">
        <v>20</v>
      </c>
      <c r="G97" s="12">
        <v>4.75</v>
      </c>
      <c r="H97" s="12">
        <v>2.9342560553633215</v>
      </c>
      <c r="I97" s="12" t="s">
        <v>83</v>
      </c>
      <c r="J97" s="12">
        <v>46300</v>
      </c>
      <c r="K97">
        <v>46300</v>
      </c>
    </row>
    <row r="98" spans="1:11" hidden="1" x14ac:dyDescent="0.25">
      <c r="A98" s="12" t="s">
        <v>58</v>
      </c>
      <c r="B98" s="12" t="s">
        <v>38</v>
      </c>
      <c r="C98" s="12" t="s">
        <v>14</v>
      </c>
      <c r="D98" s="12">
        <v>3.388720061532287</v>
      </c>
      <c r="E98" s="12">
        <v>8.5499999999999989</v>
      </c>
      <c r="F98" s="12">
        <v>20</v>
      </c>
      <c r="G98" s="12">
        <v>8.5499999999999989</v>
      </c>
      <c r="H98" s="12">
        <v>3.2964244521337935</v>
      </c>
      <c r="I98" s="12" t="s">
        <v>85</v>
      </c>
      <c r="J98" s="12">
        <v>46301</v>
      </c>
      <c r="K98">
        <v>46301</v>
      </c>
    </row>
    <row r="99" spans="1:11" x14ac:dyDescent="0.25">
      <c r="A99" s="12" t="s">
        <v>58</v>
      </c>
      <c r="B99" s="12" t="s">
        <v>57</v>
      </c>
      <c r="C99" s="12" t="s">
        <v>13</v>
      </c>
      <c r="D99" s="12">
        <v>4.3768873710032166</v>
      </c>
      <c r="E99" s="12">
        <v>3.8</v>
      </c>
      <c r="F99" s="12">
        <v>18</v>
      </c>
      <c r="G99" s="12">
        <v>3.8</v>
      </c>
      <c r="H99" s="12">
        <v>3.5110294117647056</v>
      </c>
      <c r="I99" s="12" t="s">
        <v>87</v>
      </c>
      <c r="J99" s="12">
        <v>46301</v>
      </c>
      <c r="K99">
        <v>46301</v>
      </c>
    </row>
    <row r="100" spans="1:11" x14ac:dyDescent="0.25">
      <c r="A100" s="12" t="s">
        <v>58</v>
      </c>
      <c r="B100" s="12" t="s">
        <v>38</v>
      </c>
      <c r="C100" s="12" t="s">
        <v>13</v>
      </c>
      <c r="D100" s="12">
        <v>7.0510086696986942</v>
      </c>
      <c r="E100" s="12">
        <v>5.6999999999999993</v>
      </c>
      <c r="F100" s="12">
        <v>20</v>
      </c>
      <c r="G100" s="12">
        <v>5.6999999999999993</v>
      </c>
      <c r="H100" s="12">
        <v>4.8688725490196072</v>
      </c>
      <c r="I100" s="12" t="s">
        <v>87</v>
      </c>
      <c r="J100" s="12">
        <v>46301</v>
      </c>
      <c r="K100">
        <v>46301</v>
      </c>
    </row>
    <row r="101" spans="1:11" x14ac:dyDescent="0.25">
      <c r="A101" s="12" t="s">
        <v>58</v>
      </c>
      <c r="B101" s="12" t="s">
        <v>37</v>
      </c>
      <c r="C101" s="12" t="s">
        <v>13</v>
      </c>
      <c r="D101" s="12">
        <v>11.407262710677127</v>
      </c>
      <c r="E101" s="12">
        <v>14.25</v>
      </c>
      <c r="F101" s="12">
        <v>20</v>
      </c>
      <c r="G101" s="12">
        <v>14.25</v>
      </c>
      <c r="H101" s="12">
        <v>9.375</v>
      </c>
      <c r="I101" s="12" t="s">
        <v>87</v>
      </c>
      <c r="J101" s="12">
        <v>46301</v>
      </c>
      <c r="K101">
        <v>46301</v>
      </c>
    </row>
    <row r="102" spans="1:11" hidden="1" x14ac:dyDescent="0.25">
      <c r="A102" s="12" t="s">
        <v>58</v>
      </c>
      <c r="B102" s="12" t="s">
        <v>148</v>
      </c>
      <c r="C102" s="12" t="s">
        <v>15</v>
      </c>
      <c r="D102" s="12">
        <v>0</v>
      </c>
      <c r="E102" s="12">
        <v>5.6999999999999993</v>
      </c>
      <c r="F102" s="12">
        <v>20</v>
      </c>
      <c r="G102" s="12">
        <v>5.6999999999999993</v>
      </c>
      <c r="H102" s="12">
        <v>0</v>
      </c>
      <c r="I102" s="12" t="s">
        <v>86</v>
      </c>
      <c r="J102" s="12">
        <v>46301</v>
      </c>
      <c r="K102">
        <v>46301</v>
      </c>
    </row>
    <row r="103" spans="1:11" x14ac:dyDescent="0.25">
      <c r="A103" s="12" t="s">
        <v>58</v>
      </c>
      <c r="B103" s="12" t="s">
        <v>148</v>
      </c>
      <c r="C103" s="12" t="s">
        <v>13</v>
      </c>
      <c r="D103" s="12">
        <v>12.687500000000002</v>
      </c>
      <c r="E103" s="12">
        <v>15.2</v>
      </c>
      <c r="F103" s="12">
        <v>20</v>
      </c>
      <c r="G103" s="12">
        <v>15.2</v>
      </c>
      <c r="H103" s="12">
        <v>10.986778846153848</v>
      </c>
      <c r="I103" s="12" t="s">
        <v>87</v>
      </c>
      <c r="J103" s="12">
        <v>46301</v>
      </c>
      <c r="K103">
        <v>46301</v>
      </c>
    </row>
    <row r="104" spans="1:11" hidden="1" x14ac:dyDescent="0.25">
      <c r="A104" s="12" t="s">
        <v>58</v>
      </c>
      <c r="B104" s="12" t="s">
        <v>38</v>
      </c>
      <c r="C104" s="12" t="s">
        <v>15</v>
      </c>
      <c r="D104" s="12">
        <v>1.2801831343566421</v>
      </c>
      <c r="E104" s="12">
        <v>0.95</v>
      </c>
      <c r="F104" s="12">
        <v>20</v>
      </c>
      <c r="G104" s="12">
        <v>0.95</v>
      </c>
      <c r="H104" s="12">
        <v>0.94117647058823517</v>
      </c>
      <c r="I104" s="12" t="s">
        <v>86</v>
      </c>
      <c r="J104" s="12">
        <v>46301</v>
      </c>
      <c r="K104">
        <v>46301</v>
      </c>
    </row>
    <row r="105" spans="1:11" hidden="1" x14ac:dyDescent="0.25">
      <c r="A105" s="12" t="s">
        <v>58</v>
      </c>
      <c r="B105" s="12" t="s">
        <v>37</v>
      </c>
      <c r="C105" s="12" t="s">
        <v>15</v>
      </c>
      <c r="D105" s="12">
        <v>4.1033319103155144</v>
      </c>
      <c r="E105" s="12">
        <v>5.6999999999999993</v>
      </c>
      <c r="F105" s="12">
        <v>20</v>
      </c>
      <c r="G105" s="12">
        <v>5.6999999999999993</v>
      </c>
      <c r="H105" s="12">
        <v>4.6875</v>
      </c>
      <c r="I105" s="12" t="s">
        <v>86</v>
      </c>
      <c r="J105" s="12">
        <v>46301</v>
      </c>
      <c r="K105">
        <v>46301</v>
      </c>
    </row>
    <row r="106" spans="1:11" hidden="1" x14ac:dyDescent="0.25">
      <c r="A106" s="12" t="s">
        <v>58</v>
      </c>
      <c r="B106" s="12" t="s">
        <v>57</v>
      </c>
      <c r="C106" s="12" t="s">
        <v>14</v>
      </c>
      <c r="D106" s="12">
        <v>3.0895675560022688</v>
      </c>
      <c r="E106" s="12">
        <v>6.6499999999999995</v>
      </c>
      <c r="F106" s="12">
        <v>18</v>
      </c>
      <c r="G106" s="12">
        <v>6.6499999999999995</v>
      </c>
      <c r="H106" s="12">
        <v>3.5141291810841979</v>
      </c>
      <c r="I106" s="12" t="s">
        <v>85</v>
      </c>
      <c r="J106" s="12">
        <v>46301</v>
      </c>
      <c r="K106">
        <v>46301</v>
      </c>
    </row>
    <row r="107" spans="1:11" hidden="1" x14ac:dyDescent="0.25">
      <c r="A107" s="12" t="s">
        <v>58</v>
      </c>
      <c r="B107" s="12" t="s">
        <v>37</v>
      </c>
      <c r="C107" s="12" t="s">
        <v>14</v>
      </c>
      <c r="D107" s="12">
        <v>10.668662966820335</v>
      </c>
      <c r="E107" s="12">
        <v>12.35</v>
      </c>
      <c r="F107" s="12">
        <v>20</v>
      </c>
      <c r="G107" s="12">
        <v>12.35</v>
      </c>
      <c r="H107" s="12">
        <v>12.1875</v>
      </c>
      <c r="I107" s="12" t="s">
        <v>85</v>
      </c>
      <c r="J107" s="12">
        <v>46301</v>
      </c>
      <c r="K107">
        <v>46301</v>
      </c>
    </row>
    <row r="108" spans="1:11" hidden="1" x14ac:dyDescent="0.25">
      <c r="A108" s="12" t="s">
        <v>58</v>
      </c>
      <c r="B108" s="12" t="s">
        <v>148</v>
      </c>
      <c r="C108" s="12" t="s">
        <v>14</v>
      </c>
      <c r="D108" s="12">
        <v>3.5294117647058822</v>
      </c>
      <c r="E108" s="12">
        <v>4.75</v>
      </c>
      <c r="F108" s="12">
        <v>20</v>
      </c>
      <c r="G108" s="12">
        <v>4.75</v>
      </c>
      <c r="H108" s="12">
        <v>2.0124434389140267</v>
      </c>
      <c r="I108" s="12" t="s">
        <v>85</v>
      </c>
      <c r="J108" s="12">
        <v>46301</v>
      </c>
      <c r="K108">
        <v>46301</v>
      </c>
    </row>
    <row r="109" spans="1:11" hidden="1" x14ac:dyDescent="0.25">
      <c r="A109" s="12" t="s">
        <v>58</v>
      </c>
      <c r="B109" s="12" t="s">
        <v>57</v>
      </c>
      <c r="C109" s="12" t="s">
        <v>15</v>
      </c>
      <c r="D109" s="12">
        <v>0</v>
      </c>
      <c r="E109" s="12">
        <v>1.9</v>
      </c>
      <c r="F109" s="12">
        <v>18</v>
      </c>
      <c r="G109" s="12">
        <v>1.9</v>
      </c>
      <c r="H109" s="12">
        <v>0</v>
      </c>
      <c r="I109" s="12" t="s">
        <v>86</v>
      </c>
      <c r="J109" s="12">
        <v>46301</v>
      </c>
      <c r="K109">
        <v>46301</v>
      </c>
    </row>
    <row r="110" spans="1:11" hidden="1" x14ac:dyDescent="0.25">
      <c r="A110" s="12" t="s">
        <v>58</v>
      </c>
      <c r="B110" s="12" t="s">
        <v>57</v>
      </c>
      <c r="C110" s="12" t="s">
        <v>14</v>
      </c>
      <c r="D110" s="12">
        <v>3.8619594450028369</v>
      </c>
      <c r="E110" s="12">
        <v>7.6</v>
      </c>
      <c r="F110" s="12">
        <v>18</v>
      </c>
      <c r="G110" s="12">
        <v>7.6</v>
      </c>
      <c r="H110" s="12">
        <v>3.7508650519031144</v>
      </c>
      <c r="I110" s="12" t="s">
        <v>88</v>
      </c>
      <c r="J110" s="12">
        <v>46302</v>
      </c>
      <c r="K110">
        <v>46302</v>
      </c>
    </row>
    <row r="111" spans="1:11" hidden="1" x14ac:dyDescent="0.25">
      <c r="A111" s="12" t="s">
        <v>58</v>
      </c>
      <c r="B111" s="12" t="s">
        <v>37</v>
      </c>
      <c r="C111" s="12" t="s">
        <v>14</v>
      </c>
      <c r="D111" s="12">
        <v>10.504529690407711</v>
      </c>
      <c r="E111" s="12">
        <v>12.35</v>
      </c>
      <c r="F111" s="12">
        <v>20</v>
      </c>
      <c r="G111" s="12">
        <v>12.35</v>
      </c>
      <c r="H111" s="12">
        <v>12.1875</v>
      </c>
      <c r="I111" s="12" t="s">
        <v>88</v>
      </c>
      <c r="J111" s="12">
        <v>46302</v>
      </c>
      <c r="K111">
        <v>46302</v>
      </c>
    </row>
    <row r="112" spans="1:11" hidden="1" x14ac:dyDescent="0.25">
      <c r="A112" s="12" t="s">
        <v>58</v>
      </c>
      <c r="B112" s="12" t="s">
        <v>38</v>
      </c>
      <c r="C112" s="12" t="s">
        <v>14</v>
      </c>
      <c r="D112" s="12">
        <v>3.3181217269170316</v>
      </c>
      <c r="E112" s="12">
        <v>7.6</v>
      </c>
      <c r="F112" s="12">
        <v>20</v>
      </c>
      <c r="G112" s="12">
        <v>7.6</v>
      </c>
      <c r="H112" s="12">
        <v>2.6538062283737021</v>
      </c>
      <c r="I112" s="12" t="s">
        <v>88</v>
      </c>
      <c r="J112" s="12">
        <v>46302</v>
      </c>
      <c r="K112">
        <v>46302</v>
      </c>
    </row>
    <row r="113" spans="1:11" hidden="1" x14ac:dyDescent="0.25">
      <c r="A113" s="12" t="s">
        <v>58</v>
      </c>
      <c r="B113" s="12" t="s">
        <v>148</v>
      </c>
      <c r="C113" s="12" t="s">
        <v>14</v>
      </c>
      <c r="D113" s="12">
        <v>3.5294117647058827</v>
      </c>
      <c r="E113" s="12">
        <v>7.6</v>
      </c>
      <c r="F113" s="12">
        <v>20</v>
      </c>
      <c r="G113" s="12">
        <v>7.6</v>
      </c>
      <c r="H113" s="12">
        <v>3.8160101144530207</v>
      </c>
      <c r="I113" s="12" t="s">
        <v>88</v>
      </c>
      <c r="J113" s="12">
        <v>46302</v>
      </c>
      <c r="K113">
        <v>46302</v>
      </c>
    </row>
    <row r="114" spans="1:11" hidden="1" x14ac:dyDescent="0.25">
      <c r="A114" s="12" t="s">
        <v>58</v>
      </c>
      <c r="B114" s="12" t="s">
        <v>148</v>
      </c>
      <c r="C114" s="12" t="s">
        <v>15</v>
      </c>
      <c r="D114" s="12">
        <v>0</v>
      </c>
      <c r="E114" s="12">
        <v>5.6999999999999993</v>
      </c>
      <c r="F114" s="12">
        <v>20</v>
      </c>
      <c r="G114" s="12">
        <v>5.6999999999999993</v>
      </c>
      <c r="H114" s="12">
        <v>0</v>
      </c>
      <c r="I114" s="12" t="s">
        <v>89</v>
      </c>
      <c r="J114" s="12">
        <v>46302</v>
      </c>
      <c r="K114">
        <v>46302</v>
      </c>
    </row>
    <row r="115" spans="1:11" hidden="1" x14ac:dyDescent="0.25">
      <c r="A115" s="12" t="s">
        <v>58</v>
      </c>
      <c r="B115" s="12" t="s">
        <v>37</v>
      </c>
      <c r="C115" s="12" t="s">
        <v>15</v>
      </c>
      <c r="D115" s="12">
        <v>4.1033319103155144</v>
      </c>
      <c r="E115" s="12">
        <v>6.6499999999999995</v>
      </c>
      <c r="F115" s="12">
        <v>20</v>
      </c>
      <c r="G115" s="12">
        <v>6.6499999999999995</v>
      </c>
      <c r="H115" s="12">
        <v>5.625</v>
      </c>
      <c r="I115" s="12" t="s">
        <v>89</v>
      </c>
      <c r="J115" s="12">
        <v>46302</v>
      </c>
      <c r="K115">
        <v>46302</v>
      </c>
    </row>
    <row r="116" spans="1:11" hidden="1" x14ac:dyDescent="0.25">
      <c r="A116" s="12" t="s">
        <v>58</v>
      </c>
      <c r="B116" s="12" t="s">
        <v>38</v>
      </c>
      <c r="C116" s="12" t="s">
        <v>15</v>
      </c>
      <c r="D116" s="12">
        <v>1.2801831343566421</v>
      </c>
      <c r="E116" s="12">
        <v>0.95</v>
      </c>
      <c r="F116" s="12">
        <v>20</v>
      </c>
      <c r="G116" s="12">
        <v>0.95</v>
      </c>
      <c r="H116" s="12">
        <v>0.94117647058823517</v>
      </c>
      <c r="I116" s="12" t="s">
        <v>89</v>
      </c>
      <c r="J116" s="12">
        <v>46302</v>
      </c>
      <c r="K116">
        <v>46302</v>
      </c>
    </row>
    <row r="117" spans="1:11" x14ac:dyDescent="0.25">
      <c r="A117" s="12" t="s">
        <v>58</v>
      </c>
      <c r="B117" s="12" t="s">
        <v>148</v>
      </c>
      <c r="C117" s="12" t="s">
        <v>13</v>
      </c>
      <c r="D117" s="12">
        <v>13.687500000000004</v>
      </c>
      <c r="E117" s="12">
        <v>17.099999999999998</v>
      </c>
      <c r="F117" s="12">
        <v>20</v>
      </c>
      <c r="G117" s="12">
        <v>17.099999999999998</v>
      </c>
      <c r="H117" s="12">
        <v>10.820489253393664</v>
      </c>
      <c r="I117" s="12" t="s">
        <v>90</v>
      </c>
      <c r="J117" s="12">
        <v>46302</v>
      </c>
      <c r="K117">
        <v>46302</v>
      </c>
    </row>
    <row r="118" spans="1:11" x14ac:dyDescent="0.25">
      <c r="A118" s="12" t="s">
        <v>58</v>
      </c>
      <c r="B118" s="12" t="s">
        <v>57</v>
      </c>
      <c r="C118" s="12" t="s">
        <v>13</v>
      </c>
      <c r="D118" s="12">
        <v>3.5015098968025731</v>
      </c>
      <c r="E118" s="12">
        <v>3.8</v>
      </c>
      <c r="F118" s="12">
        <v>18</v>
      </c>
      <c r="G118" s="12">
        <v>3.8</v>
      </c>
      <c r="H118" s="12">
        <v>3.7647058823529393</v>
      </c>
      <c r="I118" s="12" t="s">
        <v>90</v>
      </c>
      <c r="J118" s="12">
        <v>46302</v>
      </c>
      <c r="K118">
        <v>46302</v>
      </c>
    </row>
    <row r="119" spans="1:11" x14ac:dyDescent="0.25">
      <c r="A119" s="12" t="s">
        <v>58</v>
      </c>
      <c r="B119" s="12" t="s">
        <v>38</v>
      </c>
      <c r="C119" s="12" t="s">
        <v>13</v>
      </c>
      <c r="D119" s="12">
        <v>5.8508369812393415</v>
      </c>
      <c r="E119" s="12">
        <v>6.6499999999999995</v>
      </c>
      <c r="F119" s="12">
        <v>20</v>
      </c>
      <c r="G119" s="12">
        <v>6.6499999999999995</v>
      </c>
      <c r="H119" s="12">
        <v>4.1104779411764687</v>
      </c>
      <c r="I119" s="12" t="s">
        <v>90</v>
      </c>
      <c r="J119" s="12">
        <v>46302</v>
      </c>
      <c r="K119">
        <v>46302</v>
      </c>
    </row>
    <row r="120" spans="1:11" x14ac:dyDescent="0.25">
      <c r="A120" s="12" t="s">
        <v>58</v>
      </c>
      <c r="B120" s="12" t="s">
        <v>37</v>
      </c>
      <c r="C120" s="12" t="s">
        <v>13</v>
      </c>
      <c r="D120" s="12">
        <v>11.407262710677127</v>
      </c>
      <c r="E120" s="12">
        <v>15.2</v>
      </c>
      <c r="F120" s="12">
        <v>20</v>
      </c>
      <c r="G120" s="12">
        <v>15.2</v>
      </c>
      <c r="H120" s="12">
        <v>9.375</v>
      </c>
      <c r="I120" s="12" t="s">
        <v>90</v>
      </c>
      <c r="J120" s="12">
        <v>46302</v>
      </c>
      <c r="K120">
        <v>46302</v>
      </c>
    </row>
    <row r="121" spans="1:11" hidden="1" x14ac:dyDescent="0.25">
      <c r="A121" s="12" t="s">
        <v>58</v>
      </c>
      <c r="B121" s="12" t="s">
        <v>57</v>
      </c>
      <c r="C121" s="12" t="s">
        <v>15</v>
      </c>
      <c r="D121" s="12">
        <v>0</v>
      </c>
      <c r="E121" s="12">
        <v>0</v>
      </c>
      <c r="F121" s="12">
        <v>18</v>
      </c>
      <c r="G121" s="12">
        <v>0</v>
      </c>
      <c r="H121" s="12">
        <v>0</v>
      </c>
      <c r="I121" s="12" t="s">
        <v>89</v>
      </c>
      <c r="J121" s="12">
        <v>46302</v>
      </c>
      <c r="K121">
        <v>46302</v>
      </c>
    </row>
    <row r="122" spans="1:11" hidden="1" x14ac:dyDescent="0.25">
      <c r="A122" s="12" t="s">
        <v>58</v>
      </c>
      <c r="B122" s="12" t="s">
        <v>38</v>
      </c>
      <c r="C122" s="12" t="s">
        <v>14</v>
      </c>
      <c r="D122" s="12">
        <v>3.388720061532287</v>
      </c>
      <c r="E122" s="12">
        <v>7.6</v>
      </c>
      <c r="F122" s="12">
        <v>20</v>
      </c>
      <c r="G122" s="12">
        <v>7.6</v>
      </c>
      <c r="H122" s="12">
        <v>3.3743944636678194</v>
      </c>
      <c r="I122" s="12" t="s">
        <v>91</v>
      </c>
      <c r="J122" s="12">
        <v>46303</v>
      </c>
      <c r="K122">
        <v>46303</v>
      </c>
    </row>
    <row r="123" spans="1:11" hidden="1" x14ac:dyDescent="0.25">
      <c r="A123" s="12" t="s">
        <v>58</v>
      </c>
      <c r="B123" s="12" t="s">
        <v>148</v>
      </c>
      <c r="C123" s="12" t="s">
        <v>14</v>
      </c>
      <c r="D123" s="12">
        <v>2.8235294117647061</v>
      </c>
      <c r="E123" s="12">
        <v>6.6499999999999995</v>
      </c>
      <c r="F123" s="12">
        <v>20</v>
      </c>
      <c r="G123" s="12">
        <v>6.6499999999999995</v>
      </c>
      <c r="H123" s="12">
        <v>3.2280576257652371</v>
      </c>
      <c r="I123" s="12" t="s">
        <v>91</v>
      </c>
      <c r="J123" s="12">
        <v>46303</v>
      </c>
      <c r="K123">
        <v>46303</v>
      </c>
    </row>
    <row r="124" spans="1:11" hidden="1" x14ac:dyDescent="0.25">
      <c r="A124" s="12" t="s">
        <v>58</v>
      </c>
      <c r="B124" s="12" t="s">
        <v>57</v>
      </c>
      <c r="C124" s="12" t="s">
        <v>14</v>
      </c>
      <c r="D124" s="12">
        <v>3.8619594450028369</v>
      </c>
      <c r="E124" s="12">
        <v>7.6</v>
      </c>
      <c r="F124" s="12">
        <v>18</v>
      </c>
      <c r="G124" s="12">
        <v>7.6</v>
      </c>
      <c r="H124" s="12">
        <v>3.7498003726377434</v>
      </c>
      <c r="I124" s="12" t="s">
        <v>91</v>
      </c>
      <c r="J124" s="12">
        <v>46303</v>
      </c>
      <c r="K124">
        <v>46303</v>
      </c>
    </row>
    <row r="125" spans="1:11" hidden="1" x14ac:dyDescent="0.25">
      <c r="A125" s="12" t="s">
        <v>58</v>
      </c>
      <c r="B125" s="12" t="s">
        <v>37</v>
      </c>
      <c r="C125" s="12" t="s">
        <v>15</v>
      </c>
      <c r="D125" s="12">
        <v>4.1033319103155135</v>
      </c>
      <c r="E125" s="12">
        <v>7.6</v>
      </c>
      <c r="F125" s="12">
        <v>20</v>
      </c>
      <c r="G125" s="12">
        <v>7.6</v>
      </c>
      <c r="H125" s="12">
        <v>5.46875</v>
      </c>
      <c r="I125" s="12" t="s">
        <v>92</v>
      </c>
      <c r="J125" s="12">
        <v>46303</v>
      </c>
      <c r="K125">
        <v>46303</v>
      </c>
    </row>
    <row r="126" spans="1:11" hidden="1" x14ac:dyDescent="0.25">
      <c r="A126" s="12" t="s">
        <v>58</v>
      </c>
      <c r="B126" s="12" t="s">
        <v>37</v>
      </c>
      <c r="C126" s="12" t="s">
        <v>14</v>
      </c>
      <c r="D126" s="12">
        <v>10.668662966820335</v>
      </c>
      <c r="E126" s="12">
        <v>13.3</v>
      </c>
      <c r="F126" s="12">
        <v>20</v>
      </c>
      <c r="G126" s="12">
        <v>13.3</v>
      </c>
      <c r="H126" s="12">
        <v>13.125</v>
      </c>
      <c r="I126" s="12" t="s">
        <v>91</v>
      </c>
      <c r="J126" s="12">
        <v>46303</v>
      </c>
      <c r="K126">
        <v>46303</v>
      </c>
    </row>
    <row r="127" spans="1:11" hidden="1" x14ac:dyDescent="0.25">
      <c r="A127" s="12" t="s">
        <v>58</v>
      </c>
      <c r="B127" s="12" t="s">
        <v>57</v>
      </c>
      <c r="C127" s="12" t="s">
        <v>15</v>
      </c>
      <c r="D127" s="12">
        <v>0</v>
      </c>
      <c r="E127" s="12">
        <v>0.95</v>
      </c>
      <c r="F127" s="12">
        <v>18</v>
      </c>
      <c r="G127" s="12">
        <v>0.95</v>
      </c>
      <c r="H127" s="12">
        <v>0</v>
      </c>
      <c r="I127" s="12" t="s">
        <v>92</v>
      </c>
      <c r="J127" s="12">
        <v>46303</v>
      </c>
      <c r="K127">
        <v>46303</v>
      </c>
    </row>
    <row r="128" spans="1:11" hidden="1" x14ac:dyDescent="0.25">
      <c r="A128" s="12" t="s">
        <v>58</v>
      </c>
      <c r="B128" s="12" t="s">
        <v>148</v>
      </c>
      <c r="C128" s="12" t="s">
        <v>15</v>
      </c>
      <c r="D128" s="12">
        <v>0</v>
      </c>
      <c r="E128" s="12">
        <v>4.75</v>
      </c>
      <c r="F128" s="12">
        <v>20</v>
      </c>
      <c r="G128" s="12">
        <v>4.75</v>
      </c>
      <c r="H128" s="12">
        <v>0</v>
      </c>
      <c r="I128" s="12" t="s">
        <v>92</v>
      </c>
      <c r="J128" s="12">
        <v>46303</v>
      </c>
      <c r="K128">
        <v>46303</v>
      </c>
    </row>
    <row r="129" spans="1:11" x14ac:dyDescent="0.25">
      <c r="A129" s="12" t="s">
        <v>58</v>
      </c>
      <c r="B129" s="12" t="s">
        <v>38</v>
      </c>
      <c r="C129" s="12" t="s">
        <v>13</v>
      </c>
      <c r="D129" s="12">
        <v>5.7758262507106339</v>
      </c>
      <c r="E129" s="12">
        <v>5.6999999999999993</v>
      </c>
      <c r="F129" s="12">
        <v>20</v>
      </c>
      <c r="G129" s="12">
        <v>5.6999999999999993</v>
      </c>
      <c r="H129" s="12">
        <v>3.4073529411764705</v>
      </c>
      <c r="I129" s="12" t="s">
        <v>93</v>
      </c>
      <c r="J129" s="12">
        <v>46303</v>
      </c>
      <c r="K129">
        <v>46303</v>
      </c>
    </row>
    <row r="130" spans="1:11" x14ac:dyDescent="0.25">
      <c r="A130" s="12" t="s">
        <v>58</v>
      </c>
      <c r="B130" s="12" t="s">
        <v>148</v>
      </c>
      <c r="C130" s="12" t="s">
        <v>13</v>
      </c>
      <c r="D130" s="12">
        <v>14.812500000000004</v>
      </c>
      <c r="E130" s="12">
        <v>16.149999999999999</v>
      </c>
      <c r="F130" s="12">
        <v>20</v>
      </c>
      <c r="G130" s="12">
        <v>16.149999999999999</v>
      </c>
      <c r="H130" s="12">
        <v>11.820188772624425</v>
      </c>
      <c r="I130" s="12" t="s">
        <v>93</v>
      </c>
      <c r="J130" s="12">
        <v>46303</v>
      </c>
      <c r="K130">
        <v>46303</v>
      </c>
    </row>
    <row r="131" spans="1:11" x14ac:dyDescent="0.25">
      <c r="A131" s="12" t="s">
        <v>58</v>
      </c>
      <c r="B131" s="12" t="s">
        <v>37</v>
      </c>
      <c r="C131" s="12" t="s">
        <v>13</v>
      </c>
      <c r="D131" s="12">
        <v>11.407262710677127</v>
      </c>
      <c r="E131" s="12">
        <v>17.099999999999998</v>
      </c>
      <c r="F131" s="12">
        <v>20</v>
      </c>
      <c r="G131" s="12">
        <v>17.099999999999998</v>
      </c>
      <c r="H131" s="12">
        <v>12.1875</v>
      </c>
      <c r="I131" s="12" t="s">
        <v>93</v>
      </c>
      <c r="J131" s="12">
        <v>46303</v>
      </c>
      <c r="K131">
        <v>46303</v>
      </c>
    </row>
    <row r="132" spans="1:11" hidden="1" x14ac:dyDescent="0.25">
      <c r="A132" s="12" t="s">
        <v>58</v>
      </c>
      <c r="B132" s="12" t="s">
        <v>38</v>
      </c>
      <c r="C132" s="12" t="s">
        <v>15</v>
      </c>
      <c r="D132" s="12">
        <v>1.2801831343566421</v>
      </c>
      <c r="E132" s="12">
        <v>0.95</v>
      </c>
      <c r="F132" s="12">
        <v>20</v>
      </c>
      <c r="G132" s="12">
        <v>0.95</v>
      </c>
      <c r="H132" s="12">
        <v>0.94117647058823517</v>
      </c>
      <c r="I132" s="12" t="s">
        <v>92</v>
      </c>
      <c r="J132" s="12">
        <v>46303</v>
      </c>
      <c r="K132">
        <v>46303</v>
      </c>
    </row>
    <row r="133" spans="1:11" x14ac:dyDescent="0.25">
      <c r="A133" s="12" t="s">
        <v>58</v>
      </c>
      <c r="B133" s="12" t="s">
        <v>57</v>
      </c>
      <c r="C133" s="12" t="s">
        <v>13</v>
      </c>
      <c r="D133" s="12">
        <v>3.5015098968025731</v>
      </c>
      <c r="E133" s="12">
        <v>3.8</v>
      </c>
      <c r="F133" s="12">
        <v>18</v>
      </c>
      <c r="G133" s="12">
        <v>3.8</v>
      </c>
      <c r="H133" s="12">
        <v>3.5158371040723972</v>
      </c>
      <c r="I133" s="12" t="s">
        <v>93</v>
      </c>
      <c r="J133" s="12">
        <v>46303</v>
      </c>
      <c r="K133">
        <v>46303</v>
      </c>
    </row>
    <row r="134" spans="1:11" hidden="1" x14ac:dyDescent="0.25">
      <c r="A134" s="12" t="s">
        <v>58</v>
      </c>
      <c r="B134" s="12" t="s">
        <v>57</v>
      </c>
      <c r="C134" s="12" t="s">
        <v>14</v>
      </c>
      <c r="D134" s="12">
        <v>3.8619594450028369</v>
      </c>
      <c r="E134" s="12">
        <v>6.6499999999999995</v>
      </c>
      <c r="F134" s="12">
        <v>18</v>
      </c>
      <c r="G134" s="12">
        <v>6.6499999999999995</v>
      </c>
      <c r="H134" s="12">
        <v>3.6955017301038064</v>
      </c>
      <c r="I134" s="12" t="s">
        <v>94</v>
      </c>
      <c r="J134" s="12">
        <v>46304</v>
      </c>
      <c r="K134">
        <v>46304</v>
      </c>
    </row>
    <row r="135" spans="1:11" x14ac:dyDescent="0.25">
      <c r="A135" s="12" t="s">
        <v>58</v>
      </c>
      <c r="B135" s="12" t="s">
        <v>57</v>
      </c>
      <c r="C135" s="12" t="s">
        <v>13</v>
      </c>
      <c r="D135" s="12">
        <v>3.5015098968025731</v>
      </c>
      <c r="E135" s="12">
        <v>2.8499999999999996</v>
      </c>
      <c r="F135" s="12">
        <v>18</v>
      </c>
      <c r="G135" s="12">
        <v>2.8499999999999996</v>
      </c>
      <c r="H135" s="12">
        <v>2.8235294117647065</v>
      </c>
      <c r="I135" s="12" t="s">
        <v>95</v>
      </c>
      <c r="J135" s="12">
        <v>46304</v>
      </c>
      <c r="K135">
        <v>46304</v>
      </c>
    </row>
    <row r="136" spans="1:11" x14ac:dyDescent="0.25">
      <c r="A136" s="12" t="s">
        <v>58</v>
      </c>
      <c r="B136" s="12" t="s">
        <v>38</v>
      </c>
      <c r="C136" s="12" t="s">
        <v>13</v>
      </c>
      <c r="D136" s="12">
        <v>4.5756545622512785</v>
      </c>
      <c r="E136" s="12">
        <v>3.8</v>
      </c>
      <c r="F136" s="12">
        <v>20</v>
      </c>
      <c r="G136" s="12">
        <v>3.8</v>
      </c>
      <c r="H136" s="12">
        <v>2.4073529411764714</v>
      </c>
      <c r="I136" s="12" t="s">
        <v>95</v>
      </c>
      <c r="J136" s="12">
        <v>46304</v>
      </c>
      <c r="K136">
        <v>46304</v>
      </c>
    </row>
    <row r="137" spans="1:11" x14ac:dyDescent="0.25">
      <c r="A137" s="12" t="s">
        <v>58</v>
      </c>
      <c r="B137" s="12" t="s">
        <v>148</v>
      </c>
      <c r="C137" s="12" t="s">
        <v>13</v>
      </c>
      <c r="D137" s="12">
        <v>13.625000000000004</v>
      </c>
      <c r="E137" s="12">
        <v>13.3</v>
      </c>
      <c r="F137" s="12">
        <v>20</v>
      </c>
      <c r="G137" s="12">
        <v>13.3</v>
      </c>
      <c r="H137" s="12">
        <v>10.414362980769225</v>
      </c>
      <c r="I137" s="12" t="s">
        <v>95</v>
      </c>
      <c r="J137" s="12">
        <v>46304</v>
      </c>
      <c r="K137">
        <v>46304</v>
      </c>
    </row>
    <row r="138" spans="1:11" hidden="1" x14ac:dyDescent="0.25">
      <c r="A138" s="12" t="s">
        <v>58</v>
      </c>
      <c r="B138" s="12" t="s">
        <v>57</v>
      </c>
      <c r="C138" s="12" t="s">
        <v>15</v>
      </c>
      <c r="D138" s="12">
        <v>0</v>
      </c>
      <c r="E138" s="12">
        <v>1.9</v>
      </c>
      <c r="F138" s="12">
        <v>18</v>
      </c>
      <c r="G138" s="12">
        <v>1.9</v>
      </c>
      <c r="H138" s="12">
        <v>0</v>
      </c>
      <c r="I138" s="12" t="s">
        <v>96</v>
      </c>
      <c r="J138" s="12">
        <v>46304</v>
      </c>
      <c r="K138">
        <v>46304</v>
      </c>
    </row>
    <row r="139" spans="1:11" hidden="1" x14ac:dyDescent="0.25">
      <c r="A139" s="12" t="s">
        <v>58</v>
      </c>
      <c r="B139" s="12" t="s">
        <v>38</v>
      </c>
      <c r="C139" s="12" t="s">
        <v>15</v>
      </c>
      <c r="D139" s="12">
        <v>1.2801831343566421</v>
      </c>
      <c r="E139" s="12">
        <v>0.95</v>
      </c>
      <c r="F139" s="12">
        <v>20</v>
      </c>
      <c r="G139" s="12">
        <v>0.95</v>
      </c>
      <c r="H139" s="12">
        <v>0.94117647058823517</v>
      </c>
      <c r="I139" s="12" t="s">
        <v>96</v>
      </c>
      <c r="J139" s="12">
        <v>46304</v>
      </c>
      <c r="K139">
        <v>46304</v>
      </c>
    </row>
    <row r="140" spans="1:11" hidden="1" x14ac:dyDescent="0.25">
      <c r="A140" s="12" t="s">
        <v>58</v>
      </c>
      <c r="B140" s="12" t="s">
        <v>148</v>
      </c>
      <c r="C140" s="12" t="s">
        <v>15</v>
      </c>
      <c r="D140" s="12">
        <v>0</v>
      </c>
      <c r="E140" s="12">
        <v>4.75</v>
      </c>
      <c r="F140" s="12">
        <v>20</v>
      </c>
      <c r="G140" s="12">
        <v>4.75</v>
      </c>
      <c r="H140" s="12">
        <v>0</v>
      </c>
      <c r="I140" s="12" t="s">
        <v>96</v>
      </c>
      <c r="J140" s="12">
        <v>46304</v>
      </c>
      <c r="K140">
        <v>46304</v>
      </c>
    </row>
    <row r="141" spans="1:11" hidden="1" x14ac:dyDescent="0.25">
      <c r="A141" s="12" t="s">
        <v>58</v>
      </c>
      <c r="B141" s="12" t="s">
        <v>37</v>
      </c>
      <c r="C141" s="12" t="s">
        <v>15</v>
      </c>
      <c r="D141" s="12">
        <v>4.1033319103155144</v>
      </c>
      <c r="E141" s="12">
        <v>6.6499999999999995</v>
      </c>
      <c r="F141" s="12">
        <v>20</v>
      </c>
      <c r="G141" s="12">
        <v>6.6499999999999995</v>
      </c>
      <c r="H141" s="12">
        <v>5.625</v>
      </c>
      <c r="I141" s="12" t="s">
        <v>96</v>
      </c>
      <c r="J141" s="12">
        <v>46304</v>
      </c>
      <c r="K141">
        <v>46304</v>
      </c>
    </row>
    <row r="142" spans="1:11" hidden="1" x14ac:dyDescent="0.25">
      <c r="A142" s="12" t="s">
        <v>58</v>
      </c>
      <c r="B142" s="12" t="s">
        <v>148</v>
      </c>
      <c r="C142" s="12" t="s">
        <v>14</v>
      </c>
      <c r="D142" s="12">
        <v>2.8235294117647061</v>
      </c>
      <c r="E142" s="12">
        <v>4.75</v>
      </c>
      <c r="F142" s="12">
        <v>20</v>
      </c>
      <c r="G142" s="12">
        <v>4.75</v>
      </c>
      <c r="H142" s="12">
        <v>2.0217760180995477</v>
      </c>
      <c r="I142" s="12" t="s">
        <v>94</v>
      </c>
      <c r="J142" s="12">
        <v>46304</v>
      </c>
      <c r="K142">
        <v>46304</v>
      </c>
    </row>
    <row r="143" spans="1:11" hidden="1" x14ac:dyDescent="0.25">
      <c r="A143" s="12" t="s">
        <v>58</v>
      </c>
      <c r="B143" s="12" t="s">
        <v>37</v>
      </c>
      <c r="C143" s="12" t="s">
        <v>14</v>
      </c>
      <c r="D143" s="12">
        <v>10.723374058957877</v>
      </c>
      <c r="E143" s="12">
        <v>14.25</v>
      </c>
      <c r="F143" s="12">
        <v>20</v>
      </c>
      <c r="G143" s="12">
        <v>14.25</v>
      </c>
      <c r="H143" s="12">
        <v>13.128676470588236</v>
      </c>
      <c r="I143" s="12" t="s">
        <v>94</v>
      </c>
      <c r="J143" s="12">
        <v>46304</v>
      </c>
      <c r="K143">
        <v>46304</v>
      </c>
    </row>
    <row r="144" spans="1:11" x14ac:dyDescent="0.25">
      <c r="A144" s="12" t="s">
        <v>58</v>
      </c>
      <c r="B144" s="12" t="s">
        <v>37</v>
      </c>
      <c r="C144" s="12" t="s">
        <v>13</v>
      </c>
      <c r="D144" s="12">
        <v>10.668662966820335</v>
      </c>
      <c r="E144" s="12">
        <v>18.05</v>
      </c>
      <c r="F144" s="12">
        <v>20</v>
      </c>
      <c r="G144" s="12">
        <v>18.05</v>
      </c>
      <c r="H144" s="12">
        <v>12.246323529411764</v>
      </c>
      <c r="I144" s="12" t="s">
        <v>95</v>
      </c>
      <c r="J144" s="12">
        <v>46304</v>
      </c>
      <c r="K144">
        <v>46304</v>
      </c>
    </row>
    <row r="145" spans="1:11" hidden="1" x14ac:dyDescent="0.25">
      <c r="A145" s="12" t="s">
        <v>58</v>
      </c>
      <c r="B145" s="12" t="s">
        <v>38</v>
      </c>
      <c r="C145" s="12" t="s">
        <v>14</v>
      </c>
      <c r="D145" s="12">
        <v>2.2591467076881915</v>
      </c>
      <c r="E145" s="12">
        <v>5.6999999999999993</v>
      </c>
      <c r="F145" s="12">
        <v>20</v>
      </c>
      <c r="G145" s="12">
        <v>5.6999999999999993</v>
      </c>
      <c r="H145" s="12">
        <v>2.4332179930795848</v>
      </c>
      <c r="I145" s="12" t="s">
        <v>94</v>
      </c>
      <c r="J145" s="12">
        <v>46304</v>
      </c>
      <c r="K145">
        <v>46304</v>
      </c>
    </row>
    <row r="146" spans="1:11" hidden="1" x14ac:dyDescent="0.25">
      <c r="A146" s="12" t="s">
        <v>58</v>
      </c>
      <c r="B146" s="12" t="s">
        <v>37</v>
      </c>
      <c r="C146" s="12" t="s">
        <v>14</v>
      </c>
      <c r="D146" s="12">
        <v>10.668662966820335</v>
      </c>
      <c r="E146" s="12">
        <v>12.35</v>
      </c>
      <c r="F146" s="12">
        <v>20</v>
      </c>
      <c r="G146" s="12">
        <v>12.35</v>
      </c>
      <c r="H146" s="12">
        <v>12.1875</v>
      </c>
      <c r="I146" s="12" t="s">
        <v>97</v>
      </c>
      <c r="J146" s="12">
        <v>46305</v>
      </c>
      <c r="K146">
        <v>46305</v>
      </c>
    </row>
    <row r="147" spans="1:11" hidden="1" x14ac:dyDescent="0.25">
      <c r="A147" s="12" t="s">
        <v>58</v>
      </c>
      <c r="B147" s="12" t="s">
        <v>38</v>
      </c>
      <c r="C147" s="12" t="s">
        <v>14</v>
      </c>
      <c r="D147" s="12">
        <v>2.2591467076881915</v>
      </c>
      <c r="E147" s="12">
        <v>6.6499999999999995</v>
      </c>
      <c r="F147" s="12">
        <v>20</v>
      </c>
      <c r="G147" s="12">
        <v>6.6499999999999995</v>
      </c>
      <c r="H147" s="12">
        <v>2.1591695501730106</v>
      </c>
      <c r="I147" s="12" t="s">
        <v>97</v>
      </c>
      <c r="J147" s="12">
        <v>46305</v>
      </c>
      <c r="K147">
        <v>46305</v>
      </c>
    </row>
    <row r="148" spans="1:11" hidden="1" x14ac:dyDescent="0.25">
      <c r="A148" s="12" t="s">
        <v>58</v>
      </c>
      <c r="B148" s="12" t="s">
        <v>57</v>
      </c>
      <c r="C148" s="12" t="s">
        <v>14</v>
      </c>
      <c r="D148" s="12">
        <v>3.0895675560022697</v>
      </c>
      <c r="E148" s="12">
        <v>7.6</v>
      </c>
      <c r="F148" s="12">
        <v>18</v>
      </c>
      <c r="G148" s="12">
        <v>7.6</v>
      </c>
      <c r="H148" s="12">
        <v>3.7508650519031144</v>
      </c>
      <c r="I148" s="12" t="s">
        <v>97</v>
      </c>
      <c r="J148" s="12">
        <v>46305</v>
      </c>
      <c r="K148">
        <v>46305</v>
      </c>
    </row>
    <row r="149" spans="1:11" hidden="1" x14ac:dyDescent="0.25">
      <c r="A149" s="12" t="s">
        <v>58</v>
      </c>
      <c r="B149" s="12" t="s">
        <v>148</v>
      </c>
      <c r="C149" s="12" t="s">
        <v>14</v>
      </c>
      <c r="D149" s="12">
        <v>3.5294117647058827</v>
      </c>
      <c r="E149" s="12">
        <v>3.8</v>
      </c>
      <c r="F149" s="12">
        <v>20</v>
      </c>
      <c r="G149" s="12">
        <v>3.8</v>
      </c>
      <c r="H149" s="12">
        <v>2.3891402714932126</v>
      </c>
      <c r="I149" s="12" t="s">
        <v>97</v>
      </c>
      <c r="J149" s="12">
        <v>46305</v>
      </c>
      <c r="K149">
        <v>46305</v>
      </c>
    </row>
    <row r="150" spans="1:11" hidden="1" x14ac:dyDescent="0.25">
      <c r="A150" s="12" t="s">
        <v>58</v>
      </c>
      <c r="B150" s="12" t="s">
        <v>38</v>
      </c>
      <c r="C150" s="12" t="s">
        <v>15</v>
      </c>
      <c r="D150" s="12">
        <v>1.2801831343566421</v>
      </c>
      <c r="E150" s="12">
        <v>0.95</v>
      </c>
      <c r="F150" s="12">
        <v>20</v>
      </c>
      <c r="G150" s="12">
        <v>0.95</v>
      </c>
      <c r="H150" s="12">
        <v>0.94117647058823517</v>
      </c>
      <c r="I150" s="12" t="s">
        <v>99</v>
      </c>
      <c r="J150" s="12">
        <v>46305</v>
      </c>
      <c r="K150">
        <v>46305</v>
      </c>
    </row>
    <row r="151" spans="1:11" hidden="1" x14ac:dyDescent="0.25">
      <c r="A151" s="12" t="s">
        <v>58</v>
      </c>
      <c r="B151" s="12" t="s">
        <v>148</v>
      </c>
      <c r="C151" s="12" t="s">
        <v>15</v>
      </c>
      <c r="D151" s="12">
        <v>0</v>
      </c>
      <c r="E151" s="12">
        <v>0.95</v>
      </c>
      <c r="F151" s="12">
        <v>20</v>
      </c>
      <c r="G151" s="12">
        <v>0.95</v>
      </c>
      <c r="H151" s="12">
        <v>0</v>
      </c>
      <c r="I151" s="12" t="s">
        <v>99</v>
      </c>
      <c r="J151" s="12">
        <v>46305</v>
      </c>
      <c r="K151">
        <v>46305</v>
      </c>
    </row>
    <row r="152" spans="1:11" hidden="1" x14ac:dyDescent="0.25">
      <c r="A152" s="12" t="s">
        <v>58</v>
      </c>
      <c r="B152" s="12" t="s">
        <v>37</v>
      </c>
      <c r="C152" s="12" t="s">
        <v>15</v>
      </c>
      <c r="D152" s="12">
        <v>4.1033319103155144</v>
      </c>
      <c r="E152" s="12">
        <v>4.75</v>
      </c>
      <c r="F152" s="12">
        <v>20</v>
      </c>
      <c r="G152" s="12">
        <v>4.75</v>
      </c>
      <c r="H152" s="12">
        <v>4.6875</v>
      </c>
      <c r="I152" s="12" t="s">
        <v>99</v>
      </c>
      <c r="J152" s="12">
        <v>46305</v>
      </c>
      <c r="K152">
        <v>46305</v>
      </c>
    </row>
    <row r="153" spans="1:11" x14ac:dyDescent="0.25">
      <c r="A153" s="12" t="s">
        <v>58</v>
      </c>
      <c r="B153" s="12" t="s">
        <v>38</v>
      </c>
      <c r="C153" s="12" t="s">
        <v>13</v>
      </c>
      <c r="D153" s="12">
        <v>4.2006009096077328</v>
      </c>
      <c r="E153" s="12">
        <v>6.6499999999999995</v>
      </c>
      <c r="F153" s="12">
        <v>20</v>
      </c>
      <c r="G153" s="12">
        <v>6.6499999999999995</v>
      </c>
      <c r="H153" s="12">
        <v>4.3235294117647038</v>
      </c>
      <c r="I153" s="12" t="s">
        <v>98</v>
      </c>
      <c r="J153" s="12">
        <v>46305</v>
      </c>
      <c r="K153">
        <v>46305</v>
      </c>
    </row>
    <row r="154" spans="1:11" x14ac:dyDescent="0.25">
      <c r="A154" s="12" t="s">
        <v>58</v>
      </c>
      <c r="B154" s="12" t="s">
        <v>148</v>
      </c>
      <c r="C154" s="12" t="s">
        <v>13</v>
      </c>
      <c r="D154" s="12">
        <v>6.0000000000000018</v>
      </c>
      <c r="E154" s="12">
        <v>10.45</v>
      </c>
      <c r="F154" s="12">
        <v>20</v>
      </c>
      <c r="G154" s="12">
        <v>10.45</v>
      </c>
      <c r="H154" s="12">
        <v>6.4615384615384572</v>
      </c>
      <c r="I154" s="12" t="s">
        <v>98</v>
      </c>
      <c r="J154" s="12">
        <v>46305</v>
      </c>
      <c r="K154">
        <v>46305</v>
      </c>
    </row>
    <row r="155" spans="1:11" x14ac:dyDescent="0.25">
      <c r="A155" s="12" t="s">
        <v>58</v>
      </c>
      <c r="B155" s="12" t="s">
        <v>37</v>
      </c>
      <c r="C155" s="12" t="s">
        <v>13</v>
      </c>
      <c r="D155" s="12">
        <v>10.723374058957878</v>
      </c>
      <c r="E155" s="12">
        <v>15.2</v>
      </c>
      <c r="F155" s="12">
        <v>20</v>
      </c>
      <c r="G155" s="12">
        <v>15.2</v>
      </c>
      <c r="H155" s="12">
        <v>11.25</v>
      </c>
      <c r="I155" s="12" t="s">
        <v>98</v>
      </c>
      <c r="J155" s="12">
        <v>46305</v>
      </c>
      <c r="K155">
        <v>46305</v>
      </c>
    </row>
    <row r="156" spans="1:11" x14ac:dyDescent="0.25">
      <c r="A156" s="12" t="s">
        <v>58</v>
      </c>
      <c r="B156" s="12" t="s">
        <v>57</v>
      </c>
      <c r="C156" s="12" t="s">
        <v>13</v>
      </c>
      <c r="D156" s="12">
        <v>4.3768873710032166</v>
      </c>
      <c r="E156" s="12">
        <v>3.8</v>
      </c>
      <c r="F156" s="12">
        <v>18</v>
      </c>
      <c r="G156" s="12">
        <v>3.8</v>
      </c>
      <c r="H156" s="12">
        <v>3.7647058823529398</v>
      </c>
      <c r="I156" s="12" t="s">
        <v>98</v>
      </c>
      <c r="J156" s="12">
        <v>46305</v>
      </c>
      <c r="K156">
        <v>46305</v>
      </c>
    </row>
    <row r="157" spans="1:11" hidden="1" x14ac:dyDescent="0.25">
      <c r="A157" s="12" t="s">
        <v>58</v>
      </c>
      <c r="B157" s="12" t="s">
        <v>57</v>
      </c>
      <c r="C157" s="12" t="s">
        <v>15</v>
      </c>
      <c r="D157" s="12">
        <v>0</v>
      </c>
      <c r="E157" s="12">
        <v>1.9</v>
      </c>
      <c r="F157" s="12">
        <v>18</v>
      </c>
      <c r="G157" s="12">
        <v>1.9</v>
      </c>
      <c r="H157" s="12">
        <v>0</v>
      </c>
      <c r="I157" s="12" t="s">
        <v>99</v>
      </c>
      <c r="J157" s="12">
        <v>46305</v>
      </c>
      <c r="K157">
        <v>46305</v>
      </c>
    </row>
    <row r="158" spans="1:11" hidden="1" x14ac:dyDescent="0.25">
      <c r="A158" s="12" t="s">
        <v>58</v>
      </c>
      <c r="B158" s="12" t="s">
        <v>37</v>
      </c>
      <c r="C158" s="12" t="s">
        <v>15</v>
      </c>
      <c r="D158" s="12">
        <v>4.1033319103155144</v>
      </c>
      <c r="E158" s="12">
        <v>5.6999999999999993</v>
      </c>
      <c r="F158" s="12">
        <v>20</v>
      </c>
      <c r="G158" s="12">
        <v>5.6999999999999993</v>
      </c>
      <c r="H158" s="12">
        <v>4.6875</v>
      </c>
      <c r="I158" s="12" t="s">
        <v>101</v>
      </c>
      <c r="J158" s="12">
        <v>46306</v>
      </c>
      <c r="K158">
        <v>46306</v>
      </c>
    </row>
    <row r="159" spans="1:11" hidden="1" x14ac:dyDescent="0.25">
      <c r="A159" s="12" t="s">
        <v>58</v>
      </c>
      <c r="B159" s="12" t="s">
        <v>38</v>
      </c>
      <c r="C159" s="12" t="s">
        <v>14</v>
      </c>
      <c r="D159" s="12">
        <v>2.2591467076881915</v>
      </c>
      <c r="E159" s="12">
        <v>4.75</v>
      </c>
      <c r="F159" s="12">
        <v>20</v>
      </c>
      <c r="G159" s="12">
        <v>4.75</v>
      </c>
      <c r="H159" s="12">
        <v>2.0484429065743948</v>
      </c>
      <c r="I159" s="12" t="s">
        <v>100</v>
      </c>
      <c r="J159" s="12">
        <v>46306</v>
      </c>
      <c r="K159">
        <v>46306</v>
      </c>
    </row>
    <row r="160" spans="1:11" hidden="1" x14ac:dyDescent="0.25">
      <c r="A160" s="12" t="s">
        <v>58</v>
      </c>
      <c r="B160" s="12" t="s">
        <v>57</v>
      </c>
      <c r="C160" s="12" t="s">
        <v>14</v>
      </c>
      <c r="D160" s="12">
        <v>3.0895675560022697</v>
      </c>
      <c r="E160" s="12">
        <v>6.6499999999999995</v>
      </c>
      <c r="F160" s="12">
        <v>18</v>
      </c>
      <c r="G160" s="12">
        <v>6.6499999999999995</v>
      </c>
      <c r="H160" s="12">
        <v>3.6955017301038064</v>
      </c>
      <c r="I160" s="12" t="s">
        <v>100</v>
      </c>
      <c r="J160" s="12">
        <v>46306</v>
      </c>
      <c r="K160">
        <v>46306</v>
      </c>
    </row>
    <row r="161" spans="1:11" hidden="1" x14ac:dyDescent="0.25">
      <c r="A161" s="12" t="s">
        <v>58</v>
      </c>
      <c r="B161" s="12" t="s">
        <v>57</v>
      </c>
      <c r="C161" s="12" t="s">
        <v>15</v>
      </c>
      <c r="D161" s="12">
        <v>0</v>
      </c>
      <c r="E161" s="12">
        <v>1.9</v>
      </c>
      <c r="F161" s="12">
        <v>18</v>
      </c>
      <c r="G161" s="12">
        <v>1.9</v>
      </c>
      <c r="H161" s="12">
        <v>0</v>
      </c>
      <c r="I161" s="12" t="s">
        <v>101</v>
      </c>
      <c r="J161" s="12">
        <v>46306</v>
      </c>
      <c r="K161">
        <v>46306</v>
      </c>
    </row>
    <row r="162" spans="1:11" hidden="1" x14ac:dyDescent="0.25">
      <c r="A162" s="12" t="s">
        <v>58</v>
      </c>
      <c r="B162" s="12" t="s">
        <v>148</v>
      </c>
      <c r="C162" s="12" t="s">
        <v>15</v>
      </c>
      <c r="D162" s="12">
        <v>0</v>
      </c>
      <c r="E162" s="12">
        <v>0.95</v>
      </c>
      <c r="F162" s="12">
        <v>20</v>
      </c>
      <c r="G162" s="12">
        <v>0.95</v>
      </c>
      <c r="H162" s="12">
        <v>0.125</v>
      </c>
      <c r="I162" s="12" t="s">
        <v>101</v>
      </c>
      <c r="J162" s="12">
        <v>46306</v>
      </c>
      <c r="K162">
        <v>46306</v>
      </c>
    </row>
    <row r="163" spans="1:11" x14ac:dyDescent="0.25">
      <c r="A163" s="12" t="s">
        <v>58</v>
      </c>
      <c r="B163" s="12" t="s">
        <v>37</v>
      </c>
      <c r="C163" s="12" t="s">
        <v>13</v>
      </c>
      <c r="D163" s="12">
        <v>10.668662966820335</v>
      </c>
      <c r="E163" s="12">
        <v>17.099999999999998</v>
      </c>
      <c r="F163" s="12">
        <v>20</v>
      </c>
      <c r="G163" s="12">
        <v>17.099999999999998</v>
      </c>
      <c r="H163" s="12">
        <v>12.1875</v>
      </c>
      <c r="I163" s="12" t="s">
        <v>102</v>
      </c>
      <c r="J163" s="12">
        <v>46306</v>
      </c>
      <c r="K163">
        <v>46306</v>
      </c>
    </row>
    <row r="164" spans="1:11" x14ac:dyDescent="0.25">
      <c r="A164" s="12" t="s">
        <v>58</v>
      </c>
      <c r="B164" s="12" t="s">
        <v>38</v>
      </c>
      <c r="C164" s="12" t="s">
        <v>13</v>
      </c>
      <c r="D164" s="12">
        <v>2.4003433769187041</v>
      </c>
      <c r="E164" s="12">
        <v>5.6999999999999993</v>
      </c>
      <c r="F164" s="12">
        <v>20</v>
      </c>
      <c r="G164" s="12">
        <v>5.6999999999999993</v>
      </c>
      <c r="H164" s="12">
        <v>2.9411764705882359</v>
      </c>
      <c r="I164" s="12" t="s">
        <v>102</v>
      </c>
      <c r="J164" s="12">
        <v>46306</v>
      </c>
      <c r="K164">
        <v>46306</v>
      </c>
    </row>
    <row r="165" spans="1:11" x14ac:dyDescent="0.25">
      <c r="A165" s="12" t="s">
        <v>58</v>
      </c>
      <c r="B165" s="12" t="s">
        <v>57</v>
      </c>
      <c r="C165" s="12" t="s">
        <v>13</v>
      </c>
      <c r="D165" s="12">
        <v>4.3768873710032166</v>
      </c>
      <c r="E165" s="12">
        <v>2.8499999999999996</v>
      </c>
      <c r="F165" s="12">
        <v>18</v>
      </c>
      <c r="G165" s="12">
        <v>2.8499999999999996</v>
      </c>
      <c r="H165" s="12">
        <v>2.8235294117647065</v>
      </c>
      <c r="I165" s="12" t="s">
        <v>102</v>
      </c>
      <c r="J165" s="12">
        <v>46306</v>
      </c>
      <c r="K165">
        <v>46306</v>
      </c>
    </row>
    <row r="166" spans="1:11" x14ac:dyDescent="0.25">
      <c r="A166" s="12" t="s">
        <v>58</v>
      </c>
      <c r="B166" s="12" t="s">
        <v>148</v>
      </c>
      <c r="C166" s="12" t="s">
        <v>13</v>
      </c>
      <c r="D166" s="12">
        <v>6.0000000000000018</v>
      </c>
      <c r="E166" s="12">
        <v>11.4</v>
      </c>
      <c r="F166" s="12">
        <v>20</v>
      </c>
      <c r="G166" s="12">
        <v>11.4</v>
      </c>
      <c r="H166" s="12">
        <v>6.4615384615384581</v>
      </c>
      <c r="I166" s="12" t="s">
        <v>102</v>
      </c>
      <c r="J166" s="12">
        <v>46306</v>
      </c>
      <c r="K166">
        <v>46306</v>
      </c>
    </row>
    <row r="167" spans="1:11" hidden="1" x14ac:dyDescent="0.25">
      <c r="A167" s="12" t="s">
        <v>58</v>
      </c>
      <c r="B167" s="12" t="s">
        <v>37</v>
      </c>
      <c r="C167" s="12" t="s">
        <v>14</v>
      </c>
      <c r="D167" s="12">
        <v>10.668662966820335</v>
      </c>
      <c r="E167" s="12">
        <v>13.3</v>
      </c>
      <c r="F167" s="12">
        <v>20</v>
      </c>
      <c r="G167" s="12">
        <v>13.3</v>
      </c>
      <c r="H167" s="12">
        <v>12.1875</v>
      </c>
      <c r="I167" s="12" t="s">
        <v>100</v>
      </c>
      <c r="J167" s="12">
        <v>46306</v>
      </c>
      <c r="K167">
        <v>46306</v>
      </c>
    </row>
    <row r="168" spans="1:11" hidden="1" x14ac:dyDescent="0.25">
      <c r="A168" s="12" t="s">
        <v>58</v>
      </c>
      <c r="B168" s="12" t="s">
        <v>38</v>
      </c>
      <c r="C168" s="12" t="s">
        <v>15</v>
      </c>
      <c r="D168" s="12">
        <v>1.2801831343566421</v>
      </c>
      <c r="E168" s="12">
        <v>0.95</v>
      </c>
      <c r="F168" s="12">
        <v>20</v>
      </c>
      <c r="G168" s="12">
        <v>0.95</v>
      </c>
      <c r="H168" s="12">
        <v>0.94117647058823517</v>
      </c>
      <c r="I168" s="12" t="s">
        <v>101</v>
      </c>
      <c r="J168" s="12">
        <v>46306</v>
      </c>
      <c r="K168">
        <v>46306</v>
      </c>
    </row>
    <row r="169" spans="1:11" hidden="1" x14ac:dyDescent="0.25">
      <c r="A169" s="12" t="s">
        <v>58</v>
      </c>
      <c r="B169" s="12" t="s">
        <v>148</v>
      </c>
      <c r="C169" s="12" t="s">
        <v>14</v>
      </c>
      <c r="D169" s="12">
        <v>3.5294117647058827</v>
      </c>
      <c r="E169" s="12">
        <v>3.8</v>
      </c>
      <c r="F169" s="12">
        <v>20</v>
      </c>
      <c r="G169" s="12">
        <v>3.8</v>
      </c>
      <c r="H169" s="12">
        <v>2.3891402714932126</v>
      </c>
      <c r="I169" s="12" t="s">
        <v>100</v>
      </c>
      <c r="J169" s="12">
        <v>46306</v>
      </c>
      <c r="K169">
        <v>46306</v>
      </c>
    </row>
    <row r="170" spans="1:11" hidden="1" x14ac:dyDescent="0.25">
      <c r="A170" s="12" t="s">
        <v>58</v>
      </c>
      <c r="B170" s="12" t="s">
        <v>148</v>
      </c>
      <c r="C170" s="12" t="s">
        <v>14</v>
      </c>
      <c r="D170" s="12">
        <v>3.5294117647058827</v>
      </c>
      <c r="E170" s="12">
        <v>5.6999999999999993</v>
      </c>
      <c r="F170" s="12">
        <v>20</v>
      </c>
      <c r="G170" s="12">
        <v>5.6999999999999993</v>
      </c>
      <c r="H170" s="12">
        <v>2.6097285067873295</v>
      </c>
      <c r="I170" s="12" t="s">
        <v>103</v>
      </c>
      <c r="J170" s="12">
        <v>46307</v>
      </c>
      <c r="K170">
        <v>46307</v>
      </c>
    </row>
    <row r="171" spans="1:11" hidden="1" x14ac:dyDescent="0.25">
      <c r="A171" s="12" t="s">
        <v>58</v>
      </c>
      <c r="B171" s="12" t="s">
        <v>38</v>
      </c>
      <c r="C171" s="12" t="s">
        <v>14</v>
      </c>
      <c r="D171" s="12">
        <v>3.3887200615322879</v>
      </c>
      <c r="E171" s="12">
        <v>7.6</v>
      </c>
      <c r="F171" s="12">
        <v>20</v>
      </c>
      <c r="G171" s="12">
        <v>7.6</v>
      </c>
      <c r="H171" s="12">
        <v>3.2655709342560537</v>
      </c>
      <c r="I171" s="12" t="s">
        <v>103</v>
      </c>
      <c r="J171" s="12">
        <v>46307</v>
      </c>
      <c r="K171">
        <v>46307</v>
      </c>
    </row>
    <row r="172" spans="1:11" hidden="1" x14ac:dyDescent="0.25">
      <c r="A172" s="12" t="s">
        <v>58</v>
      </c>
      <c r="B172" s="12" t="s">
        <v>37</v>
      </c>
      <c r="C172" s="12" t="s">
        <v>15</v>
      </c>
      <c r="D172" s="12">
        <v>4.1033319103155144</v>
      </c>
      <c r="E172" s="12">
        <v>5.6999999999999993</v>
      </c>
      <c r="F172" s="12">
        <v>20</v>
      </c>
      <c r="G172" s="12">
        <v>5.6999999999999993</v>
      </c>
      <c r="H172" s="12">
        <v>4.6875</v>
      </c>
      <c r="I172" s="12" t="s">
        <v>104</v>
      </c>
      <c r="J172" s="12">
        <v>46307</v>
      </c>
      <c r="K172">
        <v>46307</v>
      </c>
    </row>
    <row r="173" spans="1:11" hidden="1" x14ac:dyDescent="0.25">
      <c r="A173" s="12" t="s">
        <v>58</v>
      </c>
      <c r="B173" s="12" t="s">
        <v>57</v>
      </c>
      <c r="C173" s="12" t="s">
        <v>14</v>
      </c>
      <c r="D173" s="12">
        <v>3.0895675560022693</v>
      </c>
      <c r="E173" s="12">
        <v>6.6499999999999995</v>
      </c>
      <c r="F173" s="12">
        <v>18</v>
      </c>
      <c r="G173" s="12">
        <v>6.6499999999999995</v>
      </c>
      <c r="H173" s="12">
        <v>3.7508650519031144</v>
      </c>
      <c r="I173" s="12" t="s">
        <v>103</v>
      </c>
      <c r="J173" s="12">
        <v>46307</v>
      </c>
      <c r="K173">
        <v>46307</v>
      </c>
    </row>
    <row r="174" spans="1:11" hidden="1" x14ac:dyDescent="0.25">
      <c r="A174" s="12" t="s">
        <v>58</v>
      </c>
      <c r="B174" s="12" t="s">
        <v>38</v>
      </c>
      <c r="C174" s="12" t="s">
        <v>15</v>
      </c>
      <c r="D174" s="12">
        <v>1.2801831343566421</v>
      </c>
      <c r="E174" s="12">
        <v>0.95</v>
      </c>
      <c r="F174" s="12">
        <v>20</v>
      </c>
      <c r="G174" s="12">
        <v>0.95</v>
      </c>
      <c r="H174" s="12">
        <v>0.94117647058823517</v>
      </c>
      <c r="I174" s="12" t="s">
        <v>104</v>
      </c>
      <c r="J174" s="12">
        <v>46307</v>
      </c>
      <c r="K174">
        <v>46307</v>
      </c>
    </row>
    <row r="175" spans="1:11" hidden="1" x14ac:dyDescent="0.25">
      <c r="A175" s="12" t="s">
        <v>58</v>
      </c>
      <c r="B175" s="12" t="s">
        <v>37</v>
      </c>
      <c r="C175" s="12" t="s">
        <v>14</v>
      </c>
      <c r="D175" s="12">
        <v>10.668662966820335</v>
      </c>
      <c r="E175" s="12">
        <v>13.3</v>
      </c>
      <c r="F175" s="12">
        <v>20</v>
      </c>
      <c r="G175" s="12">
        <v>13.3</v>
      </c>
      <c r="H175" s="12">
        <v>12.246323529411764</v>
      </c>
      <c r="I175" s="12" t="s">
        <v>103</v>
      </c>
      <c r="J175" s="12">
        <v>46307</v>
      </c>
      <c r="K175">
        <v>46307</v>
      </c>
    </row>
    <row r="176" spans="1:11" hidden="1" x14ac:dyDescent="0.25">
      <c r="A176" s="12" t="s">
        <v>58</v>
      </c>
      <c r="B176" s="12" t="s">
        <v>148</v>
      </c>
      <c r="C176" s="12" t="s">
        <v>15</v>
      </c>
      <c r="D176" s="12">
        <v>0</v>
      </c>
      <c r="E176" s="12">
        <v>3.8</v>
      </c>
      <c r="F176" s="12">
        <v>20</v>
      </c>
      <c r="G176" s="12">
        <v>3.8</v>
      </c>
      <c r="H176" s="12">
        <v>0</v>
      </c>
      <c r="I176" s="12" t="s">
        <v>104</v>
      </c>
      <c r="J176" s="12">
        <v>46307</v>
      </c>
      <c r="K176">
        <v>46307</v>
      </c>
    </row>
    <row r="177" spans="1:11" x14ac:dyDescent="0.25">
      <c r="A177" s="12" t="s">
        <v>58</v>
      </c>
      <c r="B177" s="12" t="s">
        <v>37</v>
      </c>
      <c r="C177" s="12" t="s">
        <v>13</v>
      </c>
      <c r="D177" s="12">
        <v>11.544040441020975</v>
      </c>
      <c r="E177" s="12">
        <v>15.2</v>
      </c>
      <c r="F177" s="12">
        <v>20</v>
      </c>
      <c r="G177" s="12">
        <v>15.2</v>
      </c>
      <c r="H177" s="12">
        <v>10.316176470588236</v>
      </c>
      <c r="I177" s="12" t="s">
        <v>105</v>
      </c>
      <c r="J177" s="12">
        <v>46307</v>
      </c>
      <c r="K177">
        <v>46307</v>
      </c>
    </row>
    <row r="178" spans="1:11" x14ac:dyDescent="0.25">
      <c r="A178" s="12" t="s">
        <v>58</v>
      </c>
      <c r="B178" s="12" t="s">
        <v>57</v>
      </c>
      <c r="C178" s="12" t="s">
        <v>13</v>
      </c>
      <c r="D178" s="12">
        <v>4.3768873710032166</v>
      </c>
      <c r="E178" s="12">
        <v>2.8499999999999996</v>
      </c>
      <c r="F178" s="12">
        <v>18</v>
      </c>
      <c r="G178" s="12">
        <v>2.8499999999999996</v>
      </c>
      <c r="H178" s="12">
        <v>3.7647058823529393</v>
      </c>
      <c r="I178" s="12" t="s">
        <v>105</v>
      </c>
      <c r="J178" s="12">
        <v>46307</v>
      </c>
      <c r="K178">
        <v>46307</v>
      </c>
    </row>
    <row r="179" spans="1:11" x14ac:dyDescent="0.25">
      <c r="A179" s="12" t="s">
        <v>58</v>
      </c>
      <c r="B179" s="12" t="s">
        <v>38</v>
      </c>
      <c r="C179" s="12" t="s">
        <v>13</v>
      </c>
      <c r="D179" s="12">
        <v>5.8508369812393415</v>
      </c>
      <c r="E179" s="12">
        <v>5.6999999999999993</v>
      </c>
      <c r="F179" s="12">
        <v>20</v>
      </c>
      <c r="G179" s="12">
        <v>5.6999999999999993</v>
      </c>
      <c r="H179" s="12">
        <v>3.5854779411764692</v>
      </c>
      <c r="I179" s="12" t="s">
        <v>105</v>
      </c>
      <c r="J179" s="12">
        <v>46307</v>
      </c>
      <c r="K179">
        <v>46307</v>
      </c>
    </row>
    <row r="180" spans="1:11" x14ac:dyDescent="0.25">
      <c r="A180" s="12" t="s">
        <v>58</v>
      </c>
      <c r="B180" s="12" t="s">
        <v>148</v>
      </c>
      <c r="C180" s="12" t="s">
        <v>13</v>
      </c>
      <c r="D180" s="12">
        <v>13.625000000000004</v>
      </c>
      <c r="E180" s="12">
        <v>16.149999999999999</v>
      </c>
      <c r="F180" s="12">
        <v>20</v>
      </c>
      <c r="G180" s="12">
        <v>16.149999999999999</v>
      </c>
      <c r="H180" s="12">
        <v>11.109975961538458</v>
      </c>
      <c r="I180" s="12" t="s">
        <v>105</v>
      </c>
      <c r="J180" s="12">
        <v>46307</v>
      </c>
      <c r="K180">
        <v>46307</v>
      </c>
    </row>
    <row r="181" spans="1:11" hidden="1" x14ac:dyDescent="0.25">
      <c r="A181" s="12" t="s">
        <v>58</v>
      </c>
      <c r="B181" s="12" t="s">
        <v>57</v>
      </c>
      <c r="C181" s="12" t="s">
        <v>15</v>
      </c>
      <c r="D181" s="12">
        <v>0</v>
      </c>
      <c r="E181" s="12">
        <v>0.95</v>
      </c>
      <c r="F181" s="12">
        <v>18</v>
      </c>
      <c r="G181" s="12">
        <v>0.95</v>
      </c>
      <c r="H181" s="12">
        <v>0</v>
      </c>
      <c r="I181" s="12" t="s">
        <v>104</v>
      </c>
      <c r="J181" s="12">
        <v>46307</v>
      </c>
      <c r="K181">
        <v>46307</v>
      </c>
    </row>
    <row r="182" spans="1:11" hidden="1" x14ac:dyDescent="0.25">
      <c r="A182" s="12" t="s">
        <v>58</v>
      </c>
      <c r="B182" s="12" t="s">
        <v>38</v>
      </c>
      <c r="C182" s="12" t="s">
        <v>15</v>
      </c>
      <c r="D182" s="12">
        <v>1.2801831343566421</v>
      </c>
      <c r="E182" s="12">
        <v>0.95</v>
      </c>
      <c r="F182" s="12">
        <v>20</v>
      </c>
      <c r="G182" s="12">
        <v>0.95</v>
      </c>
      <c r="H182" s="12">
        <v>0.94117647058823517</v>
      </c>
      <c r="I182" s="12" t="s">
        <v>106</v>
      </c>
      <c r="J182" s="12">
        <v>46308</v>
      </c>
      <c r="K182">
        <v>46308</v>
      </c>
    </row>
    <row r="183" spans="1:11" hidden="1" x14ac:dyDescent="0.25">
      <c r="A183" s="12" t="s">
        <v>58</v>
      </c>
      <c r="B183" s="12" t="s">
        <v>37</v>
      </c>
      <c r="C183" s="12" t="s">
        <v>14</v>
      </c>
      <c r="D183" s="12">
        <v>10.668662966820335</v>
      </c>
      <c r="E183" s="12">
        <v>12.35</v>
      </c>
      <c r="F183" s="12">
        <v>20</v>
      </c>
      <c r="G183" s="12">
        <v>12.35</v>
      </c>
      <c r="H183" s="12">
        <v>12.1875</v>
      </c>
      <c r="I183" s="12" t="s">
        <v>107</v>
      </c>
      <c r="J183" s="12">
        <v>46308</v>
      </c>
      <c r="K183">
        <v>46308</v>
      </c>
    </row>
    <row r="184" spans="1:11" hidden="1" x14ac:dyDescent="0.25">
      <c r="A184" s="12" t="s">
        <v>58</v>
      </c>
      <c r="B184" s="12" t="s">
        <v>38</v>
      </c>
      <c r="C184" s="12" t="s">
        <v>14</v>
      </c>
      <c r="D184" s="12">
        <v>3.3887200615322879</v>
      </c>
      <c r="E184" s="12">
        <v>7.6</v>
      </c>
      <c r="F184" s="12">
        <v>20</v>
      </c>
      <c r="G184" s="12">
        <v>7.6</v>
      </c>
      <c r="H184" s="12">
        <v>3.2655709342560537</v>
      </c>
      <c r="I184" s="12" t="s">
        <v>107</v>
      </c>
      <c r="J184" s="12">
        <v>46308</v>
      </c>
      <c r="K184">
        <v>46308</v>
      </c>
    </row>
    <row r="185" spans="1:11" hidden="1" x14ac:dyDescent="0.25">
      <c r="A185" s="12" t="s">
        <v>58</v>
      </c>
      <c r="B185" s="12" t="s">
        <v>37</v>
      </c>
      <c r="C185" s="12" t="s">
        <v>15</v>
      </c>
      <c r="D185" s="12">
        <v>4.1033319103155144</v>
      </c>
      <c r="E185" s="12">
        <v>5.6999999999999993</v>
      </c>
      <c r="F185" s="12">
        <v>20</v>
      </c>
      <c r="G185" s="12">
        <v>5.6999999999999993</v>
      </c>
      <c r="H185" s="12">
        <v>4.6875</v>
      </c>
      <c r="I185" s="12" t="s">
        <v>106</v>
      </c>
      <c r="J185" s="12">
        <v>46308</v>
      </c>
      <c r="K185">
        <v>46308</v>
      </c>
    </row>
    <row r="186" spans="1:11" hidden="1" x14ac:dyDescent="0.25">
      <c r="A186" s="12" t="s">
        <v>58</v>
      </c>
      <c r="B186" s="12" t="s">
        <v>57</v>
      </c>
      <c r="C186" s="12" t="s">
        <v>15</v>
      </c>
      <c r="D186" s="12">
        <v>0</v>
      </c>
      <c r="E186" s="12">
        <v>1.9</v>
      </c>
      <c r="F186" s="12">
        <v>18</v>
      </c>
      <c r="G186" s="12">
        <v>1.9</v>
      </c>
      <c r="H186" s="12">
        <v>0</v>
      </c>
      <c r="I186" s="12" t="s">
        <v>106</v>
      </c>
      <c r="J186" s="12">
        <v>46308</v>
      </c>
      <c r="K186">
        <v>46308</v>
      </c>
    </row>
    <row r="187" spans="1:11" hidden="1" x14ac:dyDescent="0.25">
      <c r="A187" s="12" t="s">
        <v>58</v>
      </c>
      <c r="B187" s="12" t="s">
        <v>148</v>
      </c>
      <c r="C187" s="12" t="s">
        <v>15</v>
      </c>
      <c r="D187" s="12">
        <v>0</v>
      </c>
      <c r="E187" s="12">
        <v>5.6999999999999993</v>
      </c>
      <c r="F187" s="12">
        <v>20</v>
      </c>
      <c r="G187" s="12">
        <v>5.6999999999999993</v>
      </c>
      <c r="H187" s="12">
        <v>0</v>
      </c>
      <c r="I187" s="12" t="s">
        <v>106</v>
      </c>
      <c r="J187" s="12">
        <v>46308</v>
      </c>
      <c r="K187">
        <v>46308</v>
      </c>
    </row>
    <row r="188" spans="1:11" x14ac:dyDescent="0.25">
      <c r="A188" s="12" t="s">
        <v>58</v>
      </c>
      <c r="B188" s="12" t="s">
        <v>38</v>
      </c>
      <c r="C188" s="12" t="s">
        <v>13</v>
      </c>
      <c r="D188" s="12">
        <v>5.8508369812393415</v>
      </c>
      <c r="E188" s="12">
        <v>5.6999999999999993</v>
      </c>
      <c r="F188" s="12">
        <v>20</v>
      </c>
      <c r="G188" s="12">
        <v>5.6999999999999993</v>
      </c>
      <c r="H188" s="12">
        <v>3.5854779411764692</v>
      </c>
      <c r="I188" s="12" t="s">
        <v>108</v>
      </c>
      <c r="J188" s="12">
        <v>46308</v>
      </c>
      <c r="K188">
        <v>46308</v>
      </c>
    </row>
    <row r="189" spans="1:11" hidden="1" x14ac:dyDescent="0.25">
      <c r="A189" s="12" t="s">
        <v>58</v>
      </c>
      <c r="B189" s="12" t="s">
        <v>57</v>
      </c>
      <c r="C189" s="12" t="s">
        <v>14</v>
      </c>
      <c r="D189" s="12">
        <v>3.0895675560022693</v>
      </c>
      <c r="E189" s="12">
        <v>6.6499999999999995</v>
      </c>
      <c r="F189" s="12">
        <v>18</v>
      </c>
      <c r="G189" s="12">
        <v>6.6499999999999995</v>
      </c>
      <c r="H189" s="12">
        <v>3.7508650519031144</v>
      </c>
      <c r="I189" s="12" t="s">
        <v>107</v>
      </c>
      <c r="J189" s="12">
        <v>46308</v>
      </c>
      <c r="K189">
        <v>46308</v>
      </c>
    </row>
    <row r="190" spans="1:11" x14ac:dyDescent="0.25">
      <c r="A190" s="12" t="s">
        <v>58</v>
      </c>
      <c r="B190" s="12" t="s">
        <v>57</v>
      </c>
      <c r="C190" s="12" t="s">
        <v>13</v>
      </c>
      <c r="D190" s="12">
        <v>4.3768873710032166</v>
      </c>
      <c r="E190" s="12">
        <v>2.8499999999999996</v>
      </c>
      <c r="F190" s="12">
        <v>18</v>
      </c>
      <c r="G190" s="12">
        <v>2.8499999999999996</v>
      </c>
      <c r="H190" s="12">
        <v>3.7647058823529385</v>
      </c>
      <c r="I190" s="12" t="s">
        <v>108</v>
      </c>
      <c r="J190" s="12">
        <v>46308</v>
      </c>
      <c r="K190">
        <v>46308</v>
      </c>
    </row>
    <row r="191" spans="1:11" x14ac:dyDescent="0.25">
      <c r="A191" s="12" t="s">
        <v>58</v>
      </c>
      <c r="B191" s="12" t="s">
        <v>37</v>
      </c>
      <c r="C191" s="12" t="s">
        <v>13</v>
      </c>
      <c r="D191" s="12">
        <v>12.665617829840556</v>
      </c>
      <c r="E191" s="12">
        <v>17.099999999999998</v>
      </c>
      <c r="F191" s="12">
        <v>20</v>
      </c>
      <c r="G191" s="12">
        <v>17.099999999999998</v>
      </c>
      <c r="H191" s="12">
        <v>13.531249999999998</v>
      </c>
      <c r="I191" s="12" t="s">
        <v>108</v>
      </c>
      <c r="J191" s="12">
        <v>46308</v>
      </c>
      <c r="K191">
        <v>46308</v>
      </c>
    </row>
    <row r="192" spans="1:11" x14ac:dyDescent="0.25">
      <c r="A192" s="12" t="s">
        <v>58</v>
      </c>
      <c r="B192" s="12" t="s">
        <v>148</v>
      </c>
      <c r="C192" s="12" t="s">
        <v>13</v>
      </c>
      <c r="D192" s="12">
        <v>13.625000000000004</v>
      </c>
      <c r="E192" s="12">
        <v>17.099999999999998</v>
      </c>
      <c r="F192" s="12">
        <v>20</v>
      </c>
      <c r="G192" s="12">
        <v>17.099999999999998</v>
      </c>
      <c r="H192" s="12">
        <v>11.395132211538453</v>
      </c>
      <c r="I192" s="12" t="s">
        <v>108</v>
      </c>
      <c r="J192" s="12">
        <v>46308</v>
      </c>
      <c r="K192">
        <v>46308</v>
      </c>
    </row>
    <row r="193" spans="1:11" hidden="1" x14ac:dyDescent="0.25">
      <c r="A193" s="12" t="s">
        <v>58</v>
      </c>
      <c r="B193" s="12" t="s">
        <v>148</v>
      </c>
      <c r="C193" s="12" t="s">
        <v>14</v>
      </c>
      <c r="D193" s="12">
        <v>2.8235294117647065</v>
      </c>
      <c r="E193" s="12">
        <v>6.6499999999999995</v>
      </c>
      <c r="F193" s="12">
        <v>20</v>
      </c>
      <c r="G193" s="12">
        <v>6.6499999999999995</v>
      </c>
      <c r="H193" s="12">
        <v>3.2163461538461529</v>
      </c>
      <c r="I193" s="12" t="s">
        <v>107</v>
      </c>
      <c r="J193" s="12">
        <v>46308</v>
      </c>
      <c r="K193">
        <v>46308</v>
      </c>
    </row>
    <row r="194" spans="1:11" hidden="1" x14ac:dyDescent="0.25">
      <c r="A194" s="12" t="s">
        <v>58</v>
      </c>
      <c r="B194" s="12" t="s">
        <v>37</v>
      </c>
      <c r="C194" s="12" t="s">
        <v>14</v>
      </c>
      <c r="D194" s="12">
        <v>10.504529690407708</v>
      </c>
      <c r="E194" s="12">
        <v>12.35</v>
      </c>
      <c r="F194" s="12">
        <v>20</v>
      </c>
      <c r="G194" s="12">
        <v>12.35</v>
      </c>
      <c r="H194" s="12">
        <v>11.691176470588234</v>
      </c>
      <c r="I194" s="12" t="s">
        <v>110</v>
      </c>
      <c r="J194" s="12">
        <v>46309</v>
      </c>
      <c r="K194">
        <v>46309</v>
      </c>
    </row>
    <row r="195" spans="1:11" hidden="1" x14ac:dyDescent="0.25">
      <c r="A195" s="12" t="s">
        <v>58</v>
      </c>
      <c r="B195" s="12" t="s">
        <v>148</v>
      </c>
      <c r="C195" s="12" t="s">
        <v>15</v>
      </c>
      <c r="D195" s="12">
        <v>0</v>
      </c>
      <c r="E195" s="12">
        <v>6.6499999999999995</v>
      </c>
      <c r="F195" s="12">
        <v>20</v>
      </c>
      <c r="G195" s="12">
        <v>6.6499999999999995</v>
      </c>
      <c r="H195" s="12">
        <v>0</v>
      </c>
      <c r="I195" s="12" t="s">
        <v>109</v>
      </c>
      <c r="J195" s="12">
        <v>46309</v>
      </c>
      <c r="K195">
        <v>46309</v>
      </c>
    </row>
    <row r="196" spans="1:11" hidden="1" x14ac:dyDescent="0.25">
      <c r="A196" s="12" t="s">
        <v>58</v>
      </c>
      <c r="B196" s="12" t="s">
        <v>57</v>
      </c>
      <c r="C196" s="12" t="s">
        <v>14</v>
      </c>
      <c r="D196" s="12">
        <v>3.8619594450028361</v>
      </c>
      <c r="E196" s="12">
        <v>6.6499999999999995</v>
      </c>
      <c r="F196" s="12">
        <v>18</v>
      </c>
      <c r="G196" s="12">
        <v>6.6499999999999995</v>
      </c>
      <c r="H196" s="12">
        <v>4.6332179930795849</v>
      </c>
      <c r="I196" s="12" t="s">
        <v>110</v>
      </c>
      <c r="J196" s="12">
        <v>46309</v>
      </c>
      <c r="K196">
        <v>46309</v>
      </c>
    </row>
    <row r="197" spans="1:11" hidden="1" x14ac:dyDescent="0.25">
      <c r="A197" s="12" t="s">
        <v>58</v>
      </c>
      <c r="B197" s="12" t="s">
        <v>37</v>
      </c>
      <c r="C197" s="12" t="s">
        <v>15</v>
      </c>
      <c r="D197" s="12">
        <v>4.1033319103155144</v>
      </c>
      <c r="E197" s="12">
        <v>6.6499999999999995</v>
      </c>
      <c r="F197" s="12">
        <v>20</v>
      </c>
      <c r="G197" s="12">
        <v>6.6499999999999995</v>
      </c>
      <c r="H197" s="12">
        <v>4.6875</v>
      </c>
      <c r="I197" s="12" t="s">
        <v>109</v>
      </c>
      <c r="J197" s="12">
        <v>46309</v>
      </c>
      <c r="K197">
        <v>46309</v>
      </c>
    </row>
    <row r="198" spans="1:11" hidden="1" x14ac:dyDescent="0.25">
      <c r="A198" s="12" t="s">
        <v>58</v>
      </c>
      <c r="B198" s="12" t="s">
        <v>148</v>
      </c>
      <c r="C198" s="12" t="s">
        <v>14</v>
      </c>
      <c r="D198" s="12">
        <v>3.5294117647058818</v>
      </c>
      <c r="E198" s="12">
        <v>7.6</v>
      </c>
      <c r="F198" s="12">
        <v>20</v>
      </c>
      <c r="G198" s="12">
        <v>7.6</v>
      </c>
      <c r="H198" s="12">
        <v>3.8160101144530216</v>
      </c>
      <c r="I198" s="12" t="s">
        <v>110</v>
      </c>
      <c r="J198" s="12">
        <v>46309</v>
      </c>
      <c r="K198">
        <v>46309</v>
      </c>
    </row>
    <row r="199" spans="1:11" hidden="1" x14ac:dyDescent="0.25">
      <c r="A199" s="12" t="s">
        <v>58</v>
      </c>
      <c r="B199" s="12" t="s">
        <v>57</v>
      </c>
      <c r="C199" s="12" t="s">
        <v>15</v>
      </c>
      <c r="D199" s="12">
        <v>0</v>
      </c>
      <c r="E199" s="12">
        <v>0.95</v>
      </c>
      <c r="F199" s="12">
        <v>18</v>
      </c>
      <c r="G199" s="12">
        <v>0.95</v>
      </c>
      <c r="H199" s="12">
        <v>0</v>
      </c>
      <c r="I199" s="12" t="s">
        <v>109</v>
      </c>
      <c r="J199" s="12">
        <v>46309</v>
      </c>
      <c r="K199">
        <v>46309</v>
      </c>
    </row>
    <row r="200" spans="1:11" hidden="1" x14ac:dyDescent="0.25">
      <c r="A200" s="12" t="s">
        <v>58</v>
      </c>
      <c r="B200" s="12" t="s">
        <v>38</v>
      </c>
      <c r="C200" s="12" t="s">
        <v>14</v>
      </c>
      <c r="D200" s="12">
        <v>3.9535067384543359</v>
      </c>
      <c r="E200" s="12">
        <v>6.6499999999999995</v>
      </c>
      <c r="F200" s="12">
        <v>20</v>
      </c>
      <c r="G200" s="12">
        <v>6.6499999999999995</v>
      </c>
      <c r="H200" s="12">
        <v>3.4602076124567476</v>
      </c>
      <c r="I200" s="12" t="s">
        <v>110</v>
      </c>
      <c r="J200" s="12">
        <v>46309</v>
      </c>
      <c r="K200">
        <v>46309</v>
      </c>
    </row>
    <row r="201" spans="1:11" x14ac:dyDescent="0.25">
      <c r="A201" s="12" t="s">
        <v>58</v>
      </c>
      <c r="B201" s="12" t="s">
        <v>148</v>
      </c>
      <c r="C201" s="12" t="s">
        <v>13</v>
      </c>
      <c r="D201" s="12">
        <v>13.687500000000004</v>
      </c>
      <c r="E201" s="12">
        <v>17.099999999999998</v>
      </c>
      <c r="F201" s="12">
        <v>20</v>
      </c>
      <c r="G201" s="12">
        <v>17.099999999999998</v>
      </c>
      <c r="H201" s="12">
        <v>11.570489253393664</v>
      </c>
      <c r="I201" s="12" t="s">
        <v>111</v>
      </c>
      <c r="J201" s="12">
        <v>46309</v>
      </c>
      <c r="K201">
        <v>46309</v>
      </c>
    </row>
    <row r="202" spans="1:11" x14ac:dyDescent="0.25">
      <c r="A202" s="12" t="s">
        <v>58</v>
      </c>
      <c r="B202" s="12" t="s">
        <v>57</v>
      </c>
      <c r="C202" s="12" t="s">
        <v>13</v>
      </c>
      <c r="D202" s="12">
        <v>4.3768873710032166</v>
      </c>
      <c r="E202" s="12">
        <v>2.8499999999999996</v>
      </c>
      <c r="F202" s="12">
        <v>18</v>
      </c>
      <c r="G202" s="12">
        <v>2.8499999999999996</v>
      </c>
      <c r="H202" s="12">
        <v>3.7647058823529393</v>
      </c>
      <c r="I202" s="12" t="s">
        <v>111</v>
      </c>
      <c r="J202" s="12">
        <v>46309</v>
      </c>
      <c r="K202">
        <v>46309</v>
      </c>
    </row>
    <row r="203" spans="1:11" x14ac:dyDescent="0.25">
      <c r="A203" s="12" t="s">
        <v>58</v>
      </c>
      <c r="B203" s="12" t="s">
        <v>37</v>
      </c>
      <c r="C203" s="12" t="s">
        <v>13</v>
      </c>
      <c r="D203" s="12">
        <v>12.227929092740236</v>
      </c>
      <c r="E203" s="12">
        <v>18.05</v>
      </c>
      <c r="F203" s="12">
        <v>20</v>
      </c>
      <c r="G203" s="12">
        <v>18.05</v>
      </c>
      <c r="H203" s="12">
        <v>13.090073529411764</v>
      </c>
      <c r="I203" s="12" t="s">
        <v>111</v>
      </c>
      <c r="J203" s="12">
        <v>46309</v>
      </c>
      <c r="K203">
        <v>46309</v>
      </c>
    </row>
    <row r="204" spans="1:11" x14ac:dyDescent="0.25">
      <c r="A204" s="12" t="s">
        <v>58</v>
      </c>
      <c r="B204" s="12" t="s">
        <v>38</v>
      </c>
      <c r="C204" s="12" t="s">
        <v>13</v>
      </c>
      <c r="D204" s="12">
        <v>4.6506652927799896</v>
      </c>
      <c r="E204" s="12">
        <v>3.8</v>
      </c>
      <c r="F204" s="12">
        <v>20</v>
      </c>
      <c r="G204" s="12">
        <v>3.8</v>
      </c>
      <c r="H204" s="12">
        <v>1.9411764705882355</v>
      </c>
      <c r="I204" s="12" t="s">
        <v>111</v>
      </c>
      <c r="J204" s="12">
        <v>46309</v>
      </c>
      <c r="K204">
        <v>46309</v>
      </c>
    </row>
    <row r="205" spans="1:11" hidden="1" x14ac:dyDescent="0.25">
      <c r="A205" s="12" t="s">
        <v>58</v>
      </c>
      <c r="B205" s="12" t="s">
        <v>38</v>
      </c>
      <c r="C205" s="12" t="s">
        <v>15</v>
      </c>
      <c r="D205" s="12">
        <v>1.2801831343566421</v>
      </c>
      <c r="E205" s="12">
        <v>0.95</v>
      </c>
      <c r="F205" s="12">
        <v>20</v>
      </c>
      <c r="G205" s="12">
        <v>0.95</v>
      </c>
      <c r="H205" s="12">
        <v>0.94117647058823517</v>
      </c>
      <c r="I205" s="12" t="s">
        <v>109</v>
      </c>
      <c r="J205" s="12">
        <v>46309</v>
      </c>
      <c r="K205">
        <v>46309</v>
      </c>
    </row>
    <row r="206" spans="1:11" hidden="1" x14ac:dyDescent="0.25">
      <c r="A206" s="12" t="s">
        <v>58</v>
      </c>
      <c r="B206" s="12" t="s">
        <v>148</v>
      </c>
      <c r="C206" s="12" t="s">
        <v>14</v>
      </c>
      <c r="D206" s="12">
        <v>3.5294117647058822</v>
      </c>
      <c r="E206" s="12">
        <v>6.6499999999999995</v>
      </c>
      <c r="F206" s="12">
        <v>20</v>
      </c>
      <c r="G206" s="12">
        <v>6.6499999999999995</v>
      </c>
      <c r="H206" s="12">
        <v>3.2187250465797179</v>
      </c>
      <c r="I206" s="12" t="s">
        <v>113</v>
      </c>
      <c r="J206" s="12">
        <v>46310</v>
      </c>
      <c r="K206">
        <v>46310</v>
      </c>
    </row>
    <row r="207" spans="1:11" hidden="1" x14ac:dyDescent="0.25">
      <c r="A207" s="12" t="s">
        <v>58</v>
      </c>
      <c r="B207" s="12" t="s">
        <v>37</v>
      </c>
      <c r="C207" s="12" t="s">
        <v>15</v>
      </c>
      <c r="D207" s="12">
        <v>4.1033319103155144</v>
      </c>
      <c r="E207" s="12">
        <v>5.6999999999999993</v>
      </c>
      <c r="F207" s="12">
        <v>20</v>
      </c>
      <c r="G207" s="12">
        <v>5.6999999999999993</v>
      </c>
      <c r="H207" s="12">
        <v>4.6875</v>
      </c>
      <c r="I207" s="12" t="s">
        <v>112</v>
      </c>
      <c r="J207" s="12">
        <v>46310</v>
      </c>
      <c r="K207">
        <v>46310</v>
      </c>
    </row>
    <row r="208" spans="1:11" hidden="1" x14ac:dyDescent="0.25">
      <c r="A208" s="12" t="s">
        <v>58</v>
      </c>
      <c r="B208" s="12" t="s">
        <v>37</v>
      </c>
      <c r="C208" s="12" t="s">
        <v>14</v>
      </c>
      <c r="D208" s="12">
        <v>10.668662966820332</v>
      </c>
      <c r="E208" s="12">
        <v>12.35</v>
      </c>
      <c r="F208" s="12">
        <v>20</v>
      </c>
      <c r="G208" s="12">
        <v>12.35</v>
      </c>
      <c r="H208" s="12">
        <v>12.1875</v>
      </c>
      <c r="I208" s="12" t="s">
        <v>113</v>
      </c>
      <c r="J208" s="12">
        <v>46310</v>
      </c>
      <c r="K208">
        <v>46310</v>
      </c>
    </row>
    <row r="209" spans="1:11" hidden="1" x14ac:dyDescent="0.25">
      <c r="A209" s="12" t="s">
        <v>58</v>
      </c>
      <c r="B209" s="12" t="s">
        <v>57</v>
      </c>
      <c r="C209" s="12" t="s">
        <v>15</v>
      </c>
      <c r="D209" s="12">
        <v>0</v>
      </c>
      <c r="E209" s="12">
        <v>0.95</v>
      </c>
      <c r="F209" s="12">
        <v>18</v>
      </c>
      <c r="G209" s="12">
        <v>0.95</v>
      </c>
      <c r="H209" s="12">
        <v>0</v>
      </c>
      <c r="I209" s="12" t="s">
        <v>112</v>
      </c>
      <c r="J209" s="12">
        <v>46310</v>
      </c>
      <c r="K209">
        <v>46310</v>
      </c>
    </row>
    <row r="210" spans="1:11" hidden="1" x14ac:dyDescent="0.25">
      <c r="A210" s="12" t="s">
        <v>58</v>
      </c>
      <c r="B210" s="12" t="s">
        <v>38</v>
      </c>
      <c r="C210" s="12" t="s">
        <v>15</v>
      </c>
      <c r="D210" s="12">
        <v>1.2801831343566421</v>
      </c>
      <c r="E210" s="12">
        <v>0.95</v>
      </c>
      <c r="F210" s="12">
        <v>20</v>
      </c>
      <c r="G210" s="12">
        <v>0.95</v>
      </c>
      <c r="H210" s="12">
        <v>0.94117647058823517</v>
      </c>
      <c r="I210" s="12" t="s">
        <v>112</v>
      </c>
      <c r="J210" s="12">
        <v>46310</v>
      </c>
      <c r="K210">
        <v>46310</v>
      </c>
    </row>
    <row r="211" spans="1:11" hidden="1" x14ac:dyDescent="0.25">
      <c r="A211" s="12" t="s">
        <v>58</v>
      </c>
      <c r="B211" s="12" t="s">
        <v>148</v>
      </c>
      <c r="C211" s="12" t="s">
        <v>15</v>
      </c>
      <c r="D211" s="12">
        <v>0</v>
      </c>
      <c r="E211" s="12">
        <v>4.75</v>
      </c>
      <c r="F211" s="12">
        <v>20</v>
      </c>
      <c r="G211" s="12">
        <v>4.75</v>
      </c>
      <c r="H211" s="12">
        <v>0</v>
      </c>
      <c r="I211" s="12" t="s">
        <v>112</v>
      </c>
      <c r="J211" s="12">
        <v>46310</v>
      </c>
      <c r="K211">
        <v>46310</v>
      </c>
    </row>
    <row r="212" spans="1:11" hidden="1" x14ac:dyDescent="0.25">
      <c r="A212" s="12" t="s">
        <v>58</v>
      </c>
      <c r="B212" s="12" t="s">
        <v>57</v>
      </c>
      <c r="C212" s="12" t="s">
        <v>14</v>
      </c>
      <c r="D212" s="12">
        <v>3.8619594450028361</v>
      </c>
      <c r="E212" s="12">
        <v>6.6499999999999995</v>
      </c>
      <c r="F212" s="12">
        <v>18</v>
      </c>
      <c r="G212" s="12">
        <v>6.6499999999999995</v>
      </c>
      <c r="H212" s="12">
        <v>3.7508650519031144</v>
      </c>
      <c r="I212" s="12" t="s">
        <v>113</v>
      </c>
      <c r="J212" s="12">
        <v>46310</v>
      </c>
      <c r="K212">
        <v>46310</v>
      </c>
    </row>
    <row r="213" spans="1:11" x14ac:dyDescent="0.25">
      <c r="A213" s="12" t="s">
        <v>58</v>
      </c>
      <c r="B213" s="12" t="s">
        <v>57</v>
      </c>
      <c r="C213" s="12" t="s">
        <v>13</v>
      </c>
      <c r="D213" s="12">
        <v>3.5015098968025731</v>
      </c>
      <c r="E213" s="12">
        <v>3.8</v>
      </c>
      <c r="F213" s="12">
        <v>18</v>
      </c>
      <c r="G213" s="12">
        <v>3.8</v>
      </c>
      <c r="H213" s="12">
        <v>3.7647058823529393</v>
      </c>
      <c r="I213" s="12" t="s">
        <v>114</v>
      </c>
      <c r="J213" s="12">
        <v>46310</v>
      </c>
      <c r="K213">
        <v>46310</v>
      </c>
    </row>
    <row r="214" spans="1:11" hidden="1" x14ac:dyDescent="0.25">
      <c r="A214" s="12" t="s">
        <v>58</v>
      </c>
      <c r="B214" s="12" t="s">
        <v>38</v>
      </c>
      <c r="C214" s="12" t="s">
        <v>14</v>
      </c>
      <c r="D214" s="12">
        <v>3.5299167307627997</v>
      </c>
      <c r="E214" s="12">
        <v>8.5499999999999989</v>
      </c>
      <c r="F214" s="12">
        <v>20</v>
      </c>
      <c r="G214" s="12">
        <v>8.5499999999999989</v>
      </c>
      <c r="H214" s="12">
        <v>3.1619012930249504</v>
      </c>
      <c r="I214" s="12" t="s">
        <v>113</v>
      </c>
      <c r="J214" s="12">
        <v>46310</v>
      </c>
      <c r="K214">
        <v>46310</v>
      </c>
    </row>
    <row r="215" spans="1:11" x14ac:dyDescent="0.25">
      <c r="A215" s="12" t="s">
        <v>58</v>
      </c>
      <c r="B215" s="12" t="s">
        <v>37</v>
      </c>
      <c r="C215" s="12" t="s">
        <v>13</v>
      </c>
      <c r="D215" s="12">
        <v>11.407262710677127</v>
      </c>
      <c r="E215" s="12">
        <v>18.05</v>
      </c>
      <c r="F215" s="12">
        <v>20</v>
      </c>
      <c r="G215" s="12">
        <v>18.05</v>
      </c>
      <c r="H215" s="12">
        <v>12.09375</v>
      </c>
      <c r="I215" s="12" t="s">
        <v>114</v>
      </c>
      <c r="J215" s="12">
        <v>46310</v>
      </c>
      <c r="K215">
        <v>46310</v>
      </c>
    </row>
    <row r="216" spans="1:11" x14ac:dyDescent="0.25">
      <c r="A216" s="12" t="s">
        <v>58</v>
      </c>
      <c r="B216" s="12" t="s">
        <v>38</v>
      </c>
      <c r="C216" s="12" t="s">
        <v>13</v>
      </c>
      <c r="D216" s="12">
        <v>6.000858442296761</v>
      </c>
      <c r="E216" s="12">
        <v>7.6</v>
      </c>
      <c r="F216" s="12">
        <v>20</v>
      </c>
      <c r="G216" s="12">
        <v>7.6</v>
      </c>
      <c r="H216" s="12">
        <v>4.8831269349845163</v>
      </c>
      <c r="I216" s="12" t="s">
        <v>114</v>
      </c>
      <c r="J216" s="12">
        <v>46310</v>
      </c>
      <c r="K216">
        <v>46310</v>
      </c>
    </row>
    <row r="217" spans="1:11" x14ac:dyDescent="0.25">
      <c r="A217" s="12" t="s">
        <v>58</v>
      </c>
      <c r="B217" s="12" t="s">
        <v>148</v>
      </c>
      <c r="C217" s="12" t="s">
        <v>13</v>
      </c>
      <c r="D217" s="12">
        <v>14.812500000000004</v>
      </c>
      <c r="E217" s="12">
        <v>14.25</v>
      </c>
      <c r="F217" s="12">
        <v>20</v>
      </c>
      <c r="G217" s="12">
        <v>14.25</v>
      </c>
      <c r="H217" s="12">
        <v>10.767604638009049</v>
      </c>
      <c r="I217" s="12" t="s">
        <v>114</v>
      </c>
      <c r="J217" s="12">
        <v>46310</v>
      </c>
      <c r="K217">
        <v>46310</v>
      </c>
    </row>
    <row r="218" spans="1:11" hidden="1" x14ac:dyDescent="0.25">
      <c r="A218" s="12" t="s">
        <v>58</v>
      </c>
      <c r="B218" s="12" t="s">
        <v>148</v>
      </c>
      <c r="C218" s="12" t="s">
        <v>14</v>
      </c>
      <c r="D218" s="12">
        <v>3.5294117647058822</v>
      </c>
      <c r="E218" s="12">
        <v>5.6999999999999993</v>
      </c>
      <c r="F218" s="12">
        <v>20</v>
      </c>
      <c r="G218" s="12">
        <v>5.6999999999999993</v>
      </c>
      <c r="H218" s="12">
        <v>2.6097285067873295</v>
      </c>
      <c r="I218" s="12" t="s">
        <v>116</v>
      </c>
      <c r="J218" s="12">
        <v>46311</v>
      </c>
      <c r="K218">
        <v>46311</v>
      </c>
    </row>
    <row r="219" spans="1:11" hidden="1" x14ac:dyDescent="0.25">
      <c r="A219" s="12" t="s">
        <v>58</v>
      </c>
      <c r="B219" s="12" t="s">
        <v>38</v>
      </c>
      <c r="C219" s="12" t="s">
        <v>14</v>
      </c>
      <c r="D219" s="12">
        <v>2.2591467076881915</v>
      </c>
      <c r="E219" s="12">
        <v>7.6</v>
      </c>
      <c r="F219" s="12">
        <v>20</v>
      </c>
      <c r="G219" s="12">
        <v>7.6</v>
      </c>
      <c r="H219" s="12">
        <v>2.3797577854671279</v>
      </c>
      <c r="I219" s="12" t="s">
        <v>116</v>
      </c>
      <c r="J219" s="12">
        <v>46311</v>
      </c>
      <c r="K219">
        <v>46311</v>
      </c>
    </row>
    <row r="220" spans="1:11" hidden="1" x14ac:dyDescent="0.25">
      <c r="A220" s="12" t="s">
        <v>58</v>
      </c>
      <c r="B220" s="12" t="s">
        <v>148</v>
      </c>
      <c r="C220" s="12" t="s">
        <v>15</v>
      </c>
      <c r="D220" s="12">
        <v>0</v>
      </c>
      <c r="E220" s="12">
        <v>4.75</v>
      </c>
      <c r="F220" s="12">
        <v>20</v>
      </c>
      <c r="G220" s="12">
        <v>4.75</v>
      </c>
      <c r="H220" s="12">
        <v>0</v>
      </c>
      <c r="I220" s="12" t="s">
        <v>117</v>
      </c>
      <c r="J220" s="12">
        <v>46311</v>
      </c>
      <c r="K220">
        <v>46311</v>
      </c>
    </row>
    <row r="221" spans="1:11" hidden="1" x14ac:dyDescent="0.25">
      <c r="A221" s="12" t="s">
        <v>58</v>
      </c>
      <c r="B221" s="12" t="s">
        <v>37</v>
      </c>
      <c r="C221" s="12" t="s">
        <v>15</v>
      </c>
      <c r="D221" s="12">
        <v>4.1033319103155144</v>
      </c>
      <c r="E221" s="12">
        <v>5.6999999999999993</v>
      </c>
      <c r="F221" s="12">
        <v>20</v>
      </c>
      <c r="G221" s="12">
        <v>5.6999999999999993</v>
      </c>
      <c r="H221" s="12">
        <v>4.6875</v>
      </c>
      <c r="I221" s="12" t="s">
        <v>117</v>
      </c>
      <c r="J221" s="12">
        <v>46311</v>
      </c>
      <c r="K221">
        <v>46311</v>
      </c>
    </row>
    <row r="222" spans="1:11" hidden="1" x14ac:dyDescent="0.25">
      <c r="A222" s="12" t="s">
        <v>58</v>
      </c>
      <c r="B222" s="12" t="s">
        <v>37</v>
      </c>
      <c r="C222" s="12" t="s">
        <v>14</v>
      </c>
      <c r="D222" s="12">
        <v>10.723374058957877</v>
      </c>
      <c r="E222" s="12">
        <v>12.35</v>
      </c>
      <c r="F222" s="12">
        <v>20</v>
      </c>
      <c r="G222" s="12">
        <v>12.35</v>
      </c>
      <c r="H222" s="12">
        <v>11.253676470588236</v>
      </c>
      <c r="I222" s="12" t="s">
        <v>116</v>
      </c>
      <c r="J222" s="12">
        <v>46311</v>
      </c>
      <c r="K222">
        <v>46311</v>
      </c>
    </row>
    <row r="223" spans="1:11" hidden="1" x14ac:dyDescent="0.25">
      <c r="A223" s="12" t="s">
        <v>58</v>
      </c>
      <c r="B223" s="12" t="s">
        <v>57</v>
      </c>
      <c r="C223" s="12" t="s">
        <v>15</v>
      </c>
      <c r="D223" s="12">
        <v>0</v>
      </c>
      <c r="E223" s="12">
        <v>0.95</v>
      </c>
      <c r="F223" s="12">
        <v>18</v>
      </c>
      <c r="G223" s="12">
        <v>0.95</v>
      </c>
      <c r="H223" s="12">
        <v>0</v>
      </c>
      <c r="I223" s="12" t="s">
        <v>117</v>
      </c>
      <c r="J223" s="12">
        <v>46311</v>
      </c>
      <c r="K223">
        <v>46311</v>
      </c>
    </row>
    <row r="224" spans="1:11" hidden="1" x14ac:dyDescent="0.25">
      <c r="A224" s="12" t="s">
        <v>58</v>
      </c>
      <c r="B224" s="12" t="s">
        <v>38</v>
      </c>
      <c r="C224" s="12" t="s">
        <v>15</v>
      </c>
      <c r="D224" s="12">
        <v>1.2801831343566421</v>
      </c>
      <c r="E224" s="12">
        <v>0.95</v>
      </c>
      <c r="F224" s="12">
        <v>20</v>
      </c>
      <c r="G224" s="12">
        <v>0.95</v>
      </c>
      <c r="H224" s="12">
        <v>0.94117647058823517</v>
      </c>
      <c r="I224" s="12" t="s">
        <v>117</v>
      </c>
      <c r="J224" s="12">
        <v>46311</v>
      </c>
      <c r="K224">
        <v>46311</v>
      </c>
    </row>
    <row r="225" spans="1:11" x14ac:dyDescent="0.25">
      <c r="A225" s="12" t="s">
        <v>58</v>
      </c>
      <c r="B225" s="12" t="s">
        <v>57</v>
      </c>
      <c r="C225" s="12" t="s">
        <v>13</v>
      </c>
      <c r="D225" s="12">
        <v>3.5015098968025731</v>
      </c>
      <c r="E225" s="12">
        <v>2.8499999999999996</v>
      </c>
      <c r="F225" s="12">
        <v>18</v>
      </c>
      <c r="G225" s="12">
        <v>2.8499999999999996</v>
      </c>
      <c r="H225" s="12">
        <v>2.8235294117647065</v>
      </c>
      <c r="I225" s="12" t="s">
        <v>115</v>
      </c>
      <c r="J225" s="12">
        <v>46311</v>
      </c>
      <c r="K225">
        <v>46311</v>
      </c>
    </row>
    <row r="226" spans="1:11" x14ac:dyDescent="0.25">
      <c r="A226" s="12" t="s">
        <v>58</v>
      </c>
      <c r="B226" s="12" t="s">
        <v>38</v>
      </c>
      <c r="C226" s="12" t="s">
        <v>13</v>
      </c>
      <c r="D226" s="12">
        <v>4.8006867538374083</v>
      </c>
      <c r="E226" s="12">
        <v>6.6499999999999995</v>
      </c>
      <c r="F226" s="12">
        <v>20</v>
      </c>
      <c r="G226" s="12">
        <v>6.6499999999999995</v>
      </c>
      <c r="H226" s="12">
        <v>4.5266544117647038</v>
      </c>
      <c r="I226" s="12" t="s">
        <v>115</v>
      </c>
      <c r="J226" s="12">
        <v>46311</v>
      </c>
      <c r="K226">
        <v>46311</v>
      </c>
    </row>
    <row r="227" spans="1:11" hidden="1" x14ac:dyDescent="0.25">
      <c r="A227" s="12" t="s">
        <v>58</v>
      </c>
      <c r="B227" s="12" t="s">
        <v>57</v>
      </c>
      <c r="C227" s="12" t="s">
        <v>14</v>
      </c>
      <c r="D227" s="12">
        <v>3.8619594450028369</v>
      </c>
      <c r="E227" s="12">
        <v>5.6999999999999993</v>
      </c>
      <c r="F227" s="12">
        <v>18</v>
      </c>
      <c r="G227" s="12">
        <v>5.6999999999999993</v>
      </c>
      <c r="H227" s="12">
        <v>3.6955017301038056</v>
      </c>
      <c r="I227" s="12" t="s">
        <v>116</v>
      </c>
      <c r="J227" s="12">
        <v>46311</v>
      </c>
      <c r="K227">
        <v>46311</v>
      </c>
    </row>
    <row r="228" spans="1:11" x14ac:dyDescent="0.25">
      <c r="A228" s="12" t="s">
        <v>58</v>
      </c>
      <c r="B228" s="12" t="s">
        <v>37</v>
      </c>
      <c r="C228" s="12" t="s">
        <v>13</v>
      </c>
      <c r="D228" s="12">
        <v>10.668662966820335</v>
      </c>
      <c r="E228" s="12">
        <v>18.05</v>
      </c>
      <c r="F228" s="12">
        <v>20</v>
      </c>
      <c r="G228" s="12">
        <v>18.05</v>
      </c>
      <c r="H228" s="12">
        <v>11.308823529411764</v>
      </c>
      <c r="I228" s="12" t="s">
        <v>115</v>
      </c>
      <c r="J228" s="12">
        <v>46311</v>
      </c>
      <c r="K228">
        <v>46311</v>
      </c>
    </row>
    <row r="229" spans="1:11" x14ac:dyDescent="0.25">
      <c r="A229" s="12" t="s">
        <v>58</v>
      </c>
      <c r="B229" s="12" t="s">
        <v>148</v>
      </c>
      <c r="C229" s="12" t="s">
        <v>13</v>
      </c>
      <c r="D229" s="12">
        <v>12.687500000000002</v>
      </c>
      <c r="E229" s="12">
        <v>13.3</v>
      </c>
      <c r="F229" s="12">
        <v>20</v>
      </c>
      <c r="G229" s="12">
        <v>13.3</v>
      </c>
      <c r="H229" s="12">
        <v>9.4771634615384581</v>
      </c>
      <c r="I229" s="12" t="s">
        <v>115</v>
      </c>
      <c r="J229" s="12">
        <v>46311</v>
      </c>
      <c r="K229">
        <v>46311</v>
      </c>
    </row>
    <row r="230" spans="1:11" x14ac:dyDescent="0.25">
      <c r="A230" s="12" t="s">
        <v>58</v>
      </c>
      <c r="B230" s="12" t="s">
        <v>37</v>
      </c>
      <c r="C230" s="12" t="s">
        <v>13</v>
      </c>
      <c r="D230" s="12">
        <v>10.723374058957878</v>
      </c>
      <c r="E230" s="12">
        <v>17.099999999999998</v>
      </c>
      <c r="F230" s="12">
        <v>20</v>
      </c>
      <c r="G230" s="12">
        <v>17.099999999999998</v>
      </c>
      <c r="H230" s="12">
        <v>11.941176470588234</v>
      </c>
      <c r="I230" s="12" t="s">
        <v>119</v>
      </c>
      <c r="J230" s="12">
        <v>46312</v>
      </c>
      <c r="K230">
        <v>46312</v>
      </c>
    </row>
    <row r="231" spans="1:11" x14ac:dyDescent="0.25">
      <c r="A231" s="12" t="s">
        <v>58</v>
      </c>
      <c r="B231" s="12" t="s">
        <v>148</v>
      </c>
      <c r="C231" s="12" t="s">
        <v>13</v>
      </c>
      <c r="D231" s="12">
        <v>6.9375000000000018</v>
      </c>
      <c r="E231" s="12">
        <v>7.6</v>
      </c>
      <c r="F231" s="12">
        <v>20</v>
      </c>
      <c r="G231" s="12">
        <v>7.6</v>
      </c>
      <c r="H231" s="12">
        <v>5.1391225961538431</v>
      </c>
      <c r="I231" s="12" t="s">
        <v>119</v>
      </c>
      <c r="J231" s="12">
        <v>46312</v>
      </c>
      <c r="K231">
        <v>46312</v>
      </c>
    </row>
    <row r="232" spans="1:11" x14ac:dyDescent="0.25">
      <c r="A232" s="12" t="s">
        <v>58</v>
      </c>
      <c r="B232" s="12" t="s">
        <v>57</v>
      </c>
      <c r="C232" s="12" t="s">
        <v>13</v>
      </c>
      <c r="D232" s="12">
        <v>4.3768873710032166</v>
      </c>
      <c r="E232" s="12">
        <v>4.75</v>
      </c>
      <c r="F232" s="12">
        <v>18</v>
      </c>
      <c r="G232" s="12">
        <v>4.75</v>
      </c>
      <c r="H232" s="12">
        <v>3.7647058823529385</v>
      </c>
      <c r="I232" s="12" t="s">
        <v>119</v>
      </c>
      <c r="J232" s="12">
        <v>46312</v>
      </c>
      <c r="K232">
        <v>46312</v>
      </c>
    </row>
    <row r="233" spans="1:11" hidden="1" x14ac:dyDescent="0.25">
      <c r="A233" s="12" t="s">
        <v>58</v>
      </c>
      <c r="B233" s="12" t="s">
        <v>148</v>
      </c>
      <c r="C233" s="12" t="s">
        <v>15</v>
      </c>
      <c r="D233" s="12">
        <v>0</v>
      </c>
      <c r="E233" s="12">
        <v>0.95</v>
      </c>
      <c r="F233" s="12">
        <v>20</v>
      </c>
      <c r="G233" s="12">
        <v>0.95</v>
      </c>
      <c r="H233" s="12">
        <v>0</v>
      </c>
      <c r="I233" s="12" t="s">
        <v>120</v>
      </c>
      <c r="J233" s="12">
        <v>46312</v>
      </c>
      <c r="K233">
        <v>46312</v>
      </c>
    </row>
    <row r="234" spans="1:11" hidden="1" x14ac:dyDescent="0.25">
      <c r="A234" s="12" t="s">
        <v>58</v>
      </c>
      <c r="B234" s="12" t="s">
        <v>38</v>
      </c>
      <c r="C234" s="12" t="s">
        <v>15</v>
      </c>
      <c r="D234" s="12">
        <v>1.2801831343566421</v>
      </c>
      <c r="E234" s="12">
        <v>0.95</v>
      </c>
      <c r="F234" s="12">
        <v>20</v>
      </c>
      <c r="G234" s="12">
        <v>0.95</v>
      </c>
      <c r="H234" s="12">
        <v>0.94117647058823517</v>
      </c>
      <c r="I234" s="12" t="s">
        <v>120</v>
      </c>
      <c r="J234" s="12">
        <v>46312</v>
      </c>
      <c r="K234">
        <v>46312</v>
      </c>
    </row>
    <row r="235" spans="1:11" hidden="1" x14ac:dyDescent="0.25">
      <c r="A235" s="12" t="s">
        <v>58</v>
      </c>
      <c r="B235" s="12" t="s">
        <v>57</v>
      </c>
      <c r="C235" s="12" t="s">
        <v>15</v>
      </c>
      <c r="D235" s="12">
        <v>0</v>
      </c>
      <c r="E235" s="12">
        <v>0.95</v>
      </c>
      <c r="F235" s="12">
        <v>18</v>
      </c>
      <c r="G235" s="12">
        <v>0.95</v>
      </c>
      <c r="H235" s="12">
        <v>0</v>
      </c>
      <c r="I235" s="12" t="s">
        <v>120</v>
      </c>
      <c r="J235" s="12">
        <v>46312</v>
      </c>
      <c r="K235">
        <v>46312</v>
      </c>
    </row>
    <row r="236" spans="1:11" hidden="1" x14ac:dyDescent="0.25">
      <c r="A236" s="12" t="s">
        <v>58</v>
      </c>
      <c r="B236" s="12" t="s">
        <v>37</v>
      </c>
      <c r="C236" s="12" t="s">
        <v>15</v>
      </c>
      <c r="D236" s="12">
        <v>4.1033319103155144</v>
      </c>
      <c r="E236" s="12">
        <v>4.75</v>
      </c>
      <c r="F236" s="12">
        <v>20</v>
      </c>
      <c r="G236" s="12">
        <v>4.75</v>
      </c>
      <c r="H236" s="12">
        <v>4.6875</v>
      </c>
      <c r="I236" s="12" t="s">
        <v>120</v>
      </c>
      <c r="J236" s="12">
        <v>46312</v>
      </c>
      <c r="K236">
        <v>46312</v>
      </c>
    </row>
    <row r="237" spans="1:11" hidden="1" x14ac:dyDescent="0.25">
      <c r="A237" s="12" t="s">
        <v>58</v>
      </c>
      <c r="B237" s="12" t="s">
        <v>38</v>
      </c>
      <c r="C237" s="12" t="s">
        <v>14</v>
      </c>
      <c r="D237" s="12">
        <v>3.388720061532287</v>
      </c>
      <c r="E237" s="12">
        <v>6.6499999999999995</v>
      </c>
      <c r="F237" s="12">
        <v>20</v>
      </c>
      <c r="G237" s="12">
        <v>6.6499999999999995</v>
      </c>
      <c r="H237" s="12">
        <v>3.0449826989619369</v>
      </c>
      <c r="I237" s="12" t="s">
        <v>118</v>
      </c>
      <c r="J237" s="12">
        <v>46312</v>
      </c>
      <c r="K237">
        <v>46312</v>
      </c>
    </row>
    <row r="238" spans="1:11" hidden="1" x14ac:dyDescent="0.25">
      <c r="A238" s="12" t="s">
        <v>58</v>
      </c>
      <c r="B238" s="12" t="s">
        <v>57</v>
      </c>
      <c r="C238" s="12" t="s">
        <v>14</v>
      </c>
      <c r="D238" s="12">
        <v>3.8619594450028369</v>
      </c>
      <c r="E238" s="12">
        <v>7.6</v>
      </c>
      <c r="F238" s="12">
        <v>18</v>
      </c>
      <c r="G238" s="12">
        <v>7.6</v>
      </c>
      <c r="H238" s="12">
        <v>4.633217993079584</v>
      </c>
      <c r="I238" s="12" t="s">
        <v>118</v>
      </c>
      <c r="J238" s="12">
        <v>46312</v>
      </c>
      <c r="K238">
        <v>46312</v>
      </c>
    </row>
    <row r="239" spans="1:11" x14ac:dyDescent="0.25">
      <c r="A239" s="12" t="s">
        <v>58</v>
      </c>
      <c r="B239" s="12" t="s">
        <v>38</v>
      </c>
      <c r="C239" s="12" t="s">
        <v>13</v>
      </c>
      <c r="D239" s="12">
        <v>3.6005150653780564</v>
      </c>
      <c r="E239" s="12">
        <v>3.8</v>
      </c>
      <c r="F239" s="12">
        <v>20</v>
      </c>
      <c r="G239" s="12">
        <v>3.8</v>
      </c>
      <c r="H239" s="12">
        <v>2.882352941176471</v>
      </c>
      <c r="I239" s="12" t="s">
        <v>119</v>
      </c>
      <c r="J239" s="12">
        <v>46312</v>
      </c>
      <c r="K239">
        <v>46312</v>
      </c>
    </row>
    <row r="240" spans="1:11" hidden="1" x14ac:dyDescent="0.25">
      <c r="A240" s="12" t="s">
        <v>58</v>
      </c>
      <c r="B240" s="12" t="s">
        <v>37</v>
      </c>
      <c r="C240" s="12" t="s">
        <v>14</v>
      </c>
      <c r="D240" s="12">
        <v>10.668662966820335</v>
      </c>
      <c r="E240" s="12">
        <v>14.25</v>
      </c>
      <c r="F240" s="12">
        <v>20</v>
      </c>
      <c r="G240" s="12">
        <v>14.25</v>
      </c>
      <c r="H240" s="12">
        <v>12.246323529411764</v>
      </c>
      <c r="I240" s="12" t="s">
        <v>118</v>
      </c>
      <c r="J240" s="12">
        <v>46312</v>
      </c>
      <c r="K240">
        <v>46312</v>
      </c>
    </row>
    <row r="241" spans="1:11" hidden="1" x14ac:dyDescent="0.25">
      <c r="A241" s="12" t="s">
        <v>58</v>
      </c>
      <c r="B241" s="12" t="s">
        <v>148</v>
      </c>
      <c r="C241" s="12" t="s">
        <v>14</v>
      </c>
      <c r="D241" s="12">
        <v>2.8235294117647061</v>
      </c>
      <c r="E241" s="12">
        <v>3.8</v>
      </c>
      <c r="F241" s="12">
        <v>20</v>
      </c>
      <c r="G241" s="12">
        <v>3.8</v>
      </c>
      <c r="H241" s="12">
        <v>2.3984728506787327</v>
      </c>
      <c r="I241" s="12" t="s">
        <v>118</v>
      </c>
      <c r="J241" s="12">
        <v>46312</v>
      </c>
      <c r="K241">
        <v>46312</v>
      </c>
    </row>
    <row r="242" spans="1:11" x14ac:dyDescent="0.25">
      <c r="A242" s="12" t="s">
        <v>58</v>
      </c>
      <c r="B242" s="12" t="s">
        <v>38</v>
      </c>
      <c r="C242" s="12" t="s">
        <v>13</v>
      </c>
      <c r="D242" s="12">
        <v>4.7256760233086981</v>
      </c>
      <c r="E242" s="12">
        <v>4.75</v>
      </c>
      <c r="F242" s="12">
        <v>20</v>
      </c>
      <c r="G242" s="12">
        <v>4.75</v>
      </c>
      <c r="H242" s="12">
        <v>2.8823529411764715</v>
      </c>
      <c r="I242" s="12" t="s">
        <v>121</v>
      </c>
      <c r="J242" s="12">
        <v>46313</v>
      </c>
      <c r="K242">
        <v>46313</v>
      </c>
    </row>
    <row r="243" spans="1:11" hidden="1" x14ac:dyDescent="0.25">
      <c r="A243" s="12" t="s">
        <v>58</v>
      </c>
      <c r="B243" s="12" t="s">
        <v>38</v>
      </c>
      <c r="C243" s="12" t="s">
        <v>14</v>
      </c>
      <c r="D243" s="12">
        <v>3.388720061532287</v>
      </c>
      <c r="E243" s="12">
        <v>6.6499999999999995</v>
      </c>
      <c r="F243" s="12">
        <v>20</v>
      </c>
      <c r="G243" s="12">
        <v>6.6499999999999995</v>
      </c>
      <c r="H243" s="12">
        <v>3.0449826989619369</v>
      </c>
      <c r="I243" s="12" t="s">
        <v>123</v>
      </c>
      <c r="J243" s="12">
        <v>46313</v>
      </c>
      <c r="K243">
        <v>46313</v>
      </c>
    </row>
    <row r="244" spans="1:11" hidden="1" x14ac:dyDescent="0.25">
      <c r="A244" s="12" t="s">
        <v>58</v>
      </c>
      <c r="B244" s="12" t="s">
        <v>57</v>
      </c>
      <c r="C244" s="12" t="s">
        <v>14</v>
      </c>
      <c r="D244" s="12">
        <v>3.8619594450028369</v>
      </c>
      <c r="E244" s="12">
        <v>6.6499999999999995</v>
      </c>
      <c r="F244" s="12">
        <v>18</v>
      </c>
      <c r="G244" s="12">
        <v>6.6499999999999995</v>
      </c>
      <c r="H244" s="12">
        <v>3.7508650519031135</v>
      </c>
      <c r="I244" s="12" t="s">
        <v>123</v>
      </c>
      <c r="J244" s="12">
        <v>46313</v>
      </c>
      <c r="K244">
        <v>46313</v>
      </c>
    </row>
    <row r="245" spans="1:11" hidden="1" x14ac:dyDescent="0.25">
      <c r="A245" s="12" t="s">
        <v>58</v>
      </c>
      <c r="B245" s="12" t="s">
        <v>37</v>
      </c>
      <c r="C245" s="12" t="s">
        <v>14</v>
      </c>
      <c r="D245" s="12">
        <v>11.489329348883439</v>
      </c>
      <c r="E245" s="12">
        <v>15.2</v>
      </c>
      <c r="F245" s="12">
        <v>20</v>
      </c>
      <c r="G245" s="12">
        <v>15.2</v>
      </c>
      <c r="H245" s="12">
        <v>13.125</v>
      </c>
      <c r="I245" s="12" t="s">
        <v>123</v>
      </c>
      <c r="J245" s="12">
        <v>46313</v>
      </c>
      <c r="K245">
        <v>46313</v>
      </c>
    </row>
    <row r="246" spans="1:11" hidden="1" x14ac:dyDescent="0.25">
      <c r="A246" s="12" t="s">
        <v>58</v>
      </c>
      <c r="B246" s="12" t="s">
        <v>148</v>
      </c>
      <c r="C246" s="12" t="s">
        <v>15</v>
      </c>
      <c r="D246" s="12">
        <v>0</v>
      </c>
      <c r="E246" s="12">
        <v>1.9</v>
      </c>
      <c r="F246" s="12">
        <v>20</v>
      </c>
      <c r="G246" s="12">
        <v>1.9</v>
      </c>
      <c r="H246" s="12">
        <v>0.125</v>
      </c>
      <c r="I246" s="12" t="s">
        <v>122</v>
      </c>
      <c r="J246" s="12">
        <v>46313</v>
      </c>
      <c r="K246">
        <v>46313</v>
      </c>
    </row>
    <row r="247" spans="1:11" hidden="1" x14ac:dyDescent="0.25">
      <c r="A247" s="12" t="s">
        <v>58</v>
      </c>
      <c r="B247" s="12" t="s">
        <v>148</v>
      </c>
      <c r="C247" s="12" t="s">
        <v>14</v>
      </c>
      <c r="D247" s="12">
        <v>2.8235294117647061</v>
      </c>
      <c r="E247" s="12">
        <v>3.8</v>
      </c>
      <c r="F247" s="12">
        <v>20</v>
      </c>
      <c r="G247" s="12">
        <v>3.8</v>
      </c>
      <c r="H247" s="12">
        <v>2.3984728506787327</v>
      </c>
      <c r="I247" s="12" t="s">
        <v>123</v>
      </c>
      <c r="J247" s="12">
        <v>46313</v>
      </c>
      <c r="K247">
        <v>46313</v>
      </c>
    </row>
    <row r="248" spans="1:11" hidden="1" x14ac:dyDescent="0.25">
      <c r="A248" s="12" t="s">
        <v>58</v>
      </c>
      <c r="B248" s="12" t="s">
        <v>37</v>
      </c>
      <c r="C248" s="12" t="s">
        <v>15</v>
      </c>
      <c r="D248" s="12">
        <v>4.1033319103155144</v>
      </c>
      <c r="E248" s="12">
        <v>4.75</v>
      </c>
      <c r="F248" s="12">
        <v>20</v>
      </c>
      <c r="G248" s="12">
        <v>4.75</v>
      </c>
      <c r="H248" s="12">
        <v>4.6875</v>
      </c>
      <c r="I248" s="12" t="s">
        <v>122</v>
      </c>
      <c r="J248" s="12">
        <v>46313</v>
      </c>
      <c r="K248">
        <v>46313</v>
      </c>
    </row>
    <row r="249" spans="1:11" hidden="1" x14ac:dyDescent="0.25">
      <c r="A249" s="12" t="s">
        <v>58</v>
      </c>
      <c r="B249" s="12" t="s">
        <v>57</v>
      </c>
      <c r="C249" s="12" t="s">
        <v>15</v>
      </c>
      <c r="D249" s="12">
        <v>0</v>
      </c>
      <c r="E249" s="12">
        <v>1.9</v>
      </c>
      <c r="F249" s="12">
        <v>18</v>
      </c>
      <c r="G249" s="12">
        <v>1.9</v>
      </c>
      <c r="H249" s="12">
        <v>0</v>
      </c>
      <c r="I249" s="12" t="s">
        <v>122</v>
      </c>
      <c r="J249" s="12">
        <v>46313</v>
      </c>
      <c r="K249">
        <v>46313</v>
      </c>
    </row>
    <row r="250" spans="1:11" x14ac:dyDescent="0.25">
      <c r="A250" s="12" t="s">
        <v>58</v>
      </c>
      <c r="B250" s="12" t="s">
        <v>148</v>
      </c>
      <c r="C250" s="12" t="s">
        <v>13</v>
      </c>
      <c r="D250" s="12">
        <v>6.9375000000000018</v>
      </c>
      <c r="E250" s="12">
        <v>10.45</v>
      </c>
      <c r="F250" s="12">
        <v>20</v>
      </c>
      <c r="G250" s="12">
        <v>10.45</v>
      </c>
      <c r="H250" s="12">
        <v>5.8891225961538431</v>
      </c>
      <c r="I250" s="12" t="s">
        <v>121</v>
      </c>
      <c r="J250" s="12">
        <v>46313</v>
      </c>
      <c r="K250">
        <v>46313</v>
      </c>
    </row>
    <row r="251" spans="1:11" x14ac:dyDescent="0.25">
      <c r="A251" s="12" t="s">
        <v>58</v>
      </c>
      <c r="B251" s="12" t="s">
        <v>57</v>
      </c>
      <c r="C251" s="12" t="s">
        <v>13</v>
      </c>
      <c r="D251" s="12">
        <v>4.3768873710032166</v>
      </c>
      <c r="E251" s="12">
        <v>3.8</v>
      </c>
      <c r="F251" s="12">
        <v>18</v>
      </c>
      <c r="G251" s="12">
        <v>3.8</v>
      </c>
      <c r="H251" s="12">
        <v>3.7647058823529393</v>
      </c>
      <c r="I251" s="12" t="s">
        <v>121</v>
      </c>
      <c r="J251" s="12">
        <v>46313</v>
      </c>
      <c r="K251">
        <v>46313</v>
      </c>
    </row>
    <row r="252" spans="1:11" x14ac:dyDescent="0.25">
      <c r="A252" s="12" t="s">
        <v>58</v>
      </c>
      <c r="B252" s="12" t="s">
        <v>37</v>
      </c>
      <c r="C252" s="12" t="s">
        <v>13</v>
      </c>
      <c r="D252" s="12">
        <v>10.668662966820335</v>
      </c>
      <c r="E252" s="12">
        <v>13.3</v>
      </c>
      <c r="F252" s="12">
        <v>20</v>
      </c>
      <c r="G252" s="12">
        <v>13.3</v>
      </c>
      <c r="H252" s="12">
        <v>12.1875</v>
      </c>
      <c r="I252" s="12" t="s">
        <v>121</v>
      </c>
      <c r="J252" s="12">
        <v>46313</v>
      </c>
      <c r="K252">
        <v>46313</v>
      </c>
    </row>
    <row r="253" spans="1:11" hidden="1" x14ac:dyDescent="0.25">
      <c r="A253" s="12" t="s">
        <v>58</v>
      </c>
      <c r="B253" s="12" t="s">
        <v>38</v>
      </c>
      <c r="C253" s="12" t="s">
        <v>15</v>
      </c>
      <c r="D253" s="12">
        <v>1.2801831343566421</v>
      </c>
      <c r="E253" s="12">
        <v>0.95</v>
      </c>
      <c r="F253" s="12">
        <v>20</v>
      </c>
      <c r="G253" s="12">
        <v>0.95</v>
      </c>
      <c r="H253" s="12">
        <v>0.94117647058823517</v>
      </c>
      <c r="I253" s="12" t="s">
        <v>122</v>
      </c>
      <c r="J253" s="12">
        <v>46313</v>
      </c>
      <c r="K253">
        <v>46313</v>
      </c>
    </row>
    <row r="254" spans="1:11" hidden="1" x14ac:dyDescent="0.25">
      <c r="A254" s="12" t="s">
        <v>58</v>
      </c>
      <c r="B254" s="12" t="s">
        <v>57</v>
      </c>
      <c r="C254" s="12" t="s">
        <v>15</v>
      </c>
      <c r="D254" s="12">
        <v>0</v>
      </c>
      <c r="E254" s="12">
        <v>0.95</v>
      </c>
      <c r="F254" s="12">
        <v>18</v>
      </c>
      <c r="G254" s="12">
        <v>0.95</v>
      </c>
      <c r="H254" s="12">
        <v>0</v>
      </c>
      <c r="I254" s="12" t="s">
        <v>125</v>
      </c>
      <c r="J254" s="12">
        <v>46314</v>
      </c>
      <c r="K254">
        <v>46314</v>
      </c>
    </row>
    <row r="255" spans="1:11" hidden="1" x14ac:dyDescent="0.25">
      <c r="A255" s="12" t="s">
        <v>58</v>
      </c>
      <c r="B255" s="12" t="s">
        <v>57</v>
      </c>
      <c r="C255" s="12" t="s">
        <v>14</v>
      </c>
      <c r="D255" s="12">
        <v>3.0895675560022693</v>
      </c>
      <c r="E255" s="12">
        <v>7.6</v>
      </c>
      <c r="F255" s="12">
        <v>18</v>
      </c>
      <c r="G255" s="12">
        <v>7.6</v>
      </c>
      <c r="H255" s="12">
        <v>3.7508650519031144</v>
      </c>
      <c r="I255" s="12" t="s">
        <v>124</v>
      </c>
      <c r="J255" s="12">
        <v>46314</v>
      </c>
      <c r="K255">
        <v>46314</v>
      </c>
    </row>
    <row r="256" spans="1:11" hidden="1" x14ac:dyDescent="0.25">
      <c r="A256" s="12" t="s">
        <v>58</v>
      </c>
      <c r="B256" s="12" t="s">
        <v>38</v>
      </c>
      <c r="C256" s="12" t="s">
        <v>14</v>
      </c>
      <c r="D256" s="12">
        <v>3.3887200615322879</v>
      </c>
      <c r="E256" s="12">
        <v>7.6</v>
      </c>
      <c r="F256" s="12">
        <v>20</v>
      </c>
      <c r="G256" s="12">
        <v>7.6</v>
      </c>
      <c r="H256" s="12">
        <v>3.4307958477508635</v>
      </c>
      <c r="I256" s="12" t="s">
        <v>124</v>
      </c>
      <c r="J256" s="12">
        <v>46314</v>
      </c>
      <c r="K256">
        <v>46314</v>
      </c>
    </row>
    <row r="257" spans="1:11" hidden="1" x14ac:dyDescent="0.25">
      <c r="A257" s="12" t="s">
        <v>58</v>
      </c>
      <c r="B257" s="12" t="s">
        <v>148</v>
      </c>
      <c r="C257" s="12" t="s">
        <v>14</v>
      </c>
      <c r="D257" s="12">
        <v>2.8235294117647065</v>
      </c>
      <c r="E257" s="12">
        <v>6.6499999999999995</v>
      </c>
      <c r="F257" s="12">
        <v>20</v>
      </c>
      <c r="G257" s="12">
        <v>6.6499999999999995</v>
      </c>
      <c r="H257" s="12">
        <v>3.2136500754147805</v>
      </c>
      <c r="I257" s="12" t="s">
        <v>124</v>
      </c>
      <c r="J257" s="12">
        <v>46314</v>
      </c>
      <c r="K257">
        <v>46314</v>
      </c>
    </row>
    <row r="258" spans="1:11" hidden="1" x14ac:dyDescent="0.25">
      <c r="A258" s="12" t="s">
        <v>58</v>
      </c>
      <c r="B258" s="12" t="s">
        <v>148</v>
      </c>
      <c r="C258" s="12" t="s">
        <v>15</v>
      </c>
      <c r="D258" s="12">
        <v>0</v>
      </c>
      <c r="E258" s="12">
        <v>4.75</v>
      </c>
      <c r="F258" s="12">
        <v>20</v>
      </c>
      <c r="G258" s="12">
        <v>4.75</v>
      </c>
      <c r="H258" s="12">
        <v>0</v>
      </c>
      <c r="I258" s="12" t="s">
        <v>125</v>
      </c>
      <c r="J258" s="12">
        <v>46314</v>
      </c>
      <c r="K258">
        <v>46314</v>
      </c>
    </row>
    <row r="259" spans="1:11" x14ac:dyDescent="0.25">
      <c r="A259" s="12" t="s">
        <v>58</v>
      </c>
      <c r="B259" s="12" t="s">
        <v>57</v>
      </c>
      <c r="C259" s="12" t="s">
        <v>13</v>
      </c>
      <c r="D259" s="12">
        <v>4.3768873710032157</v>
      </c>
      <c r="E259" s="12">
        <v>3.8</v>
      </c>
      <c r="F259" s="12">
        <v>18</v>
      </c>
      <c r="G259" s="12">
        <v>3.8</v>
      </c>
      <c r="H259" s="12">
        <v>3.7647058823529398</v>
      </c>
      <c r="I259" s="12" t="s">
        <v>126</v>
      </c>
      <c r="J259" s="12">
        <v>46314</v>
      </c>
      <c r="K259">
        <v>46314</v>
      </c>
    </row>
    <row r="260" spans="1:11" hidden="1" x14ac:dyDescent="0.25">
      <c r="A260" s="12" t="s">
        <v>58</v>
      </c>
      <c r="B260" s="12" t="s">
        <v>37</v>
      </c>
      <c r="C260" s="12" t="s">
        <v>15</v>
      </c>
      <c r="D260" s="12">
        <v>4.1033319103155144</v>
      </c>
      <c r="E260" s="12">
        <v>4.75</v>
      </c>
      <c r="F260" s="12">
        <v>20</v>
      </c>
      <c r="G260" s="12">
        <v>4.75</v>
      </c>
      <c r="H260" s="12">
        <v>4.6875</v>
      </c>
      <c r="I260" s="12" t="s">
        <v>125</v>
      </c>
      <c r="J260" s="12">
        <v>46314</v>
      </c>
      <c r="K260">
        <v>46314</v>
      </c>
    </row>
    <row r="261" spans="1:11" x14ac:dyDescent="0.25">
      <c r="A261" s="12" t="s">
        <v>58</v>
      </c>
      <c r="B261" s="12" t="s">
        <v>38</v>
      </c>
      <c r="C261" s="12" t="s">
        <v>13</v>
      </c>
      <c r="D261" s="12">
        <v>3.5255043348493462</v>
      </c>
      <c r="E261" s="12">
        <v>5.6999999999999993</v>
      </c>
      <c r="F261" s="12">
        <v>20</v>
      </c>
      <c r="G261" s="12">
        <v>5.6999999999999993</v>
      </c>
      <c r="H261" s="12">
        <v>3.3474264705882351</v>
      </c>
      <c r="I261" s="12" t="s">
        <v>126</v>
      </c>
      <c r="J261" s="12">
        <v>46314</v>
      </c>
      <c r="K261">
        <v>46314</v>
      </c>
    </row>
    <row r="262" spans="1:11" x14ac:dyDescent="0.25">
      <c r="A262" s="12" t="s">
        <v>58</v>
      </c>
      <c r="B262" s="12" t="s">
        <v>148</v>
      </c>
      <c r="C262" s="12" t="s">
        <v>13</v>
      </c>
      <c r="D262" s="12">
        <v>14.5</v>
      </c>
      <c r="E262" s="12">
        <v>16.149999999999999</v>
      </c>
      <c r="F262" s="12">
        <v>20</v>
      </c>
      <c r="G262" s="12">
        <v>16.149999999999999</v>
      </c>
      <c r="H262" s="12">
        <v>10.655809294871784</v>
      </c>
      <c r="I262" s="12" t="s">
        <v>126</v>
      </c>
      <c r="J262" s="12">
        <v>46314</v>
      </c>
      <c r="K262">
        <v>46314</v>
      </c>
    </row>
    <row r="263" spans="1:11" x14ac:dyDescent="0.25">
      <c r="A263" s="12" t="s">
        <v>58</v>
      </c>
      <c r="B263" s="12" t="s">
        <v>37</v>
      </c>
      <c r="C263" s="12" t="s">
        <v>13</v>
      </c>
      <c r="D263" s="12">
        <v>11.544040441020975</v>
      </c>
      <c r="E263" s="12">
        <v>18.05</v>
      </c>
      <c r="F263" s="12">
        <v>20</v>
      </c>
      <c r="G263" s="12">
        <v>18.05</v>
      </c>
      <c r="H263" s="12">
        <v>12.191176470588236</v>
      </c>
      <c r="I263" s="12" t="s">
        <v>126</v>
      </c>
      <c r="J263" s="12">
        <v>46314</v>
      </c>
      <c r="K263">
        <v>46314</v>
      </c>
    </row>
    <row r="264" spans="1:11" hidden="1" x14ac:dyDescent="0.25">
      <c r="A264" s="12" t="s">
        <v>58</v>
      </c>
      <c r="B264" s="12" t="s">
        <v>38</v>
      </c>
      <c r="C264" s="12" t="s">
        <v>15</v>
      </c>
      <c r="D264" s="12">
        <v>1.2801831343566421</v>
      </c>
      <c r="E264" s="12">
        <v>0.95</v>
      </c>
      <c r="F264" s="12">
        <v>20</v>
      </c>
      <c r="G264" s="12">
        <v>0.95</v>
      </c>
      <c r="H264" s="12">
        <v>0.94117647058823517</v>
      </c>
      <c r="I264" s="12" t="s">
        <v>125</v>
      </c>
      <c r="J264" s="12">
        <v>46314</v>
      </c>
      <c r="K264">
        <v>46314</v>
      </c>
    </row>
    <row r="265" spans="1:11" hidden="1" x14ac:dyDescent="0.25">
      <c r="A265" s="12" t="s">
        <v>58</v>
      </c>
      <c r="B265" s="12" t="s">
        <v>37</v>
      </c>
      <c r="C265" s="12" t="s">
        <v>14</v>
      </c>
      <c r="D265" s="12">
        <v>10.668662966820335</v>
      </c>
      <c r="E265" s="12">
        <v>14.25</v>
      </c>
      <c r="F265" s="12">
        <v>20</v>
      </c>
      <c r="G265" s="12">
        <v>14.25</v>
      </c>
      <c r="H265" s="12">
        <v>12.246323529411764</v>
      </c>
      <c r="I265" s="12" t="s">
        <v>124</v>
      </c>
      <c r="J265" s="12">
        <v>46314</v>
      </c>
      <c r="K265">
        <v>46314</v>
      </c>
    </row>
    <row r="266" spans="1:11" x14ac:dyDescent="0.25">
      <c r="A266" s="12" t="s">
        <v>58</v>
      </c>
      <c r="B266" s="12" t="s">
        <v>37</v>
      </c>
      <c r="C266" s="12" t="s">
        <v>13</v>
      </c>
      <c r="D266" s="12">
        <v>11.407262710677127</v>
      </c>
      <c r="E266" s="12">
        <v>15.2</v>
      </c>
      <c r="F266" s="12">
        <v>20</v>
      </c>
      <c r="G266" s="12">
        <v>15.2</v>
      </c>
      <c r="H266" s="12">
        <v>12.09375</v>
      </c>
      <c r="I266" s="12" t="s">
        <v>127</v>
      </c>
      <c r="J266" s="12">
        <v>46315</v>
      </c>
      <c r="K266">
        <v>46315</v>
      </c>
    </row>
    <row r="267" spans="1:11" hidden="1" x14ac:dyDescent="0.25">
      <c r="A267" s="12" t="s">
        <v>58</v>
      </c>
      <c r="B267" s="12" t="s">
        <v>37</v>
      </c>
      <c r="C267" s="12" t="s">
        <v>14</v>
      </c>
      <c r="D267" s="12">
        <v>10.668662966820335</v>
      </c>
      <c r="E267" s="12">
        <v>12.35</v>
      </c>
      <c r="F267" s="12">
        <v>20</v>
      </c>
      <c r="G267" s="12">
        <v>12.35</v>
      </c>
      <c r="H267" s="12">
        <v>12.1875</v>
      </c>
      <c r="I267" s="12" t="s">
        <v>129</v>
      </c>
      <c r="J267" s="12">
        <v>46315</v>
      </c>
      <c r="K267">
        <v>46315</v>
      </c>
    </row>
    <row r="268" spans="1:11" x14ac:dyDescent="0.25">
      <c r="A268" s="12" t="s">
        <v>58</v>
      </c>
      <c r="B268" s="12" t="s">
        <v>38</v>
      </c>
      <c r="C268" s="12" t="s">
        <v>13</v>
      </c>
      <c r="D268" s="12">
        <v>7.0510086696986942</v>
      </c>
      <c r="E268" s="12">
        <v>6.6499999999999995</v>
      </c>
      <c r="F268" s="12">
        <v>20</v>
      </c>
      <c r="G268" s="12">
        <v>6.6499999999999995</v>
      </c>
      <c r="H268" s="12">
        <v>4.5266544117647038</v>
      </c>
      <c r="I268" s="12" t="s">
        <v>127</v>
      </c>
      <c r="J268" s="12">
        <v>46315</v>
      </c>
      <c r="K268">
        <v>46315</v>
      </c>
    </row>
    <row r="269" spans="1:11" x14ac:dyDescent="0.25">
      <c r="A269" s="12" t="s">
        <v>58</v>
      </c>
      <c r="B269" s="12" t="s">
        <v>148</v>
      </c>
      <c r="C269" s="12" t="s">
        <v>13</v>
      </c>
      <c r="D269" s="12">
        <v>12.687500000000002</v>
      </c>
      <c r="E269" s="12">
        <v>15.2</v>
      </c>
      <c r="F269" s="12">
        <v>20</v>
      </c>
      <c r="G269" s="12">
        <v>15.2</v>
      </c>
      <c r="H269" s="12">
        <v>10.986778846153843</v>
      </c>
      <c r="I269" s="12" t="s">
        <v>127</v>
      </c>
      <c r="J269" s="12">
        <v>46315</v>
      </c>
      <c r="K269">
        <v>46315</v>
      </c>
    </row>
    <row r="270" spans="1:11" x14ac:dyDescent="0.25">
      <c r="A270" s="12" t="s">
        <v>58</v>
      </c>
      <c r="B270" s="12" t="s">
        <v>57</v>
      </c>
      <c r="C270" s="12" t="s">
        <v>13</v>
      </c>
      <c r="D270" s="12">
        <v>4.3768873710032166</v>
      </c>
      <c r="E270" s="12">
        <v>2.8499999999999996</v>
      </c>
      <c r="F270" s="12">
        <v>18</v>
      </c>
      <c r="G270" s="12">
        <v>2.8499999999999996</v>
      </c>
      <c r="H270" s="12">
        <v>3.7647058823529393</v>
      </c>
      <c r="I270" s="12" t="s">
        <v>127</v>
      </c>
      <c r="J270" s="12">
        <v>46315</v>
      </c>
      <c r="K270">
        <v>46315</v>
      </c>
    </row>
    <row r="271" spans="1:11" hidden="1" x14ac:dyDescent="0.25">
      <c r="A271" s="12" t="s">
        <v>58</v>
      </c>
      <c r="B271" s="12" t="s">
        <v>38</v>
      </c>
      <c r="C271" s="12" t="s">
        <v>15</v>
      </c>
      <c r="D271" s="12">
        <v>1.2801831343566421</v>
      </c>
      <c r="E271" s="12">
        <v>0.95</v>
      </c>
      <c r="F271" s="12">
        <v>20</v>
      </c>
      <c r="G271" s="12">
        <v>0.95</v>
      </c>
      <c r="H271" s="12">
        <v>0.94117647058823517</v>
      </c>
      <c r="I271" s="12" t="s">
        <v>128</v>
      </c>
      <c r="J271" s="12">
        <v>46315</v>
      </c>
      <c r="K271">
        <v>46315</v>
      </c>
    </row>
    <row r="272" spans="1:11" hidden="1" x14ac:dyDescent="0.25">
      <c r="A272" s="12" t="s">
        <v>58</v>
      </c>
      <c r="B272" s="12" t="s">
        <v>57</v>
      </c>
      <c r="C272" s="12" t="s">
        <v>15</v>
      </c>
      <c r="D272" s="12">
        <v>0</v>
      </c>
      <c r="E272" s="12">
        <v>0.95</v>
      </c>
      <c r="F272" s="12">
        <v>18</v>
      </c>
      <c r="G272" s="12">
        <v>0.95</v>
      </c>
      <c r="H272" s="12">
        <v>0</v>
      </c>
      <c r="I272" s="12" t="s">
        <v>128</v>
      </c>
      <c r="J272" s="12">
        <v>46315</v>
      </c>
      <c r="K272">
        <v>46315</v>
      </c>
    </row>
    <row r="273" spans="1:11" hidden="1" x14ac:dyDescent="0.25">
      <c r="A273" s="12" t="s">
        <v>58</v>
      </c>
      <c r="B273" s="12" t="s">
        <v>37</v>
      </c>
      <c r="C273" s="12" t="s">
        <v>15</v>
      </c>
      <c r="D273" s="12">
        <v>4.1033319103155144</v>
      </c>
      <c r="E273" s="12">
        <v>6.6499999999999995</v>
      </c>
      <c r="F273" s="12">
        <v>20</v>
      </c>
      <c r="G273" s="12">
        <v>6.6499999999999995</v>
      </c>
      <c r="H273" s="12">
        <v>4.6875</v>
      </c>
      <c r="I273" s="12" t="s">
        <v>128</v>
      </c>
      <c r="J273" s="12">
        <v>46315</v>
      </c>
      <c r="K273">
        <v>46315</v>
      </c>
    </row>
    <row r="274" spans="1:11" hidden="1" x14ac:dyDescent="0.25">
      <c r="A274" s="12" t="s">
        <v>58</v>
      </c>
      <c r="B274" s="12" t="s">
        <v>148</v>
      </c>
      <c r="C274" s="12" t="s">
        <v>15</v>
      </c>
      <c r="D274" s="12">
        <v>0</v>
      </c>
      <c r="E274" s="12">
        <v>5.6999999999999993</v>
      </c>
      <c r="F274" s="12">
        <v>20</v>
      </c>
      <c r="G274" s="12">
        <v>5.6999999999999993</v>
      </c>
      <c r="H274" s="12">
        <v>0</v>
      </c>
      <c r="I274" s="12" t="s">
        <v>128</v>
      </c>
      <c r="J274" s="12">
        <v>46315</v>
      </c>
      <c r="K274">
        <v>46315</v>
      </c>
    </row>
    <row r="275" spans="1:11" hidden="1" x14ac:dyDescent="0.25">
      <c r="A275" s="12" t="s">
        <v>58</v>
      </c>
      <c r="B275" s="12" t="s">
        <v>148</v>
      </c>
      <c r="C275" s="12" t="s">
        <v>14</v>
      </c>
      <c r="D275" s="12">
        <v>3.5294117647058827</v>
      </c>
      <c r="E275" s="12">
        <v>4.75</v>
      </c>
      <c r="F275" s="12">
        <v>20</v>
      </c>
      <c r="G275" s="12">
        <v>4.75</v>
      </c>
      <c r="H275" s="12">
        <v>2.0124434389140267</v>
      </c>
      <c r="I275" s="12" t="s">
        <v>129</v>
      </c>
      <c r="J275" s="12">
        <v>46315</v>
      </c>
      <c r="K275">
        <v>46315</v>
      </c>
    </row>
    <row r="276" spans="1:11" hidden="1" x14ac:dyDescent="0.25">
      <c r="A276" s="12" t="s">
        <v>58</v>
      </c>
      <c r="B276" s="12" t="s">
        <v>57</v>
      </c>
      <c r="C276" s="12" t="s">
        <v>14</v>
      </c>
      <c r="D276" s="12">
        <v>3.0895675560022693</v>
      </c>
      <c r="E276" s="12">
        <v>6.6499999999999995</v>
      </c>
      <c r="F276" s="12">
        <v>18</v>
      </c>
      <c r="G276" s="12">
        <v>6.6499999999999995</v>
      </c>
      <c r="H276" s="12">
        <v>3.7508650519031144</v>
      </c>
      <c r="I276" s="12" t="s">
        <v>129</v>
      </c>
      <c r="J276" s="12">
        <v>46315</v>
      </c>
      <c r="K276">
        <v>46315</v>
      </c>
    </row>
    <row r="277" spans="1:11" hidden="1" x14ac:dyDescent="0.25">
      <c r="A277" s="12" t="s">
        <v>58</v>
      </c>
      <c r="B277" s="12" t="s">
        <v>38</v>
      </c>
      <c r="C277" s="12" t="s">
        <v>14</v>
      </c>
      <c r="D277" s="12">
        <v>3.3887200615322879</v>
      </c>
      <c r="E277" s="12">
        <v>8.5499999999999989</v>
      </c>
      <c r="F277" s="12">
        <v>20</v>
      </c>
      <c r="G277" s="12">
        <v>8.5499999999999989</v>
      </c>
      <c r="H277" s="12">
        <v>3.3209342560553616</v>
      </c>
      <c r="I277" s="12" t="s">
        <v>129</v>
      </c>
      <c r="J277" s="12">
        <v>46315</v>
      </c>
      <c r="K277">
        <v>46315</v>
      </c>
    </row>
    <row r="278" spans="1:11" hidden="1" x14ac:dyDescent="0.25">
      <c r="A278" s="12" t="s">
        <v>58</v>
      </c>
      <c r="B278" s="12" t="s">
        <v>57</v>
      </c>
      <c r="C278" s="12" t="s">
        <v>14</v>
      </c>
      <c r="D278" s="12">
        <v>3.8619594450028361</v>
      </c>
      <c r="E278" s="12">
        <v>6.6499999999999995</v>
      </c>
      <c r="F278" s="12">
        <v>18</v>
      </c>
      <c r="G278" s="12">
        <v>6.6499999999999995</v>
      </c>
      <c r="H278" s="12">
        <v>4.6332179930795849</v>
      </c>
      <c r="I278" s="12" t="s">
        <v>130</v>
      </c>
      <c r="J278" s="12">
        <v>46316</v>
      </c>
      <c r="K278">
        <v>46316</v>
      </c>
    </row>
    <row r="279" spans="1:11" hidden="1" x14ac:dyDescent="0.25">
      <c r="A279" s="12" t="s">
        <v>58</v>
      </c>
      <c r="B279" s="12" t="s">
        <v>148</v>
      </c>
      <c r="C279" s="12" t="s">
        <v>14</v>
      </c>
      <c r="D279" s="12">
        <v>3.5294117647058822</v>
      </c>
      <c r="E279" s="12">
        <v>7.6</v>
      </c>
      <c r="F279" s="12">
        <v>20</v>
      </c>
      <c r="G279" s="12">
        <v>7.6</v>
      </c>
      <c r="H279" s="12">
        <v>3.816010114453019</v>
      </c>
      <c r="I279" s="12" t="s">
        <v>130</v>
      </c>
      <c r="J279" s="12">
        <v>46316</v>
      </c>
      <c r="K279">
        <v>46316</v>
      </c>
    </row>
    <row r="280" spans="1:11" hidden="1" x14ac:dyDescent="0.25">
      <c r="A280" s="12" t="s">
        <v>58</v>
      </c>
      <c r="B280" s="12" t="s">
        <v>38</v>
      </c>
      <c r="C280" s="12" t="s">
        <v>14</v>
      </c>
      <c r="D280" s="12">
        <v>3.3181217269170316</v>
      </c>
      <c r="E280" s="12">
        <v>8.5499999999999989</v>
      </c>
      <c r="F280" s="12">
        <v>20</v>
      </c>
      <c r="G280" s="12">
        <v>8.5499999999999989</v>
      </c>
      <c r="H280" s="12">
        <v>3.2606689734717413</v>
      </c>
      <c r="I280" s="12" t="s">
        <v>130</v>
      </c>
      <c r="J280" s="12">
        <v>46316</v>
      </c>
      <c r="K280">
        <v>46316</v>
      </c>
    </row>
    <row r="281" spans="1:11" hidden="1" x14ac:dyDescent="0.25">
      <c r="A281" s="12" t="s">
        <v>58</v>
      </c>
      <c r="B281" s="12" t="s">
        <v>57</v>
      </c>
      <c r="C281" s="12" t="s">
        <v>15</v>
      </c>
      <c r="D281" s="12">
        <v>0</v>
      </c>
      <c r="E281" s="12">
        <v>0</v>
      </c>
      <c r="F281" s="12">
        <v>18</v>
      </c>
      <c r="G281" s="12">
        <v>0</v>
      </c>
      <c r="H281" s="12">
        <v>0</v>
      </c>
      <c r="I281" s="12" t="s">
        <v>131</v>
      </c>
      <c r="J281" s="12">
        <v>46316</v>
      </c>
      <c r="K281">
        <v>46316</v>
      </c>
    </row>
    <row r="282" spans="1:11" hidden="1" x14ac:dyDescent="0.25">
      <c r="A282" s="12" t="s">
        <v>58</v>
      </c>
      <c r="B282" s="12" t="s">
        <v>37</v>
      </c>
      <c r="C282" s="12" t="s">
        <v>14</v>
      </c>
      <c r="D282" s="12">
        <v>10.504529690407711</v>
      </c>
      <c r="E282" s="12">
        <v>12.35</v>
      </c>
      <c r="F282" s="12">
        <v>20</v>
      </c>
      <c r="G282" s="12">
        <v>12.35</v>
      </c>
      <c r="H282" s="12">
        <v>11.937499999999998</v>
      </c>
      <c r="I282" s="12" t="s">
        <v>130</v>
      </c>
      <c r="J282" s="12">
        <v>46316</v>
      </c>
      <c r="K282">
        <v>46316</v>
      </c>
    </row>
    <row r="283" spans="1:11" hidden="1" x14ac:dyDescent="0.25">
      <c r="A283" s="12" t="s">
        <v>58</v>
      </c>
      <c r="B283" s="12" t="s">
        <v>148</v>
      </c>
      <c r="C283" s="12" t="s">
        <v>15</v>
      </c>
      <c r="D283" s="12">
        <v>0</v>
      </c>
      <c r="E283" s="12">
        <v>5.6999999999999993</v>
      </c>
      <c r="F283" s="12">
        <v>20</v>
      </c>
      <c r="G283" s="12">
        <v>5.6999999999999993</v>
      </c>
      <c r="H283" s="12">
        <v>0</v>
      </c>
      <c r="I283" s="12" t="s">
        <v>131</v>
      </c>
      <c r="J283" s="12">
        <v>46316</v>
      </c>
      <c r="K283">
        <v>46316</v>
      </c>
    </row>
    <row r="284" spans="1:11" hidden="1" x14ac:dyDescent="0.25">
      <c r="A284" s="12" t="s">
        <v>58</v>
      </c>
      <c r="B284" s="12" t="s">
        <v>38</v>
      </c>
      <c r="C284" s="12" t="s">
        <v>15</v>
      </c>
      <c r="D284" s="12">
        <v>1.2801831343566421</v>
      </c>
      <c r="E284" s="12">
        <v>0.95</v>
      </c>
      <c r="F284" s="12">
        <v>20</v>
      </c>
      <c r="G284" s="12">
        <v>0.95</v>
      </c>
      <c r="H284" s="12">
        <v>0.94117647058823517</v>
      </c>
      <c r="I284" s="12" t="s">
        <v>131</v>
      </c>
      <c r="J284" s="12">
        <v>46316</v>
      </c>
      <c r="K284">
        <v>46316</v>
      </c>
    </row>
    <row r="285" spans="1:11" x14ac:dyDescent="0.25">
      <c r="A285" s="12" t="s">
        <v>58</v>
      </c>
      <c r="B285" s="12" t="s">
        <v>148</v>
      </c>
      <c r="C285" s="12" t="s">
        <v>13</v>
      </c>
      <c r="D285" s="12">
        <v>13.687500000000004</v>
      </c>
      <c r="E285" s="12">
        <v>17.099999999999998</v>
      </c>
      <c r="F285" s="12">
        <v>20</v>
      </c>
      <c r="G285" s="12">
        <v>17.099999999999998</v>
      </c>
      <c r="H285" s="12">
        <v>10.820489253393667</v>
      </c>
      <c r="I285" s="12" t="s">
        <v>132</v>
      </c>
      <c r="J285" s="12">
        <v>46316</v>
      </c>
      <c r="K285">
        <v>46316</v>
      </c>
    </row>
    <row r="286" spans="1:11" x14ac:dyDescent="0.25">
      <c r="A286" s="12" t="s">
        <v>58</v>
      </c>
      <c r="B286" s="12" t="s">
        <v>57</v>
      </c>
      <c r="C286" s="12" t="s">
        <v>13</v>
      </c>
      <c r="D286" s="12">
        <v>3.5015098968025731</v>
      </c>
      <c r="E286" s="12">
        <v>2.8499999999999996</v>
      </c>
      <c r="F286" s="12">
        <v>18</v>
      </c>
      <c r="G286" s="12">
        <v>2.8499999999999996</v>
      </c>
      <c r="H286" s="12">
        <v>3.7647058823529385</v>
      </c>
      <c r="I286" s="12" t="s">
        <v>132</v>
      </c>
      <c r="J286" s="12">
        <v>46316</v>
      </c>
      <c r="K286">
        <v>46316</v>
      </c>
    </row>
    <row r="287" spans="1:11" x14ac:dyDescent="0.25">
      <c r="A287" s="12" t="s">
        <v>58</v>
      </c>
      <c r="B287" s="12" t="s">
        <v>37</v>
      </c>
      <c r="C287" s="12" t="s">
        <v>13</v>
      </c>
      <c r="D287" s="12">
        <v>11.407262710677127</v>
      </c>
      <c r="E287" s="12">
        <v>17.099999999999998</v>
      </c>
      <c r="F287" s="12">
        <v>20</v>
      </c>
      <c r="G287" s="12">
        <v>17.099999999999998</v>
      </c>
      <c r="H287" s="12">
        <v>12.09375</v>
      </c>
      <c r="I287" s="12" t="s">
        <v>132</v>
      </c>
      <c r="J287" s="12">
        <v>46316</v>
      </c>
      <c r="K287">
        <v>46316</v>
      </c>
    </row>
    <row r="288" spans="1:11" x14ac:dyDescent="0.25">
      <c r="A288" s="12" t="s">
        <v>58</v>
      </c>
      <c r="B288" s="12" t="s">
        <v>38</v>
      </c>
      <c r="C288" s="12" t="s">
        <v>13</v>
      </c>
      <c r="D288" s="12">
        <v>5.8508369812393424</v>
      </c>
      <c r="E288" s="12">
        <v>5.6999999999999993</v>
      </c>
      <c r="F288" s="12">
        <v>20</v>
      </c>
      <c r="G288" s="12">
        <v>5.6999999999999993</v>
      </c>
      <c r="H288" s="12">
        <v>4.2156862745098023</v>
      </c>
      <c r="I288" s="12" t="s">
        <v>132</v>
      </c>
      <c r="J288" s="12">
        <v>46316</v>
      </c>
      <c r="K288">
        <v>46316</v>
      </c>
    </row>
    <row r="289" spans="1:11" hidden="1" x14ac:dyDescent="0.25">
      <c r="A289" s="12" t="s">
        <v>58</v>
      </c>
      <c r="B289" s="12" t="s">
        <v>37</v>
      </c>
      <c r="C289" s="12" t="s">
        <v>15</v>
      </c>
      <c r="D289" s="12">
        <v>4.1033319103155144</v>
      </c>
      <c r="E289" s="12">
        <v>5.6999999999999993</v>
      </c>
      <c r="F289" s="12">
        <v>20</v>
      </c>
      <c r="G289" s="12">
        <v>5.6999999999999993</v>
      </c>
      <c r="H289" s="12">
        <v>4.6875</v>
      </c>
      <c r="I289" s="12" t="s">
        <v>131</v>
      </c>
      <c r="J289" s="12">
        <v>46316</v>
      </c>
      <c r="K289">
        <v>46316</v>
      </c>
    </row>
    <row r="290" spans="1:11" hidden="1" x14ac:dyDescent="0.25">
      <c r="A290" s="12" t="s">
        <v>58</v>
      </c>
      <c r="B290" s="12" t="s">
        <v>37</v>
      </c>
      <c r="C290" s="12" t="s">
        <v>14</v>
      </c>
      <c r="D290" s="12">
        <v>10.668662966820335</v>
      </c>
      <c r="E290" s="12">
        <v>12.35</v>
      </c>
      <c r="F290" s="12">
        <v>20</v>
      </c>
      <c r="G290" s="12">
        <v>12.35</v>
      </c>
      <c r="H290" s="12">
        <v>12.1875</v>
      </c>
      <c r="I290" s="12" t="s">
        <v>135</v>
      </c>
      <c r="J290" s="12">
        <v>46317</v>
      </c>
      <c r="K290">
        <v>46317</v>
      </c>
    </row>
    <row r="291" spans="1:11" x14ac:dyDescent="0.25">
      <c r="A291" s="12" t="s">
        <v>58</v>
      </c>
      <c r="B291" s="12" t="s">
        <v>38</v>
      </c>
      <c r="C291" s="12" t="s">
        <v>13</v>
      </c>
      <c r="D291" s="12">
        <v>5.7758262507106339</v>
      </c>
      <c r="E291" s="12">
        <v>5.6999999999999993</v>
      </c>
      <c r="F291" s="12">
        <v>20</v>
      </c>
      <c r="G291" s="12">
        <v>5.6999999999999993</v>
      </c>
      <c r="H291" s="12">
        <v>4.1104779411764696</v>
      </c>
      <c r="I291" s="12" t="s">
        <v>133</v>
      </c>
      <c r="J291" s="12">
        <v>46317</v>
      </c>
      <c r="K291">
        <v>46317</v>
      </c>
    </row>
    <row r="292" spans="1:11" x14ac:dyDescent="0.25">
      <c r="A292" s="12" t="s">
        <v>58</v>
      </c>
      <c r="B292" s="12" t="s">
        <v>148</v>
      </c>
      <c r="C292" s="12" t="s">
        <v>13</v>
      </c>
      <c r="D292" s="12">
        <v>14.812500000000004</v>
      </c>
      <c r="E292" s="12">
        <v>16.149999999999999</v>
      </c>
      <c r="F292" s="12">
        <v>20</v>
      </c>
      <c r="G292" s="12">
        <v>16.149999999999999</v>
      </c>
      <c r="H292" s="12">
        <v>11.820188772624419</v>
      </c>
      <c r="I292" s="12" t="s">
        <v>133</v>
      </c>
      <c r="J292" s="12">
        <v>46317</v>
      </c>
      <c r="K292">
        <v>46317</v>
      </c>
    </row>
    <row r="293" spans="1:11" x14ac:dyDescent="0.25">
      <c r="A293" s="12" t="s">
        <v>58</v>
      </c>
      <c r="B293" s="12" t="s">
        <v>37</v>
      </c>
      <c r="C293" s="12" t="s">
        <v>13</v>
      </c>
      <c r="D293" s="12">
        <v>11.407262710677127</v>
      </c>
      <c r="E293" s="12">
        <v>18.05</v>
      </c>
      <c r="F293" s="12">
        <v>20</v>
      </c>
      <c r="G293" s="12">
        <v>18.05</v>
      </c>
      <c r="H293" s="12">
        <v>13.03125</v>
      </c>
      <c r="I293" s="12" t="s">
        <v>133</v>
      </c>
      <c r="J293" s="12">
        <v>46317</v>
      </c>
      <c r="K293">
        <v>46317</v>
      </c>
    </row>
    <row r="294" spans="1:11" x14ac:dyDescent="0.25">
      <c r="A294" s="12" t="s">
        <v>58</v>
      </c>
      <c r="B294" s="12" t="s">
        <v>57</v>
      </c>
      <c r="C294" s="12" t="s">
        <v>13</v>
      </c>
      <c r="D294" s="12">
        <v>3.5015098968025731</v>
      </c>
      <c r="E294" s="12">
        <v>3.8</v>
      </c>
      <c r="F294" s="12">
        <v>18</v>
      </c>
      <c r="G294" s="12">
        <v>3.8</v>
      </c>
      <c r="H294" s="12">
        <v>3.7647058823529398</v>
      </c>
      <c r="I294" s="12" t="s">
        <v>133</v>
      </c>
      <c r="J294" s="12">
        <v>46317</v>
      </c>
      <c r="K294">
        <v>46317</v>
      </c>
    </row>
    <row r="295" spans="1:11" hidden="1" x14ac:dyDescent="0.25">
      <c r="A295" s="12" t="s">
        <v>58</v>
      </c>
      <c r="B295" s="12" t="s">
        <v>148</v>
      </c>
      <c r="C295" s="12" t="s">
        <v>15</v>
      </c>
      <c r="D295" s="12">
        <v>0</v>
      </c>
      <c r="E295" s="12">
        <v>3.8</v>
      </c>
      <c r="F295" s="12">
        <v>20</v>
      </c>
      <c r="G295" s="12">
        <v>3.8</v>
      </c>
      <c r="H295" s="12">
        <v>0</v>
      </c>
      <c r="I295" s="12" t="s">
        <v>134</v>
      </c>
      <c r="J295" s="12">
        <v>46317</v>
      </c>
      <c r="K295">
        <v>46317</v>
      </c>
    </row>
    <row r="296" spans="1:11" hidden="1" x14ac:dyDescent="0.25">
      <c r="A296" s="12" t="s">
        <v>58</v>
      </c>
      <c r="B296" s="12" t="s">
        <v>38</v>
      </c>
      <c r="C296" s="12" t="s">
        <v>15</v>
      </c>
      <c r="D296" s="12">
        <v>1.2801831343566421</v>
      </c>
      <c r="E296" s="12">
        <v>0.95</v>
      </c>
      <c r="F296" s="12">
        <v>20</v>
      </c>
      <c r="G296" s="12">
        <v>0.95</v>
      </c>
      <c r="H296" s="12">
        <v>0.94117647058823517</v>
      </c>
      <c r="I296" s="12" t="s">
        <v>134</v>
      </c>
      <c r="J296" s="12">
        <v>46317</v>
      </c>
      <c r="K296">
        <v>46317</v>
      </c>
    </row>
    <row r="297" spans="1:11" hidden="1" x14ac:dyDescent="0.25">
      <c r="A297" s="12" t="s">
        <v>58</v>
      </c>
      <c r="B297" s="12" t="s">
        <v>37</v>
      </c>
      <c r="C297" s="12" t="s">
        <v>15</v>
      </c>
      <c r="D297" s="12">
        <v>4.1033319103155144</v>
      </c>
      <c r="E297" s="12">
        <v>6.6499999999999995</v>
      </c>
      <c r="F297" s="12">
        <v>20</v>
      </c>
      <c r="G297" s="12">
        <v>6.6499999999999995</v>
      </c>
      <c r="H297" s="12">
        <v>4.6875</v>
      </c>
      <c r="I297" s="12" t="s">
        <v>134</v>
      </c>
      <c r="J297" s="12">
        <v>46317</v>
      </c>
      <c r="K297">
        <v>46317</v>
      </c>
    </row>
    <row r="298" spans="1:11" hidden="1" x14ac:dyDescent="0.25">
      <c r="A298" s="12" t="s">
        <v>58</v>
      </c>
      <c r="B298" s="12" t="s">
        <v>57</v>
      </c>
      <c r="C298" s="12" t="s">
        <v>15</v>
      </c>
      <c r="D298" s="12">
        <v>0</v>
      </c>
      <c r="E298" s="12">
        <v>0</v>
      </c>
      <c r="F298" s="12">
        <v>18</v>
      </c>
      <c r="G298" s="12">
        <v>0</v>
      </c>
      <c r="H298" s="12">
        <v>0</v>
      </c>
      <c r="I298" s="12" t="s">
        <v>134</v>
      </c>
      <c r="J298" s="12">
        <v>46317</v>
      </c>
      <c r="K298">
        <v>46317</v>
      </c>
    </row>
    <row r="299" spans="1:11" hidden="1" x14ac:dyDescent="0.25">
      <c r="A299" s="12" t="s">
        <v>58</v>
      </c>
      <c r="B299" s="12" t="s">
        <v>57</v>
      </c>
      <c r="C299" s="12" t="s">
        <v>14</v>
      </c>
      <c r="D299" s="12">
        <v>3.8619594450028369</v>
      </c>
      <c r="E299" s="12">
        <v>7.6</v>
      </c>
      <c r="F299" s="12">
        <v>18</v>
      </c>
      <c r="G299" s="12">
        <v>7.6</v>
      </c>
      <c r="H299" s="12">
        <v>4.6332179930795849</v>
      </c>
      <c r="I299" s="12" t="s">
        <v>135</v>
      </c>
      <c r="J299" s="12">
        <v>46317</v>
      </c>
      <c r="K299">
        <v>46317</v>
      </c>
    </row>
    <row r="300" spans="1:11" hidden="1" x14ac:dyDescent="0.25">
      <c r="A300" s="12" t="s">
        <v>58</v>
      </c>
      <c r="B300" s="12" t="s">
        <v>148</v>
      </c>
      <c r="C300" s="12" t="s">
        <v>14</v>
      </c>
      <c r="D300" s="12">
        <v>2.8235294117647061</v>
      </c>
      <c r="E300" s="12">
        <v>6.6499999999999995</v>
      </c>
      <c r="F300" s="12">
        <v>20</v>
      </c>
      <c r="G300" s="12">
        <v>6.6499999999999995</v>
      </c>
      <c r="H300" s="12">
        <v>3.2280576257652371</v>
      </c>
      <c r="I300" s="12" t="s">
        <v>135</v>
      </c>
      <c r="J300" s="12">
        <v>46317</v>
      </c>
      <c r="K300">
        <v>46317</v>
      </c>
    </row>
    <row r="301" spans="1:11" hidden="1" x14ac:dyDescent="0.25">
      <c r="A301" s="12" t="s">
        <v>58</v>
      </c>
      <c r="B301" s="12" t="s">
        <v>38</v>
      </c>
      <c r="C301" s="12" t="s">
        <v>14</v>
      </c>
      <c r="D301" s="12">
        <v>3.388720061532287</v>
      </c>
      <c r="E301" s="12">
        <v>8.5499999999999989</v>
      </c>
      <c r="F301" s="12">
        <v>20</v>
      </c>
      <c r="G301" s="12">
        <v>8.5499999999999989</v>
      </c>
      <c r="H301" s="12">
        <v>3.5949826989619367</v>
      </c>
      <c r="I301" s="12" t="s">
        <v>135</v>
      </c>
      <c r="J301" s="12">
        <v>46317</v>
      </c>
      <c r="K301">
        <v>46317</v>
      </c>
    </row>
    <row r="302" spans="1:11" hidden="1" x14ac:dyDescent="0.25">
      <c r="A302" s="12" t="s">
        <v>58</v>
      </c>
      <c r="B302" s="12" t="s">
        <v>38</v>
      </c>
      <c r="C302" s="12" t="s">
        <v>14</v>
      </c>
      <c r="D302" s="12">
        <v>2.2591467076881915</v>
      </c>
      <c r="E302" s="12">
        <v>6.6499999999999995</v>
      </c>
      <c r="F302" s="12">
        <v>20</v>
      </c>
      <c r="G302" s="12">
        <v>6.6499999999999995</v>
      </c>
      <c r="H302" s="12">
        <v>2.6538062283737021</v>
      </c>
      <c r="I302" s="12" t="s">
        <v>138</v>
      </c>
      <c r="J302" s="12">
        <v>46318</v>
      </c>
      <c r="K302">
        <v>46318</v>
      </c>
    </row>
    <row r="303" spans="1:11" hidden="1" x14ac:dyDescent="0.25">
      <c r="A303" s="12" t="s">
        <v>58</v>
      </c>
      <c r="B303" s="12" t="s">
        <v>148</v>
      </c>
      <c r="C303" s="12" t="s">
        <v>14</v>
      </c>
      <c r="D303" s="12">
        <v>2.8235294117647061</v>
      </c>
      <c r="E303" s="12">
        <v>4.75</v>
      </c>
      <c r="F303" s="12">
        <v>20</v>
      </c>
      <c r="G303" s="12">
        <v>4.75</v>
      </c>
      <c r="H303" s="12">
        <v>2.0217760180995472</v>
      </c>
      <c r="I303" s="12" t="s">
        <v>138</v>
      </c>
      <c r="J303" s="12">
        <v>46318</v>
      </c>
      <c r="K303">
        <v>46318</v>
      </c>
    </row>
    <row r="304" spans="1:11" hidden="1" x14ac:dyDescent="0.25">
      <c r="A304" s="12" t="s">
        <v>58</v>
      </c>
      <c r="B304" s="12" t="s">
        <v>37</v>
      </c>
      <c r="C304" s="12" t="s">
        <v>14</v>
      </c>
      <c r="D304" s="12">
        <v>10.723374058957877</v>
      </c>
      <c r="E304" s="12">
        <v>12.35</v>
      </c>
      <c r="F304" s="12">
        <v>20</v>
      </c>
      <c r="G304" s="12">
        <v>12.35</v>
      </c>
      <c r="H304" s="12">
        <v>12.1875</v>
      </c>
      <c r="I304" s="12" t="s">
        <v>138</v>
      </c>
      <c r="J304" s="12">
        <v>46318</v>
      </c>
      <c r="K304">
        <v>46318</v>
      </c>
    </row>
    <row r="305" spans="1:11" hidden="1" x14ac:dyDescent="0.25">
      <c r="A305" s="12" t="s">
        <v>58</v>
      </c>
      <c r="B305" s="12" t="s">
        <v>57</v>
      </c>
      <c r="C305" s="12" t="s">
        <v>14</v>
      </c>
      <c r="D305" s="12">
        <v>3.8619594450028369</v>
      </c>
      <c r="E305" s="12">
        <v>7.6</v>
      </c>
      <c r="F305" s="12">
        <v>18</v>
      </c>
      <c r="G305" s="12">
        <v>7.6</v>
      </c>
      <c r="H305" s="12">
        <v>4.6332179930795849</v>
      </c>
      <c r="I305" s="12" t="s">
        <v>138</v>
      </c>
      <c r="J305" s="12">
        <v>46318</v>
      </c>
      <c r="K305">
        <v>46318</v>
      </c>
    </row>
    <row r="306" spans="1:11" hidden="1" x14ac:dyDescent="0.25">
      <c r="A306" s="12" t="s">
        <v>58</v>
      </c>
      <c r="B306" s="12" t="s">
        <v>37</v>
      </c>
      <c r="C306" s="12" t="s">
        <v>15</v>
      </c>
      <c r="D306" s="12">
        <v>4.1033319103155144</v>
      </c>
      <c r="E306" s="12">
        <v>5.6999999999999993</v>
      </c>
      <c r="F306" s="12">
        <v>20</v>
      </c>
      <c r="G306" s="12">
        <v>5.6999999999999993</v>
      </c>
      <c r="H306" s="12">
        <v>4.6875</v>
      </c>
      <c r="I306" s="12" t="s">
        <v>137</v>
      </c>
      <c r="J306" s="12">
        <v>46318</v>
      </c>
      <c r="K306">
        <v>46318</v>
      </c>
    </row>
    <row r="307" spans="1:11" hidden="1" x14ac:dyDescent="0.25">
      <c r="A307" s="12" t="s">
        <v>58</v>
      </c>
      <c r="B307" s="12" t="s">
        <v>148</v>
      </c>
      <c r="C307" s="12" t="s">
        <v>15</v>
      </c>
      <c r="D307" s="12">
        <v>0</v>
      </c>
      <c r="E307" s="12">
        <v>5.6999999999999993</v>
      </c>
      <c r="F307" s="12">
        <v>20</v>
      </c>
      <c r="G307" s="12">
        <v>5.6999999999999993</v>
      </c>
      <c r="H307" s="12">
        <v>0</v>
      </c>
      <c r="I307" s="12" t="s">
        <v>137</v>
      </c>
      <c r="J307" s="12">
        <v>46318</v>
      </c>
      <c r="K307">
        <v>46318</v>
      </c>
    </row>
    <row r="308" spans="1:11" x14ac:dyDescent="0.25">
      <c r="A308" s="12" t="s">
        <v>58</v>
      </c>
      <c r="B308" s="12" t="s">
        <v>57</v>
      </c>
      <c r="C308" s="12" t="s">
        <v>13</v>
      </c>
      <c r="D308" s="12">
        <v>3.5015098968025731</v>
      </c>
      <c r="E308" s="12">
        <v>3.8</v>
      </c>
      <c r="F308" s="12">
        <v>18</v>
      </c>
      <c r="G308" s="12">
        <v>3.8</v>
      </c>
      <c r="H308" s="12">
        <v>3.7647058823529393</v>
      </c>
      <c r="I308" s="12" t="s">
        <v>136</v>
      </c>
      <c r="J308" s="12">
        <v>46318</v>
      </c>
      <c r="K308">
        <v>46318</v>
      </c>
    </row>
    <row r="309" spans="1:11" hidden="1" x14ac:dyDescent="0.25">
      <c r="A309" s="12" t="s">
        <v>58</v>
      </c>
      <c r="B309" s="12" t="s">
        <v>57</v>
      </c>
      <c r="C309" s="12" t="s">
        <v>15</v>
      </c>
      <c r="D309" s="12">
        <v>0</v>
      </c>
      <c r="E309" s="12">
        <v>0.95</v>
      </c>
      <c r="F309" s="12">
        <v>18</v>
      </c>
      <c r="G309" s="12">
        <v>0.95</v>
      </c>
      <c r="H309" s="12">
        <v>0</v>
      </c>
      <c r="I309" s="12" t="s">
        <v>137</v>
      </c>
      <c r="J309" s="12">
        <v>46318</v>
      </c>
      <c r="K309">
        <v>46318</v>
      </c>
    </row>
    <row r="310" spans="1:11" x14ac:dyDescent="0.25">
      <c r="A310" s="12" t="s">
        <v>58</v>
      </c>
      <c r="B310" s="12" t="s">
        <v>37</v>
      </c>
      <c r="C310" s="12" t="s">
        <v>13</v>
      </c>
      <c r="D310" s="12">
        <v>10.668662966820335</v>
      </c>
      <c r="E310" s="12">
        <v>15.2</v>
      </c>
      <c r="F310" s="12">
        <v>20</v>
      </c>
      <c r="G310" s="12">
        <v>15.2</v>
      </c>
      <c r="H310" s="12">
        <v>10.3125</v>
      </c>
      <c r="I310" s="12" t="s">
        <v>136</v>
      </c>
      <c r="J310" s="12">
        <v>46318</v>
      </c>
      <c r="K310">
        <v>46318</v>
      </c>
    </row>
    <row r="311" spans="1:11" x14ac:dyDescent="0.25">
      <c r="A311" s="12" t="s">
        <v>58</v>
      </c>
      <c r="B311" s="12" t="s">
        <v>148</v>
      </c>
      <c r="C311" s="12" t="s">
        <v>13</v>
      </c>
      <c r="D311" s="12">
        <v>13.625000000000004</v>
      </c>
      <c r="E311" s="12">
        <v>13.3</v>
      </c>
      <c r="F311" s="12">
        <v>20</v>
      </c>
      <c r="G311" s="12">
        <v>13.3</v>
      </c>
      <c r="H311" s="12">
        <v>10.414362980769225</v>
      </c>
      <c r="I311" s="12" t="s">
        <v>136</v>
      </c>
      <c r="J311" s="12">
        <v>46318</v>
      </c>
      <c r="K311">
        <v>46318</v>
      </c>
    </row>
    <row r="312" spans="1:11" x14ac:dyDescent="0.25">
      <c r="A312" s="12" t="s">
        <v>58</v>
      </c>
      <c r="B312" s="12" t="s">
        <v>38</v>
      </c>
      <c r="C312" s="12" t="s">
        <v>13</v>
      </c>
      <c r="D312" s="12">
        <v>4.5756545622512785</v>
      </c>
      <c r="E312" s="12">
        <v>4.75</v>
      </c>
      <c r="F312" s="12">
        <v>20</v>
      </c>
      <c r="G312" s="12">
        <v>4.75</v>
      </c>
      <c r="H312" s="12">
        <v>3.1104779411764705</v>
      </c>
      <c r="I312" s="12" t="s">
        <v>136</v>
      </c>
      <c r="J312" s="12">
        <v>46318</v>
      </c>
      <c r="K312">
        <v>46318</v>
      </c>
    </row>
    <row r="313" spans="1:11" hidden="1" x14ac:dyDescent="0.25">
      <c r="A313" s="12" t="s">
        <v>58</v>
      </c>
      <c r="B313" s="12" t="s">
        <v>38</v>
      </c>
      <c r="C313" s="12" t="s">
        <v>15</v>
      </c>
      <c r="D313" s="12">
        <v>1.2801831343566421</v>
      </c>
      <c r="E313" s="12">
        <v>0.95</v>
      </c>
      <c r="F313" s="12">
        <v>20</v>
      </c>
      <c r="G313" s="12">
        <v>0.95</v>
      </c>
      <c r="H313" s="12">
        <v>0.94117647058823517</v>
      </c>
      <c r="I313" s="12" t="s">
        <v>137</v>
      </c>
      <c r="J313" s="12">
        <v>46318</v>
      </c>
      <c r="K313">
        <v>46318</v>
      </c>
    </row>
    <row r="314" spans="1:11" hidden="1" x14ac:dyDescent="0.25">
      <c r="A314" s="12" t="s">
        <v>58</v>
      </c>
      <c r="B314" s="12" t="s">
        <v>38</v>
      </c>
      <c r="C314" s="12" t="s">
        <v>15</v>
      </c>
      <c r="D314" s="12">
        <v>1.2801831343566421</v>
      </c>
      <c r="E314" s="12">
        <v>0.95</v>
      </c>
      <c r="F314" s="12">
        <v>20</v>
      </c>
      <c r="G314" s="12">
        <v>0.95</v>
      </c>
      <c r="H314" s="12">
        <v>0.94117647058823517</v>
      </c>
      <c r="I314" s="12" t="s">
        <v>139</v>
      </c>
      <c r="J314" s="12">
        <v>46319</v>
      </c>
      <c r="K314">
        <v>46319</v>
      </c>
    </row>
    <row r="315" spans="1:11" hidden="1" x14ac:dyDescent="0.25">
      <c r="A315" s="12" t="s">
        <v>58</v>
      </c>
      <c r="B315" s="12" t="s">
        <v>38</v>
      </c>
      <c r="C315" s="12" t="s">
        <v>14</v>
      </c>
      <c r="D315" s="12">
        <v>2.2591467076881915</v>
      </c>
      <c r="E315" s="12">
        <v>6.6499999999999995</v>
      </c>
      <c r="F315" s="12">
        <v>20</v>
      </c>
      <c r="G315" s="12">
        <v>6.6499999999999995</v>
      </c>
      <c r="H315" s="12">
        <v>2.1591695501730106</v>
      </c>
      <c r="I315" s="12" t="s">
        <v>140</v>
      </c>
      <c r="J315" s="12">
        <v>46319</v>
      </c>
      <c r="K315">
        <v>46319</v>
      </c>
    </row>
    <row r="316" spans="1:11" hidden="1" x14ac:dyDescent="0.25">
      <c r="A316" s="12" t="s">
        <v>58</v>
      </c>
      <c r="B316" s="12" t="s">
        <v>57</v>
      </c>
      <c r="C316" s="12" t="s">
        <v>14</v>
      </c>
      <c r="D316" s="12">
        <v>3.0895675560022697</v>
      </c>
      <c r="E316" s="12">
        <v>6.6499999999999995</v>
      </c>
      <c r="F316" s="12">
        <v>18</v>
      </c>
      <c r="G316" s="12">
        <v>6.6499999999999995</v>
      </c>
      <c r="H316" s="12">
        <v>3.6955017301038064</v>
      </c>
      <c r="I316" s="12" t="s">
        <v>140</v>
      </c>
      <c r="J316" s="12">
        <v>46319</v>
      </c>
      <c r="K316">
        <v>46319</v>
      </c>
    </row>
    <row r="317" spans="1:11" hidden="1" x14ac:dyDescent="0.25">
      <c r="A317" s="12" t="s">
        <v>58</v>
      </c>
      <c r="B317" s="12" t="s">
        <v>148</v>
      </c>
      <c r="C317" s="12" t="s">
        <v>14</v>
      </c>
      <c r="D317" s="12">
        <v>3.5294117647058827</v>
      </c>
      <c r="E317" s="12">
        <v>3.8</v>
      </c>
      <c r="F317" s="12">
        <v>20</v>
      </c>
      <c r="G317" s="12">
        <v>3.8</v>
      </c>
      <c r="H317" s="12">
        <v>2.3891402714932126</v>
      </c>
      <c r="I317" s="12" t="s">
        <v>140</v>
      </c>
      <c r="J317" s="12">
        <v>46319</v>
      </c>
      <c r="K317">
        <v>46319</v>
      </c>
    </row>
    <row r="318" spans="1:11" hidden="1" x14ac:dyDescent="0.25">
      <c r="A318" s="12" t="s">
        <v>58</v>
      </c>
      <c r="B318" s="12" t="s">
        <v>37</v>
      </c>
      <c r="C318" s="12" t="s">
        <v>14</v>
      </c>
      <c r="D318" s="12">
        <v>10.668662966820335</v>
      </c>
      <c r="E318" s="12">
        <v>12.35</v>
      </c>
      <c r="F318" s="12">
        <v>20</v>
      </c>
      <c r="G318" s="12">
        <v>12.35</v>
      </c>
      <c r="H318" s="12">
        <v>12.1875</v>
      </c>
      <c r="I318" s="12" t="s">
        <v>140</v>
      </c>
      <c r="J318" s="12">
        <v>46319</v>
      </c>
      <c r="K318">
        <v>46319</v>
      </c>
    </row>
    <row r="319" spans="1:11" hidden="1" x14ac:dyDescent="0.25">
      <c r="A319" s="12" t="s">
        <v>58</v>
      </c>
      <c r="B319" s="12" t="s">
        <v>57</v>
      </c>
      <c r="C319" s="12" t="s">
        <v>15</v>
      </c>
      <c r="D319" s="12">
        <v>0</v>
      </c>
      <c r="E319" s="12">
        <v>0.95</v>
      </c>
      <c r="F319" s="12">
        <v>18</v>
      </c>
      <c r="G319" s="12">
        <v>0.95</v>
      </c>
      <c r="H319" s="12">
        <v>0</v>
      </c>
      <c r="I319" s="12" t="s">
        <v>139</v>
      </c>
      <c r="J319" s="12">
        <v>46319</v>
      </c>
      <c r="K319">
        <v>46319</v>
      </c>
    </row>
    <row r="320" spans="1:11" x14ac:dyDescent="0.25">
      <c r="A320" s="12" t="s">
        <v>58</v>
      </c>
      <c r="B320" s="12" t="s">
        <v>57</v>
      </c>
      <c r="C320" s="12" t="s">
        <v>13</v>
      </c>
      <c r="D320" s="12">
        <v>4.3768873710032166</v>
      </c>
      <c r="E320" s="12">
        <v>3.8</v>
      </c>
      <c r="F320" s="12">
        <v>18</v>
      </c>
      <c r="G320" s="12">
        <v>3.8</v>
      </c>
      <c r="H320" s="12">
        <v>2.823529411764707</v>
      </c>
      <c r="I320" s="12" t="s">
        <v>141</v>
      </c>
      <c r="J320" s="12">
        <v>46319</v>
      </c>
      <c r="K320">
        <v>46319</v>
      </c>
    </row>
    <row r="321" spans="1:11" hidden="1" x14ac:dyDescent="0.25">
      <c r="A321" s="12" t="s">
        <v>58</v>
      </c>
      <c r="B321" s="12" t="s">
        <v>37</v>
      </c>
      <c r="C321" s="12" t="s">
        <v>15</v>
      </c>
      <c r="D321" s="12">
        <v>4.1033319103155144</v>
      </c>
      <c r="E321" s="12">
        <v>4.75</v>
      </c>
      <c r="F321" s="12">
        <v>20</v>
      </c>
      <c r="G321" s="12">
        <v>4.75</v>
      </c>
      <c r="H321" s="12">
        <v>4.6875</v>
      </c>
      <c r="I321" s="12" t="s">
        <v>139</v>
      </c>
      <c r="J321" s="12">
        <v>46319</v>
      </c>
      <c r="K321">
        <v>46319</v>
      </c>
    </row>
    <row r="322" spans="1:11" x14ac:dyDescent="0.25">
      <c r="A322" s="12" t="s">
        <v>58</v>
      </c>
      <c r="B322" s="12" t="s">
        <v>37</v>
      </c>
      <c r="C322" s="12" t="s">
        <v>13</v>
      </c>
      <c r="D322" s="12">
        <v>10.723374058957878</v>
      </c>
      <c r="E322" s="12">
        <v>15.2</v>
      </c>
      <c r="F322" s="12">
        <v>20</v>
      </c>
      <c r="G322" s="12">
        <v>15.2</v>
      </c>
      <c r="H322" s="12">
        <v>11.25</v>
      </c>
      <c r="I322" s="12" t="s">
        <v>141</v>
      </c>
      <c r="J322" s="12">
        <v>46319</v>
      </c>
      <c r="K322">
        <v>46319</v>
      </c>
    </row>
    <row r="323" spans="1:11" x14ac:dyDescent="0.25">
      <c r="A323" s="12" t="s">
        <v>58</v>
      </c>
      <c r="B323" s="12" t="s">
        <v>38</v>
      </c>
      <c r="C323" s="12" t="s">
        <v>13</v>
      </c>
      <c r="D323" s="12">
        <v>4.2006009096077328</v>
      </c>
      <c r="E323" s="12">
        <v>4.75</v>
      </c>
      <c r="F323" s="12">
        <v>20</v>
      </c>
      <c r="G323" s="12">
        <v>4.75</v>
      </c>
      <c r="H323" s="12">
        <v>3.8235294117647038</v>
      </c>
      <c r="I323" s="12" t="s">
        <v>141</v>
      </c>
      <c r="J323" s="12">
        <v>46319</v>
      </c>
      <c r="K323">
        <v>46319</v>
      </c>
    </row>
    <row r="324" spans="1:11" x14ac:dyDescent="0.25">
      <c r="A324" s="12" t="s">
        <v>58</v>
      </c>
      <c r="B324" s="12" t="s">
        <v>148</v>
      </c>
      <c r="C324" s="12" t="s">
        <v>13</v>
      </c>
      <c r="D324" s="12">
        <v>6.0000000000000009</v>
      </c>
      <c r="E324" s="12">
        <v>10.45</v>
      </c>
      <c r="F324" s="12">
        <v>20</v>
      </c>
      <c r="G324" s="12">
        <v>10.45</v>
      </c>
      <c r="H324" s="12">
        <v>6.4615384615384563</v>
      </c>
      <c r="I324" s="12" t="s">
        <v>141</v>
      </c>
      <c r="J324" s="12">
        <v>46319</v>
      </c>
      <c r="K324">
        <v>46319</v>
      </c>
    </row>
    <row r="325" spans="1:11" hidden="1" x14ac:dyDescent="0.25">
      <c r="A325" s="12" t="s">
        <v>58</v>
      </c>
      <c r="B325" s="12" t="s">
        <v>148</v>
      </c>
      <c r="C325" s="12" t="s">
        <v>15</v>
      </c>
      <c r="D325" s="12">
        <v>0</v>
      </c>
      <c r="E325" s="12">
        <v>0.95</v>
      </c>
      <c r="F325" s="12">
        <v>20</v>
      </c>
      <c r="G325" s="12">
        <v>0.95</v>
      </c>
      <c r="H325" s="12">
        <v>0</v>
      </c>
      <c r="I325" s="12" t="s">
        <v>139</v>
      </c>
      <c r="J325" s="12">
        <v>46319</v>
      </c>
      <c r="K325">
        <v>46319</v>
      </c>
    </row>
    <row r="326" spans="1:11" hidden="1" x14ac:dyDescent="0.25">
      <c r="A326" s="12" t="s">
        <v>58</v>
      </c>
      <c r="B326" s="12" t="s">
        <v>148</v>
      </c>
      <c r="C326" s="12" t="s">
        <v>15</v>
      </c>
      <c r="D326" s="12">
        <v>0</v>
      </c>
      <c r="E326" s="12">
        <v>0.95</v>
      </c>
      <c r="F326" s="12">
        <v>20</v>
      </c>
      <c r="G326" s="12">
        <v>0.95</v>
      </c>
      <c r="H326" s="12">
        <v>0</v>
      </c>
      <c r="I326" s="12" t="s">
        <v>142</v>
      </c>
      <c r="J326" s="12">
        <v>46320</v>
      </c>
      <c r="K326">
        <v>46320</v>
      </c>
    </row>
    <row r="327" spans="1:11" hidden="1" x14ac:dyDescent="0.25">
      <c r="A327" s="12" t="s">
        <v>58</v>
      </c>
      <c r="B327" s="12" t="s">
        <v>57</v>
      </c>
      <c r="C327" s="12" t="s">
        <v>14</v>
      </c>
      <c r="D327" s="12">
        <v>3.0895675560022697</v>
      </c>
      <c r="E327" s="12">
        <v>7.6</v>
      </c>
      <c r="F327" s="12">
        <v>18</v>
      </c>
      <c r="G327" s="12">
        <v>7.6</v>
      </c>
      <c r="H327" s="12">
        <v>3.7508650519031144</v>
      </c>
      <c r="I327" s="12" t="s">
        <v>143</v>
      </c>
      <c r="J327" s="12">
        <v>46320</v>
      </c>
      <c r="K327">
        <v>46320</v>
      </c>
    </row>
    <row r="328" spans="1:11" hidden="1" x14ac:dyDescent="0.25">
      <c r="A328" s="12" t="s">
        <v>58</v>
      </c>
      <c r="B328" s="12" t="s">
        <v>37</v>
      </c>
      <c r="C328" s="12" t="s">
        <v>14</v>
      </c>
      <c r="D328" s="12">
        <v>10.668662966820335</v>
      </c>
      <c r="E328" s="12">
        <v>12.35</v>
      </c>
      <c r="F328" s="12">
        <v>20</v>
      </c>
      <c r="G328" s="12">
        <v>12.35</v>
      </c>
      <c r="H328" s="12">
        <v>12.1875</v>
      </c>
      <c r="I328" s="12" t="s">
        <v>143</v>
      </c>
      <c r="J328" s="12">
        <v>46320</v>
      </c>
      <c r="K328">
        <v>46320</v>
      </c>
    </row>
    <row r="329" spans="1:11" hidden="1" x14ac:dyDescent="0.25">
      <c r="A329" s="12" t="s">
        <v>58</v>
      </c>
      <c r="B329" s="12" t="s">
        <v>38</v>
      </c>
      <c r="C329" s="12" t="s">
        <v>15</v>
      </c>
      <c r="D329" s="12">
        <v>1.2801831343566421</v>
      </c>
      <c r="E329" s="12">
        <v>0.95</v>
      </c>
      <c r="F329" s="12">
        <v>20</v>
      </c>
      <c r="G329" s="12">
        <v>0.95</v>
      </c>
      <c r="H329" s="12">
        <v>0.94117647058823517</v>
      </c>
      <c r="I329" s="12" t="s">
        <v>142</v>
      </c>
      <c r="J329" s="12">
        <v>46320</v>
      </c>
      <c r="K329">
        <v>46320</v>
      </c>
    </row>
    <row r="330" spans="1:11" hidden="1" x14ac:dyDescent="0.25">
      <c r="A330" s="12" t="s">
        <v>58</v>
      </c>
      <c r="B330" s="12" t="s">
        <v>37</v>
      </c>
      <c r="C330" s="12" t="s">
        <v>15</v>
      </c>
      <c r="D330" s="12">
        <v>4.1033319103155144</v>
      </c>
      <c r="E330" s="12">
        <v>5.6999999999999993</v>
      </c>
      <c r="F330" s="12">
        <v>20</v>
      </c>
      <c r="G330" s="12">
        <v>5.6999999999999993</v>
      </c>
      <c r="H330" s="12">
        <v>4.6875</v>
      </c>
      <c r="I330" s="12" t="s">
        <v>142</v>
      </c>
      <c r="J330" s="12">
        <v>46320</v>
      </c>
      <c r="K330">
        <v>46320</v>
      </c>
    </row>
    <row r="331" spans="1:11" hidden="1" x14ac:dyDescent="0.25">
      <c r="A331" s="12" t="s">
        <v>58</v>
      </c>
      <c r="B331" s="12" t="s">
        <v>148</v>
      </c>
      <c r="C331" s="12" t="s">
        <v>14</v>
      </c>
      <c r="D331" s="12">
        <v>3.5294117647058827</v>
      </c>
      <c r="E331" s="12">
        <v>3.8</v>
      </c>
      <c r="F331" s="12">
        <v>20</v>
      </c>
      <c r="G331" s="12">
        <v>3.8</v>
      </c>
      <c r="H331" s="12">
        <v>2.3891402714932126</v>
      </c>
      <c r="I331" s="12" t="s">
        <v>143</v>
      </c>
      <c r="J331" s="12">
        <v>46320</v>
      </c>
      <c r="K331">
        <v>46320</v>
      </c>
    </row>
    <row r="332" spans="1:11" x14ac:dyDescent="0.25">
      <c r="A332" s="12" t="s">
        <v>58</v>
      </c>
      <c r="B332" s="12" t="s">
        <v>57</v>
      </c>
      <c r="C332" s="12" t="s">
        <v>13</v>
      </c>
      <c r="D332" s="12">
        <v>4.3768873710032166</v>
      </c>
      <c r="E332" s="12">
        <v>3.8</v>
      </c>
      <c r="F332" s="12">
        <v>18</v>
      </c>
      <c r="G332" s="12">
        <v>3.8</v>
      </c>
      <c r="H332" s="12">
        <v>3.7647058823529393</v>
      </c>
      <c r="I332" s="12" t="s">
        <v>144</v>
      </c>
      <c r="J332" s="12">
        <v>46320</v>
      </c>
      <c r="K332">
        <v>46320</v>
      </c>
    </row>
    <row r="333" spans="1:11" x14ac:dyDescent="0.25">
      <c r="A333" s="12" t="s">
        <v>58</v>
      </c>
      <c r="B333" s="12" t="s">
        <v>148</v>
      </c>
      <c r="C333" s="12" t="s">
        <v>13</v>
      </c>
      <c r="D333" s="12">
        <v>6.0000000000000018</v>
      </c>
      <c r="E333" s="12">
        <v>11.4</v>
      </c>
      <c r="F333" s="12">
        <v>20</v>
      </c>
      <c r="G333" s="12">
        <v>11.4</v>
      </c>
      <c r="H333" s="12">
        <v>6.4615384615384581</v>
      </c>
      <c r="I333" s="12" t="s">
        <v>144</v>
      </c>
      <c r="J333" s="12">
        <v>46320</v>
      </c>
      <c r="K333">
        <v>46320</v>
      </c>
    </row>
    <row r="334" spans="1:11" x14ac:dyDescent="0.25">
      <c r="A334" s="12" t="s">
        <v>58</v>
      </c>
      <c r="B334" s="12" t="s">
        <v>38</v>
      </c>
      <c r="C334" s="12" t="s">
        <v>13</v>
      </c>
      <c r="D334" s="12">
        <v>2.4003433769187041</v>
      </c>
      <c r="E334" s="12">
        <v>4.75</v>
      </c>
      <c r="F334" s="12">
        <v>20</v>
      </c>
      <c r="G334" s="12">
        <v>4.75</v>
      </c>
      <c r="H334" s="12">
        <v>2.9411764705882359</v>
      </c>
      <c r="I334" s="12" t="s">
        <v>144</v>
      </c>
      <c r="J334" s="12">
        <v>46320</v>
      </c>
      <c r="K334">
        <v>46320</v>
      </c>
    </row>
    <row r="335" spans="1:11" x14ac:dyDescent="0.25">
      <c r="A335" s="12" t="s">
        <v>58</v>
      </c>
      <c r="B335" s="12" t="s">
        <v>37</v>
      </c>
      <c r="C335" s="12" t="s">
        <v>13</v>
      </c>
      <c r="D335" s="12">
        <v>10.668662966820335</v>
      </c>
      <c r="E335" s="12">
        <v>16.149999999999999</v>
      </c>
      <c r="F335" s="12">
        <v>20</v>
      </c>
      <c r="G335" s="12">
        <v>16.149999999999999</v>
      </c>
      <c r="H335" s="12">
        <v>12.1875</v>
      </c>
      <c r="I335" s="12" t="s">
        <v>144</v>
      </c>
      <c r="J335" s="12">
        <v>46320</v>
      </c>
      <c r="K335">
        <v>46320</v>
      </c>
    </row>
    <row r="336" spans="1:11" hidden="1" x14ac:dyDescent="0.25">
      <c r="A336" s="12" t="s">
        <v>58</v>
      </c>
      <c r="B336" s="12" t="s">
        <v>57</v>
      </c>
      <c r="C336" s="12" t="s">
        <v>15</v>
      </c>
      <c r="D336" s="12">
        <v>0</v>
      </c>
      <c r="E336" s="12">
        <v>0.95</v>
      </c>
      <c r="F336" s="12">
        <v>18</v>
      </c>
      <c r="G336" s="12">
        <v>0.95</v>
      </c>
      <c r="H336" s="12">
        <v>0</v>
      </c>
      <c r="I336" s="12" t="s">
        <v>142</v>
      </c>
      <c r="J336" s="12">
        <v>46320</v>
      </c>
      <c r="K336">
        <v>46320</v>
      </c>
    </row>
    <row r="337" spans="1:11" hidden="1" x14ac:dyDescent="0.25">
      <c r="A337" s="12" t="s">
        <v>58</v>
      </c>
      <c r="B337" s="12" t="s">
        <v>38</v>
      </c>
      <c r="C337" s="12" t="s">
        <v>14</v>
      </c>
      <c r="D337" s="12">
        <v>2.2591467076881915</v>
      </c>
      <c r="E337" s="12">
        <v>4.75</v>
      </c>
      <c r="F337" s="12">
        <v>20</v>
      </c>
      <c r="G337" s="12">
        <v>4.75</v>
      </c>
      <c r="H337" s="12">
        <v>2.0484429065743948</v>
      </c>
      <c r="I337" s="12" t="s">
        <v>143</v>
      </c>
      <c r="J337" s="12">
        <v>46320</v>
      </c>
      <c r="K337">
        <v>46320</v>
      </c>
    </row>
    <row r="338" spans="1:11" hidden="1" x14ac:dyDescent="0.25">
      <c r="A338" s="12" t="s">
        <v>59</v>
      </c>
      <c r="B338" s="12" t="s">
        <v>37</v>
      </c>
      <c r="C338" s="12" t="s">
        <v>15</v>
      </c>
      <c r="D338" s="12">
        <v>4.4391855041263009</v>
      </c>
      <c r="E338" s="12">
        <v>9.5</v>
      </c>
      <c r="F338" s="12">
        <v>20</v>
      </c>
      <c r="G338" s="12">
        <v>9.5</v>
      </c>
      <c r="H338" s="12">
        <v>3.9564874387254898</v>
      </c>
      <c r="I338" s="12" t="s">
        <v>61</v>
      </c>
      <c r="J338" s="12">
        <v>46293</v>
      </c>
      <c r="K338">
        <v>46293</v>
      </c>
    </row>
    <row r="339" spans="1:11" x14ac:dyDescent="0.25">
      <c r="A339" s="12" t="s">
        <v>59</v>
      </c>
      <c r="B339" s="12" t="s">
        <v>148</v>
      </c>
      <c r="C339" s="12" t="s">
        <v>13</v>
      </c>
      <c r="D339" s="12">
        <v>13.249999999999996</v>
      </c>
      <c r="E339" s="12">
        <v>8.5499999999999989</v>
      </c>
      <c r="F339" s="12">
        <v>20</v>
      </c>
      <c r="G339" s="12">
        <v>8.5499999999999989</v>
      </c>
      <c r="H339" s="12">
        <v>7.6873314950980403</v>
      </c>
      <c r="I339" s="12" t="s">
        <v>63</v>
      </c>
      <c r="J339" s="12">
        <v>46293</v>
      </c>
      <c r="K339">
        <v>46293</v>
      </c>
    </row>
    <row r="340" spans="1:11" x14ac:dyDescent="0.25">
      <c r="A340" s="12" t="s">
        <v>59</v>
      </c>
      <c r="B340" s="12" t="s">
        <v>38</v>
      </c>
      <c r="C340" s="12" t="s">
        <v>13</v>
      </c>
      <c r="D340" s="12">
        <v>2.5896257225433525</v>
      </c>
      <c r="E340" s="12">
        <v>0.95</v>
      </c>
      <c r="F340" s="12">
        <v>20</v>
      </c>
      <c r="G340" s="12">
        <v>0.95</v>
      </c>
      <c r="H340" s="12">
        <v>0.88541666666666674</v>
      </c>
      <c r="I340" s="12" t="s">
        <v>63</v>
      </c>
      <c r="J340" s="12">
        <v>46293</v>
      </c>
      <c r="K340">
        <v>46293</v>
      </c>
    </row>
    <row r="341" spans="1:11" x14ac:dyDescent="0.25">
      <c r="A341" s="12" t="s">
        <v>59</v>
      </c>
      <c r="B341" s="12" t="s">
        <v>57</v>
      </c>
      <c r="C341" s="12" t="s">
        <v>13</v>
      </c>
      <c r="D341" s="12">
        <v>0.93456536928974765</v>
      </c>
      <c r="E341" s="12">
        <v>1.9</v>
      </c>
      <c r="F341" s="12">
        <v>18</v>
      </c>
      <c r="G341" s="12">
        <v>1.9</v>
      </c>
      <c r="H341" s="12">
        <v>1.7647058823529411</v>
      </c>
      <c r="I341" s="12" t="s">
        <v>63</v>
      </c>
      <c r="J341" s="12">
        <v>46293</v>
      </c>
      <c r="K341">
        <v>46293</v>
      </c>
    </row>
    <row r="342" spans="1:11" hidden="1" x14ac:dyDescent="0.25">
      <c r="A342" s="12" t="s">
        <v>59</v>
      </c>
      <c r="B342" s="12" t="s">
        <v>148</v>
      </c>
      <c r="C342" s="12" t="s">
        <v>15</v>
      </c>
      <c r="D342" s="12">
        <v>0</v>
      </c>
      <c r="E342" s="12">
        <v>1.9</v>
      </c>
      <c r="F342" s="12">
        <v>20</v>
      </c>
      <c r="G342" s="12">
        <v>1.9</v>
      </c>
      <c r="H342" s="12">
        <v>0</v>
      </c>
      <c r="I342" s="12" t="s">
        <v>61</v>
      </c>
      <c r="J342" s="12">
        <v>46293</v>
      </c>
      <c r="K342">
        <v>46293</v>
      </c>
    </row>
    <row r="343" spans="1:11" hidden="1" x14ac:dyDescent="0.25">
      <c r="A343" s="12" t="s">
        <v>59</v>
      </c>
      <c r="B343" s="12" t="s">
        <v>38</v>
      </c>
      <c r="C343" s="12" t="s">
        <v>15</v>
      </c>
      <c r="D343" s="12">
        <v>2.7622674373795766</v>
      </c>
      <c r="E343" s="12">
        <v>3.8</v>
      </c>
      <c r="F343" s="12">
        <v>20</v>
      </c>
      <c r="G343" s="12">
        <v>3.8</v>
      </c>
      <c r="H343" s="12">
        <v>2.0078431372549019</v>
      </c>
      <c r="I343" s="12" t="s">
        <v>61</v>
      </c>
      <c r="J343" s="12">
        <v>46293</v>
      </c>
      <c r="K343">
        <v>46293</v>
      </c>
    </row>
    <row r="344" spans="1:11" x14ac:dyDescent="0.25">
      <c r="A344" s="12" t="s">
        <v>59</v>
      </c>
      <c r="B344" s="12" t="s">
        <v>37</v>
      </c>
      <c r="C344" s="12" t="s">
        <v>13</v>
      </c>
      <c r="D344" s="12">
        <v>10.864322417993312</v>
      </c>
      <c r="E344" s="12">
        <v>14.25</v>
      </c>
      <c r="F344" s="12">
        <v>20</v>
      </c>
      <c r="G344" s="12">
        <v>14.25</v>
      </c>
      <c r="H344" s="12">
        <v>10.460968137254904</v>
      </c>
      <c r="I344" s="12" t="s">
        <v>63</v>
      </c>
      <c r="J344" s="12">
        <v>46293</v>
      </c>
      <c r="K344">
        <v>46293</v>
      </c>
    </row>
    <row r="345" spans="1:11" hidden="1" x14ac:dyDescent="0.25">
      <c r="A345" s="12" t="s">
        <v>59</v>
      </c>
      <c r="B345" s="12" t="s">
        <v>148</v>
      </c>
      <c r="C345" s="12" t="s">
        <v>14</v>
      </c>
      <c r="D345" s="12">
        <v>0.58823529411764719</v>
      </c>
      <c r="E345" s="12">
        <v>8.5499999999999989</v>
      </c>
      <c r="F345" s="12">
        <v>20</v>
      </c>
      <c r="G345" s="12">
        <v>8.5499999999999989</v>
      </c>
      <c r="H345" s="12">
        <v>1.7129613610149936</v>
      </c>
      <c r="I345" s="12" t="s">
        <v>62</v>
      </c>
      <c r="J345" s="12">
        <v>46293</v>
      </c>
      <c r="K345">
        <v>46293</v>
      </c>
    </row>
    <row r="346" spans="1:11" hidden="1" x14ac:dyDescent="0.25">
      <c r="A346" s="12" t="s">
        <v>59</v>
      </c>
      <c r="B346" s="12" t="s">
        <v>37</v>
      </c>
      <c r="C346" s="12" t="s">
        <v>14</v>
      </c>
      <c r="D346" s="12">
        <v>8.1774469812852928</v>
      </c>
      <c r="E346" s="12">
        <v>21.85</v>
      </c>
      <c r="F346" s="12">
        <v>20</v>
      </c>
      <c r="G346" s="12">
        <v>21.85</v>
      </c>
      <c r="H346" s="12">
        <v>10.738595281862745</v>
      </c>
      <c r="I346" s="12" t="s">
        <v>62</v>
      </c>
      <c r="J346" s="12">
        <v>46293</v>
      </c>
      <c r="K346">
        <v>46293</v>
      </c>
    </row>
    <row r="347" spans="1:11" hidden="1" x14ac:dyDescent="0.25">
      <c r="A347" s="12" t="s">
        <v>59</v>
      </c>
      <c r="B347" s="12" t="s">
        <v>57</v>
      </c>
      <c r="C347" s="12" t="s">
        <v>14</v>
      </c>
      <c r="D347" s="12">
        <v>1.4293352706784377</v>
      </c>
      <c r="E347" s="12">
        <v>2.8499999999999996</v>
      </c>
      <c r="F347" s="12">
        <v>18</v>
      </c>
      <c r="G347" s="12">
        <v>2.8499999999999996</v>
      </c>
      <c r="H347" s="12">
        <v>1.0449826989619375</v>
      </c>
      <c r="I347" s="12" t="s">
        <v>62</v>
      </c>
      <c r="J347" s="12">
        <v>46293</v>
      </c>
      <c r="K347">
        <v>46293</v>
      </c>
    </row>
    <row r="348" spans="1:11" hidden="1" x14ac:dyDescent="0.25">
      <c r="A348" s="12" t="s">
        <v>59</v>
      </c>
      <c r="B348" s="12" t="s">
        <v>38</v>
      </c>
      <c r="C348" s="12" t="s">
        <v>14</v>
      </c>
      <c r="D348" s="12">
        <v>2.4372947976878616</v>
      </c>
      <c r="E348" s="12">
        <v>2.8499999999999996</v>
      </c>
      <c r="F348" s="12">
        <v>20</v>
      </c>
      <c r="G348" s="12">
        <v>2.8499999999999996</v>
      </c>
      <c r="H348" s="12">
        <v>1.9382929642445217</v>
      </c>
      <c r="I348" s="12" t="s">
        <v>62</v>
      </c>
      <c r="J348" s="12">
        <v>46293</v>
      </c>
      <c r="K348">
        <v>46293</v>
      </c>
    </row>
    <row r="349" spans="1:11" hidden="1" x14ac:dyDescent="0.25">
      <c r="A349" s="12" t="s">
        <v>59</v>
      </c>
      <c r="B349" s="12" t="s">
        <v>57</v>
      </c>
      <c r="C349" s="12" t="s">
        <v>15</v>
      </c>
      <c r="D349" s="12">
        <v>0</v>
      </c>
      <c r="E349" s="12">
        <v>0</v>
      </c>
      <c r="F349" s="12">
        <v>18</v>
      </c>
      <c r="G349" s="12">
        <v>0</v>
      </c>
      <c r="H349" s="12">
        <v>0</v>
      </c>
      <c r="I349" s="12" t="s">
        <v>61</v>
      </c>
      <c r="J349" s="12">
        <v>46293</v>
      </c>
      <c r="K349">
        <v>46293</v>
      </c>
    </row>
    <row r="350" spans="1:11" hidden="1" x14ac:dyDescent="0.25">
      <c r="A350" s="12" t="s">
        <v>59</v>
      </c>
      <c r="B350" s="12" t="s">
        <v>37</v>
      </c>
      <c r="C350" s="12" t="s">
        <v>15</v>
      </c>
      <c r="D350" s="12">
        <v>4.4391855041263009</v>
      </c>
      <c r="E350" s="12">
        <v>9.5</v>
      </c>
      <c r="F350" s="12">
        <v>20</v>
      </c>
      <c r="G350" s="12">
        <v>9.5</v>
      </c>
      <c r="H350" s="12">
        <v>3.9564874387254898</v>
      </c>
      <c r="I350" s="12" t="s">
        <v>65</v>
      </c>
      <c r="J350" s="12">
        <v>46294</v>
      </c>
      <c r="K350">
        <v>46294</v>
      </c>
    </row>
    <row r="351" spans="1:11" x14ac:dyDescent="0.25">
      <c r="A351" s="12" t="s">
        <v>59</v>
      </c>
      <c r="B351" s="12" t="s">
        <v>38</v>
      </c>
      <c r="C351" s="12" t="s">
        <v>13</v>
      </c>
      <c r="D351" s="12">
        <v>3.7321076589595377</v>
      </c>
      <c r="E351" s="12">
        <v>3.8</v>
      </c>
      <c r="F351" s="12">
        <v>20</v>
      </c>
      <c r="G351" s="12">
        <v>3.8</v>
      </c>
      <c r="H351" s="12">
        <v>2.0061274509803924</v>
      </c>
      <c r="I351" s="12" t="s">
        <v>64</v>
      </c>
      <c r="J351" s="12">
        <v>46294</v>
      </c>
      <c r="K351">
        <v>46294</v>
      </c>
    </row>
    <row r="352" spans="1:11" x14ac:dyDescent="0.25">
      <c r="A352" s="12" t="s">
        <v>59</v>
      </c>
      <c r="B352" s="12" t="s">
        <v>37</v>
      </c>
      <c r="C352" s="12" t="s">
        <v>13</v>
      </c>
      <c r="D352" s="12">
        <v>10.864322417993312</v>
      </c>
      <c r="E352" s="12">
        <v>19.95</v>
      </c>
      <c r="F352" s="12">
        <v>20</v>
      </c>
      <c r="G352" s="12">
        <v>19.95</v>
      </c>
      <c r="H352" s="12">
        <v>12.562270220588236</v>
      </c>
      <c r="I352" s="12" t="s">
        <v>64</v>
      </c>
      <c r="J352" s="12">
        <v>46294</v>
      </c>
      <c r="K352">
        <v>46294</v>
      </c>
    </row>
    <row r="353" spans="1:11" hidden="1" x14ac:dyDescent="0.25">
      <c r="A353" s="12" t="s">
        <v>59</v>
      </c>
      <c r="B353" s="12" t="s">
        <v>38</v>
      </c>
      <c r="C353" s="12" t="s">
        <v>15</v>
      </c>
      <c r="D353" s="12">
        <v>2.7622674373795766</v>
      </c>
      <c r="E353" s="12">
        <v>3.8</v>
      </c>
      <c r="F353" s="12">
        <v>20</v>
      </c>
      <c r="G353" s="12">
        <v>3.8</v>
      </c>
      <c r="H353" s="12">
        <v>2.0078431372549019</v>
      </c>
      <c r="I353" s="12" t="s">
        <v>65</v>
      </c>
      <c r="J353" s="12">
        <v>46294</v>
      </c>
      <c r="K353">
        <v>46294</v>
      </c>
    </row>
    <row r="354" spans="1:11" x14ac:dyDescent="0.25">
      <c r="A354" s="12" t="s">
        <v>59</v>
      </c>
      <c r="B354" s="12" t="s">
        <v>57</v>
      </c>
      <c r="C354" s="12" t="s">
        <v>13</v>
      </c>
      <c r="D354" s="12">
        <v>0.93456536928974765</v>
      </c>
      <c r="E354" s="12">
        <v>0.95</v>
      </c>
      <c r="F354" s="12">
        <v>18</v>
      </c>
      <c r="G354" s="12">
        <v>0.95</v>
      </c>
      <c r="H354" s="12">
        <v>0.88235294117647056</v>
      </c>
      <c r="I354" s="12" t="s">
        <v>64</v>
      </c>
      <c r="J354" s="12">
        <v>46294</v>
      </c>
      <c r="K354">
        <v>46294</v>
      </c>
    </row>
    <row r="355" spans="1:11" hidden="1" x14ac:dyDescent="0.25">
      <c r="A355" s="12" t="s">
        <v>59</v>
      </c>
      <c r="B355" s="12" t="s">
        <v>148</v>
      </c>
      <c r="C355" s="12" t="s">
        <v>15</v>
      </c>
      <c r="D355" s="12">
        <v>0</v>
      </c>
      <c r="E355" s="12">
        <v>1.9</v>
      </c>
      <c r="F355" s="12">
        <v>20</v>
      </c>
      <c r="G355" s="12">
        <v>1.9</v>
      </c>
      <c r="H355" s="12">
        <v>0</v>
      </c>
      <c r="I355" s="12" t="s">
        <v>65</v>
      </c>
      <c r="J355" s="12">
        <v>46294</v>
      </c>
      <c r="K355">
        <v>46294</v>
      </c>
    </row>
    <row r="356" spans="1:11" hidden="1" x14ac:dyDescent="0.25">
      <c r="A356" s="12" t="s">
        <v>59</v>
      </c>
      <c r="B356" s="12" t="s">
        <v>38</v>
      </c>
      <c r="C356" s="12" t="s">
        <v>14</v>
      </c>
      <c r="D356" s="12">
        <v>2.4372947976878616</v>
      </c>
      <c r="E356" s="12">
        <v>3.8</v>
      </c>
      <c r="F356" s="12">
        <v>20</v>
      </c>
      <c r="G356" s="12">
        <v>3.8</v>
      </c>
      <c r="H356" s="12">
        <v>2.1049596309111882</v>
      </c>
      <c r="I356" s="12" t="s">
        <v>66</v>
      </c>
      <c r="J356" s="12">
        <v>46294</v>
      </c>
      <c r="K356">
        <v>46294</v>
      </c>
    </row>
    <row r="357" spans="1:11" hidden="1" x14ac:dyDescent="0.25">
      <c r="A357" s="12" t="s">
        <v>59</v>
      </c>
      <c r="B357" s="12" t="s">
        <v>57</v>
      </c>
      <c r="C357" s="12" t="s">
        <v>15</v>
      </c>
      <c r="D357" s="12">
        <v>0</v>
      </c>
      <c r="E357" s="12">
        <v>0</v>
      </c>
      <c r="F357" s="12">
        <v>18</v>
      </c>
      <c r="G357" s="12">
        <v>0</v>
      </c>
      <c r="H357" s="12">
        <v>0</v>
      </c>
      <c r="I357" s="12" t="s">
        <v>65</v>
      </c>
      <c r="J357" s="12">
        <v>46294</v>
      </c>
      <c r="K357">
        <v>46294</v>
      </c>
    </row>
    <row r="358" spans="1:11" hidden="1" x14ac:dyDescent="0.25">
      <c r="A358" s="12" t="s">
        <v>59</v>
      </c>
      <c r="B358" s="12" t="s">
        <v>57</v>
      </c>
      <c r="C358" s="12" t="s">
        <v>14</v>
      </c>
      <c r="D358" s="12">
        <v>1.4293352706784377</v>
      </c>
      <c r="E358" s="12">
        <v>1.9</v>
      </c>
      <c r="F358" s="12">
        <v>18</v>
      </c>
      <c r="G358" s="12">
        <v>1.9</v>
      </c>
      <c r="H358" s="12">
        <v>0.93425605536332179</v>
      </c>
      <c r="I358" s="12" t="s">
        <v>66</v>
      </c>
      <c r="J358" s="12">
        <v>46294</v>
      </c>
      <c r="K358">
        <v>46294</v>
      </c>
    </row>
    <row r="359" spans="1:11" x14ac:dyDescent="0.25">
      <c r="A359" s="12" t="s">
        <v>59</v>
      </c>
      <c r="B359" s="12" t="s">
        <v>148</v>
      </c>
      <c r="C359" s="12" t="s">
        <v>13</v>
      </c>
      <c r="D359" s="12">
        <v>12.25</v>
      </c>
      <c r="E359" s="12">
        <v>8.5499999999999989</v>
      </c>
      <c r="F359" s="12">
        <v>20</v>
      </c>
      <c r="G359" s="12">
        <v>8.5499999999999989</v>
      </c>
      <c r="H359" s="12">
        <v>6.7464220063025202</v>
      </c>
      <c r="I359" s="12" t="s">
        <v>64</v>
      </c>
      <c r="J359" s="12">
        <v>46294</v>
      </c>
      <c r="K359">
        <v>46294</v>
      </c>
    </row>
    <row r="360" spans="1:11" hidden="1" x14ac:dyDescent="0.25">
      <c r="A360" s="12" t="s">
        <v>59</v>
      </c>
      <c r="B360" s="12" t="s">
        <v>148</v>
      </c>
      <c r="C360" s="12" t="s">
        <v>14</v>
      </c>
      <c r="D360" s="12">
        <v>0.58823529411764719</v>
      </c>
      <c r="E360" s="12">
        <v>8.5499999999999989</v>
      </c>
      <c r="F360" s="12">
        <v>20</v>
      </c>
      <c r="G360" s="12">
        <v>8.5499999999999989</v>
      </c>
      <c r="H360" s="12">
        <v>1.7680734058329213</v>
      </c>
      <c r="I360" s="12" t="s">
        <v>66</v>
      </c>
      <c r="J360" s="12">
        <v>46294</v>
      </c>
      <c r="K360">
        <v>46294</v>
      </c>
    </row>
    <row r="361" spans="1:11" hidden="1" x14ac:dyDescent="0.25">
      <c r="A361" s="12" t="s">
        <v>59</v>
      </c>
      <c r="B361" s="12" t="s">
        <v>37</v>
      </c>
      <c r="C361" s="12" t="s">
        <v>14</v>
      </c>
      <c r="D361" s="12">
        <v>8.1190366457046821</v>
      </c>
      <c r="E361" s="12">
        <v>22.799999999999997</v>
      </c>
      <c r="F361" s="12">
        <v>20</v>
      </c>
      <c r="G361" s="12">
        <v>22.799999999999997</v>
      </c>
      <c r="H361" s="12">
        <v>10.856242340686272</v>
      </c>
      <c r="I361" s="12" t="s">
        <v>66</v>
      </c>
      <c r="J361" s="12">
        <v>46294</v>
      </c>
      <c r="K361">
        <v>46294</v>
      </c>
    </row>
    <row r="362" spans="1:11" x14ac:dyDescent="0.25">
      <c r="A362" s="12" t="s">
        <v>59</v>
      </c>
      <c r="B362" s="12" t="s">
        <v>38</v>
      </c>
      <c r="C362" s="12" t="s">
        <v>13</v>
      </c>
      <c r="D362" s="12">
        <v>2.5134602601156062</v>
      </c>
      <c r="E362" s="12">
        <v>4.75</v>
      </c>
      <c r="F362" s="12">
        <v>20</v>
      </c>
      <c r="G362" s="12">
        <v>4.75</v>
      </c>
      <c r="H362" s="12">
        <v>2.7144607843137254</v>
      </c>
      <c r="I362" s="12" t="s">
        <v>67</v>
      </c>
      <c r="J362" s="12">
        <v>46295</v>
      </c>
      <c r="K362">
        <v>46295</v>
      </c>
    </row>
    <row r="363" spans="1:11" x14ac:dyDescent="0.25">
      <c r="A363" s="12" t="s">
        <v>59</v>
      </c>
      <c r="B363" s="12" t="s">
        <v>148</v>
      </c>
      <c r="C363" s="12" t="s">
        <v>13</v>
      </c>
      <c r="D363" s="12">
        <v>12.25</v>
      </c>
      <c r="E363" s="12">
        <v>9.5</v>
      </c>
      <c r="F363" s="12">
        <v>20</v>
      </c>
      <c r="G363" s="12">
        <v>9.5</v>
      </c>
      <c r="H363" s="12">
        <v>7.5630886729691875</v>
      </c>
      <c r="I363" s="12" t="s">
        <v>67</v>
      </c>
      <c r="J363" s="12">
        <v>46295</v>
      </c>
      <c r="K363">
        <v>46295</v>
      </c>
    </row>
    <row r="364" spans="1:11" x14ac:dyDescent="0.25">
      <c r="A364" s="12" t="s">
        <v>59</v>
      </c>
      <c r="B364" s="12" t="s">
        <v>37</v>
      </c>
      <c r="C364" s="12" t="s">
        <v>13</v>
      </c>
      <c r="D364" s="12">
        <v>9.929757048703566</v>
      </c>
      <c r="E364" s="12">
        <v>18.05</v>
      </c>
      <c r="F364" s="12">
        <v>20</v>
      </c>
      <c r="G364" s="12">
        <v>18.05</v>
      </c>
      <c r="H364" s="12">
        <v>11.617876838235295</v>
      </c>
      <c r="I364" s="12" t="s">
        <v>67</v>
      </c>
      <c r="J364" s="12">
        <v>46295</v>
      </c>
      <c r="K364">
        <v>46295</v>
      </c>
    </row>
    <row r="365" spans="1:11" x14ac:dyDescent="0.25">
      <c r="A365" s="12" t="s">
        <v>59</v>
      </c>
      <c r="B365" s="12" t="s">
        <v>57</v>
      </c>
      <c r="C365" s="12" t="s">
        <v>13</v>
      </c>
      <c r="D365" s="12">
        <v>1.8691307385794953</v>
      </c>
      <c r="E365" s="12">
        <v>1.9</v>
      </c>
      <c r="F365" s="12">
        <v>18</v>
      </c>
      <c r="G365" s="12">
        <v>1.9</v>
      </c>
      <c r="H365" s="12">
        <v>1.7647058823529411</v>
      </c>
      <c r="I365" s="12" t="s">
        <v>67</v>
      </c>
      <c r="J365" s="12">
        <v>46295</v>
      </c>
      <c r="K365">
        <v>46295</v>
      </c>
    </row>
    <row r="366" spans="1:11" hidden="1" x14ac:dyDescent="0.25">
      <c r="A366" s="12" t="s">
        <v>59</v>
      </c>
      <c r="B366" s="12" t="s">
        <v>148</v>
      </c>
      <c r="C366" s="12" t="s">
        <v>15</v>
      </c>
      <c r="D366" s="12">
        <v>0</v>
      </c>
      <c r="E366" s="12">
        <v>4.75</v>
      </c>
      <c r="F366" s="12">
        <v>20</v>
      </c>
      <c r="G366" s="12">
        <v>4.75</v>
      </c>
      <c r="H366" s="12">
        <v>0</v>
      </c>
      <c r="I366" s="12" t="s">
        <v>68</v>
      </c>
      <c r="J366" s="12">
        <v>46295</v>
      </c>
      <c r="K366">
        <v>46295</v>
      </c>
    </row>
    <row r="367" spans="1:11" hidden="1" x14ac:dyDescent="0.25">
      <c r="A367" s="12" t="s">
        <v>59</v>
      </c>
      <c r="B367" s="12" t="s">
        <v>37</v>
      </c>
      <c r="C367" s="12" t="s">
        <v>15</v>
      </c>
      <c r="D367" s="12">
        <v>4.4391855041263009</v>
      </c>
      <c r="E367" s="12">
        <v>9.5</v>
      </c>
      <c r="F367" s="12">
        <v>20</v>
      </c>
      <c r="G367" s="12">
        <v>9.5</v>
      </c>
      <c r="H367" s="12">
        <v>4.0221737132352935</v>
      </c>
      <c r="I367" s="12" t="s">
        <v>68</v>
      </c>
      <c r="J367" s="12">
        <v>46295</v>
      </c>
      <c r="K367">
        <v>46295</v>
      </c>
    </row>
    <row r="368" spans="1:11" hidden="1" x14ac:dyDescent="0.25">
      <c r="A368" s="12" t="s">
        <v>59</v>
      </c>
      <c r="B368" s="12" t="s">
        <v>37</v>
      </c>
      <c r="C368" s="12" t="s">
        <v>14</v>
      </c>
      <c r="D368" s="12">
        <v>8.0022159745434642</v>
      </c>
      <c r="E368" s="12">
        <v>20.9</v>
      </c>
      <c r="F368" s="12">
        <v>20</v>
      </c>
      <c r="G368" s="12">
        <v>20.9</v>
      </c>
      <c r="H368" s="12">
        <v>10.738135723039212</v>
      </c>
      <c r="I368" s="12" t="s">
        <v>69</v>
      </c>
      <c r="J368" s="12">
        <v>46295</v>
      </c>
      <c r="K368">
        <v>46295</v>
      </c>
    </row>
    <row r="369" spans="1:11" hidden="1" x14ac:dyDescent="0.25">
      <c r="A369" s="12" t="s">
        <v>59</v>
      </c>
      <c r="B369" s="12" t="s">
        <v>57</v>
      </c>
      <c r="C369" s="12" t="s">
        <v>15</v>
      </c>
      <c r="D369" s="12">
        <v>0</v>
      </c>
      <c r="E369" s="12">
        <v>0</v>
      </c>
      <c r="F369" s="12">
        <v>18</v>
      </c>
      <c r="G369" s="12">
        <v>0</v>
      </c>
      <c r="H369" s="12">
        <v>0</v>
      </c>
      <c r="I369" s="12" t="s">
        <v>68</v>
      </c>
      <c r="J369" s="12">
        <v>46295</v>
      </c>
      <c r="K369">
        <v>46295</v>
      </c>
    </row>
    <row r="370" spans="1:11" hidden="1" x14ac:dyDescent="0.25">
      <c r="A370" s="12" t="s">
        <v>59</v>
      </c>
      <c r="B370" s="12" t="s">
        <v>148</v>
      </c>
      <c r="C370" s="12" t="s">
        <v>14</v>
      </c>
      <c r="D370" s="12">
        <v>0.58823529411764719</v>
      </c>
      <c r="E370" s="12">
        <v>9.5</v>
      </c>
      <c r="F370" s="12">
        <v>20</v>
      </c>
      <c r="G370" s="12">
        <v>9.5</v>
      </c>
      <c r="H370" s="12">
        <v>1.8229753666172348</v>
      </c>
      <c r="I370" s="12" t="s">
        <v>69</v>
      </c>
      <c r="J370" s="12">
        <v>46295</v>
      </c>
      <c r="K370">
        <v>46295</v>
      </c>
    </row>
    <row r="371" spans="1:11" hidden="1" x14ac:dyDescent="0.25">
      <c r="A371" s="12" t="s">
        <v>59</v>
      </c>
      <c r="B371" s="12" t="s">
        <v>57</v>
      </c>
      <c r="C371" s="12" t="s">
        <v>14</v>
      </c>
      <c r="D371" s="12">
        <v>1.5942585711413342</v>
      </c>
      <c r="E371" s="12">
        <v>2.8499999999999996</v>
      </c>
      <c r="F371" s="12">
        <v>18</v>
      </c>
      <c r="G371" s="12">
        <v>2.8499999999999996</v>
      </c>
      <c r="H371" s="12">
        <v>1.0449826989619375</v>
      </c>
      <c r="I371" s="12" t="s">
        <v>69</v>
      </c>
      <c r="J371" s="12">
        <v>46295</v>
      </c>
      <c r="K371">
        <v>46295</v>
      </c>
    </row>
    <row r="372" spans="1:11" hidden="1" x14ac:dyDescent="0.25">
      <c r="A372" s="12" t="s">
        <v>59</v>
      </c>
      <c r="B372" s="12" t="s">
        <v>38</v>
      </c>
      <c r="C372" s="12" t="s">
        <v>14</v>
      </c>
      <c r="D372" s="12">
        <v>2.4372947976878616</v>
      </c>
      <c r="E372" s="12">
        <v>4.75</v>
      </c>
      <c r="F372" s="12">
        <v>20</v>
      </c>
      <c r="G372" s="12">
        <v>4.75</v>
      </c>
      <c r="H372" s="12">
        <v>2.4382929642445212</v>
      </c>
      <c r="I372" s="12" t="s">
        <v>69</v>
      </c>
      <c r="J372" s="12">
        <v>46295</v>
      </c>
      <c r="K372">
        <v>46295</v>
      </c>
    </row>
    <row r="373" spans="1:11" hidden="1" x14ac:dyDescent="0.25">
      <c r="A373" s="12" t="s">
        <v>59</v>
      </c>
      <c r="B373" s="12" t="s">
        <v>38</v>
      </c>
      <c r="C373" s="12" t="s">
        <v>15</v>
      </c>
      <c r="D373" s="12">
        <v>2.7622674373795766</v>
      </c>
      <c r="E373" s="12">
        <v>3.8</v>
      </c>
      <c r="F373" s="12">
        <v>20</v>
      </c>
      <c r="G373" s="12">
        <v>3.8</v>
      </c>
      <c r="H373" s="12">
        <v>2.0078431372549019</v>
      </c>
      <c r="I373" s="12" t="s">
        <v>68</v>
      </c>
      <c r="J373" s="12">
        <v>46295</v>
      </c>
      <c r="K373">
        <v>46295</v>
      </c>
    </row>
    <row r="374" spans="1:11" x14ac:dyDescent="0.25">
      <c r="A374" s="12" t="s">
        <v>59</v>
      </c>
      <c r="B374" s="12" t="s">
        <v>37</v>
      </c>
      <c r="C374" s="12" t="s">
        <v>13</v>
      </c>
      <c r="D374" s="12">
        <v>10.92273275357392</v>
      </c>
      <c r="E374" s="12">
        <v>16.149999999999999</v>
      </c>
      <c r="F374" s="12">
        <v>20</v>
      </c>
      <c r="G374" s="12">
        <v>16.149999999999999</v>
      </c>
      <c r="H374" s="12">
        <v>11.856878063725487</v>
      </c>
      <c r="I374" s="12" t="s">
        <v>70</v>
      </c>
      <c r="J374" s="12">
        <v>46296</v>
      </c>
      <c r="K374">
        <v>46296</v>
      </c>
    </row>
    <row r="375" spans="1:11" hidden="1" x14ac:dyDescent="0.25">
      <c r="A375" s="12" t="s">
        <v>59</v>
      </c>
      <c r="B375" s="12" t="s">
        <v>38</v>
      </c>
      <c r="C375" s="12" t="s">
        <v>14</v>
      </c>
      <c r="D375" s="12">
        <v>2.4372947976878616</v>
      </c>
      <c r="E375" s="12">
        <v>2.8499999999999996</v>
      </c>
      <c r="F375" s="12">
        <v>20</v>
      </c>
      <c r="G375" s="12">
        <v>2.8499999999999996</v>
      </c>
      <c r="H375" s="12">
        <v>1.8823529411764703</v>
      </c>
      <c r="I375" s="12" t="s">
        <v>71</v>
      </c>
      <c r="J375" s="12">
        <v>46296</v>
      </c>
      <c r="K375">
        <v>46296</v>
      </c>
    </row>
    <row r="376" spans="1:11" x14ac:dyDescent="0.25">
      <c r="A376" s="12" t="s">
        <v>59</v>
      </c>
      <c r="B376" s="12" t="s">
        <v>38</v>
      </c>
      <c r="C376" s="12" t="s">
        <v>13</v>
      </c>
      <c r="D376" s="12">
        <v>3.884438583815029</v>
      </c>
      <c r="E376" s="12">
        <v>1.9</v>
      </c>
      <c r="F376" s="12">
        <v>20</v>
      </c>
      <c r="G376" s="12">
        <v>1.9</v>
      </c>
      <c r="H376" s="12">
        <v>1.1176470588235294</v>
      </c>
      <c r="I376" s="12" t="s">
        <v>70</v>
      </c>
      <c r="J376" s="12">
        <v>46296</v>
      </c>
      <c r="K376">
        <v>46296</v>
      </c>
    </row>
    <row r="377" spans="1:11" x14ac:dyDescent="0.25">
      <c r="A377" s="12" t="s">
        <v>59</v>
      </c>
      <c r="B377" s="12" t="s">
        <v>57</v>
      </c>
      <c r="C377" s="12" t="s">
        <v>13</v>
      </c>
      <c r="D377" s="12">
        <v>0.93456536928974765</v>
      </c>
      <c r="E377" s="12">
        <v>0.95</v>
      </c>
      <c r="F377" s="12">
        <v>18</v>
      </c>
      <c r="G377" s="12">
        <v>0.95</v>
      </c>
      <c r="H377" s="12">
        <v>0.88235294117647056</v>
      </c>
      <c r="I377" s="12" t="s">
        <v>70</v>
      </c>
      <c r="J377" s="12">
        <v>46296</v>
      </c>
      <c r="K377">
        <v>46296</v>
      </c>
    </row>
    <row r="378" spans="1:11" x14ac:dyDescent="0.25">
      <c r="A378" s="12" t="s">
        <v>59</v>
      </c>
      <c r="B378" s="12" t="s">
        <v>148</v>
      </c>
      <c r="C378" s="12" t="s">
        <v>13</v>
      </c>
      <c r="D378" s="12">
        <v>12.25</v>
      </c>
      <c r="E378" s="12">
        <v>7.6</v>
      </c>
      <c r="F378" s="12">
        <v>20</v>
      </c>
      <c r="G378" s="12">
        <v>7.6</v>
      </c>
      <c r="H378" s="12">
        <v>5.8674479166666682</v>
      </c>
      <c r="I378" s="12" t="s">
        <v>70</v>
      </c>
      <c r="J378" s="12">
        <v>46296</v>
      </c>
      <c r="K378">
        <v>46296</v>
      </c>
    </row>
    <row r="379" spans="1:11" hidden="1" x14ac:dyDescent="0.25">
      <c r="A379" s="12" t="s">
        <v>59</v>
      </c>
      <c r="B379" s="12" t="s">
        <v>37</v>
      </c>
      <c r="C379" s="12" t="s">
        <v>15</v>
      </c>
      <c r="D379" s="12">
        <v>4.4391855041263009</v>
      </c>
      <c r="E379" s="12">
        <v>10.45</v>
      </c>
      <c r="F379" s="12">
        <v>20</v>
      </c>
      <c r="G379" s="12">
        <v>10.45</v>
      </c>
      <c r="H379" s="12">
        <v>4.1398207720588234</v>
      </c>
      <c r="I379" s="12" t="s">
        <v>72</v>
      </c>
      <c r="J379" s="12">
        <v>46296</v>
      </c>
      <c r="K379">
        <v>46296</v>
      </c>
    </row>
    <row r="380" spans="1:11" hidden="1" x14ac:dyDescent="0.25">
      <c r="A380" s="12" t="s">
        <v>59</v>
      </c>
      <c r="B380" s="12" t="s">
        <v>57</v>
      </c>
      <c r="C380" s="12" t="s">
        <v>15</v>
      </c>
      <c r="D380" s="12">
        <v>0</v>
      </c>
      <c r="E380" s="12">
        <v>0.95</v>
      </c>
      <c r="F380" s="12">
        <v>18</v>
      </c>
      <c r="G380" s="12">
        <v>0.95</v>
      </c>
      <c r="H380" s="12">
        <v>0</v>
      </c>
      <c r="I380" s="12" t="s">
        <v>72</v>
      </c>
      <c r="J380" s="12">
        <v>46296</v>
      </c>
      <c r="K380">
        <v>46296</v>
      </c>
    </row>
    <row r="381" spans="1:11" hidden="1" x14ac:dyDescent="0.25">
      <c r="A381" s="12" t="s">
        <v>59</v>
      </c>
      <c r="B381" s="12" t="s">
        <v>38</v>
      </c>
      <c r="C381" s="12" t="s">
        <v>15</v>
      </c>
      <c r="D381" s="12">
        <v>2.7622674373795766</v>
      </c>
      <c r="E381" s="12">
        <v>3.8</v>
      </c>
      <c r="F381" s="12">
        <v>20</v>
      </c>
      <c r="G381" s="12">
        <v>3.8</v>
      </c>
      <c r="H381" s="12">
        <v>2.0078431372549019</v>
      </c>
      <c r="I381" s="12" t="s">
        <v>72</v>
      </c>
      <c r="J381" s="12">
        <v>46296</v>
      </c>
      <c r="K381">
        <v>46296</v>
      </c>
    </row>
    <row r="382" spans="1:11" hidden="1" x14ac:dyDescent="0.25">
      <c r="A382" s="12" t="s">
        <v>59</v>
      </c>
      <c r="B382" s="12" t="s">
        <v>148</v>
      </c>
      <c r="C382" s="12" t="s">
        <v>15</v>
      </c>
      <c r="D382" s="12">
        <v>0</v>
      </c>
      <c r="E382" s="12">
        <v>6.6499999999999995</v>
      </c>
      <c r="F382" s="12">
        <v>20</v>
      </c>
      <c r="G382" s="12">
        <v>6.6499999999999995</v>
      </c>
      <c r="H382" s="12">
        <v>0</v>
      </c>
      <c r="I382" s="12" t="s">
        <v>72</v>
      </c>
      <c r="J382" s="12">
        <v>46296</v>
      </c>
      <c r="K382">
        <v>46296</v>
      </c>
    </row>
    <row r="383" spans="1:11" hidden="1" x14ac:dyDescent="0.25">
      <c r="A383" s="12" t="s">
        <v>59</v>
      </c>
      <c r="B383" s="12" t="s">
        <v>57</v>
      </c>
      <c r="C383" s="12" t="s">
        <v>14</v>
      </c>
      <c r="D383" s="12">
        <v>0.65969320185158653</v>
      </c>
      <c r="E383" s="12">
        <v>0.95</v>
      </c>
      <c r="F383" s="12">
        <v>18</v>
      </c>
      <c r="G383" s="12">
        <v>0.95</v>
      </c>
      <c r="H383" s="12">
        <v>0.11072664359861592</v>
      </c>
      <c r="I383" s="12" t="s">
        <v>71</v>
      </c>
      <c r="J383" s="12">
        <v>46296</v>
      </c>
      <c r="K383">
        <v>46296</v>
      </c>
    </row>
    <row r="384" spans="1:11" hidden="1" x14ac:dyDescent="0.25">
      <c r="A384" s="12" t="s">
        <v>59</v>
      </c>
      <c r="B384" s="12" t="s">
        <v>37</v>
      </c>
      <c r="C384" s="12" t="s">
        <v>14</v>
      </c>
      <c r="D384" s="12">
        <v>8.8783710082526017</v>
      </c>
      <c r="E384" s="12">
        <v>20.9</v>
      </c>
      <c r="F384" s="12">
        <v>20</v>
      </c>
      <c r="G384" s="12">
        <v>20.9</v>
      </c>
      <c r="H384" s="12">
        <v>11.50330116421568</v>
      </c>
      <c r="I384" s="12" t="s">
        <v>71</v>
      </c>
      <c r="J384" s="12">
        <v>46296</v>
      </c>
      <c r="K384">
        <v>46296</v>
      </c>
    </row>
    <row r="385" spans="1:11" hidden="1" x14ac:dyDescent="0.25">
      <c r="A385" s="12" t="s">
        <v>59</v>
      </c>
      <c r="B385" s="12" t="s">
        <v>148</v>
      </c>
      <c r="C385" s="12" t="s">
        <v>14</v>
      </c>
      <c r="D385" s="12">
        <v>0.58823529411764719</v>
      </c>
      <c r="E385" s="12">
        <v>7.6</v>
      </c>
      <c r="F385" s="12">
        <v>20</v>
      </c>
      <c r="G385" s="12">
        <v>7.6</v>
      </c>
      <c r="H385" s="12">
        <v>1.7129901960784313</v>
      </c>
      <c r="I385" s="12" t="s">
        <v>71</v>
      </c>
      <c r="J385" s="12">
        <v>46296</v>
      </c>
      <c r="K385">
        <v>46296</v>
      </c>
    </row>
    <row r="386" spans="1:11" x14ac:dyDescent="0.25">
      <c r="A386" s="12" t="s">
        <v>59</v>
      </c>
      <c r="B386" s="12" t="s">
        <v>38</v>
      </c>
      <c r="C386" s="12" t="s">
        <v>13</v>
      </c>
      <c r="D386" s="12">
        <v>3.8082731213872831</v>
      </c>
      <c r="E386" s="12">
        <v>3.8</v>
      </c>
      <c r="F386" s="12">
        <v>20</v>
      </c>
      <c r="G386" s="12">
        <v>3.8</v>
      </c>
      <c r="H386" s="12">
        <v>2.0061274509803924</v>
      </c>
      <c r="I386" s="12" t="s">
        <v>73</v>
      </c>
      <c r="J386" s="12">
        <v>46297</v>
      </c>
      <c r="K386">
        <v>46297</v>
      </c>
    </row>
    <row r="387" spans="1:11" hidden="1" x14ac:dyDescent="0.25">
      <c r="A387" s="12" t="s">
        <v>59</v>
      </c>
      <c r="B387" s="12" t="s">
        <v>57</v>
      </c>
      <c r="C387" s="12" t="s">
        <v>14</v>
      </c>
      <c r="D387" s="12">
        <v>0.65969320185158653</v>
      </c>
      <c r="E387" s="12">
        <v>0</v>
      </c>
      <c r="F387" s="12">
        <v>18</v>
      </c>
      <c r="G387" s="12">
        <v>0</v>
      </c>
      <c r="H387" s="12">
        <v>0</v>
      </c>
      <c r="I387" s="12" t="s">
        <v>75</v>
      </c>
      <c r="J387" s="12">
        <v>46297</v>
      </c>
      <c r="K387">
        <v>46297</v>
      </c>
    </row>
    <row r="388" spans="1:11" hidden="1" x14ac:dyDescent="0.25">
      <c r="A388" s="12" t="s">
        <v>59</v>
      </c>
      <c r="B388" s="12" t="s">
        <v>148</v>
      </c>
      <c r="C388" s="12" t="s">
        <v>15</v>
      </c>
      <c r="D388" s="12">
        <v>0</v>
      </c>
      <c r="E388" s="12">
        <v>5.6999999999999993</v>
      </c>
      <c r="F388" s="12">
        <v>20</v>
      </c>
      <c r="G388" s="12">
        <v>5.6999999999999993</v>
      </c>
      <c r="H388" s="12">
        <v>0</v>
      </c>
      <c r="I388" s="12" t="s">
        <v>74</v>
      </c>
      <c r="J388" s="12">
        <v>46297</v>
      </c>
      <c r="K388">
        <v>46297</v>
      </c>
    </row>
    <row r="389" spans="1:11" hidden="1" x14ac:dyDescent="0.25">
      <c r="A389" s="12" t="s">
        <v>59</v>
      </c>
      <c r="B389" s="12" t="s">
        <v>38</v>
      </c>
      <c r="C389" s="12" t="s">
        <v>15</v>
      </c>
      <c r="D389" s="12">
        <v>2.7622674373795766</v>
      </c>
      <c r="E389" s="12">
        <v>3.8</v>
      </c>
      <c r="F389" s="12">
        <v>20</v>
      </c>
      <c r="G389" s="12">
        <v>3.8</v>
      </c>
      <c r="H389" s="12">
        <v>2.0078431372549019</v>
      </c>
      <c r="I389" s="12" t="s">
        <v>74</v>
      </c>
      <c r="J389" s="12">
        <v>46297</v>
      </c>
      <c r="K389">
        <v>46297</v>
      </c>
    </row>
    <row r="390" spans="1:11" hidden="1" x14ac:dyDescent="0.25">
      <c r="A390" s="12" t="s">
        <v>59</v>
      </c>
      <c r="B390" s="12" t="s">
        <v>37</v>
      </c>
      <c r="C390" s="12" t="s">
        <v>15</v>
      </c>
      <c r="D390" s="12">
        <v>4.4391855041263009</v>
      </c>
      <c r="E390" s="12">
        <v>11.4</v>
      </c>
      <c r="F390" s="12">
        <v>20</v>
      </c>
      <c r="G390" s="12">
        <v>11.4</v>
      </c>
      <c r="H390" s="12">
        <v>4.9564874387254898</v>
      </c>
      <c r="I390" s="12" t="s">
        <v>74</v>
      </c>
      <c r="J390" s="12">
        <v>46297</v>
      </c>
      <c r="K390">
        <v>46297</v>
      </c>
    </row>
    <row r="391" spans="1:11" hidden="1" x14ac:dyDescent="0.25">
      <c r="A391" s="12" t="s">
        <v>59</v>
      </c>
      <c r="B391" s="12" t="s">
        <v>57</v>
      </c>
      <c r="C391" s="12" t="s">
        <v>15</v>
      </c>
      <c r="D391" s="12">
        <v>0</v>
      </c>
      <c r="E391" s="12">
        <v>0</v>
      </c>
      <c r="F391" s="12">
        <v>18</v>
      </c>
      <c r="G391" s="12">
        <v>0</v>
      </c>
      <c r="H391" s="12">
        <v>0</v>
      </c>
      <c r="I391" s="12" t="s">
        <v>74</v>
      </c>
      <c r="J391" s="12">
        <v>46297</v>
      </c>
      <c r="K391">
        <v>46297</v>
      </c>
    </row>
    <row r="392" spans="1:11" x14ac:dyDescent="0.25">
      <c r="A392" s="12" t="s">
        <v>59</v>
      </c>
      <c r="B392" s="12" t="s">
        <v>57</v>
      </c>
      <c r="C392" s="12" t="s">
        <v>13</v>
      </c>
      <c r="D392" s="12">
        <v>1.8691307385794949</v>
      </c>
      <c r="E392" s="12">
        <v>0</v>
      </c>
      <c r="F392" s="12">
        <v>18</v>
      </c>
      <c r="G392" s="12">
        <v>0</v>
      </c>
      <c r="H392" s="12">
        <v>0</v>
      </c>
      <c r="I392" s="12" t="s">
        <v>73</v>
      </c>
      <c r="J392" s="12">
        <v>46297</v>
      </c>
      <c r="K392">
        <v>46297</v>
      </c>
    </row>
    <row r="393" spans="1:11" x14ac:dyDescent="0.25">
      <c r="A393" s="12" t="s">
        <v>59</v>
      </c>
      <c r="B393" s="12" t="s">
        <v>37</v>
      </c>
      <c r="C393" s="12" t="s">
        <v>13</v>
      </c>
      <c r="D393" s="12">
        <v>9.9297570487035642</v>
      </c>
      <c r="E393" s="12">
        <v>17.099999999999998</v>
      </c>
      <c r="F393" s="12">
        <v>20</v>
      </c>
      <c r="G393" s="12">
        <v>17.099999999999998</v>
      </c>
      <c r="H393" s="12">
        <v>12.739231004901946</v>
      </c>
      <c r="I393" s="12" t="s">
        <v>73</v>
      </c>
      <c r="J393" s="12">
        <v>46297</v>
      </c>
      <c r="K393">
        <v>46297</v>
      </c>
    </row>
    <row r="394" spans="1:11" x14ac:dyDescent="0.25">
      <c r="A394" s="12" t="s">
        <v>59</v>
      </c>
      <c r="B394" s="12" t="s">
        <v>148</v>
      </c>
      <c r="C394" s="12" t="s">
        <v>13</v>
      </c>
      <c r="D394" s="12">
        <v>11.5</v>
      </c>
      <c r="E394" s="12">
        <v>8.5499999999999989</v>
      </c>
      <c r="F394" s="12">
        <v>20</v>
      </c>
      <c r="G394" s="12">
        <v>8.5499999999999989</v>
      </c>
      <c r="H394" s="12">
        <v>6.6027420343137226</v>
      </c>
      <c r="I394" s="12" t="s">
        <v>73</v>
      </c>
      <c r="J394" s="12">
        <v>46297</v>
      </c>
      <c r="K394">
        <v>46297</v>
      </c>
    </row>
    <row r="395" spans="1:11" hidden="1" x14ac:dyDescent="0.25">
      <c r="A395" s="12" t="s">
        <v>59</v>
      </c>
      <c r="B395" s="12" t="s">
        <v>37</v>
      </c>
      <c r="C395" s="12" t="s">
        <v>14</v>
      </c>
      <c r="D395" s="12">
        <v>8.9367813438332124</v>
      </c>
      <c r="E395" s="12">
        <v>22.799999999999997</v>
      </c>
      <c r="F395" s="12">
        <v>20</v>
      </c>
      <c r="G395" s="12">
        <v>22.799999999999997</v>
      </c>
      <c r="H395" s="12">
        <v>10.87094822303921</v>
      </c>
      <c r="I395" s="12" t="s">
        <v>75</v>
      </c>
      <c r="J395" s="12">
        <v>46297</v>
      </c>
      <c r="K395">
        <v>46297</v>
      </c>
    </row>
    <row r="396" spans="1:11" hidden="1" x14ac:dyDescent="0.25">
      <c r="A396" s="12" t="s">
        <v>59</v>
      </c>
      <c r="B396" s="12" t="s">
        <v>38</v>
      </c>
      <c r="C396" s="12" t="s">
        <v>14</v>
      </c>
      <c r="D396" s="12">
        <v>2.4372947976878616</v>
      </c>
      <c r="E396" s="12">
        <v>3.8</v>
      </c>
      <c r="F396" s="12">
        <v>20</v>
      </c>
      <c r="G396" s="12">
        <v>3.8</v>
      </c>
      <c r="H396" s="12">
        <v>2.1049596309111882</v>
      </c>
      <c r="I396" s="12" t="s">
        <v>75</v>
      </c>
      <c r="J396" s="12">
        <v>46297</v>
      </c>
      <c r="K396">
        <v>46297</v>
      </c>
    </row>
    <row r="397" spans="1:11" hidden="1" x14ac:dyDescent="0.25">
      <c r="A397" s="12" t="s">
        <v>59</v>
      </c>
      <c r="B397" s="12" t="s">
        <v>148</v>
      </c>
      <c r="C397" s="12" t="s">
        <v>14</v>
      </c>
      <c r="D397" s="12">
        <v>0.58823529411764719</v>
      </c>
      <c r="E397" s="12">
        <v>6.6499999999999995</v>
      </c>
      <c r="F397" s="12">
        <v>20</v>
      </c>
      <c r="G397" s="12">
        <v>6.6499999999999995</v>
      </c>
      <c r="H397" s="12">
        <v>1.4915369088811996</v>
      </c>
      <c r="I397" s="12" t="s">
        <v>75</v>
      </c>
      <c r="J397" s="12">
        <v>46297</v>
      </c>
      <c r="K397">
        <v>46297</v>
      </c>
    </row>
    <row r="398" spans="1:11" hidden="1" x14ac:dyDescent="0.25">
      <c r="A398" s="12" t="s">
        <v>59</v>
      </c>
      <c r="B398" s="12" t="s">
        <v>57</v>
      </c>
      <c r="C398" s="12" t="s">
        <v>15</v>
      </c>
      <c r="D398" s="12">
        <v>0</v>
      </c>
      <c r="E398" s="12">
        <v>0</v>
      </c>
      <c r="F398" s="12">
        <v>18</v>
      </c>
      <c r="G398" s="12">
        <v>0</v>
      </c>
      <c r="H398" s="12">
        <v>0</v>
      </c>
      <c r="I398" s="12" t="s">
        <v>76</v>
      </c>
      <c r="J398" s="12">
        <v>46298</v>
      </c>
      <c r="K398">
        <v>46298</v>
      </c>
    </row>
    <row r="399" spans="1:11" hidden="1" x14ac:dyDescent="0.25">
      <c r="A399" s="12" t="s">
        <v>59</v>
      </c>
      <c r="B399" s="12" t="s">
        <v>148</v>
      </c>
      <c r="C399" s="12" t="s">
        <v>14</v>
      </c>
      <c r="D399" s="12">
        <v>1.0588235294117647</v>
      </c>
      <c r="E399" s="12">
        <v>1.9</v>
      </c>
      <c r="F399" s="12">
        <v>20</v>
      </c>
      <c r="G399" s="12">
        <v>1.9</v>
      </c>
      <c r="H399" s="12">
        <v>0.66435986159169547</v>
      </c>
      <c r="I399" s="12" t="s">
        <v>78</v>
      </c>
      <c r="J399" s="12">
        <v>46298</v>
      </c>
      <c r="K399">
        <v>46298</v>
      </c>
    </row>
    <row r="400" spans="1:11" hidden="1" x14ac:dyDescent="0.25">
      <c r="A400" s="12" t="s">
        <v>59</v>
      </c>
      <c r="B400" s="12" t="s">
        <v>38</v>
      </c>
      <c r="C400" s="12" t="s">
        <v>14</v>
      </c>
      <c r="D400" s="12">
        <v>2.4372947976878612</v>
      </c>
      <c r="E400" s="12">
        <v>2.8499999999999996</v>
      </c>
      <c r="F400" s="12">
        <v>20</v>
      </c>
      <c r="G400" s="12">
        <v>2.8499999999999996</v>
      </c>
      <c r="H400" s="12">
        <v>1.9930795847750864</v>
      </c>
      <c r="I400" s="12" t="s">
        <v>78</v>
      </c>
      <c r="J400" s="12">
        <v>46298</v>
      </c>
      <c r="K400">
        <v>46298</v>
      </c>
    </row>
    <row r="401" spans="1:11" hidden="1" x14ac:dyDescent="0.25">
      <c r="A401" s="12" t="s">
        <v>59</v>
      </c>
      <c r="B401" s="12" t="s">
        <v>37</v>
      </c>
      <c r="C401" s="12" t="s">
        <v>14</v>
      </c>
      <c r="D401" s="12">
        <v>8.0606263101240732</v>
      </c>
      <c r="E401" s="12">
        <v>20.9</v>
      </c>
      <c r="F401" s="12">
        <v>20</v>
      </c>
      <c r="G401" s="12">
        <v>20.9</v>
      </c>
      <c r="H401" s="12">
        <v>10.286044730392156</v>
      </c>
      <c r="I401" s="12" t="s">
        <v>78</v>
      </c>
      <c r="J401" s="12">
        <v>46298</v>
      </c>
      <c r="K401">
        <v>46298</v>
      </c>
    </row>
    <row r="402" spans="1:11" hidden="1" x14ac:dyDescent="0.25">
      <c r="A402" s="12" t="s">
        <v>59</v>
      </c>
      <c r="B402" s="12" t="s">
        <v>38</v>
      </c>
      <c r="C402" s="12" t="s">
        <v>15</v>
      </c>
      <c r="D402" s="12">
        <v>2.7622674373795766</v>
      </c>
      <c r="E402" s="12">
        <v>3.8</v>
      </c>
      <c r="F402" s="12">
        <v>20</v>
      </c>
      <c r="G402" s="12">
        <v>3.8</v>
      </c>
      <c r="H402" s="12">
        <v>2.0078431372549019</v>
      </c>
      <c r="I402" s="12" t="s">
        <v>76</v>
      </c>
      <c r="J402" s="12">
        <v>46298</v>
      </c>
      <c r="K402">
        <v>46298</v>
      </c>
    </row>
    <row r="403" spans="1:11" hidden="1" x14ac:dyDescent="0.25">
      <c r="A403" s="12" t="s">
        <v>59</v>
      </c>
      <c r="B403" s="12" t="s">
        <v>148</v>
      </c>
      <c r="C403" s="12" t="s">
        <v>15</v>
      </c>
      <c r="D403" s="12">
        <v>0</v>
      </c>
      <c r="E403" s="12">
        <v>0</v>
      </c>
      <c r="F403" s="12">
        <v>20</v>
      </c>
      <c r="G403" s="12">
        <v>0</v>
      </c>
      <c r="H403" s="12">
        <v>0</v>
      </c>
      <c r="I403" s="12" t="s">
        <v>76</v>
      </c>
      <c r="J403" s="12">
        <v>46298</v>
      </c>
      <c r="K403">
        <v>46298</v>
      </c>
    </row>
    <row r="404" spans="1:11" hidden="1" x14ac:dyDescent="0.25">
      <c r="A404" s="12" t="s">
        <v>59</v>
      </c>
      <c r="B404" s="12" t="s">
        <v>57</v>
      </c>
      <c r="C404" s="12" t="s">
        <v>14</v>
      </c>
      <c r="D404" s="12">
        <v>1.4293352706784372</v>
      </c>
      <c r="E404" s="12">
        <v>1.9</v>
      </c>
      <c r="F404" s="12">
        <v>18</v>
      </c>
      <c r="G404" s="12">
        <v>1.9</v>
      </c>
      <c r="H404" s="12">
        <v>0.93425605536332179</v>
      </c>
      <c r="I404" s="12" t="s">
        <v>78</v>
      </c>
      <c r="J404" s="12">
        <v>46298</v>
      </c>
      <c r="K404">
        <v>46298</v>
      </c>
    </row>
    <row r="405" spans="1:11" x14ac:dyDescent="0.25">
      <c r="A405" s="12" t="s">
        <v>59</v>
      </c>
      <c r="B405" s="12" t="s">
        <v>37</v>
      </c>
      <c r="C405" s="12" t="s">
        <v>13</v>
      </c>
      <c r="D405" s="12">
        <v>9.9297570487035678</v>
      </c>
      <c r="E405" s="12">
        <v>16.149999999999999</v>
      </c>
      <c r="F405" s="12">
        <v>20</v>
      </c>
      <c r="G405" s="12">
        <v>16.149999999999999</v>
      </c>
      <c r="H405" s="12">
        <v>11.032858455882351</v>
      </c>
      <c r="I405" s="12" t="s">
        <v>77</v>
      </c>
      <c r="J405" s="12">
        <v>46298</v>
      </c>
      <c r="K405">
        <v>46298</v>
      </c>
    </row>
    <row r="406" spans="1:11" x14ac:dyDescent="0.25">
      <c r="A406" s="12" t="s">
        <v>59</v>
      </c>
      <c r="B406" s="12" t="s">
        <v>57</v>
      </c>
      <c r="C406" s="12" t="s">
        <v>13</v>
      </c>
      <c r="D406" s="12">
        <v>1.8691307385794953</v>
      </c>
      <c r="E406" s="12">
        <v>0.95</v>
      </c>
      <c r="F406" s="12">
        <v>18</v>
      </c>
      <c r="G406" s="12">
        <v>0.95</v>
      </c>
      <c r="H406" s="12">
        <v>0.88235294117647056</v>
      </c>
      <c r="I406" s="12" t="s">
        <v>77</v>
      </c>
      <c r="J406" s="12">
        <v>46298</v>
      </c>
      <c r="K406">
        <v>46298</v>
      </c>
    </row>
    <row r="407" spans="1:11" x14ac:dyDescent="0.25">
      <c r="A407" s="12" t="s">
        <v>59</v>
      </c>
      <c r="B407" s="12" t="s">
        <v>38</v>
      </c>
      <c r="C407" s="12" t="s">
        <v>13</v>
      </c>
      <c r="D407" s="12">
        <v>0</v>
      </c>
      <c r="E407" s="12">
        <v>2.8499999999999996</v>
      </c>
      <c r="F407" s="12">
        <v>20</v>
      </c>
      <c r="G407" s="12">
        <v>2.8499999999999996</v>
      </c>
      <c r="H407" s="12">
        <v>2</v>
      </c>
      <c r="I407" s="12" t="s">
        <v>77</v>
      </c>
      <c r="J407" s="12">
        <v>46298</v>
      </c>
      <c r="K407">
        <v>46298</v>
      </c>
    </row>
    <row r="408" spans="1:11" x14ac:dyDescent="0.25">
      <c r="A408" s="12" t="s">
        <v>59</v>
      </c>
      <c r="B408" s="12" t="s">
        <v>148</v>
      </c>
      <c r="C408" s="12" t="s">
        <v>13</v>
      </c>
      <c r="D408" s="12">
        <v>4.9375</v>
      </c>
      <c r="E408" s="12">
        <v>1.9</v>
      </c>
      <c r="F408" s="12">
        <v>20</v>
      </c>
      <c r="G408" s="12">
        <v>1.9</v>
      </c>
      <c r="H408" s="12">
        <v>1.2941176470588236</v>
      </c>
      <c r="I408" s="12" t="s">
        <v>77</v>
      </c>
      <c r="J408" s="12">
        <v>46298</v>
      </c>
      <c r="K408">
        <v>46298</v>
      </c>
    </row>
    <row r="409" spans="1:11" hidden="1" x14ac:dyDescent="0.25">
      <c r="A409" s="12" t="s">
        <v>59</v>
      </c>
      <c r="B409" s="12" t="s">
        <v>37</v>
      </c>
      <c r="C409" s="12" t="s">
        <v>15</v>
      </c>
      <c r="D409" s="12">
        <v>4.4391855041263009</v>
      </c>
      <c r="E409" s="12">
        <v>10.45</v>
      </c>
      <c r="F409" s="12">
        <v>20</v>
      </c>
      <c r="G409" s="12">
        <v>10.45</v>
      </c>
      <c r="H409" s="12">
        <v>4.8685968137254898</v>
      </c>
      <c r="I409" s="12" t="s">
        <v>76</v>
      </c>
      <c r="J409" s="12">
        <v>46298</v>
      </c>
      <c r="K409">
        <v>46298</v>
      </c>
    </row>
    <row r="410" spans="1:11" x14ac:dyDescent="0.25">
      <c r="A410" s="12" t="s">
        <v>59</v>
      </c>
      <c r="B410" s="12" t="s">
        <v>38</v>
      </c>
      <c r="C410" s="12" t="s">
        <v>13</v>
      </c>
      <c r="D410" s="12">
        <v>0</v>
      </c>
      <c r="E410" s="12">
        <v>2.8499999999999996</v>
      </c>
      <c r="F410" s="12">
        <v>20</v>
      </c>
      <c r="G410" s="12">
        <v>2.8499999999999996</v>
      </c>
      <c r="H410" s="12">
        <v>2</v>
      </c>
      <c r="I410" s="12" t="s">
        <v>79</v>
      </c>
      <c r="J410" s="12">
        <v>46299</v>
      </c>
      <c r="K410">
        <v>46299</v>
      </c>
    </row>
    <row r="411" spans="1:11" x14ac:dyDescent="0.25">
      <c r="A411" s="12" t="s">
        <v>59</v>
      </c>
      <c r="B411" s="12" t="s">
        <v>148</v>
      </c>
      <c r="C411" s="12" t="s">
        <v>13</v>
      </c>
      <c r="D411" s="12">
        <v>5.8749999999999991</v>
      </c>
      <c r="E411" s="12">
        <v>1.9</v>
      </c>
      <c r="F411" s="12">
        <v>20</v>
      </c>
      <c r="G411" s="12">
        <v>1.9</v>
      </c>
      <c r="H411" s="12">
        <v>1.7042738970588236</v>
      </c>
      <c r="I411" s="12" t="s">
        <v>79</v>
      </c>
      <c r="J411" s="12">
        <v>46299</v>
      </c>
      <c r="K411">
        <v>46299</v>
      </c>
    </row>
    <row r="412" spans="1:11" x14ac:dyDescent="0.25">
      <c r="A412" s="12" t="s">
        <v>59</v>
      </c>
      <c r="B412" s="12" t="s">
        <v>57</v>
      </c>
      <c r="C412" s="12" t="s">
        <v>13</v>
      </c>
      <c r="D412" s="12">
        <v>1.8691307385794953</v>
      </c>
      <c r="E412" s="12">
        <v>0.95</v>
      </c>
      <c r="F412" s="12">
        <v>18</v>
      </c>
      <c r="G412" s="12">
        <v>0.95</v>
      </c>
      <c r="H412" s="12">
        <v>0.88235294117647056</v>
      </c>
      <c r="I412" s="12" t="s">
        <v>79</v>
      </c>
      <c r="J412" s="12">
        <v>46299</v>
      </c>
      <c r="K412">
        <v>46299</v>
      </c>
    </row>
    <row r="413" spans="1:11" x14ac:dyDescent="0.25">
      <c r="A413" s="12" t="s">
        <v>59</v>
      </c>
      <c r="B413" s="12" t="s">
        <v>37</v>
      </c>
      <c r="C413" s="12" t="s">
        <v>13</v>
      </c>
      <c r="D413" s="12">
        <v>9.929757048703566</v>
      </c>
      <c r="E413" s="12">
        <v>17.099999999999998</v>
      </c>
      <c r="F413" s="12">
        <v>20</v>
      </c>
      <c r="G413" s="12">
        <v>17.099999999999998</v>
      </c>
      <c r="H413" s="12">
        <v>11.915211397058822</v>
      </c>
      <c r="I413" s="12" t="s">
        <v>79</v>
      </c>
      <c r="J413" s="12">
        <v>46299</v>
      </c>
      <c r="K413">
        <v>46299</v>
      </c>
    </row>
    <row r="414" spans="1:11" hidden="1" x14ac:dyDescent="0.25">
      <c r="A414" s="12" t="s">
        <v>59</v>
      </c>
      <c r="B414" s="12" t="s">
        <v>57</v>
      </c>
      <c r="C414" s="12" t="s">
        <v>15</v>
      </c>
      <c r="D414" s="12">
        <v>0</v>
      </c>
      <c r="E414" s="12">
        <v>0</v>
      </c>
      <c r="F414" s="12">
        <v>18</v>
      </c>
      <c r="G414" s="12">
        <v>0</v>
      </c>
      <c r="H414" s="12">
        <v>0</v>
      </c>
      <c r="I414" s="12" t="s">
        <v>81</v>
      </c>
      <c r="J414" s="12">
        <v>46299</v>
      </c>
      <c r="K414">
        <v>46299</v>
      </c>
    </row>
    <row r="415" spans="1:11" hidden="1" x14ac:dyDescent="0.25">
      <c r="A415" s="12" t="s">
        <v>59</v>
      </c>
      <c r="B415" s="12" t="s">
        <v>37</v>
      </c>
      <c r="C415" s="12" t="s">
        <v>14</v>
      </c>
      <c r="D415" s="12">
        <v>8.1190366457046821</v>
      </c>
      <c r="E415" s="12">
        <v>21.85</v>
      </c>
      <c r="F415" s="12">
        <v>20</v>
      </c>
      <c r="G415" s="12">
        <v>21.85</v>
      </c>
      <c r="H415" s="12">
        <v>10.686435355392147</v>
      </c>
      <c r="I415" s="12" t="s">
        <v>80</v>
      </c>
      <c r="J415" s="12">
        <v>46299</v>
      </c>
      <c r="K415">
        <v>46299</v>
      </c>
    </row>
    <row r="416" spans="1:11" hidden="1" x14ac:dyDescent="0.25">
      <c r="A416" s="12" t="s">
        <v>59</v>
      </c>
      <c r="B416" s="12" t="s">
        <v>37</v>
      </c>
      <c r="C416" s="12" t="s">
        <v>15</v>
      </c>
      <c r="D416" s="12">
        <v>4.4391855041263009</v>
      </c>
      <c r="E416" s="12">
        <v>10.45</v>
      </c>
      <c r="F416" s="12">
        <v>20</v>
      </c>
      <c r="G416" s="12">
        <v>10.45</v>
      </c>
      <c r="H416" s="12">
        <v>4.8983532475490188</v>
      </c>
      <c r="I416" s="12" t="s">
        <v>81</v>
      </c>
      <c r="J416" s="12">
        <v>46299</v>
      </c>
      <c r="K416">
        <v>46299</v>
      </c>
    </row>
    <row r="417" spans="1:11" hidden="1" x14ac:dyDescent="0.25">
      <c r="A417" s="12" t="s">
        <v>59</v>
      </c>
      <c r="B417" s="12" t="s">
        <v>38</v>
      </c>
      <c r="C417" s="12" t="s">
        <v>15</v>
      </c>
      <c r="D417" s="12">
        <v>2.7622674373795766</v>
      </c>
      <c r="E417" s="12">
        <v>3.8</v>
      </c>
      <c r="F417" s="12">
        <v>20</v>
      </c>
      <c r="G417" s="12">
        <v>3.8</v>
      </c>
      <c r="H417" s="12">
        <v>2.0078431372549019</v>
      </c>
      <c r="I417" s="12" t="s">
        <v>81</v>
      </c>
      <c r="J417" s="12">
        <v>46299</v>
      </c>
      <c r="K417">
        <v>46299</v>
      </c>
    </row>
    <row r="418" spans="1:11" hidden="1" x14ac:dyDescent="0.25">
      <c r="A418" s="12" t="s">
        <v>59</v>
      </c>
      <c r="B418" s="12" t="s">
        <v>148</v>
      </c>
      <c r="C418" s="12" t="s">
        <v>14</v>
      </c>
      <c r="D418" s="12">
        <v>1.0588235294117647</v>
      </c>
      <c r="E418" s="12">
        <v>1.9</v>
      </c>
      <c r="F418" s="12">
        <v>20</v>
      </c>
      <c r="G418" s="12">
        <v>1.9</v>
      </c>
      <c r="H418" s="12">
        <v>1.16068339100346</v>
      </c>
      <c r="I418" s="12" t="s">
        <v>80</v>
      </c>
      <c r="J418" s="12">
        <v>46299</v>
      </c>
      <c r="K418">
        <v>46299</v>
      </c>
    </row>
    <row r="419" spans="1:11" hidden="1" x14ac:dyDescent="0.25">
      <c r="A419" s="12" t="s">
        <v>59</v>
      </c>
      <c r="B419" s="12" t="s">
        <v>57</v>
      </c>
      <c r="C419" s="12" t="s">
        <v>14</v>
      </c>
      <c r="D419" s="12">
        <v>1.4293352706784372</v>
      </c>
      <c r="E419" s="12">
        <v>1.9</v>
      </c>
      <c r="F419" s="12">
        <v>18</v>
      </c>
      <c r="G419" s="12">
        <v>1.9</v>
      </c>
      <c r="H419" s="12">
        <v>0.93425605536332179</v>
      </c>
      <c r="I419" s="12" t="s">
        <v>80</v>
      </c>
      <c r="J419" s="12">
        <v>46299</v>
      </c>
      <c r="K419">
        <v>46299</v>
      </c>
    </row>
    <row r="420" spans="1:11" hidden="1" x14ac:dyDescent="0.25">
      <c r="A420" s="12" t="s">
        <v>59</v>
      </c>
      <c r="B420" s="12" t="s">
        <v>148</v>
      </c>
      <c r="C420" s="12" t="s">
        <v>15</v>
      </c>
      <c r="D420" s="12">
        <v>0</v>
      </c>
      <c r="E420" s="12">
        <v>0.95</v>
      </c>
      <c r="F420" s="12">
        <v>20</v>
      </c>
      <c r="G420" s="12">
        <v>0.95</v>
      </c>
      <c r="H420" s="12">
        <v>0</v>
      </c>
      <c r="I420" s="12" t="s">
        <v>81</v>
      </c>
      <c r="J420" s="12">
        <v>46299</v>
      </c>
      <c r="K420">
        <v>46299</v>
      </c>
    </row>
    <row r="421" spans="1:11" hidden="1" x14ac:dyDescent="0.25">
      <c r="A421" s="12" t="s">
        <v>59</v>
      </c>
      <c r="B421" s="12" t="s">
        <v>38</v>
      </c>
      <c r="C421" s="12" t="s">
        <v>14</v>
      </c>
      <c r="D421" s="12">
        <v>2.4372947976878616</v>
      </c>
      <c r="E421" s="12">
        <v>2.8499999999999996</v>
      </c>
      <c r="F421" s="12">
        <v>20</v>
      </c>
      <c r="G421" s="12">
        <v>2.8499999999999996</v>
      </c>
      <c r="H421" s="12">
        <v>1.9930795847750864</v>
      </c>
      <c r="I421" s="12" t="s">
        <v>80</v>
      </c>
      <c r="J421" s="12">
        <v>46299</v>
      </c>
      <c r="K421">
        <v>46299</v>
      </c>
    </row>
    <row r="422" spans="1:11" hidden="1" x14ac:dyDescent="0.25">
      <c r="A422" s="12" t="s">
        <v>59</v>
      </c>
      <c r="B422" s="12" t="s">
        <v>37</v>
      </c>
      <c r="C422" s="12" t="s">
        <v>14</v>
      </c>
      <c r="D422" s="12">
        <v>8.1774469812852928</v>
      </c>
      <c r="E422" s="12">
        <v>22.799999999999997</v>
      </c>
      <c r="F422" s="12">
        <v>20</v>
      </c>
      <c r="G422" s="12">
        <v>22.799999999999997</v>
      </c>
      <c r="H422" s="12">
        <v>10.888985906862739</v>
      </c>
      <c r="I422" s="12" t="s">
        <v>83</v>
      </c>
      <c r="J422" s="12">
        <v>46300</v>
      </c>
      <c r="K422">
        <v>46300</v>
      </c>
    </row>
    <row r="423" spans="1:11" hidden="1" x14ac:dyDescent="0.25">
      <c r="A423" s="12" t="s">
        <v>59</v>
      </c>
      <c r="B423" s="12" t="s">
        <v>37</v>
      </c>
      <c r="C423" s="12" t="s">
        <v>15</v>
      </c>
      <c r="D423" s="12">
        <v>4.4391855041263009</v>
      </c>
      <c r="E423" s="12">
        <v>10.45</v>
      </c>
      <c r="F423" s="12">
        <v>20</v>
      </c>
      <c r="G423" s="12">
        <v>10.45</v>
      </c>
      <c r="H423" s="12">
        <v>4.8685968137254898</v>
      </c>
      <c r="I423" s="12" t="s">
        <v>82</v>
      </c>
      <c r="J423" s="12">
        <v>46300</v>
      </c>
      <c r="K423">
        <v>46300</v>
      </c>
    </row>
    <row r="424" spans="1:11" hidden="1" x14ac:dyDescent="0.25">
      <c r="A424" s="12" t="s">
        <v>59</v>
      </c>
      <c r="B424" s="12" t="s">
        <v>57</v>
      </c>
      <c r="C424" s="12" t="s">
        <v>15</v>
      </c>
      <c r="D424" s="12">
        <v>0</v>
      </c>
      <c r="E424" s="12">
        <v>0</v>
      </c>
      <c r="F424" s="12">
        <v>18</v>
      </c>
      <c r="G424" s="12">
        <v>0</v>
      </c>
      <c r="H424" s="12">
        <v>0</v>
      </c>
      <c r="I424" s="12" t="s">
        <v>82</v>
      </c>
      <c r="J424" s="12">
        <v>46300</v>
      </c>
      <c r="K424">
        <v>46300</v>
      </c>
    </row>
    <row r="425" spans="1:11" hidden="1" x14ac:dyDescent="0.25">
      <c r="A425" s="12" t="s">
        <v>59</v>
      </c>
      <c r="B425" s="12" t="s">
        <v>148</v>
      </c>
      <c r="C425" s="12" t="s">
        <v>15</v>
      </c>
      <c r="D425" s="12">
        <v>0</v>
      </c>
      <c r="E425" s="12">
        <v>6.6499999999999995</v>
      </c>
      <c r="F425" s="12">
        <v>20</v>
      </c>
      <c r="G425" s="12">
        <v>6.6499999999999995</v>
      </c>
      <c r="H425" s="12">
        <v>0</v>
      </c>
      <c r="I425" s="12" t="s">
        <v>82</v>
      </c>
      <c r="J425" s="12">
        <v>46300</v>
      </c>
      <c r="K425">
        <v>46300</v>
      </c>
    </row>
    <row r="426" spans="1:11" hidden="1" x14ac:dyDescent="0.25">
      <c r="A426" s="12" t="s">
        <v>59</v>
      </c>
      <c r="B426" s="12" t="s">
        <v>57</v>
      </c>
      <c r="C426" s="12" t="s">
        <v>14</v>
      </c>
      <c r="D426" s="12">
        <v>1.4293352706784377</v>
      </c>
      <c r="E426" s="12">
        <v>1.9</v>
      </c>
      <c r="F426" s="12">
        <v>18</v>
      </c>
      <c r="G426" s="12">
        <v>1.9</v>
      </c>
      <c r="H426" s="12">
        <v>0.93425605536332179</v>
      </c>
      <c r="I426" s="12" t="s">
        <v>83</v>
      </c>
      <c r="J426" s="12">
        <v>46300</v>
      </c>
      <c r="K426">
        <v>46300</v>
      </c>
    </row>
    <row r="427" spans="1:11" hidden="1" x14ac:dyDescent="0.25">
      <c r="A427" s="12" t="s">
        <v>59</v>
      </c>
      <c r="B427" s="12" t="s">
        <v>38</v>
      </c>
      <c r="C427" s="12" t="s">
        <v>15</v>
      </c>
      <c r="D427" s="12">
        <v>2.7622674373795766</v>
      </c>
      <c r="E427" s="12">
        <v>3.8</v>
      </c>
      <c r="F427" s="12">
        <v>20</v>
      </c>
      <c r="G427" s="12">
        <v>3.8</v>
      </c>
      <c r="H427" s="12">
        <v>2.0080610021786489</v>
      </c>
      <c r="I427" s="12" t="s">
        <v>82</v>
      </c>
      <c r="J427" s="12">
        <v>46300</v>
      </c>
      <c r="K427">
        <v>46300</v>
      </c>
    </row>
    <row r="428" spans="1:11" x14ac:dyDescent="0.25">
      <c r="A428" s="12" t="s">
        <v>59</v>
      </c>
      <c r="B428" s="12" t="s">
        <v>37</v>
      </c>
      <c r="C428" s="12" t="s">
        <v>13</v>
      </c>
      <c r="D428" s="12">
        <v>10.864322417993312</v>
      </c>
      <c r="E428" s="12">
        <v>18.05</v>
      </c>
      <c r="F428" s="12">
        <v>20</v>
      </c>
      <c r="G428" s="12">
        <v>18.05</v>
      </c>
      <c r="H428" s="12">
        <v>11.742417279411764</v>
      </c>
      <c r="I428" s="12" t="s">
        <v>84</v>
      </c>
      <c r="J428" s="12">
        <v>46300</v>
      </c>
      <c r="K428">
        <v>46300</v>
      </c>
    </row>
    <row r="429" spans="1:11" x14ac:dyDescent="0.25">
      <c r="A429" s="12" t="s">
        <v>59</v>
      </c>
      <c r="B429" s="12" t="s">
        <v>57</v>
      </c>
      <c r="C429" s="12" t="s">
        <v>13</v>
      </c>
      <c r="D429" s="12">
        <v>0.93456536928974765</v>
      </c>
      <c r="E429" s="12">
        <v>0.95</v>
      </c>
      <c r="F429" s="12">
        <v>18</v>
      </c>
      <c r="G429" s="12">
        <v>0.95</v>
      </c>
      <c r="H429" s="12">
        <v>0.88235294117647056</v>
      </c>
      <c r="I429" s="12" t="s">
        <v>84</v>
      </c>
      <c r="J429" s="12">
        <v>46300</v>
      </c>
      <c r="K429">
        <v>46300</v>
      </c>
    </row>
    <row r="430" spans="1:11" x14ac:dyDescent="0.25">
      <c r="A430" s="12" t="s">
        <v>59</v>
      </c>
      <c r="B430" s="12" t="s">
        <v>38</v>
      </c>
      <c r="C430" s="12" t="s">
        <v>13</v>
      </c>
      <c r="D430" s="12">
        <v>2.5134602601156062</v>
      </c>
      <c r="E430" s="12">
        <v>3.8</v>
      </c>
      <c r="F430" s="12">
        <v>20</v>
      </c>
      <c r="G430" s="12">
        <v>3.8</v>
      </c>
      <c r="H430" s="12">
        <v>2</v>
      </c>
      <c r="I430" s="12" t="s">
        <v>84</v>
      </c>
      <c r="J430" s="12">
        <v>46300</v>
      </c>
      <c r="K430">
        <v>46300</v>
      </c>
    </row>
    <row r="431" spans="1:11" x14ac:dyDescent="0.25">
      <c r="A431" s="12" t="s">
        <v>59</v>
      </c>
      <c r="B431" s="12" t="s">
        <v>148</v>
      </c>
      <c r="C431" s="12" t="s">
        <v>13</v>
      </c>
      <c r="D431" s="12">
        <v>13.249999999999996</v>
      </c>
      <c r="E431" s="12">
        <v>7.6</v>
      </c>
      <c r="F431" s="12">
        <v>20</v>
      </c>
      <c r="G431" s="12">
        <v>7.6</v>
      </c>
      <c r="H431" s="12">
        <v>11.157919730392155</v>
      </c>
      <c r="I431" s="12" t="s">
        <v>84</v>
      </c>
      <c r="J431" s="12">
        <v>46300</v>
      </c>
      <c r="K431">
        <v>46300</v>
      </c>
    </row>
    <row r="432" spans="1:11" hidden="1" x14ac:dyDescent="0.25">
      <c r="A432" s="12" t="s">
        <v>59</v>
      </c>
      <c r="B432" s="12" t="s">
        <v>148</v>
      </c>
      <c r="C432" s="12" t="s">
        <v>14</v>
      </c>
      <c r="D432" s="12">
        <v>0.58823529411764719</v>
      </c>
      <c r="E432" s="12">
        <v>7.6</v>
      </c>
      <c r="F432" s="12">
        <v>20</v>
      </c>
      <c r="G432" s="12">
        <v>7.6</v>
      </c>
      <c r="H432" s="12">
        <v>1.6575980392156859</v>
      </c>
      <c r="I432" s="12" t="s">
        <v>83</v>
      </c>
      <c r="J432" s="12">
        <v>46300</v>
      </c>
      <c r="K432">
        <v>46300</v>
      </c>
    </row>
    <row r="433" spans="1:11" hidden="1" x14ac:dyDescent="0.25">
      <c r="A433" s="12" t="s">
        <v>59</v>
      </c>
      <c r="B433" s="12" t="s">
        <v>38</v>
      </c>
      <c r="C433" s="12" t="s">
        <v>14</v>
      </c>
      <c r="D433" s="12">
        <v>2.5089799387963283</v>
      </c>
      <c r="E433" s="12">
        <v>3.8</v>
      </c>
      <c r="F433" s="12">
        <v>20</v>
      </c>
      <c r="G433" s="12">
        <v>3.8</v>
      </c>
      <c r="H433" s="12">
        <v>2.0517108804306035</v>
      </c>
      <c r="I433" s="12" t="s">
        <v>83</v>
      </c>
      <c r="J433" s="12">
        <v>46300</v>
      </c>
      <c r="K433">
        <v>46300</v>
      </c>
    </row>
    <row r="434" spans="1:11" hidden="1" x14ac:dyDescent="0.25">
      <c r="A434" s="12" t="s">
        <v>59</v>
      </c>
      <c r="B434" s="12" t="s">
        <v>38</v>
      </c>
      <c r="C434" s="12" t="s">
        <v>14</v>
      </c>
      <c r="D434" s="12">
        <v>2.4372947976878616</v>
      </c>
      <c r="E434" s="12">
        <v>3.8</v>
      </c>
      <c r="F434" s="12">
        <v>20</v>
      </c>
      <c r="G434" s="12">
        <v>3.8</v>
      </c>
      <c r="H434" s="12">
        <v>2.0490196078431371</v>
      </c>
      <c r="I434" s="12" t="s">
        <v>85</v>
      </c>
      <c r="J434" s="12">
        <v>46301</v>
      </c>
      <c r="K434">
        <v>46301</v>
      </c>
    </row>
    <row r="435" spans="1:11" x14ac:dyDescent="0.25">
      <c r="A435" s="12" t="s">
        <v>59</v>
      </c>
      <c r="B435" s="12" t="s">
        <v>57</v>
      </c>
      <c r="C435" s="12" t="s">
        <v>13</v>
      </c>
      <c r="D435" s="12">
        <v>0.93456536928974732</v>
      </c>
      <c r="E435" s="12">
        <v>0.95</v>
      </c>
      <c r="F435" s="12">
        <v>18</v>
      </c>
      <c r="G435" s="12">
        <v>0.95</v>
      </c>
      <c r="H435" s="12">
        <v>0.88235294117647045</v>
      </c>
      <c r="I435" s="12" t="s">
        <v>87</v>
      </c>
      <c r="J435" s="12">
        <v>46301</v>
      </c>
      <c r="K435">
        <v>46301</v>
      </c>
    </row>
    <row r="436" spans="1:11" x14ac:dyDescent="0.25">
      <c r="A436" s="12" t="s">
        <v>59</v>
      </c>
      <c r="B436" s="12" t="s">
        <v>38</v>
      </c>
      <c r="C436" s="12" t="s">
        <v>13</v>
      </c>
      <c r="D436" s="12">
        <v>3.8082731213872831</v>
      </c>
      <c r="E436" s="12">
        <v>3.8</v>
      </c>
      <c r="F436" s="12">
        <v>20</v>
      </c>
      <c r="G436" s="12">
        <v>3.8</v>
      </c>
      <c r="H436" s="12">
        <v>2.0030637254901964</v>
      </c>
      <c r="I436" s="12" t="s">
        <v>87</v>
      </c>
      <c r="J436" s="12">
        <v>46301</v>
      </c>
      <c r="K436">
        <v>46301</v>
      </c>
    </row>
    <row r="437" spans="1:11" x14ac:dyDescent="0.25">
      <c r="A437" s="12" t="s">
        <v>59</v>
      </c>
      <c r="B437" s="12" t="s">
        <v>37</v>
      </c>
      <c r="C437" s="12" t="s">
        <v>13</v>
      </c>
      <c r="D437" s="12">
        <v>10.864322417993312</v>
      </c>
      <c r="E437" s="12">
        <v>19.95</v>
      </c>
      <c r="F437" s="12">
        <v>20</v>
      </c>
      <c r="G437" s="12">
        <v>19.95</v>
      </c>
      <c r="H437" s="12">
        <v>11.0806219362745</v>
      </c>
      <c r="I437" s="12" t="s">
        <v>87</v>
      </c>
      <c r="J437" s="12">
        <v>46301</v>
      </c>
      <c r="K437">
        <v>46301</v>
      </c>
    </row>
    <row r="438" spans="1:11" hidden="1" x14ac:dyDescent="0.25">
      <c r="A438" s="12" t="s">
        <v>59</v>
      </c>
      <c r="B438" s="12" t="s">
        <v>148</v>
      </c>
      <c r="C438" s="12" t="s">
        <v>15</v>
      </c>
      <c r="D438" s="12">
        <v>0</v>
      </c>
      <c r="E438" s="12">
        <v>5.6999999999999993</v>
      </c>
      <c r="F438" s="12">
        <v>20</v>
      </c>
      <c r="G438" s="12">
        <v>5.6999999999999993</v>
      </c>
      <c r="H438" s="12">
        <v>0</v>
      </c>
      <c r="I438" s="12" t="s">
        <v>86</v>
      </c>
      <c r="J438" s="12">
        <v>46301</v>
      </c>
      <c r="K438">
        <v>46301</v>
      </c>
    </row>
    <row r="439" spans="1:11" x14ac:dyDescent="0.25">
      <c r="A439" s="12" t="s">
        <v>59</v>
      </c>
      <c r="B439" s="12" t="s">
        <v>148</v>
      </c>
      <c r="C439" s="12" t="s">
        <v>13</v>
      </c>
      <c r="D439" s="12">
        <v>12.25</v>
      </c>
      <c r="E439" s="12">
        <v>8.5499999999999989</v>
      </c>
      <c r="F439" s="12">
        <v>20</v>
      </c>
      <c r="G439" s="12">
        <v>8.5499999999999989</v>
      </c>
      <c r="H439" s="12">
        <v>6.7464220063025193</v>
      </c>
      <c r="I439" s="12" t="s">
        <v>87</v>
      </c>
      <c r="J439" s="12">
        <v>46301</v>
      </c>
      <c r="K439">
        <v>46301</v>
      </c>
    </row>
    <row r="440" spans="1:11" hidden="1" x14ac:dyDescent="0.25">
      <c r="A440" s="12" t="s">
        <v>59</v>
      </c>
      <c r="B440" s="12" t="s">
        <v>38</v>
      </c>
      <c r="C440" s="12" t="s">
        <v>15</v>
      </c>
      <c r="D440" s="12">
        <v>2.7622674373795766</v>
      </c>
      <c r="E440" s="12">
        <v>3.8</v>
      </c>
      <c r="F440" s="12">
        <v>20</v>
      </c>
      <c r="G440" s="12">
        <v>3.8</v>
      </c>
      <c r="H440" s="12">
        <v>2.0078431372549019</v>
      </c>
      <c r="I440" s="12" t="s">
        <v>86</v>
      </c>
      <c r="J440" s="12">
        <v>46301</v>
      </c>
      <c r="K440">
        <v>46301</v>
      </c>
    </row>
    <row r="441" spans="1:11" hidden="1" x14ac:dyDescent="0.25">
      <c r="A441" s="12" t="s">
        <v>59</v>
      </c>
      <c r="B441" s="12" t="s">
        <v>37</v>
      </c>
      <c r="C441" s="12" t="s">
        <v>15</v>
      </c>
      <c r="D441" s="12">
        <v>4.4391855041263009</v>
      </c>
      <c r="E441" s="12">
        <v>10.45</v>
      </c>
      <c r="F441" s="12">
        <v>20</v>
      </c>
      <c r="G441" s="12">
        <v>10.45</v>
      </c>
      <c r="H441" s="12">
        <v>4.8983532475490188</v>
      </c>
      <c r="I441" s="12" t="s">
        <v>86</v>
      </c>
      <c r="J441" s="12">
        <v>46301</v>
      </c>
      <c r="K441">
        <v>46301</v>
      </c>
    </row>
    <row r="442" spans="1:11" hidden="1" x14ac:dyDescent="0.25">
      <c r="A442" s="12" t="s">
        <v>59</v>
      </c>
      <c r="B442" s="12" t="s">
        <v>57</v>
      </c>
      <c r="C442" s="12" t="s">
        <v>14</v>
      </c>
      <c r="D442" s="12">
        <v>1.4293352706784377</v>
      </c>
      <c r="E442" s="12">
        <v>1.9</v>
      </c>
      <c r="F442" s="12">
        <v>18</v>
      </c>
      <c r="G442" s="12">
        <v>1.9</v>
      </c>
      <c r="H442" s="12">
        <v>0.93425605536332179</v>
      </c>
      <c r="I442" s="12" t="s">
        <v>85</v>
      </c>
      <c r="J442" s="12">
        <v>46301</v>
      </c>
      <c r="K442">
        <v>46301</v>
      </c>
    </row>
    <row r="443" spans="1:11" hidden="1" x14ac:dyDescent="0.25">
      <c r="A443" s="12" t="s">
        <v>59</v>
      </c>
      <c r="B443" s="12" t="s">
        <v>37</v>
      </c>
      <c r="C443" s="12" t="s">
        <v>14</v>
      </c>
      <c r="D443" s="12">
        <v>9.0536020149944303</v>
      </c>
      <c r="E443" s="12">
        <v>19</v>
      </c>
      <c r="F443" s="12">
        <v>20</v>
      </c>
      <c r="G443" s="12">
        <v>19</v>
      </c>
      <c r="H443" s="12">
        <v>9.8335248161764675</v>
      </c>
      <c r="I443" s="12" t="s">
        <v>85</v>
      </c>
      <c r="J443" s="12">
        <v>46301</v>
      </c>
      <c r="K443">
        <v>46301</v>
      </c>
    </row>
    <row r="444" spans="1:11" hidden="1" x14ac:dyDescent="0.25">
      <c r="A444" s="12" t="s">
        <v>59</v>
      </c>
      <c r="B444" s="12" t="s">
        <v>148</v>
      </c>
      <c r="C444" s="12" t="s">
        <v>14</v>
      </c>
      <c r="D444" s="12">
        <v>0.58823529411764719</v>
      </c>
      <c r="E444" s="12">
        <v>8.5499999999999989</v>
      </c>
      <c r="F444" s="12">
        <v>20</v>
      </c>
      <c r="G444" s="12">
        <v>8.5499999999999989</v>
      </c>
      <c r="H444" s="12">
        <v>1.7680734058329208</v>
      </c>
      <c r="I444" s="12" t="s">
        <v>85</v>
      </c>
      <c r="J444" s="12">
        <v>46301</v>
      </c>
      <c r="K444">
        <v>46301</v>
      </c>
    </row>
    <row r="445" spans="1:11" hidden="1" x14ac:dyDescent="0.25">
      <c r="A445" s="12" t="s">
        <v>59</v>
      </c>
      <c r="B445" s="12" t="s">
        <v>57</v>
      </c>
      <c r="C445" s="12" t="s">
        <v>15</v>
      </c>
      <c r="D445" s="12">
        <v>0</v>
      </c>
      <c r="E445" s="12">
        <v>0</v>
      </c>
      <c r="F445" s="12">
        <v>18</v>
      </c>
      <c r="G445" s="12">
        <v>0</v>
      </c>
      <c r="H445" s="12">
        <v>0</v>
      </c>
      <c r="I445" s="12" t="s">
        <v>86</v>
      </c>
      <c r="J445" s="12">
        <v>46301</v>
      </c>
      <c r="K445">
        <v>46301</v>
      </c>
    </row>
    <row r="446" spans="1:11" hidden="1" x14ac:dyDescent="0.25">
      <c r="A446" s="12" t="s">
        <v>59</v>
      </c>
      <c r="B446" s="12" t="s">
        <v>57</v>
      </c>
      <c r="C446" s="12" t="s">
        <v>14</v>
      </c>
      <c r="D446" s="12">
        <v>1.5942585711413342</v>
      </c>
      <c r="E446" s="12">
        <v>1.9</v>
      </c>
      <c r="F446" s="12">
        <v>18</v>
      </c>
      <c r="G446" s="12">
        <v>1.9</v>
      </c>
      <c r="H446" s="12">
        <v>0.93425605536332179</v>
      </c>
      <c r="I446" s="12" t="s">
        <v>88</v>
      </c>
      <c r="J446" s="12">
        <v>46302</v>
      </c>
      <c r="K446">
        <v>46302</v>
      </c>
    </row>
    <row r="447" spans="1:11" hidden="1" x14ac:dyDescent="0.25">
      <c r="A447" s="12" t="s">
        <v>59</v>
      </c>
      <c r="B447" s="12" t="s">
        <v>37</v>
      </c>
      <c r="C447" s="12" t="s">
        <v>14</v>
      </c>
      <c r="D447" s="12">
        <v>8.0022159745434642</v>
      </c>
      <c r="E447" s="12">
        <v>20.9</v>
      </c>
      <c r="F447" s="12">
        <v>20</v>
      </c>
      <c r="G447" s="12">
        <v>20.9</v>
      </c>
      <c r="H447" s="12">
        <v>10.841651348039214</v>
      </c>
      <c r="I447" s="12" t="s">
        <v>88</v>
      </c>
      <c r="J447" s="12">
        <v>46302</v>
      </c>
      <c r="K447">
        <v>46302</v>
      </c>
    </row>
    <row r="448" spans="1:11" hidden="1" x14ac:dyDescent="0.25">
      <c r="A448" s="12" t="s">
        <v>59</v>
      </c>
      <c r="B448" s="12" t="s">
        <v>38</v>
      </c>
      <c r="C448" s="12" t="s">
        <v>14</v>
      </c>
      <c r="D448" s="12">
        <v>2.4372947976878616</v>
      </c>
      <c r="E448" s="12">
        <v>2.8499999999999996</v>
      </c>
      <c r="F448" s="12">
        <v>20</v>
      </c>
      <c r="G448" s="12">
        <v>2.8499999999999996</v>
      </c>
      <c r="H448" s="12">
        <v>1.9382929642445217</v>
      </c>
      <c r="I448" s="12" t="s">
        <v>88</v>
      </c>
      <c r="J448" s="12">
        <v>46302</v>
      </c>
      <c r="K448">
        <v>46302</v>
      </c>
    </row>
    <row r="449" spans="1:11" hidden="1" x14ac:dyDescent="0.25">
      <c r="A449" s="12" t="s">
        <v>59</v>
      </c>
      <c r="B449" s="12" t="s">
        <v>148</v>
      </c>
      <c r="C449" s="12" t="s">
        <v>14</v>
      </c>
      <c r="D449" s="12">
        <v>0.58823529411764719</v>
      </c>
      <c r="E449" s="12">
        <v>7.6</v>
      </c>
      <c r="F449" s="12">
        <v>20</v>
      </c>
      <c r="G449" s="12">
        <v>7.6</v>
      </c>
      <c r="H449" s="12">
        <v>1.7129901960784313</v>
      </c>
      <c r="I449" s="12" t="s">
        <v>88</v>
      </c>
      <c r="J449" s="12">
        <v>46302</v>
      </c>
      <c r="K449">
        <v>46302</v>
      </c>
    </row>
    <row r="450" spans="1:11" hidden="1" x14ac:dyDescent="0.25">
      <c r="A450" s="12" t="s">
        <v>59</v>
      </c>
      <c r="B450" s="12" t="s">
        <v>148</v>
      </c>
      <c r="C450" s="12" t="s">
        <v>15</v>
      </c>
      <c r="D450" s="12">
        <v>0</v>
      </c>
      <c r="E450" s="12">
        <v>5.6999999999999993</v>
      </c>
      <c r="F450" s="12">
        <v>20</v>
      </c>
      <c r="G450" s="12">
        <v>5.6999999999999993</v>
      </c>
      <c r="H450" s="12">
        <v>0</v>
      </c>
      <c r="I450" s="12" t="s">
        <v>89</v>
      </c>
      <c r="J450" s="12">
        <v>46302</v>
      </c>
      <c r="K450">
        <v>46302</v>
      </c>
    </row>
    <row r="451" spans="1:11" hidden="1" x14ac:dyDescent="0.25">
      <c r="A451" s="12" t="s">
        <v>59</v>
      </c>
      <c r="B451" s="12" t="s">
        <v>37</v>
      </c>
      <c r="C451" s="12" t="s">
        <v>15</v>
      </c>
      <c r="D451" s="12">
        <v>4.4391855041263009</v>
      </c>
      <c r="E451" s="12">
        <v>9.5</v>
      </c>
      <c r="F451" s="12">
        <v>20</v>
      </c>
      <c r="G451" s="12">
        <v>9.5</v>
      </c>
      <c r="H451" s="12">
        <v>4.8685968137254898</v>
      </c>
      <c r="I451" s="12" t="s">
        <v>89</v>
      </c>
      <c r="J451" s="12">
        <v>46302</v>
      </c>
      <c r="K451">
        <v>46302</v>
      </c>
    </row>
    <row r="452" spans="1:11" hidden="1" x14ac:dyDescent="0.25">
      <c r="A452" s="12" t="s">
        <v>59</v>
      </c>
      <c r="B452" s="12" t="s">
        <v>38</v>
      </c>
      <c r="C452" s="12" t="s">
        <v>15</v>
      </c>
      <c r="D452" s="12">
        <v>2.7622674373795766</v>
      </c>
      <c r="E452" s="12">
        <v>3.8</v>
      </c>
      <c r="F452" s="12">
        <v>20</v>
      </c>
      <c r="G452" s="12">
        <v>3.8</v>
      </c>
      <c r="H452" s="12">
        <v>2.0078431372549019</v>
      </c>
      <c r="I452" s="12" t="s">
        <v>89</v>
      </c>
      <c r="J452" s="12">
        <v>46302</v>
      </c>
      <c r="K452">
        <v>46302</v>
      </c>
    </row>
    <row r="453" spans="1:11" x14ac:dyDescent="0.25">
      <c r="A453" s="12" t="s">
        <v>59</v>
      </c>
      <c r="B453" s="12" t="s">
        <v>148</v>
      </c>
      <c r="C453" s="12" t="s">
        <v>13</v>
      </c>
      <c r="D453" s="12">
        <v>12.25</v>
      </c>
      <c r="E453" s="12">
        <v>7.6</v>
      </c>
      <c r="F453" s="12">
        <v>20</v>
      </c>
      <c r="G453" s="12">
        <v>7.6</v>
      </c>
      <c r="H453" s="12">
        <v>5.8674479166666682</v>
      </c>
      <c r="I453" s="12" t="s">
        <v>90</v>
      </c>
      <c r="J453" s="12">
        <v>46302</v>
      </c>
      <c r="K453">
        <v>46302</v>
      </c>
    </row>
    <row r="454" spans="1:11" x14ac:dyDescent="0.25">
      <c r="A454" s="12" t="s">
        <v>59</v>
      </c>
      <c r="B454" s="12" t="s">
        <v>57</v>
      </c>
      <c r="C454" s="12" t="s">
        <v>13</v>
      </c>
      <c r="D454" s="12">
        <v>1.6354893962570578</v>
      </c>
      <c r="E454" s="12">
        <v>1.9</v>
      </c>
      <c r="F454" s="12">
        <v>18</v>
      </c>
      <c r="G454" s="12">
        <v>1.9</v>
      </c>
      <c r="H454" s="12">
        <v>1.6323529411764706</v>
      </c>
      <c r="I454" s="12" t="s">
        <v>90</v>
      </c>
      <c r="J454" s="12">
        <v>46302</v>
      </c>
      <c r="K454">
        <v>46302</v>
      </c>
    </row>
    <row r="455" spans="1:11" x14ac:dyDescent="0.25">
      <c r="A455" s="12" t="s">
        <v>59</v>
      </c>
      <c r="B455" s="12" t="s">
        <v>38</v>
      </c>
      <c r="C455" s="12" t="s">
        <v>13</v>
      </c>
      <c r="D455" s="12">
        <v>3.884438583815029</v>
      </c>
      <c r="E455" s="12">
        <v>2.8499999999999996</v>
      </c>
      <c r="F455" s="12">
        <v>20</v>
      </c>
      <c r="G455" s="12">
        <v>2.8499999999999996</v>
      </c>
      <c r="H455" s="12">
        <v>1.1207107843137256</v>
      </c>
      <c r="I455" s="12" t="s">
        <v>90</v>
      </c>
      <c r="J455" s="12">
        <v>46302</v>
      </c>
      <c r="K455">
        <v>46302</v>
      </c>
    </row>
    <row r="456" spans="1:11" x14ac:dyDescent="0.25">
      <c r="A456" s="12" t="s">
        <v>59</v>
      </c>
      <c r="B456" s="12" t="s">
        <v>37</v>
      </c>
      <c r="C456" s="12" t="s">
        <v>13</v>
      </c>
      <c r="D456" s="12">
        <v>9.929757048703566</v>
      </c>
      <c r="E456" s="12">
        <v>19.95</v>
      </c>
      <c r="F456" s="12">
        <v>20</v>
      </c>
      <c r="G456" s="12">
        <v>19.95</v>
      </c>
      <c r="H456" s="12">
        <v>11.914751838235292</v>
      </c>
      <c r="I456" s="12" t="s">
        <v>90</v>
      </c>
      <c r="J456" s="12">
        <v>46302</v>
      </c>
      <c r="K456">
        <v>46302</v>
      </c>
    </row>
    <row r="457" spans="1:11" hidden="1" x14ac:dyDescent="0.25">
      <c r="A457" s="12" t="s">
        <v>59</v>
      </c>
      <c r="B457" s="12" t="s">
        <v>57</v>
      </c>
      <c r="C457" s="12" t="s">
        <v>15</v>
      </c>
      <c r="D457" s="12">
        <v>0</v>
      </c>
      <c r="E457" s="12">
        <v>0</v>
      </c>
      <c r="F457" s="12">
        <v>18</v>
      </c>
      <c r="G457" s="12">
        <v>0</v>
      </c>
      <c r="H457" s="12">
        <v>0</v>
      </c>
      <c r="I457" s="12" t="s">
        <v>89</v>
      </c>
      <c r="J457" s="12">
        <v>46302</v>
      </c>
      <c r="K457">
        <v>46302</v>
      </c>
    </row>
    <row r="458" spans="1:11" hidden="1" x14ac:dyDescent="0.25">
      <c r="A458" s="12" t="s">
        <v>59</v>
      </c>
      <c r="B458" s="12" t="s">
        <v>38</v>
      </c>
      <c r="C458" s="12" t="s">
        <v>14</v>
      </c>
      <c r="D458" s="12">
        <v>2.4372947976878616</v>
      </c>
      <c r="E458" s="12">
        <v>3.8</v>
      </c>
      <c r="F458" s="12">
        <v>20</v>
      </c>
      <c r="G458" s="12">
        <v>3.8</v>
      </c>
      <c r="H458" s="12">
        <v>2.1049596309111882</v>
      </c>
      <c r="I458" s="12" t="s">
        <v>91</v>
      </c>
      <c r="J458" s="12">
        <v>46303</v>
      </c>
      <c r="K458">
        <v>46303</v>
      </c>
    </row>
    <row r="459" spans="1:11" hidden="1" x14ac:dyDescent="0.25">
      <c r="A459" s="12" t="s">
        <v>59</v>
      </c>
      <c r="B459" s="12" t="s">
        <v>148</v>
      </c>
      <c r="C459" s="12" t="s">
        <v>14</v>
      </c>
      <c r="D459" s="12">
        <v>0.58823529411764719</v>
      </c>
      <c r="E459" s="12">
        <v>8.5499999999999989</v>
      </c>
      <c r="F459" s="12">
        <v>20</v>
      </c>
      <c r="G459" s="12">
        <v>8.5499999999999989</v>
      </c>
      <c r="H459" s="12">
        <v>1.7684800200915276</v>
      </c>
      <c r="I459" s="12" t="s">
        <v>91</v>
      </c>
      <c r="J459" s="12">
        <v>46303</v>
      </c>
      <c r="K459">
        <v>46303</v>
      </c>
    </row>
    <row r="460" spans="1:11" hidden="1" x14ac:dyDescent="0.25">
      <c r="A460" s="12" t="s">
        <v>59</v>
      </c>
      <c r="B460" s="12" t="s">
        <v>57</v>
      </c>
      <c r="C460" s="12" t="s">
        <v>14</v>
      </c>
      <c r="D460" s="12">
        <v>0.65969320185158653</v>
      </c>
      <c r="E460" s="12">
        <v>0.95</v>
      </c>
      <c r="F460" s="12">
        <v>18</v>
      </c>
      <c r="G460" s="12">
        <v>0.95</v>
      </c>
      <c r="H460" s="12">
        <v>0.11072664359861592</v>
      </c>
      <c r="I460" s="12" t="s">
        <v>91</v>
      </c>
      <c r="J460" s="12">
        <v>46303</v>
      </c>
      <c r="K460">
        <v>46303</v>
      </c>
    </row>
    <row r="461" spans="1:11" hidden="1" x14ac:dyDescent="0.25">
      <c r="A461" s="12" t="s">
        <v>59</v>
      </c>
      <c r="B461" s="12" t="s">
        <v>37</v>
      </c>
      <c r="C461" s="12" t="s">
        <v>15</v>
      </c>
      <c r="D461" s="12">
        <v>4.4391855041263009</v>
      </c>
      <c r="E461" s="12">
        <v>11.4</v>
      </c>
      <c r="F461" s="12">
        <v>20</v>
      </c>
      <c r="G461" s="12">
        <v>11.4</v>
      </c>
      <c r="H461" s="12">
        <v>4.9862438725490197</v>
      </c>
      <c r="I461" s="12" t="s">
        <v>92</v>
      </c>
      <c r="J461" s="12">
        <v>46303</v>
      </c>
      <c r="K461">
        <v>46303</v>
      </c>
    </row>
    <row r="462" spans="1:11" hidden="1" x14ac:dyDescent="0.25">
      <c r="A462" s="12" t="s">
        <v>59</v>
      </c>
      <c r="B462" s="12" t="s">
        <v>37</v>
      </c>
      <c r="C462" s="12" t="s">
        <v>14</v>
      </c>
      <c r="D462" s="12">
        <v>7.9438056389628562</v>
      </c>
      <c r="E462" s="12">
        <v>22.799999999999997</v>
      </c>
      <c r="F462" s="12">
        <v>20</v>
      </c>
      <c r="G462" s="12">
        <v>22.799999999999997</v>
      </c>
      <c r="H462" s="12">
        <v>11.536044730392153</v>
      </c>
      <c r="I462" s="12" t="s">
        <v>91</v>
      </c>
      <c r="J462" s="12">
        <v>46303</v>
      </c>
      <c r="K462">
        <v>46303</v>
      </c>
    </row>
    <row r="463" spans="1:11" hidden="1" x14ac:dyDescent="0.25">
      <c r="A463" s="12" t="s">
        <v>59</v>
      </c>
      <c r="B463" s="12" t="s">
        <v>57</v>
      </c>
      <c r="C463" s="12" t="s">
        <v>15</v>
      </c>
      <c r="D463" s="12">
        <v>0</v>
      </c>
      <c r="E463" s="12">
        <v>0.95</v>
      </c>
      <c r="F463" s="12">
        <v>18</v>
      </c>
      <c r="G463" s="12">
        <v>0.95</v>
      </c>
      <c r="H463" s="12">
        <v>0</v>
      </c>
      <c r="I463" s="12" t="s">
        <v>92</v>
      </c>
      <c r="J463" s="12">
        <v>46303</v>
      </c>
      <c r="K463">
        <v>46303</v>
      </c>
    </row>
    <row r="464" spans="1:11" hidden="1" x14ac:dyDescent="0.25">
      <c r="A464" s="12" t="s">
        <v>59</v>
      </c>
      <c r="B464" s="12" t="s">
        <v>148</v>
      </c>
      <c r="C464" s="12" t="s">
        <v>15</v>
      </c>
      <c r="D464" s="12">
        <v>0</v>
      </c>
      <c r="E464" s="12">
        <v>5.6999999999999993</v>
      </c>
      <c r="F464" s="12">
        <v>20</v>
      </c>
      <c r="G464" s="12">
        <v>5.6999999999999993</v>
      </c>
      <c r="H464" s="12">
        <v>0</v>
      </c>
      <c r="I464" s="12" t="s">
        <v>92</v>
      </c>
      <c r="J464" s="12">
        <v>46303</v>
      </c>
      <c r="K464">
        <v>46303</v>
      </c>
    </row>
    <row r="465" spans="1:11" x14ac:dyDescent="0.25">
      <c r="A465" s="12" t="s">
        <v>59</v>
      </c>
      <c r="B465" s="12" t="s">
        <v>38</v>
      </c>
      <c r="C465" s="12" t="s">
        <v>13</v>
      </c>
      <c r="D465" s="12">
        <v>2.5134602601156062</v>
      </c>
      <c r="E465" s="12">
        <v>2.8499999999999996</v>
      </c>
      <c r="F465" s="12">
        <v>20</v>
      </c>
      <c r="G465" s="12">
        <v>2.8499999999999996</v>
      </c>
      <c r="H465" s="12">
        <v>2.0061274509803924</v>
      </c>
      <c r="I465" s="12" t="s">
        <v>93</v>
      </c>
      <c r="J465" s="12">
        <v>46303</v>
      </c>
      <c r="K465">
        <v>46303</v>
      </c>
    </row>
    <row r="466" spans="1:11" x14ac:dyDescent="0.25">
      <c r="A466" s="12" t="s">
        <v>59</v>
      </c>
      <c r="B466" s="12" t="s">
        <v>148</v>
      </c>
      <c r="C466" s="12" t="s">
        <v>13</v>
      </c>
      <c r="D466" s="12">
        <v>12.25</v>
      </c>
      <c r="E466" s="12">
        <v>8.5499999999999989</v>
      </c>
      <c r="F466" s="12">
        <v>20</v>
      </c>
      <c r="G466" s="12">
        <v>8.5499999999999989</v>
      </c>
      <c r="H466" s="12">
        <v>7.6875222367172658</v>
      </c>
      <c r="I466" s="12" t="s">
        <v>93</v>
      </c>
      <c r="J466" s="12">
        <v>46303</v>
      </c>
      <c r="K466">
        <v>46303</v>
      </c>
    </row>
    <row r="467" spans="1:11" x14ac:dyDescent="0.25">
      <c r="A467" s="12" t="s">
        <v>59</v>
      </c>
      <c r="B467" s="12" t="s">
        <v>37</v>
      </c>
      <c r="C467" s="12" t="s">
        <v>13</v>
      </c>
      <c r="D467" s="12">
        <v>10.864322417993312</v>
      </c>
      <c r="E467" s="12">
        <v>19</v>
      </c>
      <c r="F467" s="12">
        <v>20</v>
      </c>
      <c r="G467" s="12">
        <v>19</v>
      </c>
      <c r="H467" s="12">
        <v>11.915211397058822</v>
      </c>
      <c r="I467" s="12" t="s">
        <v>93</v>
      </c>
      <c r="J467" s="12">
        <v>46303</v>
      </c>
      <c r="K467">
        <v>46303</v>
      </c>
    </row>
    <row r="468" spans="1:11" hidden="1" x14ac:dyDescent="0.25">
      <c r="A468" s="12" t="s">
        <v>59</v>
      </c>
      <c r="B468" s="12" t="s">
        <v>38</v>
      </c>
      <c r="C468" s="12" t="s">
        <v>15</v>
      </c>
      <c r="D468" s="12">
        <v>2.7622674373795766</v>
      </c>
      <c r="E468" s="12">
        <v>3.8</v>
      </c>
      <c r="F468" s="12">
        <v>20</v>
      </c>
      <c r="G468" s="12">
        <v>3.8</v>
      </c>
      <c r="H468" s="12">
        <v>2.0078431372549019</v>
      </c>
      <c r="I468" s="12" t="s">
        <v>92</v>
      </c>
      <c r="J468" s="12">
        <v>46303</v>
      </c>
      <c r="K468">
        <v>46303</v>
      </c>
    </row>
    <row r="469" spans="1:11" x14ac:dyDescent="0.25">
      <c r="A469" s="12" t="s">
        <v>59</v>
      </c>
      <c r="B469" s="12" t="s">
        <v>57</v>
      </c>
      <c r="C469" s="12" t="s">
        <v>13</v>
      </c>
      <c r="D469" s="12">
        <v>0.93456536928974765</v>
      </c>
      <c r="E469" s="12">
        <v>0.95</v>
      </c>
      <c r="F469" s="12">
        <v>18</v>
      </c>
      <c r="G469" s="12">
        <v>0.95</v>
      </c>
      <c r="H469" s="12">
        <v>0.88235294117647056</v>
      </c>
      <c r="I469" s="12" t="s">
        <v>93</v>
      </c>
      <c r="J469" s="12">
        <v>46303</v>
      </c>
      <c r="K469">
        <v>46303</v>
      </c>
    </row>
    <row r="470" spans="1:11" hidden="1" x14ac:dyDescent="0.25">
      <c r="A470" s="12" t="s">
        <v>59</v>
      </c>
      <c r="B470" s="12" t="s">
        <v>57</v>
      </c>
      <c r="C470" s="12" t="s">
        <v>14</v>
      </c>
      <c r="D470" s="12">
        <v>0.65969320185158653</v>
      </c>
      <c r="E470" s="12">
        <v>1.9</v>
      </c>
      <c r="F470" s="12">
        <v>18</v>
      </c>
      <c r="G470" s="12">
        <v>1.9</v>
      </c>
      <c r="H470" s="12">
        <v>0.22145328719723184</v>
      </c>
      <c r="I470" s="12" t="s">
        <v>94</v>
      </c>
      <c r="J470" s="12">
        <v>46304</v>
      </c>
      <c r="K470">
        <v>46304</v>
      </c>
    </row>
    <row r="471" spans="1:11" x14ac:dyDescent="0.25">
      <c r="A471" s="12" t="s">
        <v>59</v>
      </c>
      <c r="B471" s="12" t="s">
        <v>57</v>
      </c>
      <c r="C471" s="12" t="s">
        <v>13</v>
      </c>
      <c r="D471" s="12">
        <v>1.8691307385794949</v>
      </c>
      <c r="E471" s="12">
        <v>1.9</v>
      </c>
      <c r="F471" s="12">
        <v>18</v>
      </c>
      <c r="G471" s="12">
        <v>1.9</v>
      </c>
      <c r="H471" s="12">
        <v>1.7647058823529411</v>
      </c>
      <c r="I471" s="12" t="s">
        <v>95</v>
      </c>
      <c r="J471" s="12">
        <v>46304</v>
      </c>
      <c r="K471">
        <v>46304</v>
      </c>
    </row>
    <row r="472" spans="1:11" x14ac:dyDescent="0.25">
      <c r="A472" s="12" t="s">
        <v>59</v>
      </c>
      <c r="B472" s="12" t="s">
        <v>38</v>
      </c>
      <c r="C472" s="12" t="s">
        <v>13</v>
      </c>
      <c r="D472" s="12">
        <v>3.7321076589595377</v>
      </c>
      <c r="E472" s="12">
        <v>3.8</v>
      </c>
      <c r="F472" s="12">
        <v>20</v>
      </c>
      <c r="G472" s="12">
        <v>3.8</v>
      </c>
      <c r="H472" s="12">
        <v>2.0030637254901964</v>
      </c>
      <c r="I472" s="12" t="s">
        <v>95</v>
      </c>
      <c r="J472" s="12">
        <v>46304</v>
      </c>
      <c r="K472">
        <v>46304</v>
      </c>
    </row>
    <row r="473" spans="1:11" x14ac:dyDescent="0.25">
      <c r="A473" s="12" t="s">
        <v>59</v>
      </c>
      <c r="B473" s="12" t="s">
        <v>148</v>
      </c>
      <c r="C473" s="12" t="s">
        <v>13</v>
      </c>
      <c r="D473" s="12">
        <v>11.5</v>
      </c>
      <c r="E473" s="12">
        <v>8.5499999999999989</v>
      </c>
      <c r="F473" s="12">
        <v>20</v>
      </c>
      <c r="G473" s="12">
        <v>8.5499999999999989</v>
      </c>
      <c r="H473" s="12">
        <v>6.6027420343137244</v>
      </c>
      <c r="I473" s="12" t="s">
        <v>95</v>
      </c>
      <c r="J473" s="12">
        <v>46304</v>
      </c>
      <c r="K473">
        <v>46304</v>
      </c>
    </row>
    <row r="474" spans="1:11" hidden="1" x14ac:dyDescent="0.25">
      <c r="A474" s="12" t="s">
        <v>59</v>
      </c>
      <c r="B474" s="12" t="s">
        <v>57</v>
      </c>
      <c r="C474" s="12" t="s">
        <v>15</v>
      </c>
      <c r="D474" s="12">
        <v>0</v>
      </c>
      <c r="E474" s="12">
        <v>0</v>
      </c>
      <c r="F474" s="12">
        <v>18</v>
      </c>
      <c r="G474" s="12">
        <v>0</v>
      </c>
      <c r="H474" s="12">
        <v>0</v>
      </c>
      <c r="I474" s="12" t="s">
        <v>96</v>
      </c>
      <c r="J474" s="12">
        <v>46304</v>
      </c>
      <c r="K474">
        <v>46304</v>
      </c>
    </row>
    <row r="475" spans="1:11" hidden="1" x14ac:dyDescent="0.25">
      <c r="A475" s="12" t="s">
        <v>59</v>
      </c>
      <c r="B475" s="12" t="s">
        <v>38</v>
      </c>
      <c r="C475" s="12" t="s">
        <v>15</v>
      </c>
      <c r="D475" s="12">
        <v>2.7622674373795766</v>
      </c>
      <c r="E475" s="12">
        <v>3.8</v>
      </c>
      <c r="F475" s="12">
        <v>20</v>
      </c>
      <c r="G475" s="12">
        <v>3.8</v>
      </c>
      <c r="H475" s="12">
        <v>2.0078431372549019</v>
      </c>
      <c r="I475" s="12" t="s">
        <v>96</v>
      </c>
      <c r="J475" s="12">
        <v>46304</v>
      </c>
      <c r="K475">
        <v>46304</v>
      </c>
    </row>
    <row r="476" spans="1:11" hidden="1" x14ac:dyDescent="0.25">
      <c r="A476" s="12" t="s">
        <v>59</v>
      </c>
      <c r="B476" s="12" t="s">
        <v>148</v>
      </c>
      <c r="C476" s="12" t="s">
        <v>15</v>
      </c>
      <c r="D476" s="12">
        <v>0</v>
      </c>
      <c r="E476" s="12">
        <v>5.6999999999999993</v>
      </c>
      <c r="F476" s="12">
        <v>20</v>
      </c>
      <c r="G476" s="12">
        <v>5.6999999999999993</v>
      </c>
      <c r="H476" s="12">
        <v>0</v>
      </c>
      <c r="I476" s="12" t="s">
        <v>96</v>
      </c>
      <c r="J476" s="12">
        <v>46304</v>
      </c>
      <c r="K476">
        <v>46304</v>
      </c>
    </row>
    <row r="477" spans="1:11" hidden="1" x14ac:dyDescent="0.25">
      <c r="A477" s="12" t="s">
        <v>59</v>
      </c>
      <c r="B477" s="12" t="s">
        <v>37</v>
      </c>
      <c r="C477" s="12" t="s">
        <v>15</v>
      </c>
      <c r="D477" s="12">
        <v>4.4391855041263009</v>
      </c>
      <c r="E477" s="12">
        <v>10.45</v>
      </c>
      <c r="F477" s="12">
        <v>20</v>
      </c>
      <c r="G477" s="12">
        <v>10.45</v>
      </c>
      <c r="H477" s="12">
        <v>4.9862438725490197</v>
      </c>
      <c r="I477" s="12" t="s">
        <v>96</v>
      </c>
      <c r="J477" s="12">
        <v>46304</v>
      </c>
      <c r="K477">
        <v>46304</v>
      </c>
    </row>
    <row r="478" spans="1:11" hidden="1" x14ac:dyDescent="0.25">
      <c r="A478" s="12" t="s">
        <v>59</v>
      </c>
      <c r="B478" s="12" t="s">
        <v>148</v>
      </c>
      <c r="C478" s="12" t="s">
        <v>14</v>
      </c>
      <c r="D478" s="12">
        <v>0.58823529411764719</v>
      </c>
      <c r="E478" s="12">
        <v>6.6499999999999995</v>
      </c>
      <c r="F478" s="12">
        <v>20</v>
      </c>
      <c r="G478" s="12">
        <v>6.6499999999999995</v>
      </c>
      <c r="H478" s="12">
        <v>1.4915369088811996</v>
      </c>
      <c r="I478" s="12" t="s">
        <v>94</v>
      </c>
      <c r="J478" s="12">
        <v>46304</v>
      </c>
      <c r="K478">
        <v>46304</v>
      </c>
    </row>
    <row r="479" spans="1:11" hidden="1" x14ac:dyDescent="0.25">
      <c r="A479" s="12" t="s">
        <v>59</v>
      </c>
      <c r="B479" s="12" t="s">
        <v>37</v>
      </c>
      <c r="C479" s="12" t="s">
        <v>14</v>
      </c>
      <c r="D479" s="12">
        <v>8.9951916794138196</v>
      </c>
      <c r="E479" s="12">
        <v>21.85</v>
      </c>
      <c r="F479" s="12">
        <v>20</v>
      </c>
      <c r="G479" s="12">
        <v>21.85</v>
      </c>
      <c r="H479" s="12">
        <v>11.48089767156862</v>
      </c>
      <c r="I479" s="12" t="s">
        <v>94</v>
      </c>
      <c r="J479" s="12">
        <v>46304</v>
      </c>
      <c r="K479">
        <v>46304</v>
      </c>
    </row>
    <row r="480" spans="1:11" x14ac:dyDescent="0.25">
      <c r="A480" s="12" t="s">
        <v>59</v>
      </c>
      <c r="B480" s="12" t="s">
        <v>37</v>
      </c>
      <c r="C480" s="12" t="s">
        <v>13</v>
      </c>
      <c r="D480" s="12">
        <v>9.9297570487035642</v>
      </c>
      <c r="E480" s="12">
        <v>17.099999999999998</v>
      </c>
      <c r="F480" s="12">
        <v>20</v>
      </c>
      <c r="G480" s="12">
        <v>17.099999999999998</v>
      </c>
      <c r="H480" s="12">
        <v>11.032858455882341</v>
      </c>
      <c r="I480" s="12" t="s">
        <v>95</v>
      </c>
      <c r="J480" s="12">
        <v>46304</v>
      </c>
      <c r="K480">
        <v>46304</v>
      </c>
    </row>
    <row r="481" spans="1:11" hidden="1" x14ac:dyDescent="0.25">
      <c r="A481" s="12" t="s">
        <v>59</v>
      </c>
      <c r="B481" s="12" t="s">
        <v>38</v>
      </c>
      <c r="C481" s="12" t="s">
        <v>14</v>
      </c>
      <c r="D481" s="12">
        <v>2.4372947976878616</v>
      </c>
      <c r="E481" s="12">
        <v>3.8</v>
      </c>
      <c r="F481" s="12">
        <v>20</v>
      </c>
      <c r="G481" s="12">
        <v>3.8</v>
      </c>
      <c r="H481" s="12">
        <v>2.0490196078431375</v>
      </c>
      <c r="I481" s="12" t="s">
        <v>94</v>
      </c>
      <c r="J481" s="12">
        <v>46304</v>
      </c>
      <c r="K481">
        <v>46304</v>
      </c>
    </row>
    <row r="482" spans="1:11" hidden="1" x14ac:dyDescent="0.25">
      <c r="A482" s="12" t="s">
        <v>59</v>
      </c>
      <c r="B482" s="12" t="s">
        <v>38</v>
      </c>
      <c r="C482" s="12" t="s">
        <v>15</v>
      </c>
      <c r="D482" s="12">
        <v>2.5997811175337189</v>
      </c>
      <c r="E482" s="12">
        <v>3.8</v>
      </c>
      <c r="F482" s="12">
        <v>20</v>
      </c>
      <c r="G482" s="12">
        <v>3.8</v>
      </c>
      <c r="H482" s="12">
        <v>2.0078431372549019</v>
      </c>
      <c r="I482" s="12" t="s">
        <v>99</v>
      </c>
      <c r="J482" s="12">
        <v>46305</v>
      </c>
      <c r="K482">
        <v>46305</v>
      </c>
    </row>
    <row r="483" spans="1:11" x14ac:dyDescent="0.25">
      <c r="A483" s="12" t="s">
        <v>59</v>
      </c>
      <c r="B483" s="12" t="s">
        <v>37</v>
      </c>
      <c r="C483" s="12" t="s">
        <v>13</v>
      </c>
      <c r="D483" s="12">
        <v>9.9297570487035678</v>
      </c>
      <c r="E483" s="12">
        <v>17.099999999999998</v>
      </c>
      <c r="F483" s="12">
        <v>20</v>
      </c>
      <c r="G483" s="12">
        <v>17.099999999999998</v>
      </c>
      <c r="H483" s="12">
        <v>12.79756433823529</v>
      </c>
      <c r="I483" s="12" t="s">
        <v>98</v>
      </c>
      <c r="J483" s="12">
        <v>46305</v>
      </c>
      <c r="K483">
        <v>46305</v>
      </c>
    </row>
    <row r="484" spans="1:11" x14ac:dyDescent="0.25">
      <c r="A484" s="12" t="s">
        <v>59</v>
      </c>
      <c r="B484" s="12" t="s">
        <v>57</v>
      </c>
      <c r="C484" s="12" t="s">
        <v>13</v>
      </c>
      <c r="D484" s="12">
        <v>1.8691307385794953</v>
      </c>
      <c r="E484" s="12">
        <v>0</v>
      </c>
      <c r="F484" s="12">
        <v>18</v>
      </c>
      <c r="G484" s="12">
        <v>0</v>
      </c>
      <c r="H484" s="12">
        <v>0</v>
      </c>
      <c r="I484" s="12" t="s">
        <v>98</v>
      </c>
      <c r="J484" s="12">
        <v>46305</v>
      </c>
      <c r="K484">
        <v>46305</v>
      </c>
    </row>
    <row r="485" spans="1:11" x14ac:dyDescent="0.25">
      <c r="A485" s="12" t="s">
        <v>59</v>
      </c>
      <c r="B485" s="12" t="s">
        <v>148</v>
      </c>
      <c r="C485" s="12" t="s">
        <v>13</v>
      </c>
      <c r="D485" s="12">
        <v>4.9375</v>
      </c>
      <c r="E485" s="12">
        <v>0.95</v>
      </c>
      <c r="F485" s="12">
        <v>20</v>
      </c>
      <c r="G485" s="12">
        <v>0.95</v>
      </c>
      <c r="H485" s="12">
        <v>0.35294117647058826</v>
      </c>
      <c r="I485" s="12" t="s">
        <v>98</v>
      </c>
      <c r="J485" s="12">
        <v>46305</v>
      </c>
      <c r="K485">
        <v>46305</v>
      </c>
    </row>
    <row r="486" spans="1:11" x14ac:dyDescent="0.25">
      <c r="A486" s="12" t="s">
        <v>59</v>
      </c>
      <c r="B486" s="12" t="s">
        <v>38</v>
      </c>
      <c r="C486" s="12" t="s">
        <v>13</v>
      </c>
      <c r="D486" s="12">
        <v>0</v>
      </c>
      <c r="E486" s="12">
        <v>1.9</v>
      </c>
      <c r="F486" s="12">
        <v>20</v>
      </c>
      <c r="G486" s="12">
        <v>1.9</v>
      </c>
      <c r="H486" s="12">
        <v>0.23529411764705879</v>
      </c>
      <c r="I486" s="12" t="s">
        <v>98</v>
      </c>
      <c r="J486" s="12">
        <v>46305</v>
      </c>
      <c r="K486">
        <v>46305</v>
      </c>
    </row>
    <row r="487" spans="1:11" hidden="1" x14ac:dyDescent="0.25">
      <c r="A487" s="12" t="s">
        <v>59</v>
      </c>
      <c r="B487" s="12" t="s">
        <v>57</v>
      </c>
      <c r="C487" s="12" t="s">
        <v>15</v>
      </c>
      <c r="D487" s="12">
        <v>0</v>
      </c>
      <c r="E487" s="12">
        <v>0</v>
      </c>
      <c r="F487" s="12">
        <v>18</v>
      </c>
      <c r="G487" s="12">
        <v>0</v>
      </c>
      <c r="H487" s="12">
        <v>0</v>
      </c>
      <c r="I487" s="12" t="s">
        <v>99</v>
      </c>
      <c r="J487" s="12">
        <v>46305</v>
      </c>
      <c r="K487">
        <v>46305</v>
      </c>
    </row>
    <row r="488" spans="1:11" hidden="1" x14ac:dyDescent="0.25">
      <c r="A488" s="12" t="s">
        <v>59</v>
      </c>
      <c r="B488" s="12" t="s">
        <v>37</v>
      </c>
      <c r="C488" s="12" t="s">
        <v>15</v>
      </c>
      <c r="D488" s="12">
        <v>4.3223648329650821</v>
      </c>
      <c r="E488" s="12">
        <v>11.4</v>
      </c>
      <c r="F488" s="12">
        <v>20</v>
      </c>
      <c r="G488" s="12">
        <v>11.4</v>
      </c>
      <c r="H488" s="12">
        <v>4.9862438725490197</v>
      </c>
      <c r="I488" s="12" t="s">
        <v>99</v>
      </c>
      <c r="J488" s="12">
        <v>46305</v>
      </c>
      <c r="K488">
        <v>46305</v>
      </c>
    </row>
    <row r="489" spans="1:11" hidden="1" x14ac:dyDescent="0.25">
      <c r="A489" s="12" t="s">
        <v>59</v>
      </c>
      <c r="B489" s="12" t="s">
        <v>148</v>
      </c>
      <c r="C489" s="12" t="s">
        <v>15</v>
      </c>
      <c r="D489" s="12">
        <v>0</v>
      </c>
      <c r="E489" s="12">
        <v>0</v>
      </c>
      <c r="F489" s="12">
        <v>20</v>
      </c>
      <c r="G489" s="12">
        <v>0</v>
      </c>
      <c r="H489" s="12">
        <v>0</v>
      </c>
      <c r="I489" s="12" t="s">
        <v>99</v>
      </c>
      <c r="J489" s="12">
        <v>46305</v>
      </c>
      <c r="K489">
        <v>46305</v>
      </c>
    </row>
    <row r="490" spans="1:11" hidden="1" x14ac:dyDescent="0.25">
      <c r="A490" s="12" t="s">
        <v>59</v>
      </c>
      <c r="B490" s="12" t="s">
        <v>37</v>
      </c>
      <c r="C490" s="12" t="s">
        <v>14</v>
      </c>
      <c r="D490" s="12">
        <v>8.8783710082526017</v>
      </c>
      <c r="E490" s="12">
        <v>22.799999999999997</v>
      </c>
      <c r="F490" s="12">
        <v>20</v>
      </c>
      <c r="G490" s="12">
        <v>22.799999999999997</v>
      </c>
      <c r="H490" s="12">
        <v>11.028691789215678</v>
      </c>
      <c r="I490" s="12" t="s">
        <v>97</v>
      </c>
      <c r="J490" s="12">
        <v>46305</v>
      </c>
      <c r="K490">
        <v>46305</v>
      </c>
    </row>
    <row r="491" spans="1:11" hidden="1" x14ac:dyDescent="0.25">
      <c r="A491" s="12" t="s">
        <v>59</v>
      </c>
      <c r="B491" s="12" t="s">
        <v>57</v>
      </c>
      <c r="C491" s="12" t="s">
        <v>14</v>
      </c>
      <c r="D491" s="12">
        <v>0.65969320185158653</v>
      </c>
      <c r="E491" s="12">
        <v>0.95</v>
      </c>
      <c r="F491" s="12">
        <v>18</v>
      </c>
      <c r="G491" s="12">
        <v>0.95</v>
      </c>
      <c r="H491" s="12">
        <v>0.70588235294117641</v>
      </c>
      <c r="I491" s="12" t="s">
        <v>97</v>
      </c>
      <c r="J491" s="12">
        <v>46305</v>
      </c>
      <c r="K491">
        <v>46305</v>
      </c>
    </row>
    <row r="492" spans="1:11" hidden="1" x14ac:dyDescent="0.25">
      <c r="A492" s="12" t="s">
        <v>59</v>
      </c>
      <c r="B492" s="12" t="s">
        <v>148</v>
      </c>
      <c r="C492" s="12" t="s">
        <v>14</v>
      </c>
      <c r="D492" s="12">
        <v>1.0588235294117647</v>
      </c>
      <c r="E492" s="12">
        <v>0.95</v>
      </c>
      <c r="F492" s="12">
        <v>20</v>
      </c>
      <c r="G492" s="12">
        <v>0.95</v>
      </c>
      <c r="H492" s="12">
        <v>0.60899653979238755</v>
      </c>
      <c r="I492" s="12" t="s">
        <v>97</v>
      </c>
      <c r="J492" s="12">
        <v>46305</v>
      </c>
      <c r="K492">
        <v>46305</v>
      </c>
    </row>
    <row r="493" spans="1:11" hidden="1" x14ac:dyDescent="0.25">
      <c r="A493" s="12" t="s">
        <v>59</v>
      </c>
      <c r="B493" s="12" t="s">
        <v>38</v>
      </c>
      <c r="C493" s="12" t="s">
        <v>14</v>
      </c>
      <c r="D493" s="12">
        <v>2.4372947976878616</v>
      </c>
      <c r="E493" s="12">
        <v>1.9</v>
      </c>
      <c r="F493" s="12">
        <v>20</v>
      </c>
      <c r="G493" s="12">
        <v>1.9</v>
      </c>
      <c r="H493" s="12">
        <v>1.7716262975778552</v>
      </c>
      <c r="I493" s="12" t="s">
        <v>97</v>
      </c>
      <c r="J493" s="12">
        <v>46305</v>
      </c>
      <c r="K493">
        <v>46305</v>
      </c>
    </row>
    <row r="494" spans="1:11" hidden="1" x14ac:dyDescent="0.25">
      <c r="A494" s="12" t="s">
        <v>59</v>
      </c>
      <c r="B494" s="12" t="s">
        <v>57</v>
      </c>
      <c r="C494" s="12" t="s">
        <v>14</v>
      </c>
      <c r="D494" s="12">
        <v>0.65969320185158653</v>
      </c>
      <c r="E494" s="12">
        <v>0.95</v>
      </c>
      <c r="F494" s="12">
        <v>18</v>
      </c>
      <c r="G494" s="12">
        <v>0.95</v>
      </c>
      <c r="H494" s="12">
        <v>0.11072664359861592</v>
      </c>
      <c r="I494" s="12" t="s">
        <v>100</v>
      </c>
      <c r="J494" s="12">
        <v>46306</v>
      </c>
      <c r="K494">
        <v>46306</v>
      </c>
    </row>
    <row r="495" spans="1:11" hidden="1" x14ac:dyDescent="0.25">
      <c r="A495" s="12" t="s">
        <v>59</v>
      </c>
      <c r="B495" s="12" t="s">
        <v>37</v>
      </c>
      <c r="C495" s="12" t="s">
        <v>14</v>
      </c>
      <c r="D495" s="12">
        <v>8.9367813438332124</v>
      </c>
      <c r="E495" s="12">
        <v>22.799999999999997</v>
      </c>
      <c r="F495" s="12">
        <v>20</v>
      </c>
      <c r="G495" s="12">
        <v>22.799999999999997</v>
      </c>
      <c r="H495" s="12">
        <v>11.657368259803912</v>
      </c>
      <c r="I495" s="12" t="s">
        <v>100</v>
      </c>
      <c r="J495" s="12">
        <v>46306</v>
      </c>
      <c r="K495">
        <v>46306</v>
      </c>
    </row>
    <row r="496" spans="1:11" hidden="1" x14ac:dyDescent="0.25">
      <c r="A496" s="12" t="s">
        <v>59</v>
      </c>
      <c r="B496" s="12" t="s">
        <v>148</v>
      </c>
      <c r="C496" s="12" t="s">
        <v>14</v>
      </c>
      <c r="D496" s="12">
        <v>1.0588235294117647</v>
      </c>
      <c r="E496" s="12">
        <v>1.9</v>
      </c>
      <c r="F496" s="12">
        <v>20</v>
      </c>
      <c r="G496" s="12">
        <v>1.9</v>
      </c>
      <c r="H496" s="12">
        <v>1.1053200692041525</v>
      </c>
      <c r="I496" s="12" t="s">
        <v>100</v>
      </c>
      <c r="J496" s="12">
        <v>46306</v>
      </c>
      <c r="K496">
        <v>46306</v>
      </c>
    </row>
    <row r="497" spans="1:11" hidden="1" x14ac:dyDescent="0.25">
      <c r="A497" s="12" t="s">
        <v>59</v>
      </c>
      <c r="B497" s="12" t="s">
        <v>38</v>
      </c>
      <c r="C497" s="12" t="s">
        <v>15</v>
      </c>
      <c r="D497" s="12">
        <v>2.7622674373795766</v>
      </c>
      <c r="E497" s="12">
        <v>3.8</v>
      </c>
      <c r="F497" s="12">
        <v>20</v>
      </c>
      <c r="G497" s="12">
        <v>3.8</v>
      </c>
      <c r="H497" s="12">
        <v>2.0078431372549019</v>
      </c>
      <c r="I497" s="12" t="s">
        <v>101</v>
      </c>
      <c r="J497" s="12">
        <v>46306</v>
      </c>
      <c r="K497">
        <v>46306</v>
      </c>
    </row>
    <row r="498" spans="1:11" hidden="1" x14ac:dyDescent="0.25">
      <c r="A498" s="12" t="s">
        <v>59</v>
      </c>
      <c r="B498" s="12" t="s">
        <v>38</v>
      </c>
      <c r="C498" s="12" t="s">
        <v>14</v>
      </c>
      <c r="D498" s="12">
        <v>2.4372947976878616</v>
      </c>
      <c r="E498" s="12">
        <v>1.9</v>
      </c>
      <c r="F498" s="12">
        <v>20</v>
      </c>
      <c r="G498" s="12">
        <v>1.9</v>
      </c>
      <c r="H498" s="12">
        <v>1.7716262975778552</v>
      </c>
      <c r="I498" s="12" t="s">
        <v>100</v>
      </c>
      <c r="J498" s="12">
        <v>46306</v>
      </c>
      <c r="K498">
        <v>46306</v>
      </c>
    </row>
    <row r="499" spans="1:11" hidden="1" x14ac:dyDescent="0.25">
      <c r="A499" s="12" t="s">
        <v>59</v>
      </c>
      <c r="B499" s="12" t="s">
        <v>57</v>
      </c>
      <c r="C499" s="12" t="s">
        <v>15</v>
      </c>
      <c r="D499" s="12">
        <v>0</v>
      </c>
      <c r="E499" s="12">
        <v>0</v>
      </c>
      <c r="F499" s="12">
        <v>18</v>
      </c>
      <c r="G499" s="12">
        <v>0</v>
      </c>
      <c r="H499" s="12">
        <v>0</v>
      </c>
      <c r="I499" s="12" t="s">
        <v>101</v>
      </c>
      <c r="J499" s="12">
        <v>46306</v>
      </c>
      <c r="K499">
        <v>46306</v>
      </c>
    </row>
    <row r="500" spans="1:11" x14ac:dyDescent="0.25">
      <c r="A500" s="12" t="s">
        <v>59</v>
      </c>
      <c r="B500" s="12" t="s">
        <v>38</v>
      </c>
      <c r="C500" s="12" t="s">
        <v>13</v>
      </c>
      <c r="D500" s="12">
        <v>0</v>
      </c>
      <c r="E500" s="12">
        <v>1.9</v>
      </c>
      <c r="F500" s="12">
        <v>20</v>
      </c>
      <c r="G500" s="12">
        <v>1.9</v>
      </c>
      <c r="H500" s="12">
        <v>0.23529411764705879</v>
      </c>
      <c r="I500" s="12" t="s">
        <v>102</v>
      </c>
      <c r="J500" s="12">
        <v>46306</v>
      </c>
      <c r="K500">
        <v>46306</v>
      </c>
    </row>
    <row r="501" spans="1:11" hidden="1" x14ac:dyDescent="0.25">
      <c r="A501" s="12" t="s">
        <v>59</v>
      </c>
      <c r="B501" s="12" t="s">
        <v>37</v>
      </c>
      <c r="C501" s="12" t="s">
        <v>15</v>
      </c>
      <c r="D501" s="12">
        <v>4.4391855041263009</v>
      </c>
      <c r="E501" s="12">
        <v>10.45</v>
      </c>
      <c r="F501" s="12">
        <v>20</v>
      </c>
      <c r="G501" s="12">
        <v>10.45</v>
      </c>
      <c r="H501" s="12">
        <v>4.9862438725490197</v>
      </c>
      <c r="I501" s="12" t="s">
        <v>101</v>
      </c>
      <c r="J501" s="12">
        <v>46306</v>
      </c>
      <c r="K501">
        <v>46306</v>
      </c>
    </row>
    <row r="502" spans="1:11" x14ac:dyDescent="0.25">
      <c r="A502" s="12" t="s">
        <v>59</v>
      </c>
      <c r="B502" s="12" t="s">
        <v>148</v>
      </c>
      <c r="C502" s="12" t="s">
        <v>13</v>
      </c>
      <c r="D502" s="12">
        <v>5.8749999999999991</v>
      </c>
      <c r="E502" s="12">
        <v>1.9</v>
      </c>
      <c r="F502" s="12">
        <v>20</v>
      </c>
      <c r="G502" s="12">
        <v>1.9</v>
      </c>
      <c r="H502" s="12">
        <v>0.76309742647058831</v>
      </c>
      <c r="I502" s="12" t="s">
        <v>102</v>
      </c>
      <c r="J502" s="12">
        <v>46306</v>
      </c>
      <c r="K502">
        <v>46306</v>
      </c>
    </row>
    <row r="503" spans="1:11" x14ac:dyDescent="0.25">
      <c r="A503" s="12" t="s">
        <v>59</v>
      </c>
      <c r="B503" s="12" t="s">
        <v>37</v>
      </c>
      <c r="C503" s="12" t="s">
        <v>13</v>
      </c>
      <c r="D503" s="12">
        <v>9.929757048703566</v>
      </c>
      <c r="E503" s="12">
        <v>15.2</v>
      </c>
      <c r="F503" s="12">
        <v>20</v>
      </c>
      <c r="G503" s="12">
        <v>15.2</v>
      </c>
      <c r="H503" s="12">
        <v>10.918887867647058</v>
      </c>
      <c r="I503" s="12" t="s">
        <v>102</v>
      </c>
      <c r="J503" s="12">
        <v>46306</v>
      </c>
      <c r="K503">
        <v>46306</v>
      </c>
    </row>
    <row r="504" spans="1:11" x14ac:dyDescent="0.25">
      <c r="A504" s="12" t="s">
        <v>59</v>
      </c>
      <c r="B504" s="12" t="s">
        <v>57</v>
      </c>
      <c r="C504" s="12" t="s">
        <v>13</v>
      </c>
      <c r="D504" s="12">
        <v>1.8691307385794953</v>
      </c>
      <c r="E504" s="12">
        <v>0.95</v>
      </c>
      <c r="F504" s="12">
        <v>18</v>
      </c>
      <c r="G504" s="12">
        <v>0.95</v>
      </c>
      <c r="H504" s="12">
        <v>0.88235294117647056</v>
      </c>
      <c r="I504" s="12" t="s">
        <v>102</v>
      </c>
      <c r="J504" s="12">
        <v>46306</v>
      </c>
      <c r="K504">
        <v>46306</v>
      </c>
    </row>
    <row r="505" spans="1:11" hidden="1" x14ac:dyDescent="0.25">
      <c r="A505" s="12" t="s">
        <v>59</v>
      </c>
      <c r="B505" s="12" t="s">
        <v>148</v>
      </c>
      <c r="C505" s="12" t="s">
        <v>15</v>
      </c>
      <c r="D505" s="12">
        <v>0</v>
      </c>
      <c r="E505" s="12">
        <v>1.9</v>
      </c>
      <c r="F505" s="12">
        <v>20</v>
      </c>
      <c r="G505" s="12">
        <v>1.9</v>
      </c>
      <c r="H505" s="12">
        <v>0</v>
      </c>
      <c r="I505" s="12" t="s">
        <v>101</v>
      </c>
      <c r="J505" s="12">
        <v>46306</v>
      </c>
      <c r="K505">
        <v>46306</v>
      </c>
    </row>
    <row r="506" spans="1:11" hidden="1" x14ac:dyDescent="0.25">
      <c r="A506" s="12" t="s">
        <v>59</v>
      </c>
      <c r="B506" s="12" t="s">
        <v>57</v>
      </c>
      <c r="C506" s="12" t="s">
        <v>14</v>
      </c>
      <c r="D506" s="12">
        <v>1.4293352706784377</v>
      </c>
      <c r="E506" s="12">
        <v>2.8499999999999996</v>
      </c>
      <c r="F506" s="12">
        <v>18</v>
      </c>
      <c r="G506" s="12">
        <v>2.8499999999999996</v>
      </c>
      <c r="H506" s="12">
        <v>1.0449826989619375</v>
      </c>
      <c r="I506" s="12" t="s">
        <v>103</v>
      </c>
      <c r="J506" s="12">
        <v>46307</v>
      </c>
      <c r="K506">
        <v>46307</v>
      </c>
    </row>
    <row r="507" spans="1:11" hidden="1" x14ac:dyDescent="0.25">
      <c r="A507" s="12" t="s">
        <v>59</v>
      </c>
      <c r="B507" s="12" t="s">
        <v>57</v>
      </c>
      <c r="C507" s="12" t="s">
        <v>15</v>
      </c>
      <c r="D507" s="12">
        <v>0</v>
      </c>
      <c r="E507" s="12">
        <v>0</v>
      </c>
      <c r="F507" s="12">
        <v>18</v>
      </c>
      <c r="G507" s="12">
        <v>0</v>
      </c>
      <c r="H507" s="12">
        <v>0</v>
      </c>
      <c r="I507" s="12" t="s">
        <v>104</v>
      </c>
      <c r="J507" s="12">
        <v>46307</v>
      </c>
      <c r="K507">
        <v>46307</v>
      </c>
    </row>
    <row r="508" spans="1:11" hidden="1" x14ac:dyDescent="0.25">
      <c r="A508" s="12" t="s">
        <v>59</v>
      </c>
      <c r="B508" s="12" t="s">
        <v>37</v>
      </c>
      <c r="C508" s="12" t="s">
        <v>14</v>
      </c>
      <c r="D508" s="12">
        <v>8.1774469812852928</v>
      </c>
      <c r="E508" s="12">
        <v>19.95</v>
      </c>
      <c r="F508" s="12">
        <v>20</v>
      </c>
      <c r="G508" s="12">
        <v>19.95</v>
      </c>
      <c r="H508" s="12">
        <v>10.088434436274508</v>
      </c>
      <c r="I508" s="12" t="s">
        <v>103</v>
      </c>
      <c r="J508" s="12">
        <v>46307</v>
      </c>
      <c r="K508">
        <v>46307</v>
      </c>
    </row>
    <row r="509" spans="1:11" hidden="1" x14ac:dyDescent="0.25">
      <c r="A509" s="12" t="s">
        <v>59</v>
      </c>
      <c r="B509" s="12" t="s">
        <v>148</v>
      </c>
      <c r="C509" s="12" t="s">
        <v>14</v>
      </c>
      <c r="D509" s="12">
        <v>0.58823529411764719</v>
      </c>
      <c r="E509" s="12">
        <v>7.6</v>
      </c>
      <c r="F509" s="12">
        <v>20</v>
      </c>
      <c r="G509" s="12">
        <v>7.6</v>
      </c>
      <c r="H509" s="12">
        <v>1.7129613610149936</v>
      </c>
      <c r="I509" s="12" t="s">
        <v>103</v>
      </c>
      <c r="J509" s="12">
        <v>46307</v>
      </c>
      <c r="K509">
        <v>46307</v>
      </c>
    </row>
    <row r="510" spans="1:11" hidden="1" x14ac:dyDescent="0.25">
      <c r="A510" s="12" t="s">
        <v>59</v>
      </c>
      <c r="B510" s="12" t="s">
        <v>38</v>
      </c>
      <c r="C510" s="12" t="s">
        <v>14</v>
      </c>
      <c r="D510" s="12">
        <v>2.4372947976878616</v>
      </c>
      <c r="E510" s="12">
        <v>3.8</v>
      </c>
      <c r="F510" s="12">
        <v>20</v>
      </c>
      <c r="G510" s="12">
        <v>3.8</v>
      </c>
      <c r="H510" s="12">
        <v>2.0490196078431371</v>
      </c>
      <c r="I510" s="12" t="s">
        <v>103</v>
      </c>
      <c r="J510" s="12">
        <v>46307</v>
      </c>
      <c r="K510">
        <v>46307</v>
      </c>
    </row>
    <row r="511" spans="1:11" hidden="1" x14ac:dyDescent="0.25">
      <c r="A511" s="12" t="s">
        <v>59</v>
      </c>
      <c r="B511" s="12" t="s">
        <v>38</v>
      </c>
      <c r="C511" s="12" t="s">
        <v>15</v>
      </c>
      <c r="D511" s="12">
        <v>2.7622674373795766</v>
      </c>
      <c r="E511" s="12">
        <v>3.8</v>
      </c>
      <c r="F511" s="12">
        <v>20</v>
      </c>
      <c r="G511" s="12">
        <v>3.8</v>
      </c>
      <c r="H511" s="12">
        <v>2.0078431372549019</v>
      </c>
      <c r="I511" s="12" t="s">
        <v>104</v>
      </c>
      <c r="J511" s="12">
        <v>46307</v>
      </c>
      <c r="K511">
        <v>46307</v>
      </c>
    </row>
    <row r="512" spans="1:11" hidden="1" x14ac:dyDescent="0.25">
      <c r="A512" s="12" t="s">
        <v>59</v>
      </c>
      <c r="B512" s="12" t="s">
        <v>37</v>
      </c>
      <c r="C512" s="12" t="s">
        <v>15</v>
      </c>
      <c r="D512" s="12">
        <v>4.4391855041263009</v>
      </c>
      <c r="E512" s="12">
        <v>10.45</v>
      </c>
      <c r="F512" s="12">
        <v>20</v>
      </c>
      <c r="G512" s="12">
        <v>10.45</v>
      </c>
      <c r="H512" s="12">
        <v>4.8685968137254898</v>
      </c>
      <c r="I512" s="12" t="s">
        <v>104</v>
      </c>
      <c r="J512" s="12">
        <v>46307</v>
      </c>
      <c r="K512">
        <v>46307</v>
      </c>
    </row>
    <row r="513" spans="1:11" x14ac:dyDescent="0.25">
      <c r="A513" s="12" t="s">
        <v>59</v>
      </c>
      <c r="B513" s="12" t="s">
        <v>57</v>
      </c>
      <c r="C513" s="12" t="s">
        <v>13</v>
      </c>
      <c r="D513" s="12">
        <v>0.93456536928974765</v>
      </c>
      <c r="E513" s="12">
        <v>1.9</v>
      </c>
      <c r="F513" s="12">
        <v>18</v>
      </c>
      <c r="G513" s="12">
        <v>1.9</v>
      </c>
      <c r="H513" s="12">
        <v>1.7647058823529411</v>
      </c>
      <c r="I513" s="12" t="s">
        <v>105</v>
      </c>
      <c r="J513" s="12">
        <v>46307</v>
      </c>
      <c r="K513">
        <v>46307</v>
      </c>
    </row>
    <row r="514" spans="1:11" x14ac:dyDescent="0.25">
      <c r="A514" s="12" t="s">
        <v>59</v>
      </c>
      <c r="B514" s="12" t="s">
        <v>148</v>
      </c>
      <c r="C514" s="12" t="s">
        <v>13</v>
      </c>
      <c r="D514" s="12">
        <v>13.249999999999996</v>
      </c>
      <c r="E514" s="12">
        <v>7.6</v>
      </c>
      <c r="F514" s="12">
        <v>20</v>
      </c>
      <c r="G514" s="12">
        <v>7.6</v>
      </c>
      <c r="H514" s="12">
        <v>12.099096200980393</v>
      </c>
      <c r="I514" s="12" t="s">
        <v>105</v>
      </c>
      <c r="J514" s="12">
        <v>46307</v>
      </c>
      <c r="K514">
        <v>46307</v>
      </c>
    </row>
    <row r="515" spans="1:11" x14ac:dyDescent="0.25">
      <c r="A515" s="12" t="s">
        <v>59</v>
      </c>
      <c r="B515" s="12" t="s">
        <v>38</v>
      </c>
      <c r="C515" s="12" t="s">
        <v>13</v>
      </c>
      <c r="D515" s="12">
        <v>2.5896257225433525</v>
      </c>
      <c r="E515" s="12">
        <v>3.8</v>
      </c>
      <c r="F515" s="12">
        <v>20</v>
      </c>
      <c r="G515" s="12">
        <v>3.8</v>
      </c>
      <c r="H515" s="12">
        <v>2.0030637254901964</v>
      </c>
      <c r="I515" s="12" t="s">
        <v>105</v>
      </c>
      <c r="J515" s="12">
        <v>46307</v>
      </c>
      <c r="K515">
        <v>46307</v>
      </c>
    </row>
    <row r="516" spans="1:11" x14ac:dyDescent="0.25">
      <c r="A516" s="12" t="s">
        <v>59</v>
      </c>
      <c r="B516" s="12" t="s">
        <v>37</v>
      </c>
      <c r="C516" s="12" t="s">
        <v>13</v>
      </c>
      <c r="D516" s="12">
        <v>10.864322417993312</v>
      </c>
      <c r="E516" s="12">
        <v>16.149999999999999</v>
      </c>
      <c r="F516" s="12">
        <v>20</v>
      </c>
      <c r="G516" s="12">
        <v>16.149999999999999</v>
      </c>
      <c r="H516" s="12">
        <v>10.980468749999998</v>
      </c>
      <c r="I516" s="12" t="s">
        <v>105</v>
      </c>
      <c r="J516" s="12">
        <v>46307</v>
      </c>
      <c r="K516">
        <v>46307</v>
      </c>
    </row>
    <row r="517" spans="1:11" hidden="1" x14ac:dyDescent="0.25">
      <c r="A517" s="12" t="s">
        <v>59</v>
      </c>
      <c r="B517" s="12" t="s">
        <v>148</v>
      </c>
      <c r="C517" s="12" t="s">
        <v>15</v>
      </c>
      <c r="D517" s="12">
        <v>0</v>
      </c>
      <c r="E517" s="12">
        <v>5.6999999999999993</v>
      </c>
      <c r="F517" s="12">
        <v>20</v>
      </c>
      <c r="G517" s="12">
        <v>5.6999999999999993</v>
      </c>
      <c r="H517" s="12">
        <v>0</v>
      </c>
      <c r="I517" s="12" t="s">
        <v>104</v>
      </c>
      <c r="J517" s="12">
        <v>46307</v>
      </c>
      <c r="K517">
        <v>46307</v>
      </c>
    </row>
    <row r="518" spans="1:11" hidden="1" x14ac:dyDescent="0.25">
      <c r="A518" s="12" t="s">
        <v>59</v>
      </c>
      <c r="B518" s="12" t="s">
        <v>38</v>
      </c>
      <c r="C518" s="12" t="s">
        <v>14</v>
      </c>
      <c r="D518" s="12">
        <v>2.4372947976878616</v>
      </c>
      <c r="E518" s="12">
        <v>3.8</v>
      </c>
      <c r="F518" s="12">
        <v>20</v>
      </c>
      <c r="G518" s="12">
        <v>3.8</v>
      </c>
      <c r="H518" s="12">
        <v>2.0490196078431371</v>
      </c>
      <c r="I518" s="12" t="s">
        <v>107</v>
      </c>
      <c r="J518" s="12">
        <v>46308</v>
      </c>
      <c r="K518">
        <v>46308</v>
      </c>
    </row>
    <row r="519" spans="1:11" hidden="1" x14ac:dyDescent="0.25">
      <c r="A519" s="12" t="s">
        <v>59</v>
      </c>
      <c r="B519" s="12" t="s">
        <v>37</v>
      </c>
      <c r="C519" s="12" t="s">
        <v>14</v>
      </c>
      <c r="D519" s="12">
        <v>8.1190366457046821</v>
      </c>
      <c r="E519" s="12">
        <v>20.9</v>
      </c>
      <c r="F519" s="12">
        <v>20</v>
      </c>
      <c r="G519" s="12">
        <v>20.9</v>
      </c>
      <c r="H519" s="12">
        <v>10.146798406862745</v>
      </c>
      <c r="I519" s="12" t="s">
        <v>107</v>
      </c>
      <c r="J519" s="12">
        <v>46308</v>
      </c>
      <c r="K519">
        <v>46308</v>
      </c>
    </row>
    <row r="520" spans="1:11" hidden="1" x14ac:dyDescent="0.25">
      <c r="A520" s="12" t="s">
        <v>59</v>
      </c>
      <c r="B520" s="12" t="s">
        <v>37</v>
      </c>
      <c r="C520" s="12" t="s">
        <v>15</v>
      </c>
      <c r="D520" s="12">
        <v>4.4391855041263009</v>
      </c>
      <c r="E520" s="12">
        <v>10.45</v>
      </c>
      <c r="F520" s="12">
        <v>20</v>
      </c>
      <c r="G520" s="12">
        <v>10.45</v>
      </c>
      <c r="H520" s="12">
        <v>4.8685968137254898</v>
      </c>
      <c r="I520" s="12" t="s">
        <v>106</v>
      </c>
      <c r="J520" s="12">
        <v>46308</v>
      </c>
      <c r="K520">
        <v>46308</v>
      </c>
    </row>
    <row r="521" spans="1:11" hidden="1" x14ac:dyDescent="0.25">
      <c r="A521" s="12" t="s">
        <v>59</v>
      </c>
      <c r="B521" s="12" t="s">
        <v>57</v>
      </c>
      <c r="C521" s="12" t="s">
        <v>14</v>
      </c>
      <c r="D521" s="12">
        <v>1.4293352706784377</v>
      </c>
      <c r="E521" s="12">
        <v>1.9</v>
      </c>
      <c r="F521" s="12">
        <v>18</v>
      </c>
      <c r="G521" s="12">
        <v>1.9</v>
      </c>
      <c r="H521" s="12">
        <v>0.93425605536332179</v>
      </c>
      <c r="I521" s="12" t="s">
        <v>107</v>
      </c>
      <c r="J521" s="12">
        <v>46308</v>
      </c>
      <c r="K521">
        <v>46308</v>
      </c>
    </row>
    <row r="522" spans="1:11" hidden="1" x14ac:dyDescent="0.25">
      <c r="A522" s="12" t="s">
        <v>59</v>
      </c>
      <c r="B522" s="12" t="s">
        <v>148</v>
      </c>
      <c r="C522" s="12" t="s">
        <v>14</v>
      </c>
      <c r="D522" s="12">
        <v>0.58823529411764719</v>
      </c>
      <c r="E522" s="12">
        <v>8.5499999999999989</v>
      </c>
      <c r="F522" s="12">
        <v>20</v>
      </c>
      <c r="G522" s="12">
        <v>8.5499999999999989</v>
      </c>
      <c r="H522" s="12">
        <v>1.7680734058329213</v>
      </c>
      <c r="I522" s="12" t="s">
        <v>107</v>
      </c>
      <c r="J522" s="12">
        <v>46308</v>
      </c>
      <c r="K522">
        <v>46308</v>
      </c>
    </row>
    <row r="523" spans="1:11" hidden="1" x14ac:dyDescent="0.25">
      <c r="A523" s="12" t="s">
        <v>59</v>
      </c>
      <c r="B523" s="12" t="s">
        <v>148</v>
      </c>
      <c r="C523" s="12" t="s">
        <v>15</v>
      </c>
      <c r="D523" s="12">
        <v>0</v>
      </c>
      <c r="E523" s="12">
        <v>4.75</v>
      </c>
      <c r="F523" s="12">
        <v>20</v>
      </c>
      <c r="G523" s="12">
        <v>4.75</v>
      </c>
      <c r="H523" s="12">
        <v>0</v>
      </c>
      <c r="I523" s="12" t="s">
        <v>106</v>
      </c>
      <c r="J523" s="12">
        <v>46308</v>
      </c>
      <c r="K523">
        <v>46308</v>
      </c>
    </row>
    <row r="524" spans="1:11" hidden="1" x14ac:dyDescent="0.25">
      <c r="A524" s="12" t="s">
        <v>59</v>
      </c>
      <c r="B524" s="12" t="s">
        <v>38</v>
      </c>
      <c r="C524" s="12" t="s">
        <v>15</v>
      </c>
      <c r="D524" s="12">
        <v>2.7622674373795766</v>
      </c>
      <c r="E524" s="12">
        <v>3.8</v>
      </c>
      <c r="F524" s="12">
        <v>20</v>
      </c>
      <c r="G524" s="12">
        <v>3.8</v>
      </c>
      <c r="H524" s="12">
        <v>2.0078431372549019</v>
      </c>
      <c r="I524" s="12" t="s">
        <v>106</v>
      </c>
      <c r="J524" s="12">
        <v>46308</v>
      </c>
      <c r="K524">
        <v>46308</v>
      </c>
    </row>
    <row r="525" spans="1:11" x14ac:dyDescent="0.25">
      <c r="A525" s="12" t="s">
        <v>59</v>
      </c>
      <c r="B525" s="12" t="s">
        <v>57</v>
      </c>
      <c r="C525" s="12" t="s">
        <v>13</v>
      </c>
      <c r="D525" s="12">
        <v>0.93456536928974765</v>
      </c>
      <c r="E525" s="12">
        <v>0.95</v>
      </c>
      <c r="F525" s="12">
        <v>18</v>
      </c>
      <c r="G525" s="12">
        <v>0.95</v>
      </c>
      <c r="H525" s="12">
        <v>0.88235294117647056</v>
      </c>
      <c r="I525" s="12" t="s">
        <v>108</v>
      </c>
      <c r="J525" s="12">
        <v>46308</v>
      </c>
      <c r="K525">
        <v>46308</v>
      </c>
    </row>
    <row r="526" spans="1:11" x14ac:dyDescent="0.25">
      <c r="A526" s="12" t="s">
        <v>59</v>
      </c>
      <c r="B526" s="12" t="s">
        <v>148</v>
      </c>
      <c r="C526" s="12" t="s">
        <v>13</v>
      </c>
      <c r="D526" s="12">
        <v>12.25</v>
      </c>
      <c r="E526" s="12">
        <v>8.5499999999999989</v>
      </c>
      <c r="F526" s="12">
        <v>20</v>
      </c>
      <c r="G526" s="12">
        <v>8.5499999999999989</v>
      </c>
      <c r="H526" s="12">
        <v>6.7464220063025193</v>
      </c>
      <c r="I526" s="12" t="s">
        <v>108</v>
      </c>
      <c r="J526" s="12">
        <v>46308</v>
      </c>
      <c r="K526">
        <v>46308</v>
      </c>
    </row>
    <row r="527" spans="1:11" x14ac:dyDescent="0.25">
      <c r="A527" s="12" t="s">
        <v>59</v>
      </c>
      <c r="B527" s="12" t="s">
        <v>37</v>
      </c>
      <c r="C527" s="12" t="s">
        <v>13</v>
      </c>
      <c r="D527" s="12">
        <v>10.864322417993312</v>
      </c>
      <c r="E527" s="12">
        <v>19.95</v>
      </c>
      <c r="F527" s="12">
        <v>20</v>
      </c>
      <c r="G527" s="12">
        <v>19.95</v>
      </c>
      <c r="H527" s="12">
        <v>11.859604779411764</v>
      </c>
      <c r="I527" s="12" t="s">
        <v>108</v>
      </c>
      <c r="J527" s="12">
        <v>46308</v>
      </c>
      <c r="K527">
        <v>46308</v>
      </c>
    </row>
    <row r="528" spans="1:11" x14ac:dyDescent="0.25">
      <c r="A528" s="12" t="s">
        <v>59</v>
      </c>
      <c r="B528" s="12" t="s">
        <v>38</v>
      </c>
      <c r="C528" s="12" t="s">
        <v>13</v>
      </c>
      <c r="D528" s="12">
        <v>3.7321076589595377</v>
      </c>
      <c r="E528" s="12">
        <v>3.8</v>
      </c>
      <c r="F528" s="12">
        <v>20</v>
      </c>
      <c r="G528" s="12">
        <v>3.8</v>
      </c>
      <c r="H528" s="12">
        <v>2.0030637254901964</v>
      </c>
      <c r="I528" s="12" t="s">
        <v>108</v>
      </c>
      <c r="J528" s="12">
        <v>46308</v>
      </c>
      <c r="K528">
        <v>46308</v>
      </c>
    </row>
    <row r="529" spans="1:11" hidden="1" x14ac:dyDescent="0.25">
      <c r="A529" s="12" t="s">
        <v>59</v>
      </c>
      <c r="B529" s="12" t="s">
        <v>57</v>
      </c>
      <c r="C529" s="12" t="s">
        <v>15</v>
      </c>
      <c r="D529" s="12">
        <v>0</v>
      </c>
      <c r="E529" s="12">
        <v>0</v>
      </c>
      <c r="F529" s="12">
        <v>18</v>
      </c>
      <c r="G529" s="12">
        <v>0</v>
      </c>
      <c r="H529" s="12">
        <v>0</v>
      </c>
      <c r="I529" s="12" t="s">
        <v>106</v>
      </c>
      <c r="J529" s="12">
        <v>46308</v>
      </c>
      <c r="K529">
        <v>46308</v>
      </c>
    </row>
    <row r="530" spans="1:11" hidden="1" x14ac:dyDescent="0.25">
      <c r="A530" s="12" t="s">
        <v>59</v>
      </c>
      <c r="B530" s="12" t="s">
        <v>148</v>
      </c>
      <c r="C530" s="12" t="s">
        <v>14</v>
      </c>
      <c r="D530" s="12">
        <v>0.58823529411764719</v>
      </c>
      <c r="E530" s="12">
        <v>9.5</v>
      </c>
      <c r="F530" s="12">
        <v>20</v>
      </c>
      <c r="G530" s="12">
        <v>9.5</v>
      </c>
      <c r="H530" s="12">
        <v>1.8229753666172344</v>
      </c>
      <c r="I530" s="12" t="s">
        <v>110</v>
      </c>
      <c r="J530" s="12">
        <v>46309</v>
      </c>
      <c r="K530">
        <v>46309</v>
      </c>
    </row>
    <row r="531" spans="1:11" hidden="1" x14ac:dyDescent="0.25">
      <c r="A531" s="12" t="s">
        <v>59</v>
      </c>
      <c r="B531" s="12" t="s">
        <v>57</v>
      </c>
      <c r="C531" s="12" t="s">
        <v>14</v>
      </c>
      <c r="D531" s="12">
        <v>1.5942585711413342</v>
      </c>
      <c r="E531" s="12">
        <v>2.8499999999999996</v>
      </c>
      <c r="F531" s="12">
        <v>18</v>
      </c>
      <c r="G531" s="12">
        <v>2.8499999999999996</v>
      </c>
      <c r="H531" s="12">
        <v>1.0449826989619375</v>
      </c>
      <c r="I531" s="12" t="s">
        <v>110</v>
      </c>
      <c r="J531" s="12">
        <v>46309</v>
      </c>
      <c r="K531">
        <v>46309</v>
      </c>
    </row>
    <row r="532" spans="1:11" hidden="1" x14ac:dyDescent="0.25">
      <c r="A532" s="12" t="s">
        <v>59</v>
      </c>
      <c r="B532" s="12" t="s">
        <v>37</v>
      </c>
      <c r="C532" s="12" t="s">
        <v>15</v>
      </c>
      <c r="D532" s="12">
        <v>4.4391855041263009</v>
      </c>
      <c r="E532" s="12">
        <v>10.45</v>
      </c>
      <c r="F532" s="12">
        <v>20</v>
      </c>
      <c r="G532" s="12">
        <v>10.45</v>
      </c>
      <c r="H532" s="12">
        <v>4.8685968137254898</v>
      </c>
      <c r="I532" s="12" t="s">
        <v>109</v>
      </c>
      <c r="J532" s="12">
        <v>46309</v>
      </c>
      <c r="K532">
        <v>46309</v>
      </c>
    </row>
    <row r="533" spans="1:11" hidden="1" x14ac:dyDescent="0.25">
      <c r="A533" s="12" t="s">
        <v>59</v>
      </c>
      <c r="B533" s="12" t="s">
        <v>37</v>
      </c>
      <c r="C533" s="12" t="s">
        <v>14</v>
      </c>
      <c r="D533" s="12">
        <v>8.0022159745434642</v>
      </c>
      <c r="E533" s="12">
        <v>19</v>
      </c>
      <c r="F533" s="12">
        <v>20</v>
      </c>
      <c r="G533" s="12">
        <v>19</v>
      </c>
      <c r="H533" s="12">
        <v>10.025934436274506</v>
      </c>
      <c r="I533" s="12" t="s">
        <v>110</v>
      </c>
      <c r="J533" s="12">
        <v>46309</v>
      </c>
      <c r="K533">
        <v>46309</v>
      </c>
    </row>
    <row r="534" spans="1:11" hidden="1" x14ac:dyDescent="0.25">
      <c r="A534" s="12" t="s">
        <v>59</v>
      </c>
      <c r="B534" s="12" t="s">
        <v>57</v>
      </c>
      <c r="C534" s="12" t="s">
        <v>15</v>
      </c>
      <c r="D534" s="12">
        <v>0</v>
      </c>
      <c r="E534" s="12">
        <v>0</v>
      </c>
      <c r="F534" s="12">
        <v>18</v>
      </c>
      <c r="G534" s="12">
        <v>0</v>
      </c>
      <c r="H534" s="12">
        <v>0</v>
      </c>
      <c r="I534" s="12" t="s">
        <v>109</v>
      </c>
      <c r="J534" s="12">
        <v>46309</v>
      </c>
      <c r="K534">
        <v>46309</v>
      </c>
    </row>
    <row r="535" spans="1:11" hidden="1" x14ac:dyDescent="0.25">
      <c r="A535" s="12" t="s">
        <v>59</v>
      </c>
      <c r="B535" s="12" t="s">
        <v>148</v>
      </c>
      <c r="C535" s="12" t="s">
        <v>15</v>
      </c>
      <c r="D535" s="12">
        <v>0</v>
      </c>
      <c r="E535" s="12">
        <v>6.6499999999999995</v>
      </c>
      <c r="F535" s="12">
        <v>20</v>
      </c>
      <c r="G535" s="12">
        <v>6.6499999999999995</v>
      </c>
      <c r="H535" s="12">
        <v>0</v>
      </c>
      <c r="I535" s="12" t="s">
        <v>109</v>
      </c>
      <c r="J535" s="12">
        <v>46309</v>
      </c>
      <c r="K535">
        <v>46309</v>
      </c>
    </row>
    <row r="536" spans="1:11" hidden="1" x14ac:dyDescent="0.25">
      <c r="A536" s="12" t="s">
        <v>59</v>
      </c>
      <c r="B536" s="12" t="s">
        <v>38</v>
      </c>
      <c r="C536" s="12" t="s">
        <v>14</v>
      </c>
      <c r="D536" s="12">
        <v>2.4372947976878616</v>
      </c>
      <c r="E536" s="12">
        <v>3.8</v>
      </c>
      <c r="F536" s="12">
        <v>20</v>
      </c>
      <c r="G536" s="12">
        <v>3.8</v>
      </c>
      <c r="H536" s="12">
        <v>2.0490196078431371</v>
      </c>
      <c r="I536" s="12" t="s">
        <v>110</v>
      </c>
      <c r="J536" s="12">
        <v>46309</v>
      </c>
      <c r="K536">
        <v>46309</v>
      </c>
    </row>
    <row r="537" spans="1:11" x14ac:dyDescent="0.25">
      <c r="A537" s="12" t="s">
        <v>59</v>
      </c>
      <c r="B537" s="12" t="s">
        <v>38</v>
      </c>
      <c r="C537" s="12" t="s">
        <v>13</v>
      </c>
      <c r="D537" s="12">
        <v>2.5134602601156062</v>
      </c>
      <c r="E537" s="12">
        <v>3.8</v>
      </c>
      <c r="F537" s="12">
        <v>20</v>
      </c>
      <c r="G537" s="12">
        <v>3.8</v>
      </c>
      <c r="H537" s="12">
        <v>2.0030637254901964</v>
      </c>
      <c r="I537" s="12" t="s">
        <v>111</v>
      </c>
      <c r="J537" s="12">
        <v>46309</v>
      </c>
      <c r="K537">
        <v>46309</v>
      </c>
    </row>
    <row r="538" spans="1:11" x14ac:dyDescent="0.25">
      <c r="A538" s="12" t="s">
        <v>59</v>
      </c>
      <c r="B538" s="12" t="s">
        <v>148</v>
      </c>
      <c r="C538" s="12" t="s">
        <v>13</v>
      </c>
      <c r="D538" s="12">
        <v>12.25</v>
      </c>
      <c r="E538" s="12">
        <v>9.5</v>
      </c>
      <c r="F538" s="12">
        <v>20</v>
      </c>
      <c r="G538" s="12">
        <v>9.5</v>
      </c>
      <c r="H538" s="12">
        <v>7.5630886729691884</v>
      </c>
      <c r="I538" s="12" t="s">
        <v>111</v>
      </c>
      <c r="J538" s="12">
        <v>46309</v>
      </c>
      <c r="K538">
        <v>46309</v>
      </c>
    </row>
    <row r="539" spans="1:11" x14ac:dyDescent="0.25">
      <c r="A539" s="12" t="s">
        <v>59</v>
      </c>
      <c r="B539" s="12" t="s">
        <v>37</v>
      </c>
      <c r="C539" s="12" t="s">
        <v>13</v>
      </c>
      <c r="D539" s="12">
        <v>9.929757048703566</v>
      </c>
      <c r="E539" s="12">
        <v>19</v>
      </c>
      <c r="F539" s="12">
        <v>20</v>
      </c>
      <c r="G539" s="12">
        <v>19</v>
      </c>
      <c r="H539" s="12">
        <v>10.980468749999998</v>
      </c>
      <c r="I539" s="12" t="s">
        <v>111</v>
      </c>
      <c r="J539" s="12">
        <v>46309</v>
      </c>
      <c r="K539">
        <v>46309</v>
      </c>
    </row>
    <row r="540" spans="1:11" x14ac:dyDescent="0.25">
      <c r="A540" s="12" t="s">
        <v>59</v>
      </c>
      <c r="B540" s="12" t="s">
        <v>57</v>
      </c>
      <c r="C540" s="12" t="s">
        <v>13</v>
      </c>
      <c r="D540" s="12">
        <v>1.8691307385794953</v>
      </c>
      <c r="E540" s="12">
        <v>1.9</v>
      </c>
      <c r="F540" s="12">
        <v>18</v>
      </c>
      <c r="G540" s="12">
        <v>1.9</v>
      </c>
      <c r="H540" s="12">
        <v>1.7647058823529411</v>
      </c>
      <c r="I540" s="12" t="s">
        <v>111</v>
      </c>
      <c r="J540" s="12">
        <v>46309</v>
      </c>
      <c r="K540">
        <v>46309</v>
      </c>
    </row>
    <row r="541" spans="1:11" hidden="1" x14ac:dyDescent="0.25">
      <c r="A541" s="12" t="s">
        <v>59</v>
      </c>
      <c r="B541" s="12" t="s">
        <v>38</v>
      </c>
      <c r="C541" s="12" t="s">
        <v>15</v>
      </c>
      <c r="D541" s="12">
        <v>2.7622674373795766</v>
      </c>
      <c r="E541" s="12">
        <v>3.8</v>
      </c>
      <c r="F541" s="12">
        <v>20</v>
      </c>
      <c r="G541" s="12">
        <v>3.8</v>
      </c>
      <c r="H541" s="12">
        <v>2.0078431372549019</v>
      </c>
      <c r="I541" s="12" t="s">
        <v>109</v>
      </c>
      <c r="J541" s="12">
        <v>46309</v>
      </c>
      <c r="K541">
        <v>46309</v>
      </c>
    </row>
    <row r="542" spans="1:11" hidden="1" x14ac:dyDescent="0.25">
      <c r="A542" s="12" t="s">
        <v>59</v>
      </c>
      <c r="B542" s="12" t="s">
        <v>37</v>
      </c>
      <c r="C542" s="12" t="s">
        <v>14</v>
      </c>
      <c r="D542" s="12">
        <v>8.8783710082526017</v>
      </c>
      <c r="E542" s="12">
        <v>20.9</v>
      </c>
      <c r="F542" s="12">
        <v>20</v>
      </c>
      <c r="G542" s="12">
        <v>20.9</v>
      </c>
      <c r="H542" s="12">
        <v>10.816260723039212</v>
      </c>
      <c r="I542" s="12" t="s">
        <v>113</v>
      </c>
      <c r="J542" s="12">
        <v>46310</v>
      </c>
      <c r="K542">
        <v>46310</v>
      </c>
    </row>
    <row r="543" spans="1:11" hidden="1" x14ac:dyDescent="0.25">
      <c r="A543" s="12" t="s">
        <v>59</v>
      </c>
      <c r="B543" s="12" t="s">
        <v>38</v>
      </c>
      <c r="C543" s="12" t="s">
        <v>14</v>
      </c>
      <c r="D543" s="12">
        <v>2.4372947976878616</v>
      </c>
      <c r="E543" s="12">
        <v>3.8</v>
      </c>
      <c r="F543" s="12">
        <v>20</v>
      </c>
      <c r="G543" s="12">
        <v>3.8</v>
      </c>
      <c r="H543" s="12">
        <v>2.1049596309111882</v>
      </c>
      <c r="I543" s="12" t="s">
        <v>113</v>
      </c>
      <c r="J543" s="12">
        <v>46310</v>
      </c>
      <c r="K543">
        <v>46310</v>
      </c>
    </row>
    <row r="544" spans="1:11" hidden="1" x14ac:dyDescent="0.25">
      <c r="A544" s="12" t="s">
        <v>59</v>
      </c>
      <c r="B544" s="12" t="s">
        <v>148</v>
      </c>
      <c r="C544" s="12" t="s">
        <v>14</v>
      </c>
      <c r="D544" s="12">
        <v>0.58823529411764719</v>
      </c>
      <c r="E544" s="12">
        <v>7.6</v>
      </c>
      <c r="F544" s="12">
        <v>20</v>
      </c>
      <c r="G544" s="12">
        <v>7.6</v>
      </c>
      <c r="H544" s="12">
        <v>1.7129901960784313</v>
      </c>
      <c r="I544" s="12" t="s">
        <v>113</v>
      </c>
      <c r="J544" s="12">
        <v>46310</v>
      </c>
      <c r="K544">
        <v>46310</v>
      </c>
    </row>
    <row r="545" spans="1:11" hidden="1" x14ac:dyDescent="0.25">
      <c r="A545" s="12" t="s">
        <v>59</v>
      </c>
      <c r="B545" s="12" t="s">
        <v>57</v>
      </c>
      <c r="C545" s="12" t="s">
        <v>14</v>
      </c>
      <c r="D545" s="12">
        <v>0.65969320185158653</v>
      </c>
      <c r="E545" s="12">
        <v>0</v>
      </c>
      <c r="F545" s="12">
        <v>18</v>
      </c>
      <c r="G545" s="12">
        <v>0</v>
      </c>
      <c r="H545" s="12">
        <v>0</v>
      </c>
      <c r="I545" s="12" t="s">
        <v>113</v>
      </c>
      <c r="J545" s="12">
        <v>46310</v>
      </c>
      <c r="K545">
        <v>46310</v>
      </c>
    </row>
    <row r="546" spans="1:11" hidden="1" x14ac:dyDescent="0.25">
      <c r="A546" s="12" t="s">
        <v>59</v>
      </c>
      <c r="B546" s="12" t="s">
        <v>38</v>
      </c>
      <c r="C546" s="12" t="s">
        <v>15</v>
      </c>
      <c r="D546" s="12">
        <v>2.7622674373795766</v>
      </c>
      <c r="E546" s="12">
        <v>3.8</v>
      </c>
      <c r="F546" s="12">
        <v>20</v>
      </c>
      <c r="G546" s="12">
        <v>3.8</v>
      </c>
      <c r="H546" s="12">
        <v>2.0078431372549019</v>
      </c>
      <c r="I546" s="12" t="s">
        <v>112</v>
      </c>
      <c r="J546" s="12">
        <v>46310</v>
      </c>
      <c r="K546">
        <v>46310</v>
      </c>
    </row>
    <row r="547" spans="1:11" hidden="1" x14ac:dyDescent="0.25">
      <c r="A547" s="12" t="s">
        <v>59</v>
      </c>
      <c r="B547" s="12" t="s">
        <v>37</v>
      </c>
      <c r="C547" s="12" t="s">
        <v>15</v>
      </c>
      <c r="D547" s="12">
        <v>4.4391855041263009</v>
      </c>
      <c r="E547" s="12">
        <v>10.45</v>
      </c>
      <c r="F547" s="12">
        <v>20</v>
      </c>
      <c r="G547" s="12">
        <v>10.45</v>
      </c>
      <c r="H547" s="12">
        <v>4.9564874387254898</v>
      </c>
      <c r="I547" s="12" t="s">
        <v>112</v>
      </c>
      <c r="J547" s="12">
        <v>46310</v>
      </c>
      <c r="K547">
        <v>46310</v>
      </c>
    </row>
    <row r="548" spans="1:11" hidden="1" x14ac:dyDescent="0.25">
      <c r="A548" s="12" t="s">
        <v>59</v>
      </c>
      <c r="B548" s="12" t="s">
        <v>148</v>
      </c>
      <c r="C548" s="12" t="s">
        <v>15</v>
      </c>
      <c r="D548" s="12">
        <v>0</v>
      </c>
      <c r="E548" s="12">
        <v>6.6499999999999995</v>
      </c>
      <c r="F548" s="12">
        <v>20</v>
      </c>
      <c r="G548" s="12">
        <v>6.6499999999999995</v>
      </c>
      <c r="H548" s="12">
        <v>0</v>
      </c>
      <c r="I548" s="12" t="s">
        <v>112</v>
      </c>
      <c r="J548" s="12">
        <v>46310</v>
      </c>
      <c r="K548">
        <v>46310</v>
      </c>
    </row>
    <row r="549" spans="1:11" hidden="1" x14ac:dyDescent="0.25">
      <c r="A549" s="12" t="s">
        <v>59</v>
      </c>
      <c r="B549" s="12" t="s">
        <v>57</v>
      </c>
      <c r="C549" s="12" t="s">
        <v>15</v>
      </c>
      <c r="D549" s="12">
        <v>0</v>
      </c>
      <c r="E549" s="12">
        <v>0</v>
      </c>
      <c r="F549" s="12">
        <v>18</v>
      </c>
      <c r="G549" s="12">
        <v>0</v>
      </c>
      <c r="H549" s="12">
        <v>0</v>
      </c>
      <c r="I549" s="12" t="s">
        <v>112</v>
      </c>
      <c r="J549" s="12">
        <v>46310</v>
      </c>
      <c r="K549">
        <v>46310</v>
      </c>
    </row>
    <row r="550" spans="1:11" x14ac:dyDescent="0.25">
      <c r="A550" s="12" t="s">
        <v>59</v>
      </c>
      <c r="B550" s="12" t="s">
        <v>57</v>
      </c>
      <c r="C550" s="12" t="s">
        <v>13</v>
      </c>
      <c r="D550" s="12">
        <v>0.93456536928974765</v>
      </c>
      <c r="E550" s="12">
        <v>0</v>
      </c>
      <c r="F550" s="12">
        <v>18</v>
      </c>
      <c r="G550" s="12">
        <v>0</v>
      </c>
      <c r="H550" s="12">
        <v>0</v>
      </c>
      <c r="I550" s="12" t="s">
        <v>114</v>
      </c>
      <c r="J550" s="12">
        <v>46310</v>
      </c>
      <c r="K550">
        <v>46310</v>
      </c>
    </row>
    <row r="551" spans="1:11" x14ac:dyDescent="0.25">
      <c r="A551" s="12" t="s">
        <v>59</v>
      </c>
      <c r="B551" s="12" t="s">
        <v>37</v>
      </c>
      <c r="C551" s="12" t="s">
        <v>13</v>
      </c>
      <c r="D551" s="12">
        <v>10.92273275357392</v>
      </c>
      <c r="E551" s="12">
        <v>19.95</v>
      </c>
      <c r="F551" s="12">
        <v>20</v>
      </c>
      <c r="G551" s="12">
        <v>19.95</v>
      </c>
      <c r="H551" s="12">
        <v>11.977251838235295</v>
      </c>
      <c r="I551" s="12" t="s">
        <v>114</v>
      </c>
      <c r="J551" s="12">
        <v>46310</v>
      </c>
      <c r="K551">
        <v>46310</v>
      </c>
    </row>
    <row r="552" spans="1:11" x14ac:dyDescent="0.25">
      <c r="A552" s="12" t="s">
        <v>59</v>
      </c>
      <c r="B552" s="12" t="s">
        <v>38</v>
      </c>
      <c r="C552" s="12" t="s">
        <v>13</v>
      </c>
      <c r="D552" s="12">
        <v>3.884438583815029</v>
      </c>
      <c r="E552" s="12">
        <v>2.8499999999999996</v>
      </c>
      <c r="F552" s="12">
        <v>20</v>
      </c>
      <c r="G552" s="12">
        <v>2.8499999999999996</v>
      </c>
      <c r="H552" s="12">
        <v>2.0061274509803924</v>
      </c>
      <c r="I552" s="12" t="s">
        <v>114</v>
      </c>
      <c r="J552" s="12">
        <v>46310</v>
      </c>
      <c r="K552">
        <v>46310</v>
      </c>
    </row>
    <row r="553" spans="1:11" x14ac:dyDescent="0.25">
      <c r="A553" s="12" t="s">
        <v>59</v>
      </c>
      <c r="B553" s="12" t="s">
        <v>148</v>
      </c>
      <c r="C553" s="12" t="s">
        <v>13</v>
      </c>
      <c r="D553" s="12">
        <v>12.25</v>
      </c>
      <c r="E553" s="12">
        <v>7.6</v>
      </c>
      <c r="F553" s="12">
        <v>20</v>
      </c>
      <c r="G553" s="12">
        <v>7.6</v>
      </c>
      <c r="H553" s="12">
        <v>5.8674479166666682</v>
      </c>
      <c r="I553" s="12" t="s">
        <v>114</v>
      </c>
      <c r="J553" s="12">
        <v>46310</v>
      </c>
      <c r="K553">
        <v>46310</v>
      </c>
    </row>
    <row r="554" spans="1:11" hidden="1" x14ac:dyDescent="0.25">
      <c r="A554" s="12" t="s">
        <v>59</v>
      </c>
      <c r="B554" s="12" t="s">
        <v>148</v>
      </c>
      <c r="C554" s="12" t="s">
        <v>14</v>
      </c>
      <c r="D554" s="12">
        <v>0.58823529411764719</v>
      </c>
      <c r="E554" s="12">
        <v>6.6499999999999995</v>
      </c>
      <c r="F554" s="12">
        <v>20</v>
      </c>
      <c r="G554" s="12">
        <v>6.6499999999999995</v>
      </c>
      <c r="H554" s="12">
        <v>1.4915369088811996</v>
      </c>
      <c r="I554" s="12" t="s">
        <v>116</v>
      </c>
      <c r="J554" s="12">
        <v>46311</v>
      </c>
      <c r="K554">
        <v>46311</v>
      </c>
    </row>
    <row r="555" spans="1:11" hidden="1" x14ac:dyDescent="0.25">
      <c r="A555" s="12" t="s">
        <v>59</v>
      </c>
      <c r="B555" s="12" t="s">
        <v>148</v>
      </c>
      <c r="C555" s="12" t="s">
        <v>15</v>
      </c>
      <c r="D555" s="12">
        <v>0</v>
      </c>
      <c r="E555" s="12">
        <v>5.6999999999999993</v>
      </c>
      <c r="F555" s="12">
        <v>20</v>
      </c>
      <c r="G555" s="12">
        <v>5.6999999999999993</v>
      </c>
      <c r="H555" s="12">
        <v>0</v>
      </c>
      <c r="I555" s="12" t="s">
        <v>117</v>
      </c>
      <c r="J555" s="12">
        <v>46311</v>
      </c>
      <c r="K555">
        <v>46311</v>
      </c>
    </row>
    <row r="556" spans="1:11" hidden="1" x14ac:dyDescent="0.25">
      <c r="A556" s="12" t="s">
        <v>59</v>
      </c>
      <c r="B556" s="12" t="s">
        <v>38</v>
      </c>
      <c r="C556" s="12" t="s">
        <v>14</v>
      </c>
      <c r="D556" s="12">
        <v>2.4372947976878616</v>
      </c>
      <c r="E556" s="12">
        <v>3.8</v>
      </c>
      <c r="F556" s="12">
        <v>20</v>
      </c>
      <c r="G556" s="12">
        <v>3.8</v>
      </c>
      <c r="H556" s="12">
        <v>2.1049596309111882</v>
      </c>
      <c r="I556" s="12" t="s">
        <v>116</v>
      </c>
      <c r="J556" s="12">
        <v>46311</v>
      </c>
      <c r="K556">
        <v>46311</v>
      </c>
    </row>
    <row r="557" spans="1:11" hidden="1" x14ac:dyDescent="0.25">
      <c r="A557" s="12" t="s">
        <v>59</v>
      </c>
      <c r="B557" s="12" t="s">
        <v>37</v>
      </c>
      <c r="C557" s="12" t="s">
        <v>15</v>
      </c>
      <c r="D557" s="12">
        <v>4.4391855041263009</v>
      </c>
      <c r="E557" s="12">
        <v>10.45</v>
      </c>
      <c r="F557" s="12">
        <v>20</v>
      </c>
      <c r="G557" s="12">
        <v>10.45</v>
      </c>
      <c r="H557" s="12">
        <v>4.9868566176470583</v>
      </c>
      <c r="I557" s="12" t="s">
        <v>117</v>
      </c>
      <c r="J557" s="12">
        <v>46311</v>
      </c>
      <c r="K557">
        <v>46311</v>
      </c>
    </row>
    <row r="558" spans="1:11" hidden="1" x14ac:dyDescent="0.25">
      <c r="A558" s="12" t="s">
        <v>59</v>
      </c>
      <c r="B558" s="12" t="s">
        <v>57</v>
      </c>
      <c r="C558" s="12" t="s">
        <v>15</v>
      </c>
      <c r="D558" s="12">
        <v>0</v>
      </c>
      <c r="E558" s="12">
        <v>0</v>
      </c>
      <c r="F558" s="12">
        <v>18</v>
      </c>
      <c r="G558" s="12">
        <v>0</v>
      </c>
      <c r="H558" s="12">
        <v>0</v>
      </c>
      <c r="I558" s="12" t="s">
        <v>117</v>
      </c>
      <c r="J558" s="12">
        <v>46311</v>
      </c>
      <c r="K558">
        <v>46311</v>
      </c>
    </row>
    <row r="559" spans="1:11" hidden="1" x14ac:dyDescent="0.25">
      <c r="A559" s="12" t="s">
        <v>59</v>
      </c>
      <c r="B559" s="12" t="s">
        <v>38</v>
      </c>
      <c r="C559" s="12" t="s">
        <v>15</v>
      </c>
      <c r="D559" s="12">
        <v>2.7622674373795766</v>
      </c>
      <c r="E559" s="12">
        <v>3.8</v>
      </c>
      <c r="F559" s="12">
        <v>20</v>
      </c>
      <c r="G559" s="12">
        <v>3.8</v>
      </c>
      <c r="H559" s="12">
        <v>2.0078431372549019</v>
      </c>
      <c r="I559" s="12" t="s">
        <v>117</v>
      </c>
      <c r="J559" s="12">
        <v>46311</v>
      </c>
      <c r="K559">
        <v>46311</v>
      </c>
    </row>
    <row r="560" spans="1:11" hidden="1" x14ac:dyDescent="0.25">
      <c r="A560" s="12" t="s">
        <v>59</v>
      </c>
      <c r="B560" s="12" t="s">
        <v>57</v>
      </c>
      <c r="C560" s="12" t="s">
        <v>14</v>
      </c>
      <c r="D560" s="12">
        <v>0.65969320185158653</v>
      </c>
      <c r="E560" s="12">
        <v>1.9</v>
      </c>
      <c r="F560" s="12">
        <v>18</v>
      </c>
      <c r="G560" s="12">
        <v>1.9</v>
      </c>
      <c r="H560" s="12">
        <v>0.22145328719723184</v>
      </c>
      <c r="I560" s="12" t="s">
        <v>116</v>
      </c>
      <c r="J560" s="12">
        <v>46311</v>
      </c>
      <c r="K560">
        <v>46311</v>
      </c>
    </row>
    <row r="561" spans="1:11" x14ac:dyDescent="0.25">
      <c r="A561" s="12" t="s">
        <v>59</v>
      </c>
      <c r="B561" s="12" t="s">
        <v>38</v>
      </c>
      <c r="C561" s="12" t="s">
        <v>13</v>
      </c>
      <c r="D561" s="12">
        <v>3.8082731213872831</v>
      </c>
      <c r="E561" s="12">
        <v>3.8</v>
      </c>
      <c r="F561" s="12">
        <v>20</v>
      </c>
      <c r="G561" s="12">
        <v>3.8</v>
      </c>
      <c r="H561" s="12">
        <v>2.0061274509803924</v>
      </c>
      <c r="I561" s="12" t="s">
        <v>115</v>
      </c>
      <c r="J561" s="12">
        <v>46311</v>
      </c>
      <c r="K561">
        <v>46311</v>
      </c>
    </row>
    <row r="562" spans="1:11" hidden="1" x14ac:dyDescent="0.25">
      <c r="A562" s="12" t="s">
        <v>59</v>
      </c>
      <c r="B562" s="12" t="s">
        <v>37</v>
      </c>
      <c r="C562" s="12" t="s">
        <v>14</v>
      </c>
      <c r="D562" s="12">
        <v>8.9367813438332124</v>
      </c>
      <c r="E562" s="12">
        <v>19</v>
      </c>
      <c r="F562" s="12">
        <v>20</v>
      </c>
      <c r="G562" s="12">
        <v>19</v>
      </c>
      <c r="H562" s="12">
        <v>10.67559742647058</v>
      </c>
      <c r="I562" s="12" t="s">
        <v>116</v>
      </c>
      <c r="J562" s="12">
        <v>46311</v>
      </c>
      <c r="K562">
        <v>46311</v>
      </c>
    </row>
    <row r="563" spans="1:11" x14ac:dyDescent="0.25">
      <c r="A563" s="12" t="s">
        <v>59</v>
      </c>
      <c r="B563" s="12" t="s">
        <v>57</v>
      </c>
      <c r="C563" s="12" t="s">
        <v>13</v>
      </c>
      <c r="D563" s="12">
        <v>1.8691307385794949</v>
      </c>
      <c r="E563" s="12">
        <v>1.9</v>
      </c>
      <c r="F563" s="12">
        <v>18</v>
      </c>
      <c r="G563" s="12">
        <v>1.9</v>
      </c>
      <c r="H563" s="12">
        <v>1.7647058823529411</v>
      </c>
      <c r="I563" s="12" t="s">
        <v>115</v>
      </c>
      <c r="J563" s="12">
        <v>46311</v>
      </c>
      <c r="K563">
        <v>46311</v>
      </c>
    </row>
    <row r="564" spans="1:11" x14ac:dyDescent="0.25">
      <c r="A564" s="12" t="s">
        <v>59</v>
      </c>
      <c r="B564" s="12" t="s">
        <v>37</v>
      </c>
      <c r="C564" s="12" t="s">
        <v>13</v>
      </c>
      <c r="D564" s="12">
        <v>9.9297570487035642</v>
      </c>
      <c r="E564" s="12">
        <v>17.099999999999998</v>
      </c>
      <c r="F564" s="12">
        <v>20</v>
      </c>
      <c r="G564" s="12">
        <v>17.099999999999998</v>
      </c>
      <c r="H564" s="12">
        <v>10.212545955882341</v>
      </c>
      <c r="I564" s="12" t="s">
        <v>115</v>
      </c>
      <c r="J564" s="12">
        <v>46311</v>
      </c>
      <c r="K564">
        <v>46311</v>
      </c>
    </row>
    <row r="565" spans="1:11" x14ac:dyDescent="0.25">
      <c r="A565" s="12" t="s">
        <v>59</v>
      </c>
      <c r="B565" s="12" t="s">
        <v>148</v>
      </c>
      <c r="C565" s="12" t="s">
        <v>13</v>
      </c>
      <c r="D565" s="12">
        <v>11.5</v>
      </c>
      <c r="E565" s="12">
        <v>8.5499999999999989</v>
      </c>
      <c r="F565" s="12">
        <v>20</v>
      </c>
      <c r="G565" s="12">
        <v>8.5499999999999989</v>
      </c>
      <c r="H565" s="12">
        <v>6.6027420343137226</v>
      </c>
      <c r="I565" s="12" t="s">
        <v>115</v>
      </c>
      <c r="J565" s="12">
        <v>46311</v>
      </c>
      <c r="K565">
        <v>46311</v>
      </c>
    </row>
    <row r="566" spans="1:11" hidden="1" x14ac:dyDescent="0.25">
      <c r="A566" s="12" t="s">
        <v>59</v>
      </c>
      <c r="B566" s="12" t="s">
        <v>148</v>
      </c>
      <c r="C566" s="12" t="s">
        <v>14</v>
      </c>
      <c r="D566" s="12">
        <v>1.0588235294117647</v>
      </c>
      <c r="E566" s="12">
        <v>1.9</v>
      </c>
      <c r="F566" s="12">
        <v>20</v>
      </c>
      <c r="G566" s="12">
        <v>1.9</v>
      </c>
      <c r="H566" s="12">
        <v>0.66435986159169547</v>
      </c>
      <c r="I566" s="12" t="s">
        <v>118</v>
      </c>
      <c r="J566" s="12">
        <v>46312</v>
      </c>
      <c r="K566">
        <v>46312</v>
      </c>
    </row>
    <row r="567" spans="1:11" hidden="1" x14ac:dyDescent="0.25">
      <c r="A567" s="12" t="s">
        <v>59</v>
      </c>
      <c r="B567" s="12" t="s">
        <v>38</v>
      </c>
      <c r="C567" s="12" t="s">
        <v>14</v>
      </c>
      <c r="D567" s="12">
        <v>2.4372947976878616</v>
      </c>
      <c r="E567" s="12">
        <v>2.8499999999999996</v>
      </c>
      <c r="F567" s="12">
        <v>20</v>
      </c>
      <c r="G567" s="12">
        <v>2.8499999999999996</v>
      </c>
      <c r="H567" s="12">
        <v>1.8823529411764703</v>
      </c>
      <c r="I567" s="12" t="s">
        <v>118</v>
      </c>
      <c r="J567" s="12">
        <v>46312</v>
      </c>
      <c r="K567">
        <v>46312</v>
      </c>
    </row>
    <row r="568" spans="1:11" hidden="1" x14ac:dyDescent="0.25">
      <c r="A568" s="12" t="s">
        <v>59</v>
      </c>
      <c r="B568" s="12" t="s">
        <v>57</v>
      </c>
      <c r="C568" s="12" t="s">
        <v>14</v>
      </c>
      <c r="D568" s="12">
        <v>1.4293352706784377</v>
      </c>
      <c r="E568" s="12">
        <v>0.95</v>
      </c>
      <c r="F568" s="12">
        <v>18</v>
      </c>
      <c r="G568" s="12">
        <v>0.95</v>
      </c>
      <c r="H568" s="12">
        <v>0.11072664359861592</v>
      </c>
      <c r="I568" s="12" t="s">
        <v>118</v>
      </c>
      <c r="J568" s="12">
        <v>46312</v>
      </c>
      <c r="K568">
        <v>46312</v>
      </c>
    </row>
    <row r="569" spans="1:11" hidden="1" x14ac:dyDescent="0.25">
      <c r="A569" s="12" t="s">
        <v>59</v>
      </c>
      <c r="B569" s="12" t="s">
        <v>37</v>
      </c>
      <c r="C569" s="12" t="s">
        <v>14</v>
      </c>
      <c r="D569" s="12">
        <v>8.0606263101240749</v>
      </c>
      <c r="E569" s="12">
        <v>19.95</v>
      </c>
      <c r="F569" s="12">
        <v>20</v>
      </c>
      <c r="G569" s="12">
        <v>19.95</v>
      </c>
      <c r="H569" s="12">
        <v>10.697801776960777</v>
      </c>
      <c r="I569" s="12" t="s">
        <v>118</v>
      </c>
      <c r="J569" s="12">
        <v>46312</v>
      </c>
      <c r="K569">
        <v>46312</v>
      </c>
    </row>
    <row r="570" spans="1:11" hidden="1" x14ac:dyDescent="0.25">
      <c r="A570" s="12" t="s">
        <v>59</v>
      </c>
      <c r="B570" s="12" t="s">
        <v>38</v>
      </c>
      <c r="C570" s="12" t="s">
        <v>15</v>
      </c>
      <c r="D570" s="12">
        <v>2.7622674373795766</v>
      </c>
      <c r="E570" s="12">
        <v>3.8</v>
      </c>
      <c r="F570" s="12">
        <v>20</v>
      </c>
      <c r="G570" s="12">
        <v>3.8</v>
      </c>
      <c r="H570" s="12">
        <v>2.0078431372549019</v>
      </c>
      <c r="I570" s="12" t="s">
        <v>120</v>
      </c>
      <c r="J570" s="12">
        <v>46312</v>
      </c>
      <c r="K570">
        <v>46312</v>
      </c>
    </row>
    <row r="571" spans="1:11" hidden="1" x14ac:dyDescent="0.25">
      <c r="A571" s="12" t="s">
        <v>59</v>
      </c>
      <c r="B571" s="12" t="s">
        <v>57</v>
      </c>
      <c r="C571" s="12" t="s">
        <v>15</v>
      </c>
      <c r="D571" s="12">
        <v>0</v>
      </c>
      <c r="E571" s="12">
        <v>0</v>
      </c>
      <c r="F571" s="12">
        <v>18</v>
      </c>
      <c r="G571" s="12">
        <v>0</v>
      </c>
      <c r="H571" s="12">
        <v>0</v>
      </c>
      <c r="I571" s="12" t="s">
        <v>120</v>
      </c>
      <c r="J571" s="12">
        <v>46312</v>
      </c>
      <c r="K571">
        <v>46312</v>
      </c>
    </row>
    <row r="572" spans="1:11" x14ac:dyDescent="0.25">
      <c r="A572" s="12" t="s">
        <v>59</v>
      </c>
      <c r="B572" s="12" t="s">
        <v>57</v>
      </c>
      <c r="C572" s="12" t="s">
        <v>13</v>
      </c>
      <c r="D572" s="12">
        <v>1.8691307385794953</v>
      </c>
      <c r="E572" s="12">
        <v>0.95</v>
      </c>
      <c r="F572" s="12">
        <v>18</v>
      </c>
      <c r="G572" s="12">
        <v>0.95</v>
      </c>
      <c r="H572" s="12">
        <v>0.88235294117647056</v>
      </c>
      <c r="I572" s="12" t="s">
        <v>119</v>
      </c>
      <c r="J572" s="12">
        <v>46312</v>
      </c>
      <c r="K572">
        <v>46312</v>
      </c>
    </row>
    <row r="573" spans="1:11" x14ac:dyDescent="0.25">
      <c r="A573" s="12" t="s">
        <v>59</v>
      </c>
      <c r="B573" s="12" t="s">
        <v>37</v>
      </c>
      <c r="C573" s="12" t="s">
        <v>13</v>
      </c>
      <c r="D573" s="12">
        <v>9.9297570487035678</v>
      </c>
      <c r="E573" s="12">
        <v>17.099999999999998</v>
      </c>
      <c r="F573" s="12">
        <v>20</v>
      </c>
      <c r="G573" s="12">
        <v>17.099999999999998</v>
      </c>
      <c r="H573" s="12">
        <v>11.094898897058822</v>
      </c>
      <c r="I573" s="12" t="s">
        <v>119</v>
      </c>
      <c r="J573" s="12">
        <v>46312</v>
      </c>
      <c r="K573">
        <v>46312</v>
      </c>
    </row>
    <row r="574" spans="1:11" x14ac:dyDescent="0.25">
      <c r="A574" s="12" t="s">
        <v>59</v>
      </c>
      <c r="B574" s="12" t="s">
        <v>38</v>
      </c>
      <c r="C574" s="12" t="s">
        <v>13</v>
      </c>
      <c r="D574" s="12">
        <v>0</v>
      </c>
      <c r="E574" s="12">
        <v>2.8499999999999996</v>
      </c>
      <c r="F574" s="12">
        <v>20</v>
      </c>
      <c r="G574" s="12">
        <v>2.8499999999999996</v>
      </c>
      <c r="H574" s="12">
        <v>1.1176470588235294</v>
      </c>
      <c r="I574" s="12" t="s">
        <v>119</v>
      </c>
      <c r="J574" s="12">
        <v>46312</v>
      </c>
      <c r="K574">
        <v>46312</v>
      </c>
    </row>
    <row r="575" spans="1:11" x14ac:dyDescent="0.25">
      <c r="A575" s="12" t="s">
        <v>59</v>
      </c>
      <c r="B575" s="12" t="s">
        <v>148</v>
      </c>
      <c r="C575" s="12" t="s">
        <v>13</v>
      </c>
      <c r="D575" s="12">
        <v>4.9375</v>
      </c>
      <c r="E575" s="12">
        <v>1.9</v>
      </c>
      <c r="F575" s="12">
        <v>20</v>
      </c>
      <c r="G575" s="12">
        <v>1.9</v>
      </c>
      <c r="H575" s="12">
        <v>1.2941176470588236</v>
      </c>
      <c r="I575" s="12" t="s">
        <v>119</v>
      </c>
      <c r="J575" s="12">
        <v>46312</v>
      </c>
      <c r="K575">
        <v>46312</v>
      </c>
    </row>
    <row r="576" spans="1:11" hidden="1" x14ac:dyDescent="0.25">
      <c r="A576" s="12" t="s">
        <v>59</v>
      </c>
      <c r="B576" s="12" t="s">
        <v>148</v>
      </c>
      <c r="C576" s="12" t="s">
        <v>15</v>
      </c>
      <c r="D576" s="12">
        <v>0</v>
      </c>
      <c r="E576" s="12">
        <v>0</v>
      </c>
      <c r="F576" s="12">
        <v>20</v>
      </c>
      <c r="G576" s="12">
        <v>0</v>
      </c>
      <c r="H576" s="12">
        <v>0</v>
      </c>
      <c r="I576" s="12" t="s">
        <v>120</v>
      </c>
      <c r="J576" s="12">
        <v>46312</v>
      </c>
      <c r="K576">
        <v>46312</v>
      </c>
    </row>
    <row r="577" spans="1:11" hidden="1" x14ac:dyDescent="0.25">
      <c r="A577" s="12" t="s">
        <v>59</v>
      </c>
      <c r="B577" s="12" t="s">
        <v>37</v>
      </c>
      <c r="C577" s="12" t="s">
        <v>15</v>
      </c>
      <c r="D577" s="12">
        <v>4.4391855041263009</v>
      </c>
      <c r="E577" s="12">
        <v>11.4</v>
      </c>
      <c r="F577" s="12">
        <v>20</v>
      </c>
      <c r="G577" s="12">
        <v>11.4</v>
      </c>
      <c r="H577" s="12">
        <v>4.9572993259803919</v>
      </c>
      <c r="I577" s="12" t="s">
        <v>120</v>
      </c>
      <c r="J577" s="12">
        <v>46312</v>
      </c>
      <c r="K577">
        <v>46312</v>
      </c>
    </row>
    <row r="578" spans="1:11" x14ac:dyDescent="0.25">
      <c r="A578" s="12" t="s">
        <v>59</v>
      </c>
      <c r="B578" s="12" t="s">
        <v>57</v>
      </c>
      <c r="C578" s="12" t="s">
        <v>13</v>
      </c>
      <c r="D578" s="12">
        <v>1.8691307385794953</v>
      </c>
      <c r="E578" s="12">
        <v>1.9</v>
      </c>
      <c r="F578" s="12">
        <v>18</v>
      </c>
      <c r="G578" s="12">
        <v>1.9</v>
      </c>
      <c r="H578" s="12">
        <v>1.7647058823529411</v>
      </c>
      <c r="I578" s="12" t="s">
        <v>121</v>
      </c>
      <c r="J578" s="12">
        <v>46313</v>
      </c>
      <c r="K578">
        <v>46313</v>
      </c>
    </row>
    <row r="579" spans="1:11" x14ac:dyDescent="0.25">
      <c r="A579" s="12" t="s">
        <v>59</v>
      </c>
      <c r="B579" s="12" t="s">
        <v>38</v>
      </c>
      <c r="C579" s="12" t="s">
        <v>13</v>
      </c>
      <c r="D579" s="12">
        <v>0</v>
      </c>
      <c r="E579" s="12">
        <v>2.8499999999999996</v>
      </c>
      <c r="F579" s="12">
        <v>20</v>
      </c>
      <c r="G579" s="12">
        <v>2.8499999999999996</v>
      </c>
      <c r="H579" s="12">
        <v>1.1176470588235294</v>
      </c>
      <c r="I579" s="12" t="s">
        <v>121</v>
      </c>
      <c r="J579" s="12">
        <v>46313</v>
      </c>
      <c r="K579">
        <v>46313</v>
      </c>
    </row>
    <row r="580" spans="1:11" x14ac:dyDescent="0.25">
      <c r="A580" s="12" t="s">
        <v>59</v>
      </c>
      <c r="B580" s="12" t="s">
        <v>37</v>
      </c>
      <c r="C580" s="12" t="s">
        <v>13</v>
      </c>
      <c r="D580" s="12">
        <v>9.929757048703566</v>
      </c>
      <c r="E580" s="12">
        <v>15.2</v>
      </c>
      <c r="F580" s="12">
        <v>20</v>
      </c>
      <c r="G580" s="12">
        <v>15.2</v>
      </c>
      <c r="H580" s="12">
        <v>10.212545955882351</v>
      </c>
      <c r="I580" s="12" t="s">
        <v>121</v>
      </c>
      <c r="J580" s="12">
        <v>46313</v>
      </c>
      <c r="K580">
        <v>46313</v>
      </c>
    </row>
    <row r="581" spans="1:11" x14ac:dyDescent="0.25">
      <c r="A581" s="12" t="s">
        <v>59</v>
      </c>
      <c r="B581" s="12" t="s">
        <v>148</v>
      </c>
      <c r="C581" s="12" t="s">
        <v>13</v>
      </c>
      <c r="D581" s="12">
        <v>5.8749999999999991</v>
      </c>
      <c r="E581" s="12">
        <v>2.8499999999999996</v>
      </c>
      <c r="F581" s="12">
        <v>20</v>
      </c>
      <c r="G581" s="12">
        <v>2.8499999999999996</v>
      </c>
      <c r="H581" s="12">
        <v>1.7042738970588236</v>
      </c>
      <c r="I581" s="12" t="s">
        <v>121</v>
      </c>
      <c r="J581" s="12">
        <v>46313</v>
      </c>
      <c r="K581">
        <v>46313</v>
      </c>
    </row>
    <row r="582" spans="1:11" hidden="1" x14ac:dyDescent="0.25">
      <c r="A582" s="12" t="s">
        <v>59</v>
      </c>
      <c r="B582" s="12" t="s">
        <v>37</v>
      </c>
      <c r="C582" s="12" t="s">
        <v>15</v>
      </c>
      <c r="D582" s="12">
        <v>4.4391855041263009</v>
      </c>
      <c r="E582" s="12">
        <v>10.45</v>
      </c>
      <c r="F582" s="12">
        <v>20</v>
      </c>
      <c r="G582" s="12">
        <v>10.45</v>
      </c>
      <c r="H582" s="12">
        <v>4.9269301470588225</v>
      </c>
      <c r="I582" s="12" t="s">
        <v>122</v>
      </c>
      <c r="J582" s="12">
        <v>46313</v>
      </c>
      <c r="K582">
        <v>46313</v>
      </c>
    </row>
    <row r="583" spans="1:11" hidden="1" x14ac:dyDescent="0.25">
      <c r="A583" s="12" t="s">
        <v>59</v>
      </c>
      <c r="B583" s="12" t="s">
        <v>38</v>
      </c>
      <c r="C583" s="12" t="s">
        <v>15</v>
      </c>
      <c r="D583" s="12">
        <v>2.7622674373795766</v>
      </c>
      <c r="E583" s="12">
        <v>3.8</v>
      </c>
      <c r="F583" s="12">
        <v>20</v>
      </c>
      <c r="G583" s="12">
        <v>3.8</v>
      </c>
      <c r="H583" s="12">
        <v>2.0078431372549019</v>
      </c>
      <c r="I583" s="12" t="s">
        <v>122</v>
      </c>
      <c r="J583" s="12">
        <v>46313</v>
      </c>
      <c r="K583">
        <v>46313</v>
      </c>
    </row>
    <row r="584" spans="1:11" hidden="1" x14ac:dyDescent="0.25">
      <c r="A584" s="12" t="s">
        <v>59</v>
      </c>
      <c r="B584" s="12" t="s">
        <v>57</v>
      </c>
      <c r="C584" s="12" t="s">
        <v>15</v>
      </c>
      <c r="D584" s="12">
        <v>0</v>
      </c>
      <c r="E584" s="12">
        <v>0</v>
      </c>
      <c r="F584" s="12">
        <v>18</v>
      </c>
      <c r="G584" s="12">
        <v>0</v>
      </c>
      <c r="H584" s="12">
        <v>0</v>
      </c>
      <c r="I584" s="12" t="s">
        <v>122</v>
      </c>
      <c r="J584" s="12">
        <v>46313</v>
      </c>
      <c r="K584">
        <v>46313</v>
      </c>
    </row>
    <row r="585" spans="1:11" hidden="1" x14ac:dyDescent="0.25">
      <c r="A585" s="12" t="s">
        <v>59</v>
      </c>
      <c r="B585" s="12" t="s">
        <v>148</v>
      </c>
      <c r="C585" s="12" t="s">
        <v>14</v>
      </c>
      <c r="D585" s="12">
        <v>1.0588235294117647</v>
      </c>
      <c r="E585" s="12">
        <v>2.8499999999999996</v>
      </c>
      <c r="F585" s="12">
        <v>20</v>
      </c>
      <c r="G585" s="12">
        <v>2.8499999999999996</v>
      </c>
      <c r="H585" s="12">
        <v>1.16068339100346</v>
      </c>
      <c r="I585" s="12" t="s">
        <v>123</v>
      </c>
      <c r="J585" s="12">
        <v>46313</v>
      </c>
      <c r="K585">
        <v>46313</v>
      </c>
    </row>
    <row r="586" spans="1:11" hidden="1" x14ac:dyDescent="0.25">
      <c r="A586" s="12" t="s">
        <v>59</v>
      </c>
      <c r="B586" s="12" t="s">
        <v>57</v>
      </c>
      <c r="C586" s="12" t="s">
        <v>14</v>
      </c>
      <c r="D586" s="12">
        <v>1.4293352706784372</v>
      </c>
      <c r="E586" s="12">
        <v>1.9</v>
      </c>
      <c r="F586" s="12">
        <v>18</v>
      </c>
      <c r="G586" s="12">
        <v>1.9</v>
      </c>
      <c r="H586" s="12">
        <v>0.22145328719723184</v>
      </c>
      <c r="I586" s="12" t="s">
        <v>123</v>
      </c>
      <c r="J586" s="12">
        <v>46313</v>
      </c>
      <c r="K586">
        <v>46313</v>
      </c>
    </row>
    <row r="587" spans="1:11" hidden="1" x14ac:dyDescent="0.25">
      <c r="A587" s="12" t="s">
        <v>59</v>
      </c>
      <c r="B587" s="12" t="s">
        <v>37</v>
      </c>
      <c r="C587" s="12" t="s">
        <v>14</v>
      </c>
      <c r="D587" s="12">
        <v>8.1190366457046821</v>
      </c>
      <c r="E587" s="12">
        <v>19</v>
      </c>
      <c r="F587" s="12">
        <v>20</v>
      </c>
      <c r="G587" s="12">
        <v>19</v>
      </c>
      <c r="H587" s="12">
        <v>10.485523897058815</v>
      </c>
      <c r="I587" s="12" t="s">
        <v>123</v>
      </c>
      <c r="J587" s="12">
        <v>46313</v>
      </c>
      <c r="K587">
        <v>46313</v>
      </c>
    </row>
    <row r="588" spans="1:11" hidden="1" x14ac:dyDescent="0.25">
      <c r="A588" s="12" t="s">
        <v>59</v>
      </c>
      <c r="B588" s="12" t="s">
        <v>38</v>
      </c>
      <c r="C588" s="12" t="s">
        <v>14</v>
      </c>
      <c r="D588" s="12">
        <v>2.4372947976878616</v>
      </c>
      <c r="E588" s="12">
        <v>2.8499999999999996</v>
      </c>
      <c r="F588" s="12">
        <v>20</v>
      </c>
      <c r="G588" s="12">
        <v>2.8499999999999996</v>
      </c>
      <c r="H588" s="12">
        <v>1.8823529411764703</v>
      </c>
      <c r="I588" s="12" t="s">
        <v>123</v>
      </c>
      <c r="J588" s="12">
        <v>46313</v>
      </c>
      <c r="K588">
        <v>46313</v>
      </c>
    </row>
    <row r="589" spans="1:11" hidden="1" x14ac:dyDescent="0.25">
      <c r="A589" s="12" t="s">
        <v>59</v>
      </c>
      <c r="B589" s="12" t="s">
        <v>148</v>
      </c>
      <c r="C589" s="12" t="s">
        <v>15</v>
      </c>
      <c r="D589" s="12">
        <v>0</v>
      </c>
      <c r="E589" s="12">
        <v>1.9</v>
      </c>
      <c r="F589" s="12">
        <v>20</v>
      </c>
      <c r="G589" s="12">
        <v>1.9</v>
      </c>
      <c r="H589" s="12">
        <v>0</v>
      </c>
      <c r="I589" s="12" t="s">
        <v>122</v>
      </c>
      <c r="J589" s="12">
        <v>46313</v>
      </c>
      <c r="K589">
        <v>46313</v>
      </c>
    </row>
    <row r="590" spans="1:11" hidden="1" x14ac:dyDescent="0.25">
      <c r="A590" s="12" t="s">
        <v>59</v>
      </c>
      <c r="B590" s="12" t="s">
        <v>57</v>
      </c>
      <c r="C590" s="12" t="s">
        <v>14</v>
      </c>
      <c r="D590" s="12">
        <v>1.4293352706784377</v>
      </c>
      <c r="E590" s="12">
        <v>1.9</v>
      </c>
      <c r="F590" s="12">
        <v>18</v>
      </c>
      <c r="G590" s="12">
        <v>1.9</v>
      </c>
      <c r="H590" s="12">
        <v>0.93425605536332179</v>
      </c>
      <c r="I590" s="12" t="s">
        <v>124</v>
      </c>
      <c r="J590" s="12">
        <v>46314</v>
      </c>
      <c r="K590">
        <v>46314</v>
      </c>
    </row>
    <row r="591" spans="1:11" hidden="1" x14ac:dyDescent="0.25">
      <c r="A591" s="12" t="s">
        <v>59</v>
      </c>
      <c r="B591" s="12" t="s">
        <v>37</v>
      </c>
      <c r="C591" s="12" t="s">
        <v>14</v>
      </c>
      <c r="D591" s="12">
        <v>8.1774469812852928</v>
      </c>
      <c r="E591" s="12">
        <v>19.95</v>
      </c>
      <c r="F591" s="12">
        <v>20</v>
      </c>
      <c r="G591" s="12">
        <v>19.95</v>
      </c>
      <c r="H591" s="12">
        <v>10.17954197303921</v>
      </c>
      <c r="I591" s="12" t="s">
        <v>124</v>
      </c>
      <c r="J591" s="12">
        <v>46314</v>
      </c>
      <c r="K591">
        <v>46314</v>
      </c>
    </row>
    <row r="592" spans="1:11" hidden="1" x14ac:dyDescent="0.25">
      <c r="A592" s="12" t="s">
        <v>59</v>
      </c>
      <c r="B592" s="12" t="s">
        <v>38</v>
      </c>
      <c r="C592" s="12" t="s">
        <v>14</v>
      </c>
      <c r="D592" s="12">
        <v>2.5089799387963283</v>
      </c>
      <c r="E592" s="12">
        <v>4.75</v>
      </c>
      <c r="F592" s="12">
        <v>20</v>
      </c>
      <c r="G592" s="12">
        <v>4.75</v>
      </c>
      <c r="H592" s="12">
        <v>2.1024955436720143</v>
      </c>
      <c r="I592" s="12" t="s">
        <v>124</v>
      </c>
      <c r="J592" s="12">
        <v>46314</v>
      </c>
      <c r="K592">
        <v>46314</v>
      </c>
    </row>
    <row r="593" spans="1:11" hidden="1" x14ac:dyDescent="0.25">
      <c r="A593" s="12" t="s">
        <v>59</v>
      </c>
      <c r="B593" s="12" t="s">
        <v>57</v>
      </c>
      <c r="C593" s="12" t="s">
        <v>15</v>
      </c>
      <c r="D593" s="12">
        <v>0</v>
      </c>
      <c r="E593" s="12">
        <v>0</v>
      </c>
      <c r="F593" s="12">
        <v>18</v>
      </c>
      <c r="G593" s="12">
        <v>0</v>
      </c>
      <c r="H593" s="12">
        <v>0</v>
      </c>
      <c r="I593" s="12" t="s">
        <v>125</v>
      </c>
      <c r="J593" s="12">
        <v>46314</v>
      </c>
      <c r="K593">
        <v>46314</v>
      </c>
    </row>
    <row r="594" spans="1:11" hidden="1" x14ac:dyDescent="0.25">
      <c r="A594" s="12" t="s">
        <v>59</v>
      </c>
      <c r="B594" s="12" t="s">
        <v>37</v>
      </c>
      <c r="C594" s="12" t="s">
        <v>15</v>
      </c>
      <c r="D594" s="12">
        <v>4.4391855041263009</v>
      </c>
      <c r="E594" s="12">
        <v>10.45</v>
      </c>
      <c r="F594" s="12">
        <v>20</v>
      </c>
      <c r="G594" s="12">
        <v>10.45</v>
      </c>
      <c r="H594" s="12">
        <v>4.8983532475490188</v>
      </c>
      <c r="I594" s="12" t="s">
        <v>125</v>
      </c>
      <c r="J594" s="12">
        <v>46314</v>
      </c>
      <c r="K594">
        <v>46314</v>
      </c>
    </row>
    <row r="595" spans="1:11" x14ac:dyDescent="0.25">
      <c r="A595" s="12" t="s">
        <v>59</v>
      </c>
      <c r="B595" s="12" t="s">
        <v>57</v>
      </c>
      <c r="C595" s="12" t="s">
        <v>13</v>
      </c>
      <c r="D595" s="12">
        <v>0.93456536928974765</v>
      </c>
      <c r="E595" s="12">
        <v>0.95</v>
      </c>
      <c r="F595" s="12">
        <v>18</v>
      </c>
      <c r="G595" s="12">
        <v>0.95</v>
      </c>
      <c r="H595" s="12">
        <v>0.88235294117647067</v>
      </c>
      <c r="I595" s="12" t="s">
        <v>126</v>
      </c>
      <c r="J595" s="12">
        <v>46314</v>
      </c>
      <c r="K595">
        <v>46314</v>
      </c>
    </row>
    <row r="596" spans="1:11" hidden="1" x14ac:dyDescent="0.25">
      <c r="A596" s="12" t="s">
        <v>59</v>
      </c>
      <c r="B596" s="12" t="s">
        <v>148</v>
      </c>
      <c r="C596" s="12" t="s">
        <v>15</v>
      </c>
      <c r="D596" s="12">
        <v>0</v>
      </c>
      <c r="E596" s="12">
        <v>6.6499999999999995</v>
      </c>
      <c r="F596" s="12">
        <v>20</v>
      </c>
      <c r="G596" s="12">
        <v>6.6499999999999995</v>
      </c>
      <c r="H596" s="12">
        <v>0</v>
      </c>
      <c r="I596" s="12" t="s">
        <v>125</v>
      </c>
      <c r="J596" s="12">
        <v>46314</v>
      </c>
      <c r="K596">
        <v>46314</v>
      </c>
    </row>
    <row r="597" spans="1:11" x14ac:dyDescent="0.25">
      <c r="A597" s="12" t="s">
        <v>59</v>
      </c>
      <c r="B597" s="12" t="s">
        <v>37</v>
      </c>
      <c r="C597" s="12" t="s">
        <v>13</v>
      </c>
      <c r="D597" s="12">
        <v>10.864322417993312</v>
      </c>
      <c r="E597" s="12">
        <v>18.05</v>
      </c>
      <c r="F597" s="12">
        <v>20</v>
      </c>
      <c r="G597" s="12">
        <v>18.05</v>
      </c>
      <c r="H597" s="12">
        <v>11.859604779411764</v>
      </c>
      <c r="I597" s="12" t="s">
        <v>126</v>
      </c>
      <c r="J597" s="12">
        <v>46314</v>
      </c>
      <c r="K597">
        <v>46314</v>
      </c>
    </row>
    <row r="598" spans="1:11" x14ac:dyDescent="0.25">
      <c r="A598" s="12" t="s">
        <v>59</v>
      </c>
      <c r="B598" s="12" t="s">
        <v>38</v>
      </c>
      <c r="C598" s="12" t="s">
        <v>13</v>
      </c>
      <c r="D598" s="12">
        <v>2.5134602601156062</v>
      </c>
      <c r="E598" s="12">
        <v>4.75</v>
      </c>
      <c r="F598" s="12">
        <v>20</v>
      </c>
      <c r="G598" s="12">
        <v>4.75</v>
      </c>
      <c r="H598" s="12">
        <v>2.5712455436720147</v>
      </c>
      <c r="I598" s="12" t="s">
        <v>126</v>
      </c>
      <c r="J598" s="12">
        <v>46314</v>
      </c>
      <c r="K598">
        <v>46314</v>
      </c>
    </row>
    <row r="599" spans="1:11" x14ac:dyDescent="0.25">
      <c r="A599" s="12" t="s">
        <v>59</v>
      </c>
      <c r="B599" s="12" t="s">
        <v>148</v>
      </c>
      <c r="C599" s="12" t="s">
        <v>13</v>
      </c>
      <c r="D599" s="12">
        <v>13.249999999999996</v>
      </c>
      <c r="E599" s="12">
        <v>7.6</v>
      </c>
      <c r="F599" s="12">
        <v>20</v>
      </c>
      <c r="G599" s="12">
        <v>7.6</v>
      </c>
      <c r="H599" s="12">
        <v>8.5108609068627441</v>
      </c>
      <c r="I599" s="12" t="s">
        <v>126</v>
      </c>
      <c r="J599" s="12">
        <v>46314</v>
      </c>
      <c r="K599">
        <v>46314</v>
      </c>
    </row>
    <row r="600" spans="1:11" hidden="1" x14ac:dyDescent="0.25">
      <c r="A600" s="12" t="s">
        <v>59</v>
      </c>
      <c r="B600" s="12" t="s">
        <v>38</v>
      </c>
      <c r="C600" s="12" t="s">
        <v>15</v>
      </c>
      <c r="D600" s="12">
        <v>2.7622674373795766</v>
      </c>
      <c r="E600" s="12">
        <v>3.8</v>
      </c>
      <c r="F600" s="12">
        <v>20</v>
      </c>
      <c r="G600" s="12">
        <v>3.8</v>
      </c>
      <c r="H600" s="12">
        <v>2.0078431372549019</v>
      </c>
      <c r="I600" s="12" t="s">
        <v>125</v>
      </c>
      <c r="J600" s="12">
        <v>46314</v>
      </c>
      <c r="K600">
        <v>46314</v>
      </c>
    </row>
    <row r="601" spans="1:11" hidden="1" x14ac:dyDescent="0.25">
      <c r="A601" s="12" t="s">
        <v>59</v>
      </c>
      <c r="B601" s="12" t="s">
        <v>148</v>
      </c>
      <c r="C601" s="12" t="s">
        <v>14</v>
      </c>
      <c r="D601" s="12">
        <v>0.58823529411764719</v>
      </c>
      <c r="E601" s="12">
        <v>7.6</v>
      </c>
      <c r="F601" s="12">
        <v>20</v>
      </c>
      <c r="G601" s="12">
        <v>7.6</v>
      </c>
      <c r="H601" s="12">
        <v>1.6575980392156859</v>
      </c>
      <c r="I601" s="12" t="s">
        <v>124</v>
      </c>
      <c r="J601" s="12">
        <v>46314</v>
      </c>
      <c r="K601">
        <v>46314</v>
      </c>
    </row>
    <row r="602" spans="1:11" x14ac:dyDescent="0.25">
      <c r="A602" s="12" t="s">
        <v>59</v>
      </c>
      <c r="B602" s="12" t="s">
        <v>148</v>
      </c>
      <c r="C602" s="12" t="s">
        <v>13</v>
      </c>
      <c r="D602" s="12">
        <v>12.25</v>
      </c>
      <c r="E602" s="12">
        <v>8.5499999999999989</v>
      </c>
      <c r="F602" s="12">
        <v>20</v>
      </c>
      <c r="G602" s="12">
        <v>8.5499999999999989</v>
      </c>
      <c r="H602" s="12">
        <v>6.7464220063025193</v>
      </c>
      <c r="I602" s="12" t="s">
        <v>127</v>
      </c>
      <c r="J602" s="12">
        <v>46315</v>
      </c>
      <c r="K602">
        <v>46315</v>
      </c>
    </row>
    <row r="603" spans="1:11" hidden="1" x14ac:dyDescent="0.25">
      <c r="A603" s="12" t="s">
        <v>59</v>
      </c>
      <c r="B603" s="12" t="s">
        <v>37</v>
      </c>
      <c r="C603" s="12" t="s">
        <v>14</v>
      </c>
      <c r="D603" s="12">
        <v>9.0536020149944303</v>
      </c>
      <c r="E603" s="12">
        <v>19.95</v>
      </c>
      <c r="F603" s="12">
        <v>20</v>
      </c>
      <c r="G603" s="12">
        <v>19.95</v>
      </c>
      <c r="H603" s="12">
        <v>9.9193167892156815</v>
      </c>
      <c r="I603" s="12" t="s">
        <v>129</v>
      </c>
      <c r="J603" s="12">
        <v>46315</v>
      </c>
      <c r="K603">
        <v>46315</v>
      </c>
    </row>
    <row r="604" spans="1:11" x14ac:dyDescent="0.25">
      <c r="A604" s="12" t="s">
        <v>59</v>
      </c>
      <c r="B604" s="12" t="s">
        <v>57</v>
      </c>
      <c r="C604" s="12" t="s">
        <v>13</v>
      </c>
      <c r="D604" s="12">
        <v>0.93456536928974732</v>
      </c>
      <c r="E604" s="12">
        <v>0</v>
      </c>
      <c r="F604" s="12">
        <v>18</v>
      </c>
      <c r="G604" s="12">
        <v>0</v>
      </c>
      <c r="H604" s="12">
        <v>0</v>
      </c>
      <c r="I604" s="12" t="s">
        <v>127</v>
      </c>
      <c r="J604" s="12">
        <v>46315</v>
      </c>
      <c r="K604">
        <v>46315</v>
      </c>
    </row>
    <row r="605" spans="1:11" x14ac:dyDescent="0.25">
      <c r="A605" s="12" t="s">
        <v>59</v>
      </c>
      <c r="B605" s="12" t="s">
        <v>38</v>
      </c>
      <c r="C605" s="12" t="s">
        <v>13</v>
      </c>
      <c r="D605" s="12">
        <v>3.8082731213872831</v>
      </c>
      <c r="E605" s="12">
        <v>3.8</v>
      </c>
      <c r="F605" s="12">
        <v>20</v>
      </c>
      <c r="G605" s="12">
        <v>3.8</v>
      </c>
      <c r="H605" s="12">
        <v>1.9999999999999996</v>
      </c>
      <c r="I605" s="12" t="s">
        <v>127</v>
      </c>
      <c r="J605" s="12">
        <v>46315</v>
      </c>
      <c r="K605">
        <v>46315</v>
      </c>
    </row>
    <row r="606" spans="1:11" x14ac:dyDescent="0.25">
      <c r="A606" s="12" t="s">
        <v>59</v>
      </c>
      <c r="B606" s="12" t="s">
        <v>37</v>
      </c>
      <c r="C606" s="12" t="s">
        <v>13</v>
      </c>
      <c r="D606" s="12">
        <v>10.864322417993312</v>
      </c>
      <c r="E606" s="12">
        <v>19.95</v>
      </c>
      <c r="F606" s="12">
        <v>20</v>
      </c>
      <c r="G606" s="12">
        <v>19.95</v>
      </c>
      <c r="H606" s="12">
        <v>11.962086397058822</v>
      </c>
      <c r="I606" s="12" t="s">
        <v>127</v>
      </c>
      <c r="J606" s="12">
        <v>46315</v>
      </c>
      <c r="K606">
        <v>46315</v>
      </c>
    </row>
    <row r="607" spans="1:11" hidden="1" x14ac:dyDescent="0.25">
      <c r="A607" s="12" t="s">
        <v>59</v>
      </c>
      <c r="B607" s="12" t="s">
        <v>148</v>
      </c>
      <c r="C607" s="12" t="s">
        <v>15</v>
      </c>
      <c r="D607" s="12">
        <v>0</v>
      </c>
      <c r="E607" s="12">
        <v>5.6999999999999993</v>
      </c>
      <c r="F607" s="12">
        <v>20</v>
      </c>
      <c r="G607" s="12">
        <v>5.6999999999999993</v>
      </c>
      <c r="H607" s="12">
        <v>0</v>
      </c>
      <c r="I607" s="12" t="s">
        <v>128</v>
      </c>
      <c r="J607" s="12">
        <v>46315</v>
      </c>
      <c r="K607">
        <v>46315</v>
      </c>
    </row>
    <row r="608" spans="1:11" hidden="1" x14ac:dyDescent="0.25">
      <c r="A608" s="12" t="s">
        <v>59</v>
      </c>
      <c r="B608" s="12" t="s">
        <v>38</v>
      </c>
      <c r="C608" s="12" t="s">
        <v>15</v>
      </c>
      <c r="D608" s="12">
        <v>2.7622674373795766</v>
      </c>
      <c r="E608" s="12">
        <v>3.8</v>
      </c>
      <c r="F608" s="12">
        <v>20</v>
      </c>
      <c r="G608" s="12">
        <v>3.8</v>
      </c>
      <c r="H608" s="12">
        <v>2.0078431372549019</v>
      </c>
      <c r="I608" s="12" t="s">
        <v>128</v>
      </c>
      <c r="J608" s="12">
        <v>46315</v>
      </c>
      <c r="K608">
        <v>46315</v>
      </c>
    </row>
    <row r="609" spans="1:11" hidden="1" x14ac:dyDescent="0.25">
      <c r="A609" s="12" t="s">
        <v>59</v>
      </c>
      <c r="B609" s="12" t="s">
        <v>37</v>
      </c>
      <c r="C609" s="12" t="s">
        <v>15</v>
      </c>
      <c r="D609" s="12">
        <v>4.4391855041263009</v>
      </c>
      <c r="E609" s="12">
        <v>10.45</v>
      </c>
      <c r="F609" s="12">
        <v>20</v>
      </c>
      <c r="G609" s="12">
        <v>10.45</v>
      </c>
      <c r="H609" s="12">
        <v>4.8685968137254898</v>
      </c>
      <c r="I609" s="12" t="s">
        <v>128</v>
      </c>
      <c r="J609" s="12">
        <v>46315</v>
      </c>
      <c r="K609">
        <v>46315</v>
      </c>
    </row>
    <row r="610" spans="1:11" hidden="1" x14ac:dyDescent="0.25">
      <c r="A610" s="12" t="s">
        <v>59</v>
      </c>
      <c r="B610" s="12" t="s">
        <v>57</v>
      </c>
      <c r="C610" s="12" t="s">
        <v>15</v>
      </c>
      <c r="D610" s="12">
        <v>0</v>
      </c>
      <c r="E610" s="12">
        <v>0</v>
      </c>
      <c r="F610" s="12">
        <v>18</v>
      </c>
      <c r="G610" s="12">
        <v>0</v>
      </c>
      <c r="H610" s="12">
        <v>0</v>
      </c>
      <c r="I610" s="12" t="s">
        <v>128</v>
      </c>
      <c r="J610" s="12">
        <v>46315</v>
      </c>
      <c r="K610">
        <v>46315</v>
      </c>
    </row>
    <row r="611" spans="1:11" hidden="1" x14ac:dyDescent="0.25">
      <c r="A611" s="12" t="s">
        <v>59</v>
      </c>
      <c r="B611" s="12" t="s">
        <v>57</v>
      </c>
      <c r="C611" s="12" t="s">
        <v>14</v>
      </c>
      <c r="D611" s="12">
        <v>1.4293352706784377</v>
      </c>
      <c r="E611" s="12">
        <v>0.95</v>
      </c>
      <c r="F611" s="12">
        <v>18</v>
      </c>
      <c r="G611" s="12">
        <v>0.95</v>
      </c>
      <c r="H611" s="12">
        <v>0.82352941176470595</v>
      </c>
      <c r="I611" s="12" t="s">
        <v>129</v>
      </c>
      <c r="J611" s="12">
        <v>46315</v>
      </c>
      <c r="K611">
        <v>46315</v>
      </c>
    </row>
    <row r="612" spans="1:11" hidden="1" x14ac:dyDescent="0.25">
      <c r="A612" s="12" t="s">
        <v>59</v>
      </c>
      <c r="B612" s="12" t="s">
        <v>148</v>
      </c>
      <c r="C612" s="12" t="s">
        <v>14</v>
      </c>
      <c r="D612" s="12">
        <v>0.58823529411764719</v>
      </c>
      <c r="E612" s="12">
        <v>8.5499999999999989</v>
      </c>
      <c r="F612" s="12">
        <v>20</v>
      </c>
      <c r="G612" s="12">
        <v>8.5499999999999989</v>
      </c>
      <c r="H612" s="12">
        <v>1.7680734058329213</v>
      </c>
      <c r="I612" s="12" t="s">
        <v>129</v>
      </c>
      <c r="J612" s="12">
        <v>46315</v>
      </c>
      <c r="K612">
        <v>46315</v>
      </c>
    </row>
    <row r="613" spans="1:11" hidden="1" x14ac:dyDescent="0.25">
      <c r="A613" s="12" t="s">
        <v>59</v>
      </c>
      <c r="B613" s="12" t="s">
        <v>38</v>
      </c>
      <c r="C613" s="12" t="s">
        <v>14</v>
      </c>
      <c r="D613" s="12">
        <v>2.4372947976878616</v>
      </c>
      <c r="E613" s="12">
        <v>3.8</v>
      </c>
      <c r="F613" s="12">
        <v>20</v>
      </c>
      <c r="G613" s="12">
        <v>3.8</v>
      </c>
      <c r="H613" s="12">
        <v>1.9930795847750864</v>
      </c>
      <c r="I613" s="12" t="s">
        <v>129</v>
      </c>
      <c r="J613" s="12">
        <v>46315</v>
      </c>
      <c r="K613">
        <v>46315</v>
      </c>
    </row>
    <row r="614" spans="1:11" hidden="1" x14ac:dyDescent="0.25">
      <c r="A614" s="12" t="s">
        <v>59</v>
      </c>
      <c r="B614" s="12" t="s">
        <v>37</v>
      </c>
      <c r="C614" s="12" t="s">
        <v>14</v>
      </c>
      <c r="D614" s="12">
        <v>8.0022159745434642</v>
      </c>
      <c r="E614" s="12">
        <v>17.099999999999998</v>
      </c>
      <c r="F614" s="12">
        <v>20</v>
      </c>
      <c r="G614" s="12">
        <v>17.099999999999998</v>
      </c>
      <c r="H614" s="12">
        <v>9.1511642156862738</v>
      </c>
      <c r="I614" s="12" t="s">
        <v>130</v>
      </c>
      <c r="J614" s="12">
        <v>46316</v>
      </c>
      <c r="K614">
        <v>46316</v>
      </c>
    </row>
    <row r="615" spans="1:11" hidden="1" x14ac:dyDescent="0.25">
      <c r="A615" s="12" t="s">
        <v>59</v>
      </c>
      <c r="B615" s="12" t="s">
        <v>57</v>
      </c>
      <c r="C615" s="12" t="s">
        <v>14</v>
      </c>
      <c r="D615" s="12">
        <v>1.5942585711413342</v>
      </c>
      <c r="E615" s="12">
        <v>1.9</v>
      </c>
      <c r="F615" s="12">
        <v>18</v>
      </c>
      <c r="G615" s="12">
        <v>1.9</v>
      </c>
      <c r="H615" s="12">
        <v>0.93425605536332179</v>
      </c>
      <c r="I615" s="12" t="s">
        <v>130</v>
      </c>
      <c r="J615" s="12">
        <v>46316</v>
      </c>
      <c r="K615">
        <v>46316</v>
      </c>
    </row>
    <row r="616" spans="1:11" hidden="1" x14ac:dyDescent="0.25">
      <c r="A616" s="12" t="s">
        <v>59</v>
      </c>
      <c r="B616" s="12" t="s">
        <v>148</v>
      </c>
      <c r="C616" s="12" t="s">
        <v>15</v>
      </c>
      <c r="D616" s="12">
        <v>0</v>
      </c>
      <c r="E616" s="12">
        <v>5.6999999999999993</v>
      </c>
      <c r="F616" s="12">
        <v>20</v>
      </c>
      <c r="G616" s="12">
        <v>5.6999999999999993</v>
      </c>
      <c r="H616" s="12">
        <v>0</v>
      </c>
      <c r="I616" s="12" t="s">
        <v>131</v>
      </c>
      <c r="J616" s="12">
        <v>46316</v>
      </c>
      <c r="K616">
        <v>46316</v>
      </c>
    </row>
    <row r="617" spans="1:11" hidden="1" x14ac:dyDescent="0.25">
      <c r="A617" s="12" t="s">
        <v>59</v>
      </c>
      <c r="B617" s="12" t="s">
        <v>38</v>
      </c>
      <c r="C617" s="12" t="s">
        <v>14</v>
      </c>
      <c r="D617" s="12">
        <v>2.4372947976878616</v>
      </c>
      <c r="E617" s="12">
        <v>3.8</v>
      </c>
      <c r="F617" s="12">
        <v>20</v>
      </c>
      <c r="G617" s="12">
        <v>3.8</v>
      </c>
      <c r="H617" s="12">
        <v>2.0490196078431371</v>
      </c>
      <c r="I617" s="12" t="s">
        <v>130</v>
      </c>
      <c r="J617" s="12">
        <v>46316</v>
      </c>
      <c r="K617">
        <v>46316</v>
      </c>
    </row>
    <row r="618" spans="1:11" hidden="1" x14ac:dyDescent="0.25">
      <c r="A618" s="12" t="s">
        <v>59</v>
      </c>
      <c r="B618" s="12" t="s">
        <v>148</v>
      </c>
      <c r="C618" s="12" t="s">
        <v>14</v>
      </c>
      <c r="D618" s="12">
        <v>0.58823529411764719</v>
      </c>
      <c r="E618" s="12">
        <v>7.6</v>
      </c>
      <c r="F618" s="12">
        <v>20</v>
      </c>
      <c r="G618" s="12">
        <v>7.6</v>
      </c>
      <c r="H618" s="12">
        <v>1.7129901960784313</v>
      </c>
      <c r="I618" s="12" t="s">
        <v>130</v>
      </c>
      <c r="J618" s="12">
        <v>46316</v>
      </c>
      <c r="K618">
        <v>46316</v>
      </c>
    </row>
    <row r="619" spans="1:11" hidden="1" x14ac:dyDescent="0.25">
      <c r="A619" s="12" t="s">
        <v>59</v>
      </c>
      <c r="B619" s="12" t="s">
        <v>57</v>
      </c>
      <c r="C619" s="12" t="s">
        <v>15</v>
      </c>
      <c r="D619" s="12">
        <v>0</v>
      </c>
      <c r="E619" s="12">
        <v>0</v>
      </c>
      <c r="F619" s="12">
        <v>18</v>
      </c>
      <c r="G619" s="12">
        <v>0</v>
      </c>
      <c r="H619" s="12">
        <v>0</v>
      </c>
      <c r="I619" s="12" t="s">
        <v>131</v>
      </c>
      <c r="J619" s="12">
        <v>46316</v>
      </c>
      <c r="K619">
        <v>46316</v>
      </c>
    </row>
    <row r="620" spans="1:11" x14ac:dyDescent="0.25">
      <c r="A620" s="12" t="s">
        <v>59</v>
      </c>
      <c r="B620" s="12" t="s">
        <v>148</v>
      </c>
      <c r="C620" s="12" t="s">
        <v>13</v>
      </c>
      <c r="D620" s="12">
        <v>12.25</v>
      </c>
      <c r="E620" s="12">
        <v>7.6</v>
      </c>
      <c r="F620" s="12">
        <v>20</v>
      </c>
      <c r="G620" s="12">
        <v>7.6</v>
      </c>
      <c r="H620" s="12">
        <v>5.8674479166666682</v>
      </c>
      <c r="I620" s="12" t="s">
        <v>132</v>
      </c>
      <c r="J620" s="12">
        <v>46316</v>
      </c>
      <c r="K620">
        <v>46316</v>
      </c>
    </row>
    <row r="621" spans="1:11" hidden="1" x14ac:dyDescent="0.25">
      <c r="A621" s="12" t="s">
        <v>59</v>
      </c>
      <c r="B621" s="12" t="s">
        <v>38</v>
      </c>
      <c r="C621" s="12" t="s">
        <v>15</v>
      </c>
      <c r="D621" s="12">
        <v>2.7622674373795766</v>
      </c>
      <c r="E621" s="12">
        <v>3.8</v>
      </c>
      <c r="F621" s="12">
        <v>20</v>
      </c>
      <c r="G621" s="12">
        <v>3.8</v>
      </c>
      <c r="H621" s="12">
        <v>2.0078431372549019</v>
      </c>
      <c r="I621" s="12" t="s">
        <v>131</v>
      </c>
      <c r="J621" s="12">
        <v>46316</v>
      </c>
      <c r="K621">
        <v>46316</v>
      </c>
    </row>
    <row r="622" spans="1:11" x14ac:dyDescent="0.25">
      <c r="A622" s="12" t="s">
        <v>59</v>
      </c>
      <c r="B622" s="12" t="s">
        <v>38</v>
      </c>
      <c r="C622" s="12" t="s">
        <v>13</v>
      </c>
      <c r="D622" s="12">
        <v>3.884438583815029</v>
      </c>
      <c r="E622" s="12">
        <v>3.8</v>
      </c>
      <c r="F622" s="12">
        <v>20</v>
      </c>
      <c r="G622" s="12">
        <v>3.8</v>
      </c>
      <c r="H622" s="12">
        <v>2.0030637254901964</v>
      </c>
      <c r="I622" s="12" t="s">
        <v>132</v>
      </c>
      <c r="J622" s="12">
        <v>46316</v>
      </c>
      <c r="K622">
        <v>46316</v>
      </c>
    </row>
    <row r="623" spans="1:11" x14ac:dyDescent="0.25">
      <c r="A623" s="12" t="s">
        <v>59</v>
      </c>
      <c r="B623" s="12" t="s">
        <v>57</v>
      </c>
      <c r="C623" s="12" t="s">
        <v>13</v>
      </c>
      <c r="D623" s="12">
        <v>1.6354893962570578</v>
      </c>
      <c r="E623" s="12">
        <v>1.9</v>
      </c>
      <c r="F623" s="12">
        <v>18</v>
      </c>
      <c r="G623" s="12">
        <v>1.9</v>
      </c>
      <c r="H623" s="12">
        <v>1.6323529411764706</v>
      </c>
      <c r="I623" s="12" t="s">
        <v>132</v>
      </c>
      <c r="J623" s="12">
        <v>46316</v>
      </c>
      <c r="K623">
        <v>46316</v>
      </c>
    </row>
    <row r="624" spans="1:11" x14ac:dyDescent="0.25">
      <c r="A624" s="12" t="s">
        <v>59</v>
      </c>
      <c r="B624" s="12" t="s">
        <v>37</v>
      </c>
      <c r="C624" s="12" t="s">
        <v>13</v>
      </c>
      <c r="D624" s="12">
        <v>9.929757048703566</v>
      </c>
      <c r="E624" s="12">
        <v>19</v>
      </c>
      <c r="F624" s="12">
        <v>20</v>
      </c>
      <c r="G624" s="12">
        <v>19</v>
      </c>
      <c r="H624" s="12">
        <v>10.914751838235295</v>
      </c>
      <c r="I624" s="12" t="s">
        <v>132</v>
      </c>
      <c r="J624" s="12">
        <v>46316</v>
      </c>
      <c r="K624">
        <v>46316</v>
      </c>
    </row>
    <row r="625" spans="1:11" hidden="1" x14ac:dyDescent="0.25">
      <c r="A625" s="12" t="s">
        <v>59</v>
      </c>
      <c r="B625" s="12" t="s">
        <v>37</v>
      </c>
      <c r="C625" s="12" t="s">
        <v>15</v>
      </c>
      <c r="D625" s="12">
        <v>4.4391855041263009</v>
      </c>
      <c r="E625" s="12">
        <v>9.5</v>
      </c>
      <c r="F625" s="12">
        <v>20</v>
      </c>
      <c r="G625" s="12">
        <v>9.5</v>
      </c>
      <c r="H625" s="12">
        <v>4.8090839460784309</v>
      </c>
      <c r="I625" s="12" t="s">
        <v>131</v>
      </c>
      <c r="J625" s="12">
        <v>46316</v>
      </c>
      <c r="K625">
        <v>46316</v>
      </c>
    </row>
    <row r="626" spans="1:11" hidden="1" x14ac:dyDescent="0.25">
      <c r="A626" s="12" t="s">
        <v>59</v>
      </c>
      <c r="B626" s="12" t="s">
        <v>38</v>
      </c>
      <c r="C626" s="12" t="s">
        <v>14</v>
      </c>
      <c r="D626" s="12">
        <v>2.4372947976878616</v>
      </c>
      <c r="E626" s="12">
        <v>3.8</v>
      </c>
      <c r="F626" s="12">
        <v>20</v>
      </c>
      <c r="G626" s="12">
        <v>3.8</v>
      </c>
      <c r="H626" s="12">
        <v>2.1049596309111882</v>
      </c>
      <c r="I626" s="12" t="s">
        <v>135</v>
      </c>
      <c r="J626" s="12">
        <v>46317</v>
      </c>
      <c r="K626">
        <v>46317</v>
      </c>
    </row>
    <row r="627" spans="1:11" hidden="1" x14ac:dyDescent="0.25">
      <c r="A627" s="12" t="s">
        <v>59</v>
      </c>
      <c r="B627" s="12" t="s">
        <v>148</v>
      </c>
      <c r="C627" s="12" t="s">
        <v>15</v>
      </c>
      <c r="D627" s="12">
        <v>0</v>
      </c>
      <c r="E627" s="12">
        <v>6.6499999999999995</v>
      </c>
      <c r="F627" s="12">
        <v>20</v>
      </c>
      <c r="G627" s="12">
        <v>6.6499999999999995</v>
      </c>
      <c r="H627" s="12">
        <v>0</v>
      </c>
      <c r="I627" s="12" t="s">
        <v>134</v>
      </c>
      <c r="J627" s="12">
        <v>46317</v>
      </c>
      <c r="K627">
        <v>46317</v>
      </c>
    </row>
    <row r="628" spans="1:11" hidden="1" x14ac:dyDescent="0.25">
      <c r="A628" s="12" t="s">
        <v>59</v>
      </c>
      <c r="B628" s="12" t="s">
        <v>37</v>
      </c>
      <c r="C628" s="12" t="s">
        <v>14</v>
      </c>
      <c r="D628" s="12">
        <v>7.9438056389628562</v>
      </c>
      <c r="E628" s="12">
        <v>19</v>
      </c>
      <c r="F628" s="12">
        <v>20</v>
      </c>
      <c r="G628" s="12">
        <v>19</v>
      </c>
      <c r="H628" s="12">
        <v>9.8012101715686235</v>
      </c>
      <c r="I628" s="12" t="s">
        <v>135</v>
      </c>
      <c r="J628" s="12">
        <v>46317</v>
      </c>
      <c r="K628">
        <v>46317</v>
      </c>
    </row>
    <row r="629" spans="1:11" hidden="1" x14ac:dyDescent="0.25">
      <c r="A629" s="12" t="s">
        <v>59</v>
      </c>
      <c r="B629" s="12" t="s">
        <v>148</v>
      </c>
      <c r="C629" s="12" t="s">
        <v>14</v>
      </c>
      <c r="D629" s="12">
        <v>0.58823529411764719</v>
      </c>
      <c r="E629" s="12">
        <v>8.5499999999999989</v>
      </c>
      <c r="F629" s="12">
        <v>20</v>
      </c>
      <c r="G629" s="12">
        <v>8.5499999999999989</v>
      </c>
      <c r="H629" s="12">
        <v>1.7684800200915278</v>
      </c>
      <c r="I629" s="12" t="s">
        <v>135</v>
      </c>
      <c r="J629" s="12">
        <v>46317</v>
      </c>
      <c r="K629">
        <v>46317</v>
      </c>
    </row>
    <row r="630" spans="1:11" hidden="1" x14ac:dyDescent="0.25">
      <c r="A630" s="12" t="s">
        <v>59</v>
      </c>
      <c r="B630" s="12" t="s">
        <v>57</v>
      </c>
      <c r="C630" s="12" t="s">
        <v>14</v>
      </c>
      <c r="D630" s="12">
        <v>0.65969320185158653</v>
      </c>
      <c r="E630" s="12">
        <v>1.9</v>
      </c>
      <c r="F630" s="12">
        <v>18</v>
      </c>
      <c r="G630" s="12">
        <v>1.9</v>
      </c>
      <c r="H630" s="12">
        <v>0.22145328719723184</v>
      </c>
      <c r="I630" s="12" t="s">
        <v>135</v>
      </c>
      <c r="J630" s="12">
        <v>46317</v>
      </c>
      <c r="K630">
        <v>46317</v>
      </c>
    </row>
    <row r="631" spans="1:11" hidden="1" x14ac:dyDescent="0.25">
      <c r="A631" s="12" t="s">
        <v>59</v>
      </c>
      <c r="B631" s="12" t="s">
        <v>57</v>
      </c>
      <c r="C631" s="12" t="s">
        <v>15</v>
      </c>
      <c r="D631" s="12">
        <v>0</v>
      </c>
      <c r="E631" s="12">
        <v>0</v>
      </c>
      <c r="F631" s="12">
        <v>18</v>
      </c>
      <c r="G631" s="12">
        <v>0</v>
      </c>
      <c r="H631" s="12">
        <v>0</v>
      </c>
      <c r="I631" s="12" t="s">
        <v>134</v>
      </c>
      <c r="J631" s="12">
        <v>46317</v>
      </c>
      <c r="K631">
        <v>46317</v>
      </c>
    </row>
    <row r="632" spans="1:11" hidden="1" x14ac:dyDescent="0.25">
      <c r="A632" s="12" t="s">
        <v>59</v>
      </c>
      <c r="B632" s="12" t="s">
        <v>37</v>
      </c>
      <c r="C632" s="12" t="s">
        <v>15</v>
      </c>
      <c r="D632" s="12">
        <v>4.4391855041263009</v>
      </c>
      <c r="E632" s="12">
        <v>10.45</v>
      </c>
      <c r="F632" s="12">
        <v>20</v>
      </c>
      <c r="G632" s="12">
        <v>10.45</v>
      </c>
      <c r="H632" s="12">
        <v>4.9862438725490197</v>
      </c>
      <c r="I632" s="12" t="s">
        <v>134</v>
      </c>
      <c r="J632" s="12">
        <v>46317</v>
      </c>
      <c r="K632">
        <v>46317</v>
      </c>
    </row>
    <row r="633" spans="1:11" x14ac:dyDescent="0.25">
      <c r="A633" s="12" t="s">
        <v>59</v>
      </c>
      <c r="B633" s="12" t="s">
        <v>148</v>
      </c>
      <c r="C633" s="12" t="s">
        <v>13</v>
      </c>
      <c r="D633" s="12">
        <v>12.25</v>
      </c>
      <c r="E633" s="12">
        <v>8.5499999999999989</v>
      </c>
      <c r="F633" s="12">
        <v>20</v>
      </c>
      <c r="G633" s="12">
        <v>8.5499999999999989</v>
      </c>
      <c r="H633" s="12">
        <v>7.6875222367172675</v>
      </c>
      <c r="I633" s="12" t="s">
        <v>133</v>
      </c>
      <c r="J633" s="12">
        <v>46317</v>
      </c>
      <c r="K633">
        <v>46317</v>
      </c>
    </row>
    <row r="634" spans="1:11" x14ac:dyDescent="0.25">
      <c r="A634" s="12" t="s">
        <v>59</v>
      </c>
      <c r="B634" s="12" t="s">
        <v>37</v>
      </c>
      <c r="C634" s="12" t="s">
        <v>13</v>
      </c>
      <c r="D634" s="12">
        <v>10.864322417993312</v>
      </c>
      <c r="E634" s="12">
        <v>17.099999999999998</v>
      </c>
      <c r="F634" s="12">
        <v>20</v>
      </c>
      <c r="G634" s="12">
        <v>17.099999999999998</v>
      </c>
      <c r="H634" s="12">
        <v>10.212545955882351</v>
      </c>
      <c r="I634" s="12" t="s">
        <v>133</v>
      </c>
      <c r="J634" s="12">
        <v>46317</v>
      </c>
      <c r="K634">
        <v>46317</v>
      </c>
    </row>
    <row r="635" spans="1:11" x14ac:dyDescent="0.25">
      <c r="A635" s="12" t="s">
        <v>59</v>
      </c>
      <c r="B635" s="12" t="s">
        <v>38</v>
      </c>
      <c r="C635" s="12" t="s">
        <v>13</v>
      </c>
      <c r="D635" s="12">
        <v>2.5134602601156062</v>
      </c>
      <c r="E635" s="12">
        <v>2.8499999999999996</v>
      </c>
      <c r="F635" s="12">
        <v>20</v>
      </c>
      <c r="G635" s="12">
        <v>2.8499999999999996</v>
      </c>
      <c r="H635" s="12">
        <v>2.0061274509803924</v>
      </c>
      <c r="I635" s="12" t="s">
        <v>133</v>
      </c>
      <c r="J635" s="12">
        <v>46317</v>
      </c>
      <c r="K635">
        <v>46317</v>
      </c>
    </row>
    <row r="636" spans="1:11" x14ac:dyDescent="0.25">
      <c r="A636" s="12" t="s">
        <v>59</v>
      </c>
      <c r="B636" s="12" t="s">
        <v>57</v>
      </c>
      <c r="C636" s="12" t="s">
        <v>13</v>
      </c>
      <c r="D636" s="12">
        <v>0.93456536928974765</v>
      </c>
      <c r="E636" s="12">
        <v>1.9</v>
      </c>
      <c r="F636" s="12">
        <v>18</v>
      </c>
      <c r="G636" s="12">
        <v>1.9</v>
      </c>
      <c r="H636" s="12">
        <v>1.7647058823529411</v>
      </c>
      <c r="I636" s="12" t="s">
        <v>133</v>
      </c>
      <c r="J636" s="12">
        <v>46317</v>
      </c>
      <c r="K636">
        <v>46317</v>
      </c>
    </row>
    <row r="637" spans="1:11" hidden="1" x14ac:dyDescent="0.25">
      <c r="A637" s="12" t="s">
        <v>59</v>
      </c>
      <c r="B637" s="12" t="s">
        <v>38</v>
      </c>
      <c r="C637" s="12" t="s">
        <v>15</v>
      </c>
      <c r="D637" s="12">
        <v>2.7622674373795766</v>
      </c>
      <c r="E637" s="12">
        <v>3.8</v>
      </c>
      <c r="F637" s="12">
        <v>20</v>
      </c>
      <c r="G637" s="12">
        <v>3.8</v>
      </c>
      <c r="H637" s="12">
        <v>2.0078431372549019</v>
      </c>
      <c r="I637" s="12" t="s">
        <v>134</v>
      </c>
      <c r="J637" s="12">
        <v>46317</v>
      </c>
      <c r="K637">
        <v>46317</v>
      </c>
    </row>
    <row r="638" spans="1:11" x14ac:dyDescent="0.25">
      <c r="A638" s="12" t="s">
        <v>59</v>
      </c>
      <c r="B638" s="12" t="s">
        <v>148</v>
      </c>
      <c r="C638" s="12" t="s">
        <v>13</v>
      </c>
      <c r="D638" s="12">
        <v>11.5</v>
      </c>
      <c r="E638" s="12">
        <v>8.5499999999999989</v>
      </c>
      <c r="F638" s="12">
        <v>20</v>
      </c>
      <c r="G638" s="12">
        <v>8.5499999999999989</v>
      </c>
      <c r="H638" s="12">
        <v>6.6027420343137244</v>
      </c>
      <c r="I638" s="12" t="s">
        <v>136</v>
      </c>
      <c r="J638" s="12">
        <v>46318</v>
      </c>
      <c r="K638">
        <v>46318</v>
      </c>
    </row>
    <row r="639" spans="1:11" x14ac:dyDescent="0.25">
      <c r="A639" s="12" t="s">
        <v>59</v>
      </c>
      <c r="B639" s="12" t="s">
        <v>57</v>
      </c>
      <c r="C639" s="12" t="s">
        <v>13</v>
      </c>
      <c r="D639" s="12">
        <v>1.8691307385794949</v>
      </c>
      <c r="E639" s="12">
        <v>1.9</v>
      </c>
      <c r="F639" s="12">
        <v>18</v>
      </c>
      <c r="G639" s="12">
        <v>1.9</v>
      </c>
      <c r="H639" s="12">
        <v>1.7647058823529411</v>
      </c>
      <c r="I639" s="12" t="s">
        <v>136</v>
      </c>
      <c r="J639" s="12">
        <v>46318</v>
      </c>
      <c r="K639">
        <v>46318</v>
      </c>
    </row>
    <row r="640" spans="1:11" x14ac:dyDescent="0.25">
      <c r="A640" s="12" t="s">
        <v>59</v>
      </c>
      <c r="B640" s="12" t="s">
        <v>37</v>
      </c>
      <c r="C640" s="12" t="s">
        <v>13</v>
      </c>
      <c r="D640" s="12">
        <v>9.9297570487035642</v>
      </c>
      <c r="E640" s="12">
        <v>16.149999999999999</v>
      </c>
      <c r="F640" s="12">
        <v>20</v>
      </c>
      <c r="G640" s="12">
        <v>16.149999999999999</v>
      </c>
      <c r="H640" s="12">
        <v>10.212545955882341</v>
      </c>
      <c r="I640" s="12" t="s">
        <v>136</v>
      </c>
      <c r="J640" s="12">
        <v>46318</v>
      </c>
      <c r="K640">
        <v>46318</v>
      </c>
    </row>
    <row r="641" spans="1:11" x14ac:dyDescent="0.25">
      <c r="A641" s="12" t="s">
        <v>59</v>
      </c>
      <c r="B641" s="12" t="s">
        <v>38</v>
      </c>
      <c r="C641" s="12" t="s">
        <v>13</v>
      </c>
      <c r="D641" s="12">
        <v>3.7321076589595377</v>
      </c>
      <c r="E641" s="12">
        <v>4.75</v>
      </c>
      <c r="F641" s="12">
        <v>20</v>
      </c>
      <c r="G641" s="12">
        <v>4.75</v>
      </c>
      <c r="H641" s="12">
        <v>2.628063725490196</v>
      </c>
      <c r="I641" s="12" t="s">
        <v>136</v>
      </c>
      <c r="J641" s="12">
        <v>46318</v>
      </c>
      <c r="K641">
        <v>46318</v>
      </c>
    </row>
    <row r="642" spans="1:11" hidden="1" x14ac:dyDescent="0.25">
      <c r="A642" s="12" t="s">
        <v>59</v>
      </c>
      <c r="B642" s="12" t="s">
        <v>38</v>
      </c>
      <c r="C642" s="12" t="s">
        <v>15</v>
      </c>
      <c r="D642" s="12">
        <v>2.7622674373795766</v>
      </c>
      <c r="E642" s="12">
        <v>3.8</v>
      </c>
      <c r="F642" s="12">
        <v>20</v>
      </c>
      <c r="G642" s="12">
        <v>3.8</v>
      </c>
      <c r="H642" s="12">
        <v>2.0078431372549019</v>
      </c>
      <c r="I642" s="12" t="s">
        <v>137</v>
      </c>
      <c r="J642" s="12">
        <v>46318</v>
      </c>
      <c r="K642">
        <v>46318</v>
      </c>
    </row>
    <row r="643" spans="1:11" hidden="1" x14ac:dyDescent="0.25">
      <c r="A643" s="12" t="s">
        <v>59</v>
      </c>
      <c r="B643" s="12" t="s">
        <v>148</v>
      </c>
      <c r="C643" s="12" t="s">
        <v>15</v>
      </c>
      <c r="D643" s="12">
        <v>0</v>
      </c>
      <c r="E643" s="12">
        <v>5.6999999999999993</v>
      </c>
      <c r="F643" s="12">
        <v>20</v>
      </c>
      <c r="G643" s="12">
        <v>5.6999999999999993</v>
      </c>
      <c r="H643" s="12">
        <v>0</v>
      </c>
      <c r="I643" s="12" t="s">
        <v>137</v>
      </c>
      <c r="J643" s="12">
        <v>46318</v>
      </c>
      <c r="K643">
        <v>46318</v>
      </c>
    </row>
    <row r="644" spans="1:11" hidden="1" x14ac:dyDescent="0.25">
      <c r="A644" s="12" t="s">
        <v>59</v>
      </c>
      <c r="B644" s="12" t="s">
        <v>37</v>
      </c>
      <c r="C644" s="12" t="s">
        <v>15</v>
      </c>
      <c r="D644" s="12">
        <v>4.4391855041263009</v>
      </c>
      <c r="E644" s="12">
        <v>10.45</v>
      </c>
      <c r="F644" s="12">
        <v>20</v>
      </c>
      <c r="G644" s="12">
        <v>10.45</v>
      </c>
      <c r="H644" s="12">
        <v>4.9862438725490197</v>
      </c>
      <c r="I644" s="12" t="s">
        <v>137</v>
      </c>
      <c r="J644" s="12">
        <v>46318</v>
      </c>
      <c r="K644">
        <v>46318</v>
      </c>
    </row>
    <row r="645" spans="1:11" hidden="1" x14ac:dyDescent="0.25">
      <c r="A645" s="12" t="s">
        <v>59</v>
      </c>
      <c r="B645" s="12" t="s">
        <v>57</v>
      </c>
      <c r="C645" s="12" t="s">
        <v>14</v>
      </c>
      <c r="D645" s="12">
        <v>0.65969320185158653</v>
      </c>
      <c r="E645" s="12">
        <v>2.8499999999999996</v>
      </c>
      <c r="F645" s="12">
        <v>18</v>
      </c>
      <c r="G645" s="12">
        <v>2.8499999999999996</v>
      </c>
      <c r="H645" s="12">
        <v>0.92733564013840852</v>
      </c>
      <c r="I645" s="12" t="s">
        <v>138</v>
      </c>
      <c r="J645" s="12">
        <v>46318</v>
      </c>
      <c r="K645">
        <v>46318</v>
      </c>
    </row>
    <row r="646" spans="1:11" hidden="1" x14ac:dyDescent="0.25">
      <c r="A646" s="12" t="s">
        <v>59</v>
      </c>
      <c r="B646" s="12" t="s">
        <v>38</v>
      </c>
      <c r="C646" s="12" t="s">
        <v>14</v>
      </c>
      <c r="D646" s="12">
        <v>2.4372947976878616</v>
      </c>
      <c r="E646" s="12">
        <v>3.8</v>
      </c>
      <c r="F646" s="12">
        <v>20</v>
      </c>
      <c r="G646" s="12">
        <v>3.8</v>
      </c>
      <c r="H646" s="12">
        <v>2.0490196078431375</v>
      </c>
      <c r="I646" s="12" t="s">
        <v>138</v>
      </c>
      <c r="J646" s="12">
        <v>46318</v>
      </c>
      <c r="K646">
        <v>46318</v>
      </c>
    </row>
    <row r="647" spans="1:11" hidden="1" x14ac:dyDescent="0.25">
      <c r="A647" s="12" t="s">
        <v>59</v>
      </c>
      <c r="B647" s="12" t="s">
        <v>148</v>
      </c>
      <c r="C647" s="12" t="s">
        <v>14</v>
      </c>
      <c r="D647" s="12">
        <v>0.58823529411764719</v>
      </c>
      <c r="E647" s="12">
        <v>6.6499999999999995</v>
      </c>
      <c r="F647" s="12">
        <v>20</v>
      </c>
      <c r="G647" s="12">
        <v>6.6499999999999995</v>
      </c>
      <c r="H647" s="12">
        <v>1.4915369088811996</v>
      </c>
      <c r="I647" s="12" t="s">
        <v>138</v>
      </c>
      <c r="J647" s="12">
        <v>46318</v>
      </c>
      <c r="K647">
        <v>46318</v>
      </c>
    </row>
    <row r="648" spans="1:11" hidden="1" x14ac:dyDescent="0.25">
      <c r="A648" s="12" t="s">
        <v>59</v>
      </c>
      <c r="B648" s="12" t="s">
        <v>37</v>
      </c>
      <c r="C648" s="12" t="s">
        <v>14</v>
      </c>
      <c r="D648" s="12">
        <v>8.9951916794138196</v>
      </c>
      <c r="E648" s="12">
        <v>19</v>
      </c>
      <c r="F648" s="12">
        <v>20</v>
      </c>
      <c r="G648" s="12">
        <v>19</v>
      </c>
      <c r="H648" s="12">
        <v>9.92621017156862</v>
      </c>
      <c r="I648" s="12" t="s">
        <v>138</v>
      </c>
      <c r="J648" s="12">
        <v>46318</v>
      </c>
      <c r="K648">
        <v>46318</v>
      </c>
    </row>
    <row r="649" spans="1:11" hidden="1" x14ac:dyDescent="0.25">
      <c r="A649" s="12" t="s">
        <v>59</v>
      </c>
      <c r="B649" s="12" t="s">
        <v>57</v>
      </c>
      <c r="C649" s="12" t="s">
        <v>15</v>
      </c>
      <c r="D649" s="12">
        <v>0</v>
      </c>
      <c r="E649" s="12">
        <v>0</v>
      </c>
      <c r="F649" s="12">
        <v>18</v>
      </c>
      <c r="G649" s="12">
        <v>0</v>
      </c>
      <c r="H649" s="12">
        <v>0</v>
      </c>
      <c r="I649" s="12" t="s">
        <v>137</v>
      </c>
      <c r="J649" s="12">
        <v>46318</v>
      </c>
      <c r="K649">
        <v>46318</v>
      </c>
    </row>
    <row r="650" spans="1:11" hidden="1" x14ac:dyDescent="0.25">
      <c r="A650" s="12" t="s">
        <v>59</v>
      </c>
      <c r="B650" s="12" t="s">
        <v>148</v>
      </c>
      <c r="C650" s="12" t="s">
        <v>14</v>
      </c>
      <c r="D650" s="12">
        <v>1.0588235294117647</v>
      </c>
      <c r="E650" s="12">
        <v>0.95</v>
      </c>
      <c r="F650" s="12">
        <v>20</v>
      </c>
      <c r="G650" s="12">
        <v>0.95</v>
      </c>
      <c r="H650" s="12">
        <v>0.60899653979238744</v>
      </c>
      <c r="I650" s="12" t="s">
        <v>140</v>
      </c>
      <c r="J650" s="12">
        <v>46319</v>
      </c>
      <c r="K650">
        <v>46319</v>
      </c>
    </row>
    <row r="651" spans="1:11" hidden="1" x14ac:dyDescent="0.25">
      <c r="A651" s="12" t="s">
        <v>59</v>
      </c>
      <c r="B651" s="12" t="s">
        <v>57</v>
      </c>
      <c r="C651" s="12" t="s">
        <v>14</v>
      </c>
      <c r="D651" s="12">
        <v>0.65969320185158642</v>
      </c>
      <c r="E651" s="12">
        <v>0.95</v>
      </c>
      <c r="F651" s="12">
        <v>18</v>
      </c>
      <c r="G651" s="12">
        <v>0.95</v>
      </c>
      <c r="H651" s="12">
        <v>0.22145328719723184</v>
      </c>
      <c r="I651" s="12" t="s">
        <v>140</v>
      </c>
      <c r="J651" s="12">
        <v>46319</v>
      </c>
      <c r="K651">
        <v>46319</v>
      </c>
    </row>
    <row r="652" spans="1:11" hidden="1" x14ac:dyDescent="0.25">
      <c r="A652" s="12" t="s">
        <v>59</v>
      </c>
      <c r="B652" s="12" t="s">
        <v>37</v>
      </c>
      <c r="C652" s="12" t="s">
        <v>14</v>
      </c>
      <c r="D652" s="12">
        <v>8.8783710082525999</v>
      </c>
      <c r="E652" s="12">
        <v>19.95</v>
      </c>
      <c r="F652" s="12">
        <v>20</v>
      </c>
      <c r="G652" s="12">
        <v>19.95</v>
      </c>
      <c r="H652" s="12">
        <v>10.393466605392153</v>
      </c>
      <c r="I652" s="12" t="s">
        <v>140</v>
      </c>
      <c r="J652" s="12">
        <v>46319</v>
      </c>
      <c r="K652">
        <v>46319</v>
      </c>
    </row>
    <row r="653" spans="1:11" hidden="1" x14ac:dyDescent="0.25">
      <c r="A653" s="12" t="s">
        <v>59</v>
      </c>
      <c r="B653" s="12" t="s">
        <v>38</v>
      </c>
      <c r="C653" s="12" t="s">
        <v>14</v>
      </c>
      <c r="D653" s="12">
        <v>2.4372947976878612</v>
      </c>
      <c r="E653" s="12">
        <v>2.8499999999999996</v>
      </c>
      <c r="F653" s="12">
        <v>20</v>
      </c>
      <c r="G653" s="12">
        <v>2.8499999999999996</v>
      </c>
      <c r="H653" s="12">
        <v>1.8823529411764699</v>
      </c>
      <c r="I653" s="12" t="s">
        <v>140</v>
      </c>
      <c r="J653" s="12">
        <v>46319</v>
      </c>
      <c r="K653">
        <v>46319</v>
      </c>
    </row>
    <row r="654" spans="1:11" hidden="1" x14ac:dyDescent="0.25">
      <c r="A654" s="12" t="s">
        <v>59</v>
      </c>
      <c r="B654" s="12" t="s">
        <v>37</v>
      </c>
      <c r="C654" s="12" t="s">
        <v>15</v>
      </c>
      <c r="D654" s="12">
        <v>4.3223648329650821</v>
      </c>
      <c r="E654" s="12">
        <v>10.45</v>
      </c>
      <c r="F654" s="12">
        <v>20</v>
      </c>
      <c r="G654" s="12">
        <v>10.45</v>
      </c>
      <c r="H654" s="12">
        <v>4.9564874387254898</v>
      </c>
      <c r="I654" s="12" t="s">
        <v>139</v>
      </c>
      <c r="J654" s="12">
        <v>46319</v>
      </c>
      <c r="K654">
        <v>46319</v>
      </c>
    </row>
    <row r="655" spans="1:11" hidden="1" x14ac:dyDescent="0.25">
      <c r="A655" s="12" t="s">
        <v>59</v>
      </c>
      <c r="B655" s="12" t="s">
        <v>148</v>
      </c>
      <c r="C655" s="12" t="s">
        <v>15</v>
      </c>
      <c r="D655" s="12">
        <v>0</v>
      </c>
      <c r="E655" s="12">
        <v>0.95</v>
      </c>
      <c r="F655" s="12">
        <v>20</v>
      </c>
      <c r="G655" s="12">
        <v>0.95</v>
      </c>
      <c r="H655" s="12">
        <v>0</v>
      </c>
      <c r="I655" s="12" t="s">
        <v>139</v>
      </c>
      <c r="J655" s="12">
        <v>46319</v>
      </c>
      <c r="K655">
        <v>46319</v>
      </c>
    </row>
    <row r="656" spans="1:11" hidden="1" x14ac:dyDescent="0.25">
      <c r="A656" s="12" t="s">
        <v>59</v>
      </c>
      <c r="B656" s="12" t="s">
        <v>38</v>
      </c>
      <c r="C656" s="12" t="s">
        <v>15</v>
      </c>
      <c r="D656" s="12">
        <v>2.5997811175337189</v>
      </c>
      <c r="E656" s="12">
        <v>3.8</v>
      </c>
      <c r="F656" s="12">
        <v>20</v>
      </c>
      <c r="G656" s="12">
        <v>3.8</v>
      </c>
      <c r="H656" s="12">
        <v>2.0078431372549019</v>
      </c>
      <c r="I656" s="12" t="s">
        <v>139</v>
      </c>
      <c r="J656" s="12">
        <v>46319</v>
      </c>
      <c r="K656">
        <v>46319</v>
      </c>
    </row>
    <row r="657" spans="1:11" hidden="1" x14ac:dyDescent="0.25">
      <c r="A657" s="12" t="s">
        <v>59</v>
      </c>
      <c r="B657" s="12" t="s">
        <v>57</v>
      </c>
      <c r="C657" s="12" t="s">
        <v>15</v>
      </c>
      <c r="D657" s="12">
        <v>0</v>
      </c>
      <c r="E657" s="12">
        <v>0</v>
      </c>
      <c r="F657" s="12">
        <v>18</v>
      </c>
      <c r="G657" s="12">
        <v>0</v>
      </c>
      <c r="H657" s="12">
        <v>0</v>
      </c>
      <c r="I657" s="12" t="s">
        <v>139</v>
      </c>
      <c r="J657" s="12">
        <v>46319</v>
      </c>
      <c r="K657">
        <v>46319</v>
      </c>
    </row>
    <row r="658" spans="1:11" x14ac:dyDescent="0.25">
      <c r="A658" s="12" t="s">
        <v>59</v>
      </c>
      <c r="B658" s="12" t="s">
        <v>38</v>
      </c>
      <c r="C658" s="12" t="s">
        <v>13</v>
      </c>
      <c r="D658" s="12">
        <v>0</v>
      </c>
      <c r="E658" s="12">
        <v>2.8499999999999996</v>
      </c>
      <c r="F658" s="12">
        <v>20</v>
      </c>
      <c r="G658" s="12">
        <v>2.8499999999999996</v>
      </c>
      <c r="H658" s="12">
        <v>1.1176470588235294</v>
      </c>
      <c r="I658" s="12" t="s">
        <v>141</v>
      </c>
      <c r="J658" s="12">
        <v>46319</v>
      </c>
      <c r="K658">
        <v>46319</v>
      </c>
    </row>
    <row r="659" spans="1:11" x14ac:dyDescent="0.25">
      <c r="A659" s="12" t="s">
        <v>59</v>
      </c>
      <c r="B659" s="12" t="s">
        <v>37</v>
      </c>
      <c r="C659" s="12" t="s">
        <v>13</v>
      </c>
      <c r="D659" s="12">
        <v>9.9297570487035678</v>
      </c>
      <c r="E659" s="12">
        <v>15.2</v>
      </c>
      <c r="F659" s="12">
        <v>20</v>
      </c>
      <c r="G659" s="12">
        <v>15.2</v>
      </c>
      <c r="H659" s="12">
        <v>10.212545955882351</v>
      </c>
      <c r="I659" s="12" t="s">
        <v>141</v>
      </c>
      <c r="J659" s="12">
        <v>46319</v>
      </c>
      <c r="K659">
        <v>46319</v>
      </c>
    </row>
    <row r="660" spans="1:11" x14ac:dyDescent="0.25">
      <c r="A660" s="12" t="s">
        <v>59</v>
      </c>
      <c r="B660" s="12" t="s">
        <v>148</v>
      </c>
      <c r="C660" s="12" t="s">
        <v>13</v>
      </c>
      <c r="D660" s="12">
        <v>4.9375</v>
      </c>
      <c r="E660" s="12">
        <v>0.95</v>
      </c>
      <c r="F660" s="12">
        <v>20</v>
      </c>
      <c r="G660" s="12">
        <v>0.95</v>
      </c>
      <c r="H660" s="12">
        <v>0.35294117647058826</v>
      </c>
      <c r="I660" s="12" t="s">
        <v>141</v>
      </c>
      <c r="J660" s="12">
        <v>46319</v>
      </c>
      <c r="K660">
        <v>46319</v>
      </c>
    </row>
    <row r="661" spans="1:11" x14ac:dyDescent="0.25">
      <c r="A661" s="12" t="s">
        <v>59</v>
      </c>
      <c r="B661" s="12" t="s">
        <v>57</v>
      </c>
      <c r="C661" s="12" t="s">
        <v>13</v>
      </c>
      <c r="D661" s="12">
        <v>1.8691307385794953</v>
      </c>
      <c r="E661" s="12">
        <v>0.95</v>
      </c>
      <c r="F661" s="12">
        <v>18</v>
      </c>
      <c r="G661" s="12">
        <v>0.95</v>
      </c>
      <c r="H661" s="12">
        <v>1.7647058823529411</v>
      </c>
      <c r="I661" s="12" t="s">
        <v>141</v>
      </c>
      <c r="J661" s="12">
        <v>46319</v>
      </c>
      <c r="K661">
        <v>46319</v>
      </c>
    </row>
    <row r="662" spans="1:11" hidden="1" x14ac:dyDescent="0.25">
      <c r="A662" s="12" t="s">
        <v>59</v>
      </c>
      <c r="B662" s="12" t="s">
        <v>38</v>
      </c>
      <c r="C662" s="12" t="s">
        <v>14</v>
      </c>
      <c r="D662" s="12">
        <v>2.4372947976878616</v>
      </c>
      <c r="E662" s="12">
        <v>2.8499999999999996</v>
      </c>
      <c r="F662" s="12">
        <v>20</v>
      </c>
      <c r="G662" s="12">
        <v>2.8499999999999996</v>
      </c>
      <c r="H662" s="12">
        <v>1.8823529411764703</v>
      </c>
      <c r="I662" s="12" t="s">
        <v>143</v>
      </c>
      <c r="J662" s="12">
        <v>46320</v>
      </c>
      <c r="K662">
        <v>46320</v>
      </c>
    </row>
    <row r="663" spans="1:11" hidden="1" x14ac:dyDescent="0.25">
      <c r="A663" s="12" t="s">
        <v>59</v>
      </c>
      <c r="B663" s="12" t="s">
        <v>57</v>
      </c>
      <c r="C663" s="12" t="s">
        <v>14</v>
      </c>
      <c r="D663" s="12">
        <v>0.65969320185158642</v>
      </c>
      <c r="E663" s="12">
        <v>1.9</v>
      </c>
      <c r="F663" s="12">
        <v>18</v>
      </c>
      <c r="G663" s="12">
        <v>1.9</v>
      </c>
      <c r="H663" s="12">
        <v>0.22145328719723184</v>
      </c>
      <c r="I663" s="12" t="s">
        <v>143</v>
      </c>
      <c r="J663" s="12">
        <v>46320</v>
      </c>
      <c r="K663">
        <v>46320</v>
      </c>
    </row>
    <row r="664" spans="1:11" hidden="1" x14ac:dyDescent="0.25">
      <c r="A664" s="12" t="s">
        <v>59</v>
      </c>
      <c r="B664" s="12" t="s">
        <v>37</v>
      </c>
      <c r="C664" s="12" t="s">
        <v>14</v>
      </c>
      <c r="D664" s="12">
        <v>8.9367813438332107</v>
      </c>
      <c r="E664" s="12">
        <v>19.95</v>
      </c>
      <c r="F664" s="12">
        <v>20</v>
      </c>
      <c r="G664" s="12">
        <v>19.95</v>
      </c>
      <c r="H664" s="12">
        <v>10.676210171568618</v>
      </c>
      <c r="I664" s="12" t="s">
        <v>143</v>
      </c>
      <c r="J664" s="12">
        <v>46320</v>
      </c>
      <c r="K664">
        <v>46320</v>
      </c>
    </row>
    <row r="665" spans="1:11" hidden="1" x14ac:dyDescent="0.25">
      <c r="A665" s="12" t="s">
        <v>59</v>
      </c>
      <c r="B665" s="12" t="s">
        <v>148</v>
      </c>
      <c r="C665" s="12" t="s">
        <v>14</v>
      </c>
      <c r="D665" s="12">
        <v>1.0588235294117647</v>
      </c>
      <c r="E665" s="12">
        <v>1.9</v>
      </c>
      <c r="F665" s="12">
        <v>20</v>
      </c>
      <c r="G665" s="12">
        <v>1.9</v>
      </c>
      <c r="H665" s="12">
        <v>1.105320069204152</v>
      </c>
      <c r="I665" s="12" t="s">
        <v>143</v>
      </c>
      <c r="J665" s="12">
        <v>46320</v>
      </c>
      <c r="K665">
        <v>46320</v>
      </c>
    </row>
    <row r="666" spans="1:11" hidden="1" x14ac:dyDescent="0.25">
      <c r="A666" s="12" t="s">
        <v>59</v>
      </c>
      <c r="B666" s="12" t="s">
        <v>57</v>
      </c>
      <c r="C666" s="12" t="s">
        <v>15</v>
      </c>
      <c r="D666" s="12">
        <v>0</v>
      </c>
      <c r="E666" s="12">
        <v>0</v>
      </c>
      <c r="F666" s="12">
        <v>18</v>
      </c>
      <c r="G666" s="12">
        <v>0</v>
      </c>
      <c r="H666" s="12">
        <v>0</v>
      </c>
      <c r="I666" s="12" t="s">
        <v>142</v>
      </c>
      <c r="J666" s="12">
        <v>46320</v>
      </c>
      <c r="K666">
        <v>46320</v>
      </c>
    </row>
    <row r="667" spans="1:11" hidden="1" x14ac:dyDescent="0.25">
      <c r="A667" s="12" t="s">
        <v>59</v>
      </c>
      <c r="B667" s="12" t="s">
        <v>37</v>
      </c>
      <c r="C667" s="12" t="s">
        <v>15</v>
      </c>
      <c r="D667" s="12">
        <v>4.4391855041263009</v>
      </c>
      <c r="E667" s="12">
        <v>10.45</v>
      </c>
      <c r="F667" s="12">
        <v>20</v>
      </c>
      <c r="G667" s="12">
        <v>10.45</v>
      </c>
      <c r="H667" s="12">
        <v>4.9862438725490197</v>
      </c>
      <c r="I667" s="12" t="s">
        <v>142</v>
      </c>
      <c r="J667" s="12">
        <v>46320</v>
      </c>
      <c r="K667">
        <v>46320</v>
      </c>
    </row>
    <row r="668" spans="1:11" x14ac:dyDescent="0.25">
      <c r="A668" s="12" t="s">
        <v>59</v>
      </c>
      <c r="B668" s="12" t="s">
        <v>37</v>
      </c>
      <c r="C668" s="12" t="s">
        <v>13</v>
      </c>
      <c r="D668" s="12">
        <v>9.929757048703566</v>
      </c>
      <c r="E668" s="12">
        <v>14.25</v>
      </c>
      <c r="F668" s="12">
        <v>20</v>
      </c>
      <c r="G668" s="12">
        <v>14.25</v>
      </c>
      <c r="H668" s="12">
        <v>10.212545955882351</v>
      </c>
      <c r="I668" s="12" t="s">
        <v>144</v>
      </c>
      <c r="J668" s="12">
        <v>46320</v>
      </c>
      <c r="K668">
        <v>46320</v>
      </c>
    </row>
    <row r="669" spans="1:11" hidden="1" x14ac:dyDescent="0.25">
      <c r="A669" s="12" t="s">
        <v>59</v>
      </c>
      <c r="B669" s="12" t="s">
        <v>148</v>
      </c>
      <c r="C669" s="12" t="s">
        <v>15</v>
      </c>
      <c r="D669" s="12">
        <v>0</v>
      </c>
      <c r="E669" s="12">
        <v>1.9</v>
      </c>
      <c r="F669" s="12">
        <v>20</v>
      </c>
      <c r="G669" s="12">
        <v>1.9</v>
      </c>
      <c r="H669" s="12">
        <v>0</v>
      </c>
      <c r="I669" s="12" t="s">
        <v>142</v>
      </c>
      <c r="J669" s="12">
        <v>46320</v>
      </c>
      <c r="K669">
        <v>46320</v>
      </c>
    </row>
    <row r="670" spans="1:11" x14ac:dyDescent="0.25">
      <c r="A670" s="12" t="s">
        <v>59</v>
      </c>
      <c r="B670" s="12" t="s">
        <v>57</v>
      </c>
      <c r="C670" s="12" t="s">
        <v>13</v>
      </c>
      <c r="D670" s="12">
        <v>1.8691307385794953</v>
      </c>
      <c r="E670" s="12">
        <v>1.9</v>
      </c>
      <c r="F670" s="12">
        <v>18</v>
      </c>
      <c r="G670" s="12">
        <v>1.9</v>
      </c>
      <c r="H670" s="12">
        <v>1.7647058823529411</v>
      </c>
      <c r="I670" s="12" t="s">
        <v>144</v>
      </c>
      <c r="J670" s="12">
        <v>46320</v>
      </c>
      <c r="K670">
        <v>46320</v>
      </c>
    </row>
    <row r="671" spans="1:11" x14ac:dyDescent="0.25">
      <c r="A671" s="12" t="s">
        <v>59</v>
      </c>
      <c r="B671" s="12" t="s">
        <v>148</v>
      </c>
      <c r="C671" s="12" t="s">
        <v>13</v>
      </c>
      <c r="D671" s="12">
        <v>5.8749999999999991</v>
      </c>
      <c r="E671" s="12">
        <v>1.9</v>
      </c>
      <c r="F671" s="12">
        <v>20</v>
      </c>
      <c r="G671" s="12">
        <v>1.9</v>
      </c>
      <c r="H671" s="12">
        <v>0.76309742647058831</v>
      </c>
      <c r="I671" s="12" t="s">
        <v>144</v>
      </c>
      <c r="J671" s="12">
        <v>46320</v>
      </c>
      <c r="K671">
        <v>46320</v>
      </c>
    </row>
    <row r="672" spans="1:11" x14ac:dyDescent="0.25">
      <c r="A672" s="12" t="s">
        <v>59</v>
      </c>
      <c r="B672" s="12" t="s">
        <v>38</v>
      </c>
      <c r="C672" s="12" t="s">
        <v>13</v>
      </c>
      <c r="D672" s="12">
        <v>0</v>
      </c>
      <c r="E672" s="12">
        <v>2.8499999999999996</v>
      </c>
      <c r="F672" s="12">
        <v>20</v>
      </c>
      <c r="G672" s="12">
        <v>2.8499999999999996</v>
      </c>
      <c r="H672" s="12">
        <v>1.1176470588235294</v>
      </c>
      <c r="I672" s="12" t="s">
        <v>144</v>
      </c>
      <c r="J672" s="12">
        <v>46320</v>
      </c>
      <c r="K672">
        <v>46320</v>
      </c>
    </row>
    <row r="673" spans="1:11" hidden="1" x14ac:dyDescent="0.25">
      <c r="A673" s="12" t="s">
        <v>59</v>
      </c>
      <c r="B673" s="12" t="s">
        <v>38</v>
      </c>
      <c r="C673" s="12" t="s">
        <v>15</v>
      </c>
      <c r="D673" s="12">
        <v>2.7622674373795766</v>
      </c>
      <c r="E673" s="12">
        <v>3.8</v>
      </c>
      <c r="F673" s="12">
        <v>20</v>
      </c>
      <c r="G673" s="12">
        <v>3.8</v>
      </c>
      <c r="H673" s="12">
        <v>2.0078431372549019</v>
      </c>
      <c r="I673" s="12" t="s">
        <v>142</v>
      </c>
      <c r="J673" s="12">
        <v>46320</v>
      </c>
      <c r="K673">
        <v>46320</v>
      </c>
    </row>
    <row r="674" spans="1:11" hidden="1" x14ac:dyDescent="0.25">
      <c r="A674" s="12" t="s">
        <v>59</v>
      </c>
      <c r="B674" s="12" t="s">
        <v>37</v>
      </c>
      <c r="C674" s="12" t="s">
        <v>15</v>
      </c>
      <c r="D674" s="12">
        <v>4.4391855041263009</v>
      </c>
      <c r="E674" s="12">
        <v>9.5</v>
      </c>
      <c r="F674" s="12">
        <v>20</v>
      </c>
      <c r="G674" s="12">
        <v>9.5</v>
      </c>
      <c r="H674" s="12">
        <v>4.0482843137254898</v>
      </c>
      <c r="I674" s="12" t="s">
        <v>147</v>
      </c>
      <c r="J674" s="12">
        <v>46321</v>
      </c>
      <c r="K674">
        <v>46321</v>
      </c>
    </row>
    <row r="675" spans="1:11" hidden="1" x14ac:dyDescent="0.25">
      <c r="A675" s="12" t="s">
        <v>59</v>
      </c>
      <c r="B675" s="12" t="s">
        <v>38</v>
      </c>
      <c r="C675" s="12" t="s">
        <v>14</v>
      </c>
      <c r="D675" s="12">
        <v>2.4372947976878616</v>
      </c>
      <c r="E675" s="12">
        <v>3.8</v>
      </c>
      <c r="F675" s="12">
        <v>20</v>
      </c>
      <c r="G675" s="12">
        <v>3.8</v>
      </c>
      <c r="H675" s="12">
        <v>2.1049596309111882</v>
      </c>
      <c r="I675" s="12" t="s">
        <v>145</v>
      </c>
      <c r="J675" s="12">
        <v>46321</v>
      </c>
      <c r="K675">
        <v>46321</v>
      </c>
    </row>
    <row r="676" spans="1:11" hidden="1" x14ac:dyDescent="0.25">
      <c r="A676" s="12" t="s">
        <v>59</v>
      </c>
      <c r="B676" s="12" t="s">
        <v>148</v>
      </c>
      <c r="C676" s="12" t="s">
        <v>14</v>
      </c>
      <c r="D676" s="12">
        <v>0.58823529411764719</v>
      </c>
      <c r="E676" s="12">
        <v>8.5499999999999989</v>
      </c>
      <c r="F676" s="12">
        <v>20</v>
      </c>
      <c r="G676" s="12">
        <v>8.5499999999999989</v>
      </c>
      <c r="H676" s="12">
        <v>1.7129613610149941</v>
      </c>
      <c r="I676" s="12" t="s">
        <v>145</v>
      </c>
      <c r="J676" s="12">
        <v>46321</v>
      </c>
      <c r="K676">
        <v>46321</v>
      </c>
    </row>
    <row r="677" spans="1:11" hidden="1" x14ac:dyDescent="0.25">
      <c r="A677" s="12" t="s">
        <v>59</v>
      </c>
      <c r="B677" s="12" t="s">
        <v>38</v>
      </c>
      <c r="C677" s="12" t="s">
        <v>15</v>
      </c>
      <c r="D677" s="12">
        <v>2.7622674373795766</v>
      </c>
      <c r="E677" s="12">
        <v>3.8</v>
      </c>
      <c r="F677" s="12">
        <v>20</v>
      </c>
      <c r="G677" s="12">
        <v>3.8</v>
      </c>
      <c r="H677" s="12">
        <v>2.0078431372549019</v>
      </c>
      <c r="I677" s="12" t="s">
        <v>147</v>
      </c>
      <c r="J677" s="12">
        <v>46321</v>
      </c>
      <c r="K677">
        <v>46321</v>
      </c>
    </row>
    <row r="678" spans="1:11" hidden="1" x14ac:dyDescent="0.25">
      <c r="A678" s="12" t="s">
        <v>59</v>
      </c>
      <c r="B678" s="12" t="s">
        <v>148</v>
      </c>
      <c r="C678" s="12" t="s">
        <v>15</v>
      </c>
      <c r="D678" s="12">
        <v>0</v>
      </c>
      <c r="E678" s="12">
        <v>6.6499999999999995</v>
      </c>
      <c r="F678" s="12">
        <v>20</v>
      </c>
      <c r="G678" s="12">
        <v>6.6499999999999995</v>
      </c>
      <c r="H678" s="12">
        <v>0</v>
      </c>
      <c r="I678" s="12" t="s">
        <v>147</v>
      </c>
      <c r="J678" s="12">
        <v>46321</v>
      </c>
      <c r="K678">
        <v>46321</v>
      </c>
    </row>
    <row r="679" spans="1:11" hidden="1" x14ac:dyDescent="0.25">
      <c r="A679" s="12" t="s">
        <v>59</v>
      </c>
      <c r="B679" s="12" t="s">
        <v>37</v>
      </c>
      <c r="C679" s="12" t="s">
        <v>14</v>
      </c>
      <c r="D679" s="12">
        <v>8.1774469812852928</v>
      </c>
      <c r="E679" s="12">
        <v>18.05</v>
      </c>
      <c r="F679" s="12">
        <v>20</v>
      </c>
      <c r="G679" s="12">
        <v>18.05</v>
      </c>
      <c r="H679" s="12">
        <v>9.2212775735294077</v>
      </c>
      <c r="I679" s="12" t="s">
        <v>145</v>
      </c>
      <c r="J679" s="12">
        <v>46321</v>
      </c>
      <c r="K679">
        <v>46321</v>
      </c>
    </row>
    <row r="680" spans="1:11" x14ac:dyDescent="0.25">
      <c r="A680" s="12" t="s">
        <v>59</v>
      </c>
      <c r="B680" s="12" t="s">
        <v>148</v>
      </c>
      <c r="C680" s="12" t="s">
        <v>13</v>
      </c>
      <c r="D680" s="12">
        <v>13.249999999999996</v>
      </c>
      <c r="E680" s="12">
        <v>8.5499999999999989</v>
      </c>
      <c r="F680" s="12">
        <v>20</v>
      </c>
      <c r="G680" s="12">
        <v>8.5499999999999989</v>
      </c>
      <c r="H680" s="12">
        <v>12.099096200980393</v>
      </c>
      <c r="I680" s="12" t="s">
        <v>146</v>
      </c>
      <c r="J680" s="12">
        <v>46321</v>
      </c>
      <c r="K680">
        <v>46321</v>
      </c>
    </row>
    <row r="681" spans="1:11" x14ac:dyDescent="0.25">
      <c r="A681" s="12" t="s">
        <v>59</v>
      </c>
      <c r="B681" s="12" t="s">
        <v>37</v>
      </c>
      <c r="C681" s="12" t="s">
        <v>13</v>
      </c>
      <c r="D681" s="12">
        <v>10.864322417993312</v>
      </c>
      <c r="E681" s="12">
        <v>14.25</v>
      </c>
      <c r="F681" s="12">
        <v>20</v>
      </c>
      <c r="G681" s="12">
        <v>14.25</v>
      </c>
      <c r="H681" s="12">
        <v>9.2851256127450963</v>
      </c>
      <c r="I681" s="12" t="s">
        <v>146</v>
      </c>
      <c r="J681" s="12">
        <v>46321</v>
      </c>
      <c r="K681">
        <v>46321</v>
      </c>
    </row>
    <row r="682" spans="1:11" x14ac:dyDescent="0.25">
      <c r="A682" s="12" t="s">
        <v>59</v>
      </c>
      <c r="B682" s="12" t="s">
        <v>38</v>
      </c>
      <c r="C682" s="12" t="s">
        <v>13</v>
      </c>
      <c r="D682" s="12">
        <v>2.5896257225433525</v>
      </c>
      <c r="E682" s="12">
        <v>3.8</v>
      </c>
      <c r="F682" s="12">
        <v>20</v>
      </c>
      <c r="G682" s="12">
        <v>3.8</v>
      </c>
      <c r="H682" s="12">
        <v>2.0061274509803924</v>
      </c>
      <c r="I682" s="12" t="s">
        <v>146</v>
      </c>
      <c r="J682" s="12">
        <v>46321</v>
      </c>
      <c r="K682">
        <v>46321</v>
      </c>
    </row>
    <row r="683" spans="1:11" x14ac:dyDescent="0.25">
      <c r="A683" s="12" t="s">
        <v>59</v>
      </c>
      <c r="B683" s="12" t="s">
        <v>57</v>
      </c>
      <c r="C683" s="12" t="s">
        <v>13</v>
      </c>
      <c r="D683" s="12">
        <v>0.93456536928974765</v>
      </c>
      <c r="E683" s="12">
        <v>0.95</v>
      </c>
      <c r="F683" s="12">
        <v>18</v>
      </c>
      <c r="G683" s="12">
        <v>0.95</v>
      </c>
      <c r="H683" s="12">
        <v>0.88235294117647056</v>
      </c>
      <c r="I683" s="12" t="s">
        <v>146</v>
      </c>
      <c r="J683" s="12">
        <v>46321</v>
      </c>
      <c r="K683">
        <v>46321</v>
      </c>
    </row>
    <row r="684" spans="1:11" hidden="1" x14ac:dyDescent="0.25">
      <c r="A684" s="12" t="s">
        <v>59</v>
      </c>
      <c r="B684" s="12" t="s">
        <v>57</v>
      </c>
      <c r="C684" s="12" t="s">
        <v>15</v>
      </c>
      <c r="D684" s="12">
        <v>0</v>
      </c>
      <c r="E684" s="12">
        <v>0</v>
      </c>
      <c r="F684" s="12">
        <v>18</v>
      </c>
      <c r="G684" s="12">
        <v>0</v>
      </c>
      <c r="H684" s="12">
        <v>0</v>
      </c>
      <c r="I684" s="12" t="s">
        <v>147</v>
      </c>
      <c r="J684" s="12">
        <v>46321</v>
      </c>
      <c r="K684">
        <v>46321</v>
      </c>
    </row>
    <row r="685" spans="1:11" hidden="1" x14ac:dyDescent="0.25">
      <c r="A685" s="12" t="s">
        <v>59</v>
      </c>
      <c r="B685" s="12" t="s">
        <v>57</v>
      </c>
      <c r="C685" s="12" t="s">
        <v>14</v>
      </c>
      <c r="D685" s="12">
        <v>1.4293352706784377</v>
      </c>
      <c r="E685" s="12">
        <v>1.9</v>
      </c>
      <c r="F685" s="12">
        <v>18</v>
      </c>
      <c r="G685" s="12">
        <v>1.9</v>
      </c>
      <c r="H685" s="12">
        <v>0.93425605536332179</v>
      </c>
      <c r="I685" s="12" t="s">
        <v>145</v>
      </c>
      <c r="J685" s="12">
        <v>46321</v>
      </c>
      <c r="K685">
        <v>46321</v>
      </c>
    </row>
    <row r="686" spans="1:11" hidden="1" x14ac:dyDescent="0.25">
      <c r="A686" s="12" t="s">
        <v>60</v>
      </c>
      <c r="B686" s="12" t="s">
        <v>57</v>
      </c>
      <c r="C686" s="12" t="s">
        <v>15</v>
      </c>
      <c r="D686" s="12">
        <v>0</v>
      </c>
      <c r="E686" s="12">
        <v>0</v>
      </c>
      <c r="F686" s="12">
        <v>20</v>
      </c>
      <c r="G686" s="12">
        <v>0</v>
      </c>
      <c r="H686" s="12">
        <v>0</v>
      </c>
      <c r="I686" s="12" t="s">
        <v>61</v>
      </c>
      <c r="J686" s="12">
        <v>46293</v>
      </c>
      <c r="K686">
        <v>46293</v>
      </c>
    </row>
    <row r="687" spans="1:11" x14ac:dyDescent="0.25">
      <c r="A687" s="12" t="s">
        <v>60</v>
      </c>
      <c r="B687" s="12" t="s">
        <v>148</v>
      </c>
      <c r="C687" s="12" t="s">
        <v>13</v>
      </c>
      <c r="D687" s="12">
        <v>7.0000000000000009</v>
      </c>
      <c r="E687" s="12">
        <v>6.6499999999999995</v>
      </c>
      <c r="F687" s="12">
        <v>20</v>
      </c>
      <c r="G687" s="12">
        <v>6.6499999999999995</v>
      </c>
      <c r="H687" s="12">
        <v>6.0588235294117627</v>
      </c>
      <c r="I687" s="12" t="s">
        <v>63</v>
      </c>
      <c r="J687" s="12">
        <v>46293</v>
      </c>
      <c r="K687">
        <v>46293</v>
      </c>
    </row>
    <row r="688" spans="1:11" x14ac:dyDescent="0.25">
      <c r="A688" s="12" t="s">
        <v>60</v>
      </c>
      <c r="B688" s="12" t="s">
        <v>38</v>
      </c>
      <c r="C688" s="12" t="s">
        <v>13</v>
      </c>
      <c r="D688" s="12">
        <v>1.3483146067415732</v>
      </c>
      <c r="E688" s="12">
        <v>1.9</v>
      </c>
      <c r="F688" s="12">
        <v>20</v>
      </c>
      <c r="G688" s="12">
        <v>1.9</v>
      </c>
      <c r="H688" s="12">
        <v>1.6963742393509127</v>
      </c>
      <c r="I688" s="12" t="s">
        <v>63</v>
      </c>
      <c r="J688" s="12">
        <v>46293</v>
      </c>
      <c r="K688">
        <v>46293</v>
      </c>
    </row>
    <row r="689" spans="1:11" x14ac:dyDescent="0.25">
      <c r="A689" s="12" t="s">
        <v>60</v>
      </c>
      <c r="B689" s="12" t="s">
        <v>57</v>
      </c>
      <c r="C689" s="12" t="s">
        <v>13</v>
      </c>
      <c r="D689" s="12">
        <v>0.88646868865953243</v>
      </c>
      <c r="E689" s="12">
        <v>0.95</v>
      </c>
      <c r="F689" s="12">
        <v>20</v>
      </c>
      <c r="G689" s="12">
        <v>0.95</v>
      </c>
      <c r="H689" s="12">
        <v>0.82352941176470595</v>
      </c>
      <c r="I689" s="12" t="s">
        <v>63</v>
      </c>
      <c r="J689" s="12">
        <v>46293</v>
      </c>
      <c r="K689">
        <v>46293</v>
      </c>
    </row>
    <row r="690" spans="1:11" hidden="1" x14ac:dyDescent="0.25">
      <c r="A690" s="12" t="s">
        <v>60</v>
      </c>
      <c r="B690" s="12" t="s">
        <v>37</v>
      </c>
      <c r="C690" s="12" t="s">
        <v>15</v>
      </c>
      <c r="D690" s="12">
        <v>3.5458747546381306</v>
      </c>
      <c r="E690" s="12">
        <v>8.5499999999999989</v>
      </c>
      <c r="F690" s="12">
        <v>20</v>
      </c>
      <c r="G690" s="12">
        <v>8.5499999999999989</v>
      </c>
      <c r="H690" s="12">
        <v>3.9407169117647047</v>
      </c>
      <c r="I690" s="12" t="s">
        <v>61</v>
      </c>
      <c r="J690" s="12">
        <v>46293</v>
      </c>
      <c r="K690">
        <v>46293</v>
      </c>
    </row>
    <row r="691" spans="1:11" hidden="1" x14ac:dyDescent="0.25">
      <c r="A691" s="12" t="s">
        <v>60</v>
      </c>
      <c r="B691" s="12" t="s">
        <v>148</v>
      </c>
      <c r="C691" s="12" t="s">
        <v>15</v>
      </c>
      <c r="D691" s="12">
        <v>0</v>
      </c>
      <c r="E691" s="12">
        <v>0</v>
      </c>
      <c r="F691" s="12">
        <v>20</v>
      </c>
      <c r="G691" s="12">
        <v>0</v>
      </c>
      <c r="H691" s="12">
        <v>0</v>
      </c>
      <c r="I691" s="12" t="s">
        <v>61</v>
      </c>
      <c r="J691" s="12">
        <v>46293</v>
      </c>
      <c r="K691">
        <v>46293</v>
      </c>
    </row>
    <row r="692" spans="1:11" x14ac:dyDescent="0.25">
      <c r="A692" s="12" t="s">
        <v>60</v>
      </c>
      <c r="B692" s="12" t="s">
        <v>37</v>
      </c>
      <c r="C692" s="12" t="s">
        <v>13</v>
      </c>
      <c r="D692" s="12">
        <v>9.5295384030899761</v>
      </c>
      <c r="E692" s="12">
        <v>10.45</v>
      </c>
      <c r="F692" s="12">
        <v>20</v>
      </c>
      <c r="G692" s="12">
        <v>10.45</v>
      </c>
      <c r="H692" s="12">
        <v>8.8694301470588215</v>
      </c>
      <c r="I692" s="12" t="s">
        <v>63</v>
      </c>
      <c r="J692" s="12">
        <v>46293</v>
      </c>
      <c r="K692">
        <v>46293</v>
      </c>
    </row>
    <row r="693" spans="1:11" hidden="1" x14ac:dyDescent="0.25">
      <c r="A693" s="12" t="s">
        <v>60</v>
      </c>
      <c r="B693" s="12" t="s">
        <v>148</v>
      </c>
      <c r="C693" s="12" t="s">
        <v>14</v>
      </c>
      <c r="D693" s="12">
        <v>0</v>
      </c>
      <c r="E693" s="12">
        <v>8.5499999999999989</v>
      </c>
      <c r="F693" s="12">
        <v>20</v>
      </c>
      <c r="G693" s="12">
        <v>8.5499999999999989</v>
      </c>
      <c r="H693" s="12">
        <v>0.88581314878892703</v>
      </c>
      <c r="I693" s="12" t="s">
        <v>62</v>
      </c>
      <c r="J693" s="12">
        <v>46293</v>
      </c>
      <c r="K693">
        <v>46293</v>
      </c>
    </row>
    <row r="694" spans="1:11" hidden="1" x14ac:dyDescent="0.25">
      <c r="A694" s="12" t="s">
        <v>60</v>
      </c>
      <c r="B694" s="12" t="s">
        <v>57</v>
      </c>
      <c r="C694" s="12" t="s">
        <v>14</v>
      </c>
      <c r="D694" s="12">
        <v>0</v>
      </c>
      <c r="E694" s="12">
        <v>0.95</v>
      </c>
      <c r="F694" s="12">
        <v>20</v>
      </c>
      <c r="G694" s="12">
        <v>0.95</v>
      </c>
      <c r="H694" s="12">
        <v>0.16608996539792387</v>
      </c>
      <c r="I694" s="12" t="s">
        <v>62</v>
      </c>
      <c r="J694" s="12">
        <v>46293</v>
      </c>
      <c r="K694">
        <v>46293</v>
      </c>
    </row>
    <row r="695" spans="1:11" hidden="1" x14ac:dyDescent="0.25">
      <c r="A695" s="12" t="s">
        <v>60</v>
      </c>
      <c r="B695" s="12" t="s">
        <v>37</v>
      </c>
      <c r="C695" s="12" t="s">
        <v>14</v>
      </c>
      <c r="D695" s="12">
        <v>7.313366681441142</v>
      </c>
      <c r="E695" s="12">
        <v>14.25</v>
      </c>
      <c r="F695" s="12">
        <v>20</v>
      </c>
      <c r="G695" s="12">
        <v>14.25</v>
      </c>
      <c r="H695" s="12">
        <v>7.347711397058819</v>
      </c>
      <c r="I695" s="12" t="s">
        <v>62</v>
      </c>
      <c r="J695" s="12">
        <v>46293</v>
      </c>
      <c r="K695">
        <v>46293</v>
      </c>
    </row>
    <row r="696" spans="1:11" hidden="1" x14ac:dyDescent="0.25">
      <c r="A696" s="12" t="s">
        <v>60</v>
      </c>
      <c r="B696" s="12" t="s">
        <v>38</v>
      </c>
      <c r="C696" s="12" t="s">
        <v>14</v>
      </c>
      <c r="D696" s="12">
        <v>2.2207534699272973</v>
      </c>
      <c r="E696" s="12">
        <v>3.8</v>
      </c>
      <c r="F696" s="12">
        <v>20</v>
      </c>
      <c r="G696" s="12">
        <v>3.8</v>
      </c>
      <c r="H696" s="12">
        <v>2.0131100107385755</v>
      </c>
      <c r="I696" s="12" t="s">
        <v>62</v>
      </c>
      <c r="J696" s="12">
        <v>46293</v>
      </c>
      <c r="K696">
        <v>46293</v>
      </c>
    </row>
    <row r="697" spans="1:11" hidden="1" x14ac:dyDescent="0.25">
      <c r="A697" s="12" t="s">
        <v>60</v>
      </c>
      <c r="B697" s="12" t="s">
        <v>38</v>
      </c>
      <c r="C697" s="12" t="s">
        <v>15</v>
      </c>
      <c r="D697" s="12">
        <v>1.7977528089887642</v>
      </c>
      <c r="E697" s="12">
        <v>1.9</v>
      </c>
      <c r="F697" s="12">
        <v>20</v>
      </c>
      <c r="G697" s="12">
        <v>1.9</v>
      </c>
      <c r="H697" s="12">
        <v>1.0127450980392154</v>
      </c>
      <c r="I697" s="12" t="s">
        <v>61</v>
      </c>
      <c r="J697" s="12">
        <v>46293</v>
      </c>
      <c r="K697">
        <v>46293</v>
      </c>
    </row>
    <row r="698" spans="1:11" hidden="1" x14ac:dyDescent="0.25">
      <c r="A698" s="12" t="s">
        <v>60</v>
      </c>
      <c r="B698" s="12" t="s">
        <v>37</v>
      </c>
      <c r="C698" s="12" t="s">
        <v>15</v>
      </c>
      <c r="D698" s="12">
        <v>3.5458747546381306</v>
      </c>
      <c r="E698" s="12">
        <v>9.5</v>
      </c>
      <c r="F698" s="12">
        <v>20</v>
      </c>
      <c r="G698" s="12">
        <v>9.5</v>
      </c>
      <c r="H698" s="12">
        <v>3.3235294117647056</v>
      </c>
      <c r="I698" s="12" t="s">
        <v>65</v>
      </c>
      <c r="J698" s="12">
        <v>46294</v>
      </c>
      <c r="K698">
        <v>46294</v>
      </c>
    </row>
    <row r="699" spans="1:11" x14ac:dyDescent="0.25">
      <c r="A699" s="12" t="s">
        <v>60</v>
      </c>
      <c r="B699" s="12" t="s">
        <v>38</v>
      </c>
      <c r="C699" s="12" t="s">
        <v>13</v>
      </c>
      <c r="D699" s="12">
        <v>2.6966292134831464</v>
      </c>
      <c r="E699" s="12">
        <v>2.8499999999999996</v>
      </c>
      <c r="F699" s="12">
        <v>20</v>
      </c>
      <c r="G699" s="12">
        <v>2.8499999999999996</v>
      </c>
      <c r="H699" s="12">
        <v>1.7954963235294119</v>
      </c>
      <c r="I699" s="12" t="s">
        <v>64</v>
      </c>
      <c r="J699" s="12">
        <v>46294</v>
      </c>
      <c r="K699">
        <v>46294</v>
      </c>
    </row>
    <row r="700" spans="1:11" x14ac:dyDescent="0.25">
      <c r="A700" s="12" t="s">
        <v>60</v>
      </c>
      <c r="B700" s="12" t="s">
        <v>148</v>
      </c>
      <c r="C700" s="12" t="s">
        <v>13</v>
      </c>
      <c r="D700" s="12">
        <v>7.5625000000000018</v>
      </c>
      <c r="E700" s="12">
        <v>6.6499999999999995</v>
      </c>
      <c r="F700" s="12">
        <v>20</v>
      </c>
      <c r="G700" s="12">
        <v>6.6499999999999995</v>
      </c>
      <c r="H700" s="12">
        <v>5.5551470588235281</v>
      </c>
      <c r="I700" s="12" t="s">
        <v>64</v>
      </c>
      <c r="J700" s="12">
        <v>46294</v>
      </c>
      <c r="K700">
        <v>46294</v>
      </c>
    </row>
    <row r="701" spans="1:11" hidden="1" x14ac:dyDescent="0.25">
      <c r="A701" s="12" t="s">
        <v>60</v>
      </c>
      <c r="B701" s="12" t="s">
        <v>38</v>
      </c>
      <c r="C701" s="12" t="s">
        <v>15</v>
      </c>
      <c r="D701" s="12">
        <v>1.7977528089887642</v>
      </c>
      <c r="E701" s="12">
        <v>1.9</v>
      </c>
      <c r="F701" s="12">
        <v>20</v>
      </c>
      <c r="G701" s="12">
        <v>1.9</v>
      </c>
      <c r="H701" s="12">
        <v>1.0127450980392154</v>
      </c>
      <c r="I701" s="12" t="s">
        <v>65</v>
      </c>
      <c r="J701" s="12">
        <v>46294</v>
      </c>
      <c r="K701">
        <v>46294</v>
      </c>
    </row>
    <row r="702" spans="1:11" x14ac:dyDescent="0.25">
      <c r="A702" s="12" t="s">
        <v>60</v>
      </c>
      <c r="B702" s="12" t="s">
        <v>37</v>
      </c>
      <c r="C702" s="12" t="s">
        <v>13</v>
      </c>
      <c r="D702" s="12">
        <v>9.5295384030899761</v>
      </c>
      <c r="E702" s="12">
        <v>13.3</v>
      </c>
      <c r="F702" s="12">
        <v>20</v>
      </c>
      <c r="G702" s="12">
        <v>13.3</v>
      </c>
      <c r="H702" s="12">
        <v>8.6304901960784299</v>
      </c>
      <c r="I702" s="12" t="s">
        <v>64</v>
      </c>
      <c r="J702" s="12">
        <v>46294</v>
      </c>
      <c r="K702">
        <v>46294</v>
      </c>
    </row>
    <row r="703" spans="1:11" hidden="1" x14ac:dyDescent="0.25">
      <c r="A703" s="12" t="s">
        <v>60</v>
      </c>
      <c r="B703" s="12" t="s">
        <v>57</v>
      </c>
      <c r="C703" s="12" t="s">
        <v>15</v>
      </c>
      <c r="D703" s="12">
        <v>0</v>
      </c>
      <c r="E703" s="12">
        <v>0</v>
      </c>
      <c r="F703" s="12">
        <v>20</v>
      </c>
      <c r="G703" s="12">
        <v>0</v>
      </c>
      <c r="H703" s="12">
        <v>0</v>
      </c>
      <c r="I703" s="12" t="s">
        <v>65</v>
      </c>
      <c r="J703" s="12">
        <v>46294</v>
      </c>
      <c r="K703">
        <v>46294</v>
      </c>
    </row>
    <row r="704" spans="1:11" hidden="1" x14ac:dyDescent="0.25">
      <c r="A704" s="12" t="s">
        <v>60</v>
      </c>
      <c r="B704" s="12" t="s">
        <v>148</v>
      </c>
      <c r="C704" s="12" t="s">
        <v>14</v>
      </c>
      <c r="D704" s="12">
        <v>0</v>
      </c>
      <c r="E704" s="12">
        <v>13.3</v>
      </c>
      <c r="F704" s="12">
        <v>20</v>
      </c>
      <c r="G704" s="12">
        <v>13.3</v>
      </c>
      <c r="H704" s="12">
        <v>1.0069204152249132</v>
      </c>
      <c r="I704" s="12" t="s">
        <v>66</v>
      </c>
      <c r="J704" s="12">
        <v>46294</v>
      </c>
      <c r="K704">
        <v>46294</v>
      </c>
    </row>
    <row r="705" spans="1:11" hidden="1" x14ac:dyDescent="0.25">
      <c r="A705" s="12" t="s">
        <v>60</v>
      </c>
      <c r="B705" s="12" t="s">
        <v>148</v>
      </c>
      <c r="C705" s="12" t="s">
        <v>15</v>
      </c>
      <c r="D705" s="12">
        <v>0</v>
      </c>
      <c r="E705" s="12">
        <v>0</v>
      </c>
      <c r="F705" s="12">
        <v>20</v>
      </c>
      <c r="G705" s="12">
        <v>0</v>
      </c>
      <c r="H705" s="12">
        <v>0</v>
      </c>
      <c r="I705" s="12" t="s">
        <v>65</v>
      </c>
      <c r="J705" s="12">
        <v>46294</v>
      </c>
      <c r="K705">
        <v>46294</v>
      </c>
    </row>
    <row r="706" spans="1:11" hidden="1" x14ac:dyDescent="0.25">
      <c r="A706" s="12" t="s">
        <v>60</v>
      </c>
      <c r="B706" s="12" t="s">
        <v>38</v>
      </c>
      <c r="C706" s="12" t="s">
        <v>14</v>
      </c>
      <c r="D706" s="12">
        <v>2.2207534699272973</v>
      </c>
      <c r="E706" s="12">
        <v>4.75</v>
      </c>
      <c r="F706" s="12">
        <v>20</v>
      </c>
      <c r="G706" s="12">
        <v>4.75</v>
      </c>
      <c r="H706" s="12">
        <v>2.0635813148788924</v>
      </c>
      <c r="I706" s="12" t="s">
        <v>66</v>
      </c>
      <c r="J706" s="12">
        <v>46294</v>
      </c>
      <c r="K706">
        <v>46294</v>
      </c>
    </row>
    <row r="707" spans="1:11" x14ac:dyDescent="0.25">
      <c r="A707" s="12" t="s">
        <v>60</v>
      </c>
      <c r="B707" s="12" t="s">
        <v>57</v>
      </c>
      <c r="C707" s="12" t="s">
        <v>13</v>
      </c>
      <c r="D707" s="12">
        <v>0.88646868865953243</v>
      </c>
      <c r="E707" s="12">
        <v>0.95</v>
      </c>
      <c r="F707" s="12">
        <v>20</v>
      </c>
      <c r="G707" s="12">
        <v>0.95</v>
      </c>
      <c r="H707" s="12">
        <v>0.82352941176470595</v>
      </c>
      <c r="I707" s="12" t="s">
        <v>64</v>
      </c>
      <c r="J707" s="12">
        <v>46294</v>
      </c>
      <c r="K707">
        <v>46294</v>
      </c>
    </row>
    <row r="708" spans="1:11" hidden="1" x14ac:dyDescent="0.25">
      <c r="A708" s="12" t="s">
        <v>60</v>
      </c>
      <c r="B708" s="12" t="s">
        <v>57</v>
      </c>
      <c r="C708" s="12" t="s">
        <v>14</v>
      </c>
      <c r="D708" s="12">
        <v>0</v>
      </c>
      <c r="E708" s="12">
        <v>1.9</v>
      </c>
      <c r="F708" s="12">
        <v>20</v>
      </c>
      <c r="G708" s="12">
        <v>1.9</v>
      </c>
      <c r="H708" s="12">
        <v>0.16608996539792387</v>
      </c>
      <c r="I708" s="12" t="s">
        <v>66</v>
      </c>
      <c r="J708" s="12">
        <v>46294</v>
      </c>
      <c r="K708">
        <v>46294</v>
      </c>
    </row>
    <row r="709" spans="1:11" hidden="1" x14ac:dyDescent="0.25">
      <c r="A709" s="12" t="s">
        <v>60</v>
      </c>
      <c r="B709" s="12" t="s">
        <v>37</v>
      </c>
      <c r="C709" s="12" t="s">
        <v>14</v>
      </c>
      <c r="D709" s="12">
        <v>7.313366681441142</v>
      </c>
      <c r="E709" s="12">
        <v>15.2</v>
      </c>
      <c r="F709" s="12">
        <v>20</v>
      </c>
      <c r="G709" s="12">
        <v>15.2</v>
      </c>
      <c r="H709" s="12">
        <v>8.3805392156862677</v>
      </c>
      <c r="I709" s="12" t="s">
        <v>66</v>
      </c>
      <c r="J709" s="12">
        <v>46294</v>
      </c>
      <c r="K709">
        <v>46294</v>
      </c>
    </row>
    <row r="710" spans="1:11" x14ac:dyDescent="0.25">
      <c r="A710" s="12" t="s">
        <v>60</v>
      </c>
      <c r="B710" s="12" t="s">
        <v>38</v>
      </c>
      <c r="C710" s="12" t="s">
        <v>13</v>
      </c>
      <c r="D710" s="12">
        <v>2.6966292134831469</v>
      </c>
      <c r="E710" s="12">
        <v>4.75</v>
      </c>
      <c r="F710" s="12">
        <v>20</v>
      </c>
      <c r="G710" s="12">
        <v>4.75</v>
      </c>
      <c r="H710" s="12">
        <v>1.9131433823529416</v>
      </c>
      <c r="I710" s="12" t="s">
        <v>67</v>
      </c>
      <c r="J710" s="12">
        <v>46295</v>
      </c>
      <c r="K710">
        <v>46295</v>
      </c>
    </row>
    <row r="711" spans="1:11" x14ac:dyDescent="0.25">
      <c r="A711" s="12" t="s">
        <v>60</v>
      </c>
      <c r="B711" s="12" t="s">
        <v>148</v>
      </c>
      <c r="C711" s="12" t="s">
        <v>13</v>
      </c>
      <c r="D711" s="12">
        <v>6.6875000000000009</v>
      </c>
      <c r="E711" s="12">
        <v>6.6499999999999995</v>
      </c>
      <c r="F711" s="12">
        <v>20</v>
      </c>
      <c r="G711" s="12">
        <v>6.6499999999999995</v>
      </c>
      <c r="H711" s="12">
        <v>5.3492647058823515</v>
      </c>
      <c r="I711" s="12" t="s">
        <v>67</v>
      </c>
      <c r="J711" s="12">
        <v>46295</v>
      </c>
      <c r="K711">
        <v>46295</v>
      </c>
    </row>
    <row r="712" spans="1:11" x14ac:dyDescent="0.25">
      <c r="A712" s="12" t="s">
        <v>60</v>
      </c>
      <c r="B712" s="12" t="s">
        <v>37</v>
      </c>
      <c r="C712" s="12" t="s">
        <v>13</v>
      </c>
      <c r="D712" s="12">
        <v>9.5295384030899779</v>
      </c>
      <c r="E712" s="12">
        <v>18.05</v>
      </c>
      <c r="F712" s="12">
        <v>20</v>
      </c>
      <c r="G712" s="12">
        <v>18.05</v>
      </c>
      <c r="H712" s="12">
        <v>9.2519607843137237</v>
      </c>
      <c r="I712" s="12" t="s">
        <v>67</v>
      </c>
      <c r="J712" s="12">
        <v>46295</v>
      </c>
      <c r="K712">
        <v>46295</v>
      </c>
    </row>
    <row r="713" spans="1:11" x14ac:dyDescent="0.25">
      <c r="A713" s="12" t="s">
        <v>60</v>
      </c>
      <c r="B713" s="12" t="s">
        <v>57</v>
      </c>
      <c r="C713" s="12" t="s">
        <v>13</v>
      </c>
      <c r="D713" s="12">
        <v>2.7148103590198196</v>
      </c>
      <c r="E713" s="12">
        <v>1.9</v>
      </c>
      <c r="F713" s="12">
        <v>20</v>
      </c>
      <c r="G713" s="12">
        <v>1.9</v>
      </c>
      <c r="H713" s="12">
        <v>1.6499183006535949</v>
      </c>
      <c r="I713" s="12" t="s">
        <v>67</v>
      </c>
      <c r="J713" s="12">
        <v>46295</v>
      </c>
      <c r="K713">
        <v>46295</v>
      </c>
    </row>
    <row r="714" spans="1:11" hidden="1" x14ac:dyDescent="0.25">
      <c r="A714" s="12" t="s">
        <v>60</v>
      </c>
      <c r="B714" s="12" t="s">
        <v>148</v>
      </c>
      <c r="C714" s="12" t="s">
        <v>15</v>
      </c>
      <c r="D714" s="12">
        <v>0</v>
      </c>
      <c r="E714" s="12">
        <v>0</v>
      </c>
      <c r="F714" s="12">
        <v>20</v>
      </c>
      <c r="G714" s="12">
        <v>0</v>
      </c>
      <c r="H714" s="12">
        <v>0</v>
      </c>
      <c r="I714" s="12" t="s">
        <v>68</v>
      </c>
      <c r="J714" s="12">
        <v>46295</v>
      </c>
      <c r="K714">
        <v>46295</v>
      </c>
    </row>
    <row r="715" spans="1:11" hidden="1" x14ac:dyDescent="0.25">
      <c r="A715" s="12" t="s">
        <v>60</v>
      </c>
      <c r="B715" s="12" t="s">
        <v>37</v>
      </c>
      <c r="C715" s="12" t="s">
        <v>15</v>
      </c>
      <c r="D715" s="12">
        <v>3.5458747546381306</v>
      </c>
      <c r="E715" s="12">
        <v>9.5</v>
      </c>
      <c r="F715" s="12">
        <v>20</v>
      </c>
      <c r="G715" s="12">
        <v>9.5</v>
      </c>
      <c r="H715" s="12">
        <v>3.3235294117647056</v>
      </c>
      <c r="I715" s="12" t="s">
        <v>68</v>
      </c>
      <c r="J715" s="12">
        <v>46295</v>
      </c>
      <c r="K715">
        <v>46295</v>
      </c>
    </row>
    <row r="716" spans="1:11" hidden="1" x14ac:dyDescent="0.25">
      <c r="A716" s="12" t="s">
        <v>60</v>
      </c>
      <c r="B716" s="12" t="s">
        <v>37</v>
      </c>
      <c r="C716" s="12" t="s">
        <v>14</v>
      </c>
      <c r="D716" s="12">
        <v>6.6485151649464944</v>
      </c>
      <c r="E716" s="12">
        <v>15.2</v>
      </c>
      <c r="F716" s="12">
        <v>20</v>
      </c>
      <c r="G716" s="12">
        <v>15.2</v>
      </c>
      <c r="H716" s="12">
        <v>7.6745098039215636</v>
      </c>
      <c r="I716" s="12" t="s">
        <v>69</v>
      </c>
      <c r="J716" s="12">
        <v>46295</v>
      </c>
      <c r="K716">
        <v>46295</v>
      </c>
    </row>
    <row r="717" spans="1:11" hidden="1" x14ac:dyDescent="0.25">
      <c r="A717" s="12" t="s">
        <v>60</v>
      </c>
      <c r="B717" s="12" t="s">
        <v>57</v>
      </c>
      <c r="C717" s="12" t="s">
        <v>15</v>
      </c>
      <c r="D717" s="12">
        <v>0</v>
      </c>
      <c r="E717" s="12">
        <v>0</v>
      </c>
      <c r="F717" s="12">
        <v>20</v>
      </c>
      <c r="G717" s="12">
        <v>0</v>
      </c>
      <c r="H717" s="12">
        <v>0</v>
      </c>
      <c r="I717" s="12" t="s">
        <v>68</v>
      </c>
      <c r="J717" s="12">
        <v>46295</v>
      </c>
      <c r="K717">
        <v>46295</v>
      </c>
    </row>
    <row r="718" spans="1:11" hidden="1" x14ac:dyDescent="0.25">
      <c r="A718" s="12" t="s">
        <v>60</v>
      </c>
      <c r="B718" s="12" t="s">
        <v>148</v>
      </c>
      <c r="C718" s="12" t="s">
        <v>14</v>
      </c>
      <c r="D718" s="12">
        <v>0</v>
      </c>
      <c r="E718" s="12">
        <v>12.35</v>
      </c>
      <c r="F718" s="12">
        <v>20</v>
      </c>
      <c r="G718" s="12">
        <v>12.35</v>
      </c>
      <c r="H718" s="12">
        <v>0.55363321799307952</v>
      </c>
      <c r="I718" s="12" t="s">
        <v>69</v>
      </c>
      <c r="J718" s="12">
        <v>46295</v>
      </c>
      <c r="K718">
        <v>46295</v>
      </c>
    </row>
    <row r="719" spans="1:11" hidden="1" x14ac:dyDescent="0.25">
      <c r="A719" s="12" t="s">
        <v>60</v>
      </c>
      <c r="B719" s="12" t="s">
        <v>57</v>
      </c>
      <c r="C719" s="12" t="s">
        <v>14</v>
      </c>
      <c r="D719" s="12">
        <v>0.62574260375967017</v>
      </c>
      <c r="E719" s="12">
        <v>2.8499999999999996</v>
      </c>
      <c r="F719" s="12">
        <v>20</v>
      </c>
      <c r="G719" s="12">
        <v>2.8499999999999996</v>
      </c>
      <c r="H719" s="12">
        <v>1.0941945405613227</v>
      </c>
      <c r="I719" s="12" t="s">
        <v>69</v>
      </c>
      <c r="J719" s="12">
        <v>46295</v>
      </c>
      <c r="K719">
        <v>46295</v>
      </c>
    </row>
    <row r="720" spans="1:11" hidden="1" x14ac:dyDescent="0.25">
      <c r="A720" s="12" t="s">
        <v>60</v>
      </c>
      <c r="B720" s="12" t="s">
        <v>38</v>
      </c>
      <c r="C720" s="12" t="s">
        <v>14</v>
      </c>
      <c r="D720" s="12">
        <v>2.5380039656311961</v>
      </c>
      <c r="E720" s="12">
        <v>3.8</v>
      </c>
      <c r="F720" s="12">
        <v>20</v>
      </c>
      <c r="G720" s="12">
        <v>3.8</v>
      </c>
      <c r="H720" s="12">
        <v>2.0484429065743948</v>
      </c>
      <c r="I720" s="12" t="s">
        <v>69</v>
      </c>
      <c r="J720" s="12">
        <v>46295</v>
      </c>
      <c r="K720">
        <v>46295</v>
      </c>
    </row>
    <row r="721" spans="1:11" hidden="1" x14ac:dyDescent="0.25">
      <c r="A721" s="12" t="s">
        <v>60</v>
      </c>
      <c r="B721" s="12" t="s">
        <v>38</v>
      </c>
      <c r="C721" s="12" t="s">
        <v>15</v>
      </c>
      <c r="D721" s="12">
        <v>1.7977528089887642</v>
      </c>
      <c r="E721" s="12">
        <v>0.95</v>
      </c>
      <c r="F721" s="12">
        <v>20</v>
      </c>
      <c r="G721" s="12">
        <v>0.95</v>
      </c>
      <c r="H721" s="12">
        <v>6.2745098039215685E-2</v>
      </c>
      <c r="I721" s="12" t="s">
        <v>68</v>
      </c>
      <c r="J721" s="12">
        <v>46295</v>
      </c>
      <c r="K721">
        <v>46295</v>
      </c>
    </row>
    <row r="722" spans="1:11" x14ac:dyDescent="0.25">
      <c r="A722" s="12" t="s">
        <v>60</v>
      </c>
      <c r="B722" s="12" t="s">
        <v>37</v>
      </c>
      <c r="C722" s="12" t="s">
        <v>13</v>
      </c>
      <c r="D722" s="12">
        <v>9.5295384030899779</v>
      </c>
      <c r="E722" s="12">
        <v>19</v>
      </c>
      <c r="F722" s="12">
        <v>20</v>
      </c>
      <c r="G722" s="12">
        <v>19</v>
      </c>
      <c r="H722" s="12">
        <v>10.14580269607843</v>
      </c>
      <c r="I722" s="12" t="s">
        <v>70</v>
      </c>
      <c r="J722" s="12">
        <v>46296</v>
      </c>
      <c r="K722">
        <v>46296</v>
      </c>
    </row>
    <row r="723" spans="1:11" hidden="1" x14ac:dyDescent="0.25">
      <c r="A723" s="12" t="s">
        <v>60</v>
      </c>
      <c r="B723" s="12" t="s">
        <v>148</v>
      </c>
      <c r="C723" s="12" t="s">
        <v>14</v>
      </c>
      <c r="D723" s="12">
        <v>0</v>
      </c>
      <c r="E723" s="12">
        <v>12.35</v>
      </c>
      <c r="F723" s="12">
        <v>20</v>
      </c>
      <c r="G723" s="12">
        <v>12.35</v>
      </c>
      <c r="H723" s="12">
        <v>0.55363321799307952</v>
      </c>
      <c r="I723" s="12" t="s">
        <v>71</v>
      </c>
      <c r="J723" s="12">
        <v>46296</v>
      </c>
      <c r="K723">
        <v>46296</v>
      </c>
    </row>
    <row r="724" spans="1:11" x14ac:dyDescent="0.25">
      <c r="A724" s="12" t="s">
        <v>60</v>
      </c>
      <c r="B724" s="12" t="s">
        <v>57</v>
      </c>
      <c r="C724" s="12" t="s">
        <v>13</v>
      </c>
      <c r="D724" s="12">
        <v>2.7148103590198196</v>
      </c>
      <c r="E724" s="12">
        <v>1.9</v>
      </c>
      <c r="F724" s="12">
        <v>20</v>
      </c>
      <c r="G724" s="12">
        <v>1.9</v>
      </c>
      <c r="H724" s="12">
        <v>1.6499183006535949</v>
      </c>
      <c r="I724" s="12" t="s">
        <v>70</v>
      </c>
      <c r="J724" s="12">
        <v>46296</v>
      </c>
      <c r="K724">
        <v>46296</v>
      </c>
    </row>
    <row r="725" spans="1:11" x14ac:dyDescent="0.25">
      <c r="A725" s="12" t="s">
        <v>60</v>
      </c>
      <c r="B725" s="12" t="s">
        <v>148</v>
      </c>
      <c r="C725" s="12" t="s">
        <v>13</v>
      </c>
      <c r="D725" s="12">
        <v>6.6875000000000009</v>
      </c>
      <c r="E725" s="12">
        <v>6.6499999999999995</v>
      </c>
      <c r="F725" s="12">
        <v>20</v>
      </c>
      <c r="G725" s="12">
        <v>6.6499999999999995</v>
      </c>
      <c r="H725" s="12">
        <v>5.3492647058823515</v>
      </c>
      <c r="I725" s="12" t="s">
        <v>70</v>
      </c>
      <c r="J725" s="12">
        <v>46296</v>
      </c>
      <c r="K725">
        <v>46296</v>
      </c>
    </row>
    <row r="726" spans="1:11" x14ac:dyDescent="0.25">
      <c r="A726" s="12" t="s">
        <v>60</v>
      </c>
      <c r="B726" s="12" t="s">
        <v>38</v>
      </c>
      <c r="C726" s="12" t="s">
        <v>13</v>
      </c>
      <c r="D726" s="12">
        <v>2.6966292134831469</v>
      </c>
      <c r="E726" s="12">
        <v>3.8</v>
      </c>
      <c r="F726" s="12">
        <v>20</v>
      </c>
      <c r="G726" s="12">
        <v>3.8</v>
      </c>
      <c r="H726" s="12">
        <v>1.7647058823529416</v>
      </c>
      <c r="I726" s="12" t="s">
        <v>70</v>
      </c>
      <c r="J726" s="12">
        <v>46296</v>
      </c>
      <c r="K726">
        <v>46296</v>
      </c>
    </row>
    <row r="727" spans="1:11" hidden="1" x14ac:dyDescent="0.25">
      <c r="A727" s="12" t="s">
        <v>60</v>
      </c>
      <c r="B727" s="12" t="s">
        <v>37</v>
      </c>
      <c r="C727" s="12" t="s">
        <v>15</v>
      </c>
      <c r="D727" s="12">
        <v>3.5458747546381306</v>
      </c>
      <c r="E727" s="12">
        <v>8.5499999999999989</v>
      </c>
      <c r="F727" s="12">
        <v>20</v>
      </c>
      <c r="G727" s="12">
        <v>8.5499999999999989</v>
      </c>
      <c r="H727" s="12">
        <v>3.2054227941176459</v>
      </c>
      <c r="I727" s="12" t="s">
        <v>72</v>
      </c>
      <c r="J727" s="12">
        <v>46296</v>
      </c>
      <c r="K727">
        <v>46296</v>
      </c>
    </row>
    <row r="728" spans="1:11" hidden="1" x14ac:dyDescent="0.25">
      <c r="A728" s="12" t="s">
        <v>60</v>
      </c>
      <c r="B728" s="12" t="s">
        <v>57</v>
      </c>
      <c r="C728" s="12" t="s">
        <v>15</v>
      </c>
      <c r="D728" s="12">
        <v>0</v>
      </c>
      <c r="E728" s="12">
        <v>0</v>
      </c>
      <c r="F728" s="12">
        <v>20</v>
      </c>
      <c r="G728" s="12">
        <v>0</v>
      </c>
      <c r="H728" s="12">
        <v>0</v>
      </c>
      <c r="I728" s="12" t="s">
        <v>72</v>
      </c>
      <c r="J728" s="12">
        <v>46296</v>
      </c>
      <c r="K728">
        <v>46296</v>
      </c>
    </row>
    <row r="729" spans="1:11" hidden="1" x14ac:dyDescent="0.25">
      <c r="A729" s="12" t="s">
        <v>60</v>
      </c>
      <c r="B729" s="12" t="s">
        <v>38</v>
      </c>
      <c r="C729" s="12" t="s">
        <v>15</v>
      </c>
      <c r="D729" s="12">
        <v>1.7977528089887642</v>
      </c>
      <c r="E729" s="12">
        <v>0.95</v>
      </c>
      <c r="F729" s="12">
        <v>20</v>
      </c>
      <c r="G729" s="12">
        <v>0.95</v>
      </c>
      <c r="H729" s="12">
        <v>6.2745098039215685E-2</v>
      </c>
      <c r="I729" s="12" t="s">
        <v>72</v>
      </c>
      <c r="J729" s="12">
        <v>46296</v>
      </c>
      <c r="K729">
        <v>46296</v>
      </c>
    </row>
    <row r="730" spans="1:11" hidden="1" x14ac:dyDescent="0.25">
      <c r="A730" s="12" t="s">
        <v>60</v>
      </c>
      <c r="B730" s="12" t="s">
        <v>148</v>
      </c>
      <c r="C730" s="12" t="s">
        <v>15</v>
      </c>
      <c r="D730" s="12">
        <v>0</v>
      </c>
      <c r="E730" s="12">
        <v>0</v>
      </c>
      <c r="F730" s="12">
        <v>20</v>
      </c>
      <c r="G730" s="12">
        <v>0</v>
      </c>
      <c r="H730" s="12">
        <v>0</v>
      </c>
      <c r="I730" s="12" t="s">
        <v>72</v>
      </c>
      <c r="J730" s="12">
        <v>46296</v>
      </c>
      <c r="K730">
        <v>46296</v>
      </c>
    </row>
    <row r="731" spans="1:11" hidden="1" x14ac:dyDescent="0.25">
      <c r="A731" s="12" t="s">
        <v>60</v>
      </c>
      <c r="B731" s="12" t="s">
        <v>37</v>
      </c>
      <c r="C731" s="12" t="s">
        <v>14</v>
      </c>
      <c r="D731" s="12">
        <v>7.313366681441142</v>
      </c>
      <c r="E731" s="12">
        <v>16.149999999999999</v>
      </c>
      <c r="F731" s="12">
        <v>20</v>
      </c>
      <c r="G731" s="12">
        <v>16.149999999999999</v>
      </c>
      <c r="H731" s="12">
        <v>7.832368259803915</v>
      </c>
      <c r="I731" s="12" t="s">
        <v>71</v>
      </c>
      <c r="J731" s="12">
        <v>46296</v>
      </c>
      <c r="K731">
        <v>46296</v>
      </c>
    </row>
    <row r="732" spans="1:11" hidden="1" x14ac:dyDescent="0.25">
      <c r="A732" s="12" t="s">
        <v>60</v>
      </c>
      <c r="B732" s="12" t="s">
        <v>38</v>
      </c>
      <c r="C732" s="12" t="s">
        <v>14</v>
      </c>
      <c r="D732" s="12">
        <v>2.5380039656311961</v>
      </c>
      <c r="E732" s="12">
        <v>3.8</v>
      </c>
      <c r="F732" s="12">
        <v>20</v>
      </c>
      <c r="G732" s="12">
        <v>3.8</v>
      </c>
      <c r="H732" s="12">
        <v>2.0484429065743948</v>
      </c>
      <c r="I732" s="12" t="s">
        <v>71</v>
      </c>
      <c r="J732" s="12">
        <v>46296</v>
      </c>
      <c r="K732">
        <v>46296</v>
      </c>
    </row>
    <row r="733" spans="1:11" hidden="1" x14ac:dyDescent="0.25">
      <c r="A733" s="12" t="s">
        <v>60</v>
      </c>
      <c r="B733" s="12" t="s">
        <v>57</v>
      </c>
      <c r="C733" s="12" t="s">
        <v>14</v>
      </c>
      <c r="D733" s="12">
        <v>0</v>
      </c>
      <c r="E733" s="12">
        <v>1.9</v>
      </c>
      <c r="F733" s="12">
        <v>20</v>
      </c>
      <c r="G733" s="12">
        <v>1.9</v>
      </c>
      <c r="H733" s="12">
        <v>0.38831218762014608</v>
      </c>
      <c r="I733" s="12" t="s">
        <v>71</v>
      </c>
      <c r="J733" s="12">
        <v>46296</v>
      </c>
      <c r="K733">
        <v>46296</v>
      </c>
    </row>
    <row r="734" spans="1:11" x14ac:dyDescent="0.25">
      <c r="A734" s="12" t="s">
        <v>60</v>
      </c>
      <c r="B734" s="12" t="s">
        <v>38</v>
      </c>
      <c r="C734" s="12" t="s">
        <v>13</v>
      </c>
      <c r="D734" s="12">
        <v>2.3595505617977532</v>
      </c>
      <c r="E734" s="12">
        <v>2.8499999999999996</v>
      </c>
      <c r="F734" s="12">
        <v>20</v>
      </c>
      <c r="G734" s="12">
        <v>2.8499999999999996</v>
      </c>
      <c r="H734" s="12">
        <v>1.6911764705882355</v>
      </c>
      <c r="I734" s="12" t="s">
        <v>73</v>
      </c>
      <c r="J734" s="12">
        <v>46297</v>
      </c>
      <c r="K734">
        <v>46297</v>
      </c>
    </row>
    <row r="735" spans="1:11" hidden="1" x14ac:dyDescent="0.25">
      <c r="A735" s="12" t="s">
        <v>60</v>
      </c>
      <c r="B735" s="12" t="s">
        <v>37</v>
      </c>
      <c r="C735" s="12" t="s">
        <v>14</v>
      </c>
      <c r="D735" s="12">
        <v>7.313366681441142</v>
      </c>
      <c r="E735" s="12">
        <v>16.149999999999999</v>
      </c>
      <c r="F735" s="12">
        <v>20</v>
      </c>
      <c r="G735" s="12">
        <v>16.149999999999999</v>
      </c>
      <c r="H735" s="12">
        <v>7.7178043605501836</v>
      </c>
      <c r="I735" s="12" t="s">
        <v>75</v>
      </c>
      <c r="J735" s="12">
        <v>46297</v>
      </c>
      <c r="K735">
        <v>46297</v>
      </c>
    </row>
    <row r="736" spans="1:11" hidden="1" x14ac:dyDescent="0.25">
      <c r="A736" s="12" t="s">
        <v>60</v>
      </c>
      <c r="B736" s="12" t="s">
        <v>57</v>
      </c>
      <c r="C736" s="12" t="s">
        <v>15</v>
      </c>
      <c r="D736" s="12">
        <v>0</v>
      </c>
      <c r="E736" s="12">
        <v>0</v>
      </c>
      <c r="F736" s="12">
        <v>20</v>
      </c>
      <c r="G736" s="12">
        <v>0</v>
      </c>
      <c r="H736" s="12">
        <v>0</v>
      </c>
      <c r="I736" s="12" t="s">
        <v>74</v>
      </c>
      <c r="J736" s="12">
        <v>46297</v>
      </c>
      <c r="K736">
        <v>46297</v>
      </c>
    </row>
    <row r="737" spans="1:11" hidden="1" x14ac:dyDescent="0.25">
      <c r="A737" s="12" t="s">
        <v>60</v>
      </c>
      <c r="B737" s="12" t="s">
        <v>148</v>
      </c>
      <c r="C737" s="12" t="s">
        <v>15</v>
      </c>
      <c r="D737" s="12">
        <v>0</v>
      </c>
      <c r="E737" s="12">
        <v>0</v>
      </c>
      <c r="F737" s="12">
        <v>20</v>
      </c>
      <c r="G737" s="12">
        <v>0</v>
      </c>
      <c r="H737" s="12">
        <v>0</v>
      </c>
      <c r="I737" s="12" t="s">
        <v>74</v>
      </c>
      <c r="J737" s="12">
        <v>46297</v>
      </c>
      <c r="K737">
        <v>46297</v>
      </c>
    </row>
    <row r="738" spans="1:11" hidden="1" x14ac:dyDescent="0.25">
      <c r="A738" s="12" t="s">
        <v>60</v>
      </c>
      <c r="B738" s="12" t="s">
        <v>38</v>
      </c>
      <c r="C738" s="12" t="s">
        <v>15</v>
      </c>
      <c r="D738" s="12">
        <v>1.7977528089887642</v>
      </c>
      <c r="E738" s="12">
        <v>1.9</v>
      </c>
      <c r="F738" s="12">
        <v>20</v>
      </c>
      <c r="G738" s="12">
        <v>1.9</v>
      </c>
      <c r="H738" s="12">
        <v>1.0127450980392154</v>
      </c>
      <c r="I738" s="12" t="s">
        <v>74</v>
      </c>
      <c r="J738" s="12">
        <v>46297</v>
      </c>
      <c r="K738">
        <v>46297</v>
      </c>
    </row>
    <row r="739" spans="1:11" hidden="1" x14ac:dyDescent="0.25">
      <c r="A739" s="12" t="s">
        <v>60</v>
      </c>
      <c r="B739" s="12" t="s">
        <v>37</v>
      </c>
      <c r="C739" s="12" t="s">
        <v>15</v>
      </c>
      <c r="D739" s="12">
        <v>3.5458747546381306</v>
      </c>
      <c r="E739" s="12">
        <v>8.5499999999999989</v>
      </c>
      <c r="F739" s="12">
        <v>20</v>
      </c>
      <c r="G739" s="12">
        <v>8.5499999999999989</v>
      </c>
      <c r="H739" s="12">
        <v>4.8512949956101838</v>
      </c>
      <c r="I739" s="12" t="s">
        <v>74</v>
      </c>
      <c r="J739" s="12">
        <v>46297</v>
      </c>
      <c r="K739">
        <v>46297</v>
      </c>
    </row>
    <row r="740" spans="1:11" x14ac:dyDescent="0.25">
      <c r="A740" s="12" t="s">
        <v>60</v>
      </c>
      <c r="B740" s="12" t="s">
        <v>148</v>
      </c>
      <c r="C740" s="12" t="s">
        <v>13</v>
      </c>
      <c r="D740" s="12">
        <v>5.1875000000000009</v>
      </c>
      <c r="E740" s="12">
        <v>5.6999999999999993</v>
      </c>
      <c r="F740" s="12">
        <v>20</v>
      </c>
      <c r="G740" s="12">
        <v>5.6999999999999993</v>
      </c>
      <c r="H740" s="12">
        <v>4.5992647058823515</v>
      </c>
      <c r="I740" s="12" t="s">
        <v>73</v>
      </c>
      <c r="J740" s="12">
        <v>46297</v>
      </c>
      <c r="K740">
        <v>46297</v>
      </c>
    </row>
    <row r="741" spans="1:11" x14ac:dyDescent="0.25">
      <c r="A741" s="12" t="s">
        <v>60</v>
      </c>
      <c r="B741" s="12" t="s">
        <v>37</v>
      </c>
      <c r="C741" s="12" t="s">
        <v>13</v>
      </c>
      <c r="D741" s="12">
        <v>9.5295384030899779</v>
      </c>
      <c r="E741" s="12">
        <v>15.2</v>
      </c>
      <c r="F741" s="12">
        <v>20</v>
      </c>
      <c r="G741" s="12">
        <v>15.2</v>
      </c>
      <c r="H741" s="12">
        <v>10.82549019607843</v>
      </c>
      <c r="I741" s="12" t="s">
        <v>73</v>
      </c>
      <c r="J741" s="12">
        <v>46297</v>
      </c>
      <c r="K741">
        <v>46297</v>
      </c>
    </row>
    <row r="742" spans="1:11" x14ac:dyDescent="0.25">
      <c r="A742" s="12" t="s">
        <v>60</v>
      </c>
      <c r="B742" s="12" t="s">
        <v>57</v>
      </c>
      <c r="C742" s="12" t="s">
        <v>13</v>
      </c>
      <c r="D742" s="12">
        <v>1.7729373773190653</v>
      </c>
      <c r="E742" s="12">
        <v>0.95</v>
      </c>
      <c r="F742" s="12">
        <v>20</v>
      </c>
      <c r="G742" s="12">
        <v>0.95</v>
      </c>
      <c r="H742" s="12">
        <v>0.82352941176470595</v>
      </c>
      <c r="I742" s="12" t="s">
        <v>73</v>
      </c>
      <c r="J742" s="12">
        <v>46297</v>
      </c>
      <c r="K742">
        <v>46297</v>
      </c>
    </row>
    <row r="743" spans="1:11" hidden="1" x14ac:dyDescent="0.25">
      <c r="A743" s="12" t="s">
        <v>60</v>
      </c>
      <c r="B743" s="12" t="s">
        <v>57</v>
      </c>
      <c r="C743" s="12" t="s">
        <v>14</v>
      </c>
      <c r="D743" s="12">
        <v>0</v>
      </c>
      <c r="E743" s="12">
        <v>0.95</v>
      </c>
      <c r="F743" s="12">
        <v>20</v>
      </c>
      <c r="G743" s="12">
        <v>0.95</v>
      </c>
      <c r="H743" s="12">
        <v>0.16608996539792387</v>
      </c>
      <c r="I743" s="12" t="s">
        <v>75</v>
      </c>
      <c r="J743" s="12">
        <v>46297</v>
      </c>
      <c r="K743">
        <v>46297</v>
      </c>
    </row>
    <row r="744" spans="1:11" hidden="1" x14ac:dyDescent="0.25">
      <c r="A744" s="12" t="s">
        <v>60</v>
      </c>
      <c r="B744" s="12" t="s">
        <v>38</v>
      </c>
      <c r="C744" s="12" t="s">
        <v>14</v>
      </c>
      <c r="D744" s="12">
        <v>2.5380039656311961</v>
      </c>
      <c r="E744" s="12">
        <v>3.8</v>
      </c>
      <c r="F744" s="12">
        <v>20</v>
      </c>
      <c r="G744" s="12">
        <v>3.8</v>
      </c>
      <c r="H744" s="12">
        <v>2.0220588235294117</v>
      </c>
      <c r="I744" s="12" t="s">
        <v>75</v>
      </c>
      <c r="J744" s="12">
        <v>46297</v>
      </c>
      <c r="K744">
        <v>46297</v>
      </c>
    </row>
    <row r="745" spans="1:11" hidden="1" x14ac:dyDescent="0.25">
      <c r="A745" s="12" t="s">
        <v>60</v>
      </c>
      <c r="B745" s="12" t="s">
        <v>148</v>
      </c>
      <c r="C745" s="12" t="s">
        <v>14</v>
      </c>
      <c r="D745" s="12">
        <v>0</v>
      </c>
      <c r="E745" s="12">
        <v>11.4</v>
      </c>
      <c r="F745" s="12">
        <v>20</v>
      </c>
      <c r="G745" s="12">
        <v>11.4</v>
      </c>
      <c r="H745" s="12">
        <v>0.55363321799307952</v>
      </c>
      <c r="I745" s="12" t="s">
        <v>75</v>
      </c>
      <c r="J745" s="12">
        <v>46297</v>
      </c>
      <c r="K745">
        <v>46297</v>
      </c>
    </row>
    <row r="746" spans="1:11" hidden="1" x14ac:dyDescent="0.25">
      <c r="A746" s="12" t="s">
        <v>60</v>
      </c>
      <c r="B746" s="12" t="s">
        <v>37</v>
      </c>
      <c r="C746" s="12" t="s">
        <v>15</v>
      </c>
      <c r="D746" s="12">
        <v>3.5458747546381306</v>
      </c>
      <c r="E746" s="12">
        <v>10.45</v>
      </c>
      <c r="F746" s="12">
        <v>20</v>
      </c>
      <c r="G746" s="12">
        <v>10.45</v>
      </c>
      <c r="H746" s="12">
        <v>4.1760110294117645</v>
      </c>
      <c r="I746" s="12" t="s">
        <v>76</v>
      </c>
      <c r="J746" s="12">
        <v>46298</v>
      </c>
      <c r="K746">
        <v>46298</v>
      </c>
    </row>
    <row r="747" spans="1:11" hidden="1" x14ac:dyDescent="0.25">
      <c r="A747" s="12" t="s">
        <v>60</v>
      </c>
      <c r="B747" s="12" t="s">
        <v>148</v>
      </c>
      <c r="C747" s="12" t="s">
        <v>14</v>
      </c>
      <c r="D747" s="12">
        <v>0</v>
      </c>
      <c r="E747" s="12">
        <v>0.95</v>
      </c>
      <c r="F747" s="12">
        <v>20</v>
      </c>
      <c r="G747" s="12">
        <v>0.95</v>
      </c>
      <c r="H747" s="12">
        <v>0.17647058823529413</v>
      </c>
      <c r="I747" s="12" t="s">
        <v>78</v>
      </c>
      <c r="J747" s="12">
        <v>46298</v>
      </c>
      <c r="K747">
        <v>46298</v>
      </c>
    </row>
    <row r="748" spans="1:11" hidden="1" x14ac:dyDescent="0.25">
      <c r="A748" s="12" t="s">
        <v>60</v>
      </c>
      <c r="B748" s="12" t="s">
        <v>57</v>
      </c>
      <c r="C748" s="12" t="s">
        <v>14</v>
      </c>
      <c r="D748" s="12">
        <v>0</v>
      </c>
      <c r="E748" s="12">
        <v>0</v>
      </c>
      <c r="F748" s="12">
        <v>20</v>
      </c>
      <c r="G748" s="12">
        <v>0</v>
      </c>
      <c r="H748" s="12">
        <v>0</v>
      </c>
      <c r="I748" s="12" t="s">
        <v>78</v>
      </c>
      <c r="J748" s="12">
        <v>46298</v>
      </c>
      <c r="K748">
        <v>46298</v>
      </c>
    </row>
    <row r="749" spans="1:11" hidden="1" x14ac:dyDescent="0.25">
      <c r="A749" s="12" t="s">
        <v>60</v>
      </c>
      <c r="B749" s="12" t="s">
        <v>37</v>
      </c>
      <c r="C749" s="12" t="s">
        <v>14</v>
      </c>
      <c r="D749" s="12">
        <v>7.313366681441142</v>
      </c>
      <c r="E749" s="12">
        <v>15.2</v>
      </c>
      <c r="F749" s="12">
        <v>20</v>
      </c>
      <c r="G749" s="12">
        <v>15.2</v>
      </c>
      <c r="H749" s="12">
        <v>8.1563878676470587</v>
      </c>
      <c r="I749" s="12" t="s">
        <v>78</v>
      </c>
      <c r="J749" s="12">
        <v>46298</v>
      </c>
      <c r="K749">
        <v>46298</v>
      </c>
    </row>
    <row r="750" spans="1:11" hidden="1" x14ac:dyDescent="0.25">
      <c r="A750" s="12" t="s">
        <v>60</v>
      </c>
      <c r="B750" s="12" t="s">
        <v>148</v>
      </c>
      <c r="C750" s="12" t="s">
        <v>15</v>
      </c>
      <c r="D750" s="12">
        <v>0</v>
      </c>
      <c r="E750" s="12">
        <v>0.95</v>
      </c>
      <c r="F750" s="12">
        <v>20</v>
      </c>
      <c r="G750" s="12">
        <v>0.95</v>
      </c>
      <c r="H750" s="12">
        <v>0</v>
      </c>
      <c r="I750" s="12" t="s">
        <v>76</v>
      </c>
      <c r="J750" s="12">
        <v>46298</v>
      </c>
      <c r="K750">
        <v>46298</v>
      </c>
    </row>
    <row r="751" spans="1:11" hidden="1" x14ac:dyDescent="0.25">
      <c r="A751" s="12" t="s">
        <v>60</v>
      </c>
      <c r="B751" s="12" t="s">
        <v>38</v>
      </c>
      <c r="C751" s="12" t="s">
        <v>15</v>
      </c>
      <c r="D751" s="12">
        <v>1.7977528089887642</v>
      </c>
      <c r="E751" s="12">
        <v>0.95</v>
      </c>
      <c r="F751" s="12">
        <v>20</v>
      </c>
      <c r="G751" s="12">
        <v>0.95</v>
      </c>
      <c r="H751" s="12">
        <v>6.2745098039215685E-2</v>
      </c>
      <c r="I751" s="12" t="s">
        <v>76</v>
      </c>
      <c r="J751" s="12">
        <v>46298</v>
      </c>
      <c r="K751">
        <v>46298</v>
      </c>
    </row>
    <row r="752" spans="1:11" hidden="1" x14ac:dyDescent="0.25">
      <c r="A752" s="12" t="s">
        <v>60</v>
      </c>
      <c r="B752" s="12" t="s">
        <v>38</v>
      </c>
      <c r="C752" s="12" t="s">
        <v>14</v>
      </c>
      <c r="D752" s="12">
        <v>2.538003965631197</v>
      </c>
      <c r="E752" s="12">
        <v>2.8499999999999996</v>
      </c>
      <c r="F752" s="12">
        <v>20</v>
      </c>
      <c r="G752" s="12">
        <v>2.8499999999999996</v>
      </c>
      <c r="H752" s="12">
        <v>1.882352941176471</v>
      </c>
      <c r="I752" s="12" t="s">
        <v>78</v>
      </c>
      <c r="J752" s="12">
        <v>46298</v>
      </c>
      <c r="K752">
        <v>46298</v>
      </c>
    </row>
    <row r="753" spans="1:11" x14ac:dyDescent="0.25">
      <c r="A753" s="12" t="s">
        <v>60</v>
      </c>
      <c r="B753" s="12" t="s">
        <v>37</v>
      </c>
      <c r="C753" s="12" t="s">
        <v>13</v>
      </c>
      <c r="D753" s="12">
        <v>9.5295384030899779</v>
      </c>
      <c r="E753" s="12">
        <v>15.2</v>
      </c>
      <c r="F753" s="12">
        <v>20</v>
      </c>
      <c r="G753" s="12">
        <v>15.2</v>
      </c>
      <c r="H753" s="12">
        <v>9.4760576712028097</v>
      </c>
      <c r="I753" s="12" t="s">
        <v>77</v>
      </c>
      <c r="J753" s="12">
        <v>46298</v>
      </c>
      <c r="K753">
        <v>46298</v>
      </c>
    </row>
    <row r="754" spans="1:11" x14ac:dyDescent="0.25">
      <c r="A754" s="12" t="s">
        <v>60</v>
      </c>
      <c r="B754" s="12" t="s">
        <v>38</v>
      </c>
      <c r="C754" s="12" t="s">
        <v>13</v>
      </c>
      <c r="D754" s="12">
        <v>1.3483146067415734</v>
      </c>
      <c r="E754" s="12">
        <v>3.8</v>
      </c>
      <c r="F754" s="12">
        <v>20</v>
      </c>
      <c r="G754" s="12">
        <v>3.8</v>
      </c>
      <c r="H754" s="12">
        <v>1.8396139705882359</v>
      </c>
      <c r="I754" s="12" t="s">
        <v>77</v>
      </c>
      <c r="J754" s="12">
        <v>46298</v>
      </c>
      <c r="K754">
        <v>46298</v>
      </c>
    </row>
    <row r="755" spans="1:11" x14ac:dyDescent="0.25">
      <c r="A755" s="12" t="s">
        <v>60</v>
      </c>
      <c r="B755" s="12" t="s">
        <v>57</v>
      </c>
      <c r="C755" s="12" t="s">
        <v>13</v>
      </c>
      <c r="D755" s="12">
        <v>0.88646868865953277</v>
      </c>
      <c r="E755" s="12">
        <v>0</v>
      </c>
      <c r="F755" s="12">
        <v>20</v>
      </c>
      <c r="G755" s="12">
        <v>0</v>
      </c>
      <c r="H755" s="12">
        <v>0</v>
      </c>
      <c r="I755" s="12" t="s">
        <v>77</v>
      </c>
      <c r="J755" s="12">
        <v>46298</v>
      </c>
      <c r="K755">
        <v>46298</v>
      </c>
    </row>
    <row r="756" spans="1:11" x14ac:dyDescent="0.25">
      <c r="A756" s="12" t="s">
        <v>60</v>
      </c>
      <c r="B756" s="12" t="s">
        <v>148</v>
      </c>
      <c r="C756" s="12" t="s">
        <v>13</v>
      </c>
      <c r="D756" s="12">
        <v>0.56250000000000011</v>
      </c>
      <c r="E756" s="12">
        <v>0.95</v>
      </c>
      <c r="F756" s="12">
        <v>20</v>
      </c>
      <c r="G756" s="12">
        <v>0.95</v>
      </c>
      <c r="H756" s="12">
        <v>0.43749999999999994</v>
      </c>
      <c r="I756" s="12" t="s">
        <v>77</v>
      </c>
      <c r="J756" s="12">
        <v>46298</v>
      </c>
      <c r="K756">
        <v>46298</v>
      </c>
    </row>
    <row r="757" spans="1:11" hidden="1" x14ac:dyDescent="0.25">
      <c r="A757" s="12" t="s">
        <v>60</v>
      </c>
      <c r="B757" s="12" t="s">
        <v>57</v>
      </c>
      <c r="C757" s="12" t="s">
        <v>15</v>
      </c>
      <c r="D757" s="12">
        <v>0</v>
      </c>
      <c r="E757" s="12">
        <v>0</v>
      </c>
      <c r="F757" s="12">
        <v>20</v>
      </c>
      <c r="G757" s="12">
        <v>0</v>
      </c>
      <c r="H757" s="12">
        <v>0</v>
      </c>
      <c r="I757" s="12" t="s">
        <v>76</v>
      </c>
      <c r="J757" s="12">
        <v>46298</v>
      </c>
      <c r="K757">
        <v>46298</v>
      </c>
    </row>
    <row r="758" spans="1:11" x14ac:dyDescent="0.25">
      <c r="A758" s="12" t="s">
        <v>60</v>
      </c>
      <c r="B758" s="12" t="s">
        <v>38</v>
      </c>
      <c r="C758" s="12" t="s">
        <v>13</v>
      </c>
      <c r="D758" s="12">
        <v>1.3483146067415734</v>
      </c>
      <c r="E758" s="12">
        <v>2.8499999999999996</v>
      </c>
      <c r="F758" s="12">
        <v>20</v>
      </c>
      <c r="G758" s="12">
        <v>2.8499999999999996</v>
      </c>
      <c r="H758" s="12">
        <v>1.6911764705882355</v>
      </c>
      <c r="I758" s="12" t="s">
        <v>79</v>
      </c>
      <c r="J758" s="12">
        <v>46299</v>
      </c>
      <c r="K758">
        <v>46299</v>
      </c>
    </row>
    <row r="759" spans="1:11" x14ac:dyDescent="0.25">
      <c r="A759" s="12" t="s">
        <v>60</v>
      </c>
      <c r="B759" s="12" t="s">
        <v>148</v>
      </c>
      <c r="C759" s="12" t="s">
        <v>13</v>
      </c>
      <c r="D759" s="12">
        <v>0.56250000000000011</v>
      </c>
      <c r="E759" s="12">
        <v>0.95</v>
      </c>
      <c r="F759" s="12">
        <v>20</v>
      </c>
      <c r="G759" s="12">
        <v>0.95</v>
      </c>
      <c r="H759" s="12">
        <v>0.43749999999999994</v>
      </c>
      <c r="I759" s="12" t="s">
        <v>79</v>
      </c>
      <c r="J759" s="12">
        <v>46299</v>
      </c>
      <c r="K759">
        <v>46299</v>
      </c>
    </row>
    <row r="760" spans="1:11" x14ac:dyDescent="0.25">
      <c r="A760" s="12" t="s">
        <v>60</v>
      </c>
      <c r="B760" s="12" t="s">
        <v>57</v>
      </c>
      <c r="C760" s="12" t="s">
        <v>13</v>
      </c>
      <c r="D760" s="12">
        <v>0.88646868865953277</v>
      </c>
      <c r="E760" s="12">
        <v>0</v>
      </c>
      <c r="F760" s="12">
        <v>20</v>
      </c>
      <c r="G760" s="12">
        <v>0</v>
      </c>
      <c r="H760" s="12">
        <v>0</v>
      </c>
      <c r="I760" s="12" t="s">
        <v>79</v>
      </c>
      <c r="J760" s="12">
        <v>46299</v>
      </c>
      <c r="K760">
        <v>46299</v>
      </c>
    </row>
    <row r="761" spans="1:11" x14ac:dyDescent="0.25">
      <c r="A761" s="12" t="s">
        <v>60</v>
      </c>
      <c r="B761" s="12" t="s">
        <v>37</v>
      </c>
      <c r="C761" s="12" t="s">
        <v>13</v>
      </c>
      <c r="D761" s="12">
        <v>8.6430697144304478</v>
      </c>
      <c r="E761" s="12">
        <v>16.149999999999999</v>
      </c>
      <c r="F761" s="12">
        <v>20</v>
      </c>
      <c r="G761" s="12">
        <v>16.149999999999999</v>
      </c>
      <c r="H761" s="12">
        <v>10.957668067226892</v>
      </c>
      <c r="I761" s="12" t="s">
        <v>79</v>
      </c>
      <c r="J761" s="12">
        <v>46299</v>
      </c>
      <c r="K761">
        <v>46299</v>
      </c>
    </row>
    <row r="762" spans="1:11" hidden="1" x14ac:dyDescent="0.25">
      <c r="A762" s="12" t="s">
        <v>60</v>
      </c>
      <c r="B762" s="12" t="s">
        <v>57</v>
      </c>
      <c r="C762" s="12" t="s">
        <v>15</v>
      </c>
      <c r="D762" s="12">
        <v>0</v>
      </c>
      <c r="E762" s="12">
        <v>0</v>
      </c>
      <c r="F762" s="12">
        <v>20</v>
      </c>
      <c r="G762" s="12">
        <v>0</v>
      </c>
      <c r="H762" s="12">
        <v>0</v>
      </c>
      <c r="I762" s="12" t="s">
        <v>81</v>
      </c>
      <c r="J762" s="12">
        <v>46299</v>
      </c>
      <c r="K762">
        <v>46299</v>
      </c>
    </row>
    <row r="763" spans="1:11" hidden="1" x14ac:dyDescent="0.25">
      <c r="A763" s="12" t="s">
        <v>60</v>
      </c>
      <c r="B763" s="12" t="s">
        <v>37</v>
      </c>
      <c r="C763" s="12" t="s">
        <v>14</v>
      </c>
      <c r="D763" s="12">
        <v>7.313366681441142</v>
      </c>
      <c r="E763" s="12">
        <v>17.099999999999998</v>
      </c>
      <c r="F763" s="12">
        <v>20</v>
      </c>
      <c r="G763" s="12">
        <v>17.099999999999998</v>
      </c>
      <c r="H763" s="12">
        <v>8.5533613445378069</v>
      </c>
      <c r="I763" s="12" t="s">
        <v>80</v>
      </c>
      <c r="J763" s="12">
        <v>46299</v>
      </c>
      <c r="K763">
        <v>46299</v>
      </c>
    </row>
    <row r="764" spans="1:11" hidden="1" x14ac:dyDescent="0.25">
      <c r="A764" s="12" t="s">
        <v>60</v>
      </c>
      <c r="B764" s="12" t="s">
        <v>37</v>
      </c>
      <c r="C764" s="12" t="s">
        <v>15</v>
      </c>
      <c r="D764" s="12">
        <v>3.5458747546381306</v>
      </c>
      <c r="E764" s="12">
        <v>10.45</v>
      </c>
      <c r="F764" s="12">
        <v>20</v>
      </c>
      <c r="G764" s="12">
        <v>10.45</v>
      </c>
      <c r="H764" s="12">
        <v>4.1764705882352935</v>
      </c>
      <c r="I764" s="12" t="s">
        <v>81</v>
      </c>
      <c r="J764" s="12">
        <v>46299</v>
      </c>
      <c r="K764">
        <v>46299</v>
      </c>
    </row>
    <row r="765" spans="1:11" hidden="1" x14ac:dyDescent="0.25">
      <c r="A765" s="12" t="s">
        <v>60</v>
      </c>
      <c r="B765" s="12" t="s">
        <v>38</v>
      </c>
      <c r="C765" s="12" t="s">
        <v>15</v>
      </c>
      <c r="D765" s="12">
        <v>1.7977528089887642</v>
      </c>
      <c r="E765" s="12">
        <v>1.9</v>
      </c>
      <c r="F765" s="12">
        <v>20</v>
      </c>
      <c r="G765" s="12">
        <v>1.9</v>
      </c>
      <c r="H765" s="12">
        <v>1.0127450980392154</v>
      </c>
      <c r="I765" s="12" t="s">
        <v>81</v>
      </c>
      <c r="J765" s="12">
        <v>46299</v>
      </c>
      <c r="K765">
        <v>46299</v>
      </c>
    </row>
    <row r="766" spans="1:11" hidden="1" x14ac:dyDescent="0.25">
      <c r="A766" s="12" t="s">
        <v>60</v>
      </c>
      <c r="B766" s="12" t="s">
        <v>148</v>
      </c>
      <c r="C766" s="12" t="s">
        <v>14</v>
      </c>
      <c r="D766" s="12">
        <v>0</v>
      </c>
      <c r="E766" s="12">
        <v>1.9</v>
      </c>
      <c r="F766" s="12">
        <v>20</v>
      </c>
      <c r="G766" s="12">
        <v>1.9</v>
      </c>
      <c r="H766" s="12">
        <v>0.17647058823529413</v>
      </c>
      <c r="I766" s="12" t="s">
        <v>80</v>
      </c>
      <c r="J766" s="12">
        <v>46299</v>
      </c>
      <c r="K766">
        <v>46299</v>
      </c>
    </row>
    <row r="767" spans="1:11" hidden="1" x14ac:dyDescent="0.25">
      <c r="A767" s="12" t="s">
        <v>60</v>
      </c>
      <c r="B767" s="12" t="s">
        <v>57</v>
      </c>
      <c r="C767" s="12" t="s">
        <v>14</v>
      </c>
      <c r="D767" s="12">
        <v>0</v>
      </c>
      <c r="E767" s="12">
        <v>0</v>
      </c>
      <c r="F767" s="12">
        <v>20</v>
      </c>
      <c r="G767" s="12">
        <v>0</v>
      </c>
      <c r="H767" s="12">
        <v>0</v>
      </c>
      <c r="I767" s="12" t="s">
        <v>80</v>
      </c>
      <c r="J767" s="12">
        <v>46299</v>
      </c>
      <c r="K767">
        <v>46299</v>
      </c>
    </row>
    <row r="768" spans="1:11" hidden="1" x14ac:dyDescent="0.25">
      <c r="A768" s="12" t="s">
        <v>60</v>
      </c>
      <c r="B768" s="12" t="s">
        <v>148</v>
      </c>
      <c r="C768" s="12" t="s">
        <v>15</v>
      </c>
      <c r="D768" s="12">
        <v>0</v>
      </c>
      <c r="E768" s="12">
        <v>0</v>
      </c>
      <c r="F768" s="12">
        <v>20</v>
      </c>
      <c r="G768" s="12">
        <v>0</v>
      </c>
      <c r="H768" s="12">
        <v>0</v>
      </c>
      <c r="I768" s="12" t="s">
        <v>81</v>
      </c>
      <c r="J768" s="12">
        <v>46299</v>
      </c>
      <c r="K768">
        <v>46299</v>
      </c>
    </row>
    <row r="769" spans="1:11" hidden="1" x14ac:dyDescent="0.25">
      <c r="A769" s="12" t="s">
        <v>60</v>
      </c>
      <c r="B769" s="12" t="s">
        <v>38</v>
      </c>
      <c r="C769" s="12" t="s">
        <v>14</v>
      </c>
      <c r="D769" s="12">
        <v>2.5380039656311961</v>
      </c>
      <c r="E769" s="12">
        <v>3.8</v>
      </c>
      <c r="F769" s="12">
        <v>20</v>
      </c>
      <c r="G769" s="12">
        <v>3.8</v>
      </c>
      <c r="H769" s="12">
        <v>2.0220588235294117</v>
      </c>
      <c r="I769" s="12" t="s">
        <v>80</v>
      </c>
      <c r="J769" s="12">
        <v>46299</v>
      </c>
      <c r="K769">
        <v>46299</v>
      </c>
    </row>
    <row r="770" spans="1:11" hidden="1" x14ac:dyDescent="0.25">
      <c r="A770" s="12" t="s">
        <v>60</v>
      </c>
      <c r="B770" s="12" t="s">
        <v>37</v>
      </c>
      <c r="C770" s="12" t="s">
        <v>14</v>
      </c>
      <c r="D770" s="12">
        <v>7.313366681441142</v>
      </c>
      <c r="E770" s="12">
        <v>16.149999999999999</v>
      </c>
      <c r="F770" s="12">
        <v>20</v>
      </c>
      <c r="G770" s="12">
        <v>16.149999999999999</v>
      </c>
      <c r="H770" s="12">
        <v>8.6009803921568562</v>
      </c>
      <c r="I770" s="12" t="s">
        <v>83</v>
      </c>
      <c r="J770" s="12">
        <v>46300</v>
      </c>
      <c r="K770">
        <v>46300</v>
      </c>
    </row>
    <row r="771" spans="1:11" hidden="1" x14ac:dyDescent="0.25">
      <c r="A771" s="12" t="s">
        <v>60</v>
      </c>
      <c r="B771" s="12" t="s">
        <v>37</v>
      </c>
      <c r="C771" s="12" t="s">
        <v>15</v>
      </c>
      <c r="D771" s="12">
        <v>3.5458747546381306</v>
      </c>
      <c r="E771" s="12">
        <v>10.45</v>
      </c>
      <c r="F771" s="12">
        <v>20</v>
      </c>
      <c r="G771" s="12">
        <v>10.45</v>
      </c>
      <c r="H771" s="12">
        <v>4.1764705882352935</v>
      </c>
      <c r="I771" s="12" t="s">
        <v>82</v>
      </c>
      <c r="J771" s="12">
        <v>46300</v>
      </c>
      <c r="K771">
        <v>46300</v>
      </c>
    </row>
    <row r="772" spans="1:11" hidden="1" x14ac:dyDescent="0.25">
      <c r="A772" s="12" t="s">
        <v>60</v>
      </c>
      <c r="B772" s="12" t="s">
        <v>57</v>
      </c>
      <c r="C772" s="12" t="s">
        <v>15</v>
      </c>
      <c r="D772" s="12">
        <v>0</v>
      </c>
      <c r="E772" s="12">
        <v>0</v>
      </c>
      <c r="F772" s="12">
        <v>20</v>
      </c>
      <c r="G772" s="12">
        <v>0</v>
      </c>
      <c r="H772" s="12">
        <v>0</v>
      </c>
      <c r="I772" s="12" t="s">
        <v>82</v>
      </c>
      <c r="J772" s="12">
        <v>46300</v>
      </c>
      <c r="K772">
        <v>46300</v>
      </c>
    </row>
    <row r="773" spans="1:11" hidden="1" x14ac:dyDescent="0.25">
      <c r="A773" s="12" t="s">
        <v>60</v>
      </c>
      <c r="B773" s="12" t="s">
        <v>148</v>
      </c>
      <c r="C773" s="12" t="s">
        <v>15</v>
      </c>
      <c r="D773" s="12">
        <v>0</v>
      </c>
      <c r="E773" s="12">
        <v>0</v>
      </c>
      <c r="F773" s="12">
        <v>20</v>
      </c>
      <c r="G773" s="12">
        <v>0</v>
      </c>
      <c r="H773" s="12">
        <v>0</v>
      </c>
      <c r="I773" s="12" t="s">
        <v>82</v>
      </c>
      <c r="J773" s="12">
        <v>46300</v>
      </c>
      <c r="K773">
        <v>46300</v>
      </c>
    </row>
    <row r="774" spans="1:11" hidden="1" x14ac:dyDescent="0.25">
      <c r="A774" s="12" t="s">
        <v>60</v>
      </c>
      <c r="B774" s="12" t="s">
        <v>57</v>
      </c>
      <c r="C774" s="12" t="s">
        <v>14</v>
      </c>
      <c r="D774" s="12">
        <v>0</v>
      </c>
      <c r="E774" s="12">
        <v>0</v>
      </c>
      <c r="F774" s="12">
        <v>20</v>
      </c>
      <c r="G774" s="12">
        <v>0</v>
      </c>
      <c r="H774" s="12">
        <v>0</v>
      </c>
      <c r="I774" s="12" t="s">
        <v>83</v>
      </c>
      <c r="J774" s="12">
        <v>46300</v>
      </c>
      <c r="K774">
        <v>46300</v>
      </c>
    </row>
    <row r="775" spans="1:11" hidden="1" x14ac:dyDescent="0.25">
      <c r="A775" s="12" t="s">
        <v>60</v>
      </c>
      <c r="B775" s="12" t="s">
        <v>38</v>
      </c>
      <c r="C775" s="12" t="s">
        <v>15</v>
      </c>
      <c r="D775" s="12">
        <v>1.7977528089887642</v>
      </c>
      <c r="E775" s="12">
        <v>1.9</v>
      </c>
      <c r="F775" s="12">
        <v>20</v>
      </c>
      <c r="G775" s="12">
        <v>1.9</v>
      </c>
      <c r="H775" s="12">
        <v>1.0127450980392154</v>
      </c>
      <c r="I775" s="12" t="s">
        <v>82</v>
      </c>
      <c r="J775" s="12">
        <v>46300</v>
      </c>
      <c r="K775">
        <v>46300</v>
      </c>
    </row>
    <row r="776" spans="1:11" x14ac:dyDescent="0.25">
      <c r="A776" s="12" t="s">
        <v>60</v>
      </c>
      <c r="B776" s="12" t="s">
        <v>37</v>
      </c>
      <c r="C776" s="12" t="s">
        <v>13</v>
      </c>
      <c r="D776" s="12">
        <v>9.5295384030899779</v>
      </c>
      <c r="E776" s="12">
        <v>17.099999999999998</v>
      </c>
      <c r="F776" s="12">
        <v>20</v>
      </c>
      <c r="G776" s="12">
        <v>17.099999999999998</v>
      </c>
      <c r="H776" s="12">
        <v>10.22254901960784</v>
      </c>
      <c r="I776" s="12" t="s">
        <v>84</v>
      </c>
      <c r="J776" s="12">
        <v>46300</v>
      </c>
      <c r="K776">
        <v>46300</v>
      </c>
    </row>
    <row r="777" spans="1:11" x14ac:dyDescent="0.25">
      <c r="A777" s="12" t="s">
        <v>60</v>
      </c>
      <c r="B777" s="12" t="s">
        <v>57</v>
      </c>
      <c r="C777" s="12" t="s">
        <v>13</v>
      </c>
      <c r="D777" s="12">
        <v>0</v>
      </c>
      <c r="E777" s="12">
        <v>0</v>
      </c>
      <c r="F777" s="12">
        <v>20</v>
      </c>
      <c r="G777" s="12">
        <v>0</v>
      </c>
      <c r="H777" s="12">
        <v>0</v>
      </c>
      <c r="I777" s="12" t="s">
        <v>84</v>
      </c>
      <c r="J777" s="12">
        <v>46300</v>
      </c>
      <c r="K777">
        <v>46300</v>
      </c>
    </row>
    <row r="778" spans="1:11" x14ac:dyDescent="0.25">
      <c r="A778" s="12" t="s">
        <v>60</v>
      </c>
      <c r="B778" s="12" t="s">
        <v>38</v>
      </c>
      <c r="C778" s="12" t="s">
        <v>13</v>
      </c>
      <c r="D778" s="12">
        <v>2.3595505617977532</v>
      </c>
      <c r="E778" s="12">
        <v>3.8</v>
      </c>
      <c r="F778" s="12">
        <v>20</v>
      </c>
      <c r="G778" s="12">
        <v>3.8</v>
      </c>
      <c r="H778" s="12">
        <v>1.7954963235294119</v>
      </c>
      <c r="I778" s="12" t="s">
        <v>84</v>
      </c>
      <c r="J778" s="12">
        <v>46300</v>
      </c>
      <c r="K778">
        <v>46300</v>
      </c>
    </row>
    <row r="779" spans="1:11" x14ac:dyDescent="0.25">
      <c r="A779" s="12" t="s">
        <v>60</v>
      </c>
      <c r="B779" s="12" t="s">
        <v>148</v>
      </c>
      <c r="C779" s="12" t="s">
        <v>13</v>
      </c>
      <c r="D779" s="12">
        <v>6.0000000000000009</v>
      </c>
      <c r="E779" s="12">
        <v>5.6999999999999993</v>
      </c>
      <c r="F779" s="12">
        <v>20</v>
      </c>
      <c r="G779" s="12">
        <v>5.6999999999999993</v>
      </c>
      <c r="H779" s="12">
        <v>5.1176470588235281</v>
      </c>
      <c r="I779" s="12" t="s">
        <v>84</v>
      </c>
      <c r="J779" s="12">
        <v>46300</v>
      </c>
      <c r="K779">
        <v>46300</v>
      </c>
    </row>
    <row r="780" spans="1:11" hidden="1" x14ac:dyDescent="0.25">
      <c r="A780" s="12" t="s">
        <v>60</v>
      </c>
      <c r="B780" s="12" t="s">
        <v>148</v>
      </c>
      <c r="C780" s="12" t="s">
        <v>14</v>
      </c>
      <c r="D780" s="12">
        <v>0</v>
      </c>
      <c r="E780" s="12">
        <v>8.5499999999999989</v>
      </c>
      <c r="F780" s="12">
        <v>20</v>
      </c>
      <c r="G780" s="12">
        <v>8.5499999999999989</v>
      </c>
      <c r="H780" s="12">
        <v>0.830449826989619</v>
      </c>
      <c r="I780" s="12" t="s">
        <v>83</v>
      </c>
      <c r="J780" s="12">
        <v>46300</v>
      </c>
      <c r="K780">
        <v>46300</v>
      </c>
    </row>
    <row r="781" spans="1:11" hidden="1" x14ac:dyDescent="0.25">
      <c r="A781" s="12" t="s">
        <v>60</v>
      </c>
      <c r="B781" s="12" t="s">
        <v>38</v>
      </c>
      <c r="C781" s="12" t="s">
        <v>14</v>
      </c>
      <c r="D781" s="12">
        <v>2.5380039656311961</v>
      </c>
      <c r="E781" s="12">
        <v>4.75</v>
      </c>
      <c r="F781" s="12">
        <v>20</v>
      </c>
      <c r="G781" s="12">
        <v>4.75</v>
      </c>
      <c r="H781" s="12">
        <v>2.0635813148788924</v>
      </c>
      <c r="I781" s="12" t="s">
        <v>83</v>
      </c>
      <c r="J781" s="12">
        <v>46300</v>
      </c>
      <c r="K781">
        <v>46300</v>
      </c>
    </row>
    <row r="782" spans="1:11" hidden="1" x14ac:dyDescent="0.25">
      <c r="A782" s="12" t="s">
        <v>60</v>
      </c>
      <c r="B782" s="12" t="s">
        <v>38</v>
      </c>
      <c r="C782" s="12" t="s">
        <v>14</v>
      </c>
      <c r="D782" s="12">
        <v>2.5380039656311961</v>
      </c>
      <c r="E782" s="12">
        <v>3.8</v>
      </c>
      <c r="F782" s="12">
        <v>20</v>
      </c>
      <c r="G782" s="12">
        <v>3.8</v>
      </c>
      <c r="H782" s="12">
        <v>2.0484429065743948</v>
      </c>
      <c r="I782" s="12" t="s">
        <v>85</v>
      </c>
      <c r="J782" s="12">
        <v>46301</v>
      </c>
      <c r="K782">
        <v>46301</v>
      </c>
    </row>
    <row r="783" spans="1:11" x14ac:dyDescent="0.25">
      <c r="A783" s="12" t="s">
        <v>60</v>
      </c>
      <c r="B783" s="12" t="s">
        <v>57</v>
      </c>
      <c r="C783" s="12" t="s">
        <v>13</v>
      </c>
      <c r="D783" s="12">
        <v>1.7729373773190653</v>
      </c>
      <c r="E783" s="12">
        <v>0.95</v>
      </c>
      <c r="F783" s="12">
        <v>20</v>
      </c>
      <c r="G783" s="12">
        <v>0.95</v>
      </c>
      <c r="H783" s="12">
        <v>0.82352941176470595</v>
      </c>
      <c r="I783" s="12" t="s">
        <v>87</v>
      </c>
      <c r="J783" s="12">
        <v>46301</v>
      </c>
      <c r="K783">
        <v>46301</v>
      </c>
    </row>
    <row r="784" spans="1:11" x14ac:dyDescent="0.25">
      <c r="A784" s="12" t="s">
        <v>60</v>
      </c>
      <c r="B784" s="12" t="s">
        <v>38</v>
      </c>
      <c r="C784" s="12" t="s">
        <v>13</v>
      </c>
      <c r="D784" s="12">
        <v>2.3595505617977532</v>
      </c>
      <c r="E784" s="12">
        <v>5.6999999999999993</v>
      </c>
      <c r="F784" s="12">
        <v>20</v>
      </c>
      <c r="G784" s="12">
        <v>5.6999999999999993</v>
      </c>
      <c r="H784" s="12">
        <v>1.9131433823529416</v>
      </c>
      <c r="I784" s="12" t="s">
        <v>87</v>
      </c>
      <c r="J784" s="12">
        <v>46301</v>
      </c>
      <c r="K784">
        <v>46301</v>
      </c>
    </row>
    <row r="785" spans="1:11" x14ac:dyDescent="0.25">
      <c r="A785" s="12" t="s">
        <v>60</v>
      </c>
      <c r="B785" s="12" t="s">
        <v>37</v>
      </c>
      <c r="C785" s="12" t="s">
        <v>13</v>
      </c>
      <c r="D785" s="12">
        <v>9.5295384030899779</v>
      </c>
      <c r="E785" s="12">
        <v>17.099999999999998</v>
      </c>
      <c r="F785" s="12">
        <v>20</v>
      </c>
      <c r="G785" s="12">
        <v>17.099999999999998</v>
      </c>
      <c r="H785" s="12">
        <v>10.22254901960784</v>
      </c>
      <c r="I785" s="12" t="s">
        <v>87</v>
      </c>
      <c r="J785" s="12">
        <v>46301</v>
      </c>
      <c r="K785">
        <v>46301</v>
      </c>
    </row>
    <row r="786" spans="1:11" hidden="1" x14ac:dyDescent="0.25">
      <c r="A786" s="12" t="s">
        <v>60</v>
      </c>
      <c r="B786" s="12" t="s">
        <v>148</v>
      </c>
      <c r="C786" s="12" t="s">
        <v>15</v>
      </c>
      <c r="D786" s="12">
        <v>0</v>
      </c>
      <c r="E786" s="12">
        <v>0</v>
      </c>
      <c r="F786" s="12">
        <v>20</v>
      </c>
      <c r="G786" s="12">
        <v>0</v>
      </c>
      <c r="H786" s="12">
        <v>0</v>
      </c>
      <c r="I786" s="12" t="s">
        <v>86</v>
      </c>
      <c r="J786" s="12">
        <v>46301</v>
      </c>
      <c r="K786">
        <v>46301</v>
      </c>
    </row>
    <row r="787" spans="1:11" x14ac:dyDescent="0.25">
      <c r="A787" s="12" t="s">
        <v>60</v>
      </c>
      <c r="B787" s="12" t="s">
        <v>148</v>
      </c>
      <c r="C787" s="12" t="s">
        <v>13</v>
      </c>
      <c r="D787" s="12">
        <v>7.5625000000000018</v>
      </c>
      <c r="E787" s="12">
        <v>6.6499999999999995</v>
      </c>
      <c r="F787" s="12">
        <v>20</v>
      </c>
      <c r="G787" s="12">
        <v>6.6499999999999995</v>
      </c>
      <c r="H787" s="12">
        <v>5.5551470588235272</v>
      </c>
      <c r="I787" s="12" t="s">
        <v>87</v>
      </c>
      <c r="J787" s="12">
        <v>46301</v>
      </c>
      <c r="K787">
        <v>46301</v>
      </c>
    </row>
    <row r="788" spans="1:11" hidden="1" x14ac:dyDescent="0.25">
      <c r="A788" s="12" t="s">
        <v>60</v>
      </c>
      <c r="B788" s="12" t="s">
        <v>38</v>
      </c>
      <c r="C788" s="12" t="s">
        <v>15</v>
      </c>
      <c r="D788" s="12">
        <v>1.7977528089887642</v>
      </c>
      <c r="E788" s="12">
        <v>0.95</v>
      </c>
      <c r="F788" s="12">
        <v>20</v>
      </c>
      <c r="G788" s="12">
        <v>0.95</v>
      </c>
      <c r="H788" s="12">
        <v>6.2745098039215685E-2</v>
      </c>
      <c r="I788" s="12" t="s">
        <v>86</v>
      </c>
      <c r="J788" s="12">
        <v>46301</v>
      </c>
      <c r="K788">
        <v>46301</v>
      </c>
    </row>
    <row r="789" spans="1:11" hidden="1" x14ac:dyDescent="0.25">
      <c r="A789" s="12" t="s">
        <v>60</v>
      </c>
      <c r="B789" s="12" t="s">
        <v>37</v>
      </c>
      <c r="C789" s="12" t="s">
        <v>15</v>
      </c>
      <c r="D789" s="12">
        <v>3.5458747546381306</v>
      </c>
      <c r="E789" s="12">
        <v>8.5499999999999989</v>
      </c>
      <c r="F789" s="12">
        <v>20</v>
      </c>
      <c r="G789" s="12">
        <v>8.5499999999999989</v>
      </c>
      <c r="H789" s="12">
        <v>3.2058823529411757</v>
      </c>
      <c r="I789" s="12" t="s">
        <v>86</v>
      </c>
      <c r="J789" s="12">
        <v>46301</v>
      </c>
      <c r="K789">
        <v>46301</v>
      </c>
    </row>
    <row r="790" spans="1:11" hidden="1" x14ac:dyDescent="0.25">
      <c r="A790" s="12" t="s">
        <v>60</v>
      </c>
      <c r="B790" s="12" t="s">
        <v>57</v>
      </c>
      <c r="C790" s="12" t="s">
        <v>14</v>
      </c>
      <c r="D790" s="12">
        <v>0</v>
      </c>
      <c r="E790" s="12">
        <v>2.8499999999999996</v>
      </c>
      <c r="F790" s="12">
        <v>20</v>
      </c>
      <c r="G790" s="12">
        <v>2.8499999999999996</v>
      </c>
      <c r="H790" s="12">
        <v>0.16608996539792387</v>
      </c>
      <c r="I790" s="12" t="s">
        <v>85</v>
      </c>
      <c r="J790" s="12">
        <v>46301</v>
      </c>
      <c r="K790">
        <v>46301</v>
      </c>
    </row>
    <row r="791" spans="1:11" hidden="1" x14ac:dyDescent="0.25">
      <c r="A791" s="12" t="s">
        <v>60</v>
      </c>
      <c r="B791" s="12" t="s">
        <v>37</v>
      </c>
      <c r="C791" s="12" t="s">
        <v>14</v>
      </c>
      <c r="D791" s="12">
        <v>7.313366681441142</v>
      </c>
      <c r="E791" s="12">
        <v>15.2</v>
      </c>
      <c r="F791" s="12">
        <v>20</v>
      </c>
      <c r="G791" s="12">
        <v>15.2</v>
      </c>
      <c r="H791" s="12">
        <v>7.7186274509803869</v>
      </c>
      <c r="I791" s="12" t="s">
        <v>85</v>
      </c>
      <c r="J791" s="12">
        <v>46301</v>
      </c>
      <c r="K791">
        <v>46301</v>
      </c>
    </row>
    <row r="792" spans="1:11" hidden="1" x14ac:dyDescent="0.25">
      <c r="A792" s="12" t="s">
        <v>60</v>
      </c>
      <c r="B792" s="12" t="s">
        <v>148</v>
      </c>
      <c r="C792" s="12" t="s">
        <v>14</v>
      </c>
      <c r="D792" s="12">
        <v>0</v>
      </c>
      <c r="E792" s="12">
        <v>13.3</v>
      </c>
      <c r="F792" s="12">
        <v>20</v>
      </c>
      <c r="G792" s="12">
        <v>13.3</v>
      </c>
      <c r="H792" s="12">
        <v>1.0069204152249132</v>
      </c>
      <c r="I792" s="12" t="s">
        <v>85</v>
      </c>
      <c r="J792" s="12">
        <v>46301</v>
      </c>
      <c r="K792">
        <v>46301</v>
      </c>
    </row>
    <row r="793" spans="1:11" hidden="1" x14ac:dyDescent="0.25">
      <c r="A793" s="12" t="s">
        <v>60</v>
      </c>
      <c r="B793" s="12" t="s">
        <v>57</v>
      </c>
      <c r="C793" s="12" t="s">
        <v>15</v>
      </c>
      <c r="D793" s="12">
        <v>0</v>
      </c>
      <c r="E793" s="12">
        <v>0</v>
      </c>
      <c r="F793" s="12">
        <v>20</v>
      </c>
      <c r="G793" s="12">
        <v>0</v>
      </c>
      <c r="H793" s="12">
        <v>0</v>
      </c>
      <c r="I793" s="12" t="s">
        <v>86</v>
      </c>
      <c r="J793" s="12">
        <v>46301</v>
      </c>
      <c r="K793">
        <v>46301</v>
      </c>
    </row>
    <row r="794" spans="1:11" hidden="1" x14ac:dyDescent="0.25">
      <c r="A794" s="12" t="s">
        <v>60</v>
      </c>
      <c r="B794" s="12" t="s">
        <v>57</v>
      </c>
      <c r="C794" s="12" t="s">
        <v>14</v>
      </c>
      <c r="D794" s="12">
        <v>0.62574260375967017</v>
      </c>
      <c r="E794" s="12">
        <v>1.9</v>
      </c>
      <c r="F794" s="12">
        <v>20</v>
      </c>
      <c r="G794" s="12">
        <v>1.9</v>
      </c>
      <c r="H794" s="12">
        <v>0.38831218762014608</v>
      </c>
      <c r="I794" s="12" t="s">
        <v>88</v>
      </c>
      <c r="J794" s="12">
        <v>46302</v>
      </c>
      <c r="K794">
        <v>46302</v>
      </c>
    </row>
    <row r="795" spans="1:11" hidden="1" x14ac:dyDescent="0.25">
      <c r="A795" s="12" t="s">
        <v>60</v>
      </c>
      <c r="B795" s="12" t="s">
        <v>37</v>
      </c>
      <c r="C795" s="12" t="s">
        <v>14</v>
      </c>
      <c r="D795" s="12">
        <v>6.6485151649464944</v>
      </c>
      <c r="E795" s="12">
        <v>15.2</v>
      </c>
      <c r="F795" s="12">
        <v>20</v>
      </c>
      <c r="G795" s="12">
        <v>15.2</v>
      </c>
      <c r="H795" s="12">
        <v>7.6745098039215618</v>
      </c>
      <c r="I795" s="12" t="s">
        <v>88</v>
      </c>
      <c r="J795" s="12">
        <v>46302</v>
      </c>
      <c r="K795">
        <v>46302</v>
      </c>
    </row>
    <row r="796" spans="1:11" hidden="1" x14ac:dyDescent="0.25">
      <c r="A796" s="12" t="s">
        <v>60</v>
      </c>
      <c r="B796" s="12" t="s">
        <v>38</v>
      </c>
      <c r="C796" s="12" t="s">
        <v>14</v>
      </c>
      <c r="D796" s="12">
        <v>2.5380039656311961</v>
      </c>
      <c r="E796" s="12">
        <v>2.8499999999999996</v>
      </c>
      <c r="F796" s="12">
        <v>20</v>
      </c>
      <c r="G796" s="12">
        <v>2.8499999999999996</v>
      </c>
      <c r="H796" s="12">
        <v>1.8823529411764703</v>
      </c>
      <c r="I796" s="12" t="s">
        <v>88</v>
      </c>
      <c r="J796" s="12">
        <v>46302</v>
      </c>
      <c r="K796">
        <v>46302</v>
      </c>
    </row>
    <row r="797" spans="1:11" hidden="1" x14ac:dyDescent="0.25">
      <c r="A797" s="12" t="s">
        <v>60</v>
      </c>
      <c r="B797" s="12" t="s">
        <v>148</v>
      </c>
      <c r="C797" s="12" t="s">
        <v>14</v>
      </c>
      <c r="D797" s="12">
        <v>0</v>
      </c>
      <c r="E797" s="12">
        <v>11.4</v>
      </c>
      <c r="F797" s="12">
        <v>20</v>
      </c>
      <c r="G797" s="12">
        <v>11.4</v>
      </c>
      <c r="H797" s="12">
        <v>0.55363321799307963</v>
      </c>
      <c r="I797" s="12" t="s">
        <v>88</v>
      </c>
      <c r="J797" s="12">
        <v>46302</v>
      </c>
      <c r="K797">
        <v>46302</v>
      </c>
    </row>
    <row r="798" spans="1:11" hidden="1" x14ac:dyDescent="0.25">
      <c r="A798" s="12" t="s">
        <v>60</v>
      </c>
      <c r="B798" s="12" t="s">
        <v>148</v>
      </c>
      <c r="C798" s="12" t="s">
        <v>15</v>
      </c>
      <c r="D798" s="12">
        <v>0</v>
      </c>
      <c r="E798" s="12">
        <v>0</v>
      </c>
      <c r="F798" s="12">
        <v>20</v>
      </c>
      <c r="G798" s="12">
        <v>0</v>
      </c>
      <c r="H798" s="12">
        <v>0</v>
      </c>
      <c r="I798" s="12" t="s">
        <v>89</v>
      </c>
      <c r="J798" s="12">
        <v>46302</v>
      </c>
      <c r="K798">
        <v>46302</v>
      </c>
    </row>
    <row r="799" spans="1:11" hidden="1" x14ac:dyDescent="0.25">
      <c r="A799" s="12" t="s">
        <v>60</v>
      </c>
      <c r="B799" s="12" t="s">
        <v>37</v>
      </c>
      <c r="C799" s="12" t="s">
        <v>15</v>
      </c>
      <c r="D799" s="12">
        <v>3.5458747546381306</v>
      </c>
      <c r="E799" s="12">
        <v>9.5</v>
      </c>
      <c r="F799" s="12">
        <v>20</v>
      </c>
      <c r="G799" s="12">
        <v>9.5</v>
      </c>
      <c r="H799" s="12">
        <v>2.4705882352941178</v>
      </c>
      <c r="I799" s="12" t="s">
        <v>89</v>
      </c>
      <c r="J799" s="12">
        <v>46302</v>
      </c>
      <c r="K799">
        <v>46302</v>
      </c>
    </row>
    <row r="800" spans="1:11" hidden="1" x14ac:dyDescent="0.25">
      <c r="A800" s="12" t="s">
        <v>60</v>
      </c>
      <c r="B800" s="12" t="s">
        <v>38</v>
      </c>
      <c r="C800" s="12" t="s">
        <v>15</v>
      </c>
      <c r="D800" s="12">
        <v>1.7977528089887642</v>
      </c>
      <c r="E800" s="12">
        <v>0.95</v>
      </c>
      <c r="F800" s="12">
        <v>20</v>
      </c>
      <c r="G800" s="12">
        <v>0.95</v>
      </c>
      <c r="H800" s="12">
        <v>6.2745098039215685E-2</v>
      </c>
      <c r="I800" s="12" t="s">
        <v>89</v>
      </c>
      <c r="J800" s="12">
        <v>46302</v>
      </c>
      <c r="K800">
        <v>46302</v>
      </c>
    </row>
    <row r="801" spans="1:11" x14ac:dyDescent="0.25">
      <c r="A801" s="12" t="s">
        <v>60</v>
      </c>
      <c r="B801" s="12" t="s">
        <v>148</v>
      </c>
      <c r="C801" s="12" t="s">
        <v>13</v>
      </c>
      <c r="D801" s="12">
        <v>6.6875000000000009</v>
      </c>
      <c r="E801" s="12">
        <v>6.6499999999999995</v>
      </c>
      <c r="F801" s="12">
        <v>20</v>
      </c>
      <c r="G801" s="12">
        <v>6.6499999999999995</v>
      </c>
      <c r="H801" s="12">
        <v>5.3492647058823515</v>
      </c>
      <c r="I801" s="12" t="s">
        <v>90</v>
      </c>
      <c r="J801" s="12">
        <v>46302</v>
      </c>
      <c r="K801">
        <v>46302</v>
      </c>
    </row>
    <row r="802" spans="1:11" x14ac:dyDescent="0.25">
      <c r="A802" s="12" t="s">
        <v>60</v>
      </c>
      <c r="B802" s="12" t="s">
        <v>57</v>
      </c>
      <c r="C802" s="12" t="s">
        <v>13</v>
      </c>
      <c r="D802" s="12">
        <v>2.7148103590198196</v>
      </c>
      <c r="E802" s="12">
        <v>1.9</v>
      </c>
      <c r="F802" s="12">
        <v>20</v>
      </c>
      <c r="G802" s="12">
        <v>1.9</v>
      </c>
      <c r="H802" s="12">
        <v>1.6499183006535949</v>
      </c>
      <c r="I802" s="12" t="s">
        <v>90</v>
      </c>
      <c r="J802" s="12">
        <v>46302</v>
      </c>
      <c r="K802">
        <v>46302</v>
      </c>
    </row>
    <row r="803" spans="1:11" x14ac:dyDescent="0.25">
      <c r="A803" s="12" t="s">
        <v>60</v>
      </c>
      <c r="B803" s="12" t="s">
        <v>38</v>
      </c>
      <c r="C803" s="12" t="s">
        <v>13</v>
      </c>
      <c r="D803" s="12">
        <v>2.6966292134831469</v>
      </c>
      <c r="E803" s="12">
        <v>3.8</v>
      </c>
      <c r="F803" s="12">
        <v>20</v>
      </c>
      <c r="G803" s="12">
        <v>3.8</v>
      </c>
      <c r="H803" s="12">
        <v>1.6911764705882355</v>
      </c>
      <c r="I803" s="12" t="s">
        <v>90</v>
      </c>
      <c r="J803" s="12">
        <v>46302</v>
      </c>
      <c r="K803">
        <v>46302</v>
      </c>
    </row>
    <row r="804" spans="1:11" x14ac:dyDescent="0.25">
      <c r="A804" s="12" t="s">
        <v>60</v>
      </c>
      <c r="B804" s="12" t="s">
        <v>37</v>
      </c>
      <c r="C804" s="12" t="s">
        <v>13</v>
      </c>
      <c r="D804" s="12">
        <v>9.5295384030899779</v>
      </c>
      <c r="E804" s="12">
        <v>17.099999999999998</v>
      </c>
      <c r="F804" s="12">
        <v>20</v>
      </c>
      <c r="G804" s="12">
        <v>17.099999999999998</v>
      </c>
      <c r="H804" s="12">
        <v>10.001960784313724</v>
      </c>
      <c r="I804" s="12" t="s">
        <v>90</v>
      </c>
      <c r="J804" s="12">
        <v>46302</v>
      </c>
      <c r="K804">
        <v>46302</v>
      </c>
    </row>
    <row r="805" spans="1:11" hidden="1" x14ac:dyDescent="0.25">
      <c r="A805" s="12" t="s">
        <v>60</v>
      </c>
      <c r="B805" s="12" t="s">
        <v>57</v>
      </c>
      <c r="C805" s="12" t="s">
        <v>15</v>
      </c>
      <c r="D805" s="12">
        <v>0</v>
      </c>
      <c r="E805" s="12">
        <v>0</v>
      </c>
      <c r="F805" s="12">
        <v>20</v>
      </c>
      <c r="G805" s="12">
        <v>0</v>
      </c>
      <c r="H805" s="12">
        <v>0</v>
      </c>
      <c r="I805" s="12" t="s">
        <v>89</v>
      </c>
      <c r="J805" s="12">
        <v>46302</v>
      </c>
      <c r="K805">
        <v>46302</v>
      </c>
    </row>
    <row r="806" spans="1:11" hidden="1" x14ac:dyDescent="0.25">
      <c r="A806" s="12" t="s">
        <v>60</v>
      </c>
      <c r="B806" s="12" t="s">
        <v>38</v>
      </c>
      <c r="C806" s="12" t="s">
        <v>14</v>
      </c>
      <c r="D806" s="12">
        <v>2.5380039656311961</v>
      </c>
      <c r="E806" s="12">
        <v>3.8</v>
      </c>
      <c r="F806" s="12">
        <v>20</v>
      </c>
      <c r="G806" s="12">
        <v>3.8</v>
      </c>
      <c r="H806" s="12">
        <v>2.0220588235294117</v>
      </c>
      <c r="I806" s="12" t="s">
        <v>91</v>
      </c>
      <c r="J806" s="12">
        <v>46303</v>
      </c>
      <c r="K806">
        <v>46303</v>
      </c>
    </row>
    <row r="807" spans="1:11" hidden="1" x14ac:dyDescent="0.25">
      <c r="A807" s="12" t="s">
        <v>60</v>
      </c>
      <c r="B807" s="12" t="s">
        <v>148</v>
      </c>
      <c r="C807" s="12" t="s">
        <v>14</v>
      </c>
      <c r="D807" s="12">
        <v>0</v>
      </c>
      <c r="E807" s="12">
        <v>13.3</v>
      </c>
      <c r="F807" s="12">
        <v>20</v>
      </c>
      <c r="G807" s="12">
        <v>13.3</v>
      </c>
      <c r="H807" s="12">
        <v>0.55363321799307952</v>
      </c>
      <c r="I807" s="12" t="s">
        <v>91</v>
      </c>
      <c r="J807" s="12">
        <v>46303</v>
      </c>
      <c r="K807">
        <v>46303</v>
      </c>
    </row>
    <row r="808" spans="1:11" hidden="1" x14ac:dyDescent="0.25">
      <c r="A808" s="12" t="s">
        <v>60</v>
      </c>
      <c r="B808" s="12" t="s">
        <v>57</v>
      </c>
      <c r="C808" s="12" t="s">
        <v>14</v>
      </c>
      <c r="D808" s="12">
        <v>0</v>
      </c>
      <c r="E808" s="12">
        <v>1.9</v>
      </c>
      <c r="F808" s="12">
        <v>20</v>
      </c>
      <c r="G808" s="12">
        <v>1.9</v>
      </c>
      <c r="H808" s="12">
        <v>0.38831218762014608</v>
      </c>
      <c r="I808" s="12" t="s">
        <v>91</v>
      </c>
      <c r="J808" s="12">
        <v>46303</v>
      </c>
      <c r="K808">
        <v>46303</v>
      </c>
    </row>
    <row r="809" spans="1:11" hidden="1" x14ac:dyDescent="0.25">
      <c r="A809" s="12" t="s">
        <v>60</v>
      </c>
      <c r="B809" s="12" t="s">
        <v>37</v>
      </c>
      <c r="C809" s="12" t="s">
        <v>15</v>
      </c>
      <c r="D809" s="12">
        <v>3.5458747546381306</v>
      </c>
      <c r="E809" s="12">
        <v>8.5499999999999989</v>
      </c>
      <c r="F809" s="12">
        <v>20</v>
      </c>
      <c r="G809" s="12">
        <v>8.5499999999999989</v>
      </c>
      <c r="H809" s="12">
        <v>3.3226240122914836</v>
      </c>
      <c r="I809" s="12" t="s">
        <v>92</v>
      </c>
      <c r="J809" s="12">
        <v>46303</v>
      </c>
      <c r="K809">
        <v>46303</v>
      </c>
    </row>
    <row r="810" spans="1:11" hidden="1" x14ac:dyDescent="0.25">
      <c r="A810" s="12" t="s">
        <v>60</v>
      </c>
      <c r="B810" s="12" t="s">
        <v>37</v>
      </c>
      <c r="C810" s="12" t="s">
        <v>14</v>
      </c>
      <c r="D810" s="12">
        <v>7.313366681441142</v>
      </c>
      <c r="E810" s="12">
        <v>17.099999999999998</v>
      </c>
      <c r="F810" s="12">
        <v>20</v>
      </c>
      <c r="G810" s="12">
        <v>17.099999999999998</v>
      </c>
      <c r="H810" s="12">
        <v>8.6001573017266573</v>
      </c>
      <c r="I810" s="12" t="s">
        <v>91</v>
      </c>
      <c r="J810" s="12">
        <v>46303</v>
      </c>
      <c r="K810">
        <v>46303</v>
      </c>
    </row>
    <row r="811" spans="1:11" hidden="1" x14ac:dyDescent="0.25">
      <c r="A811" s="12" t="s">
        <v>60</v>
      </c>
      <c r="B811" s="12" t="s">
        <v>57</v>
      </c>
      <c r="C811" s="12" t="s">
        <v>15</v>
      </c>
      <c r="D811" s="12">
        <v>0</v>
      </c>
      <c r="E811" s="12">
        <v>0</v>
      </c>
      <c r="F811" s="12">
        <v>20</v>
      </c>
      <c r="G811" s="12">
        <v>0</v>
      </c>
      <c r="H811" s="12">
        <v>0</v>
      </c>
      <c r="I811" s="12" t="s">
        <v>92</v>
      </c>
      <c r="J811" s="12">
        <v>46303</v>
      </c>
      <c r="K811">
        <v>46303</v>
      </c>
    </row>
    <row r="812" spans="1:11" hidden="1" x14ac:dyDescent="0.25">
      <c r="A812" s="12" t="s">
        <v>60</v>
      </c>
      <c r="B812" s="12" t="s">
        <v>148</v>
      </c>
      <c r="C812" s="12" t="s">
        <v>15</v>
      </c>
      <c r="D812" s="12">
        <v>0</v>
      </c>
      <c r="E812" s="12">
        <v>0.95</v>
      </c>
      <c r="F812" s="12">
        <v>20</v>
      </c>
      <c r="G812" s="12">
        <v>0.95</v>
      </c>
      <c r="H812" s="12">
        <v>0</v>
      </c>
      <c r="I812" s="12" t="s">
        <v>92</v>
      </c>
      <c r="J812" s="12">
        <v>46303</v>
      </c>
      <c r="K812">
        <v>46303</v>
      </c>
    </row>
    <row r="813" spans="1:11" x14ac:dyDescent="0.25">
      <c r="A813" s="12" t="s">
        <v>60</v>
      </c>
      <c r="B813" s="12" t="s">
        <v>38</v>
      </c>
      <c r="C813" s="12" t="s">
        <v>13</v>
      </c>
      <c r="D813" s="12">
        <v>2.3595505617977532</v>
      </c>
      <c r="E813" s="12">
        <v>2.8499999999999996</v>
      </c>
      <c r="F813" s="12">
        <v>20</v>
      </c>
      <c r="G813" s="12">
        <v>2.8499999999999996</v>
      </c>
      <c r="H813" s="12">
        <v>1.6911764705882355</v>
      </c>
      <c r="I813" s="12" t="s">
        <v>93</v>
      </c>
      <c r="J813" s="12">
        <v>46303</v>
      </c>
      <c r="K813">
        <v>46303</v>
      </c>
    </row>
    <row r="814" spans="1:11" x14ac:dyDescent="0.25">
      <c r="A814" s="12" t="s">
        <v>60</v>
      </c>
      <c r="B814" s="12" t="s">
        <v>148</v>
      </c>
      <c r="C814" s="12" t="s">
        <v>13</v>
      </c>
      <c r="D814" s="12">
        <v>6.6875000000000009</v>
      </c>
      <c r="E814" s="12">
        <v>6.6499999999999995</v>
      </c>
      <c r="F814" s="12">
        <v>20</v>
      </c>
      <c r="G814" s="12">
        <v>6.6499999999999995</v>
      </c>
      <c r="H814" s="12">
        <v>5.3492647058823515</v>
      </c>
      <c r="I814" s="12" t="s">
        <v>93</v>
      </c>
      <c r="J814" s="12">
        <v>46303</v>
      </c>
      <c r="K814">
        <v>46303</v>
      </c>
    </row>
    <row r="815" spans="1:11" x14ac:dyDescent="0.25">
      <c r="A815" s="12" t="s">
        <v>60</v>
      </c>
      <c r="B815" s="12" t="s">
        <v>37</v>
      </c>
      <c r="C815" s="12" t="s">
        <v>13</v>
      </c>
      <c r="D815" s="12">
        <v>9.5295384030899779</v>
      </c>
      <c r="E815" s="12">
        <v>17.099999999999998</v>
      </c>
      <c r="F815" s="12">
        <v>20</v>
      </c>
      <c r="G815" s="12">
        <v>17.099999999999998</v>
      </c>
      <c r="H815" s="12">
        <v>9.9284313725490172</v>
      </c>
      <c r="I815" s="12" t="s">
        <v>93</v>
      </c>
      <c r="J815" s="12">
        <v>46303</v>
      </c>
      <c r="K815">
        <v>46303</v>
      </c>
    </row>
    <row r="816" spans="1:11" hidden="1" x14ac:dyDescent="0.25">
      <c r="A816" s="12" t="s">
        <v>60</v>
      </c>
      <c r="B816" s="12" t="s">
        <v>38</v>
      </c>
      <c r="C816" s="12" t="s">
        <v>15</v>
      </c>
      <c r="D816" s="12">
        <v>1.7977528089887642</v>
      </c>
      <c r="E816" s="12">
        <v>1.9</v>
      </c>
      <c r="F816" s="12">
        <v>20</v>
      </c>
      <c r="G816" s="12">
        <v>1.9</v>
      </c>
      <c r="H816" s="12">
        <v>1.0127450980392154</v>
      </c>
      <c r="I816" s="12" t="s">
        <v>92</v>
      </c>
      <c r="J816" s="12">
        <v>46303</v>
      </c>
      <c r="K816">
        <v>46303</v>
      </c>
    </row>
    <row r="817" spans="1:11" x14ac:dyDescent="0.25">
      <c r="A817" s="12" t="s">
        <v>60</v>
      </c>
      <c r="B817" s="12" t="s">
        <v>57</v>
      </c>
      <c r="C817" s="12" t="s">
        <v>13</v>
      </c>
      <c r="D817" s="12">
        <v>2.7148103590198196</v>
      </c>
      <c r="E817" s="12">
        <v>1.9</v>
      </c>
      <c r="F817" s="12">
        <v>20</v>
      </c>
      <c r="G817" s="12">
        <v>1.9</v>
      </c>
      <c r="H817" s="12">
        <v>1.6499183006535949</v>
      </c>
      <c r="I817" s="12" t="s">
        <v>93</v>
      </c>
      <c r="J817" s="12">
        <v>46303</v>
      </c>
      <c r="K817">
        <v>46303</v>
      </c>
    </row>
    <row r="818" spans="1:11" hidden="1" x14ac:dyDescent="0.25">
      <c r="A818" s="12" t="s">
        <v>60</v>
      </c>
      <c r="B818" s="12" t="s">
        <v>57</v>
      </c>
      <c r="C818" s="12" t="s">
        <v>14</v>
      </c>
      <c r="D818" s="12">
        <v>0</v>
      </c>
      <c r="E818" s="12">
        <v>0</v>
      </c>
      <c r="F818" s="12">
        <v>20</v>
      </c>
      <c r="G818" s="12">
        <v>0</v>
      </c>
      <c r="H818" s="12">
        <v>0</v>
      </c>
      <c r="I818" s="12" t="s">
        <v>94</v>
      </c>
      <c r="J818" s="12">
        <v>46304</v>
      </c>
      <c r="K818">
        <v>46304</v>
      </c>
    </row>
    <row r="819" spans="1:11" x14ac:dyDescent="0.25">
      <c r="A819" s="12" t="s">
        <v>60</v>
      </c>
      <c r="B819" s="12" t="s">
        <v>57</v>
      </c>
      <c r="C819" s="12" t="s">
        <v>13</v>
      </c>
      <c r="D819" s="12">
        <v>1.7729373773190653</v>
      </c>
      <c r="E819" s="12">
        <v>0</v>
      </c>
      <c r="F819" s="12">
        <v>20</v>
      </c>
      <c r="G819" s="12">
        <v>0</v>
      </c>
      <c r="H819" s="12">
        <v>0</v>
      </c>
      <c r="I819" s="12" t="s">
        <v>95</v>
      </c>
      <c r="J819" s="12">
        <v>46304</v>
      </c>
      <c r="K819">
        <v>46304</v>
      </c>
    </row>
    <row r="820" spans="1:11" x14ac:dyDescent="0.25">
      <c r="A820" s="12" t="s">
        <v>60</v>
      </c>
      <c r="B820" s="12" t="s">
        <v>38</v>
      </c>
      <c r="C820" s="12" t="s">
        <v>13</v>
      </c>
      <c r="D820" s="12">
        <v>2.3595505617977532</v>
      </c>
      <c r="E820" s="12">
        <v>3.8</v>
      </c>
      <c r="F820" s="12">
        <v>20</v>
      </c>
      <c r="G820" s="12">
        <v>3.8</v>
      </c>
      <c r="H820" s="12">
        <v>1.8396139705882359</v>
      </c>
      <c r="I820" s="12" t="s">
        <v>95</v>
      </c>
      <c r="J820" s="12">
        <v>46304</v>
      </c>
      <c r="K820">
        <v>46304</v>
      </c>
    </row>
    <row r="821" spans="1:11" x14ac:dyDescent="0.25">
      <c r="A821" s="12" t="s">
        <v>60</v>
      </c>
      <c r="B821" s="12" t="s">
        <v>148</v>
      </c>
      <c r="C821" s="12" t="s">
        <v>13</v>
      </c>
      <c r="D821" s="12">
        <v>5.1875000000000009</v>
      </c>
      <c r="E821" s="12">
        <v>5.6999999999999993</v>
      </c>
      <c r="F821" s="12">
        <v>20</v>
      </c>
      <c r="G821" s="12">
        <v>5.6999999999999993</v>
      </c>
      <c r="H821" s="12">
        <v>4.7169117647058805</v>
      </c>
      <c r="I821" s="12" t="s">
        <v>95</v>
      </c>
      <c r="J821" s="12">
        <v>46304</v>
      </c>
      <c r="K821">
        <v>46304</v>
      </c>
    </row>
    <row r="822" spans="1:11" hidden="1" x14ac:dyDescent="0.25">
      <c r="A822" s="12" t="s">
        <v>60</v>
      </c>
      <c r="B822" s="12" t="s">
        <v>57</v>
      </c>
      <c r="C822" s="12" t="s">
        <v>15</v>
      </c>
      <c r="D822" s="12">
        <v>0</v>
      </c>
      <c r="E822" s="12">
        <v>0</v>
      </c>
      <c r="F822" s="12">
        <v>20</v>
      </c>
      <c r="G822" s="12">
        <v>0</v>
      </c>
      <c r="H822" s="12">
        <v>0</v>
      </c>
      <c r="I822" s="12" t="s">
        <v>96</v>
      </c>
      <c r="J822" s="12">
        <v>46304</v>
      </c>
      <c r="K822">
        <v>46304</v>
      </c>
    </row>
    <row r="823" spans="1:11" hidden="1" x14ac:dyDescent="0.25">
      <c r="A823" s="12" t="s">
        <v>60</v>
      </c>
      <c r="B823" s="12" t="s">
        <v>38</v>
      </c>
      <c r="C823" s="12" t="s">
        <v>15</v>
      </c>
      <c r="D823" s="12">
        <v>1.7977528089887642</v>
      </c>
      <c r="E823" s="12">
        <v>1.9</v>
      </c>
      <c r="F823" s="12">
        <v>20</v>
      </c>
      <c r="G823" s="12">
        <v>1.9</v>
      </c>
      <c r="H823" s="12">
        <v>1.0127450980392154</v>
      </c>
      <c r="I823" s="12" t="s">
        <v>96</v>
      </c>
      <c r="J823" s="12">
        <v>46304</v>
      </c>
      <c r="K823">
        <v>46304</v>
      </c>
    </row>
    <row r="824" spans="1:11" hidden="1" x14ac:dyDescent="0.25">
      <c r="A824" s="12" t="s">
        <v>60</v>
      </c>
      <c r="B824" s="12" t="s">
        <v>148</v>
      </c>
      <c r="C824" s="12" t="s">
        <v>15</v>
      </c>
      <c r="D824" s="12">
        <v>0</v>
      </c>
      <c r="E824" s="12">
        <v>0</v>
      </c>
      <c r="F824" s="12">
        <v>20</v>
      </c>
      <c r="G824" s="12">
        <v>0</v>
      </c>
      <c r="H824" s="12">
        <v>0</v>
      </c>
      <c r="I824" s="12" t="s">
        <v>96</v>
      </c>
      <c r="J824" s="12">
        <v>46304</v>
      </c>
      <c r="K824">
        <v>46304</v>
      </c>
    </row>
    <row r="825" spans="1:11" hidden="1" x14ac:dyDescent="0.25">
      <c r="A825" s="12" t="s">
        <v>60</v>
      </c>
      <c r="B825" s="12" t="s">
        <v>37</v>
      </c>
      <c r="C825" s="12" t="s">
        <v>15</v>
      </c>
      <c r="D825" s="12">
        <v>3.5458747546381306</v>
      </c>
      <c r="E825" s="12">
        <v>8.5499999999999989</v>
      </c>
      <c r="F825" s="12">
        <v>20</v>
      </c>
      <c r="G825" s="12">
        <v>8.5499999999999989</v>
      </c>
      <c r="H825" s="12">
        <v>2.4705882352941178</v>
      </c>
      <c r="I825" s="12" t="s">
        <v>96</v>
      </c>
      <c r="J825" s="12">
        <v>46304</v>
      </c>
      <c r="K825">
        <v>46304</v>
      </c>
    </row>
    <row r="826" spans="1:11" hidden="1" x14ac:dyDescent="0.25">
      <c r="A826" s="12" t="s">
        <v>60</v>
      </c>
      <c r="B826" s="12" t="s">
        <v>148</v>
      </c>
      <c r="C826" s="12" t="s">
        <v>14</v>
      </c>
      <c r="D826" s="12">
        <v>0</v>
      </c>
      <c r="E826" s="12">
        <v>11.4</v>
      </c>
      <c r="F826" s="12">
        <v>20</v>
      </c>
      <c r="G826" s="12">
        <v>11.4</v>
      </c>
      <c r="H826" s="12">
        <v>0.44290657439446368</v>
      </c>
      <c r="I826" s="12" t="s">
        <v>94</v>
      </c>
      <c r="J826" s="12">
        <v>46304</v>
      </c>
      <c r="K826">
        <v>46304</v>
      </c>
    </row>
    <row r="827" spans="1:11" hidden="1" x14ac:dyDescent="0.25">
      <c r="A827" s="12" t="s">
        <v>60</v>
      </c>
      <c r="B827" s="12" t="s">
        <v>37</v>
      </c>
      <c r="C827" s="12" t="s">
        <v>14</v>
      </c>
      <c r="D827" s="12">
        <v>7.313366681441142</v>
      </c>
      <c r="E827" s="12">
        <v>17.099999999999998</v>
      </c>
      <c r="F827" s="12">
        <v>20</v>
      </c>
      <c r="G827" s="12">
        <v>17.099999999999998</v>
      </c>
      <c r="H827" s="12">
        <v>8.6009803921568562</v>
      </c>
      <c r="I827" s="12" t="s">
        <v>94</v>
      </c>
      <c r="J827" s="12">
        <v>46304</v>
      </c>
      <c r="K827">
        <v>46304</v>
      </c>
    </row>
    <row r="828" spans="1:11" x14ac:dyDescent="0.25">
      <c r="A828" s="12" t="s">
        <v>60</v>
      </c>
      <c r="B828" s="12" t="s">
        <v>37</v>
      </c>
      <c r="C828" s="12" t="s">
        <v>13</v>
      </c>
      <c r="D828" s="12">
        <v>9.5295384030899779</v>
      </c>
      <c r="E828" s="12">
        <v>15.2</v>
      </c>
      <c r="F828" s="12">
        <v>20</v>
      </c>
      <c r="G828" s="12">
        <v>15.2</v>
      </c>
      <c r="H828" s="12">
        <v>10.075353014340063</v>
      </c>
      <c r="I828" s="12" t="s">
        <v>95</v>
      </c>
      <c r="J828" s="12">
        <v>46304</v>
      </c>
      <c r="K828">
        <v>46304</v>
      </c>
    </row>
    <row r="829" spans="1:11" hidden="1" x14ac:dyDescent="0.25">
      <c r="A829" s="12" t="s">
        <v>60</v>
      </c>
      <c r="B829" s="12" t="s">
        <v>38</v>
      </c>
      <c r="C829" s="12" t="s">
        <v>14</v>
      </c>
      <c r="D829" s="12">
        <v>2.5380039656311961</v>
      </c>
      <c r="E829" s="12">
        <v>3.8</v>
      </c>
      <c r="F829" s="12">
        <v>20</v>
      </c>
      <c r="G829" s="12">
        <v>3.8</v>
      </c>
      <c r="H829" s="12">
        <v>2.0220588235294117</v>
      </c>
      <c r="I829" s="12" t="s">
        <v>94</v>
      </c>
      <c r="J829" s="12">
        <v>46304</v>
      </c>
      <c r="K829">
        <v>46304</v>
      </c>
    </row>
    <row r="830" spans="1:11" hidden="1" x14ac:dyDescent="0.25">
      <c r="A830" s="12" t="s">
        <v>60</v>
      </c>
      <c r="B830" s="12" t="s">
        <v>37</v>
      </c>
      <c r="C830" s="12" t="s">
        <v>14</v>
      </c>
      <c r="D830" s="12">
        <v>7.313366681441142</v>
      </c>
      <c r="E830" s="12">
        <v>17.099999999999998</v>
      </c>
      <c r="F830" s="12">
        <v>20</v>
      </c>
      <c r="G830" s="12">
        <v>17.099999999999998</v>
      </c>
      <c r="H830" s="12">
        <v>8.6009803921568562</v>
      </c>
      <c r="I830" s="12" t="s">
        <v>97</v>
      </c>
      <c r="J830" s="12">
        <v>46305</v>
      </c>
      <c r="K830">
        <v>46305</v>
      </c>
    </row>
    <row r="831" spans="1:11" hidden="1" x14ac:dyDescent="0.25">
      <c r="A831" s="12" t="s">
        <v>60</v>
      </c>
      <c r="B831" s="12" t="s">
        <v>38</v>
      </c>
      <c r="C831" s="12" t="s">
        <v>14</v>
      </c>
      <c r="D831" s="12">
        <v>2.5380039656311961</v>
      </c>
      <c r="E831" s="12">
        <v>4.75</v>
      </c>
      <c r="F831" s="12">
        <v>20</v>
      </c>
      <c r="G831" s="12">
        <v>4.75</v>
      </c>
      <c r="H831" s="12">
        <v>2.1881487889273359</v>
      </c>
      <c r="I831" s="12" t="s">
        <v>97</v>
      </c>
      <c r="J831" s="12">
        <v>46305</v>
      </c>
      <c r="K831">
        <v>46305</v>
      </c>
    </row>
    <row r="832" spans="1:11" hidden="1" x14ac:dyDescent="0.25">
      <c r="A832" s="12" t="s">
        <v>60</v>
      </c>
      <c r="B832" s="12" t="s">
        <v>57</v>
      </c>
      <c r="C832" s="12" t="s">
        <v>14</v>
      </c>
      <c r="D832" s="12">
        <v>0</v>
      </c>
      <c r="E832" s="12">
        <v>0</v>
      </c>
      <c r="F832" s="12">
        <v>20</v>
      </c>
      <c r="G832" s="12">
        <v>0</v>
      </c>
      <c r="H832" s="12">
        <v>0</v>
      </c>
      <c r="I832" s="12" t="s">
        <v>97</v>
      </c>
      <c r="J832" s="12">
        <v>46305</v>
      </c>
      <c r="K832">
        <v>46305</v>
      </c>
    </row>
    <row r="833" spans="1:11" hidden="1" x14ac:dyDescent="0.25">
      <c r="A833" s="12" t="s">
        <v>60</v>
      </c>
      <c r="B833" s="12" t="s">
        <v>148</v>
      </c>
      <c r="C833" s="12" t="s">
        <v>14</v>
      </c>
      <c r="D833" s="12">
        <v>0</v>
      </c>
      <c r="E833" s="12">
        <v>1.9</v>
      </c>
      <c r="F833" s="12">
        <v>20</v>
      </c>
      <c r="G833" s="12">
        <v>1.9</v>
      </c>
      <c r="H833" s="12">
        <v>0.17647058823529413</v>
      </c>
      <c r="I833" s="12" t="s">
        <v>97</v>
      </c>
      <c r="J833" s="12">
        <v>46305</v>
      </c>
      <c r="K833">
        <v>46305</v>
      </c>
    </row>
    <row r="834" spans="1:11" hidden="1" x14ac:dyDescent="0.25">
      <c r="A834" s="12" t="s">
        <v>60</v>
      </c>
      <c r="B834" s="12" t="s">
        <v>38</v>
      </c>
      <c r="C834" s="12" t="s">
        <v>15</v>
      </c>
      <c r="D834" s="12">
        <v>1.7977528089887642</v>
      </c>
      <c r="E834" s="12">
        <v>1.9</v>
      </c>
      <c r="F834" s="12">
        <v>20</v>
      </c>
      <c r="G834" s="12">
        <v>1.9</v>
      </c>
      <c r="H834" s="12">
        <v>1.0127450980392154</v>
      </c>
      <c r="I834" s="12" t="s">
        <v>99</v>
      </c>
      <c r="J834" s="12">
        <v>46305</v>
      </c>
      <c r="K834">
        <v>46305</v>
      </c>
    </row>
    <row r="835" spans="1:11" hidden="1" x14ac:dyDescent="0.25">
      <c r="A835" s="12" t="s">
        <v>60</v>
      </c>
      <c r="B835" s="12" t="s">
        <v>148</v>
      </c>
      <c r="C835" s="12" t="s">
        <v>15</v>
      </c>
      <c r="D835" s="12">
        <v>0</v>
      </c>
      <c r="E835" s="12">
        <v>0</v>
      </c>
      <c r="F835" s="12">
        <v>20</v>
      </c>
      <c r="G835" s="12">
        <v>0</v>
      </c>
      <c r="H835" s="12">
        <v>0</v>
      </c>
      <c r="I835" s="12" t="s">
        <v>99</v>
      </c>
      <c r="J835" s="12">
        <v>46305</v>
      </c>
      <c r="K835">
        <v>46305</v>
      </c>
    </row>
    <row r="836" spans="1:11" hidden="1" x14ac:dyDescent="0.25">
      <c r="A836" s="12" t="s">
        <v>60</v>
      </c>
      <c r="B836" s="12" t="s">
        <v>37</v>
      </c>
      <c r="C836" s="12" t="s">
        <v>15</v>
      </c>
      <c r="D836" s="12">
        <v>3.3242575824732468</v>
      </c>
      <c r="E836" s="12">
        <v>10.45</v>
      </c>
      <c r="F836" s="12">
        <v>20</v>
      </c>
      <c r="G836" s="12">
        <v>10.45</v>
      </c>
      <c r="H836" s="12">
        <v>4.1764705882352935</v>
      </c>
      <c r="I836" s="12" t="s">
        <v>99</v>
      </c>
      <c r="J836" s="12">
        <v>46305</v>
      </c>
      <c r="K836">
        <v>46305</v>
      </c>
    </row>
    <row r="837" spans="1:11" x14ac:dyDescent="0.25">
      <c r="A837" s="12" t="s">
        <v>60</v>
      </c>
      <c r="B837" s="12" t="s">
        <v>38</v>
      </c>
      <c r="C837" s="12" t="s">
        <v>13</v>
      </c>
      <c r="D837" s="12">
        <v>1.3483146067415734</v>
      </c>
      <c r="E837" s="12">
        <v>3.8</v>
      </c>
      <c r="F837" s="12">
        <v>20</v>
      </c>
      <c r="G837" s="12">
        <v>3.8</v>
      </c>
      <c r="H837" s="12">
        <v>1.9131433823529416</v>
      </c>
      <c r="I837" s="12" t="s">
        <v>98</v>
      </c>
      <c r="J837" s="12">
        <v>46305</v>
      </c>
      <c r="K837">
        <v>46305</v>
      </c>
    </row>
    <row r="838" spans="1:11" x14ac:dyDescent="0.25">
      <c r="A838" s="12" t="s">
        <v>60</v>
      </c>
      <c r="B838" s="12" t="s">
        <v>148</v>
      </c>
      <c r="C838" s="12" t="s">
        <v>13</v>
      </c>
      <c r="D838" s="12">
        <v>0.56250000000000011</v>
      </c>
      <c r="E838" s="12">
        <v>0.95</v>
      </c>
      <c r="F838" s="12">
        <v>20</v>
      </c>
      <c r="G838" s="12">
        <v>0.95</v>
      </c>
      <c r="H838" s="12">
        <v>0.43749999999999994</v>
      </c>
      <c r="I838" s="12" t="s">
        <v>98</v>
      </c>
      <c r="J838" s="12">
        <v>46305</v>
      </c>
      <c r="K838">
        <v>46305</v>
      </c>
    </row>
    <row r="839" spans="1:11" x14ac:dyDescent="0.25">
      <c r="A839" s="12" t="s">
        <v>60</v>
      </c>
      <c r="B839" s="12" t="s">
        <v>37</v>
      </c>
      <c r="C839" s="12" t="s">
        <v>13</v>
      </c>
      <c r="D839" s="12">
        <v>9.5295384030899779</v>
      </c>
      <c r="E839" s="12">
        <v>13.3</v>
      </c>
      <c r="F839" s="12">
        <v>20</v>
      </c>
      <c r="G839" s="12">
        <v>13.3</v>
      </c>
      <c r="H839" s="12">
        <v>9.9284313725490172</v>
      </c>
      <c r="I839" s="12" t="s">
        <v>98</v>
      </c>
      <c r="J839" s="12">
        <v>46305</v>
      </c>
      <c r="K839">
        <v>46305</v>
      </c>
    </row>
    <row r="840" spans="1:11" x14ac:dyDescent="0.25">
      <c r="A840" s="12" t="s">
        <v>60</v>
      </c>
      <c r="B840" s="12" t="s">
        <v>57</v>
      </c>
      <c r="C840" s="12" t="s">
        <v>13</v>
      </c>
      <c r="D840" s="12">
        <v>0</v>
      </c>
      <c r="E840" s="12">
        <v>0</v>
      </c>
      <c r="F840" s="12">
        <v>20</v>
      </c>
      <c r="G840" s="12">
        <v>0</v>
      </c>
      <c r="H840" s="12">
        <v>0</v>
      </c>
      <c r="I840" s="12" t="s">
        <v>98</v>
      </c>
      <c r="J840" s="12">
        <v>46305</v>
      </c>
      <c r="K840">
        <v>46305</v>
      </c>
    </row>
    <row r="841" spans="1:11" hidden="1" x14ac:dyDescent="0.25">
      <c r="A841" s="12" t="s">
        <v>60</v>
      </c>
      <c r="B841" s="12" t="s">
        <v>57</v>
      </c>
      <c r="C841" s="12" t="s">
        <v>15</v>
      </c>
      <c r="D841" s="12">
        <v>0</v>
      </c>
      <c r="E841" s="12">
        <v>0</v>
      </c>
      <c r="F841" s="12">
        <v>20</v>
      </c>
      <c r="G841" s="12">
        <v>0</v>
      </c>
      <c r="H841" s="12">
        <v>0</v>
      </c>
      <c r="I841" s="12" t="s">
        <v>99</v>
      </c>
      <c r="J841" s="12">
        <v>46305</v>
      </c>
      <c r="K841">
        <v>46305</v>
      </c>
    </row>
    <row r="842" spans="1:11" hidden="1" x14ac:dyDescent="0.25">
      <c r="A842" s="12" t="s">
        <v>60</v>
      </c>
      <c r="B842" s="12" t="s">
        <v>37</v>
      </c>
      <c r="C842" s="12" t="s">
        <v>15</v>
      </c>
      <c r="D842" s="12">
        <v>3.5458747546381306</v>
      </c>
      <c r="E842" s="12">
        <v>9.5</v>
      </c>
      <c r="F842" s="12">
        <v>20</v>
      </c>
      <c r="G842" s="12">
        <v>9.5</v>
      </c>
      <c r="H842" s="12">
        <v>4.0588235294117636</v>
      </c>
      <c r="I842" s="12" t="s">
        <v>101</v>
      </c>
      <c r="J842" s="12">
        <v>46306</v>
      </c>
      <c r="K842">
        <v>46306</v>
      </c>
    </row>
    <row r="843" spans="1:11" hidden="1" x14ac:dyDescent="0.25">
      <c r="A843" s="12" t="s">
        <v>60</v>
      </c>
      <c r="B843" s="12" t="s">
        <v>38</v>
      </c>
      <c r="C843" s="12" t="s">
        <v>14</v>
      </c>
      <c r="D843" s="12">
        <v>2.5380039656311961</v>
      </c>
      <c r="E843" s="12">
        <v>4.75</v>
      </c>
      <c r="F843" s="12">
        <v>20</v>
      </c>
      <c r="G843" s="12">
        <v>4.75</v>
      </c>
      <c r="H843" s="12">
        <v>2.1881487889273359</v>
      </c>
      <c r="I843" s="12" t="s">
        <v>100</v>
      </c>
      <c r="J843" s="12">
        <v>46306</v>
      </c>
      <c r="K843">
        <v>46306</v>
      </c>
    </row>
    <row r="844" spans="1:11" hidden="1" x14ac:dyDescent="0.25">
      <c r="A844" s="12" t="s">
        <v>60</v>
      </c>
      <c r="B844" s="12" t="s">
        <v>57</v>
      </c>
      <c r="C844" s="12" t="s">
        <v>14</v>
      </c>
      <c r="D844" s="12">
        <v>0</v>
      </c>
      <c r="E844" s="12">
        <v>0</v>
      </c>
      <c r="F844" s="12">
        <v>20</v>
      </c>
      <c r="G844" s="12">
        <v>0</v>
      </c>
      <c r="H844" s="12">
        <v>0</v>
      </c>
      <c r="I844" s="12" t="s">
        <v>100</v>
      </c>
      <c r="J844" s="12">
        <v>46306</v>
      </c>
      <c r="K844">
        <v>46306</v>
      </c>
    </row>
    <row r="845" spans="1:11" hidden="1" x14ac:dyDescent="0.25">
      <c r="A845" s="12" t="s">
        <v>60</v>
      </c>
      <c r="B845" s="12" t="s">
        <v>57</v>
      </c>
      <c r="C845" s="12" t="s">
        <v>15</v>
      </c>
      <c r="D845" s="12">
        <v>0</v>
      </c>
      <c r="E845" s="12">
        <v>0</v>
      </c>
      <c r="F845" s="12">
        <v>20</v>
      </c>
      <c r="G845" s="12">
        <v>0</v>
      </c>
      <c r="H845" s="12">
        <v>0</v>
      </c>
      <c r="I845" s="12" t="s">
        <v>101</v>
      </c>
      <c r="J845" s="12">
        <v>46306</v>
      </c>
      <c r="K845">
        <v>46306</v>
      </c>
    </row>
    <row r="846" spans="1:11" hidden="1" x14ac:dyDescent="0.25">
      <c r="A846" s="12" t="s">
        <v>60</v>
      </c>
      <c r="B846" s="12" t="s">
        <v>148</v>
      </c>
      <c r="C846" s="12" t="s">
        <v>15</v>
      </c>
      <c r="D846" s="12">
        <v>0</v>
      </c>
      <c r="E846" s="12">
        <v>0.95</v>
      </c>
      <c r="F846" s="12">
        <v>20</v>
      </c>
      <c r="G846" s="12">
        <v>0.95</v>
      </c>
      <c r="H846" s="12">
        <v>0</v>
      </c>
      <c r="I846" s="12" t="s">
        <v>101</v>
      </c>
      <c r="J846" s="12">
        <v>46306</v>
      </c>
      <c r="K846">
        <v>46306</v>
      </c>
    </row>
    <row r="847" spans="1:11" x14ac:dyDescent="0.25">
      <c r="A847" s="12" t="s">
        <v>60</v>
      </c>
      <c r="B847" s="12" t="s">
        <v>37</v>
      </c>
      <c r="C847" s="12" t="s">
        <v>13</v>
      </c>
      <c r="D847" s="12">
        <v>9.5295384030899779</v>
      </c>
      <c r="E847" s="12">
        <v>15.2</v>
      </c>
      <c r="F847" s="12">
        <v>20</v>
      </c>
      <c r="G847" s="12">
        <v>15.2</v>
      </c>
      <c r="H847" s="12">
        <v>10.22254901960784</v>
      </c>
      <c r="I847" s="12" t="s">
        <v>102</v>
      </c>
      <c r="J847" s="12">
        <v>46306</v>
      </c>
      <c r="K847">
        <v>46306</v>
      </c>
    </row>
    <row r="848" spans="1:11" x14ac:dyDescent="0.25">
      <c r="A848" s="12" t="s">
        <v>60</v>
      </c>
      <c r="B848" s="12" t="s">
        <v>38</v>
      </c>
      <c r="C848" s="12" t="s">
        <v>13</v>
      </c>
      <c r="D848" s="12">
        <v>1.3483146067415734</v>
      </c>
      <c r="E848" s="12">
        <v>3.8</v>
      </c>
      <c r="F848" s="12">
        <v>20</v>
      </c>
      <c r="G848" s="12">
        <v>3.8</v>
      </c>
      <c r="H848" s="12">
        <v>1.9131433823529416</v>
      </c>
      <c r="I848" s="12" t="s">
        <v>102</v>
      </c>
      <c r="J848" s="12">
        <v>46306</v>
      </c>
      <c r="K848">
        <v>46306</v>
      </c>
    </row>
    <row r="849" spans="1:11" x14ac:dyDescent="0.25">
      <c r="A849" s="12" t="s">
        <v>60</v>
      </c>
      <c r="B849" s="12" t="s">
        <v>57</v>
      </c>
      <c r="C849" s="12" t="s">
        <v>13</v>
      </c>
      <c r="D849" s="12">
        <v>0</v>
      </c>
      <c r="E849" s="12">
        <v>0</v>
      </c>
      <c r="F849" s="12">
        <v>20</v>
      </c>
      <c r="G849" s="12">
        <v>0</v>
      </c>
      <c r="H849" s="12">
        <v>0</v>
      </c>
      <c r="I849" s="12" t="s">
        <v>102</v>
      </c>
      <c r="J849" s="12">
        <v>46306</v>
      </c>
      <c r="K849">
        <v>46306</v>
      </c>
    </row>
    <row r="850" spans="1:11" x14ac:dyDescent="0.25">
      <c r="A850" s="12" t="s">
        <v>60</v>
      </c>
      <c r="B850" s="12" t="s">
        <v>148</v>
      </c>
      <c r="C850" s="12" t="s">
        <v>13</v>
      </c>
      <c r="D850" s="12">
        <v>0.56250000000000011</v>
      </c>
      <c r="E850" s="12">
        <v>0.95</v>
      </c>
      <c r="F850" s="12">
        <v>20</v>
      </c>
      <c r="G850" s="12">
        <v>0.95</v>
      </c>
      <c r="H850" s="12">
        <v>0.43749999999999994</v>
      </c>
      <c r="I850" s="12" t="s">
        <v>102</v>
      </c>
      <c r="J850" s="12">
        <v>46306</v>
      </c>
      <c r="K850">
        <v>46306</v>
      </c>
    </row>
    <row r="851" spans="1:11" hidden="1" x14ac:dyDescent="0.25">
      <c r="A851" s="12" t="s">
        <v>60</v>
      </c>
      <c r="B851" s="12" t="s">
        <v>37</v>
      </c>
      <c r="C851" s="12" t="s">
        <v>14</v>
      </c>
      <c r="D851" s="12">
        <v>7.313366681441142</v>
      </c>
      <c r="E851" s="12">
        <v>16.149999999999999</v>
      </c>
      <c r="F851" s="12">
        <v>20</v>
      </c>
      <c r="G851" s="12">
        <v>16.149999999999999</v>
      </c>
      <c r="H851" s="12">
        <v>7.7186274509803869</v>
      </c>
      <c r="I851" s="12" t="s">
        <v>100</v>
      </c>
      <c r="J851" s="12">
        <v>46306</v>
      </c>
      <c r="K851">
        <v>46306</v>
      </c>
    </row>
    <row r="852" spans="1:11" hidden="1" x14ac:dyDescent="0.25">
      <c r="A852" s="12" t="s">
        <v>60</v>
      </c>
      <c r="B852" s="12" t="s">
        <v>38</v>
      </c>
      <c r="C852" s="12" t="s">
        <v>15</v>
      </c>
      <c r="D852" s="12">
        <v>1.7977528089887642</v>
      </c>
      <c r="E852" s="12">
        <v>1.9</v>
      </c>
      <c r="F852" s="12">
        <v>20</v>
      </c>
      <c r="G852" s="12">
        <v>1.9</v>
      </c>
      <c r="H852" s="12">
        <v>1.0127450980392154</v>
      </c>
      <c r="I852" s="12" t="s">
        <v>101</v>
      </c>
      <c r="J852" s="12">
        <v>46306</v>
      </c>
      <c r="K852">
        <v>46306</v>
      </c>
    </row>
    <row r="853" spans="1:11" hidden="1" x14ac:dyDescent="0.25">
      <c r="A853" s="12" t="s">
        <v>60</v>
      </c>
      <c r="B853" s="12" t="s">
        <v>148</v>
      </c>
      <c r="C853" s="12" t="s">
        <v>14</v>
      </c>
      <c r="D853" s="12">
        <v>0</v>
      </c>
      <c r="E853" s="12">
        <v>1.9</v>
      </c>
      <c r="F853" s="12">
        <v>20</v>
      </c>
      <c r="G853" s="12">
        <v>1.9</v>
      </c>
      <c r="H853" s="12">
        <v>0.17647058823529413</v>
      </c>
      <c r="I853" s="12" t="s">
        <v>100</v>
      </c>
      <c r="J853" s="12">
        <v>46306</v>
      </c>
      <c r="K853">
        <v>46306</v>
      </c>
    </row>
    <row r="854" spans="1:11" hidden="1" x14ac:dyDescent="0.25">
      <c r="A854" s="12" t="s">
        <v>60</v>
      </c>
      <c r="B854" s="12" t="s">
        <v>148</v>
      </c>
      <c r="C854" s="12" t="s">
        <v>14</v>
      </c>
      <c r="D854" s="12">
        <v>0</v>
      </c>
      <c r="E854" s="12">
        <v>13.3</v>
      </c>
      <c r="F854" s="12">
        <v>20</v>
      </c>
      <c r="G854" s="12">
        <v>13.3</v>
      </c>
      <c r="H854" s="12">
        <v>0.88581314878892703</v>
      </c>
      <c r="I854" s="12" t="s">
        <v>103</v>
      </c>
      <c r="J854" s="12">
        <v>46307</v>
      </c>
      <c r="K854">
        <v>46307</v>
      </c>
    </row>
    <row r="855" spans="1:11" hidden="1" x14ac:dyDescent="0.25">
      <c r="A855" s="12" t="s">
        <v>60</v>
      </c>
      <c r="B855" s="12" t="s">
        <v>38</v>
      </c>
      <c r="C855" s="12" t="s">
        <v>14</v>
      </c>
      <c r="D855" s="12">
        <v>2.2207534699272973</v>
      </c>
      <c r="E855" s="12">
        <v>2.8499999999999996</v>
      </c>
      <c r="F855" s="12">
        <v>20</v>
      </c>
      <c r="G855" s="12">
        <v>2.8499999999999996</v>
      </c>
      <c r="H855" s="12">
        <v>1.7577854671280275</v>
      </c>
      <c r="I855" s="12" t="s">
        <v>103</v>
      </c>
      <c r="J855" s="12">
        <v>46307</v>
      </c>
      <c r="K855">
        <v>46307</v>
      </c>
    </row>
    <row r="856" spans="1:11" hidden="1" x14ac:dyDescent="0.25">
      <c r="A856" s="12" t="s">
        <v>60</v>
      </c>
      <c r="B856" s="12" t="s">
        <v>37</v>
      </c>
      <c r="C856" s="12" t="s">
        <v>15</v>
      </c>
      <c r="D856" s="12">
        <v>3.5458747546381306</v>
      </c>
      <c r="E856" s="12">
        <v>10.45</v>
      </c>
      <c r="F856" s="12">
        <v>20</v>
      </c>
      <c r="G856" s="12">
        <v>10.45</v>
      </c>
      <c r="H856" s="12">
        <v>4.1764705882352935</v>
      </c>
      <c r="I856" s="12" t="s">
        <v>104</v>
      </c>
      <c r="J856" s="12">
        <v>46307</v>
      </c>
      <c r="K856">
        <v>46307</v>
      </c>
    </row>
    <row r="857" spans="1:11" hidden="1" x14ac:dyDescent="0.25">
      <c r="A857" s="12" t="s">
        <v>60</v>
      </c>
      <c r="B857" s="12" t="s">
        <v>57</v>
      </c>
      <c r="C857" s="12" t="s">
        <v>14</v>
      </c>
      <c r="D857" s="12">
        <v>0</v>
      </c>
      <c r="E857" s="12">
        <v>0.95</v>
      </c>
      <c r="F857" s="12">
        <v>20</v>
      </c>
      <c r="G857" s="12">
        <v>0.95</v>
      </c>
      <c r="H857" s="12">
        <v>0.16608996539792387</v>
      </c>
      <c r="I857" s="12" t="s">
        <v>103</v>
      </c>
      <c r="J857" s="12">
        <v>46307</v>
      </c>
      <c r="K857">
        <v>46307</v>
      </c>
    </row>
    <row r="858" spans="1:11" hidden="1" x14ac:dyDescent="0.25">
      <c r="A858" s="12" t="s">
        <v>60</v>
      </c>
      <c r="B858" s="12" t="s">
        <v>38</v>
      </c>
      <c r="C858" s="12" t="s">
        <v>15</v>
      </c>
      <c r="D858" s="12">
        <v>1.7977528089887642</v>
      </c>
      <c r="E858" s="12">
        <v>0.95</v>
      </c>
      <c r="F858" s="12">
        <v>20</v>
      </c>
      <c r="G858" s="12">
        <v>0.95</v>
      </c>
      <c r="H858" s="12">
        <v>6.2745098039215685E-2</v>
      </c>
      <c r="I858" s="12" t="s">
        <v>104</v>
      </c>
      <c r="J858" s="12">
        <v>46307</v>
      </c>
      <c r="K858">
        <v>46307</v>
      </c>
    </row>
    <row r="859" spans="1:11" hidden="1" x14ac:dyDescent="0.25">
      <c r="A859" s="12" t="s">
        <v>60</v>
      </c>
      <c r="B859" s="12" t="s">
        <v>37</v>
      </c>
      <c r="C859" s="12" t="s">
        <v>14</v>
      </c>
      <c r="D859" s="12">
        <v>7.313366681441142</v>
      </c>
      <c r="E859" s="12">
        <v>16.149999999999999</v>
      </c>
      <c r="F859" s="12">
        <v>20</v>
      </c>
      <c r="G859" s="12">
        <v>16.149999999999999</v>
      </c>
      <c r="H859" s="12">
        <v>8.6009803921568562</v>
      </c>
      <c r="I859" s="12" t="s">
        <v>103</v>
      </c>
      <c r="J859" s="12">
        <v>46307</v>
      </c>
      <c r="K859">
        <v>46307</v>
      </c>
    </row>
    <row r="860" spans="1:11" hidden="1" x14ac:dyDescent="0.25">
      <c r="A860" s="12" t="s">
        <v>60</v>
      </c>
      <c r="B860" s="12" t="s">
        <v>148</v>
      </c>
      <c r="C860" s="12" t="s">
        <v>15</v>
      </c>
      <c r="D860" s="12">
        <v>0</v>
      </c>
      <c r="E860" s="12">
        <v>0</v>
      </c>
      <c r="F860" s="12">
        <v>20</v>
      </c>
      <c r="G860" s="12">
        <v>0</v>
      </c>
      <c r="H860" s="12">
        <v>0</v>
      </c>
      <c r="I860" s="12" t="s">
        <v>104</v>
      </c>
      <c r="J860" s="12">
        <v>46307</v>
      </c>
      <c r="K860">
        <v>46307</v>
      </c>
    </row>
    <row r="861" spans="1:11" x14ac:dyDescent="0.25">
      <c r="A861" s="12" t="s">
        <v>60</v>
      </c>
      <c r="B861" s="12" t="s">
        <v>37</v>
      </c>
      <c r="C861" s="12" t="s">
        <v>13</v>
      </c>
      <c r="D861" s="12">
        <v>9.5295384030899779</v>
      </c>
      <c r="E861" s="12">
        <v>17.099999999999998</v>
      </c>
      <c r="F861" s="12">
        <v>20</v>
      </c>
      <c r="G861" s="12">
        <v>17.099999999999998</v>
      </c>
      <c r="H861" s="12">
        <v>10.22254901960784</v>
      </c>
      <c r="I861" s="12" t="s">
        <v>105</v>
      </c>
      <c r="J861" s="12">
        <v>46307</v>
      </c>
      <c r="K861">
        <v>46307</v>
      </c>
    </row>
    <row r="862" spans="1:11" x14ac:dyDescent="0.25">
      <c r="A862" s="12" t="s">
        <v>60</v>
      </c>
      <c r="B862" s="12" t="s">
        <v>57</v>
      </c>
      <c r="C862" s="12" t="s">
        <v>13</v>
      </c>
      <c r="D862" s="12">
        <v>0.88646868865953277</v>
      </c>
      <c r="E862" s="12">
        <v>0.95</v>
      </c>
      <c r="F862" s="12">
        <v>20</v>
      </c>
      <c r="G862" s="12">
        <v>0.95</v>
      </c>
      <c r="H862" s="12">
        <v>0.82352941176470595</v>
      </c>
      <c r="I862" s="12" t="s">
        <v>105</v>
      </c>
      <c r="J862" s="12">
        <v>46307</v>
      </c>
      <c r="K862">
        <v>46307</v>
      </c>
    </row>
    <row r="863" spans="1:11" x14ac:dyDescent="0.25">
      <c r="A863" s="12" t="s">
        <v>60</v>
      </c>
      <c r="B863" s="12" t="s">
        <v>38</v>
      </c>
      <c r="C863" s="12" t="s">
        <v>13</v>
      </c>
      <c r="D863" s="12">
        <v>1.3483146067415734</v>
      </c>
      <c r="E863" s="12">
        <v>1.9</v>
      </c>
      <c r="F863" s="12">
        <v>20</v>
      </c>
      <c r="G863" s="12">
        <v>1.9</v>
      </c>
      <c r="H863" s="12">
        <v>0.97196691176470595</v>
      </c>
      <c r="I863" s="12" t="s">
        <v>105</v>
      </c>
      <c r="J863" s="12">
        <v>46307</v>
      </c>
      <c r="K863">
        <v>46307</v>
      </c>
    </row>
    <row r="864" spans="1:11" x14ac:dyDescent="0.25">
      <c r="A864" s="12" t="s">
        <v>60</v>
      </c>
      <c r="B864" s="12" t="s">
        <v>148</v>
      </c>
      <c r="C864" s="12" t="s">
        <v>13</v>
      </c>
      <c r="D864" s="12">
        <v>7.0000000000000018</v>
      </c>
      <c r="E864" s="12">
        <v>6.6499999999999995</v>
      </c>
      <c r="F864" s="12">
        <v>20</v>
      </c>
      <c r="G864" s="12">
        <v>6.6499999999999995</v>
      </c>
      <c r="H864" s="12">
        <v>6.0588235294117627</v>
      </c>
      <c r="I864" s="12" t="s">
        <v>105</v>
      </c>
      <c r="J864" s="12">
        <v>46307</v>
      </c>
      <c r="K864">
        <v>46307</v>
      </c>
    </row>
    <row r="865" spans="1:11" hidden="1" x14ac:dyDescent="0.25">
      <c r="A865" s="12" t="s">
        <v>60</v>
      </c>
      <c r="B865" s="12" t="s">
        <v>57</v>
      </c>
      <c r="C865" s="12" t="s">
        <v>15</v>
      </c>
      <c r="D865" s="12">
        <v>0</v>
      </c>
      <c r="E865" s="12">
        <v>0</v>
      </c>
      <c r="F865" s="12">
        <v>20</v>
      </c>
      <c r="G865" s="12">
        <v>0</v>
      </c>
      <c r="H865" s="12">
        <v>0</v>
      </c>
      <c r="I865" s="12" t="s">
        <v>104</v>
      </c>
      <c r="J865" s="12">
        <v>46307</v>
      </c>
      <c r="K865">
        <v>46307</v>
      </c>
    </row>
    <row r="866" spans="1:11" hidden="1" x14ac:dyDescent="0.25">
      <c r="A866" s="12" t="s">
        <v>60</v>
      </c>
      <c r="B866" s="12" t="s">
        <v>38</v>
      </c>
      <c r="C866" s="12" t="s">
        <v>15</v>
      </c>
      <c r="D866" s="12">
        <v>1.7977528089887642</v>
      </c>
      <c r="E866" s="12">
        <v>0.95</v>
      </c>
      <c r="F866" s="12">
        <v>20</v>
      </c>
      <c r="G866" s="12">
        <v>0.95</v>
      </c>
      <c r="H866" s="12">
        <v>6.2745098039215685E-2</v>
      </c>
      <c r="I866" s="12" t="s">
        <v>106</v>
      </c>
      <c r="J866" s="12">
        <v>46308</v>
      </c>
      <c r="K866">
        <v>46308</v>
      </c>
    </row>
    <row r="867" spans="1:11" hidden="1" x14ac:dyDescent="0.25">
      <c r="A867" s="12" t="s">
        <v>60</v>
      </c>
      <c r="B867" s="12" t="s">
        <v>37</v>
      </c>
      <c r="C867" s="12" t="s">
        <v>14</v>
      </c>
      <c r="D867" s="12">
        <v>7.313366681441142</v>
      </c>
      <c r="E867" s="12">
        <v>17.099999999999998</v>
      </c>
      <c r="F867" s="12">
        <v>20</v>
      </c>
      <c r="G867" s="12">
        <v>17.099999999999998</v>
      </c>
      <c r="H867" s="12">
        <v>8.6009803921568562</v>
      </c>
      <c r="I867" s="12" t="s">
        <v>107</v>
      </c>
      <c r="J867" s="12">
        <v>46308</v>
      </c>
      <c r="K867">
        <v>46308</v>
      </c>
    </row>
    <row r="868" spans="1:11" hidden="1" x14ac:dyDescent="0.25">
      <c r="A868" s="12" t="s">
        <v>60</v>
      </c>
      <c r="B868" s="12" t="s">
        <v>38</v>
      </c>
      <c r="C868" s="12" t="s">
        <v>14</v>
      </c>
      <c r="D868" s="12">
        <v>2.2207534699272973</v>
      </c>
      <c r="E868" s="12">
        <v>3.8</v>
      </c>
      <c r="F868" s="12">
        <v>20</v>
      </c>
      <c r="G868" s="12">
        <v>3.8</v>
      </c>
      <c r="H868" s="12">
        <v>1.9238754325259515</v>
      </c>
      <c r="I868" s="12" t="s">
        <v>107</v>
      </c>
      <c r="J868" s="12">
        <v>46308</v>
      </c>
      <c r="K868">
        <v>46308</v>
      </c>
    </row>
    <row r="869" spans="1:11" hidden="1" x14ac:dyDescent="0.25">
      <c r="A869" s="12" t="s">
        <v>60</v>
      </c>
      <c r="B869" s="12" t="s">
        <v>37</v>
      </c>
      <c r="C869" s="12" t="s">
        <v>15</v>
      </c>
      <c r="D869" s="12">
        <v>3.5458747546381306</v>
      </c>
      <c r="E869" s="12">
        <v>10.45</v>
      </c>
      <c r="F869" s="12">
        <v>20</v>
      </c>
      <c r="G869" s="12">
        <v>10.45</v>
      </c>
      <c r="H869" s="12">
        <v>4.1764705882352935</v>
      </c>
      <c r="I869" s="12" t="s">
        <v>106</v>
      </c>
      <c r="J869" s="12">
        <v>46308</v>
      </c>
      <c r="K869">
        <v>46308</v>
      </c>
    </row>
    <row r="870" spans="1:11" hidden="1" x14ac:dyDescent="0.25">
      <c r="A870" s="12" t="s">
        <v>60</v>
      </c>
      <c r="B870" s="12" t="s">
        <v>57</v>
      </c>
      <c r="C870" s="12" t="s">
        <v>15</v>
      </c>
      <c r="D870" s="12">
        <v>0</v>
      </c>
      <c r="E870" s="12">
        <v>0</v>
      </c>
      <c r="F870" s="12">
        <v>20</v>
      </c>
      <c r="G870" s="12">
        <v>0</v>
      </c>
      <c r="H870" s="12">
        <v>0</v>
      </c>
      <c r="I870" s="12" t="s">
        <v>106</v>
      </c>
      <c r="J870" s="12">
        <v>46308</v>
      </c>
      <c r="K870">
        <v>46308</v>
      </c>
    </row>
    <row r="871" spans="1:11" hidden="1" x14ac:dyDescent="0.25">
      <c r="A871" s="12" t="s">
        <v>60</v>
      </c>
      <c r="B871" s="12" t="s">
        <v>148</v>
      </c>
      <c r="C871" s="12" t="s">
        <v>15</v>
      </c>
      <c r="D871" s="12">
        <v>0</v>
      </c>
      <c r="E871" s="12">
        <v>0</v>
      </c>
      <c r="F871" s="12">
        <v>20</v>
      </c>
      <c r="G871" s="12">
        <v>0</v>
      </c>
      <c r="H871" s="12">
        <v>0</v>
      </c>
      <c r="I871" s="12" t="s">
        <v>106</v>
      </c>
      <c r="J871" s="12">
        <v>46308</v>
      </c>
      <c r="K871">
        <v>46308</v>
      </c>
    </row>
    <row r="872" spans="1:11" x14ac:dyDescent="0.25">
      <c r="A872" s="12" t="s">
        <v>60</v>
      </c>
      <c r="B872" s="12" t="s">
        <v>38</v>
      </c>
      <c r="C872" s="12" t="s">
        <v>13</v>
      </c>
      <c r="D872" s="12">
        <v>2.6966292134831464</v>
      </c>
      <c r="E872" s="12">
        <v>2.8499999999999996</v>
      </c>
      <c r="F872" s="12">
        <v>20</v>
      </c>
      <c r="G872" s="12">
        <v>2.8499999999999996</v>
      </c>
      <c r="H872" s="12">
        <v>1.6470588235294119</v>
      </c>
      <c r="I872" s="12" t="s">
        <v>108</v>
      </c>
      <c r="J872" s="12">
        <v>46308</v>
      </c>
      <c r="K872">
        <v>46308</v>
      </c>
    </row>
    <row r="873" spans="1:11" hidden="1" x14ac:dyDescent="0.25">
      <c r="A873" s="12" t="s">
        <v>60</v>
      </c>
      <c r="B873" s="12" t="s">
        <v>57</v>
      </c>
      <c r="C873" s="12" t="s">
        <v>14</v>
      </c>
      <c r="D873" s="12">
        <v>0</v>
      </c>
      <c r="E873" s="12">
        <v>1.9</v>
      </c>
      <c r="F873" s="12">
        <v>20</v>
      </c>
      <c r="G873" s="12">
        <v>1.9</v>
      </c>
      <c r="H873" s="12">
        <v>0.16608996539792387</v>
      </c>
      <c r="I873" s="12" t="s">
        <v>107</v>
      </c>
      <c r="J873" s="12">
        <v>46308</v>
      </c>
      <c r="K873">
        <v>46308</v>
      </c>
    </row>
    <row r="874" spans="1:11" x14ac:dyDescent="0.25">
      <c r="A874" s="12" t="s">
        <v>60</v>
      </c>
      <c r="B874" s="12" t="s">
        <v>57</v>
      </c>
      <c r="C874" s="12" t="s">
        <v>13</v>
      </c>
      <c r="D874" s="12">
        <v>0.88646868865953243</v>
      </c>
      <c r="E874" s="12">
        <v>0.95</v>
      </c>
      <c r="F874" s="12">
        <v>20</v>
      </c>
      <c r="G874" s="12">
        <v>0.95</v>
      </c>
      <c r="H874" s="12">
        <v>0.82352941176470595</v>
      </c>
      <c r="I874" s="12" t="s">
        <v>108</v>
      </c>
      <c r="J874" s="12">
        <v>46308</v>
      </c>
      <c r="K874">
        <v>46308</v>
      </c>
    </row>
    <row r="875" spans="1:11" x14ac:dyDescent="0.25">
      <c r="A875" s="12" t="s">
        <v>60</v>
      </c>
      <c r="B875" s="12" t="s">
        <v>37</v>
      </c>
      <c r="C875" s="12" t="s">
        <v>13</v>
      </c>
      <c r="D875" s="12">
        <v>9.5295384030899761</v>
      </c>
      <c r="E875" s="12">
        <v>18.05</v>
      </c>
      <c r="F875" s="12">
        <v>20</v>
      </c>
      <c r="G875" s="12">
        <v>18.05</v>
      </c>
      <c r="H875" s="12">
        <v>10.22254901960784</v>
      </c>
      <c r="I875" s="12" t="s">
        <v>108</v>
      </c>
      <c r="J875" s="12">
        <v>46308</v>
      </c>
      <c r="K875">
        <v>46308</v>
      </c>
    </row>
    <row r="876" spans="1:11" x14ac:dyDescent="0.25">
      <c r="A876" s="12" t="s">
        <v>60</v>
      </c>
      <c r="B876" s="12" t="s">
        <v>148</v>
      </c>
      <c r="C876" s="12" t="s">
        <v>13</v>
      </c>
      <c r="D876" s="12">
        <v>7.5625000000000018</v>
      </c>
      <c r="E876" s="12">
        <v>6.6499999999999995</v>
      </c>
      <c r="F876" s="12">
        <v>20</v>
      </c>
      <c r="G876" s="12">
        <v>6.6499999999999995</v>
      </c>
      <c r="H876" s="12">
        <v>5.5551470588235281</v>
      </c>
      <c r="I876" s="12" t="s">
        <v>108</v>
      </c>
      <c r="J876" s="12">
        <v>46308</v>
      </c>
      <c r="K876">
        <v>46308</v>
      </c>
    </row>
    <row r="877" spans="1:11" hidden="1" x14ac:dyDescent="0.25">
      <c r="A877" s="12" t="s">
        <v>60</v>
      </c>
      <c r="B877" s="12" t="s">
        <v>148</v>
      </c>
      <c r="C877" s="12" t="s">
        <v>14</v>
      </c>
      <c r="D877" s="12">
        <v>0</v>
      </c>
      <c r="E877" s="12">
        <v>14.25</v>
      </c>
      <c r="F877" s="12">
        <v>20</v>
      </c>
      <c r="G877" s="12">
        <v>14.25</v>
      </c>
      <c r="H877" s="12">
        <v>1.0069204152249132</v>
      </c>
      <c r="I877" s="12" t="s">
        <v>107</v>
      </c>
      <c r="J877" s="12">
        <v>46308</v>
      </c>
      <c r="K877">
        <v>46308</v>
      </c>
    </row>
    <row r="878" spans="1:11" hidden="1" x14ac:dyDescent="0.25">
      <c r="A878" s="12" t="s">
        <v>60</v>
      </c>
      <c r="B878" s="12" t="s">
        <v>37</v>
      </c>
      <c r="C878" s="12" t="s">
        <v>14</v>
      </c>
      <c r="D878" s="12">
        <v>6.6485151649464944</v>
      </c>
      <c r="E878" s="12">
        <v>16.149999999999999</v>
      </c>
      <c r="F878" s="12">
        <v>20</v>
      </c>
      <c r="G878" s="12">
        <v>16.149999999999999</v>
      </c>
      <c r="H878" s="12">
        <v>7.8509803921568588</v>
      </c>
      <c r="I878" s="12" t="s">
        <v>110</v>
      </c>
      <c r="J878" s="12">
        <v>46309</v>
      </c>
      <c r="K878">
        <v>46309</v>
      </c>
    </row>
    <row r="879" spans="1:11" hidden="1" x14ac:dyDescent="0.25">
      <c r="A879" s="12" t="s">
        <v>60</v>
      </c>
      <c r="B879" s="12" t="s">
        <v>148</v>
      </c>
      <c r="C879" s="12" t="s">
        <v>15</v>
      </c>
      <c r="D879" s="12">
        <v>0</v>
      </c>
      <c r="E879" s="12">
        <v>0</v>
      </c>
      <c r="F879" s="12">
        <v>20</v>
      </c>
      <c r="G879" s="12">
        <v>0</v>
      </c>
      <c r="H879" s="12">
        <v>0</v>
      </c>
      <c r="I879" s="12" t="s">
        <v>109</v>
      </c>
      <c r="J879" s="12">
        <v>46309</v>
      </c>
      <c r="K879">
        <v>46309</v>
      </c>
    </row>
    <row r="880" spans="1:11" hidden="1" x14ac:dyDescent="0.25">
      <c r="A880" s="12" t="s">
        <v>60</v>
      </c>
      <c r="B880" s="12" t="s">
        <v>57</v>
      </c>
      <c r="C880" s="12" t="s">
        <v>14</v>
      </c>
      <c r="D880" s="12">
        <v>0.62574260375967017</v>
      </c>
      <c r="E880" s="12">
        <v>3.8</v>
      </c>
      <c r="F880" s="12">
        <v>20</v>
      </c>
      <c r="G880" s="12">
        <v>3.8</v>
      </c>
      <c r="H880" s="12">
        <v>1.2602845059592465</v>
      </c>
      <c r="I880" s="12" t="s">
        <v>110</v>
      </c>
      <c r="J880" s="12">
        <v>46309</v>
      </c>
      <c r="K880">
        <v>46309</v>
      </c>
    </row>
    <row r="881" spans="1:11" hidden="1" x14ac:dyDescent="0.25">
      <c r="A881" s="12" t="s">
        <v>60</v>
      </c>
      <c r="B881" s="12" t="s">
        <v>37</v>
      </c>
      <c r="C881" s="12" t="s">
        <v>15</v>
      </c>
      <c r="D881" s="12">
        <v>3.5458747546381306</v>
      </c>
      <c r="E881" s="12">
        <v>10.45</v>
      </c>
      <c r="F881" s="12">
        <v>20</v>
      </c>
      <c r="G881" s="12">
        <v>10.45</v>
      </c>
      <c r="H881" s="12">
        <v>4.1764705882352935</v>
      </c>
      <c r="I881" s="12" t="s">
        <v>109</v>
      </c>
      <c r="J881" s="12">
        <v>46309</v>
      </c>
      <c r="K881">
        <v>46309</v>
      </c>
    </row>
    <row r="882" spans="1:11" hidden="1" x14ac:dyDescent="0.25">
      <c r="A882" s="12" t="s">
        <v>60</v>
      </c>
      <c r="B882" s="12" t="s">
        <v>148</v>
      </c>
      <c r="C882" s="12" t="s">
        <v>14</v>
      </c>
      <c r="D882" s="12">
        <v>0</v>
      </c>
      <c r="E882" s="12">
        <v>12.35</v>
      </c>
      <c r="F882" s="12">
        <v>20</v>
      </c>
      <c r="G882" s="12">
        <v>12.35</v>
      </c>
      <c r="H882" s="12">
        <v>0.55363321799307952</v>
      </c>
      <c r="I882" s="12" t="s">
        <v>110</v>
      </c>
      <c r="J882" s="12">
        <v>46309</v>
      </c>
      <c r="K882">
        <v>46309</v>
      </c>
    </row>
    <row r="883" spans="1:11" hidden="1" x14ac:dyDescent="0.25">
      <c r="A883" s="12" t="s">
        <v>60</v>
      </c>
      <c r="B883" s="12" t="s">
        <v>57</v>
      </c>
      <c r="C883" s="12" t="s">
        <v>15</v>
      </c>
      <c r="D883" s="12">
        <v>0</v>
      </c>
      <c r="E883" s="12">
        <v>0</v>
      </c>
      <c r="F883" s="12">
        <v>20</v>
      </c>
      <c r="G883" s="12">
        <v>0</v>
      </c>
      <c r="H883" s="12">
        <v>0</v>
      </c>
      <c r="I883" s="12" t="s">
        <v>109</v>
      </c>
      <c r="J883" s="12">
        <v>46309</v>
      </c>
      <c r="K883">
        <v>46309</v>
      </c>
    </row>
    <row r="884" spans="1:11" hidden="1" x14ac:dyDescent="0.25">
      <c r="A884" s="12" t="s">
        <v>60</v>
      </c>
      <c r="B884" s="12" t="s">
        <v>38</v>
      </c>
      <c r="C884" s="12" t="s">
        <v>14</v>
      </c>
      <c r="D884" s="12">
        <v>2.538003965631197</v>
      </c>
      <c r="E884" s="12">
        <v>4.75</v>
      </c>
      <c r="F884" s="12">
        <v>20</v>
      </c>
      <c r="G884" s="12">
        <v>4.75</v>
      </c>
      <c r="H884" s="12">
        <v>2.188148788927335</v>
      </c>
      <c r="I884" s="12" t="s">
        <v>110</v>
      </c>
      <c r="J884" s="12">
        <v>46309</v>
      </c>
      <c r="K884">
        <v>46309</v>
      </c>
    </row>
    <row r="885" spans="1:11" x14ac:dyDescent="0.25">
      <c r="A885" s="12" t="s">
        <v>60</v>
      </c>
      <c r="B885" s="12" t="s">
        <v>148</v>
      </c>
      <c r="C885" s="12" t="s">
        <v>13</v>
      </c>
      <c r="D885" s="12">
        <v>6.6875000000000009</v>
      </c>
      <c r="E885" s="12">
        <v>6.6499999999999995</v>
      </c>
      <c r="F885" s="12">
        <v>20</v>
      </c>
      <c r="G885" s="12">
        <v>6.6499999999999995</v>
      </c>
      <c r="H885" s="12">
        <v>5.3492647058823515</v>
      </c>
      <c r="I885" s="12" t="s">
        <v>111</v>
      </c>
      <c r="J885" s="12">
        <v>46309</v>
      </c>
      <c r="K885">
        <v>46309</v>
      </c>
    </row>
    <row r="886" spans="1:11" x14ac:dyDescent="0.25">
      <c r="A886" s="12" t="s">
        <v>60</v>
      </c>
      <c r="B886" s="12" t="s">
        <v>57</v>
      </c>
      <c r="C886" s="12" t="s">
        <v>13</v>
      </c>
      <c r="D886" s="12">
        <v>2.7148103590198196</v>
      </c>
      <c r="E886" s="12">
        <v>2.8499999999999996</v>
      </c>
      <c r="F886" s="12">
        <v>20</v>
      </c>
      <c r="G886" s="12">
        <v>2.8499999999999996</v>
      </c>
      <c r="H886" s="12">
        <v>2.473447712418301</v>
      </c>
      <c r="I886" s="12" t="s">
        <v>111</v>
      </c>
      <c r="J886" s="12">
        <v>46309</v>
      </c>
      <c r="K886">
        <v>46309</v>
      </c>
    </row>
    <row r="887" spans="1:11" x14ac:dyDescent="0.25">
      <c r="A887" s="12" t="s">
        <v>60</v>
      </c>
      <c r="B887" s="12" t="s">
        <v>37</v>
      </c>
      <c r="C887" s="12" t="s">
        <v>13</v>
      </c>
      <c r="D887" s="12">
        <v>9.5295384030899779</v>
      </c>
      <c r="E887" s="12">
        <v>17.099999999999998</v>
      </c>
      <c r="F887" s="12">
        <v>20</v>
      </c>
      <c r="G887" s="12">
        <v>17.099999999999998</v>
      </c>
      <c r="H887" s="12">
        <v>10.22254901960784</v>
      </c>
      <c r="I887" s="12" t="s">
        <v>111</v>
      </c>
      <c r="J887" s="12">
        <v>46309</v>
      </c>
      <c r="K887">
        <v>46309</v>
      </c>
    </row>
    <row r="888" spans="1:11" x14ac:dyDescent="0.25">
      <c r="A888" s="12" t="s">
        <v>60</v>
      </c>
      <c r="B888" s="12" t="s">
        <v>38</v>
      </c>
      <c r="C888" s="12" t="s">
        <v>13</v>
      </c>
      <c r="D888" s="12">
        <v>2.6966292134831469</v>
      </c>
      <c r="E888" s="12">
        <v>3.8</v>
      </c>
      <c r="F888" s="12">
        <v>20</v>
      </c>
      <c r="G888" s="12">
        <v>3.8</v>
      </c>
      <c r="H888" s="12">
        <v>1.7647058823529416</v>
      </c>
      <c r="I888" s="12" t="s">
        <v>111</v>
      </c>
      <c r="J888" s="12">
        <v>46309</v>
      </c>
      <c r="K888">
        <v>46309</v>
      </c>
    </row>
    <row r="889" spans="1:11" hidden="1" x14ac:dyDescent="0.25">
      <c r="A889" s="12" t="s">
        <v>60</v>
      </c>
      <c r="B889" s="12" t="s">
        <v>38</v>
      </c>
      <c r="C889" s="12" t="s">
        <v>15</v>
      </c>
      <c r="D889" s="12">
        <v>1.7977528089887642</v>
      </c>
      <c r="E889" s="12">
        <v>1.9</v>
      </c>
      <c r="F889" s="12">
        <v>20</v>
      </c>
      <c r="G889" s="12">
        <v>1.9</v>
      </c>
      <c r="H889" s="12">
        <v>1.0127450980392154</v>
      </c>
      <c r="I889" s="12" t="s">
        <v>109</v>
      </c>
      <c r="J889" s="12">
        <v>46309</v>
      </c>
      <c r="K889">
        <v>46309</v>
      </c>
    </row>
    <row r="890" spans="1:11" hidden="1" x14ac:dyDescent="0.25">
      <c r="A890" s="12" t="s">
        <v>60</v>
      </c>
      <c r="B890" s="12" t="s">
        <v>148</v>
      </c>
      <c r="C890" s="12" t="s">
        <v>14</v>
      </c>
      <c r="D890" s="12">
        <v>0</v>
      </c>
      <c r="E890" s="12">
        <v>12.35</v>
      </c>
      <c r="F890" s="12">
        <v>20</v>
      </c>
      <c r="G890" s="12">
        <v>12.35</v>
      </c>
      <c r="H890" s="12">
        <v>0.55363321799307952</v>
      </c>
      <c r="I890" s="12" t="s">
        <v>113</v>
      </c>
      <c r="J890" s="12">
        <v>46310</v>
      </c>
      <c r="K890">
        <v>46310</v>
      </c>
    </row>
    <row r="891" spans="1:11" hidden="1" x14ac:dyDescent="0.25">
      <c r="A891" s="12" t="s">
        <v>60</v>
      </c>
      <c r="B891" s="12" t="s">
        <v>37</v>
      </c>
      <c r="C891" s="12" t="s">
        <v>15</v>
      </c>
      <c r="D891" s="12">
        <v>3.5458747546381306</v>
      </c>
      <c r="E891" s="12">
        <v>10.45</v>
      </c>
      <c r="F891" s="12">
        <v>20</v>
      </c>
      <c r="G891" s="12">
        <v>10.45</v>
      </c>
      <c r="H891" s="12">
        <v>4.1764705882352935</v>
      </c>
      <c r="I891" s="12" t="s">
        <v>112</v>
      </c>
      <c r="J891" s="12">
        <v>46310</v>
      </c>
      <c r="K891">
        <v>46310</v>
      </c>
    </row>
    <row r="892" spans="1:11" hidden="1" x14ac:dyDescent="0.25">
      <c r="A892" s="12" t="s">
        <v>60</v>
      </c>
      <c r="B892" s="12" t="s">
        <v>37</v>
      </c>
      <c r="C892" s="12" t="s">
        <v>14</v>
      </c>
      <c r="D892" s="12">
        <v>7.313366681441142</v>
      </c>
      <c r="E892" s="12">
        <v>17.099999999999998</v>
      </c>
      <c r="F892" s="12">
        <v>20</v>
      </c>
      <c r="G892" s="12">
        <v>17.099999999999998</v>
      </c>
      <c r="H892" s="12">
        <v>8.6009803921568597</v>
      </c>
      <c r="I892" s="12" t="s">
        <v>113</v>
      </c>
      <c r="J892" s="12">
        <v>46310</v>
      </c>
      <c r="K892">
        <v>46310</v>
      </c>
    </row>
    <row r="893" spans="1:11" hidden="1" x14ac:dyDescent="0.25">
      <c r="A893" s="12" t="s">
        <v>60</v>
      </c>
      <c r="B893" s="12" t="s">
        <v>57</v>
      </c>
      <c r="C893" s="12" t="s">
        <v>15</v>
      </c>
      <c r="D893" s="12">
        <v>0</v>
      </c>
      <c r="E893" s="12">
        <v>0</v>
      </c>
      <c r="F893" s="12">
        <v>20</v>
      </c>
      <c r="G893" s="12">
        <v>0</v>
      </c>
      <c r="H893" s="12">
        <v>0</v>
      </c>
      <c r="I893" s="12" t="s">
        <v>112</v>
      </c>
      <c r="J893" s="12">
        <v>46310</v>
      </c>
      <c r="K893">
        <v>46310</v>
      </c>
    </row>
    <row r="894" spans="1:11" hidden="1" x14ac:dyDescent="0.25">
      <c r="A894" s="12" t="s">
        <v>60</v>
      </c>
      <c r="B894" s="12" t="s">
        <v>38</v>
      </c>
      <c r="C894" s="12" t="s">
        <v>15</v>
      </c>
      <c r="D894" s="12">
        <v>1.7977528089887642</v>
      </c>
      <c r="E894" s="12">
        <v>1.9</v>
      </c>
      <c r="F894" s="12">
        <v>20</v>
      </c>
      <c r="G894" s="12">
        <v>1.9</v>
      </c>
      <c r="H894" s="12">
        <v>1.0127450980392154</v>
      </c>
      <c r="I894" s="12" t="s">
        <v>112</v>
      </c>
      <c r="J894" s="12">
        <v>46310</v>
      </c>
      <c r="K894">
        <v>46310</v>
      </c>
    </row>
    <row r="895" spans="1:11" hidden="1" x14ac:dyDescent="0.25">
      <c r="A895" s="12" t="s">
        <v>60</v>
      </c>
      <c r="B895" s="12" t="s">
        <v>148</v>
      </c>
      <c r="C895" s="12" t="s">
        <v>15</v>
      </c>
      <c r="D895" s="12">
        <v>0</v>
      </c>
      <c r="E895" s="12">
        <v>0</v>
      </c>
      <c r="F895" s="12">
        <v>20</v>
      </c>
      <c r="G895" s="12">
        <v>0</v>
      </c>
      <c r="H895" s="12">
        <v>0</v>
      </c>
      <c r="I895" s="12" t="s">
        <v>112</v>
      </c>
      <c r="J895" s="12">
        <v>46310</v>
      </c>
      <c r="K895">
        <v>46310</v>
      </c>
    </row>
    <row r="896" spans="1:11" hidden="1" x14ac:dyDescent="0.25">
      <c r="A896" s="12" t="s">
        <v>60</v>
      </c>
      <c r="B896" s="12" t="s">
        <v>57</v>
      </c>
      <c r="C896" s="12" t="s">
        <v>14</v>
      </c>
      <c r="D896" s="12">
        <v>0</v>
      </c>
      <c r="E896" s="12">
        <v>2.8499999999999996</v>
      </c>
      <c r="F896" s="12">
        <v>20</v>
      </c>
      <c r="G896" s="12">
        <v>2.8499999999999996</v>
      </c>
      <c r="H896" s="12">
        <v>0.55440215301806983</v>
      </c>
      <c r="I896" s="12" t="s">
        <v>113</v>
      </c>
      <c r="J896" s="12">
        <v>46310</v>
      </c>
      <c r="K896">
        <v>46310</v>
      </c>
    </row>
    <row r="897" spans="1:11" x14ac:dyDescent="0.25">
      <c r="A897" s="12" t="s">
        <v>60</v>
      </c>
      <c r="B897" s="12" t="s">
        <v>57</v>
      </c>
      <c r="C897" s="12" t="s">
        <v>13</v>
      </c>
      <c r="D897" s="12">
        <v>2.7148103590198196</v>
      </c>
      <c r="E897" s="12">
        <v>2.8499999999999996</v>
      </c>
      <c r="F897" s="12">
        <v>20</v>
      </c>
      <c r="G897" s="12">
        <v>2.8499999999999996</v>
      </c>
      <c r="H897" s="12">
        <v>2.4734477124183014</v>
      </c>
      <c r="I897" s="12" t="s">
        <v>114</v>
      </c>
      <c r="J897" s="12">
        <v>46310</v>
      </c>
      <c r="K897">
        <v>46310</v>
      </c>
    </row>
    <row r="898" spans="1:11" hidden="1" x14ac:dyDescent="0.25">
      <c r="A898" s="12" t="s">
        <v>60</v>
      </c>
      <c r="B898" s="12" t="s">
        <v>38</v>
      </c>
      <c r="C898" s="12" t="s">
        <v>14</v>
      </c>
      <c r="D898" s="12">
        <v>2.538003965631197</v>
      </c>
      <c r="E898" s="12">
        <v>4.75</v>
      </c>
      <c r="F898" s="12">
        <v>20</v>
      </c>
      <c r="G898" s="12">
        <v>4.75</v>
      </c>
      <c r="H898" s="12">
        <v>2.188148788927335</v>
      </c>
      <c r="I898" s="12" t="s">
        <v>113</v>
      </c>
      <c r="J898" s="12">
        <v>46310</v>
      </c>
      <c r="K898">
        <v>46310</v>
      </c>
    </row>
    <row r="899" spans="1:11" x14ac:dyDescent="0.25">
      <c r="A899" s="12" t="s">
        <v>60</v>
      </c>
      <c r="B899" s="12" t="s">
        <v>37</v>
      </c>
      <c r="C899" s="12" t="s">
        <v>13</v>
      </c>
      <c r="D899" s="12">
        <v>9.5295384030899779</v>
      </c>
      <c r="E899" s="12">
        <v>17.099999999999998</v>
      </c>
      <c r="F899" s="12">
        <v>20</v>
      </c>
      <c r="G899" s="12">
        <v>17.099999999999998</v>
      </c>
      <c r="H899" s="12">
        <v>10.22254901960784</v>
      </c>
      <c r="I899" s="12" t="s">
        <v>114</v>
      </c>
      <c r="J899" s="12">
        <v>46310</v>
      </c>
      <c r="K899">
        <v>46310</v>
      </c>
    </row>
    <row r="900" spans="1:11" x14ac:dyDescent="0.25">
      <c r="A900" s="12" t="s">
        <v>60</v>
      </c>
      <c r="B900" s="12" t="s">
        <v>38</v>
      </c>
      <c r="C900" s="12" t="s">
        <v>13</v>
      </c>
      <c r="D900" s="12">
        <v>2.6966292134831469</v>
      </c>
      <c r="E900" s="12">
        <v>3.8</v>
      </c>
      <c r="F900" s="12">
        <v>20</v>
      </c>
      <c r="G900" s="12">
        <v>3.8</v>
      </c>
      <c r="H900" s="12">
        <v>1.9131433823529416</v>
      </c>
      <c r="I900" s="12" t="s">
        <v>114</v>
      </c>
      <c r="J900" s="12">
        <v>46310</v>
      </c>
      <c r="K900">
        <v>46310</v>
      </c>
    </row>
    <row r="901" spans="1:11" x14ac:dyDescent="0.25">
      <c r="A901" s="12" t="s">
        <v>60</v>
      </c>
      <c r="B901" s="12" t="s">
        <v>148</v>
      </c>
      <c r="C901" s="12" t="s">
        <v>13</v>
      </c>
      <c r="D901" s="12">
        <v>6.6875000000000009</v>
      </c>
      <c r="E901" s="12">
        <v>6.6499999999999995</v>
      </c>
      <c r="F901" s="12">
        <v>20</v>
      </c>
      <c r="G901" s="12">
        <v>6.6499999999999995</v>
      </c>
      <c r="H901" s="12">
        <v>5.3492647058823515</v>
      </c>
      <c r="I901" s="12" t="s">
        <v>114</v>
      </c>
      <c r="J901" s="12">
        <v>46310</v>
      </c>
      <c r="K901">
        <v>46310</v>
      </c>
    </row>
    <row r="902" spans="1:11" hidden="1" x14ac:dyDescent="0.25">
      <c r="A902" s="12" t="s">
        <v>60</v>
      </c>
      <c r="B902" s="12" t="s">
        <v>148</v>
      </c>
      <c r="C902" s="12" t="s">
        <v>14</v>
      </c>
      <c r="D902" s="12">
        <v>0</v>
      </c>
      <c r="E902" s="12">
        <v>11.4</v>
      </c>
      <c r="F902" s="12">
        <v>20</v>
      </c>
      <c r="G902" s="12">
        <v>11.4</v>
      </c>
      <c r="H902" s="12">
        <v>0.55363321799307952</v>
      </c>
      <c r="I902" s="12" t="s">
        <v>116</v>
      </c>
      <c r="J902" s="12">
        <v>46311</v>
      </c>
      <c r="K902">
        <v>46311</v>
      </c>
    </row>
    <row r="903" spans="1:11" hidden="1" x14ac:dyDescent="0.25">
      <c r="A903" s="12" t="s">
        <v>60</v>
      </c>
      <c r="B903" s="12" t="s">
        <v>38</v>
      </c>
      <c r="C903" s="12" t="s">
        <v>14</v>
      </c>
      <c r="D903" s="12">
        <v>2.538003965631197</v>
      </c>
      <c r="E903" s="12">
        <v>3.8</v>
      </c>
      <c r="F903" s="12">
        <v>20</v>
      </c>
      <c r="G903" s="12">
        <v>3.8</v>
      </c>
      <c r="H903" s="12">
        <v>2.0220588235294117</v>
      </c>
      <c r="I903" s="12" t="s">
        <v>116</v>
      </c>
      <c r="J903" s="12">
        <v>46311</v>
      </c>
      <c r="K903">
        <v>46311</v>
      </c>
    </row>
    <row r="904" spans="1:11" hidden="1" x14ac:dyDescent="0.25">
      <c r="A904" s="12" t="s">
        <v>60</v>
      </c>
      <c r="B904" s="12" t="s">
        <v>148</v>
      </c>
      <c r="C904" s="12" t="s">
        <v>15</v>
      </c>
      <c r="D904" s="12">
        <v>0</v>
      </c>
      <c r="E904" s="12">
        <v>0</v>
      </c>
      <c r="F904" s="12">
        <v>20</v>
      </c>
      <c r="G904" s="12">
        <v>0</v>
      </c>
      <c r="H904" s="12">
        <v>0</v>
      </c>
      <c r="I904" s="12" t="s">
        <v>117</v>
      </c>
      <c r="J904" s="12">
        <v>46311</v>
      </c>
      <c r="K904">
        <v>46311</v>
      </c>
    </row>
    <row r="905" spans="1:11" hidden="1" x14ac:dyDescent="0.25">
      <c r="A905" s="12" t="s">
        <v>60</v>
      </c>
      <c r="B905" s="12" t="s">
        <v>37</v>
      </c>
      <c r="C905" s="12" t="s">
        <v>15</v>
      </c>
      <c r="D905" s="12">
        <v>3.5458747546381306</v>
      </c>
      <c r="E905" s="12">
        <v>10.45</v>
      </c>
      <c r="F905" s="12">
        <v>20</v>
      </c>
      <c r="G905" s="12">
        <v>10.45</v>
      </c>
      <c r="H905" s="12">
        <v>4.1764705882352935</v>
      </c>
      <c r="I905" s="12" t="s">
        <v>117</v>
      </c>
      <c r="J905" s="12">
        <v>46311</v>
      </c>
      <c r="K905">
        <v>46311</v>
      </c>
    </row>
    <row r="906" spans="1:11" hidden="1" x14ac:dyDescent="0.25">
      <c r="A906" s="12" t="s">
        <v>60</v>
      </c>
      <c r="B906" s="12" t="s">
        <v>37</v>
      </c>
      <c r="C906" s="12" t="s">
        <v>14</v>
      </c>
      <c r="D906" s="12">
        <v>7.313366681441142</v>
      </c>
      <c r="E906" s="12">
        <v>17.099999999999998</v>
      </c>
      <c r="F906" s="12">
        <v>20</v>
      </c>
      <c r="G906" s="12">
        <v>17.099999999999998</v>
      </c>
      <c r="H906" s="12">
        <v>8.6009803921568562</v>
      </c>
      <c r="I906" s="12" t="s">
        <v>116</v>
      </c>
      <c r="J906" s="12">
        <v>46311</v>
      </c>
      <c r="K906">
        <v>46311</v>
      </c>
    </row>
    <row r="907" spans="1:11" hidden="1" x14ac:dyDescent="0.25">
      <c r="A907" s="12" t="s">
        <v>60</v>
      </c>
      <c r="B907" s="12" t="s">
        <v>57</v>
      </c>
      <c r="C907" s="12" t="s">
        <v>15</v>
      </c>
      <c r="D907" s="12">
        <v>0</v>
      </c>
      <c r="E907" s="12">
        <v>0</v>
      </c>
      <c r="F907" s="12">
        <v>20</v>
      </c>
      <c r="G907" s="12">
        <v>0</v>
      </c>
      <c r="H907" s="12">
        <v>0</v>
      </c>
      <c r="I907" s="12" t="s">
        <v>117</v>
      </c>
      <c r="J907" s="12">
        <v>46311</v>
      </c>
      <c r="K907">
        <v>46311</v>
      </c>
    </row>
    <row r="908" spans="1:11" hidden="1" x14ac:dyDescent="0.25">
      <c r="A908" s="12" t="s">
        <v>60</v>
      </c>
      <c r="B908" s="12" t="s">
        <v>38</v>
      </c>
      <c r="C908" s="12" t="s">
        <v>15</v>
      </c>
      <c r="D908" s="12">
        <v>1.7977528089887642</v>
      </c>
      <c r="E908" s="12">
        <v>1.9</v>
      </c>
      <c r="F908" s="12">
        <v>20</v>
      </c>
      <c r="G908" s="12">
        <v>1.9</v>
      </c>
      <c r="H908" s="12">
        <v>1.0127450980392154</v>
      </c>
      <c r="I908" s="12" t="s">
        <v>117</v>
      </c>
      <c r="J908" s="12">
        <v>46311</v>
      </c>
      <c r="K908">
        <v>46311</v>
      </c>
    </row>
    <row r="909" spans="1:11" x14ac:dyDescent="0.25">
      <c r="A909" s="12" t="s">
        <v>60</v>
      </c>
      <c r="B909" s="12" t="s">
        <v>57</v>
      </c>
      <c r="C909" s="12" t="s">
        <v>13</v>
      </c>
      <c r="D909" s="12">
        <v>1.7729373773190653</v>
      </c>
      <c r="E909" s="12">
        <v>1.9</v>
      </c>
      <c r="F909" s="12">
        <v>20</v>
      </c>
      <c r="G909" s="12">
        <v>1.9</v>
      </c>
      <c r="H909" s="12">
        <v>1.6470588235294119</v>
      </c>
      <c r="I909" s="12" t="s">
        <v>115</v>
      </c>
      <c r="J909" s="12">
        <v>46311</v>
      </c>
      <c r="K909">
        <v>46311</v>
      </c>
    </row>
    <row r="910" spans="1:11" x14ac:dyDescent="0.25">
      <c r="A910" s="12" t="s">
        <v>60</v>
      </c>
      <c r="B910" s="12" t="s">
        <v>38</v>
      </c>
      <c r="C910" s="12" t="s">
        <v>13</v>
      </c>
      <c r="D910" s="12">
        <v>2.3595505617977532</v>
      </c>
      <c r="E910" s="12">
        <v>3.8</v>
      </c>
      <c r="F910" s="12">
        <v>20</v>
      </c>
      <c r="G910" s="12">
        <v>3.8</v>
      </c>
      <c r="H910" s="12">
        <v>1.8396139705882359</v>
      </c>
      <c r="I910" s="12" t="s">
        <v>115</v>
      </c>
      <c r="J910" s="12">
        <v>46311</v>
      </c>
      <c r="K910">
        <v>46311</v>
      </c>
    </row>
    <row r="911" spans="1:11" hidden="1" x14ac:dyDescent="0.25">
      <c r="A911" s="12" t="s">
        <v>60</v>
      </c>
      <c r="B911" s="12" t="s">
        <v>57</v>
      </c>
      <c r="C911" s="12" t="s">
        <v>14</v>
      </c>
      <c r="D911" s="12">
        <v>0</v>
      </c>
      <c r="E911" s="12">
        <v>1.9</v>
      </c>
      <c r="F911" s="12">
        <v>20</v>
      </c>
      <c r="G911" s="12">
        <v>1.9</v>
      </c>
      <c r="H911" s="12">
        <v>0.33217993079584773</v>
      </c>
      <c r="I911" s="12" t="s">
        <v>116</v>
      </c>
      <c r="J911" s="12">
        <v>46311</v>
      </c>
      <c r="K911">
        <v>46311</v>
      </c>
    </row>
    <row r="912" spans="1:11" x14ac:dyDescent="0.25">
      <c r="A912" s="12" t="s">
        <v>60</v>
      </c>
      <c r="B912" s="12" t="s">
        <v>37</v>
      </c>
      <c r="C912" s="12" t="s">
        <v>13</v>
      </c>
      <c r="D912" s="12">
        <v>9.5295384030899779</v>
      </c>
      <c r="E912" s="12">
        <v>18.05</v>
      </c>
      <c r="F912" s="12">
        <v>20</v>
      </c>
      <c r="G912" s="12">
        <v>18.05</v>
      </c>
      <c r="H912" s="12">
        <v>10.22254901960784</v>
      </c>
      <c r="I912" s="12" t="s">
        <v>115</v>
      </c>
      <c r="J912" s="12">
        <v>46311</v>
      </c>
      <c r="K912">
        <v>46311</v>
      </c>
    </row>
    <row r="913" spans="1:11" x14ac:dyDescent="0.25">
      <c r="A913" s="12" t="s">
        <v>60</v>
      </c>
      <c r="B913" s="12" t="s">
        <v>148</v>
      </c>
      <c r="C913" s="12" t="s">
        <v>13</v>
      </c>
      <c r="D913" s="12">
        <v>5.1875000000000009</v>
      </c>
      <c r="E913" s="12">
        <v>5.6999999999999993</v>
      </c>
      <c r="F913" s="12">
        <v>20</v>
      </c>
      <c r="G913" s="12">
        <v>5.6999999999999993</v>
      </c>
      <c r="H913" s="12">
        <v>4.5992647058823515</v>
      </c>
      <c r="I913" s="12" t="s">
        <v>115</v>
      </c>
      <c r="J913" s="12">
        <v>46311</v>
      </c>
      <c r="K913">
        <v>46311</v>
      </c>
    </row>
    <row r="914" spans="1:11" x14ac:dyDescent="0.25">
      <c r="A914" s="12" t="s">
        <v>60</v>
      </c>
      <c r="B914" s="12" t="s">
        <v>37</v>
      </c>
      <c r="C914" s="12" t="s">
        <v>13</v>
      </c>
      <c r="D914" s="12">
        <v>9.5295384030899779</v>
      </c>
      <c r="E914" s="12">
        <v>15.2</v>
      </c>
      <c r="F914" s="12">
        <v>20</v>
      </c>
      <c r="G914" s="12">
        <v>15.2</v>
      </c>
      <c r="H914" s="12">
        <v>10.149019607843137</v>
      </c>
      <c r="I914" s="12" t="s">
        <v>119</v>
      </c>
      <c r="J914" s="12">
        <v>46312</v>
      </c>
      <c r="K914">
        <v>46312</v>
      </c>
    </row>
    <row r="915" spans="1:11" x14ac:dyDescent="0.25">
      <c r="A915" s="12" t="s">
        <v>60</v>
      </c>
      <c r="B915" s="12" t="s">
        <v>148</v>
      </c>
      <c r="C915" s="12" t="s">
        <v>13</v>
      </c>
      <c r="D915" s="12">
        <v>0.56250000000000011</v>
      </c>
      <c r="E915" s="12">
        <v>0.95</v>
      </c>
      <c r="F915" s="12">
        <v>20</v>
      </c>
      <c r="G915" s="12">
        <v>0.95</v>
      </c>
      <c r="H915" s="12">
        <v>0.43749999999999994</v>
      </c>
      <c r="I915" s="12" t="s">
        <v>119</v>
      </c>
      <c r="J915" s="12">
        <v>46312</v>
      </c>
      <c r="K915">
        <v>46312</v>
      </c>
    </row>
    <row r="916" spans="1:11" x14ac:dyDescent="0.25">
      <c r="A916" s="12" t="s">
        <v>60</v>
      </c>
      <c r="B916" s="12" t="s">
        <v>57</v>
      </c>
      <c r="C916" s="12" t="s">
        <v>13</v>
      </c>
      <c r="D916" s="12">
        <v>0.88646868865953277</v>
      </c>
      <c r="E916" s="12">
        <v>0.95</v>
      </c>
      <c r="F916" s="12">
        <v>20</v>
      </c>
      <c r="G916" s="12">
        <v>0.95</v>
      </c>
      <c r="H916" s="12">
        <v>0.82352941176470595</v>
      </c>
      <c r="I916" s="12" t="s">
        <v>119</v>
      </c>
      <c r="J916" s="12">
        <v>46312</v>
      </c>
      <c r="K916">
        <v>46312</v>
      </c>
    </row>
    <row r="917" spans="1:11" hidden="1" x14ac:dyDescent="0.25">
      <c r="A917" s="12" t="s">
        <v>60</v>
      </c>
      <c r="B917" s="12" t="s">
        <v>148</v>
      </c>
      <c r="C917" s="12" t="s">
        <v>15</v>
      </c>
      <c r="D917" s="12">
        <v>0</v>
      </c>
      <c r="E917" s="12">
        <v>0.95</v>
      </c>
      <c r="F917" s="12">
        <v>20</v>
      </c>
      <c r="G917" s="12">
        <v>0.95</v>
      </c>
      <c r="H917" s="12">
        <v>0</v>
      </c>
      <c r="I917" s="12" t="s">
        <v>120</v>
      </c>
      <c r="J917" s="12">
        <v>46312</v>
      </c>
      <c r="K917">
        <v>46312</v>
      </c>
    </row>
    <row r="918" spans="1:11" hidden="1" x14ac:dyDescent="0.25">
      <c r="A918" s="12" t="s">
        <v>60</v>
      </c>
      <c r="B918" s="12" t="s">
        <v>38</v>
      </c>
      <c r="C918" s="12" t="s">
        <v>15</v>
      </c>
      <c r="D918" s="12">
        <v>1.7977528089887642</v>
      </c>
      <c r="E918" s="12">
        <v>1.9</v>
      </c>
      <c r="F918" s="12">
        <v>20</v>
      </c>
      <c r="G918" s="12">
        <v>1.9</v>
      </c>
      <c r="H918" s="12">
        <v>1.0127450980392154</v>
      </c>
      <c r="I918" s="12" t="s">
        <v>120</v>
      </c>
      <c r="J918" s="12">
        <v>46312</v>
      </c>
      <c r="K918">
        <v>46312</v>
      </c>
    </row>
    <row r="919" spans="1:11" hidden="1" x14ac:dyDescent="0.25">
      <c r="A919" s="12" t="s">
        <v>60</v>
      </c>
      <c r="B919" s="12" t="s">
        <v>57</v>
      </c>
      <c r="C919" s="12" t="s">
        <v>15</v>
      </c>
      <c r="D919" s="12">
        <v>0</v>
      </c>
      <c r="E919" s="12">
        <v>0</v>
      </c>
      <c r="F919" s="12">
        <v>20</v>
      </c>
      <c r="G919" s="12">
        <v>0</v>
      </c>
      <c r="H919" s="12">
        <v>0</v>
      </c>
      <c r="I919" s="12" t="s">
        <v>120</v>
      </c>
      <c r="J919" s="12">
        <v>46312</v>
      </c>
      <c r="K919">
        <v>46312</v>
      </c>
    </row>
    <row r="920" spans="1:11" hidden="1" x14ac:dyDescent="0.25">
      <c r="A920" s="12" t="s">
        <v>60</v>
      </c>
      <c r="B920" s="12" t="s">
        <v>37</v>
      </c>
      <c r="C920" s="12" t="s">
        <v>15</v>
      </c>
      <c r="D920" s="12">
        <v>3.5458747546381306</v>
      </c>
      <c r="E920" s="12">
        <v>10.45</v>
      </c>
      <c r="F920" s="12">
        <v>20</v>
      </c>
      <c r="G920" s="12">
        <v>10.45</v>
      </c>
      <c r="H920" s="12">
        <v>4.1764705882352935</v>
      </c>
      <c r="I920" s="12" t="s">
        <v>120</v>
      </c>
      <c r="J920" s="12">
        <v>46312</v>
      </c>
      <c r="K920">
        <v>46312</v>
      </c>
    </row>
    <row r="921" spans="1:11" hidden="1" x14ac:dyDescent="0.25">
      <c r="A921" s="12" t="s">
        <v>60</v>
      </c>
      <c r="B921" s="12" t="s">
        <v>38</v>
      </c>
      <c r="C921" s="12" t="s">
        <v>14</v>
      </c>
      <c r="D921" s="12">
        <v>2.5380039656311961</v>
      </c>
      <c r="E921" s="12">
        <v>5.6999999999999993</v>
      </c>
      <c r="F921" s="12">
        <v>20</v>
      </c>
      <c r="G921" s="12">
        <v>5.6999999999999993</v>
      </c>
      <c r="H921" s="12">
        <v>2.1881487889273359</v>
      </c>
      <c r="I921" s="12" t="s">
        <v>118</v>
      </c>
      <c r="J921" s="12">
        <v>46312</v>
      </c>
      <c r="K921">
        <v>46312</v>
      </c>
    </row>
    <row r="922" spans="1:11" hidden="1" x14ac:dyDescent="0.25">
      <c r="A922" s="12" t="s">
        <v>60</v>
      </c>
      <c r="B922" s="12" t="s">
        <v>57</v>
      </c>
      <c r="C922" s="12" t="s">
        <v>14</v>
      </c>
      <c r="D922" s="12">
        <v>0</v>
      </c>
      <c r="E922" s="12">
        <v>0.95</v>
      </c>
      <c r="F922" s="12">
        <v>20</v>
      </c>
      <c r="G922" s="12">
        <v>0.95</v>
      </c>
      <c r="H922" s="12">
        <v>0.16608996539792387</v>
      </c>
      <c r="I922" s="12" t="s">
        <v>118</v>
      </c>
      <c r="J922" s="12">
        <v>46312</v>
      </c>
      <c r="K922">
        <v>46312</v>
      </c>
    </row>
    <row r="923" spans="1:11" x14ac:dyDescent="0.25">
      <c r="A923" s="12" t="s">
        <v>60</v>
      </c>
      <c r="B923" s="12" t="s">
        <v>38</v>
      </c>
      <c r="C923" s="12" t="s">
        <v>13</v>
      </c>
      <c r="D923" s="12">
        <v>1.3483146067415734</v>
      </c>
      <c r="E923" s="12">
        <v>3.8</v>
      </c>
      <c r="F923" s="12">
        <v>20</v>
      </c>
      <c r="G923" s="12">
        <v>3.8</v>
      </c>
      <c r="H923" s="12">
        <v>1.9131433823529416</v>
      </c>
      <c r="I923" s="12" t="s">
        <v>119</v>
      </c>
      <c r="J923" s="12">
        <v>46312</v>
      </c>
      <c r="K923">
        <v>46312</v>
      </c>
    </row>
    <row r="924" spans="1:11" hidden="1" x14ac:dyDescent="0.25">
      <c r="A924" s="12" t="s">
        <v>60</v>
      </c>
      <c r="B924" s="12" t="s">
        <v>37</v>
      </c>
      <c r="C924" s="12" t="s">
        <v>14</v>
      </c>
      <c r="D924" s="12">
        <v>7.313366681441142</v>
      </c>
      <c r="E924" s="12">
        <v>16.149999999999999</v>
      </c>
      <c r="F924" s="12">
        <v>20</v>
      </c>
      <c r="G924" s="12">
        <v>16.149999999999999</v>
      </c>
      <c r="H924" s="12">
        <v>8.4245098039215627</v>
      </c>
      <c r="I924" s="12" t="s">
        <v>118</v>
      </c>
      <c r="J924" s="12">
        <v>46312</v>
      </c>
      <c r="K924">
        <v>46312</v>
      </c>
    </row>
    <row r="925" spans="1:11" hidden="1" x14ac:dyDescent="0.25">
      <c r="A925" s="12" t="s">
        <v>60</v>
      </c>
      <c r="B925" s="12" t="s">
        <v>148</v>
      </c>
      <c r="C925" s="12" t="s">
        <v>14</v>
      </c>
      <c r="D925" s="12">
        <v>0</v>
      </c>
      <c r="E925" s="12">
        <v>1.9</v>
      </c>
      <c r="F925" s="12">
        <v>20</v>
      </c>
      <c r="G925" s="12">
        <v>1.9</v>
      </c>
      <c r="H925" s="12">
        <v>0.17647058823529413</v>
      </c>
      <c r="I925" s="12" t="s">
        <v>118</v>
      </c>
      <c r="J925" s="12">
        <v>46312</v>
      </c>
      <c r="K925">
        <v>46312</v>
      </c>
    </row>
    <row r="926" spans="1:11" x14ac:dyDescent="0.25">
      <c r="A926" s="12" t="s">
        <v>60</v>
      </c>
      <c r="B926" s="12" t="s">
        <v>38</v>
      </c>
      <c r="C926" s="12" t="s">
        <v>13</v>
      </c>
      <c r="D926" s="12">
        <v>1.3483146067415734</v>
      </c>
      <c r="E926" s="12">
        <v>3.8</v>
      </c>
      <c r="F926" s="12">
        <v>20</v>
      </c>
      <c r="G926" s="12">
        <v>3.8</v>
      </c>
      <c r="H926" s="12">
        <v>1.8396139705882359</v>
      </c>
      <c r="I926" s="12" t="s">
        <v>121</v>
      </c>
      <c r="J926" s="12">
        <v>46313</v>
      </c>
      <c r="K926">
        <v>46313</v>
      </c>
    </row>
    <row r="927" spans="1:11" hidden="1" x14ac:dyDescent="0.25">
      <c r="A927" s="12" t="s">
        <v>60</v>
      </c>
      <c r="B927" s="12" t="s">
        <v>38</v>
      </c>
      <c r="C927" s="12" t="s">
        <v>14</v>
      </c>
      <c r="D927" s="12">
        <v>2.538003965631197</v>
      </c>
      <c r="E927" s="12">
        <v>3.8</v>
      </c>
      <c r="F927" s="12">
        <v>20</v>
      </c>
      <c r="G927" s="12">
        <v>3.8</v>
      </c>
      <c r="H927" s="12">
        <v>2.0220588235294117</v>
      </c>
      <c r="I927" s="12" t="s">
        <v>123</v>
      </c>
      <c r="J927" s="12">
        <v>46313</v>
      </c>
      <c r="K927">
        <v>46313</v>
      </c>
    </row>
    <row r="928" spans="1:11" hidden="1" x14ac:dyDescent="0.25">
      <c r="A928" s="12" t="s">
        <v>60</v>
      </c>
      <c r="B928" s="12" t="s">
        <v>57</v>
      </c>
      <c r="C928" s="12" t="s">
        <v>14</v>
      </c>
      <c r="D928" s="12">
        <v>0</v>
      </c>
      <c r="E928" s="12">
        <v>0</v>
      </c>
      <c r="F928" s="12">
        <v>20</v>
      </c>
      <c r="G928" s="12">
        <v>0</v>
      </c>
      <c r="H928" s="12">
        <v>0</v>
      </c>
      <c r="I928" s="12" t="s">
        <v>123</v>
      </c>
      <c r="J928" s="12">
        <v>46313</v>
      </c>
      <c r="K928">
        <v>46313</v>
      </c>
    </row>
    <row r="929" spans="1:11" hidden="1" x14ac:dyDescent="0.25">
      <c r="A929" s="12" t="s">
        <v>60</v>
      </c>
      <c r="B929" s="12" t="s">
        <v>37</v>
      </c>
      <c r="C929" s="12" t="s">
        <v>14</v>
      </c>
      <c r="D929" s="12">
        <v>7.313366681441142</v>
      </c>
      <c r="E929" s="12">
        <v>16.149999999999999</v>
      </c>
      <c r="F929" s="12">
        <v>20</v>
      </c>
      <c r="G929" s="12">
        <v>16.149999999999999</v>
      </c>
      <c r="H929" s="12">
        <v>8.4245098039215609</v>
      </c>
      <c r="I929" s="12" t="s">
        <v>123</v>
      </c>
      <c r="J929" s="12">
        <v>46313</v>
      </c>
      <c r="K929">
        <v>46313</v>
      </c>
    </row>
    <row r="930" spans="1:11" hidden="1" x14ac:dyDescent="0.25">
      <c r="A930" s="12" t="s">
        <v>60</v>
      </c>
      <c r="B930" s="12" t="s">
        <v>148</v>
      </c>
      <c r="C930" s="12" t="s">
        <v>15</v>
      </c>
      <c r="D930" s="12">
        <v>0</v>
      </c>
      <c r="E930" s="12">
        <v>0.95</v>
      </c>
      <c r="F930" s="12">
        <v>20</v>
      </c>
      <c r="G930" s="12">
        <v>0.95</v>
      </c>
      <c r="H930" s="12">
        <v>0</v>
      </c>
      <c r="I930" s="12" t="s">
        <v>122</v>
      </c>
      <c r="J930" s="12">
        <v>46313</v>
      </c>
      <c r="K930">
        <v>46313</v>
      </c>
    </row>
    <row r="931" spans="1:11" hidden="1" x14ac:dyDescent="0.25">
      <c r="A931" s="12" t="s">
        <v>60</v>
      </c>
      <c r="B931" s="12" t="s">
        <v>148</v>
      </c>
      <c r="C931" s="12" t="s">
        <v>14</v>
      </c>
      <c r="D931" s="12">
        <v>0</v>
      </c>
      <c r="E931" s="12">
        <v>1.9</v>
      </c>
      <c r="F931" s="12">
        <v>20</v>
      </c>
      <c r="G931" s="12">
        <v>1.9</v>
      </c>
      <c r="H931" s="12">
        <v>0.17647058823529413</v>
      </c>
      <c r="I931" s="12" t="s">
        <v>123</v>
      </c>
      <c r="J931" s="12">
        <v>46313</v>
      </c>
      <c r="K931">
        <v>46313</v>
      </c>
    </row>
    <row r="932" spans="1:11" hidden="1" x14ac:dyDescent="0.25">
      <c r="A932" s="12" t="s">
        <v>60</v>
      </c>
      <c r="B932" s="12" t="s">
        <v>37</v>
      </c>
      <c r="C932" s="12" t="s">
        <v>15</v>
      </c>
      <c r="D932" s="12">
        <v>3.5458747546381306</v>
      </c>
      <c r="E932" s="12">
        <v>10.45</v>
      </c>
      <c r="F932" s="12">
        <v>20</v>
      </c>
      <c r="G932" s="12">
        <v>10.45</v>
      </c>
      <c r="H932" s="12">
        <v>4.1764705882352935</v>
      </c>
      <c r="I932" s="12" t="s">
        <v>122</v>
      </c>
      <c r="J932" s="12">
        <v>46313</v>
      </c>
      <c r="K932">
        <v>46313</v>
      </c>
    </row>
    <row r="933" spans="1:11" hidden="1" x14ac:dyDescent="0.25">
      <c r="A933" s="12" t="s">
        <v>60</v>
      </c>
      <c r="B933" s="12" t="s">
        <v>57</v>
      </c>
      <c r="C933" s="12" t="s">
        <v>15</v>
      </c>
      <c r="D933" s="12">
        <v>0</v>
      </c>
      <c r="E933" s="12">
        <v>0</v>
      </c>
      <c r="F933" s="12">
        <v>20</v>
      </c>
      <c r="G933" s="12">
        <v>0</v>
      </c>
      <c r="H933" s="12">
        <v>0</v>
      </c>
      <c r="I933" s="12" t="s">
        <v>122</v>
      </c>
      <c r="J933" s="12">
        <v>46313</v>
      </c>
      <c r="K933">
        <v>46313</v>
      </c>
    </row>
    <row r="934" spans="1:11" x14ac:dyDescent="0.25">
      <c r="A934" s="12" t="s">
        <v>60</v>
      </c>
      <c r="B934" s="12" t="s">
        <v>148</v>
      </c>
      <c r="C934" s="12" t="s">
        <v>13</v>
      </c>
      <c r="D934" s="12">
        <v>0.56250000000000011</v>
      </c>
      <c r="E934" s="12">
        <v>0.95</v>
      </c>
      <c r="F934" s="12">
        <v>20</v>
      </c>
      <c r="G934" s="12">
        <v>0.95</v>
      </c>
      <c r="H934" s="12">
        <v>0.43749999999999994</v>
      </c>
      <c r="I934" s="12" t="s">
        <v>121</v>
      </c>
      <c r="J934" s="12">
        <v>46313</v>
      </c>
      <c r="K934">
        <v>46313</v>
      </c>
    </row>
    <row r="935" spans="1:11" x14ac:dyDescent="0.25">
      <c r="A935" s="12" t="s">
        <v>60</v>
      </c>
      <c r="B935" s="12" t="s">
        <v>57</v>
      </c>
      <c r="C935" s="12" t="s">
        <v>13</v>
      </c>
      <c r="D935" s="12">
        <v>0.88646868865953277</v>
      </c>
      <c r="E935" s="12">
        <v>0</v>
      </c>
      <c r="F935" s="12">
        <v>20</v>
      </c>
      <c r="G935" s="12">
        <v>0</v>
      </c>
      <c r="H935" s="12">
        <v>0</v>
      </c>
      <c r="I935" s="12" t="s">
        <v>121</v>
      </c>
      <c r="J935" s="12">
        <v>46313</v>
      </c>
      <c r="K935">
        <v>46313</v>
      </c>
    </row>
    <row r="936" spans="1:11" x14ac:dyDescent="0.25">
      <c r="A936" s="12" t="s">
        <v>60</v>
      </c>
      <c r="B936" s="12" t="s">
        <v>37</v>
      </c>
      <c r="C936" s="12" t="s">
        <v>13</v>
      </c>
      <c r="D936" s="12">
        <v>8.6430697144304478</v>
      </c>
      <c r="E936" s="12">
        <v>15.2</v>
      </c>
      <c r="F936" s="12">
        <v>20</v>
      </c>
      <c r="G936" s="12">
        <v>15.2</v>
      </c>
      <c r="H936" s="12">
        <v>9.8401960784313722</v>
      </c>
      <c r="I936" s="12" t="s">
        <v>121</v>
      </c>
      <c r="J936" s="12">
        <v>46313</v>
      </c>
      <c r="K936">
        <v>46313</v>
      </c>
    </row>
    <row r="937" spans="1:11" hidden="1" x14ac:dyDescent="0.25">
      <c r="A937" s="12" t="s">
        <v>60</v>
      </c>
      <c r="B937" s="12" t="s">
        <v>38</v>
      </c>
      <c r="C937" s="12" t="s">
        <v>15</v>
      </c>
      <c r="D937" s="12">
        <v>1.7977528089887642</v>
      </c>
      <c r="E937" s="12">
        <v>1.9</v>
      </c>
      <c r="F937" s="12">
        <v>20</v>
      </c>
      <c r="G937" s="12">
        <v>1.9</v>
      </c>
      <c r="H937" s="12">
        <v>1.0127450980392154</v>
      </c>
      <c r="I937" s="12" t="s">
        <v>122</v>
      </c>
      <c r="J937" s="12">
        <v>46313</v>
      </c>
      <c r="K937">
        <v>46313</v>
      </c>
    </row>
    <row r="938" spans="1:11" hidden="1" x14ac:dyDescent="0.25">
      <c r="A938" s="12" t="s">
        <v>60</v>
      </c>
      <c r="B938" s="12" t="s">
        <v>57</v>
      </c>
      <c r="C938" s="12" t="s">
        <v>15</v>
      </c>
      <c r="D938" s="12">
        <v>0</v>
      </c>
      <c r="E938" s="12">
        <v>0</v>
      </c>
      <c r="F938" s="12">
        <v>20</v>
      </c>
      <c r="G938" s="12">
        <v>0</v>
      </c>
      <c r="H938" s="12">
        <v>0</v>
      </c>
      <c r="I938" s="12" t="s">
        <v>125</v>
      </c>
      <c r="J938" s="12">
        <v>46314</v>
      </c>
      <c r="K938">
        <v>46314</v>
      </c>
    </row>
    <row r="939" spans="1:11" hidden="1" x14ac:dyDescent="0.25">
      <c r="A939" s="12" t="s">
        <v>60</v>
      </c>
      <c r="B939" s="12" t="s">
        <v>57</v>
      </c>
      <c r="C939" s="12" t="s">
        <v>14</v>
      </c>
      <c r="D939" s="12">
        <v>0</v>
      </c>
      <c r="E939" s="12">
        <v>0</v>
      </c>
      <c r="F939" s="12">
        <v>20</v>
      </c>
      <c r="G939" s="12">
        <v>0</v>
      </c>
      <c r="H939" s="12">
        <v>0</v>
      </c>
      <c r="I939" s="12" t="s">
        <v>124</v>
      </c>
      <c r="J939" s="12">
        <v>46314</v>
      </c>
      <c r="K939">
        <v>46314</v>
      </c>
    </row>
    <row r="940" spans="1:11" hidden="1" x14ac:dyDescent="0.25">
      <c r="A940" s="12" t="s">
        <v>60</v>
      </c>
      <c r="B940" s="12" t="s">
        <v>38</v>
      </c>
      <c r="C940" s="12" t="s">
        <v>14</v>
      </c>
      <c r="D940" s="12">
        <v>2.538003965631197</v>
      </c>
      <c r="E940" s="12">
        <v>2.8499999999999996</v>
      </c>
      <c r="F940" s="12">
        <v>20</v>
      </c>
      <c r="G940" s="12">
        <v>2.8499999999999996</v>
      </c>
      <c r="H940" s="12">
        <v>1.8823529411764703</v>
      </c>
      <c r="I940" s="12" t="s">
        <v>124</v>
      </c>
      <c r="J940" s="12">
        <v>46314</v>
      </c>
      <c r="K940">
        <v>46314</v>
      </c>
    </row>
    <row r="941" spans="1:11" hidden="1" x14ac:dyDescent="0.25">
      <c r="A941" s="12" t="s">
        <v>60</v>
      </c>
      <c r="B941" s="12" t="s">
        <v>148</v>
      </c>
      <c r="C941" s="12" t="s">
        <v>14</v>
      </c>
      <c r="D941" s="12">
        <v>0</v>
      </c>
      <c r="E941" s="12">
        <v>12.35</v>
      </c>
      <c r="F941" s="12">
        <v>20</v>
      </c>
      <c r="G941" s="12">
        <v>12.35</v>
      </c>
      <c r="H941" s="12">
        <v>0.830449826989619</v>
      </c>
      <c r="I941" s="12" t="s">
        <v>124</v>
      </c>
      <c r="J941" s="12">
        <v>46314</v>
      </c>
      <c r="K941">
        <v>46314</v>
      </c>
    </row>
    <row r="942" spans="1:11" hidden="1" x14ac:dyDescent="0.25">
      <c r="A942" s="12" t="s">
        <v>60</v>
      </c>
      <c r="B942" s="12" t="s">
        <v>148</v>
      </c>
      <c r="C942" s="12" t="s">
        <v>15</v>
      </c>
      <c r="D942" s="12">
        <v>0</v>
      </c>
      <c r="E942" s="12">
        <v>0</v>
      </c>
      <c r="F942" s="12">
        <v>20</v>
      </c>
      <c r="G942" s="12">
        <v>0</v>
      </c>
      <c r="H942" s="12">
        <v>0</v>
      </c>
      <c r="I942" s="12" t="s">
        <v>125</v>
      </c>
      <c r="J942" s="12">
        <v>46314</v>
      </c>
      <c r="K942">
        <v>46314</v>
      </c>
    </row>
    <row r="943" spans="1:11" x14ac:dyDescent="0.25">
      <c r="A943" s="12" t="s">
        <v>60</v>
      </c>
      <c r="B943" s="12" t="s">
        <v>57</v>
      </c>
      <c r="C943" s="12" t="s">
        <v>13</v>
      </c>
      <c r="D943" s="12">
        <v>0</v>
      </c>
      <c r="E943" s="12">
        <v>0</v>
      </c>
      <c r="F943" s="12">
        <v>20</v>
      </c>
      <c r="G943" s="12">
        <v>0</v>
      </c>
      <c r="H943" s="12">
        <v>0</v>
      </c>
      <c r="I943" s="12" t="s">
        <v>126</v>
      </c>
      <c r="J943" s="12">
        <v>46314</v>
      </c>
      <c r="K943">
        <v>46314</v>
      </c>
    </row>
    <row r="944" spans="1:11" hidden="1" x14ac:dyDescent="0.25">
      <c r="A944" s="12" t="s">
        <v>60</v>
      </c>
      <c r="B944" s="12" t="s">
        <v>37</v>
      </c>
      <c r="C944" s="12" t="s">
        <v>15</v>
      </c>
      <c r="D944" s="12">
        <v>3.5458747546381306</v>
      </c>
      <c r="E944" s="12">
        <v>10.45</v>
      </c>
      <c r="F944" s="12">
        <v>20</v>
      </c>
      <c r="G944" s="12">
        <v>10.45</v>
      </c>
      <c r="H944" s="12">
        <v>4.1764705882352935</v>
      </c>
      <c r="I944" s="12" t="s">
        <v>125</v>
      </c>
      <c r="J944" s="12">
        <v>46314</v>
      </c>
      <c r="K944">
        <v>46314</v>
      </c>
    </row>
    <row r="945" spans="1:11" x14ac:dyDescent="0.25">
      <c r="A945" s="12" t="s">
        <v>60</v>
      </c>
      <c r="B945" s="12" t="s">
        <v>38</v>
      </c>
      <c r="C945" s="12" t="s">
        <v>13</v>
      </c>
      <c r="D945" s="12">
        <v>2.3595505617977532</v>
      </c>
      <c r="E945" s="12">
        <v>3.8</v>
      </c>
      <c r="F945" s="12">
        <v>20</v>
      </c>
      <c r="G945" s="12">
        <v>3.8</v>
      </c>
      <c r="H945" s="12">
        <v>1.8396139705882359</v>
      </c>
      <c r="I945" s="12" t="s">
        <v>126</v>
      </c>
      <c r="J945" s="12">
        <v>46314</v>
      </c>
      <c r="K945">
        <v>46314</v>
      </c>
    </row>
    <row r="946" spans="1:11" x14ac:dyDescent="0.25">
      <c r="A946" s="12" t="s">
        <v>60</v>
      </c>
      <c r="B946" s="12" t="s">
        <v>148</v>
      </c>
      <c r="C946" s="12" t="s">
        <v>13</v>
      </c>
      <c r="D946" s="12">
        <v>6.0000000000000018</v>
      </c>
      <c r="E946" s="12">
        <v>5.6999999999999993</v>
      </c>
      <c r="F946" s="12">
        <v>20</v>
      </c>
      <c r="G946" s="12">
        <v>5.6999999999999993</v>
      </c>
      <c r="H946" s="12">
        <v>5.1176470588235272</v>
      </c>
      <c r="I946" s="12" t="s">
        <v>126</v>
      </c>
      <c r="J946" s="12">
        <v>46314</v>
      </c>
      <c r="K946">
        <v>46314</v>
      </c>
    </row>
    <row r="947" spans="1:11" x14ac:dyDescent="0.25">
      <c r="A947" s="12" t="s">
        <v>60</v>
      </c>
      <c r="B947" s="12" t="s">
        <v>37</v>
      </c>
      <c r="C947" s="12" t="s">
        <v>13</v>
      </c>
      <c r="D947" s="12">
        <v>9.5295384030899779</v>
      </c>
      <c r="E947" s="12">
        <v>16.149999999999999</v>
      </c>
      <c r="F947" s="12">
        <v>20</v>
      </c>
      <c r="G947" s="12">
        <v>16.149999999999999</v>
      </c>
      <c r="H947" s="12">
        <v>10.22254901960784</v>
      </c>
      <c r="I947" s="12" t="s">
        <v>126</v>
      </c>
      <c r="J947" s="12">
        <v>46314</v>
      </c>
      <c r="K947">
        <v>46314</v>
      </c>
    </row>
    <row r="948" spans="1:11" hidden="1" x14ac:dyDescent="0.25">
      <c r="A948" s="12" t="s">
        <v>60</v>
      </c>
      <c r="B948" s="12" t="s">
        <v>38</v>
      </c>
      <c r="C948" s="12" t="s">
        <v>15</v>
      </c>
      <c r="D948" s="12">
        <v>1.7977528089887642</v>
      </c>
      <c r="E948" s="12">
        <v>0.95</v>
      </c>
      <c r="F948" s="12">
        <v>20</v>
      </c>
      <c r="G948" s="12">
        <v>0.95</v>
      </c>
      <c r="H948" s="12">
        <v>6.2745098039215685E-2</v>
      </c>
      <c r="I948" s="12" t="s">
        <v>125</v>
      </c>
      <c r="J948" s="12">
        <v>46314</v>
      </c>
      <c r="K948">
        <v>46314</v>
      </c>
    </row>
    <row r="949" spans="1:11" hidden="1" x14ac:dyDescent="0.25">
      <c r="A949" s="12" t="s">
        <v>60</v>
      </c>
      <c r="B949" s="12" t="s">
        <v>37</v>
      </c>
      <c r="C949" s="12" t="s">
        <v>14</v>
      </c>
      <c r="D949" s="12">
        <v>7.313366681441142</v>
      </c>
      <c r="E949" s="12">
        <v>17.099999999999998</v>
      </c>
      <c r="F949" s="12">
        <v>20</v>
      </c>
      <c r="G949" s="12">
        <v>17.099999999999998</v>
      </c>
      <c r="H949" s="12">
        <v>8.6009803921568562</v>
      </c>
      <c r="I949" s="12" t="s">
        <v>124</v>
      </c>
      <c r="J949" s="12">
        <v>46314</v>
      </c>
      <c r="K949">
        <v>46314</v>
      </c>
    </row>
    <row r="950" spans="1:11" x14ac:dyDescent="0.25">
      <c r="A950" s="12" t="s">
        <v>60</v>
      </c>
      <c r="B950" s="12" t="s">
        <v>37</v>
      </c>
      <c r="C950" s="12" t="s">
        <v>13</v>
      </c>
      <c r="D950" s="12">
        <v>9.5295384030899779</v>
      </c>
      <c r="E950" s="12">
        <v>17.099999999999998</v>
      </c>
      <c r="F950" s="12">
        <v>20</v>
      </c>
      <c r="G950" s="12">
        <v>17.099999999999998</v>
      </c>
      <c r="H950" s="12">
        <v>10.22254901960784</v>
      </c>
      <c r="I950" s="12" t="s">
        <v>127</v>
      </c>
      <c r="J950" s="12">
        <v>46315</v>
      </c>
      <c r="K950">
        <v>46315</v>
      </c>
    </row>
    <row r="951" spans="1:11" hidden="1" x14ac:dyDescent="0.25">
      <c r="A951" s="12" t="s">
        <v>60</v>
      </c>
      <c r="B951" s="12" t="s">
        <v>37</v>
      </c>
      <c r="C951" s="12" t="s">
        <v>14</v>
      </c>
      <c r="D951" s="12">
        <v>7.313366681441142</v>
      </c>
      <c r="E951" s="12">
        <v>17.099999999999998</v>
      </c>
      <c r="F951" s="12">
        <v>20</v>
      </c>
      <c r="G951" s="12">
        <v>17.099999999999998</v>
      </c>
      <c r="H951" s="12">
        <v>8.6009803921568544</v>
      </c>
      <c r="I951" s="12" t="s">
        <v>129</v>
      </c>
      <c r="J951" s="12">
        <v>46315</v>
      </c>
      <c r="K951">
        <v>46315</v>
      </c>
    </row>
    <row r="952" spans="1:11" x14ac:dyDescent="0.25">
      <c r="A952" s="12" t="s">
        <v>60</v>
      </c>
      <c r="B952" s="12" t="s">
        <v>38</v>
      </c>
      <c r="C952" s="12" t="s">
        <v>13</v>
      </c>
      <c r="D952" s="12">
        <v>2.3595505617977532</v>
      </c>
      <c r="E952" s="12">
        <v>2.8499999999999996</v>
      </c>
      <c r="F952" s="12">
        <v>20</v>
      </c>
      <c r="G952" s="12">
        <v>2.8499999999999996</v>
      </c>
      <c r="H952" s="12">
        <v>1.6911764705882355</v>
      </c>
      <c r="I952" s="12" t="s">
        <v>127</v>
      </c>
      <c r="J952" s="12">
        <v>46315</v>
      </c>
      <c r="K952">
        <v>46315</v>
      </c>
    </row>
    <row r="953" spans="1:11" x14ac:dyDescent="0.25">
      <c r="A953" s="12" t="s">
        <v>60</v>
      </c>
      <c r="B953" s="12" t="s">
        <v>148</v>
      </c>
      <c r="C953" s="12" t="s">
        <v>13</v>
      </c>
      <c r="D953" s="12">
        <v>7.5625000000000018</v>
      </c>
      <c r="E953" s="12">
        <v>6.6499999999999995</v>
      </c>
      <c r="F953" s="12">
        <v>20</v>
      </c>
      <c r="G953" s="12">
        <v>6.6499999999999995</v>
      </c>
      <c r="H953" s="12">
        <v>5.5551470588235272</v>
      </c>
      <c r="I953" s="12" t="s">
        <v>127</v>
      </c>
      <c r="J953" s="12">
        <v>46315</v>
      </c>
      <c r="K953">
        <v>46315</v>
      </c>
    </row>
    <row r="954" spans="1:11" x14ac:dyDescent="0.25">
      <c r="A954" s="12" t="s">
        <v>60</v>
      </c>
      <c r="B954" s="12" t="s">
        <v>57</v>
      </c>
      <c r="C954" s="12" t="s">
        <v>13</v>
      </c>
      <c r="D954" s="12">
        <v>1.7729373773190653</v>
      </c>
      <c r="E954" s="12">
        <v>1.9</v>
      </c>
      <c r="F954" s="12">
        <v>20</v>
      </c>
      <c r="G954" s="12">
        <v>1.9</v>
      </c>
      <c r="H954" s="12">
        <v>1.6470588235294119</v>
      </c>
      <c r="I954" s="12" t="s">
        <v>127</v>
      </c>
      <c r="J954" s="12">
        <v>46315</v>
      </c>
      <c r="K954">
        <v>46315</v>
      </c>
    </row>
    <row r="955" spans="1:11" hidden="1" x14ac:dyDescent="0.25">
      <c r="A955" s="12" t="s">
        <v>60</v>
      </c>
      <c r="B955" s="12" t="s">
        <v>38</v>
      </c>
      <c r="C955" s="12" t="s">
        <v>15</v>
      </c>
      <c r="D955" s="12">
        <v>1.7977528089887642</v>
      </c>
      <c r="E955" s="12">
        <v>1.9</v>
      </c>
      <c r="F955" s="12">
        <v>20</v>
      </c>
      <c r="G955" s="12">
        <v>1.9</v>
      </c>
      <c r="H955" s="12">
        <v>1.0127450980392154</v>
      </c>
      <c r="I955" s="12" t="s">
        <v>128</v>
      </c>
      <c r="J955" s="12">
        <v>46315</v>
      </c>
      <c r="K955">
        <v>46315</v>
      </c>
    </row>
    <row r="956" spans="1:11" hidden="1" x14ac:dyDescent="0.25">
      <c r="A956" s="12" t="s">
        <v>60</v>
      </c>
      <c r="B956" s="12" t="s">
        <v>57</v>
      </c>
      <c r="C956" s="12" t="s">
        <v>15</v>
      </c>
      <c r="D956" s="12">
        <v>0</v>
      </c>
      <c r="E956" s="12">
        <v>0</v>
      </c>
      <c r="F956" s="12">
        <v>20</v>
      </c>
      <c r="G956" s="12">
        <v>0</v>
      </c>
      <c r="H956" s="12">
        <v>0</v>
      </c>
      <c r="I956" s="12" t="s">
        <v>128</v>
      </c>
      <c r="J956" s="12">
        <v>46315</v>
      </c>
      <c r="K956">
        <v>46315</v>
      </c>
    </row>
    <row r="957" spans="1:11" hidden="1" x14ac:dyDescent="0.25">
      <c r="A957" s="12" t="s">
        <v>60</v>
      </c>
      <c r="B957" s="12" t="s">
        <v>37</v>
      </c>
      <c r="C957" s="12" t="s">
        <v>15</v>
      </c>
      <c r="D957" s="12">
        <v>3.5458747546381306</v>
      </c>
      <c r="E957" s="12">
        <v>10.45</v>
      </c>
      <c r="F957" s="12">
        <v>20</v>
      </c>
      <c r="G957" s="12">
        <v>10.45</v>
      </c>
      <c r="H957" s="12">
        <v>4.1764705882352935</v>
      </c>
      <c r="I957" s="12" t="s">
        <v>128</v>
      </c>
      <c r="J957" s="12">
        <v>46315</v>
      </c>
      <c r="K957">
        <v>46315</v>
      </c>
    </row>
    <row r="958" spans="1:11" hidden="1" x14ac:dyDescent="0.25">
      <c r="A958" s="12" t="s">
        <v>60</v>
      </c>
      <c r="B958" s="12" t="s">
        <v>148</v>
      </c>
      <c r="C958" s="12" t="s">
        <v>15</v>
      </c>
      <c r="D958" s="12">
        <v>0</v>
      </c>
      <c r="E958" s="12">
        <v>0</v>
      </c>
      <c r="F958" s="12">
        <v>20</v>
      </c>
      <c r="G958" s="12">
        <v>0</v>
      </c>
      <c r="H958" s="12">
        <v>0</v>
      </c>
      <c r="I958" s="12" t="s">
        <v>128</v>
      </c>
      <c r="J958" s="12">
        <v>46315</v>
      </c>
      <c r="K958">
        <v>46315</v>
      </c>
    </row>
    <row r="959" spans="1:11" hidden="1" x14ac:dyDescent="0.25">
      <c r="A959" s="12" t="s">
        <v>60</v>
      </c>
      <c r="B959" s="12" t="s">
        <v>148</v>
      </c>
      <c r="C959" s="12" t="s">
        <v>14</v>
      </c>
      <c r="D959" s="12">
        <v>0</v>
      </c>
      <c r="E959" s="12">
        <v>15.2</v>
      </c>
      <c r="F959" s="12">
        <v>20</v>
      </c>
      <c r="G959" s="12">
        <v>15.2</v>
      </c>
      <c r="H959" s="12">
        <v>1.0069204152249132</v>
      </c>
      <c r="I959" s="12" t="s">
        <v>129</v>
      </c>
      <c r="J959" s="12">
        <v>46315</v>
      </c>
      <c r="K959">
        <v>46315</v>
      </c>
    </row>
    <row r="960" spans="1:11" hidden="1" x14ac:dyDescent="0.25">
      <c r="A960" s="12" t="s">
        <v>60</v>
      </c>
      <c r="B960" s="12" t="s">
        <v>57</v>
      </c>
      <c r="C960" s="12" t="s">
        <v>14</v>
      </c>
      <c r="D960" s="12">
        <v>0</v>
      </c>
      <c r="E960" s="12">
        <v>2.8499999999999996</v>
      </c>
      <c r="F960" s="12">
        <v>20</v>
      </c>
      <c r="G960" s="12">
        <v>2.8499999999999996</v>
      </c>
      <c r="H960" s="12">
        <v>0.33217993079584773</v>
      </c>
      <c r="I960" s="12" t="s">
        <v>129</v>
      </c>
      <c r="J960" s="12">
        <v>46315</v>
      </c>
      <c r="K960">
        <v>46315</v>
      </c>
    </row>
    <row r="961" spans="1:11" hidden="1" x14ac:dyDescent="0.25">
      <c r="A961" s="12" t="s">
        <v>60</v>
      </c>
      <c r="B961" s="12" t="s">
        <v>38</v>
      </c>
      <c r="C961" s="12" t="s">
        <v>14</v>
      </c>
      <c r="D961" s="12">
        <v>2.538003965631197</v>
      </c>
      <c r="E961" s="12">
        <v>4.75</v>
      </c>
      <c r="F961" s="12">
        <v>20</v>
      </c>
      <c r="G961" s="12">
        <v>4.75</v>
      </c>
      <c r="H961" s="12">
        <v>2.0220588235294117</v>
      </c>
      <c r="I961" s="12" t="s">
        <v>129</v>
      </c>
      <c r="J961" s="12">
        <v>46315</v>
      </c>
      <c r="K961">
        <v>46315</v>
      </c>
    </row>
    <row r="962" spans="1:11" hidden="1" x14ac:dyDescent="0.25">
      <c r="A962" s="12" t="s">
        <v>60</v>
      </c>
      <c r="B962" s="12" t="s">
        <v>57</v>
      </c>
      <c r="C962" s="12" t="s">
        <v>14</v>
      </c>
      <c r="D962" s="12">
        <v>0.62574260375967006</v>
      </c>
      <c r="E962" s="12">
        <v>2.8499999999999996</v>
      </c>
      <c r="F962" s="12">
        <v>20</v>
      </c>
      <c r="G962" s="12">
        <v>2.8499999999999996</v>
      </c>
      <c r="H962" s="12">
        <v>1.2602845059592462</v>
      </c>
      <c r="I962" s="12" t="s">
        <v>130</v>
      </c>
      <c r="J962" s="12">
        <v>46316</v>
      </c>
      <c r="K962">
        <v>46316</v>
      </c>
    </row>
    <row r="963" spans="1:11" hidden="1" x14ac:dyDescent="0.25">
      <c r="A963" s="12" t="s">
        <v>60</v>
      </c>
      <c r="B963" s="12" t="s">
        <v>148</v>
      </c>
      <c r="C963" s="12" t="s">
        <v>14</v>
      </c>
      <c r="D963" s="12">
        <v>0</v>
      </c>
      <c r="E963" s="12">
        <v>12.35</v>
      </c>
      <c r="F963" s="12">
        <v>20</v>
      </c>
      <c r="G963" s="12">
        <v>12.35</v>
      </c>
      <c r="H963" s="12">
        <v>0.55363321799307952</v>
      </c>
      <c r="I963" s="12" t="s">
        <v>130</v>
      </c>
      <c r="J963" s="12">
        <v>46316</v>
      </c>
      <c r="K963">
        <v>46316</v>
      </c>
    </row>
    <row r="964" spans="1:11" hidden="1" x14ac:dyDescent="0.25">
      <c r="A964" s="12" t="s">
        <v>60</v>
      </c>
      <c r="B964" s="12" t="s">
        <v>38</v>
      </c>
      <c r="C964" s="12" t="s">
        <v>14</v>
      </c>
      <c r="D964" s="12">
        <v>2.538003965631197</v>
      </c>
      <c r="E964" s="12">
        <v>3.8</v>
      </c>
      <c r="F964" s="12">
        <v>20</v>
      </c>
      <c r="G964" s="12">
        <v>3.8</v>
      </c>
      <c r="H964" s="12">
        <v>2.0484429065743939</v>
      </c>
      <c r="I964" s="12" t="s">
        <v>130</v>
      </c>
      <c r="J964" s="12">
        <v>46316</v>
      </c>
      <c r="K964">
        <v>46316</v>
      </c>
    </row>
    <row r="965" spans="1:11" hidden="1" x14ac:dyDescent="0.25">
      <c r="A965" s="12" t="s">
        <v>60</v>
      </c>
      <c r="B965" s="12" t="s">
        <v>57</v>
      </c>
      <c r="C965" s="12" t="s">
        <v>15</v>
      </c>
      <c r="D965" s="12">
        <v>0</v>
      </c>
      <c r="E965" s="12">
        <v>0</v>
      </c>
      <c r="F965" s="12">
        <v>20</v>
      </c>
      <c r="G965" s="12">
        <v>0</v>
      </c>
      <c r="H965" s="12">
        <v>0</v>
      </c>
      <c r="I965" s="12" t="s">
        <v>131</v>
      </c>
      <c r="J965" s="12">
        <v>46316</v>
      </c>
      <c r="K965">
        <v>46316</v>
      </c>
    </row>
    <row r="966" spans="1:11" hidden="1" x14ac:dyDescent="0.25">
      <c r="A966" s="12" t="s">
        <v>60</v>
      </c>
      <c r="B966" s="12" t="s">
        <v>37</v>
      </c>
      <c r="C966" s="12" t="s">
        <v>14</v>
      </c>
      <c r="D966" s="12">
        <v>6.6485151649464944</v>
      </c>
      <c r="E966" s="12">
        <v>14.25</v>
      </c>
      <c r="F966" s="12">
        <v>20</v>
      </c>
      <c r="G966" s="12">
        <v>14.25</v>
      </c>
      <c r="H966" s="12">
        <v>6.9686274509803887</v>
      </c>
      <c r="I966" s="12" t="s">
        <v>130</v>
      </c>
      <c r="J966" s="12">
        <v>46316</v>
      </c>
      <c r="K966">
        <v>46316</v>
      </c>
    </row>
    <row r="967" spans="1:11" hidden="1" x14ac:dyDescent="0.25">
      <c r="A967" s="12" t="s">
        <v>60</v>
      </c>
      <c r="B967" s="12" t="s">
        <v>148</v>
      </c>
      <c r="C967" s="12" t="s">
        <v>15</v>
      </c>
      <c r="D967" s="12">
        <v>0</v>
      </c>
      <c r="E967" s="12">
        <v>0</v>
      </c>
      <c r="F967" s="12">
        <v>20</v>
      </c>
      <c r="G967" s="12">
        <v>0</v>
      </c>
      <c r="H967" s="12">
        <v>0</v>
      </c>
      <c r="I967" s="12" t="s">
        <v>131</v>
      </c>
      <c r="J967" s="12">
        <v>46316</v>
      </c>
      <c r="K967">
        <v>46316</v>
      </c>
    </row>
    <row r="968" spans="1:11" hidden="1" x14ac:dyDescent="0.25">
      <c r="A968" s="12" t="s">
        <v>60</v>
      </c>
      <c r="B968" s="12" t="s">
        <v>38</v>
      </c>
      <c r="C968" s="12" t="s">
        <v>15</v>
      </c>
      <c r="D968" s="12">
        <v>1.7977528089887642</v>
      </c>
      <c r="E968" s="12">
        <v>0.95</v>
      </c>
      <c r="F968" s="12">
        <v>20</v>
      </c>
      <c r="G968" s="12">
        <v>0.95</v>
      </c>
      <c r="H968" s="12">
        <v>6.2745098039215685E-2</v>
      </c>
      <c r="I968" s="12" t="s">
        <v>131</v>
      </c>
      <c r="J968" s="12">
        <v>46316</v>
      </c>
      <c r="K968">
        <v>46316</v>
      </c>
    </row>
    <row r="969" spans="1:11" x14ac:dyDescent="0.25">
      <c r="A969" s="12" t="s">
        <v>60</v>
      </c>
      <c r="B969" s="12" t="s">
        <v>148</v>
      </c>
      <c r="C969" s="12" t="s">
        <v>13</v>
      </c>
      <c r="D969" s="12">
        <v>6.6875000000000009</v>
      </c>
      <c r="E969" s="12">
        <v>6.6499999999999995</v>
      </c>
      <c r="F969" s="12">
        <v>20</v>
      </c>
      <c r="G969" s="12">
        <v>6.6499999999999995</v>
      </c>
      <c r="H969" s="12">
        <v>5.3492647058823515</v>
      </c>
      <c r="I969" s="12" t="s">
        <v>132</v>
      </c>
      <c r="J969" s="12">
        <v>46316</v>
      </c>
      <c r="K969">
        <v>46316</v>
      </c>
    </row>
    <row r="970" spans="1:11" x14ac:dyDescent="0.25">
      <c r="A970" s="12" t="s">
        <v>60</v>
      </c>
      <c r="B970" s="12" t="s">
        <v>57</v>
      </c>
      <c r="C970" s="12" t="s">
        <v>13</v>
      </c>
      <c r="D970" s="12">
        <v>2.7148103590198196</v>
      </c>
      <c r="E970" s="12">
        <v>1.9</v>
      </c>
      <c r="F970" s="12">
        <v>20</v>
      </c>
      <c r="G970" s="12">
        <v>1.9</v>
      </c>
      <c r="H970" s="12">
        <v>2.473447712418301</v>
      </c>
      <c r="I970" s="12" t="s">
        <v>132</v>
      </c>
      <c r="J970" s="12">
        <v>46316</v>
      </c>
      <c r="K970">
        <v>46316</v>
      </c>
    </row>
    <row r="971" spans="1:11" x14ac:dyDescent="0.25">
      <c r="A971" s="12" t="s">
        <v>60</v>
      </c>
      <c r="B971" s="12" t="s">
        <v>37</v>
      </c>
      <c r="C971" s="12" t="s">
        <v>13</v>
      </c>
      <c r="D971" s="12">
        <v>9.5295384030899779</v>
      </c>
      <c r="E971" s="12">
        <v>17.099999999999998</v>
      </c>
      <c r="F971" s="12">
        <v>20</v>
      </c>
      <c r="G971" s="12">
        <v>17.099999999999998</v>
      </c>
      <c r="H971" s="12">
        <v>10.22254901960784</v>
      </c>
      <c r="I971" s="12" t="s">
        <v>132</v>
      </c>
      <c r="J971" s="12">
        <v>46316</v>
      </c>
      <c r="K971">
        <v>46316</v>
      </c>
    </row>
    <row r="972" spans="1:11" x14ac:dyDescent="0.25">
      <c r="A972" s="12" t="s">
        <v>60</v>
      </c>
      <c r="B972" s="12" t="s">
        <v>38</v>
      </c>
      <c r="C972" s="12" t="s">
        <v>13</v>
      </c>
      <c r="D972" s="12">
        <v>2.6966292134831469</v>
      </c>
      <c r="E972" s="12">
        <v>4.75</v>
      </c>
      <c r="F972" s="12">
        <v>20</v>
      </c>
      <c r="G972" s="12">
        <v>4.75</v>
      </c>
      <c r="H972" s="12">
        <v>1.9131433823529416</v>
      </c>
      <c r="I972" s="12" t="s">
        <v>132</v>
      </c>
      <c r="J972" s="12">
        <v>46316</v>
      </c>
      <c r="K972">
        <v>46316</v>
      </c>
    </row>
    <row r="973" spans="1:11" hidden="1" x14ac:dyDescent="0.25">
      <c r="A973" s="12" t="s">
        <v>60</v>
      </c>
      <c r="B973" s="12" t="s">
        <v>37</v>
      </c>
      <c r="C973" s="12" t="s">
        <v>15</v>
      </c>
      <c r="D973" s="12">
        <v>3.5458747546381306</v>
      </c>
      <c r="E973" s="12">
        <v>10.45</v>
      </c>
      <c r="F973" s="12">
        <v>20</v>
      </c>
      <c r="G973" s="12">
        <v>10.45</v>
      </c>
      <c r="H973" s="12">
        <v>4.0588235294117636</v>
      </c>
      <c r="I973" s="12" t="s">
        <v>131</v>
      </c>
      <c r="J973" s="12">
        <v>46316</v>
      </c>
      <c r="K973">
        <v>46316</v>
      </c>
    </row>
    <row r="974" spans="1:11" hidden="1" x14ac:dyDescent="0.25">
      <c r="A974" s="12" t="s">
        <v>60</v>
      </c>
      <c r="B974" s="12" t="s">
        <v>37</v>
      </c>
      <c r="C974" s="12" t="s">
        <v>14</v>
      </c>
      <c r="D974" s="12">
        <v>7.313366681441142</v>
      </c>
      <c r="E974" s="12">
        <v>17.099999999999998</v>
      </c>
      <c r="F974" s="12">
        <v>20</v>
      </c>
      <c r="G974" s="12">
        <v>17.099999999999998</v>
      </c>
      <c r="H974" s="12">
        <v>8.6009803921568597</v>
      </c>
      <c r="I974" s="12" t="s">
        <v>135</v>
      </c>
      <c r="J974" s="12">
        <v>46317</v>
      </c>
      <c r="K974">
        <v>46317</v>
      </c>
    </row>
    <row r="975" spans="1:11" x14ac:dyDescent="0.25">
      <c r="A975" s="12" t="s">
        <v>60</v>
      </c>
      <c r="B975" s="12" t="s">
        <v>38</v>
      </c>
      <c r="C975" s="12" t="s">
        <v>13</v>
      </c>
      <c r="D975" s="12">
        <v>2.3595505617977532</v>
      </c>
      <c r="E975" s="12">
        <v>2.8499999999999996</v>
      </c>
      <c r="F975" s="12">
        <v>20</v>
      </c>
      <c r="G975" s="12">
        <v>2.8499999999999996</v>
      </c>
      <c r="H975" s="12">
        <v>1.6911764705882355</v>
      </c>
      <c r="I975" s="12" t="s">
        <v>133</v>
      </c>
      <c r="J975" s="12">
        <v>46317</v>
      </c>
      <c r="K975">
        <v>46317</v>
      </c>
    </row>
    <row r="976" spans="1:11" x14ac:dyDescent="0.25">
      <c r="A976" s="12" t="s">
        <v>60</v>
      </c>
      <c r="B976" s="12" t="s">
        <v>148</v>
      </c>
      <c r="C976" s="12" t="s">
        <v>13</v>
      </c>
      <c r="D976" s="12">
        <v>6.6875000000000009</v>
      </c>
      <c r="E976" s="12">
        <v>6.6499999999999995</v>
      </c>
      <c r="F976" s="12">
        <v>20</v>
      </c>
      <c r="G976" s="12">
        <v>6.6499999999999995</v>
      </c>
      <c r="H976" s="12">
        <v>5.3492647058823515</v>
      </c>
      <c r="I976" s="12" t="s">
        <v>133</v>
      </c>
      <c r="J976" s="12">
        <v>46317</v>
      </c>
      <c r="K976">
        <v>46317</v>
      </c>
    </row>
    <row r="977" spans="1:11" x14ac:dyDescent="0.25">
      <c r="A977" s="12" t="s">
        <v>60</v>
      </c>
      <c r="B977" s="12" t="s">
        <v>37</v>
      </c>
      <c r="C977" s="12" t="s">
        <v>13</v>
      </c>
      <c r="D977" s="12">
        <v>9.5295384030899779</v>
      </c>
      <c r="E977" s="12">
        <v>18.05</v>
      </c>
      <c r="F977" s="12">
        <v>20</v>
      </c>
      <c r="G977" s="12">
        <v>18.05</v>
      </c>
      <c r="H977" s="12">
        <v>10.22254901960784</v>
      </c>
      <c r="I977" s="12" t="s">
        <v>133</v>
      </c>
      <c r="J977" s="12">
        <v>46317</v>
      </c>
      <c r="K977">
        <v>46317</v>
      </c>
    </row>
    <row r="978" spans="1:11" x14ac:dyDescent="0.25">
      <c r="A978" s="12" t="s">
        <v>60</v>
      </c>
      <c r="B978" s="12" t="s">
        <v>57</v>
      </c>
      <c r="C978" s="12" t="s">
        <v>13</v>
      </c>
      <c r="D978" s="12">
        <v>2.7148103590198196</v>
      </c>
      <c r="E978" s="12">
        <v>2.8499999999999996</v>
      </c>
      <c r="F978" s="12">
        <v>20</v>
      </c>
      <c r="G978" s="12">
        <v>2.8499999999999996</v>
      </c>
      <c r="H978" s="12">
        <v>2.4734477124183014</v>
      </c>
      <c r="I978" s="12" t="s">
        <v>133</v>
      </c>
      <c r="J978" s="12">
        <v>46317</v>
      </c>
      <c r="K978">
        <v>46317</v>
      </c>
    </row>
    <row r="979" spans="1:11" hidden="1" x14ac:dyDescent="0.25">
      <c r="A979" s="12" t="s">
        <v>60</v>
      </c>
      <c r="B979" s="12" t="s">
        <v>148</v>
      </c>
      <c r="C979" s="12" t="s">
        <v>15</v>
      </c>
      <c r="D979" s="12">
        <v>0</v>
      </c>
      <c r="E979" s="12">
        <v>1.9</v>
      </c>
      <c r="F979" s="12">
        <v>20</v>
      </c>
      <c r="G979" s="12">
        <v>1.9</v>
      </c>
      <c r="H979" s="12">
        <v>0</v>
      </c>
      <c r="I979" s="12" t="s">
        <v>134</v>
      </c>
      <c r="J979" s="12">
        <v>46317</v>
      </c>
      <c r="K979">
        <v>46317</v>
      </c>
    </row>
    <row r="980" spans="1:11" hidden="1" x14ac:dyDescent="0.25">
      <c r="A980" s="12" t="s">
        <v>60</v>
      </c>
      <c r="B980" s="12" t="s">
        <v>38</v>
      </c>
      <c r="C980" s="12" t="s">
        <v>15</v>
      </c>
      <c r="D980" s="12">
        <v>1.7977528089887642</v>
      </c>
      <c r="E980" s="12">
        <v>1.9</v>
      </c>
      <c r="F980" s="12">
        <v>20</v>
      </c>
      <c r="G980" s="12">
        <v>1.9</v>
      </c>
      <c r="H980" s="12">
        <v>1.0127450980392154</v>
      </c>
      <c r="I980" s="12" t="s">
        <v>134</v>
      </c>
      <c r="J980" s="12">
        <v>46317</v>
      </c>
      <c r="K980">
        <v>46317</v>
      </c>
    </row>
    <row r="981" spans="1:11" hidden="1" x14ac:dyDescent="0.25">
      <c r="A981" s="12" t="s">
        <v>60</v>
      </c>
      <c r="B981" s="12" t="s">
        <v>37</v>
      </c>
      <c r="C981" s="12" t="s">
        <v>15</v>
      </c>
      <c r="D981" s="12">
        <v>3.5458747546381306</v>
      </c>
      <c r="E981" s="12">
        <v>9.5</v>
      </c>
      <c r="F981" s="12">
        <v>20</v>
      </c>
      <c r="G981" s="12">
        <v>9.5</v>
      </c>
      <c r="H981" s="12">
        <v>3.3235294117647056</v>
      </c>
      <c r="I981" s="12" t="s">
        <v>134</v>
      </c>
      <c r="J981" s="12">
        <v>46317</v>
      </c>
      <c r="K981">
        <v>46317</v>
      </c>
    </row>
    <row r="982" spans="1:11" hidden="1" x14ac:dyDescent="0.25">
      <c r="A982" s="12" t="s">
        <v>60</v>
      </c>
      <c r="B982" s="12" t="s">
        <v>57</v>
      </c>
      <c r="C982" s="12" t="s">
        <v>15</v>
      </c>
      <c r="D982" s="12">
        <v>0</v>
      </c>
      <c r="E982" s="12">
        <v>0</v>
      </c>
      <c r="F982" s="12">
        <v>20</v>
      </c>
      <c r="G982" s="12">
        <v>0</v>
      </c>
      <c r="H982" s="12">
        <v>0</v>
      </c>
      <c r="I982" s="12" t="s">
        <v>134</v>
      </c>
      <c r="J982" s="12">
        <v>46317</v>
      </c>
      <c r="K982">
        <v>46317</v>
      </c>
    </row>
    <row r="983" spans="1:11" hidden="1" x14ac:dyDescent="0.25">
      <c r="A983" s="12" t="s">
        <v>60</v>
      </c>
      <c r="B983" s="12" t="s">
        <v>57</v>
      </c>
      <c r="C983" s="12" t="s">
        <v>14</v>
      </c>
      <c r="D983" s="12">
        <v>0</v>
      </c>
      <c r="E983" s="12">
        <v>2.8499999999999996</v>
      </c>
      <c r="F983" s="12">
        <v>20</v>
      </c>
      <c r="G983" s="12">
        <v>2.8499999999999996</v>
      </c>
      <c r="H983" s="12">
        <v>0.55440215301806983</v>
      </c>
      <c r="I983" s="12" t="s">
        <v>135</v>
      </c>
      <c r="J983" s="12">
        <v>46317</v>
      </c>
      <c r="K983">
        <v>46317</v>
      </c>
    </row>
    <row r="984" spans="1:11" hidden="1" x14ac:dyDescent="0.25">
      <c r="A984" s="12" t="s">
        <v>60</v>
      </c>
      <c r="B984" s="12" t="s">
        <v>148</v>
      </c>
      <c r="C984" s="12" t="s">
        <v>14</v>
      </c>
      <c r="D984" s="12">
        <v>0</v>
      </c>
      <c r="E984" s="12">
        <v>12.35</v>
      </c>
      <c r="F984" s="12">
        <v>20</v>
      </c>
      <c r="G984" s="12">
        <v>12.35</v>
      </c>
      <c r="H984" s="12">
        <v>0.55363321799307952</v>
      </c>
      <c r="I984" s="12" t="s">
        <v>135</v>
      </c>
      <c r="J984" s="12">
        <v>46317</v>
      </c>
      <c r="K984">
        <v>46317</v>
      </c>
    </row>
    <row r="985" spans="1:11" hidden="1" x14ac:dyDescent="0.25">
      <c r="A985" s="12" t="s">
        <v>60</v>
      </c>
      <c r="B985" s="12" t="s">
        <v>38</v>
      </c>
      <c r="C985" s="12" t="s">
        <v>14</v>
      </c>
      <c r="D985" s="12">
        <v>2.538003965631197</v>
      </c>
      <c r="E985" s="12">
        <v>3.8</v>
      </c>
      <c r="F985" s="12">
        <v>20</v>
      </c>
      <c r="G985" s="12">
        <v>3.8</v>
      </c>
      <c r="H985" s="12">
        <v>2.0220588235294117</v>
      </c>
      <c r="I985" s="12" t="s">
        <v>135</v>
      </c>
      <c r="J985" s="12">
        <v>46317</v>
      </c>
      <c r="K985">
        <v>46317</v>
      </c>
    </row>
    <row r="986" spans="1:11" hidden="1" x14ac:dyDescent="0.25">
      <c r="A986" s="12" t="s">
        <v>60</v>
      </c>
      <c r="B986" s="12" t="s">
        <v>38</v>
      </c>
      <c r="C986" s="12" t="s">
        <v>14</v>
      </c>
      <c r="D986" s="12">
        <v>2.538003965631197</v>
      </c>
      <c r="E986" s="12">
        <v>3.8</v>
      </c>
      <c r="F986" s="12">
        <v>20</v>
      </c>
      <c r="G986" s="12">
        <v>3.8</v>
      </c>
      <c r="H986" s="12">
        <v>2.0220588235294117</v>
      </c>
      <c r="I986" s="12" t="s">
        <v>138</v>
      </c>
      <c r="J986" s="12">
        <v>46318</v>
      </c>
      <c r="K986">
        <v>46318</v>
      </c>
    </row>
    <row r="987" spans="1:11" hidden="1" x14ac:dyDescent="0.25">
      <c r="A987" s="12" t="s">
        <v>60</v>
      </c>
      <c r="B987" s="12" t="s">
        <v>148</v>
      </c>
      <c r="C987" s="12" t="s">
        <v>14</v>
      </c>
      <c r="D987" s="12">
        <v>0</v>
      </c>
      <c r="E987" s="12">
        <v>11.4</v>
      </c>
      <c r="F987" s="12">
        <v>20</v>
      </c>
      <c r="G987" s="12">
        <v>11.4</v>
      </c>
      <c r="H987" s="12">
        <v>0.44290657439446368</v>
      </c>
      <c r="I987" s="12" t="s">
        <v>138</v>
      </c>
      <c r="J987" s="12">
        <v>46318</v>
      </c>
      <c r="K987">
        <v>46318</v>
      </c>
    </row>
    <row r="988" spans="1:11" hidden="1" x14ac:dyDescent="0.25">
      <c r="A988" s="12" t="s">
        <v>60</v>
      </c>
      <c r="B988" s="12" t="s">
        <v>37</v>
      </c>
      <c r="C988" s="12" t="s">
        <v>14</v>
      </c>
      <c r="D988" s="12">
        <v>7.313366681441142</v>
      </c>
      <c r="E988" s="12">
        <v>17.099999999999998</v>
      </c>
      <c r="F988" s="12">
        <v>20</v>
      </c>
      <c r="G988" s="12">
        <v>17.099999999999998</v>
      </c>
      <c r="H988" s="12">
        <v>8.6009803921568562</v>
      </c>
      <c r="I988" s="12" t="s">
        <v>138</v>
      </c>
      <c r="J988" s="12">
        <v>46318</v>
      </c>
      <c r="K988">
        <v>46318</v>
      </c>
    </row>
    <row r="989" spans="1:11" hidden="1" x14ac:dyDescent="0.25">
      <c r="A989" s="12" t="s">
        <v>60</v>
      </c>
      <c r="B989" s="12" t="s">
        <v>57</v>
      </c>
      <c r="C989" s="12" t="s">
        <v>14</v>
      </c>
      <c r="D989" s="12">
        <v>0</v>
      </c>
      <c r="E989" s="12">
        <v>0.95</v>
      </c>
      <c r="F989" s="12">
        <v>20</v>
      </c>
      <c r="G989" s="12">
        <v>0.95</v>
      </c>
      <c r="H989" s="12">
        <v>0.33217993079584773</v>
      </c>
      <c r="I989" s="12" t="s">
        <v>138</v>
      </c>
      <c r="J989" s="12">
        <v>46318</v>
      </c>
      <c r="K989">
        <v>46318</v>
      </c>
    </row>
    <row r="990" spans="1:11" hidden="1" x14ac:dyDescent="0.25">
      <c r="A990" s="12" t="s">
        <v>60</v>
      </c>
      <c r="B990" s="12" t="s">
        <v>37</v>
      </c>
      <c r="C990" s="12" t="s">
        <v>15</v>
      </c>
      <c r="D990" s="12">
        <v>3.5458747546381306</v>
      </c>
      <c r="E990" s="12">
        <v>10.45</v>
      </c>
      <c r="F990" s="12">
        <v>20</v>
      </c>
      <c r="G990" s="12">
        <v>10.45</v>
      </c>
      <c r="H990" s="12">
        <v>4.1764705882352935</v>
      </c>
      <c r="I990" s="12" t="s">
        <v>137</v>
      </c>
      <c r="J990" s="12">
        <v>46318</v>
      </c>
      <c r="K990">
        <v>46318</v>
      </c>
    </row>
    <row r="991" spans="1:11" hidden="1" x14ac:dyDescent="0.25">
      <c r="A991" s="12" t="s">
        <v>60</v>
      </c>
      <c r="B991" s="12" t="s">
        <v>148</v>
      </c>
      <c r="C991" s="12" t="s">
        <v>15</v>
      </c>
      <c r="D991" s="12">
        <v>0</v>
      </c>
      <c r="E991" s="12">
        <v>0</v>
      </c>
      <c r="F991" s="12">
        <v>20</v>
      </c>
      <c r="G991" s="12">
        <v>0</v>
      </c>
      <c r="H991" s="12">
        <v>0</v>
      </c>
      <c r="I991" s="12" t="s">
        <v>137</v>
      </c>
      <c r="J991" s="12">
        <v>46318</v>
      </c>
      <c r="K991">
        <v>46318</v>
      </c>
    </row>
    <row r="992" spans="1:11" x14ac:dyDescent="0.25">
      <c r="A992" s="12" t="s">
        <v>60</v>
      </c>
      <c r="B992" s="12" t="s">
        <v>57</v>
      </c>
      <c r="C992" s="12" t="s">
        <v>13</v>
      </c>
      <c r="D992" s="12">
        <v>1.7729373773190653</v>
      </c>
      <c r="E992" s="12">
        <v>0.95</v>
      </c>
      <c r="F992" s="12">
        <v>20</v>
      </c>
      <c r="G992" s="12">
        <v>0.95</v>
      </c>
      <c r="H992" s="12">
        <v>1.6470588235294119</v>
      </c>
      <c r="I992" s="12" t="s">
        <v>136</v>
      </c>
      <c r="J992" s="12">
        <v>46318</v>
      </c>
      <c r="K992">
        <v>46318</v>
      </c>
    </row>
    <row r="993" spans="1:11" hidden="1" x14ac:dyDescent="0.25">
      <c r="A993" s="12" t="s">
        <v>60</v>
      </c>
      <c r="B993" s="12" t="s">
        <v>57</v>
      </c>
      <c r="C993" s="12" t="s">
        <v>15</v>
      </c>
      <c r="D993" s="12">
        <v>0</v>
      </c>
      <c r="E993" s="12">
        <v>0</v>
      </c>
      <c r="F993" s="12">
        <v>20</v>
      </c>
      <c r="G993" s="12">
        <v>0</v>
      </c>
      <c r="H993" s="12">
        <v>0</v>
      </c>
      <c r="I993" s="12" t="s">
        <v>137</v>
      </c>
      <c r="J993" s="12">
        <v>46318</v>
      </c>
      <c r="K993">
        <v>46318</v>
      </c>
    </row>
    <row r="994" spans="1:11" x14ac:dyDescent="0.25">
      <c r="A994" s="12" t="s">
        <v>60</v>
      </c>
      <c r="B994" s="12" t="s">
        <v>37</v>
      </c>
      <c r="C994" s="12" t="s">
        <v>13</v>
      </c>
      <c r="D994" s="12">
        <v>9.5295384030899779</v>
      </c>
      <c r="E994" s="12">
        <v>17.099999999999998</v>
      </c>
      <c r="F994" s="12">
        <v>20</v>
      </c>
      <c r="G994" s="12">
        <v>17.099999999999998</v>
      </c>
      <c r="H994" s="12">
        <v>10.07549019607843</v>
      </c>
      <c r="I994" s="12" t="s">
        <v>136</v>
      </c>
      <c r="J994" s="12">
        <v>46318</v>
      </c>
      <c r="K994">
        <v>46318</v>
      </c>
    </row>
    <row r="995" spans="1:11" x14ac:dyDescent="0.25">
      <c r="A995" s="12" t="s">
        <v>60</v>
      </c>
      <c r="B995" s="12" t="s">
        <v>148</v>
      </c>
      <c r="C995" s="12" t="s">
        <v>13</v>
      </c>
      <c r="D995" s="12">
        <v>5.1875000000000009</v>
      </c>
      <c r="E995" s="12">
        <v>5.6999999999999993</v>
      </c>
      <c r="F995" s="12">
        <v>20</v>
      </c>
      <c r="G995" s="12">
        <v>5.6999999999999993</v>
      </c>
      <c r="H995" s="12">
        <v>4.7169117647058805</v>
      </c>
      <c r="I995" s="12" t="s">
        <v>136</v>
      </c>
      <c r="J995" s="12">
        <v>46318</v>
      </c>
      <c r="K995">
        <v>46318</v>
      </c>
    </row>
    <row r="996" spans="1:11" x14ac:dyDescent="0.25">
      <c r="A996" s="12" t="s">
        <v>60</v>
      </c>
      <c r="B996" s="12" t="s">
        <v>38</v>
      </c>
      <c r="C996" s="12" t="s">
        <v>13</v>
      </c>
      <c r="D996" s="12">
        <v>2.3595505617977532</v>
      </c>
      <c r="E996" s="12">
        <v>3.8</v>
      </c>
      <c r="F996" s="12">
        <v>20</v>
      </c>
      <c r="G996" s="12">
        <v>3.8</v>
      </c>
      <c r="H996" s="12">
        <v>1.8396139705882359</v>
      </c>
      <c r="I996" s="12" t="s">
        <v>136</v>
      </c>
      <c r="J996" s="12">
        <v>46318</v>
      </c>
      <c r="K996">
        <v>46318</v>
      </c>
    </row>
    <row r="997" spans="1:11" hidden="1" x14ac:dyDescent="0.25">
      <c r="A997" s="12" t="s">
        <v>60</v>
      </c>
      <c r="B997" s="12" t="s">
        <v>38</v>
      </c>
      <c r="C997" s="12" t="s">
        <v>15</v>
      </c>
      <c r="D997" s="12">
        <v>1.7977528089887642</v>
      </c>
      <c r="E997" s="12">
        <v>1.9</v>
      </c>
      <c r="F997" s="12">
        <v>20</v>
      </c>
      <c r="G997" s="12">
        <v>1.9</v>
      </c>
      <c r="H997" s="12">
        <v>1.0127450980392154</v>
      </c>
      <c r="I997" s="12" t="s">
        <v>137</v>
      </c>
      <c r="J997" s="12">
        <v>46318</v>
      </c>
      <c r="K997">
        <v>46318</v>
      </c>
    </row>
    <row r="998" spans="1:11" hidden="1" x14ac:dyDescent="0.25">
      <c r="A998" s="12" t="s">
        <v>60</v>
      </c>
      <c r="B998" s="12" t="s">
        <v>38</v>
      </c>
      <c r="C998" s="12" t="s">
        <v>15</v>
      </c>
      <c r="D998" s="12">
        <v>1.7977528089887642</v>
      </c>
      <c r="E998" s="12">
        <v>1.9</v>
      </c>
      <c r="F998" s="12">
        <v>20</v>
      </c>
      <c r="G998" s="12">
        <v>1.9</v>
      </c>
      <c r="H998" s="12">
        <v>1.0127450980392154</v>
      </c>
      <c r="I998" s="12" t="s">
        <v>139</v>
      </c>
      <c r="J998" s="12">
        <v>46319</v>
      </c>
      <c r="K998">
        <v>46319</v>
      </c>
    </row>
    <row r="999" spans="1:11" hidden="1" x14ac:dyDescent="0.25">
      <c r="A999" s="12" t="s">
        <v>60</v>
      </c>
      <c r="B999" s="12" t="s">
        <v>38</v>
      </c>
      <c r="C999" s="12" t="s">
        <v>14</v>
      </c>
      <c r="D999" s="12">
        <v>2.538003965631197</v>
      </c>
      <c r="E999" s="12">
        <v>4.75</v>
      </c>
      <c r="F999" s="12">
        <v>20</v>
      </c>
      <c r="G999" s="12">
        <v>4.75</v>
      </c>
      <c r="H999" s="12">
        <v>2.188148788927335</v>
      </c>
      <c r="I999" s="12" t="s">
        <v>140</v>
      </c>
      <c r="J999" s="12">
        <v>46319</v>
      </c>
      <c r="K999">
        <v>46319</v>
      </c>
    </row>
    <row r="1000" spans="1:11" hidden="1" x14ac:dyDescent="0.25">
      <c r="A1000" s="12" t="s">
        <v>60</v>
      </c>
      <c r="B1000" s="12" t="s">
        <v>57</v>
      </c>
      <c r="C1000" s="12" t="s">
        <v>14</v>
      </c>
      <c r="D1000" s="12">
        <v>0</v>
      </c>
      <c r="E1000" s="12">
        <v>0</v>
      </c>
      <c r="F1000" s="12">
        <v>20</v>
      </c>
      <c r="G1000" s="12">
        <v>0</v>
      </c>
      <c r="H1000" s="12">
        <v>0</v>
      </c>
      <c r="I1000" s="12" t="s">
        <v>140</v>
      </c>
      <c r="J1000" s="12">
        <v>46319</v>
      </c>
      <c r="K1000">
        <v>46319</v>
      </c>
    </row>
    <row r="1001" spans="1:11" hidden="1" x14ac:dyDescent="0.25">
      <c r="A1001" s="12" t="s">
        <v>60</v>
      </c>
      <c r="B1001" s="12" t="s">
        <v>148</v>
      </c>
      <c r="C1001" s="12" t="s">
        <v>14</v>
      </c>
      <c r="D1001" s="12">
        <v>0</v>
      </c>
      <c r="E1001" s="12">
        <v>0.95</v>
      </c>
      <c r="F1001" s="12">
        <v>20</v>
      </c>
      <c r="G1001" s="12">
        <v>0.95</v>
      </c>
      <c r="H1001" s="12">
        <v>0.17647058823529413</v>
      </c>
      <c r="I1001" s="12" t="s">
        <v>140</v>
      </c>
      <c r="J1001" s="12">
        <v>46319</v>
      </c>
      <c r="K1001">
        <v>46319</v>
      </c>
    </row>
    <row r="1002" spans="1:11" hidden="1" x14ac:dyDescent="0.25">
      <c r="A1002" s="12" t="s">
        <v>60</v>
      </c>
      <c r="B1002" s="12" t="s">
        <v>37</v>
      </c>
      <c r="C1002" s="12" t="s">
        <v>14</v>
      </c>
      <c r="D1002" s="12">
        <v>7.313366681441142</v>
      </c>
      <c r="E1002" s="12">
        <v>15.2</v>
      </c>
      <c r="F1002" s="12">
        <v>20</v>
      </c>
      <c r="G1002" s="12">
        <v>15.2</v>
      </c>
      <c r="H1002" s="12">
        <v>7.5421568627450926</v>
      </c>
      <c r="I1002" s="12" t="s">
        <v>140</v>
      </c>
      <c r="J1002" s="12">
        <v>46319</v>
      </c>
      <c r="K1002">
        <v>46319</v>
      </c>
    </row>
    <row r="1003" spans="1:11" hidden="1" x14ac:dyDescent="0.25">
      <c r="A1003" s="12" t="s">
        <v>60</v>
      </c>
      <c r="B1003" s="12" t="s">
        <v>57</v>
      </c>
      <c r="C1003" s="12" t="s">
        <v>15</v>
      </c>
      <c r="D1003" s="12">
        <v>0</v>
      </c>
      <c r="E1003" s="12">
        <v>0</v>
      </c>
      <c r="F1003" s="12">
        <v>20</v>
      </c>
      <c r="G1003" s="12">
        <v>0</v>
      </c>
      <c r="H1003" s="12">
        <v>0</v>
      </c>
      <c r="I1003" s="12" t="s">
        <v>139</v>
      </c>
      <c r="J1003" s="12">
        <v>46319</v>
      </c>
      <c r="K1003">
        <v>46319</v>
      </c>
    </row>
    <row r="1004" spans="1:11" x14ac:dyDescent="0.25">
      <c r="A1004" s="12" t="s">
        <v>60</v>
      </c>
      <c r="B1004" s="12" t="s">
        <v>57</v>
      </c>
      <c r="C1004" s="12" t="s">
        <v>13</v>
      </c>
      <c r="D1004" s="12">
        <v>0</v>
      </c>
      <c r="E1004" s="12">
        <v>0</v>
      </c>
      <c r="F1004" s="12">
        <v>20</v>
      </c>
      <c r="G1004" s="12">
        <v>0</v>
      </c>
      <c r="H1004" s="12">
        <v>0</v>
      </c>
      <c r="I1004" s="12" t="s">
        <v>141</v>
      </c>
      <c r="J1004" s="12">
        <v>46319</v>
      </c>
      <c r="K1004">
        <v>46319</v>
      </c>
    </row>
    <row r="1005" spans="1:11" hidden="1" x14ac:dyDescent="0.25">
      <c r="A1005" s="12" t="s">
        <v>60</v>
      </c>
      <c r="B1005" s="12" t="s">
        <v>37</v>
      </c>
      <c r="C1005" s="12" t="s">
        <v>15</v>
      </c>
      <c r="D1005" s="12">
        <v>3.3242575824732468</v>
      </c>
      <c r="E1005" s="12">
        <v>9.5</v>
      </c>
      <c r="F1005" s="12">
        <v>20</v>
      </c>
      <c r="G1005" s="12">
        <v>9.5</v>
      </c>
      <c r="H1005" s="12">
        <v>4.0588235294117636</v>
      </c>
      <c r="I1005" s="12" t="s">
        <v>139</v>
      </c>
      <c r="J1005" s="12">
        <v>46319</v>
      </c>
      <c r="K1005">
        <v>46319</v>
      </c>
    </row>
    <row r="1006" spans="1:11" x14ac:dyDescent="0.25">
      <c r="A1006" s="12" t="s">
        <v>60</v>
      </c>
      <c r="B1006" s="12" t="s">
        <v>37</v>
      </c>
      <c r="C1006" s="12" t="s">
        <v>13</v>
      </c>
      <c r="D1006" s="12">
        <v>9.5295384030899779</v>
      </c>
      <c r="E1006" s="12">
        <v>15.2</v>
      </c>
      <c r="F1006" s="12">
        <v>20</v>
      </c>
      <c r="G1006" s="12">
        <v>15.2</v>
      </c>
      <c r="H1006" s="12">
        <v>10.149019607843137</v>
      </c>
      <c r="I1006" s="12" t="s">
        <v>141</v>
      </c>
      <c r="J1006" s="12">
        <v>46319</v>
      </c>
      <c r="K1006">
        <v>46319</v>
      </c>
    </row>
    <row r="1007" spans="1:11" x14ac:dyDescent="0.25">
      <c r="A1007" s="12" t="s">
        <v>60</v>
      </c>
      <c r="B1007" s="12" t="s">
        <v>38</v>
      </c>
      <c r="C1007" s="12" t="s">
        <v>13</v>
      </c>
      <c r="D1007" s="12">
        <v>1.3483146067415734</v>
      </c>
      <c r="E1007" s="12">
        <v>3.8</v>
      </c>
      <c r="F1007" s="12">
        <v>20</v>
      </c>
      <c r="G1007" s="12">
        <v>3.8</v>
      </c>
      <c r="H1007" s="12">
        <v>1.9131433823529416</v>
      </c>
      <c r="I1007" s="12" t="s">
        <v>141</v>
      </c>
      <c r="J1007" s="12">
        <v>46319</v>
      </c>
      <c r="K1007">
        <v>46319</v>
      </c>
    </row>
    <row r="1008" spans="1:11" x14ac:dyDescent="0.25">
      <c r="A1008" s="12" t="s">
        <v>60</v>
      </c>
      <c r="B1008" s="12" t="s">
        <v>148</v>
      </c>
      <c r="C1008" s="12" t="s">
        <v>13</v>
      </c>
      <c r="D1008" s="12">
        <v>0.56250000000000011</v>
      </c>
      <c r="E1008" s="12">
        <v>0.95</v>
      </c>
      <c r="F1008" s="12">
        <v>20</v>
      </c>
      <c r="G1008" s="12">
        <v>0.95</v>
      </c>
      <c r="H1008" s="12">
        <v>0.43749999999999994</v>
      </c>
      <c r="I1008" s="12" t="s">
        <v>141</v>
      </c>
      <c r="J1008" s="12">
        <v>46319</v>
      </c>
      <c r="K1008">
        <v>46319</v>
      </c>
    </row>
    <row r="1009" spans="1:11" hidden="1" x14ac:dyDescent="0.25">
      <c r="A1009" s="12" t="s">
        <v>60</v>
      </c>
      <c r="B1009" s="12" t="s">
        <v>148</v>
      </c>
      <c r="C1009" s="12" t="s">
        <v>15</v>
      </c>
      <c r="D1009" s="12">
        <v>0</v>
      </c>
      <c r="E1009" s="12">
        <v>0</v>
      </c>
      <c r="F1009" s="12">
        <v>20</v>
      </c>
      <c r="G1009" s="12">
        <v>0</v>
      </c>
      <c r="H1009" s="12">
        <v>0</v>
      </c>
      <c r="I1009" s="12" t="s">
        <v>139</v>
      </c>
      <c r="J1009" s="12">
        <v>46319</v>
      </c>
      <c r="K1009">
        <v>46319</v>
      </c>
    </row>
    <row r="1010" spans="1:11" hidden="1" x14ac:dyDescent="0.25">
      <c r="A1010" s="12" t="s">
        <v>60</v>
      </c>
      <c r="B1010" s="12" t="s">
        <v>148</v>
      </c>
      <c r="C1010" s="12" t="s">
        <v>15</v>
      </c>
      <c r="D1010" s="12">
        <v>0</v>
      </c>
      <c r="E1010" s="12">
        <v>0.95</v>
      </c>
      <c r="F1010" s="12">
        <v>20</v>
      </c>
      <c r="G1010" s="12">
        <v>0.95</v>
      </c>
      <c r="H1010" s="12">
        <v>0</v>
      </c>
      <c r="I1010" s="12" t="s">
        <v>142</v>
      </c>
      <c r="J1010" s="12">
        <v>46320</v>
      </c>
      <c r="K1010">
        <v>46320</v>
      </c>
    </row>
    <row r="1011" spans="1:11" hidden="1" x14ac:dyDescent="0.25">
      <c r="A1011" s="12" t="s">
        <v>60</v>
      </c>
      <c r="B1011" s="12" t="s">
        <v>57</v>
      </c>
      <c r="C1011" s="12" t="s">
        <v>14</v>
      </c>
      <c r="D1011" s="12">
        <v>0</v>
      </c>
      <c r="E1011" s="12">
        <v>0</v>
      </c>
      <c r="F1011" s="12">
        <v>20</v>
      </c>
      <c r="G1011" s="12">
        <v>0</v>
      </c>
      <c r="H1011" s="12">
        <v>0</v>
      </c>
      <c r="I1011" s="12" t="s">
        <v>143</v>
      </c>
      <c r="J1011" s="12">
        <v>46320</v>
      </c>
      <c r="K1011">
        <v>46320</v>
      </c>
    </row>
    <row r="1012" spans="1:11" hidden="1" x14ac:dyDescent="0.25">
      <c r="A1012" s="12" t="s">
        <v>60</v>
      </c>
      <c r="B1012" s="12" t="s">
        <v>37</v>
      </c>
      <c r="C1012" s="12" t="s">
        <v>14</v>
      </c>
      <c r="D1012" s="12">
        <v>7.313366681441142</v>
      </c>
      <c r="E1012" s="12">
        <v>16.149999999999999</v>
      </c>
      <c r="F1012" s="12">
        <v>20</v>
      </c>
      <c r="G1012" s="12">
        <v>16.149999999999999</v>
      </c>
      <c r="H1012" s="12">
        <v>8.4245098039215609</v>
      </c>
      <c r="I1012" s="12" t="s">
        <v>143</v>
      </c>
      <c r="J1012" s="12">
        <v>46320</v>
      </c>
      <c r="K1012">
        <v>46320</v>
      </c>
    </row>
    <row r="1013" spans="1:11" hidden="1" x14ac:dyDescent="0.25">
      <c r="A1013" s="12" t="s">
        <v>60</v>
      </c>
      <c r="B1013" s="12" t="s">
        <v>38</v>
      </c>
      <c r="C1013" s="12" t="s">
        <v>15</v>
      </c>
      <c r="D1013" s="12">
        <v>1.7977528089887642</v>
      </c>
      <c r="E1013" s="12">
        <v>1.9</v>
      </c>
      <c r="F1013" s="12">
        <v>20</v>
      </c>
      <c r="G1013" s="12">
        <v>1.9</v>
      </c>
      <c r="H1013" s="12">
        <v>1.0127450980392154</v>
      </c>
      <c r="I1013" s="12" t="s">
        <v>142</v>
      </c>
      <c r="J1013" s="12">
        <v>46320</v>
      </c>
      <c r="K1013">
        <v>46320</v>
      </c>
    </row>
    <row r="1014" spans="1:11" hidden="1" x14ac:dyDescent="0.25">
      <c r="A1014" s="12" t="s">
        <v>60</v>
      </c>
      <c r="B1014" s="12" t="s">
        <v>37</v>
      </c>
      <c r="C1014" s="12" t="s">
        <v>15</v>
      </c>
      <c r="D1014" s="12">
        <v>3.5458747546381306</v>
      </c>
      <c r="E1014" s="12">
        <v>10.45</v>
      </c>
      <c r="F1014" s="12">
        <v>20</v>
      </c>
      <c r="G1014" s="12">
        <v>10.45</v>
      </c>
      <c r="H1014" s="12">
        <v>4.1764705882352935</v>
      </c>
      <c r="I1014" s="12" t="s">
        <v>142</v>
      </c>
      <c r="J1014" s="12">
        <v>46320</v>
      </c>
      <c r="K1014">
        <v>46320</v>
      </c>
    </row>
    <row r="1015" spans="1:11" hidden="1" x14ac:dyDescent="0.25">
      <c r="A1015" s="12" t="s">
        <v>60</v>
      </c>
      <c r="B1015" s="12" t="s">
        <v>148</v>
      </c>
      <c r="C1015" s="12" t="s">
        <v>14</v>
      </c>
      <c r="D1015" s="12">
        <v>0</v>
      </c>
      <c r="E1015" s="12">
        <v>1.9</v>
      </c>
      <c r="F1015" s="12">
        <v>20</v>
      </c>
      <c r="G1015" s="12">
        <v>1.9</v>
      </c>
      <c r="H1015" s="12">
        <v>0.17647058823529413</v>
      </c>
      <c r="I1015" s="12" t="s">
        <v>143</v>
      </c>
      <c r="J1015" s="12">
        <v>46320</v>
      </c>
      <c r="K1015">
        <v>46320</v>
      </c>
    </row>
    <row r="1016" spans="1:11" x14ac:dyDescent="0.25">
      <c r="A1016" s="12" t="s">
        <v>60</v>
      </c>
      <c r="B1016" s="12" t="s">
        <v>57</v>
      </c>
      <c r="C1016" s="12" t="s">
        <v>13</v>
      </c>
      <c r="D1016" s="12">
        <v>0</v>
      </c>
      <c r="E1016" s="12">
        <v>0</v>
      </c>
      <c r="F1016" s="12">
        <v>20</v>
      </c>
      <c r="G1016" s="12">
        <v>0</v>
      </c>
      <c r="H1016" s="12">
        <v>0</v>
      </c>
      <c r="I1016" s="12" t="s">
        <v>144</v>
      </c>
      <c r="J1016" s="12">
        <v>46320</v>
      </c>
      <c r="K1016">
        <v>46320</v>
      </c>
    </row>
    <row r="1017" spans="1:11" x14ac:dyDescent="0.25">
      <c r="A1017" s="12" t="s">
        <v>60</v>
      </c>
      <c r="B1017" s="12" t="s">
        <v>148</v>
      </c>
      <c r="C1017" s="12" t="s">
        <v>13</v>
      </c>
      <c r="D1017" s="12">
        <v>0.56250000000000011</v>
      </c>
      <c r="E1017" s="12">
        <v>0.95</v>
      </c>
      <c r="F1017" s="12">
        <v>20</v>
      </c>
      <c r="G1017" s="12">
        <v>0.95</v>
      </c>
      <c r="H1017" s="12">
        <v>0.43749999999999994</v>
      </c>
      <c r="I1017" s="12" t="s">
        <v>144</v>
      </c>
      <c r="J1017" s="12">
        <v>46320</v>
      </c>
      <c r="K1017">
        <v>46320</v>
      </c>
    </row>
    <row r="1018" spans="1:11" x14ac:dyDescent="0.25">
      <c r="A1018" s="12" t="s">
        <v>60</v>
      </c>
      <c r="B1018" s="12" t="s">
        <v>38</v>
      </c>
      <c r="C1018" s="12" t="s">
        <v>13</v>
      </c>
      <c r="D1018" s="12">
        <v>1.3483146067415734</v>
      </c>
      <c r="E1018" s="12">
        <v>3.8</v>
      </c>
      <c r="F1018" s="12">
        <v>20</v>
      </c>
      <c r="G1018" s="12">
        <v>3.8</v>
      </c>
      <c r="H1018" s="12">
        <v>1.9131433823529416</v>
      </c>
      <c r="I1018" s="12" t="s">
        <v>144</v>
      </c>
      <c r="J1018" s="12">
        <v>46320</v>
      </c>
      <c r="K1018">
        <v>46320</v>
      </c>
    </row>
    <row r="1019" spans="1:11" x14ac:dyDescent="0.25">
      <c r="A1019" s="12" t="s">
        <v>60</v>
      </c>
      <c r="B1019" s="12" t="s">
        <v>37</v>
      </c>
      <c r="C1019" s="12" t="s">
        <v>13</v>
      </c>
      <c r="D1019" s="12">
        <v>9.5295384030899779</v>
      </c>
      <c r="E1019" s="12">
        <v>15.2</v>
      </c>
      <c r="F1019" s="12">
        <v>20</v>
      </c>
      <c r="G1019" s="12">
        <v>15.2</v>
      </c>
      <c r="H1019" s="12">
        <v>10.149019607843137</v>
      </c>
      <c r="I1019" s="12" t="s">
        <v>144</v>
      </c>
      <c r="J1019" s="12">
        <v>46320</v>
      </c>
      <c r="K1019">
        <v>46320</v>
      </c>
    </row>
    <row r="1020" spans="1:11" hidden="1" x14ac:dyDescent="0.25">
      <c r="A1020" s="12" t="s">
        <v>60</v>
      </c>
      <c r="B1020" s="12" t="s">
        <v>57</v>
      </c>
      <c r="C1020" s="12" t="s">
        <v>15</v>
      </c>
      <c r="D1020" s="12">
        <v>0</v>
      </c>
      <c r="E1020" s="12">
        <v>0</v>
      </c>
      <c r="F1020" s="12">
        <v>20</v>
      </c>
      <c r="G1020" s="12">
        <v>0</v>
      </c>
      <c r="H1020" s="12">
        <v>0</v>
      </c>
      <c r="I1020" s="12" t="s">
        <v>142</v>
      </c>
      <c r="J1020" s="12">
        <v>46320</v>
      </c>
      <c r="K1020">
        <v>46320</v>
      </c>
    </row>
    <row r="1021" spans="1:11" hidden="1" x14ac:dyDescent="0.25">
      <c r="A1021" s="12" t="s">
        <v>60</v>
      </c>
      <c r="B1021" s="12" t="s">
        <v>38</v>
      </c>
      <c r="C1021" s="12" t="s">
        <v>14</v>
      </c>
      <c r="D1021" s="12">
        <v>2.538003965631197</v>
      </c>
      <c r="E1021" s="12">
        <v>4.75</v>
      </c>
      <c r="F1021" s="12">
        <v>20</v>
      </c>
      <c r="G1021" s="12">
        <v>4.75</v>
      </c>
      <c r="H1021" s="12">
        <v>2.188148788927335</v>
      </c>
      <c r="I1021" s="12" t="s">
        <v>143</v>
      </c>
      <c r="J1021" s="12">
        <v>46320</v>
      </c>
      <c r="K1021">
        <v>46320</v>
      </c>
    </row>
  </sheetData>
  <conditionalFormatting sqref="N2:N44">
    <cfRule type="cellIs" dxfId="11" priority="2" operator="lessThan">
      <formula>-0.4</formula>
    </cfRule>
  </conditionalFormatting>
  <conditionalFormatting sqref="O2:O44">
    <cfRule type="cellIs" dxfId="10" priority="1" operator="greaterThan">
      <formula>0.4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1417-0AB6-4BD8-A0AB-87DB0A788339}">
  <dimension ref="A1:T1021"/>
  <sheetViews>
    <sheetView tabSelected="1" workbookViewId="0">
      <selection activeCell="L279" sqref="L279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7.42578125" bestFit="1" customWidth="1"/>
    <col min="4" max="4" width="12" bestFit="1" customWidth="1"/>
    <col min="5" max="5" width="10.7109375" bestFit="1" customWidth="1"/>
    <col min="6" max="6" width="17.140625" bestFit="1" customWidth="1"/>
    <col min="7" max="7" width="11.85546875" bestFit="1" customWidth="1"/>
    <col min="8" max="8" width="12.28515625" bestFit="1" customWidth="1"/>
    <col min="9" max="9" width="16.42578125" bestFit="1" customWidth="1"/>
    <col min="10" max="10" width="10.7109375" bestFit="1" customWidth="1"/>
    <col min="11" max="11" width="8.5703125" bestFit="1" customWidth="1"/>
    <col min="12" max="20" width="12" bestFit="1" customWidth="1"/>
    <col min="21" max="25" width="12" customWidth="1"/>
    <col min="26" max="26" width="5.5703125" bestFit="1" customWidth="1"/>
    <col min="27" max="27" width="12" customWidth="1"/>
    <col min="28" max="28" width="12" bestFit="1" customWidth="1"/>
    <col min="29" max="29" width="6" bestFit="1" customWidth="1"/>
    <col min="30" max="30" width="5.5703125" bestFit="1" customWidth="1"/>
  </cols>
  <sheetData>
    <row r="1" spans="1:20" x14ac:dyDescent="0.25">
      <c r="A1" t="s">
        <v>22</v>
      </c>
      <c r="B1" t="s">
        <v>1</v>
      </c>
      <c r="C1" t="s">
        <v>21</v>
      </c>
      <c r="D1" t="s">
        <v>3</v>
      </c>
      <c r="E1" t="s">
        <v>4</v>
      </c>
      <c r="F1" t="s">
        <v>19</v>
      </c>
      <c r="G1" t="s">
        <v>5</v>
      </c>
      <c r="H1" t="s">
        <v>2</v>
      </c>
      <c r="I1" t="s">
        <v>20</v>
      </c>
      <c r="J1" t="s">
        <v>0</v>
      </c>
      <c r="K1" t="s">
        <v>39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17</v>
      </c>
      <c r="S1" t="s">
        <v>12</v>
      </c>
      <c r="T1" t="s">
        <v>16</v>
      </c>
    </row>
    <row r="2" spans="1:20" x14ac:dyDescent="0.25">
      <c r="A2" s="12" t="s">
        <v>58</v>
      </c>
      <c r="B2" s="12" t="s">
        <v>37</v>
      </c>
      <c r="C2" s="12" t="s">
        <v>15</v>
      </c>
      <c r="D2" s="12">
        <v>4.1033319103155144</v>
      </c>
      <c r="E2" s="12">
        <v>3.8</v>
      </c>
      <c r="F2" s="12">
        <v>20</v>
      </c>
      <c r="G2" s="12">
        <v>3.8</v>
      </c>
      <c r="H2" s="12">
        <v>3.75</v>
      </c>
      <c r="I2" s="12" t="s">
        <v>61</v>
      </c>
      <c r="J2" s="6">
        <v>46293</v>
      </c>
      <c r="K2">
        <v>46293</v>
      </c>
      <c r="L2">
        <v>0.92607668184166203</v>
      </c>
      <c r="M2">
        <v>0.92607668184166203</v>
      </c>
      <c r="N2">
        <v>0.91389146234374541</v>
      </c>
      <c r="O2">
        <v>1.0798241869251355</v>
      </c>
      <c r="P2">
        <v>1.0798241869251355</v>
      </c>
      <c r="Q2">
        <v>0.98684210526315796</v>
      </c>
      <c r="R2">
        <v>1.0133333333333332</v>
      </c>
      <c r="S2">
        <v>1.0133333333333332</v>
      </c>
      <c r="T2">
        <v>1.0942218427508039</v>
      </c>
    </row>
    <row r="3" spans="1:20" x14ac:dyDescent="0.25">
      <c r="A3" s="12" t="s">
        <v>58</v>
      </c>
      <c r="B3" s="12" t="s">
        <v>37</v>
      </c>
      <c r="C3" s="12" t="s">
        <v>13</v>
      </c>
      <c r="D3" s="12">
        <v>11.54404044102098</v>
      </c>
      <c r="E3" s="12">
        <v>17.099999999999998</v>
      </c>
      <c r="F3" s="12">
        <v>20</v>
      </c>
      <c r="G3" s="12">
        <v>17.099999999999998</v>
      </c>
      <c r="H3" s="12">
        <v>10.889093137254903</v>
      </c>
      <c r="I3" s="12" t="s">
        <v>63</v>
      </c>
      <c r="J3" s="6">
        <v>46293</v>
      </c>
      <c r="K3">
        <v>46293</v>
      </c>
      <c r="L3">
        <v>1.4812837920453124</v>
      </c>
      <c r="M3">
        <v>1.4812837920453124</v>
      </c>
      <c r="N3">
        <v>0.9432653318296802</v>
      </c>
      <c r="O3">
        <v>0.67509008427023287</v>
      </c>
      <c r="P3">
        <v>0.67509008427023287</v>
      </c>
      <c r="Q3">
        <v>0.63678907235408799</v>
      </c>
      <c r="R3">
        <v>1.5703787068819983</v>
      </c>
      <c r="S3">
        <v>1.5703787068819983</v>
      </c>
      <c r="T3">
        <v>1.0601470935651476</v>
      </c>
    </row>
    <row r="4" spans="1:20" x14ac:dyDescent="0.25">
      <c r="A4" s="12" t="s">
        <v>58</v>
      </c>
      <c r="B4" s="12" t="s">
        <v>37</v>
      </c>
      <c r="C4" s="12" t="s">
        <v>14</v>
      </c>
      <c r="D4" s="12">
        <v>10.668662966820335</v>
      </c>
      <c r="E4" s="12">
        <v>13.3</v>
      </c>
      <c r="F4" s="12">
        <v>20</v>
      </c>
      <c r="G4" s="12">
        <v>13.3</v>
      </c>
      <c r="H4" s="12">
        <v>11.540073529411764</v>
      </c>
      <c r="I4" s="12" t="s">
        <v>62</v>
      </c>
      <c r="J4" s="6">
        <v>46293</v>
      </c>
      <c r="K4">
        <v>46293</v>
      </c>
      <c r="L4">
        <v>1.2466416870945451</v>
      </c>
      <c r="M4">
        <v>1.2466416870945451</v>
      </c>
      <c r="N4">
        <v>1.0816794536767658</v>
      </c>
      <c r="O4">
        <v>0.80215511028724329</v>
      </c>
      <c r="P4">
        <v>0.80215511028724329</v>
      </c>
      <c r="Q4">
        <v>0.86767470145953118</v>
      </c>
      <c r="R4">
        <v>1.1525056548472394</v>
      </c>
      <c r="S4">
        <v>1.1525056548472394</v>
      </c>
      <c r="T4">
        <v>0.92448830067065901</v>
      </c>
    </row>
    <row r="5" spans="1:20" x14ac:dyDescent="0.25">
      <c r="A5" s="12" t="s">
        <v>58</v>
      </c>
      <c r="B5" s="12" t="s">
        <v>37</v>
      </c>
      <c r="C5" s="12" t="s">
        <v>15</v>
      </c>
      <c r="D5" s="12">
        <v>4.1033319103155144</v>
      </c>
      <c r="E5" s="12">
        <v>4.75</v>
      </c>
      <c r="F5" s="12">
        <v>20</v>
      </c>
      <c r="G5" s="12">
        <v>4.75</v>
      </c>
      <c r="H5" s="12">
        <v>4.6875</v>
      </c>
      <c r="I5" s="12" t="s">
        <v>65</v>
      </c>
      <c r="J5" s="6">
        <v>46294</v>
      </c>
      <c r="K5">
        <v>46294</v>
      </c>
      <c r="L5">
        <v>1.1575958523020775</v>
      </c>
      <c r="M5">
        <v>1.1575958523020775</v>
      </c>
      <c r="N5">
        <v>1.1423643279296818</v>
      </c>
      <c r="O5">
        <v>0.86385934954010823</v>
      </c>
      <c r="P5">
        <v>0.86385934954010823</v>
      </c>
      <c r="Q5">
        <v>0.98684210526315785</v>
      </c>
      <c r="R5">
        <v>1.0133333333333334</v>
      </c>
      <c r="S5">
        <v>1.0133333333333334</v>
      </c>
      <c r="T5">
        <v>0.87537747420064305</v>
      </c>
    </row>
    <row r="6" spans="1:20" x14ac:dyDescent="0.25">
      <c r="A6" s="12" t="s">
        <v>58</v>
      </c>
      <c r="B6" s="12" t="s">
        <v>37</v>
      </c>
      <c r="C6" s="12" t="s">
        <v>13</v>
      </c>
      <c r="D6" s="12">
        <v>12.665617829840556</v>
      </c>
      <c r="E6" s="12">
        <v>19</v>
      </c>
      <c r="F6" s="12">
        <v>20</v>
      </c>
      <c r="G6" s="12">
        <v>19</v>
      </c>
      <c r="H6" s="12">
        <v>12.162181020733652</v>
      </c>
      <c r="I6" s="12" t="s">
        <v>64</v>
      </c>
      <c r="J6" s="6">
        <v>46294</v>
      </c>
      <c r="K6">
        <v>46294</v>
      </c>
      <c r="L6">
        <v>1.5001242146463205</v>
      </c>
      <c r="M6">
        <v>1.5001242146463205</v>
      </c>
      <c r="N6">
        <v>0.96025169747970818</v>
      </c>
      <c r="O6">
        <v>0.66661146472845034</v>
      </c>
      <c r="P6">
        <v>0.66661146472845034</v>
      </c>
      <c r="Q6">
        <v>0.64011479056492904</v>
      </c>
      <c r="R6">
        <v>1.5622197998541116</v>
      </c>
      <c r="S6">
        <v>1.5622197998541116</v>
      </c>
      <c r="T6">
        <v>1.0413936290085359</v>
      </c>
    </row>
    <row r="7" spans="1:20" x14ac:dyDescent="0.25">
      <c r="A7" s="12" t="s">
        <v>58</v>
      </c>
      <c r="B7" s="12" t="s">
        <v>37</v>
      </c>
      <c r="C7" s="12" t="s">
        <v>14</v>
      </c>
      <c r="D7" s="12">
        <v>10.668662966820335</v>
      </c>
      <c r="E7" s="12">
        <v>12.35</v>
      </c>
      <c r="F7" s="12">
        <v>20</v>
      </c>
      <c r="G7" s="12">
        <v>12.35</v>
      </c>
      <c r="H7" s="12">
        <v>11.448639354066986</v>
      </c>
      <c r="I7" s="12" t="s">
        <v>66</v>
      </c>
      <c r="J7" s="6">
        <v>46294</v>
      </c>
      <c r="K7">
        <v>46294</v>
      </c>
      <c r="L7">
        <v>1.1575958523020777</v>
      </c>
      <c r="M7">
        <v>1.1575958523020777</v>
      </c>
      <c r="N7">
        <v>1.0731091037060956</v>
      </c>
      <c r="O7">
        <v>0.86385934954010812</v>
      </c>
      <c r="P7">
        <v>0.86385934954010812</v>
      </c>
      <c r="Q7">
        <v>0.92701533231311628</v>
      </c>
      <c r="R7">
        <v>1.0787308096671608</v>
      </c>
      <c r="S7">
        <v>1.0787308096671608</v>
      </c>
      <c r="T7">
        <v>0.93187169556794769</v>
      </c>
    </row>
    <row r="8" spans="1:20" x14ac:dyDescent="0.25">
      <c r="A8" s="12" t="s">
        <v>58</v>
      </c>
      <c r="B8" s="12" t="s">
        <v>37</v>
      </c>
      <c r="C8" s="12" t="s">
        <v>13</v>
      </c>
      <c r="D8" s="12">
        <v>12.227929092740233</v>
      </c>
      <c r="E8" s="12">
        <v>19</v>
      </c>
      <c r="F8" s="12">
        <v>20</v>
      </c>
      <c r="G8" s="12">
        <v>19</v>
      </c>
      <c r="H8" s="12">
        <v>11.308823529411764</v>
      </c>
      <c r="I8" s="12" t="s">
        <v>67</v>
      </c>
      <c r="J8" s="6">
        <v>46295</v>
      </c>
      <c r="K8">
        <v>46295</v>
      </c>
      <c r="L8">
        <v>1.553819935975943</v>
      </c>
      <c r="M8">
        <v>1.553819935975943</v>
      </c>
      <c r="N8">
        <v>0.92483555012809615</v>
      </c>
      <c r="O8">
        <v>0.64357521540738072</v>
      </c>
      <c r="P8">
        <v>0.64357521540738072</v>
      </c>
      <c r="Q8">
        <v>0.59520123839009287</v>
      </c>
      <c r="R8">
        <v>1.6801040312093629</v>
      </c>
      <c r="S8">
        <v>1.6801040312093629</v>
      </c>
      <c r="T8">
        <v>1.0812733137923742</v>
      </c>
    </row>
    <row r="9" spans="1:20" x14ac:dyDescent="0.25">
      <c r="A9" s="12" t="s">
        <v>58</v>
      </c>
      <c r="B9" s="12" t="s">
        <v>37</v>
      </c>
      <c r="C9" s="12" t="s">
        <v>15</v>
      </c>
      <c r="D9" s="12">
        <v>4.1033319103155144</v>
      </c>
      <c r="E9" s="12">
        <v>4.75</v>
      </c>
      <c r="F9" s="12">
        <v>20</v>
      </c>
      <c r="G9" s="12">
        <v>4.75</v>
      </c>
      <c r="H9" s="12">
        <v>4.6875</v>
      </c>
      <c r="I9" s="12" t="s">
        <v>68</v>
      </c>
      <c r="J9" s="6">
        <v>46295</v>
      </c>
      <c r="K9">
        <v>46295</v>
      </c>
      <c r="L9">
        <v>1.1575958523020775</v>
      </c>
      <c r="M9">
        <v>1.1575958523020775</v>
      </c>
      <c r="N9">
        <v>1.1423643279296818</v>
      </c>
      <c r="O9">
        <v>0.86385934954010823</v>
      </c>
      <c r="P9">
        <v>0.86385934954010823</v>
      </c>
      <c r="Q9">
        <v>0.98684210526315785</v>
      </c>
      <c r="R9">
        <v>1.0133333333333334</v>
      </c>
      <c r="S9">
        <v>1.0133333333333334</v>
      </c>
      <c r="T9">
        <v>0.87537747420064305</v>
      </c>
    </row>
    <row r="10" spans="1:20" x14ac:dyDescent="0.25">
      <c r="A10" s="12" t="s">
        <v>58</v>
      </c>
      <c r="B10" s="12" t="s">
        <v>37</v>
      </c>
      <c r="C10" s="12" t="s">
        <v>14</v>
      </c>
      <c r="D10" s="12">
        <v>10.504529690407711</v>
      </c>
      <c r="E10" s="12">
        <v>11.4</v>
      </c>
      <c r="F10" s="12">
        <v>20</v>
      </c>
      <c r="G10" s="12">
        <v>11.4</v>
      </c>
      <c r="H10" s="12">
        <v>11.253676470588236</v>
      </c>
      <c r="I10" s="12" t="s">
        <v>69</v>
      </c>
      <c r="J10" s="6">
        <v>46295</v>
      </c>
      <c r="K10">
        <v>46295</v>
      </c>
      <c r="L10">
        <v>1.0852461115331982</v>
      </c>
      <c r="M10">
        <v>1.0852461115331982</v>
      </c>
      <c r="N10">
        <v>1.0713165465051342</v>
      </c>
      <c r="O10">
        <v>0.92144997284278185</v>
      </c>
      <c r="P10">
        <v>0.92144997284278185</v>
      </c>
      <c r="Q10">
        <v>0.98716460268317863</v>
      </c>
      <c r="R10">
        <v>1.0130022868343678</v>
      </c>
      <c r="S10">
        <v>1.0130022868343678</v>
      </c>
      <c r="T10">
        <v>0.93343092969320396</v>
      </c>
    </row>
    <row r="11" spans="1:20" x14ac:dyDescent="0.25">
      <c r="A11" s="12" t="s">
        <v>58</v>
      </c>
      <c r="B11" s="12" t="s">
        <v>37</v>
      </c>
      <c r="C11" s="12" t="s">
        <v>13</v>
      </c>
      <c r="D11" s="12">
        <v>11.407262710677127</v>
      </c>
      <c r="E11" s="12">
        <v>17.099999999999998</v>
      </c>
      <c r="F11" s="12">
        <v>20</v>
      </c>
      <c r="G11" s="12">
        <v>17.099999999999998</v>
      </c>
      <c r="H11" s="12">
        <v>12.09375</v>
      </c>
      <c r="I11" s="12" t="s">
        <v>70</v>
      </c>
      <c r="J11" s="6">
        <v>46296</v>
      </c>
      <c r="K11">
        <v>46296</v>
      </c>
      <c r="L11">
        <v>1.4990449885926187</v>
      </c>
      <c r="M11">
        <v>1.4990449885926187</v>
      </c>
      <c r="N11">
        <v>1.060179843905964</v>
      </c>
      <c r="O11">
        <v>0.66709138658930578</v>
      </c>
      <c r="P11">
        <v>0.66709138658930578</v>
      </c>
      <c r="Q11">
        <v>0.70723684210526327</v>
      </c>
      <c r="R11">
        <v>1.4139534883720928</v>
      </c>
      <c r="S11">
        <v>1.4139534883720928</v>
      </c>
      <c r="T11">
        <v>0.94323619313092522</v>
      </c>
    </row>
    <row r="12" spans="1:20" x14ac:dyDescent="0.25">
      <c r="A12" s="12" t="s">
        <v>58</v>
      </c>
      <c r="B12" s="12" t="s">
        <v>37</v>
      </c>
      <c r="C12" s="12" t="s">
        <v>15</v>
      </c>
      <c r="D12" s="12">
        <v>4.1033319103155144</v>
      </c>
      <c r="E12" s="12">
        <v>4.75</v>
      </c>
      <c r="F12" s="12">
        <v>20</v>
      </c>
      <c r="G12" s="12">
        <v>4.75</v>
      </c>
      <c r="H12" s="12">
        <v>4.6875</v>
      </c>
      <c r="I12" s="12" t="s">
        <v>72</v>
      </c>
      <c r="J12" s="6">
        <v>46296</v>
      </c>
      <c r="K12">
        <v>46296</v>
      </c>
      <c r="L12">
        <v>1.1575958523020775</v>
      </c>
      <c r="M12">
        <v>1.1575958523020775</v>
      </c>
      <c r="N12">
        <v>1.1423643279296818</v>
      </c>
      <c r="O12">
        <v>0.86385934954010823</v>
      </c>
      <c r="P12">
        <v>0.86385934954010823</v>
      </c>
      <c r="Q12">
        <v>0.98684210526315785</v>
      </c>
      <c r="R12">
        <v>1.0133333333333334</v>
      </c>
      <c r="S12">
        <v>1.0133333333333334</v>
      </c>
      <c r="T12">
        <v>0.87537747420064305</v>
      </c>
    </row>
    <row r="13" spans="1:20" x14ac:dyDescent="0.25">
      <c r="A13" s="12" t="s">
        <v>58</v>
      </c>
      <c r="B13" s="12" t="s">
        <v>37</v>
      </c>
      <c r="C13" s="12" t="s">
        <v>14</v>
      </c>
      <c r="D13" s="12">
        <v>10.668662966820335</v>
      </c>
      <c r="E13" s="12">
        <v>13.3</v>
      </c>
      <c r="F13" s="12">
        <v>20</v>
      </c>
      <c r="G13" s="12">
        <v>13.3</v>
      </c>
      <c r="H13" s="12">
        <v>11.25</v>
      </c>
      <c r="I13" s="12" t="s">
        <v>71</v>
      </c>
      <c r="J13" s="6">
        <v>46296</v>
      </c>
      <c r="K13">
        <v>46296</v>
      </c>
      <c r="L13">
        <v>1.2466416870945451</v>
      </c>
      <c r="M13">
        <v>1.2466416870945451</v>
      </c>
      <c r="N13">
        <v>1.0544901488581679</v>
      </c>
      <c r="O13">
        <v>0.80215511028724329</v>
      </c>
      <c r="P13">
        <v>0.80215511028724329</v>
      </c>
      <c r="Q13">
        <v>0.84586466165413543</v>
      </c>
      <c r="R13">
        <v>1.1822222222222221</v>
      </c>
      <c r="S13">
        <v>1.1822222222222221</v>
      </c>
      <c r="T13">
        <v>0.94832559705069641</v>
      </c>
    </row>
    <row r="14" spans="1:20" x14ac:dyDescent="0.25">
      <c r="A14" s="12" t="s">
        <v>58</v>
      </c>
      <c r="B14" s="12" t="s">
        <v>37</v>
      </c>
      <c r="C14" s="12" t="s">
        <v>14</v>
      </c>
      <c r="D14" s="12">
        <v>10.723374058957878</v>
      </c>
      <c r="E14" s="12">
        <v>12.35</v>
      </c>
      <c r="F14" s="12">
        <v>20</v>
      </c>
      <c r="G14" s="12">
        <v>12.35</v>
      </c>
      <c r="H14" s="12">
        <v>12.628676470588234</v>
      </c>
      <c r="I14" s="12" t="s">
        <v>75</v>
      </c>
      <c r="J14" s="6">
        <v>46297</v>
      </c>
      <c r="K14">
        <v>46297</v>
      </c>
      <c r="L14">
        <v>1.1516897510148221</v>
      </c>
      <c r="M14">
        <v>1.1516897510148221</v>
      </c>
      <c r="N14">
        <v>1.1776775109359112</v>
      </c>
      <c r="O14">
        <v>0.86828939748646794</v>
      </c>
      <c r="P14">
        <v>0.86828939748646794</v>
      </c>
      <c r="Q14">
        <v>1.0225648964039056</v>
      </c>
      <c r="R14">
        <v>0.97793304221251831</v>
      </c>
      <c r="S14">
        <v>0.97793304221251831</v>
      </c>
      <c r="T14">
        <v>0.84912889200481612</v>
      </c>
    </row>
    <row r="15" spans="1:20" x14ac:dyDescent="0.25">
      <c r="A15" s="12" t="s">
        <v>58</v>
      </c>
      <c r="B15" s="12" t="s">
        <v>37</v>
      </c>
      <c r="C15" s="12" t="s">
        <v>15</v>
      </c>
      <c r="D15" s="12">
        <v>4.1033319103155144</v>
      </c>
      <c r="E15" s="12">
        <v>5.6999999999999993</v>
      </c>
      <c r="F15" s="12">
        <v>20</v>
      </c>
      <c r="G15" s="12">
        <v>5.6999999999999993</v>
      </c>
      <c r="H15" s="12">
        <v>4.6875</v>
      </c>
      <c r="I15" s="12" t="s">
        <v>74</v>
      </c>
      <c r="J15" s="6">
        <v>46297</v>
      </c>
      <c r="K15">
        <v>46297</v>
      </c>
      <c r="L15">
        <v>1.3891150227624929</v>
      </c>
      <c r="M15">
        <v>1.3891150227624929</v>
      </c>
      <c r="N15">
        <v>1.1423643279296818</v>
      </c>
      <c r="O15">
        <v>0.7198827912834237</v>
      </c>
      <c r="P15">
        <v>0.7198827912834237</v>
      </c>
      <c r="Q15">
        <v>0.82236842105263164</v>
      </c>
      <c r="R15">
        <v>1.2159999999999997</v>
      </c>
      <c r="S15">
        <v>1.2159999999999997</v>
      </c>
      <c r="T15">
        <v>0.87537747420064305</v>
      </c>
    </row>
    <row r="16" spans="1:20" x14ac:dyDescent="0.25">
      <c r="A16" s="12" t="s">
        <v>58</v>
      </c>
      <c r="B16" s="12" t="s">
        <v>37</v>
      </c>
      <c r="C16" s="12" t="s">
        <v>13</v>
      </c>
      <c r="D16" s="12">
        <v>10.668662966820335</v>
      </c>
      <c r="E16" s="12">
        <v>16.149999999999999</v>
      </c>
      <c r="F16" s="12">
        <v>20</v>
      </c>
      <c r="G16" s="12">
        <v>16.149999999999999</v>
      </c>
      <c r="H16" s="12">
        <v>10.996323529411764</v>
      </c>
      <c r="I16" s="12" t="s">
        <v>73</v>
      </c>
      <c r="J16" s="6">
        <v>46297</v>
      </c>
      <c r="K16">
        <v>46297</v>
      </c>
      <c r="L16">
        <v>1.5137791914719478</v>
      </c>
      <c r="M16">
        <v>1.5137791914719478</v>
      </c>
      <c r="N16">
        <v>1.0307124298152877</v>
      </c>
      <c r="O16">
        <v>0.66059832611890623</v>
      </c>
      <c r="P16">
        <v>0.66059832611890623</v>
      </c>
      <c r="Q16">
        <v>0.6808869058459297</v>
      </c>
      <c r="R16">
        <v>1.4686726847208291</v>
      </c>
      <c r="S16">
        <v>1.4686726847208291</v>
      </c>
      <c r="T16">
        <v>0.97020271714313988</v>
      </c>
    </row>
    <row r="17" spans="1:20" x14ac:dyDescent="0.25">
      <c r="A17" s="12" t="s">
        <v>58</v>
      </c>
      <c r="B17" s="12" t="s">
        <v>37</v>
      </c>
      <c r="C17" s="12" t="s">
        <v>15</v>
      </c>
      <c r="D17" s="12">
        <v>4.1033319103155144</v>
      </c>
      <c r="E17" s="12">
        <v>4.75</v>
      </c>
      <c r="F17" s="12">
        <v>20</v>
      </c>
      <c r="G17" s="12">
        <v>4.75</v>
      </c>
      <c r="H17" s="12">
        <v>4.6875</v>
      </c>
      <c r="I17" s="12" t="s">
        <v>76</v>
      </c>
      <c r="J17" s="6">
        <v>46298</v>
      </c>
      <c r="K17">
        <v>46298</v>
      </c>
      <c r="L17">
        <v>1.1575958523020775</v>
      </c>
      <c r="M17">
        <v>1.1575958523020775</v>
      </c>
      <c r="N17">
        <v>1.1423643279296818</v>
      </c>
      <c r="O17">
        <v>0.86385934954010823</v>
      </c>
      <c r="P17">
        <v>0.86385934954010823</v>
      </c>
      <c r="Q17">
        <v>0.98684210526315785</v>
      </c>
      <c r="R17">
        <v>1.0133333333333334</v>
      </c>
      <c r="S17">
        <v>1.0133333333333334</v>
      </c>
      <c r="T17">
        <v>0.87537747420064305</v>
      </c>
    </row>
    <row r="18" spans="1:20" x14ac:dyDescent="0.25">
      <c r="A18" s="12" t="s">
        <v>58</v>
      </c>
      <c r="B18" s="12" t="s">
        <v>37</v>
      </c>
      <c r="C18" s="12" t="s">
        <v>14</v>
      </c>
      <c r="D18" s="12">
        <v>10.668662966820335</v>
      </c>
      <c r="E18" s="12">
        <v>14.25</v>
      </c>
      <c r="F18" s="12">
        <v>20</v>
      </c>
      <c r="G18" s="12">
        <v>14.25</v>
      </c>
      <c r="H18" s="12">
        <v>12.278932225063937</v>
      </c>
      <c r="I18" s="12" t="s">
        <v>78</v>
      </c>
      <c r="J18" s="6">
        <v>46298</v>
      </c>
      <c r="K18">
        <v>46298</v>
      </c>
      <c r="L18">
        <v>1.3356875218870128</v>
      </c>
      <c r="M18">
        <v>1.3356875218870128</v>
      </c>
      <c r="N18">
        <v>1.1509344950957356</v>
      </c>
      <c r="O18">
        <v>0.74867810293476034</v>
      </c>
      <c r="P18">
        <v>0.74867810293476034</v>
      </c>
      <c r="Q18">
        <v>0.86167945439045168</v>
      </c>
      <c r="R18">
        <v>1.1605243630967106</v>
      </c>
      <c r="S18">
        <v>1.1605243630967106</v>
      </c>
      <c r="T18">
        <v>0.86885917857281625</v>
      </c>
    </row>
    <row r="19" spans="1:20" x14ac:dyDescent="0.25">
      <c r="A19" s="12" t="s">
        <v>58</v>
      </c>
      <c r="B19" s="12" t="s">
        <v>37</v>
      </c>
      <c r="C19" s="12" t="s">
        <v>13</v>
      </c>
      <c r="D19" s="12">
        <v>10.72337405895788</v>
      </c>
      <c r="E19" s="12">
        <v>14.25</v>
      </c>
      <c r="F19" s="12">
        <v>20</v>
      </c>
      <c r="G19" s="12">
        <v>14.25</v>
      </c>
      <c r="H19" s="12">
        <v>11.653132992327365</v>
      </c>
      <c r="I19" s="12" t="s">
        <v>77</v>
      </c>
      <c r="J19" s="6">
        <v>46298</v>
      </c>
      <c r="K19">
        <v>46298</v>
      </c>
      <c r="L19">
        <v>1.3288727896324868</v>
      </c>
      <c r="M19">
        <v>1.3288727896324868</v>
      </c>
      <c r="N19">
        <v>1.0867039542085917</v>
      </c>
      <c r="O19">
        <v>0.75251747782160561</v>
      </c>
      <c r="P19">
        <v>0.75251747782160561</v>
      </c>
      <c r="Q19">
        <v>0.81776371875981502</v>
      </c>
      <c r="R19">
        <v>1.2228471098186608</v>
      </c>
      <c r="S19">
        <v>1.2228471098186608</v>
      </c>
      <c r="T19">
        <v>0.92021382284217856</v>
      </c>
    </row>
    <row r="20" spans="1:20" x14ac:dyDescent="0.25">
      <c r="A20" s="12" t="s">
        <v>58</v>
      </c>
      <c r="B20" s="12" t="s">
        <v>37</v>
      </c>
      <c r="C20" s="12" t="s">
        <v>13</v>
      </c>
      <c r="D20" s="12">
        <v>10.668662966820335</v>
      </c>
      <c r="E20" s="12">
        <v>12.35</v>
      </c>
      <c r="F20" s="12">
        <v>20</v>
      </c>
      <c r="G20" s="12">
        <v>12.35</v>
      </c>
      <c r="H20" s="12">
        <v>12.1875</v>
      </c>
      <c r="I20" s="12" t="s">
        <v>79</v>
      </c>
      <c r="J20" s="6">
        <v>46299</v>
      </c>
      <c r="K20">
        <v>46299</v>
      </c>
      <c r="L20">
        <v>1.1575958523020777</v>
      </c>
      <c r="M20">
        <v>1.1575958523020777</v>
      </c>
      <c r="N20">
        <v>1.142364327929682</v>
      </c>
      <c r="O20">
        <v>0.86385934954010812</v>
      </c>
      <c r="P20">
        <v>0.86385934954010812</v>
      </c>
      <c r="Q20">
        <v>0.98684210526315796</v>
      </c>
      <c r="R20">
        <v>1.0133333333333332</v>
      </c>
      <c r="S20">
        <v>1.0133333333333332</v>
      </c>
      <c r="T20">
        <v>0.87537747420064294</v>
      </c>
    </row>
    <row r="21" spans="1:20" x14ac:dyDescent="0.25">
      <c r="A21" s="12" t="s">
        <v>58</v>
      </c>
      <c r="B21" s="12" t="s">
        <v>37</v>
      </c>
      <c r="C21" s="12" t="s">
        <v>14</v>
      </c>
      <c r="D21" s="12">
        <v>11.489329348883439</v>
      </c>
      <c r="E21" s="12">
        <v>17.099999999999998</v>
      </c>
      <c r="F21" s="12">
        <v>20</v>
      </c>
      <c r="G21" s="12">
        <v>17.099999999999998</v>
      </c>
      <c r="H21" s="12">
        <v>12.1875</v>
      </c>
      <c r="I21" s="12" t="s">
        <v>80</v>
      </c>
      <c r="J21" s="6">
        <v>46299</v>
      </c>
      <c r="K21">
        <v>46299</v>
      </c>
      <c r="L21">
        <v>1.4883375243883854</v>
      </c>
      <c r="M21">
        <v>1.4883375243883854</v>
      </c>
      <c r="N21">
        <v>1.0607668759347046</v>
      </c>
      <c r="O21">
        <v>0.67189060519786203</v>
      </c>
      <c r="P21">
        <v>0.67189060519786203</v>
      </c>
      <c r="Q21">
        <v>0.71271929824561409</v>
      </c>
      <c r="R21">
        <v>1.4030769230769229</v>
      </c>
      <c r="S21">
        <v>1.4030769230769229</v>
      </c>
      <c r="T21">
        <v>0.94271420298530784</v>
      </c>
    </row>
    <row r="22" spans="1:20" x14ac:dyDescent="0.25">
      <c r="A22" s="12" t="s">
        <v>58</v>
      </c>
      <c r="B22" s="12" t="s">
        <v>37</v>
      </c>
      <c r="C22" s="12" t="s">
        <v>15</v>
      </c>
      <c r="D22" s="12">
        <v>4.1033319103155144</v>
      </c>
      <c r="E22" s="12">
        <v>4.75</v>
      </c>
      <c r="F22" s="12">
        <v>20</v>
      </c>
      <c r="G22" s="12">
        <v>4.75</v>
      </c>
      <c r="H22" s="12">
        <v>4.6875</v>
      </c>
      <c r="I22" s="12" t="s">
        <v>81</v>
      </c>
      <c r="J22" s="6">
        <v>46299</v>
      </c>
      <c r="K22">
        <v>46299</v>
      </c>
      <c r="L22">
        <v>1.1575958523020775</v>
      </c>
      <c r="M22">
        <v>1.1575958523020775</v>
      </c>
      <c r="N22">
        <v>1.1423643279296818</v>
      </c>
      <c r="O22">
        <v>0.86385934954010823</v>
      </c>
      <c r="P22">
        <v>0.86385934954010823</v>
      </c>
      <c r="Q22">
        <v>0.98684210526315785</v>
      </c>
      <c r="R22">
        <v>1.0133333333333334</v>
      </c>
      <c r="S22">
        <v>1.0133333333333334</v>
      </c>
      <c r="T22">
        <v>0.87537747420064305</v>
      </c>
    </row>
    <row r="23" spans="1:20" x14ac:dyDescent="0.25">
      <c r="A23" s="12" t="s">
        <v>58</v>
      </c>
      <c r="B23" s="12" t="s">
        <v>37</v>
      </c>
      <c r="C23" s="12" t="s">
        <v>14</v>
      </c>
      <c r="D23" s="12">
        <v>10.668662966820335</v>
      </c>
      <c r="E23" s="12">
        <v>11.4</v>
      </c>
      <c r="F23" s="12">
        <v>20</v>
      </c>
      <c r="G23" s="12">
        <v>11.4</v>
      </c>
      <c r="H23" s="12">
        <v>11.590909090909092</v>
      </c>
      <c r="I23" s="12" t="s">
        <v>83</v>
      </c>
      <c r="J23" s="6">
        <v>46300</v>
      </c>
      <c r="K23">
        <v>46300</v>
      </c>
      <c r="L23">
        <v>1.0685500175096101</v>
      </c>
      <c r="M23">
        <v>1.0685500175096101</v>
      </c>
      <c r="N23">
        <v>1.0864443957932641</v>
      </c>
      <c r="O23">
        <v>0.93584762866845062</v>
      </c>
      <c r="P23">
        <v>0.93584762866845062</v>
      </c>
      <c r="Q23">
        <v>1.0167464114832538</v>
      </c>
      <c r="R23">
        <v>0.98352941176470565</v>
      </c>
      <c r="S23">
        <v>0.98352941176470565</v>
      </c>
      <c r="T23">
        <v>0.92043366772567592</v>
      </c>
    </row>
    <row r="24" spans="1:20" x14ac:dyDescent="0.25">
      <c r="A24" s="12" t="s">
        <v>58</v>
      </c>
      <c r="B24" s="12" t="s">
        <v>37</v>
      </c>
      <c r="C24" s="12" t="s">
        <v>15</v>
      </c>
      <c r="D24" s="12">
        <v>4.1033319103155144</v>
      </c>
      <c r="E24" s="12">
        <v>5.6999999999999993</v>
      </c>
      <c r="F24" s="12">
        <v>20</v>
      </c>
      <c r="G24" s="12">
        <v>5.6999999999999993</v>
      </c>
      <c r="H24" s="12">
        <v>4.7159090909090899</v>
      </c>
      <c r="I24" s="12" t="s">
        <v>82</v>
      </c>
      <c r="J24" s="6">
        <v>46300</v>
      </c>
      <c r="K24">
        <v>46300</v>
      </c>
      <c r="L24">
        <v>1.3891150227624929</v>
      </c>
      <c r="M24">
        <v>1.3891150227624929</v>
      </c>
      <c r="N24">
        <v>1.1492877480989523</v>
      </c>
      <c r="O24">
        <v>0.7198827912834237</v>
      </c>
      <c r="P24">
        <v>0.7198827912834237</v>
      </c>
      <c r="Q24">
        <v>0.82735247208931417</v>
      </c>
      <c r="R24">
        <v>1.2086746987951809</v>
      </c>
      <c r="S24">
        <v>1.2086746987951809</v>
      </c>
      <c r="T24">
        <v>0.87010411592232617</v>
      </c>
    </row>
    <row r="25" spans="1:20" x14ac:dyDescent="0.25">
      <c r="A25" s="12" t="s">
        <v>58</v>
      </c>
      <c r="B25" s="12" t="s">
        <v>37</v>
      </c>
      <c r="C25" s="12" t="s">
        <v>13</v>
      </c>
      <c r="D25" s="12">
        <v>11.544040441020975</v>
      </c>
      <c r="E25" s="12">
        <v>17.099999999999998</v>
      </c>
      <c r="F25" s="12">
        <v>20</v>
      </c>
      <c r="G25" s="12">
        <v>17.099999999999998</v>
      </c>
      <c r="H25" s="12">
        <v>12.1875</v>
      </c>
      <c r="I25" s="12" t="s">
        <v>84</v>
      </c>
      <c r="J25" s="6">
        <v>46300</v>
      </c>
      <c r="K25">
        <v>46300</v>
      </c>
      <c r="L25">
        <v>1.481283792045313</v>
      </c>
      <c r="M25">
        <v>1.481283792045313</v>
      </c>
      <c r="N25">
        <v>1.0557395447691378</v>
      </c>
      <c r="O25">
        <v>0.67509008427023254</v>
      </c>
      <c r="P25">
        <v>0.67509008427023254</v>
      </c>
      <c r="Q25">
        <v>0.71271929824561409</v>
      </c>
      <c r="R25">
        <v>1.4030769230769229</v>
      </c>
      <c r="S25">
        <v>1.4030769230769229</v>
      </c>
      <c r="T25">
        <v>0.9472033182376185</v>
      </c>
    </row>
    <row r="26" spans="1:20" x14ac:dyDescent="0.25">
      <c r="A26" s="12" t="s">
        <v>58</v>
      </c>
      <c r="B26" s="12" t="s">
        <v>37</v>
      </c>
      <c r="C26" s="12" t="s">
        <v>13</v>
      </c>
      <c r="D26" s="12">
        <v>11.407262710677127</v>
      </c>
      <c r="E26" s="12">
        <v>14.25</v>
      </c>
      <c r="F26" s="12">
        <v>20</v>
      </c>
      <c r="G26" s="12">
        <v>14.25</v>
      </c>
      <c r="H26" s="12">
        <v>9.375</v>
      </c>
      <c r="I26" s="12" t="s">
        <v>87</v>
      </c>
      <c r="J26" s="6">
        <v>46301</v>
      </c>
      <c r="K26">
        <v>46301</v>
      </c>
      <c r="L26">
        <v>1.2492041571605157</v>
      </c>
      <c r="M26">
        <v>1.2492041571605157</v>
      </c>
      <c r="N26">
        <v>0.82184484023718141</v>
      </c>
      <c r="O26">
        <v>0.80050966390716682</v>
      </c>
      <c r="P26">
        <v>0.80050966390716682</v>
      </c>
      <c r="Q26">
        <v>0.65789473684210531</v>
      </c>
      <c r="R26">
        <v>1.52</v>
      </c>
      <c r="S26">
        <v>1.52</v>
      </c>
      <c r="T26">
        <v>1.2167746891388935</v>
      </c>
    </row>
    <row r="27" spans="1:20" x14ac:dyDescent="0.25">
      <c r="A27" s="12" t="s">
        <v>58</v>
      </c>
      <c r="B27" s="12" t="s">
        <v>37</v>
      </c>
      <c r="C27" s="12" t="s">
        <v>15</v>
      </c>
      <c r="D27" s="12">
        <v>4.1033319103155144</v>
      </c>
      <c r="E27" s="12">
        <v>5.6999999999999993</v>
      </c>
      <c r="F27" s="12">
        <v>20</v>
      </c>
      <c r="G27" s="12">
        <v>5.6999999999999993</v>
      </c>
      <c r="H27" s="12">
        <v>4.6875</v>
      </c>
      <c r="I27" s="12" t="s">
        <v>86</v>
      </c>
      <c r="J27" s="6">
        <v>46301</v>
      </c>
      <c r="K27">
        <v>46301</v>
      </c>
      <c r="L27">
        <v>1.3891150227624929</v>
      </c>
      <c r="M27">
        <v>1.3891150227624929</v>
      </c>
      <c r="N27">
        <v>1.1423643279296818</v>
      </c>
      <c r="O27">
        <v>0.7198827912834237</v>
      </c>
      <c r="P27">
        <v>0.7198827912834237</v>
      </c>
      <c r="Q27">
        <v>0.82236842105263164</v>
      </c>
      <c r="R27">
        <v>1.2159999999999997</v>
      </c>
      <c r="S27">
        <v>1.2159999999999997</v>
      </c>
      <c r="T27">
        <v>0.87537747420064305</v>
      </c>
    </row>
    <row r="28" spans="1:20" x14ac:dyDescent="0.25">
      <c r="A28" s="12" t="s">
        <v>58</v>
      </c>
      <c r="B28" s="12" t="s">
        <v>37</v>
      </c>
      <c r="C28" s="12" t="s">
        <v>14</v>
      </c>
      <c r="D28" s="12">
        <v>10.668662966820335</v>
      </c>
      <c r="E28" s="12">
        <v>12.35</v>
      </c>
      <c r="F28" s="12">
        <v>20</v>
      </c>
      <c r="G28" s="12">
        <v>12.35</v>
      </c>
      <c r="H28" s="12">
        <v>12.1875</v>
      </c>
      <c r="I28" s="12" t="s">
        <v>85</v>
      </c>
      <c r="J28" s="6">
        <v>46301</v>
      </c>
      <c r="K28">
        <v>46301</v>
      </c>
      <c r="L28">
        <v>1.1575958523020777</v>
      </c>
      <c r="M28">
        <v>1.1575958523020777</v>
      </c>
      <c r="N28">
        <v>1.142364327929682</v>
      </c>
      <c r="O28">
        <v>0.86385934954010812</v>
      </c>
      <c r="P28">
        <v>0.86385934954010812</v>
      </c>
      <c r="Q28">
        <v>0.98684210526315796</v>
      </c>
      <c r="R28">
        <v>1.0133333333333332</v>
      </c>
      <c r="S28">
        <v>1.0133333333333332</v>
      </c>
      <c r="T28">
        <v>0.87537747420064294</v>
      </c>
    </row>
    <row r="29" spans="1:20" x14ac:dyDescent="0.25">
      <c r="A29" s="12" t="s">
        <v>58</v>
      </c>
      <c r="B29" s="12" t="s">
        <v>37</v>
      </c>
      <c r="C29" s="12" t="s">
        <v>14</v>
      </c>
      <c r="D29" s="12">
        <v>10.504529690407711</v>
      </c>
      <c r="E29" s="12">
        <v>12.35</v>
      </c>
      <c r="F29" s="12">
        <v>20</v>
      </c>
      <c r="G29" s="12">
        <v>12.35</v>
      </c>
      <c r="H29" s="12">
        <v>12.1875</v>
      </c>
      <c r="I29" s="12" t="s">
        <v>88</v>
      </c>
      <c r="J29" s="6">
        <v>46302</v>
      </c>
      <c r="K29">
        <v>46302</v>
      </c>
      <c r="L29">
        <v>1.1756832874942982</v>
      </c>
      <c r="M29">
        <v>1.1756832874942982</v>
      </c>
      <c r="N29">
        <v>1.1602137705535838</v>
      </c>
      <c r="O29">
        <v>0.85056920570102923</v>
      </c>
      <c r="P29">
        <v>0.85056920570102923</v>
      </c>
      <c r="Q29">
        <v>0.98684210526315796</v>
      </c>
      <c r="R29">
        <v>1.0133333333333332</v>
      </c>
      <c r="S29">
        <v>1.0133333333333332</v>
      </c>
      <c r="T29">
        <v>0.86191012844370962</v>
      </c>
    </row>
    <row r="30" spans="1:20" x14ac:dyDescent="0.25">
      <c r="A30" s="12" t="s">
        <v>58</v>
      </c>
      <c r="B30" s="12" t="s">
        <v>37</v>
      </c>
      <c r="C30" s="12" t="s">
        <v>15</v>
      </c>
      <c r="D30" s="12">
        <v>4.1033319103155144</v>
      </c>
      <c r="E30" s="12">
        <v>6.6499999999999995</v>
      </c>
      <c r="F30" s="12">
        <v>20</v>
      </c>
      <c r="G30" s="12">
        <v>6.6499999999999995</v>
      </c>
      <c r="H30" s="12">
        <v>5.625</v>
      </c>
      <c r="I30" s="12" t="s">
        <v>89</v>
      </c>
      <c r="J30" s="6">
        <v>46302</v>
      </c>
      <c r="K30">
        <v>46302</v>
      </c>
      <c r="L30">
        <v>1.6206341932229085</v>
      </c>
      <c r="M30">
        <v>1.6206341932229085</v>
      </c>
      <c r="N30">
        <v>1.3708371935156183</v>
      </c>
      <c r="O30">
        <v>0.61704239252864879</v>
      </c>
      <c r="P30">
        <v>0.61704239252864879</v>
      </c>
      <c r="Q30">
        <v>0.84586466165413543</v>
      </c>
      <c r="R30">
        <v>1.1822222222222221</v>
      </c>
      <c r="S30">
        <v>1.1822222222222221</v>
      </c>
      <c r="T30">
        <v>0.72948122850053587</v>
      </c>
    </row>
    <row r="31" spans="1:20" x14ac:dyDescent="0.25">
      <c r="A31" s="12" t="s">
        <v>58</v>
      </c>
      <c r="B31" s="12" t="s">
        <v>37</v>
      </c>
      <c r="C31" s="12" t="s">
        <v>13</v>
      </c>
      <c r="D31" s="12">
        <v>11.407262710677127</v>
      </c>
      <c r="E31" s="12">
        <v>15.2</v>
      </c>
      <c r="F31" s="12">
        <v>20</v>
      </c>
      <c r="G31" s="12">
        <v>15.2</v>
      </c>
      <c r="H31" s="12">
        <v>9.375</v>
      </c>
      <c r="I31" s="12" t="s">
        <v>90</v>
      </c>
      <c r="J31" s="6">
        <v>46302</v>
      </c>
      <c r="K31">
        <v>46302</v>
      </c>
      <c r="L31">
        <v>1.3324844343045499</v>
      </c>
      <c r="M31">
        <v>1.3324844343045499</v>
      </c>
      <c r="N31">
        <v>0.82184484023718141</v>
      </c>
      <c r="O31">
        <v>0.75047780991296897</v>
      </c>
      <c r="P31">
        <v>0.75047780991296897</v>
      </c>
      <c r="Q31">
        <v>0.61677631578947367</v>
      </c>
      <c r="R31">
        <v>1.6213333333333333</v>
      </c>
      <c r="S31">
        <v>1.6213333333333333</v>
      </c>
      <c r="T31">
        <v>1.2167746891388935</v>
      </c>
    </row>
    <row r="32" spans="1:20" x14ac:dyDescent="0.25">
      <c r="A32" s="12" t="s">
        <v>58</v>
      </c>
      <c r="B32" s="12" t="s">
        <v>37</v>
      </c>
      <c r="C32" s="12" t="s">
        <v>15</v>
      </c>
      <c r="D32" s="12">
        <v>4.1033319103155135</v>
      </c>
      <c r="E32" s="12">
        <v>7.6</v>
      </c>
      <c r="F32" s="12">
        <v>20</v>
      </c>
      <c r="G32" s="12">
        <v>7.6</v>
      </c>
      <c r="H32" s="12">
        <v>5.46875</v>
      </c>
      <c r="I32" s="12" t="s">
        <v>92</v>
      </c>
      <c r="J32" s="6">
        <v>46303</v>
      </c>
      <c r="K32">
        <v>46303</v>
      </c>
      <c r="L32">
        <v>1.8521533636833245</v>
      </c>
      <c r="M32">
        <v>1.8521533636833245</v>
      </c>
      <c r="N32">
        <v>1.332758382584629</v>
      </c>
      <c r="O32">
        <v>0.53991209346256763</v>
      </c>
      <c r="P32">
        <v>0.53991209346256763</v>
      </c>
      <c r="Q32">
        <v>0.71957236842105265</v>
      </c>
      <c r="R32">
        <v>1.3897142857142857</v>
      </c>
      <c r="S32">
        <v>1.3897142857142857</v>
      </c>
      <c r="T32">
        <v>0.7503235493148368</v>
      </c>
    </row>
    <row r="33" spans="1:20" x14ac:dyDescent="0.25">
      <c r="A33" s="12" t="s">
        <v>58</v>
      </c>
      <c r="B33" s="12" t="s">
        <v>37</v>
      </c>
      <c r="C33" s="12" t="s">
        <v>14</v>
      </c>
      <c r="D33" s="12">
        <v>10.668662966820335</v>
      </c>
      <c r="E33" s="12">
        <v>13.3</v>
      </c>
      <c r="F33" s="12">
        <v>20</v>
      </c>
      <c r="G33" s="12">
        <v>13.3</v>
      </c>
      <c r="H33" s="12">
        <v>13.125</v>
      </c>
      <c r="I33" s="12" t="s">
        <v>91</v>
      </c>
      <c r="J33" s="6">
        <v>46303</v>
      </c>
      <c r="K33">
        <v>46303</v>
      </c>
      <c r="L33">
        <v>1.2466416870945451</v>
      </c>
      <c r="M33">
        <v>1.2466416870945451</v>
      </c>
      <c r="N33">
        <v>1.2302385070011961</v>
      </c>
      <c r="O33">
        <v>0.80215511028724329</v>
      </c>
      <c r="P33">
        <v>0.80215511028724329</v>
      </c>
      <c r="Q33">
        <v>0.98684210526315796</v>
      </c>
      <c r="R33">
        <v>1.0133333333333332</v>
      </c>
      <c r="S33">
        <v>1.0133333333333332</v>
      </c>
      <c r="T33">
        <v>0.81285051175773981</v>
      </c>
    </row>
    <row r="34" spans="1:20" x14ac:dyDescent="0.25">
      <c r="A34" s="12" t="s">
        <v>58</v>
      </c>
      <c r="B34" s="12" t="s">
        <v>37</v>
      </c>
      <c r="C34" s="12" t="s">
        <v>13</v>
      </c>
      <c r="D34" s="12">
        <v>11.407262710677127</v>
      </c>
      <c r="E34" s="12">
        <v>17.099999999999998</v>
      </c>
      <c r="F34" s="12">
        <v>20</v>
      </c>
      <c r="G34" s="12">
        <v>17.099999999999998</v>
      </c>
      <c r="H34" s="12">
        <v>12.1875</v>
      </c>
      <c r="I34" s="12" t="s">
        <v>93</v>
      </c>
      <c r="J34" s="6">
        <v>46303</v>
      </c>
      <c r="K34">
        <v>46303</v>
      </c>
      <c r="L34">
        <v>1.4990449885926187</v>
      </c>
      <c r="M34">
        <v>1.4990449885926187</v>
      </c>
      <c r="N34">
        <v>1.0683982923083357</v>
      </c>
      <c r="O34">
        <v>0.66709138658930578</v>
      </c>
      <c r="P34">
        <v>0.66709138658930578</v>
      </c>
      <c r="Q34">
        <v>0.71271929824561409</v>
      </c>
      <c r="R34">
        <v>1.4030769230769229</v>
      </c>
      <c r="S34">
        <v>1.4030769230769229</v>
      </c>
      <c r="T34">
        <v>0.93598053010684124</v>
      </c>
    </row>
    <row r="35" spans="1:20" x14ac:dyDescent="0.25">
      <c r="A35" s="12" t="s">
        <v>58</v>
      </c>
      <c r="B35" s="12" t="s">
        <v>37</v>
      </c>
      <c r="C35" s="12" t="s">
        <v>15</v>
      </c>
      <c r="D35" s="12">
        <v>4.1033319103155144</v>
      </c>
      <c r="E35" s="12">
        <v>6.6499999999999995</v>
      </c>
      <c r="F35" s="12">
        <v>20</v>
      </c>
      <c r="G35" s="12">
        <v>6.6499999999999995</v>
      </c>
      <c r="H35" s="12">
        <v>5.625</v>
      </c>
      <c r="I35" s="12" t="s">
        <v>96</v>
      </c>
      <c r="J35" s="6">
        <v>46304</v>
      </c>
      <c r="K35">
        <v>46304</v>
      </c>
      <c r="L35">
        <v>1.6206341932229085</v>
      </c>
      <c r="M35">
        <v>1.6206341932229085</v>
      </c>
      <c r="N35">
        <v>1.3708371935156183</v>
      </c>
      <c r="O35">
        <v>0.61704239252864879</v>
      </c>
      <c r="P35">
        <v>0.61704239252864879</v>
      </c>
      <c r="Q35">
        <v>0.84586466165413543</v>
      </c>
      <c r="R35">
        <v>1.1822222222222221</v>
      </c>
      <c r="S35">
        <v>1.1822222222222221</v>
      </c>
      <c r="T35">
        <v>0.72948122850053587</v>
      </c>
    </row>
    <row r="36" spans="1:20" x14ac:dyDescent="0.25">
      <c r="A36" s="12" t="s">
        <v>58</v>
      </c>
      <c r="B36" s="12" t="s">
        <v>37</v>
      </c>
      <c r="C36" s="12" t="s">
        <v>14</v>
      </c>
      <c r="D36" s="12">
        <v>10.723374058957877</v>
      </c>
      <c r="E36" s="12">
        <v>14.25</v>
      </c>
      <c r="F36" s="12">
        <v>20</v>
      </c>
      <c r="G36" s="12">
        <v>14.25</v>
      </c>
      <c r="H36" s="12">
        <v>13.128676470588236</v>
      </c>
      <c r="I36" s="12" t="s">
        <v>94</v>
      </c>
      <c r="J36" s="6">
        <v>46304</v>
      </c>
      <c r="K36">
        <v>46304</v>
      </c>
      <c r="L36">
        <v>1.3288727896324872</v>
      </c>
      <c r="M36">
        <v>1.3288727896324872</v>
      </c>
      <c r="N36">
        <v>1.2243046263616129</v>
      </c>
      <c r="O36">
        <v>0.75251747782160539</v>
      </c>
      <c r="P36">
        <v>0.75251747782160539</v>
      </c>
      <c r="Q36">
        <v>0.9213106295149639</v>
      </c>
      <c r="R36">
        <v>1.0854102492299076</v>
      </c>
      <c r="S36">
        <v>1.0854102492299076</v>
      </c>
      <c r="T36">
        <v>0.81679018315221008</v>
      </c>
    </row>
    <row r="37" spans="1:20" x14ac:dyDescent="0.25">
      <c r="A37" s="12" t="s">
        <v>58</v>
      </c>
      <c r="B37" s="12" t="s">
        <v>37</v>
      </c>
      <c r="C37" s="12" t="s">
        <v>13</v>
      </c>
      <c r="D37" s="12">
        <v>10.668662966820335</v>
      </c>
      <c r="E37" s="12">
        <v>18.05</v>
      </c>
      <c r="F37" s="12">
        <v>20</v>
      </c>
      <c r="G37" s="12">
        <v>18.05</v>
      </c>
      <c r="H37" s="12">
        <v>12.246323529411764</v>
      </c>
      <c r="I37" s="12" t="s">
        <v>95</v>
      </c>
      <c r="J37" s="6">
        <v>46304</v>
      </c>
      <c r="K37">
        <v>46304</v>
      </c>
      <c r="L37">
        <v>1.6918708610568831</v>
      </c>
      <c r="M37">
        <v>1.6918708610568831</v>
      </c>
      <c r="N37">
        <v>1.1478780019106398</v>
      </c>
      <c r="O37">
        <v>0.59106166021165285</v>
      </c>
      <c r="P37">
        <v>0.59106166021165285</v>
      </c>
      <c r="Q37">
        <v>0.67846667752973766</v>
      </c>
      <c r="R37">
        <v>1.4739117382167517</v>
      </c>
      <c r="S37">
        <v>1.4739117382167517</v>
      </c>
      <c r="T37">
        <v>0.87117271899583648</v>
      </c>
    </row>
    <row r="38" spans="1:20" x14ac:dyDescent="0.25">
      <c r="A38" s="12" t="s">
        <v>58</v>
      </c>
      <c r="B38" s="12" t="s">
        <v>37</v>
      </c>
      <c r="C38" s="12" t="s">
        <v>14</v>
      </c>
      <c r="D38" s="12">
        <v>10.668662966820335</v>
      </c>
      <c r="E38" s="12">
        <v>12.35</v>
      </c>
      <c r="F38" s="12">
        <v>20</v>
      </c>
      <c r="G38" s="12">
        <v>12.35</v>
      </c>
      <c r="H38" s="12">
        <v>12.1875</v>
      </c>
      <c r="I38" s="12" t="s">
        <v>97</v>
      </c>
      <c r="J38" s="6">
        <v>46305</v>
      </c>
      <c r="K38">
        <v>46305</v>
      </c>
      <c r="L38">
        <v>1.1575958523020777</v>
      </c>
      <c r="M38">
        <v>1.1575958523020777</v>
      </c>
      <c r="N38">
        <v>1.142364327929682</v>
      </c>
      <c r="O38">
        <v>0.86385934954010812</v>
      </c>
      <c r="P38">
        <v>0.86385934954010812</v>
      </c>
      <c r="Q38">
        <v>0.98684210526315796</v>
      </c>
      <c r="R38">
        <v>1.0133333333333332</v>
      </c>
      <c r="S38">
        <v>1.0133333333333332</v>
      </c>
      <c r="T38">
        <v>0.87537747420064294</v>
      </c>
    </row>
    <row r="39" spans="1:20" x14ac:dyDescent="0.25">
      <c r="A39" s="12" t="s">
        <v>58</v>
      </c>
      <c r="B39" s="12" t="s">
        <v>37</v>
      </c>
      <c r="C39" s="12" t="s">
        <v>15</v>
      </c>
      <c r="D39" s="12">
        <v>4.1033319103155144</v>
      </c>
      <c r="E39" s="12">
        <v>4.75</v>
      </c>
      <c r="F39" s="12">
        <v>20</v>
      </c>
      <c r="G39" s="12">
        <v>4.75</v>
      </c>
      <c r="H39" s="12">
        <v>4.6875</v>
      </c>
      <c r="I39" s="12" t="s">
        <v>99</v>
      </c>
      <c r="J39" s="6">
        <v>46305</v>
      </c>
      <c r="K39">
        <v>46305</v>
      </c>
      <c r="L39">
        <v>1.1575958523020775</v>
      </c>
      <c r="M39">
        <v>1.1575958523020775</v>
      </c>
      <c r="N39">
        <v>1.1423643279296818</v>
      </c>
      <c r="O39">
        <v>0.86385934954010823</v>
      </c>
      <c r="P39">
        <v>0.86385934954010823</v>
      </c>
      <c r="Q39">
        <v>0.98684210526315785</v>
      </c>
      <c r="R39">
        <v>1.0133333333333334</v>
      </c>
      <c r="S39">
        <v>1.0133333333333334</v>
      </c>
      <c r="T39">
        <v>0.87537747420064305</v>
      </c>
    </row>
    <row r="40" spans="1:20" x14ac:dyDescent="0.25">
      <c r="A40" s="12" t="s">
        <v>58</v>
      </c>
      <c r="B40" s="12" t="s">
        <v>37</v>
      </c>
      <c r="C40" s="12" t="s">
        <v>13</v>
      </c>
      <c r="D40" s="12">
        <v>10.723374058957878</v>
      </c>
      <c r="E40" s="12">
        <v>15.2</v>
      </c>
      <c r="F40" s="12">
        <v>20</v>
      </c>
      <c r="G40" s="12">
        <v>15.2</v>
      </c>
      <c r="H40" s="12">
        <v>11.25</v>
      </c>
      <c r="I40" s="12" t="s">
        <v>98</v>
      </c>
      <c r="J40" s="6">
        <v>46305</v>
      </c>
      <c r="K40">
        <v>46305</v>
      </c>
      <c r="L40">
        <v>1.4174643089413193</v>
      </c>
      <c r="M40">
        <v>1.4174643089413193</v>
      </c>
      <c r="N40">
        <v>1.0491100970782792</v>
      </c>
      <c r="O40">
        <v>0.70548513545775515</v>
      </c>
      <c r="P40">
        <v>0.70548513545775515</v>
      </c>
      <c r="Q40">
        <v>0.74013157894736847</v>
      </c>
      <c r="R40">
        <v>1.3511111111111112</v>
      </c>
      <c r="S40">
        <v>1.3511111111111112</v>
      </c>
      <c r="T40">
        <v>0.95318880524070027</v>
      </c>
    </row>
    <row r="41" spans="1:20" x14ac:dyDescent="0.25">
      <c r="A41" s="12" t="s">
        <v>58</v>
      </c>
      <c r="B41" s="12" t="s">
        <v>37</v>
      </c>
      <c r="C41" s="12" t="s">
        <v>15</v>
      </c>
      <c r="D41" s="12">
        <v>4.1033319103155144</v>
      </c>
      <c r="E41" s="12">
        <v>5.6999999999999993</v>
      </c>
      <c r="F41" s="12">
        <v>20</v>
      </c>
      <c r="G41" s="12">
        <v>5.6999999999999993</v>
      </c>
      <c r="H41" s="12">
        <v>4.6875</v>
      </c>
      <c r="I41" s="12" t="s">
        <v>101</v>
      </c>
      <c r="J41" s="6">
        <v>46306</v>
      </c>
      <c r="K41">
        <v>46306</v>
      </c>
      <c r="L41">
        <v>1.3891150227624929</v>
      </c>
      <c r="M41">
        <v>1.3891150227624929</v>
      </c>
      <c r="N41">
        <v>1.1423643279296818</v>
      </c>
      <c r="O41">
        <v>0.7198827912834237</v>
      </c>
      <c r="P41">
        <v>0.7198827912834237</v>
      </c>
      <c r="Q41">
        <v>0.82236842105263164</v>
      </c>
      <c r="R41">
        <v>1.2159999999999997</v>
      </c>
      <c r="S41">
        <v>1.2159999999999997</v>
      </c>
      <c r="T41">
        <v>0.87537747420064305</v>
      </c>
    </row>
    <row r="42" spans="1:20" x14ac:dyDescent="0.25">
      <c r="A42" s="12" t="s">
        <v>58</v>
      </c>
      <c r="B42" s="12" t="s">
        <v>37</v>
      </c>
      <c r="C42" s="12" t="s">
        <v>13</v>
      </c>
      <c r="D42" s="12">
        <v>10.668662966820335</v>
      </c>
      <c r="E42" s="12">
        <v>17.099999999999998</v>
      </c>
      <c r="F42" s="12">
        <v>20</v>
      </c>
      <c r="G42" s="12">
        <v>17.099999999999998</v>
      </c>
      <c r="H42" s="12">
        <v>12.1875</v>
      </c>
      <c r="I42" s="12" t="s">
        <v>102</v>
      </c>
      <c r="J42" s="6">
        <v>46306</v>
      </c>
      <c r="K42">
        <v>46306</v>
      </c>
      <c r="L42">
        <v>1.6028250262644153</v>
      </c>
      <c r="M42">
        <v>1.6028250262644153</v>
      </c>
      <c r="N42">
        <v>1.142364327929682</v>
      </c>
      <c r="O42">
        <v>0.62389841911230037</v>
      </c>
      <c r="P42">
        <v>0.62389841911230037</v>
      </c>
      <c r="Q42">
        <v>0.71271929824561409</v>
      </c>
      <c r="R42">
        <v>1.4030769230769229</v>
      </c>
      <c r="S42">
        <v>1.4030769230769229</v>
      </c>
      <c r="T42">
        <v>0.87537747420064294</v>
      </c>
    </row>
    <row r="43" spans="1:20" x14ac:dyDescent="0.25">
      <c r="A43" s="12" t="s">
        <v>58</v>
      </c>
      <c r="B43" s="12" t="s">
        <v>37</v>
      </c>
      <c r="C43" s="12" t="s">
        <v>14</v>
      </c>
      <c r="D43" s="12">
        <v>10.668662966820335</v>
      </c>
      <c r="E43" s="12">
        <v>13.3</v>
      </c>
      <c r="F43" s="12">
        <v>20</v>
      </c>
      <c r="G43" s="12">
        <v>13.3</v>
      </c>
      <c r="H43" s="12">
        <v>12.1875</v>
      </c>
      <c r="I43" s="12" t="s">
        <v>100</v>
      </c>
      <c r="J43" s="6">
        <v>46306</v>
      </c>
      <c r="K43">
        <v>46306</v>
      </c>
      <c r="L43">
        <v>1.2466416870945451</v>
      </c>
      <c r="M43">
        <v>1.2466416870945451</v>
      </c>
      <c r="N43">
        <v>1.142364327929682</v>
      </c>
      <c r="O43">
        <v>0.80215511028724329</v>
      </c>
      <c r="P43">
        <v>0.80215511028724329</v>
      </c>
      <c r="Q43">
        <v>0.9163533834586467</v>
      </c>
      <c r="R43">
        <v>1.0912820512820511</v>
      </c>
      <c r="S43">
        <v>1.0912820512820511</v>
      </c>
      <c r="T43">
        <v>0.87537747420064294</v>
      </c>
    </row>
    <row r="44" spans="1:20" x14ac:dyDescent="0.25">
      <c r="A44" s="12" t="s">
        <v>58</v>
      </c>
      <c r="B44" s="12" t="s">
        <v>37</v>
      </c>
      <c r="C44" s="12" t="s">
        <v>15</v>
      </c>
      <c r="D44" s="12">
        <v>4.1033319103155144</v>
      </c>
      <c r="E44" s="12">
        <v>5.6999999999999993</v>
      </c>
      <c r="F44" s="12">
        <v>20</v>
      </c>
      <c r="G44" s="12">
        <v>5.6999999999999993</v>
      </c>
      <c r="H44" s="12">
        <v>4.6875</v>
      </c>
      <c r="I44" s="12" t="s">
        <v>104</v>
      </c>
      <c r="J44" s="6">
        <v>46307</v>
      </c>
      <c r="K44">
        <v>46307</v>
      </c>
      <c r="L44">
        <v>1.3891150227624929</v>
      </c>
      <c r="M44">
        <v>1.3891150227624929</v>
      </c>
      <c r="N44">
        <v>1.1423643279296818</v>
      </c>
      <c r="O44">
        <v>0.7198827912834237</v>
      </c>
      <c r="P44">
        <v>0.7198827912834237</v>
      </c>
      <c r="Q44">
        <v>0.82236842105263164</v>
      </c>
      <c r="R44">
        <v>1.2159999999999997</v>
      </c>
      <c r="S44">
        <v>1.2159999999999997</v>
      </c>
      <c r="T44">
        <v>0.87537747420064305</v>
      </c>
    </row>
    <row r="45" spans="1:20" x14ac:dyDescent="0.25">
      <c r="A45" s="12" t="s">
        <v>58</v>
      </c>
      <c r="B45" s="12" t="s">
        <v>37</v>
      </c>
      <c r="C45" s="12" t="s">
        <v>14</v>
      </c>
      <c r="D45" s="12">
        <v>10.668662966820335</v>
      </c>
      <c r="E45" s="12">
        <v>13.3</v>
      </c>
      <c r="F45" s="12">
        <v>20</v>
      </c>
      <c r="G45" s="12">
        <v>13.3</v>
      </c>
      <c r="H45" s="12">
        <v>12.246323529411764</v>
      </c>
      <c r="I45" s="12" t="s">
        <v>103</v>
      </c>
      <c r="J45" s="6">
        <v>46307</v>
      </c>
      <c r="K45">
        <v>46307</v>
      </c>
      <c r="L45">
        <v>1.2466416870945451</v>
      </c>
      <c r="M45">
        <v>1.2466416870945451</v>
      </c>
      <c r="N45">
        <v>1.1478780019106398</v>
      </c>
      <c r="O45">
        <v>0.80215511028724329</v>
      </c>
      <c r="P45">
        <v>0.80215511028724329</v>
      </c>
      <c r="Q45">
        <v>0.92077620521892978</v>
      </c>
      <c r="R45">
        <v>1.0860402281597117</v>
      </c>
      <c r="S45">
        <v>1.0860402281597117</v>
      </c>
      <c r="T45">
        <v>0.87117271899583648</v>
      </c>
    </row>
    <row r="46" spans="1:20" x14ac:dyDescent="0.25">
      <c r="A46" s="12" t="s">
        <v>58</v>
      </c>
      <c r="B46" s="12" t="s">
        <v>37</v>
      </c>
      <c r="C46" s="12" t="s">
        <v>13</v>
      </c>
      <c r="D46" s="12">
        <v>11.544040441020975</v>
      </c>
      <c r="E46" s="12">
        <v>15.2</v>
      </c>
      <c r="F46" s="12">
        <v>20</v>
      </c>
      <c r="G46" s="12">
        <v>15.2</v>
      </c>
      <c r="H46" s="12">
        <v>10.316176470588236</v>
      </c>
      <c r="I46" s="12" t="s">
        <v>105</v>
      </c>
      <c r="J46" s="6">
        <v>46307</v>
      </c>
      <c r="K46">
        <v>46307</v>
      </c>
      <c r="L46">
        <v>1.3166967040402784</v>
      </c>
      <c r="M46">
        <v>1.3166967040402784</v>
      </c>
      <c r="N46">
        <v>0.89363654981061857</v>
      </c>
      <c r="O46">
        <v>0.7594763448040116</v>
      </c>
      <c r="P46">
        <v>0.7594763448040116</v>
      </c>
      <c r="Q46">
        <v>0.67869582043343657</v>
      </c>
      <c r="R46">
        <v>1.4734141126158231</v>
      </c>
      <c r="S46">
        <v>1.4734141126158231</v>
      </c>
      <c r="T46">
        <v>1.1190231646321116</v>
      </c>
    </row>
    <row r="47" spans="1:20" x14ac:dyDescent="0.25">
      <c r="A47" s="12" t="s">
        <v>58</v>
      </c>
      <c r="B47" s="12" t="s">
        <v>37</v>
      </c>
      <c r="C47" s="12" t="s">
        <v>14</v>
      </c>
      <c r="D47" s="12">
        <v>10.668662966820335</v>
      </c>
      <c r="E47" s="12">
        <v>12.35</v>
      </c>
      <c r="F47" s="12">
        <v>20</v>
      </c>
      <c r="G47" s="12">
        <v>12.35</v>
      </c>
      <c r="H47" s="12">
        <v>12.1875</v>
      </c>
      <c r="I47" s="12" t="s">
        <v>107</v>
      </c>
      <c r="J47" s="6">
        <v>46308</v>
      </c>
      <c r="K47">
        <v>46308</v>
      </c>
      <c r="L47">
        <v>1.1575958523020777</v>
      </c>
      <c r="M47">
        <v>1.1575958523020777</v>
      </c>
      <c r="N47">
        <v>1.142364327929682</v>
      </c>
      <c r="O47">
        <v>0.86385934954010812</v>
      </c>
      <c r="P47">
        <v>0.86385934954010812</v>
      </c>
      <c r="Q47">
        <v>0.98684210526315796</v>
      </c>
      <c r="R47">
        <v>1.0133333333333332</v>
      </c>
      <c r="S47">
        <v>1.0133333333333332</v>
      </c>
      <c r="T47">
        <v>0.87537747420064294</v>
      </c>
    </row>
    <row r="48" spans="1:20" x14ac:dyDescent="0.25">
      <c r="A48" s="12" t="s">
        <v>58</v>
      </c>
      <c r="B48" s="12" t="s">
        <v>37</v>
      </c>
      <c r="C48" s="12" t="s">
        <v>15</v>
      </c>
      <c r="D48" s="12">
        <v>4.1033319103155144</v>
      </c>
      <c r="E48" s="12">
        <v>5.6999999999999993</v>
      </c>
      <c r="F48" s="12">
        <v>20</v>
      </c>
      <c r="G48" s="12">
        <v>5.6999999999999993</v>
      </c>
      <c r="H48" s="12">
        <v>4.6875</v>
      </c>
      <c r="I48" s="12" t="s">
        <v>106</v>
      </c>
      <c r="J48" s="6">
        <v>46308</v>
      </c>
      <c r="K48">
        <v>46308</v>
      </c>
      <c r="L48">
        <v>1.3891150227624929</v>
      </c>
      <c r="M48">
        <v>1.3891150227624929</v>
      </c>
      <c r="N48">
        <v>1.1423643279296818</v>
      </c>
      <c r="O48">
        <v>0.7198827912834237</v>
      </c>
      <c r="P48">
        <v>0.7198827912834237</v>
      </c>
      <c r="Q48">
        <v>0.82236842105263164</v>
      </c>
      <c r="R48">
        <v>1.2159999999999997</v>
      </c>
      <c r="S48">
        <v>1.2159999999999997</v>
      </c>
      <c r="T48">
        <v>0.87537747420064305</v>
      </c>
    </row>
    <row r="49" spans="1:20" x14ac:dyDescent="0.25">
      <c r="A49" s="12" t="s">
        <v>58</v>
      </c>
      <c r="B49" s="12" t="s">
        <v>37</v>
      </c>
      <c r="C49" s="12" t="s">
        <v>13</v>
      </c>
      <c r="D49" s="12">
        <v>12.665617829840556</v>
      </c>
      <c r="E49" s="12">
        <v>17.099999999999998</v>
      </c>
      <c r="F49" s="12">
        <v>20</v>
      </c>
      <c r="G49" s="12">
        <v>17.099999999999998</v>
      </c>
      <c r="H49" s="12">
        <v>13.531249999999998</v>
      </c>
      <c r="I49" s="12" t="s">
        <v>108</v>
      </c>
      <c r="J49" s="6">
        <v>46308</v>
      </c>
      <c r="K49">
        <v>46308</v>
      </c>
      <c r="L49">
        <v>1.3501117931816884</v>
      </c>
      <c r="M49">
        <v>1.3501117931816884</v>
      </c>
      <c r="N49">
        <v>1.0683450410227906</v>
      </c>
      <c r="O49">
        <v>0.7406794052538338</v>
      </c>
      <c r="P49">
        <v>0.7406794052538338</v>
      </c>
      <c r="Q49">
        <v>0.79130116959064323</v>
      </c>
      <c r="R49">
        <v>1.2637413394919168</v>
      </c>
      <c r="S49">
        <v>1.2637413394919168</v>
      </c>
      <c r="T49">
        <v>0.93602718372955629</v>
      </c>
    </row>
    <row r="50" spans="1:20" x14ac:dyDescent="0.25">
      <c r="A50" s="12" t="s">
        <v>58</v>
      </c>
      <c r="B50" s="12" t="s">
        <v>37</v>
      </c>
      <c r="C50" s="12" t="s">
        <v>14</v>
      </c>
      <c r="D50" s="12">
        <v>10.504529690407708</v>
      </c>
      <c r="E50" s="12">
        <v>12.35</v>
      </c>
      <c r="F50" s="12">
        <v>20</v>
      </c>
      <c r="G50" s="12">
        <v>12.35</v>
      </c>
      <c r="H50" s="12">
        <v>11.691176470588234</v>
      </c>
      <c r="I50" s="12" t="s">
        <v>110</v>
      </c>
      <c r="J50" s="6">
        <v>46309</v>
      </c>
      <c r="K50">
        <v>46309</v>
      </c>
      <c r="L50">
        <v>1.1756832874942986</v>
      </c>
      <c r="M50">
        <v>1.1756832874942986</v>
      </c>
      <c r="N50">
        <v>1.1129652459609041</v>
      </c>
      <c r="O50">
        <v>0.85056920570102901</v>
      </c>
      <c r="P50">
        <v>0.85056920570102901</v>
      </c>
      <c r="Q50">
        <v>0.94665396522981649</v>
      </c>
      <c r="R50">
        <v>1.0563522012578617</v>
      </c>
      <c r="S50">
        <v>1.0563522012578617</v>
      </c>
      <c r="T50">
        <v>0.89850065276443303</v>
      </c>
    </row>
    <row r="51" spans="1:20" x14ac:dyDescent="0.25">
      <c r="A51" s="12" t="s">
        <v>58</v>
      </c>
      <c r="B51" s="12" t="s">
        <v>37</v>
      </c>
      <c r="C51" s="12" t="s">
        <v>15</v>
      </c>
      <c r="D51" s="12">
        <v>4.1033319103155144</v>
      </c>
      <c r="E51" s="12">
        <v>6.6499999999999995</v>
      </c>
      <c r="F51" s="12">
        <v>20</v>
      </c>
      <c r="G51" s="12">
        <v>6.6499999999999995</v>
      </c>
      <c r="H51" s="12">
        <v>4.6875</v>
      </c>
      <c r="I51" s="12" t="s">
        <v>109</v>
      </c>
      <c r="J51" s="6">
        <v>46309</v>
      </c>
      <c r="K51">
        <v>46309</v>
      </c>
      <c r="L51">
        <v>1.6206341932229085</v>
      </c>
      <c r="M51">
        <v>1.6206341932229085</v>
      </c>
      <c r="N51">
        <v>1.1423643279296818</v>
      </c>
      <c r="O51">
        <v>0.61704239252864879</v>
      </c>
      <c r="P51">
        <v>0.61704239252864879</v>
      </c>
      <c r="Q51">
        <v>0.70488721804511278</v>
      </c>
      <c r="R51">
        <v>1.4186666666666665</v>
      </c>
      <c r="S51">
        <v>1.4186666666666665</v>
      </c>
      <c r="T51">
        <v>0.87537747420064305</v>
      </c>
    </row>
    <row r="52" spans="1:20" x14ac:dyDescent="0.25">
      <c r="A52" s="12" t="s">
        <v>58</v>
      </c>
      <c r="B52" s="12" t="s">
        <v>37</v>
      </c>
      <c r="C52" s="12" t="s">
        <v>13</v>
      </c>
      <c r="D52" s="12">
        <v>12.227929092740236</v>
      </c>
      <c r="E52" s="12">
        <v>18.05</v>
      </c>
      <c r="F52" s="12">
        <v>20</v>
      </c>
      <c r="G52" s="12">
        <v>18.05</v>
      </c>
      <c r="H52" s="12">
        <v>13.090073529411764</v>
      </c>
      <c r="I52" s="12" t="s">
        <v>111</v>
      </c>
      <c r="J52" s="6">
        <v>46309</v>
      </c>
      <c r="K52">
        <v>46309</v>
      </c>
      <c r="L52">
        <v>1.4761289391771455</v>
      </c>
      <c r="M52">
        <v>1.4761289391771455</v>
      </c>
      <c r="N52">
        <v>1.0705061691258404</v>
      </c>
      <c r="O52">
        <v>0.677447595165664</v>
      </c>
      <c r="P52">
        <v>0.677447595165664</v>
      </c>
      <c r="Q52">
        <v>0.72521182988430821</v>
      </c>
      <c r="R52">
        <v>1.3789074568178628</v>
      </c>
      <c r="S52">
        <v>1.3789074568178628</v>
      </c>
      <c r="T52">
        <v>0.93413754057726284</v>
      </c>
    </row>
    <row r="53" spans="1:20" x14ac:dyDescent="0.25">
      <c r="A53" s="12" t="s">
        <v>58</v>
      </c>
      <c r="B53" s="12" t="s">
        <v>37</v>
      </c>
      <c r="C53" s="12" t="s">
        <v>15</v>
      </c>
      <c r="D53" s="12">
        <v>4.1033319103155144</v>
      </c>
      <c r="E53" s="12">
        <v>5.6999999999999993</v>
      </c>
      <c r="F53" s="12">
        <v>20</v>
      </c>
      <c r="G53" s="12">
        <v>5.6999999999999993</v>
      </c>
      <c r="H53" s="12">
        <v>4.6875</v>
      </c>
      <c r="I53" s="12" t="s">
        <v>112</v>
      </c>
      <c r="J53" s="6">
        <v>46310</v>
      </c>
      <c r="K53">
        <v>46310</v>
      </c>
      <c r="L53">
        <v>1.3891150227624929</v>
      </c>
      <c r="M53">
        <v>1.3891150227624929</v>
      </c>
      <c r="N53">
        <v>1.1423643279296818</v>
      </c>
      <c r="O53">
        <v>0.7198827912834237</v>
      </c>
      <c r="P53">
        <v>0.7198827912834237</v>
      </c>
      <c r="Q53">
        <v>0.82236842105263164</v>
      </c>
      <c r="R53">
        <v>1.2159999999999997</v>
      </c>
      <c r="S53">
        <v>1.2159999999999997</v>
      </c>
      <c r="T53">
        <v>0.87537747420064305</v>
      </c>
    </row>
    <row r="54" spans="1:20" x14ac:dyDescent="0.25">
      <c r="A54" s="12" t="s">
        <v>58</v>
      </c>
      <c r="B54" s="12" t="s">
        <v>37</v>
      </c>
      <c r="C54" s="12" t="s">
        <v>14</v>
      </c>
      <c r="D54" s="12">
        <v>10.668662966820332</v>
      </c>
      <c r="E54" s="12">
        <v>12.35</v>
      </c>
      <c r="F54" s="12">
        <v>20</v>
      </c>
      <c r="G54" s="12">
        <v>12.35</v>
      </c>
      <c r="H54" s="12">
        <v>12.1875</v>
      </c>
      <c r="I54" s="12" t="s">
        <v>113</v>
      </c>
      <c r="J54" s="6">
        <v>46310</v>
      </c>
      <c r="K54">
        <v>46310</v>
      </c>
      <c r="L54">
        <v>1.1575958523020782</v>
      </c>
      <c r="M54">
        <v>1.1575958523020782</v>
      </c>
      <c r="N54">
        <v>1.1423643279296825</v>
      </c>
      <c r="O54">
        <v>0.8638593495401079</v>
      </c>
      <c r="P54">
        <v>0.8638593495401079</v>
      </c>
      <c r="Q54">
        <v>0.98684210526315796</v>
      </c>
      <c r="R54">
        <v>1.0133333333333332</v>
      </c>
      <c r="S54">
        <v>1.0133333333333332</v>
      </c>
      <c r="T54">
        <v>0.8753774742006426</v>
      </c>
    </row>
    <row r="55" spans="1:20" x14ac:dyDescent="0.25">
      <c r="A55" s="12" t="s">
        <v>58</v>
      </c>
      <c r="B55" s="12" t="s">
        <v>37</v>
      </c>
      <c r="C55" s="12" t="s">
        <v>13</v>
      </c>
      <c r="D55" s="12">
        <v>11.407262710677127</v>
      </c>
      <c r="E55" s="12">
        <v>18.05</v>
      </c>
      <c r="F55" s="12">
        <v>20</v>
      </c>
      <c r="G55" s="12">
        <v>18.05</v>
      </c>
      <c r="H55" s="12">
        <v>12.09375</v>
      </c>
      <c r="I55" s="12" t="s">
        <v>114</v>
      </c>
      <c r="J55" s="6">
        <v>46310</v>
      </c>
      <c r="K55">
        <v>46310</v>
      </c>
      <c r="L55">
        <v>1.5823252657366533</v>
      </c>
      <c r="M55">
        <v>1.5823252657366533</v>
      </c>
      <c r="N55">
        <v>1.060179843905964</v>
      </c>
      <c r="O55">
        <v>0.63198131361092114</v>
      </c>
      <c r="P55">
        <v>0.63198131361092114</v>
      </c>
      <c r="Q55">
        <v>0.67001385041551242</v>
      </c>
      <c r="R55">
        <v>1.4925064599483204</v>
      </c>
      <c r="S55">
        <v>1.4925064599483204</v>
      </c>
      <c r="T55">
        <v>0.94323619313092522</v>
      </c>
    </row>
    <row r="56" spans="1:20" x14ac:dyDescent="0.25">
      <c r="A56" s="12" t="s">
        <v>58</v>
      </c>
      <c r="B56" s="12" t="s">
        <v>37</v>
      </c>
      <c r="C56" s="12" t="s">
        <v>15</v>
      </c>
      <c r="D56" s="12">
        <v>4.1033319103155144</v>
      </c>
      <c r="E56" s="12">
        <v>5.6999999999999993</v>
      </c>
      <c r="F56" s="12">
        <v>20</v>
      </c>
      <c r="G56" s="12">
        <v>5.6999999999999993</v>
      </c>
      <c r="H56" s="12">
        <v>4.6875</v>
      </c>
      <c r="I56" s="12" t="s">
        <v>117</v>
      </c>
      <c r="J56" s="6">
        <v>46311</v>
      </c>
      <c r="K56">
        <v>46311</v>
      </c>
      <c r="L56">
        <v>1.3891150227624929</v>
      </c>
      <c r="M56">
        <v>1.3891150227624929</v>
      </c>
      <c r="N56">
        <v>1.1423643279296818</v>
      </c>
      <c r="O56">
        <v>0.7198827912834237</v>
      </c>
      <c r="P56">
        <v>0.7198827912834237</v>
      </c>
      <c r="Q56">
        <v>0.82236842105263164</v>
      </c>
      <c r="R56">
        <v>1.2159999999999997</v>
      </c>
      <c r="S56">
        <v>1.2159999999999997</v>
      </c>
      <c r="T56">
        <v>0.87537747420064305</v>
      </c>
    </row>
    <row r="57" spans="1:20" x14ac:dyDescent="0.25">
      <c r="A57" s="12" t="s">
        <v>58</v>
      </c>
      <c r="B57" s="12" t="s">
        <v>37</v>
      </c>
      <c r="C57" s="12" t="s">
        <v>14</v>
      </c>
      <c r="D57" s="12">
        <v>10.723374058957877</v>
      </c>
      <c r="E57" s="12">
        <v>12.35</v>
      </c>
      <c r="F57" s="12">
        <v>20</v>
      </c>
      <c r="G57" s="12">
        <v>12.35</v>
      </c>
      <c r="H57" s="12">
        <v>11.253676470588236</v>
      </c>
      <c r="I57" s="12" t="s">
        <v>116</v>
      </c>
      <c r="J57" s="6">
        <v>46311</v>
      </c>
      <c r="K57">
        <v>46311</v>
      </c>
      <c r="L57">
        <v>1.1516897510148221</v>
      </c>
      <c r="M57">
        <v>1.1516897510148221</v>
      </c>
      <c r="N57">
        <v>1.0494529435152331</v>
      </c>
      <c r="O57">
        <v>0.86828939748646772</v>
      </c>
      <c r="P57">
        <v>0.86828939748646772</v>
      </c>
      <c r="Q57">
        <v>0.91122886401524172</v>
      </c>
      <c r="R57">
        <v>1.0974191440705652</v>
      </c>
      <c r="S57">
        <v>1.0974191440705652</v>
      </c>
      <c r="T57">
        <v>0.95287740739514615</v>
      </c>
    </row>
    <row r="58" spans="1:20" x14ac:dyDescent="0.25">
      <c r="A58" s="12" t="s">
        <v>58</v>
      </c>
      <c r="B58" s="12" t="s">
        <v>37</v>
      </c>
      <c r="C58" s="12" t="s">
        <v>13</v>
      </c>
      <c r="D58" s="12">
        <v>10.668662966820335</v>
      </c>
      <c r="E58" s="12">
        <v>18.05</v>
      </c>
      <c r="F58" s="12">
        <v>20</v>
      </c>
      <c r="G58" s="12">
        <v>18.05</v>
      </c>
      <c r="H58" s="12">
        <v>11.308823529411764</v>
      </c>
      <c r="I58" s="12" t="s">
        <v>115</v>
      </c>
      <c r="J58" s="6">
        <v>46311</v>
      </c>
      <c r="K58">
        <v>46311</v>
      </c>
      <c r="L58">
        <v>1.6918708610568831</v>
      </c>
      <c r="M58">
        <v>1.6918708610568831</v>
      </c>
      <c r="N58">
        <v>1.0600038228391258</v>
      </c>
      <c r="O58">
        <v>0.59106166021165285</v>
      </c>
      <c r="P58">
        <v>0.59106166021165285</v>
      </c>
      <c r="Q58">
        <v>0.6265276193579925</v>
      </c>
      <c r="R58">
        <v>1.5960988296488947</v>
      </c>
      <c r="S58">
        <v>1.5960988296488947</v>
      </c>
      <c r="T58">
        <v>0.94339282411415193</v>
      </c>
    </row>
    <row r="59" spans="1:20" x14ac:dyDescent="0.25">
      <c r="A59" s="12" t="s">
        <v>58</v>
      </c>
      <c r="B59" s="12" t="s">
        <v>37</v>
      </c>
      <c r="C59" s="12" t="s">
        <v>13</v>
      </c>
      <c r="D59" s="12">
        <v>10.723374058957878</v>
      </c>
      <c r="E59" s="12">
        <v>17.099999999999998</v>
      </c>
      <c r="F59" s="12">
        <v>20</v>
      </c>
      <c r="G59" s="12">
        <v>17.099999999999998</v>
      </c>
      <c r="H59" s="12">
        <v>11.941176470588234</v>
      </c>
      <c r="I59" s="12" t="s">
        <v>119</v>
      </c>
      <c r="J59" s="6">
        <v>46312</v>
      </c>
      <c r="K59">
        <v>46312</v>
      </c>
      <c r="L59">
        <v>1.5946473475589842</v>
      </c>
      <c r="M59">
        <v>1.5946473475589842</v>
      </c>
      <c r="N59">
        <v>1.1135652272255721</v>
      </c>
      <c r="O59">
        <v>0.62709789818467132</v>
      </c>
      <c r="P59">
        <v>0.62709789818467132</v>
      </c>
      <c r="Q59">
        <v>0.69831441348469214</v>
      </c>
      <c r="R59">
        <v>1.4320197044334975</v>
      </c>
      <c r="S59">
        <v>1.4320197044334975</v>
      </c>
      <c r="T59">
        <v>0.89801654680928056</v>
      </c>
    </row>
    <row r="60" spans="1:20" x14ac:dyDescent="0.25">
      <c r="A60" s="12" t="s">
        <v>58</v>
      </c>
      <c r="B60" s="12" t="s">
        <v>37</v>
      </c>
      <c r="C60" s="12" t="s">
        <v>15</v>
      </c>
      <c r="D60" s="12">
        <v>4.1033319103155144</v>
      </c>
      <c r="E60" s="12">
        <v>4.75</v>
      </c>
      <c r="F60" s="12">
        <v>20</v>
      </c>
      <c r="G60" s="12">
        <v>4.75</v>
      </c>
      <c r="H60" s="12">
        <v>4.6875</v>
      </c>
      <c r="I60" s="12" t="s">
        <v>120</v>
      </c>
      <c r="J60" s="6">
        <v>46312</v>
      </c>
      <c r="K60">
        <v>46312</v>
      </c>
      <c r="L60">
        <v>1.1575958523020775</v>
      </c>
      <c r="M60">
        <v>1.1575958523020775</v>
      </c>
      <c r="N60">
        <v>1.1423643279296818</v>
      </c>
      <c r="O60">
        <v>0.86385934954010823</v>
      </c>
      <c r="P60">
        <v>0.86385934954010823</v>
      </c>
      <c r="Q60">
        <v>0.98684210526315785</v>
      </c>
      <c r="R60">
        <v>1.0133333333333334</v>
      </c>
      <c r="S60">
        <v>1.0133333333333334</v>
      </c>
      <c r="T60">
        <v>0.87537747420064305</v>
      </c>
    </row>
    <row r="61" spans="1:20" x14ac:dyDescent="0.25">
      <c r="A61" s="12" t="s">
        <v>58</v>
      </c>
      <c r="B61" s="12" t="s">
        <v>37</v>
      </c>
      <c r="C61" s="12" t="s">
        <v>14</v>
      </c>
      <c r="D61" s="12">
        <v>10.668662966820335</v>
      </c>
      <c r="E61" s="12">
        <v>14.25</v>
      </c>
      <c r="F61" s="12">
        <v>20</v>
      </c>
      <c r="G61" s="12">
        <v>14.25</v>
      </c>
      <c r="H61" s="12">
        <v>12.246323529411764</v>
      </c>
      <c r="I61" s="12" t="s">
        <v>118</v>
      </c>
      <c r="J61" s="6">
        <v>46312</v>
      </c>
      <c r="K61">
        <v>46312</v>
      </c>
      <c r="L61">
        <v>1.3356875218870128</v>
      </c>
      <c r="M61">
        <v>1.3356875218870128</v>
      </c>
      <c r="N61">
        <v>1.1478780019106398</v>
      </c>
      <c r="O61">
        <v>0.74867810293476034</v>
      </c>
      <c r="P61">
        <v>0.74867810293476034</v>
      </c>
      <c r="Q61">
        <v>0.859391124871001</v>
      </c>
      <c r="R61">
        <v>1.1636145301711198</v>
      </c>
      <c r="S61">
        <v>1.1636145301711198</v>
      </c>
      <c r="T61">
        <v>0.87117271899583648</v>
      </c>
    </row>
    <row r="62" spans="1:20" x14ac:dyDescent="0.25">
      <c r="A62" s="12" t="s">
        <v>58</v>
      </c>
      <c r="B62" s="12" t="s">
        <v>37</v>
      </c>
      <c r="C62" s="12" t="s">
        <v>14</v>
      </c>
      <c r="D62" s="12">
        <v>11.489329348883439</v>
      </c>
      <c r="E62" s="12">
        <v>15.2</v>
      </c>
      <c r="F62" s="12">
        <v>20</v>
      </c>
      <c r="G62" s="12">
        <v>15.2</v>
      </c>
      <c r="H62" s="12">
        <v>13.125</v>
      </c>
      <c r="I62" s="12" t="s">
        <v>123</v>
      </c>
      <c r="J62" s="6">
        <v>46313</v>
      </c>
      <c r="K62">
        <v>46313</v>
      </c>
      <c r="L62">
        <v>1.3229666883452316</v>
      </c>
      <c r="M62">
        <v>1.3229666883452316</v>
      </c>
      <c r="N62">
        <v>1.142364327929682</v>
      </c>
      <c r="O62">
        <v>0.75587693084759466</v>
      </c>
      <c r="P62">
        <v>0.75587693084759466</v>
      </c>
      <c r="Q62">
        <v>0.86348684210526316</v>
      </c>
      <c r="R62">
        <v>1.1580952380952381</v>
      </c>
      <c r="S62">
        <v>1.1580952380952381</v>
      </c>
      <c r="T62">
        <v>0.87537747420064294</v>
      </c>
    </row>
    <row r="63" spans="1:20" x14ac:dyDescent="0.25">
      <c r="A63" s="12" t="s">
        <v>58</v>
      </c>
      <c r="B63" s="12" t="s">
        <v>37</v>
      </c>
      <c r="C63" s="12" t="s">
        <v>15</v>
      </c>
      <c r="D63" s="12">
        <v>4.1033319103155144</v>
      </c>
      <c r="E63" s="12">
        <v>4.75</v>
      </c>
      <c r="F63" s="12">
        <v>20</v>
      </c>
      <c r="G63" s="12">
        <v>4.75</v>
      </c>
      <c r="H63" s="12">
        <v>4.6875</v>
      </c>
      <c r="I63" s="12" t="s">
        <v>122</v>
      </c>
      <c r="J63" s="6">
        <v>46313</v>
      </c>
      <c r="K63">
        <v>46313</v>
      </c>
      <c r="L63">
        <v>1.1575958523020775</v>
      </c>
      <c r="M63">
        <v>1.1575958523020775</v>
      </c>
      <c r="N63">
        <v>1.1423643279296818</v>
      </c>
      <c r="O63">
        <v>0.86385934954010823</v>
      </c>
      <c r="P63">
        <v>0.86385934954010823</v>
      </c>
      <c r="Q63">
        <v>0.98684210526315785</v>
      </c>
      <c r="R63">
        <v>1.0133333333333334</v>
      </c>
      <c r="S63">
        <v>1.0133333333333334</v>
      </c>
      <c r="T63">
        <v>0.87537747420064305</v>
      </c>
    </row>
    <row r="64" spans="1:20" x14ac:dyDescent="0.25">
      <c r="A64" s="12" t="s">
        <v>58</v>
      </c>
      <c r="B64" s="12" t="s">
        <v>37</v>
      </c>
      <c r="C64" s="12" t="s">
        <v>13</v>
      </c>
      <c r="D64" s="12">
        <v>10.668662966820335</v>
      </c>
      <c r="E64" s="12">
        <v>13.3</v>
      </c>
      <c r="F64" s="12">
        <v>20</v>
      </c>
      <c r="G64" s="12">
        <v>13.3</v>
      </c>
      <c r="H64" s="12">
        <v>12.1875</v>
      </c>
      <c r="I64" s="12" t="s">
        <v>121</v>
      </c>
      <c r="J64" s="6">
        <v>46313</v>
      </c>
      <c r="K64">
        <v>46313</v>
      </c>
      <c r="L64">
        <v>1.2466416870945451</v>
      </c>
      <c r="M64">
        <v>1.2466416870945451</v>
      </c>
      <c r="N64">
        <v>1.142364327929682</v>
      </c>
      <c r="O64">
        <v>0.80215511028724329</v>
      </c>
      <c r="P64">
        <v>0.80215511028724329</v>
      </c>
      <c r="Q64">
        <v>0.9163533834586467</v>
      </c>
      <c r="R64">
        <v>1.0912820512820511</v>
      </c>
      <c r="S64">
        <v>1.0912820512820511</v>
      </c>
      <c r="T64">
        <v>0.87537747420064294</v>
      </c>
    </row>
    <row r="65" spans="1:20" x14ac:dyDescent="0.25">
      <c r="A65" s="12" t="s">
        <v>58</v>
      </c>
      <c r="B65" s="12" t="s">
        <v>37</v>
      </c>
      <c r="C65" s="12" t="s">
        <v>15</v>
      </c>
      <c r="D65" s="12">
        <v>4.1033319103155144</v>
      </c>
      <c r="E65" s="12">
        <v>4.75</v>
      </c>
      <c r="F65" s="12">
        <v>20</v>
      </c>
      <c r="G65" s="12">
        <v>4.75</v>
      </c>
      <c r="H65" s="12">
        <v>4.6875</v>
      </c>
      <c r="I65" s="12" t="s">
        <v>125</v>
      </c>
      <c r="J65" s="6">
        <v>46314</v>
      </c>
      <c r="K65">
        <v>46314</v>
      </c>
      <c r="L65">
        <v>1.1575958523020775</v>
      </c>
      <c r="M65">
        <v>1.1575958523020775</v>
      </c>
      <c r="N65">
        <v>1.1423643279296818</v>
      </c>
      <c r="O65">
        <v>0.86385934954010823</v>
      </c>
      <c r="P65">
        <v>0.86385934954010823</v>
      </c>
      <c r="Q65">
        <v>0.98684210526315785</v>
      </c>
      <c r="R65">
        <v>1.0133333333333334</v>
      </c>
      <c r="S65">
        <v>1.0133333333333334</v>
      </c>
      <c r="T65">
        <v>0.87537747420064305</v>
      </c>
    </row>
    <row r="66" spans="1:20" x14ac:dyDescent="0.25">
      <c r="A66" s="12" t="s">
        <v>58</v>
      </c>
      <c r="B66" s="12" t="s">
        <v>37</v>
      </c>
      <c r="C66" s="12" t="s">
        <v>13</v>
      </c>
      <c r="D66" s="12">
        <v>11.544040441020975</v>
      </c>
      <c r="E66" s="12">
        <v>18.05</v>
      </c>
      <c r="F66" s="12">
        <v>20</v>
      </c>
      <c r="G66" s="12">
        <v>18.05</v>
      </c>
      <c r="H66" s="12">
        <v>12.191176470588236</v>
      </c>
      <c r="I66" s="12" t="s">
        <v>126</v>
      </c>
      <c r="J66" s="6">
        <v>46314</v>
      </c>
      <c r="K66">
        <v>46314</v>
      </c>
      <c r="L66">
        <v>1.5635773360478307</v>
      </c>
      <c r="M66">
        <v>1.5635773360478307</v>
      </c>
      <c r="N66">
        <v>1.0560580182366397</v>
      </c>
      <c r="O66">
        <v>0.63955902720337809</v>
      </c>
      <c r="P66">
        <v>0.63955902720337809</v>
      </c>
      <c r="Q66">
        <v>0.67541143881375265</v>
      </c>
      <c r="R66">
        <v>1.4805790108564536</v>
      </c>
      <c r="S66">
        <v>1.4805790108564536</v>
      </c>
      <c r="T66">
        <v>0.94691767188109321</v>
      </c>
    </row>
    <row r="67" spans="1:20" x14ac:dyDescent="0.25">
      <c r="A67" s="12" t="s">
        <v>58</v>
      </c>
      <c r="B67" s="12" t="s">
        <v>37</v>
      </c>
      <c r="C67" s="12" t="s">
        <v>14</v>
      </c>
      <c r="D67" s="12">
        <v>10.668662966820335</v>
      </c>
      <c r="E67" s="12">
        <v>14.25</v>
      </c>
      <c r="F67" s="12">
        <v>20</v>
      </c>
      <c r="G67" s="12">
        <v>14.25</v>
      </c>
      <c r="H67" s="12">
        <v>12.246323529411764</v>
      </c>
      <c r="I67" s="12" t="s">
        <v>124</v>
      </c>
      <c r="J67" s="6">
        <v>46314</v>
      </c>
      <c r="K67">
        <v>46314</v>
      </c>
      <c r="L67">
        <v>1.3356875218870128</v>
      </c>
      <c r="M67">
        <v>1.3356875218870128</v>
      </c>
      <c r="N67">
        <v>1.1478780019106398</v>
      </c>
      <c r="O67">
        <v>0.74867810293476034</v>
      </c>
      <c r="P67">
        <v>0.74867810293476034</v>
      </c>
      <c r="Q67">
        <v>0.859391124871001</v>
      </c>
      <c r="R67">
        <v>1.1636145301711198</v>
      </c>
      <c r="S67">
        <v>1.1636145301711198</v>
      </c>
      <c r="T67">
        <v>0.87117271899583648</v>
      </c>
    </row>
    <row r="68" spans="1:20" x14ac:dyDescent="0.25">
      <c r="A68" s="12" t="s">
        <v>58</v>
      </c>
      <c r="B68" s="12" t="s">
        <v>37</v>
      </c>
      <c r="C68" s="12" t="s">
        <v>13</v>
      </c>
      <c r="D68" s="12">
        <v>11.407262710677127</v>
      </c>
      <c r="E68" s="12">
        <v>15.2</v>
      </c>
      <c r="F68" s="12">
        <v>20</v>
      </c>
      <c r="G68" s="12">
        <v>15.2</v>
      </c>
      <c r="H68" s="12">
        <v>12.09375</v>
      </c>
      <c r="I68" s="12" t="s">
        <v>127</v>
      </c>
      <c r="J68" s="6">
        <v>46315</v>
      </c>
      <c r="K68">
        <v>46315</v>
      </c>
      <c r="L68">
        <v>1.3324844343045499</v>
      </c>
      <c r="M68">
        <v>1.3324844343045499</v>
      </c>
      <c r="N68">
        <v>1.060179843905964</v>
      </c>
      <c r="O68">
        <v>0.75047780991296897</v>
      </c>
      <c r="P68">
        <v>0.75047780991296897</v>
      </c>
      <c r="Q68">
        <v>0.79564144736842113</v>
      </c>
      <c r="R68">
        <v>1.2568475452196382</v>
      </c>
      <c r="S68">
        <v>1.2568475452196382</v>
      </c>
      <c r="T68">
        <v>0.94323619313092522</v>
      </c>
    </row>
    <row r="69" spans="1:20" x14ac:dyDescent="0.25">
      <c r="A69" s="12" t="s">
        <v>58</v>
      </c>
      <c r="B69" s="12" t="s">
        <v>37</v>
      </c>
      <c r="C69" s="12" t="s">
        <v>14</v>
      </c>
      <c r="D69" s="12">
        <v>10.668662966820335</v>
      </c>
      <c r="E69" s="12">
        <v>12.35</v>
      </c>
      <c r="F69" s="12">
        <v>20</v>
      </c>
      <c r="G69" s="12">
        <v>12.35</v>
      </c>
      <c r="H69" s="12">
        <v>12.1875</v>
      </c>
      <c r="I69" s="12" t="s">
        <v>129</v>
      </c>
      <c r="J69" s="6">
        <v>46315</v>
      </c>
      <c r="K69">
        <v>46315</v>
      </c>
      <c r="L69">
        <v>1.1575958523020777</v>
      </c>
      <c r="M69">
        <v>1.1575958523020777</v>
      </c>
      <c r="N69">
        <v>1.142364327929682</v>
      </c>
      <c r="O69">
        <v>0.86385934954010812</v>
      </c>
      <c r="P69">
        <v>0.86385934954010812</v>
      </c>
      <c r="Q69">
        <v>0.98684210526315796</v>
      </c>
      <c r="R69">
        <v>1.0133333333333332</v>
      </c>
      <c r="S69">
        <v>1.0133333333333332</v>
      </c>
      <c r="T69">
        <v>0.87537747420064294</v>
      </c>
    </row>
    <row r="70" spans="1:20" x14ac:dyDescent="0.25">
      <c r="A70" s="12" t="s">
        <v>58</v>
      </c>
      <c r="B70" s="12" t="s">
        <v>37</v>
      </c>
      <c r="C70" s="12" t="s">
        <v>15</v>
      </c>
      <c r="D70" s="12">
        <v>4.1033319103155144</v>
      </c>
      <c r="E70" s="12">
        <v>6.6499999999999995</v>
      </c>
      <c r="F70" s="12">
        <v>20</v>
      </c>
      <c r="G70" s="12">
        <v>6.6499999999999995</v>
      </c>
      <c r="H70" s="12">
        <v>4.6875</v>
      </c>
      <c r="I70" s="12" t="s">
        <v>128</v>
      </c>
      <c r="J70" s="6">
        <v>46315</v>
      </c>
      <c r="K70">
        <v>46315</v>
      </c>
      <c r="L70">
        <v>1.6206341932229085</v>
      </c>
      <c r="M70">
        <v>1.6206341932229085</v>
      </c>
      <c r="N70">
        <v>1.1423643279296818</v>
      </c>
      <c r="O70">
        <v>0.61704239252864879</v>
      </c>
      <c r="P70">
        <v>0.61704239252864879</v>
      </c>
      <c r="Q70">
        <v>0.70488721804511278</v>
      </c>
      <c r="R70">
        <v>1.4186666666666665</v>
      </c>
      <c r="S70">
        <v>1.4186666666666665</v>
      </c>
      <c r="T70">
        <v>0.87537747420064305</v>
      </c>
    </row>
    <row r="71" spans="1:20" x14ac:dyDescent="0.25">
      <c r="A71" s="12" t="s">
        <v>58</v>
      </c>
      <c r="B71" s="12" t="s">
        <v>37</v>
      </c>
      <c r="C71" s="12" t="s">
        <v>14</v>
      </c>
      <c r="D71" s="12">
        <v>10.504529690407711</v>
      </c>
      <c r="E71" s="12">
        <v>12.35</v>
      </c>
      <c r="F71" s="12">
        <v>20</v>
      </c>
      <c r="G71" s="12">
        <v>12.35</v>
      </c>
      <c r="H71" s="12">
        <v>11.937499999999998</v>
      </c>
      <c r="I71" s="12" t="s">
        <v>130</v>
      </c>
      <c r="J71" s="6">
        <v>46316</v>
      </c>
      <c r="K71">
        <v>46316</v>
      </c>
      <c r="L71">
        <v>1.1756832874942982</v>
      </c>
      <c r="M71">
        <v>1.1756832874942982</v>
      </c>
      <c r="N71">
        <v>1.1364145137217152</v>
      </c>
      <c r="O71">
        <v>0.85056920570102923</v>
      </c>
      <c r="P71">
        <v>0.85056920570102923</v>
      </c>
      <c r="Q71">
        <v>0.96659919028340069</v>
      </c>
      <c r="R71">
        <v>1.0345549738219897</v>
      </c>
      <c r="S71">
        <v>1.0345549738219897</v>
      </c>
      <c r="T71">
        <v>0.87996060233781892</v>
      </c>
    </row>
    <row r="72" spans="1:20" x14ac:dyDescent="0.25">
      <c r="A72" s="12" t="s">
        <v>58</v>
      </c>
      <c r="B72" s="12" t="s">
        <v>37</v>
      </c>
      <c r="C72" s="12" t="s">
        <v>13</v>
      </c>
      <c r="D72" s="12">
        <v>11.407262710677127</v>
      </c>
      <c r="E72" s="12">
        <v>17.099999999999998</v>
      </c>
      <c r="F72" s="12">
        <v>20</v>
      </c>
      <c r="G72" s="12">
        <v>17.099999999999998</v>
      </c>
      <c r="H72" s="12">
        <v>12.09375</v>
      </c>
      <c r="I72" s="12" t="s">
        <v>132</v>
      </c>
      <c r="J72" s="6">
        <v>46316</v>
      </c>
      <c r="K72">
        <v>46316</v>
      </c>
      <c r="L72">
        <v>1.4990449885926187</v>
      </c>
      <c r="M72">
        <v>1.4990449885926187</v>
      </c>
      <c r="N72">
        <v>1.060179843905964</v>
      </c>
      <c r="O72">
        <v>0.66709138658930578</v>
      </c>
      <c r="P72">
        <v>0.66709138658930578</v>
      </c>
      <c r="Q72">
        <v>0.70723684210526327</v>
      </c>
      <c r="R72">
        <v>1.4139534883720928</v>
      </c>
      <c r="S72">
        <v>1.4139534883720928</v>
      </c>
      <c r="T72">
        <v>0.94323619313092522</v>
      </c>
    </row>
    <row r="73" spans="1:20" x14ac:dyDescent="0.25">
      <c r="A73" s="12" t="s">
        <v>58</v>
      </c>
      <c r="B73" s="12" t="s">
        <v>37</v>
      </c>
      <c r="C73" s="12" t="s">
        <v>15</v>
      </c>
      <c r="D73" s="12">
        <v>4.1033319103155144</v>
      </c>
      <c r="E73" s="12">
        <v>5.6999999999999993</v>
      </c>
      <c r="F73" s="12">
        <v>20</v>
      </c>
      <c r="G73" s="12">
        <v>5.6999999999999993</v>
      </c>
      <c r="H73" s="12">
        <v>4.6875</v>
      </c>
      <c r="I73" s="12" t="s">
        <v>131</v>
      </c>
      <c r="J73" s="6">
        <v>46316</v>
      </c>
      <c r="K73">
        <v>46316</v>
      </c>
      <c r="L73">
        <v>1.3891150227624929</v>
      </c>
      <c r="M73">
        <v>1.3891150227624929</v>
      </c>
      <c r="N73">
        <v>1.1423643279296818</v>
      </c>
      <c r="O73">
        <v>0.7198827912834237</v>
      </c>
      <c r="P73">
        <v>0.7198827912834237</v>
      </c>
      <c r="Q73">
        <v>0.82236842105263164</v>
      </c>
      <c r="R73">
        <v>1.2159999999999997</v>
      </c>
      <c r="S73">
        <v>1.2159999999999997</v>
      </c>
      <c r="T73">
        <v>0.87537747420064305</v>
      </c>
    </row>
    <row r="74" spans="1:20" x14ac:dyDescent="0.25">
      <c r="A74" s="12" t="s">
        <v>58</v>
      </c>
      <c r="B74" s="12" t="s">
        <v>37</v>
      </c>
      <c r="C74" s="12" t="s">
        <v>14</v>
      </c>
      <c r="D74" s="12">
        <v>10.668662966820335</v>
      </c>
      <c r="E74" s="12">
        <v>12.35</v>
      </c>
      <c r="F74" s="12">
        <v>20</v>
      </c>
      <c r="G74" s="12">
        <v>12.35</v>
      </c>
      <c r="H74" s="12">
        <v>12.1875</v>
      </c>
      <c r="I74" s="12" t="s">
        <v>135</v>
      </c>
      <c r="J74" s="6">
        <v>46317</v>
      </c>
      <c r="K74">
        <v>46317</v>
      </c>
      <c r="L74">
        <v>1.1575958523020777</v>
      </c>
      <c r="M74">
        <v>1.1575958523020777</v>
      </c>
      <c r="N74">
        <v>1.142364327929682</v>
      </c>
      <c r="O74">
        <v>0.86385934954010812</v>
      </c>
      <c r="P74">
        <v>0.86385934954010812</v>
      </c>
      <c r="Q74">
        <v>0.98684210526315796</v>
      </c>
      <c r="R74">
        <v>1.0133333333333332</v>
      </c>
      <c r="S74">
        <v>1.0133333333333332</v>
      </c>
      <c r="T74">
        <v>0.87537747420064294</v>
      </c>
    </row>
    <row r="75" spans="1:20" x14ac:dyDescent="0.25">
      <c r="A75" s="12" t="s">
        <v>58</v>
      </c>
      <c r="B75" s="12" t="s">
        <v>37</v>
      </c>
      <c r="C75" s="12" t="s">
        <v>13</v>
      </c>
      <c r="D75" s="12">
        <v>11.407262710677127</v>
      </c>
      <c r="E75" s="12">
        <v>18.05</v>
      </c>
      <c r="F75" s="12">
        <v>20</v>
      </c>
      <c r="G75" s="12">
        <v>18.05</v>
      </c>
      <c r="H75" s="12">
        <v>13.03125</v>
      </c>
      <c r="I75" s="12" t="s">
        <v>133</v>
      </c>
      <c r="J75" s="6">
        <v>46317</v>
      </c>
      <c r="K75">
        <v>46317</v>
      </c>
      <c r="L75">
        <v>1.5823252657366533</v>
      </c>
      <c r="M75">
        <v>1.5823252657366533</v>
      </c>
      <c r="N75">
        <v>1.142364327929682</v>
      </c>
      <c r="O75">
        <v>0.63198131361092114</v>
      </c>
      <c r="P75">
        <v>0.63198131361092114</v>
      </c>
      <c r="Q75">
        <v>0.72195290858725758</v>
      </c>
      <c r="R75">
        <v>1.3851318944844124</v>
      </c>
      <c r="S75">
        <v>1.3851318944844124</v>
      </c>
      <c r="T75">
        <v>0.87537747420064282</v>
      </c>
    </row>
    <row r="76" spans="1:20" x14ac:dyDescent="0.25">
      <c r="A76" s="12" t="s">
        <v>58</v>
      </c>
      <c r="B76" s="12" t="s">
        <v>37</v>
      </c>
      <c r="C76" s="12" t="s">
        <v>15</v>
      </c>
      <c r="D76" s="12">
        <v>4.1033319103155144</v>
      </c>
      <c r="E76" s="12">
        <v>6.6499999999999995</v>
      </c>
      <c r="F76" s="12">
        <v>20</v>
      </c>
      <c r="G76" s="12">
        <v>6.6499999999999995</v>
      </c>
      <c r="H76" s="12">
        <v>4.6875</v>
      </c>
      <c r="I76" s="12" t="s">
        <v>134</v>
      </c>
      <c r="J76" s="6">
        <v>46317</v>
      </c>
      <c r="K76">
        <v>46317</v>
      </c>
      <c r="L76">
        <v>1.6206341932229085</v>
      </c>
      <c r="M76">
        <v>1.6206341932229085</v>
      </c>
      <c r="N76">
        <v>1.1423643279296818</v>
      </c>
      <c r="O76">
        <v>0.61704239252864879</v>
      </c>
      <c r="P76">
        <v>0.61704239252864879</v>
      </c>
      <c r="Q76">
        <v>0.70488721804511278</v>
      </c>
      <c r="R76">
        <v>1.4186666666666665</v>
      </c>
      <c r="S76">
        <v>1.4186666666666665</v>
      </c>
      <c r="T76">
        <v>0.87537747420064305</v>
      </c>
    </row>
    <row r="77" spans="1:20" x14ac:dyDescent="0.25">
      <c r="A77" s="12" t="s">
        <v>58</v>
      </c>
      <c r="B77" s="12" t="s">
        <v>37</v>
      </c>
      <c r="C77" s="12" t="s">
        <v>14</v>
      </c>
      <c r="D77" s="12">
        <v>10.723374058957877</v>
      </c>
      <c r="E77" s="12">
        <v>12.35</v>
      </c>
      <c r="F77" s="12">
        <v>20</v>
      </c>
      <c r="G77" s="12">
        <v>12.35</v>
      </c>
      <c r="H77" s="12">
        <v>12.1875</v>
      </c>
      <c r="I77" s="12" t="s">
        <v>138</v>
      </c>
      <c r="J77" s="6">
        <v>46318</v>
      </c>
      <c r="K77">
        <v>46318</v>
      </c>
      <c r="L77">
        <v>1.1516897510148221</v>
      </c>
      <c r="M77">
        <v>1.1516897510148221</v>
      </c>
      <c r="N77">
        <v>1.1365359385014693</v>
      </c>
      <c r="O77">
        <v>0.86828939748646772</v>
      </c>
      <c r="P77">
        <v>0.86828939748646772</v>
      </c>
      <c r="Q77">
        <v>0.98684210526315796</v>
      </c>
      <c r="R77">
        <v>1.0133333333333332</v>
      </c>
      <c r="S77">
        <v>1.0133333333333332</v>
      </c>
      <c r="T77">
        <v>0.87986658945295393</v>
      </c>
    </row>
    <row r="78" spans="1:20" x14ac:dyDescent="0.25">
      <c r="A78" s="12" t="s">
        <v>58</v>
      </c>
      <c r="B78" s="12" t="s">
        <v>37</v>
      </c>
      <c r="C78" s="12" t="s">
        <v>15</v>
      </c>
      <c r="D78" s="12">
        <v>4.1033319103155144</v>
      </c>
      <c r="E78" s="12">
        <v>5.6999999999999993</v>
      </c>
      <c r="F78" s="12">
        <v>20</v>
      </c>
      <c r="G78" s="12">
        <v>5.6999999999999993</v>
      </c>
      <c r="H78" s="12">
        <v>4.6875</v>
      </c>
      <c r="I78" s="12" t="s">
        <v>137</v>
      </c>
      <c r="J78" s="6">
        <v>46318</v>
      </c>
      <c r="K78">
        <v>46318</v>
      </c>
      <c r="L78">
        <v>1.3891150227624929</v>
      </c>
      <c r="M78">
        <v>1.3891150227624929</v>
      </c>
      <c r="N78">
        <v>1.1423643279296818</v>
      </c>
      <c r="O78">
        <v>0.7198827912834237</v>
      </c>
      <c r="P78">
        <v>0.7198827912834237</v>
      </c>
      <c r="Q78">
        <v>0.82236842105263164</v>
      </c>
      <c r="R78">
        <v>1.2159999999999997</v>
      </c>
      <c r="S78">
        <v>1.2159999999999997</v>
      </c>
      <c r="T78">
        <v>0.87537747420064305</v>
      </c>
    </row>
    <row r="79" spans="1:20" x14ac:dyDescent="0.25">
      <c r="A79" s="12" t="s">
        <v>58</v>
      </c>
      <c r="B79" s="12" t="s">
        <v>37</v>
      </c>
      <c r="C79" s="12" t="s">
        <v>13</v>
      </c>
      <c r="D79" s="12">
        <v>10.668662966820335</v>
      </c>
      <c r="E79" s="12">
        <v>15.2</v>
      </c>
      <c r="F79" s="12">
        <v>20</v>
      </c>
      <c r="G79" s="12">
        <v>15.2</v>
      </c>
      <c r="H79" s="12">
        <v>10.3125</v>
      </c>
      <c r="I79" s="12" t="s">
        <v>136</v>
      </c>
      <c r="J79" s="6">
        <v>46318</v>
      </c>
      <c r="K79">
        <v>46318</v>
      </c>
      <c r="L79">
        <v>1.4247333566794804</v>
      </c>
      <c r="M79">
        <v>1.4247333566794804</v>
      </c>
      <c r="N79">
        <v>0.96661596978665409</v>
      </c>
      <c r="O79">
        <v>0.70188572150133788</v>
      </c>
      <c r="P79">
        <v>0.70188572150133788</v>
      </c>
      <c r="Q79">
        <v>0.67845394736842113</v>
      </c>
      <c r="R79">
        <v>1.4739393939393939</v>
      </c>
      <c r="S79">
        <v>1.4739393939393939</v>
      </c>
      <c r="T79">
        <v>1.0345370149643962</v>
      </c>
    </row>
    <row r="80" spans="1:20" x14ac:dyDescent="0.25">
      <c r="A80" s="12" t="s">
        <v>58</v>
      </c>
      <c r="B80" s="12" t="s">
        <v>37</v>
      </c>
      <c r="C80" s="12" t="s">
        <v>14</v>
      </c>
      <c r="D80" s="12">
        <v>10.668662966820335</v>
      </c>
      <c r="E80" s="12">
        <v>12.35</v>
      </c>
      <c r="F80" s="12">
        <v>20</v>
      </c>
      <c r="G80" s="12">
        <v>12.35</v>
      </c>
      <c r="H80" s="12">
        <v>12.1875</v>
      </c>
      <c r="I80" s="12" t="s">
        <v>140</v>
      </c>
      <c r="J80" s="6">
        <v>46319</v>
      </c>
      <c r="K80">
        <v>46319</v>
      </c>
      <c r="L80">
        <v>1.1575958523020777</v>
      </c>
      <c r="M80">
        <v>1.1575958523020777</v>
      </c>
      <c r="N80">
        <v>1.142364327929682</v>
      </c>
      <c r="O80">
        <v>0.86385934954010812</v>
      </c>
      <c r="P80">
        <v>0.86385934954010812</v>
      </c>
      <c r="Q80">
        <v>0.98684210526315796</v>
      </c>
      <c r="R80">
        <v>1.0133333333333332</v>
      </c>
      <c r="S80">
        <v>1.0133333333333332</v>
      </c>
      <c r="T80">
        <v>0.87537747420064294</v>
      </c>
    </row>
    <row r="81" spans="1:20" x14ac:dyDescent="0.25">
      <c r="A81" s="12" t="s">
        <v>58</v>
      </c>
      <c r="B81" s="12" t="s">
        <v>37</v>
      </c>
      <c r="C81" s="12" t="s">
        <v>15</v>
      </c>
      <c r="D81" s="12">
        <v>4.1033319103155144</v>
      </c>
      <c r="E81" s="12">
        <v>4.75</v>
      </c>
      <c r="F81" s="12">
        <v>20</v>
      </c>
      <c r="G81" s="12">
        <v>4.75</v>
      </c>
      <c r="H81" s="12">
        <v>4.6875</v>
      </c>
      <c r="I81" s="12" t="s">
        <v>139</v>
      </c>
      <c r="J81" s="6">
        <v>46319</v>
      </c>
      <c r="K81">
        <v>46319</v>
      </c>
      <c r="L81">
        <v>1.1575958523020775</v>
      </c>
      <c r="M81">
        <v>1.1575958523020775</v>
      </c>
      <c r="N81">
        <v>1.1423643279296818</v>
      </c>
      <c r="O81">
        <v>0.86385934954010823</v>
      </c>
      <c r="P81">
        <v>0.86385934954010823</v>
      </c>
      <c r="Q81">
        <v>0.98684210526315785</v>
      </c>
      <c r="R81">
        <v>1.0133333333333334</v>
      </c>
      <c r="S81">
        <v>1.0133333333333334</v>
      </c>
      <c r="T81">
        <v>0.87537747420064305</v>
      </c>
    </row>
    <row r="82" spans="1:20" x14ac:dyDescent="0.25">
      <c r="A82" s="12" t="s">
        <v>58</v>
      </c>
      <c r="B82" s="12" t="s">
        <v>37</v>
      </c>
      <c r="C82" s="12" t="s">
        <v>13</v>
      </c>
      <c r="D82" s="12">
        <v>10.723374058957878</v>
      </c>
      <c r="E82" s="12">
        <v>15.2</v>
      </c>
      <c r="F82" s="12">
        <v>20</v>
      </c>
      <c r="G82" s="12">
        <v>15.2</v>
      </c>
      <c r="H82" s="12">
        <v>11.25</v>
      </c>
      <c r="I82" s="12" t="s">
        <v>141</v>
      </c>
      <c r="J82" s="6">
        <v>46319</v>
      </c>
      <c r="K82">
        <v>46319</v>
      </c>
      <c r="L82">
        <v>1.4174643089413193</v>
      </c>
      <c r="M82">
        <v>1.4174643089413193</v>
      </c>
      <c r="N82">
        <v>1.0491100970782792</v>
      </c>
      <c r="O82">
        <v>0.70548513545775515</v>
      </c>
      <c r="P82">
        <v>0.70548513545775515</v>
      </c>
      <c r="Q82">
        <v>0.74013157894736847</v>
      </c>
      <c r="R82">
        <v>1.3511111111111112</v>
      </c>
      <c r="S82">
        <v>1.3511111111111112</v>
      </c>
      <c r="T82">
        <v>0.95318880524070027</v>
      </c>
    </row>
    <row r="83" spans="1:20" x14ac:dyDescent="0.25">
      <c r="A83" s="12" t="s">
        <v>58</v>
      </c>
      <c r="B83" s="12" t="s">
        <v>37</v>
      </c>
      <c r="C83" s="12" t="s">
        <v>14</v>
      </c>
      <c r="D83" s="12">
        <v>10.668662966820335</v>
      </c>
      <c r="E83" s="12">
        <v>12.35</v>
      </c>
      <c r="F83" s="12">
        <v>20</v>
      </c>
      <c r="G83" s="12">
        <v>12.35</v>
      </c>
      <c r="H83" s="12">
        <v>12.1875</v>
      </c>
      <c r="I83" s="12" t="s">
        <v>143</v>
      </c>
      <c r="J83" s="6">
        <v>46320</v>
      </c>
      <c r="K83">
        <v>46320</v>
      </c>
      <c r="L83">
        <v>1.1575958523020777</v>
      </c>
      <c r="M83">
        <v>1.1575958523020777</v>
      </c>
      <c r="N83">
        <v>1.142364327929682</v>
      </c>
      <c r="O83">
        <v>0.86385934954010812</v>
      </c>
      <c r="P83">
        <v>0.86385934954010812</v>
      </c>
      <c r="Q83">
        <v>0.98684210526315796</v>
      </c>
      <c r="R83">
        <v>1.0133333333333332</v>
      </c>
      <c r="S83">
        <v>1.0133333333333332</v>
      </c>
      <c r="T83">
        <v>0.87537747420064294</v>
      </c>
    </row>
    <row r="84" spans="1:20" x14ac:dyDescent="0.25">
      <c r="A84" s="12" t="s">
        <v>58</v>
      </c>
      <c r="B84" s="12" t="s">
        <v>37</v>
      </c>
      <c r="C84" s="12" t="s">
        <v>15</v>
      </c>
      <c r="D84" s="12">
        <v>4.1033319103155144</v>
      </c>
      <c r="E84" s="12">
        <v>5.6999999999999993</v>
      </c>
      <c r="F84" s="12">
        <v>20</v>
      </c>
      <c r="G84" s="12">
        <v>5.6999999999999993</v>
      </c>
      <c r="H84" s="12">
        <v>4.6875</v>
      </c>
      <c r="I84" s="12" t="s">
        <v>142</v>
      </c>
      <c r="J84" s="6">
        <v>46320</v>
      </c>
      <c r="K84">
        <v>46320</v>
      </c>
      <c r="L84">
        <v>1.3891150227624929</v>
      </c>
      <c r="M84">
        <v>1.3891150227624929</v>
      </c>
      <c r="N84">
        <v>1.1423643279296818</v>
      </c>
      <c r="O84">
        <v>0.7198827912834237</v>
      </c>
      <c r="P84">
        <v>0.7198827912834237</v>
      </c>
      <c r="Q84">
        <v>0.82236842105263164</v>
      </c>
      <c r="R84">
        <v>1.2159999999999997</v>
      </c>
      <c r="S84">
        <v>1.2159999999999997</v>
      </c>
      <c r="T84">
        <v>0.87537747420064305</v>
      </c>
    </row>
    <row r="85" spans="1:20" x14ac:dyDescent="0.25">
      <c r="A85" s="12" t="s">
        <v>58</v>
      </c>
      <c r="B85" s="12" t="s">
        <v>37</v>
      </c>
      <c r="C85" s="12" t="s">
        <v>13</v>
      </c>
      <c r="D85" s="12">
        <v>10.668662966820335</v>
      </c>
      <c r="E85" s="12">
        <v>16.149999999999999</v>
      </c>
      <c r="F85" s="12">
        <v>20</v>
      </c>
      <c r="G85" s="12">
        <v>16.149999999999999</v>
      </c>
      <c r="H85" s="12">
        <v>12.1875</v>
      </c>
      <c r="I85" s="12" t="s">
        <v>144</v>
      </c>
      <c r="J85" s="6">
        <v>46320</v>
      </c>
      <c r="K85">
        <v>46320</v>
      </c>
      <c r="L85">
        <v>1.5137791914719478</v>
      </c>
      <c r="M85">
        <v>1.5137791914719478</v>
      </c>
      <c r="N85">
        <v>1.142364327929682</v>
      </c>
      <c r="O85">
        <v>0.66059832611890623</v>
      </c>
      <c r="P85">
        <v>0.66059832611890623</v>
      </c>
      <c r="Q85">
        <v>0.75464396284829727</v>
      </c>
      <c r="R85">
        <v>1.325128205128205</v>
      </c>
      <c r="S85">
        <v>1.325128205128205</v>
      </c>
      <c r="T85">
        <v>0.87537747420064294</v>
      </c>
    </row>
    <row r="86" spans="1:20" x14ac:dyDescent="0.25">
      <c r="A86" s="12" t="s">
        <v>59</v>
      </c>
      <c r="B86" s="12" t="s">
        <v>37</v>
      </c>
      <c r="C86" s="12" t="s">
        <v>15</v>
      </c>
      <c r="D86" s="12">
        <v>4.4391855041263009</v>
      </c>
      <c r="E86" s="12">
        <v>9.5</v>
      </c>
      <c r="F86" s="12">
        <v>20</v>
      </c>
      <c r="G86" s="12">
        <v>9.5</v>
      </c>
      <c r="H86" s="12">
        <v>3.9564874387254898</v>
      </c>
      <c r="I86" s="12" t="s">
        <v>61</v>
      </c>
      <c r="J86" s="6">
        <v>46293</v>
      </c>
      <c r="K86">
        <v>46293</v>
      </c>
      <c r="L86">
        <v>2.1400322178853717</v>
      </c>
      <c r="M86">
        <v>2.1400322178853717</v>
      </c>
      <c r="N86">
        <v>0.89126427247698148</v>
      </c>
      <c r="O86">
        <v>0.46728268464487377</v>
      </c>
      <c r="P86">
        <v>0.46728268464487377</v>
      </c>
      <c r="Q86">
        <v>0.41647236197110421</v>
      </c>
      <c r="R86">
        <v>2.4011197172055856</v>
      </c>
      <c r="S86">
        <v>2.4011197172055856</v>
      </c>
      <c r="T86">
        <v>1.1220016676095661</v>
      </c>
    </row>
    <row r="87" spans="1:20" x14ac:dyDescent="0.25">
      <c r="A87" s="12" t="s">
        <v>59</v>
      </c>
      <c r="B87" s="12" t="s">
        <v>37</v>
      </c>
      <c r="C87" s="12" t="s">
        <v>13</v>
      </c>
      <c r="D87" s="12">
        <v>10.864322417993312</v>
      </c>
      <c r="E87" s="12">
        <v>14.25</v>
      </c>
      <c r="F87" s="12">
        <v>20</v>
      </c>
      <c r="G87" s="12">
        <v>14.25</v>
      </c>
      <c r="H87" s="12">
        <v>10.460968137254904</v>
      </c>
      <c r="I87" s="12" t="s">
        <v>63</v>
      </c>
      <c r="J87" s="6">
        <v>46293</v>
      </c>
      <c r="K87">
        <v>46293</v>
      </c>
      <c r="L87">
        <v>1.3116326496716799</v>
      </c>
      <c r="M87">
        <v>1.3116326496716799</v>
      </c>
      <c r="N87">
        <v>0.96287349866657312</v>
      </c>
      <c r="O87">
        <v>0.76240859073637279</v>
      </c>
      <c r="P87">
        <v>0.76240859073637279</v>
      </c>
      <c r="Q87">
        <v>0.73410302717578269</v>
      </c>
      <c r="R87">
        <v>1.3622066153945278</v>
      </c>
      <c r="S87">
        <v>1.3622066153945278</v>
      </c>
      <c r="T87">
        <v>1.038558025934706</v>
      </c>
    </row>
    <row r="88" spans="1:20" x14ac:dyDescent="0.25">
      <c r="A88" s="12" t="s">
        <v>59</v>
      </c>
      <c r="B88" s="12" t="s">
        <v>37</v>
      </c>
      <c r="C88" s="12" t="s">
        <v>14</v>
      </c>
      <c r="D88" s="12">
        <v>8.1774469812852928</v>
      </c>
      <c r="E88" s="12">
        <v>21.85</v>
      </c>
      <c r="F88" s="12">
        <v>20</v>
      </c>
      <c r="G88" s="12">
        <v>21.85</v>
      </c>
      <c r="H88" s="12">
        <v>10.738595281862745</v>
      </c>
      <c r="I88" s="12" t="s">
        <v>62</v>
      </c>
      <c r="J88" s="6">
        <v>46293</v>
      </c>
      <c r="K88">
        <v>46293</v>
      </c>
      <c r="L88">
        <v>2.6719830834740206</v>
      </c>
      <c r="M88">
        <v>2.6719830834740206</v>
      </c>
      <c r="N88">
        <v>1.313196564458178</v>
      </c>
      <c r="O88">
        <v>0.37425386642037956</v>
      </c>
      <c r="P88">
        <v>0.37425386642037956</v>
      </c>
      <c r="Q88">
        <v>0.49146889161843232</v>
      </c>
      <c r="R88">
        <v>2.0347167787302847</v>
      </c>
      <c r="S88">
        <v>2.0347167787302847</v>
      </c>
      <c r="T88">
        <v>0.76150062151022901</v>
      </c>
    </row>
    <row r="89" spans="1:20" x14ac:dyDescent="0.25">
      <c r="A89" s="12" t="s">
        <v>59</v>
      </c>
      <c r="B89" s="12" t="s">
        <v>37</v>
      </c>
      <c r="C89" s="12" t="s">
        <v>15</v>
      </c>
      <c r="D89" s="12">
        <v>4.4391855041263009</v>
      </c>
      <c r="E89" s="12">
        <v>9.5</v>
      </c>
      <c r="F89" s="12">
        <v>20</v>
      </c>
      <c r="G89" s="12">
        <v>9.5</v>
      </c>
      <c r="H89" s="12">
        <v>3.9564874387254898</v>
      </c>
      <c r="I89" s="12" t="s">
        <v>65</v>
      </c>
      <c r="J89" s="6">
        <v>46294</v>
      </c>
      <c r="K89">
        <v>46294</v>
      </c>
      <c r="L89">
        <v>2.1400322178853717</v>
      </c>
      <c r="M89">
        <v>2.1400322178853717</v>
      </c>
      <c r="N89">
        <v>0.89126427247698148</v>
      </c>
      <c r="O89">
        <v>0.46728268464487377</v>
      </c>
      <c r="P89">
        <v>0.46728268464487377</v>
      </c>
      <c r="Q89">
        <v>0.41647236197110421</v>
      </c>
      <c r="R89">
        <v>2.4011197172055856</v>
      </c>
      <c r="S89">
        <v>2.4011197172055856</v>
      </c>
      <c r="T89">
        <v>1.1220016676095661</v>
      </c>
    </row>
    <row r="90" spans="1:20" x14ac:dyDescent="0.25">
      <c r="A90" s="12" t="s">
        <v>59</v>
      </c>
      <c r="B90" s="12" t="s">
        <v>37</v>
      </c>
      <c r="C90" s="12" t="s">
        <v>13</v>
      </c>
      <c r="D90" s="12">
        <v>10.864322417993312</v>
      </c>
      <c r="E90" s="12">
        <v>19.95</v>
      </c>
      <c r="F90" s="12">
        <v>20</v>
      </c>
      <c r="G90" s="12">
        <v>19.95</v>
      </c>
      <c r="H90" s="12">
        <v>12.562270220588236</v>
      </c>
      <c r="I90" s="12" t="s">
        <v>64</v>
      </c>
      <c r="J90" s="6">
        <v>46294</v>
      </c>
      <c r="K90">
        <v>46294</v>
      </c>
      <c r="L90">
        <v>1.8362857095403518</v>
      </c>
      <c r="M90">
        <v>1.8362857095403518</v>
      </c>
      <c r="N90">
        <v>1.1562865807243359</v>
      </c>
      <c r="O90">
        <v>0.54457756481169484</v>
      </c>
      <c r="P90">
        <v>0.54457756481169484</v>
      </c>
      <c r="Q90">
        <v>0.62968773035530001</v>
      </c>
      <c r="R90">
        <v>1.5880887490625741</v>
      </c>
      <c r="S90">
        <v>1.5880887490625741</v>
      </c>
      <c r="T90">
        <v>0.86483750366934742</v>
      </c>
    </row>
    <row r="91" spans="1:20" x14ac:dyDescent="0.25">
      <c r="A91" s="12" t="s">
        <v>59</v>
      </c>
      <c r="B91" s="12" t="s">
        <v>37</v>
      </c>
      <c r="C91" s="12" t="s">
        <v>14</v>
      </c>
      <c r="D91" s="12">
        <v>8.1190366457046821</v>
      </c>
      <c r="E91" s="12">
        <v>22.799999999999997</v>
      </c>
      <c r="F91" s="12">
        <v>20</v>
      </c>
      <c r="G91" s="12">
        <v>22.799999999999997</v>
      </c>
      <c r="H91" s="12">
        <v>10.856242340686272</v>
      </c>
      <c r="I91" s="12" t="s">
        <v>66</v>
      </c>
      <c r="J91" s="6">
        <v>46294</v>
      </c>
      <c r="K91">
        <v>46294</v>
      </c>
      <c r="L91">
        <v>2.8082149391531783</v>
      </c>
      <c r="M91">
        <v>2.8082149391531783</v>
      </c>
      <c r="N91">
        <v>1.3371342949202834</v>
      </c>
      <c r="O91">
        <v>0.35609809849581942</v>
      </c>
      <c r="P91">
        <v>0.35609809849581942</v>
      </c>
      <c r="Q91">
        <v>0.47615097985466109</v>
      </c>
      <c r="R91">
        <v>2.1001741932889373</v>
      </c>
      <c r="S91">
        <v>2.1001741932889373</v>
      </c>
      <c r="T91">
        <v>0.74786803674018221</v>
      </c>
    </row>
    <row r="92" spans="1:20" x14ac:dyDescent="0.25">
      <c r="A92" s="12" t="s">
        <v>59</v>
      </c>
      <c r="B92" s="12" t="s">
        <v>37</v>
      </c>
      <c r="C92" s="12" t="s">
        <v>13</v>
      </c>
      <c r="D92" s="12">
        <v>9.929757048703566</v>
      </c>
      <c r="E92" s="12">
        <v>18.05</v>
      </c>
      <c r="F92" s="12">
        <v>20</v>
      </c>
      <c r="G92" s="12">
        <v>18.05</v>
      </c>
      <c r="H92" s="12">
        <v>11.617876838235295</v>
      </c>
      <c r="I92" s="12" t="s">
        <v>67</v>
      </c>
      <c r="J92" s="6">
        <v>46295</v>
      </c>
      <c r="K92">
        <v>46295</v>
      </c>
      <c r="L92">
        <v>1.8177685427214574</v>
      </c>
      <c r="M92">
        <v>1.8177685427214574</v>
      </c>
      <c r="N92">
        <v>1.1700061523410716</v>
      </c>
      <c r="O92">
        <v>0.55012504424950504</v>
      </c>
      <c r="P92">
        <v>0.55012504424950504</v>
      </c>
      <c r="Q92">
        <v>0.64364968632882524</v>
      </c>
      <c r="R92">
        <v>1.553640157433595</v>
      </c>
      <c r="S92">
        <v>1.553640157433595</v>
      </c>
      <c r="T92">
        <v>0.85469636035596441</v>
      </c>
    </row>
    <row r="93" spans="1:20" x14ac:dyDescent="0.25">
      <c r="A93" s="12" t="s">
        <v>59</v>
      </c>
      <c r="B93" s="12" t="s">
        <v>37</v>
      </c>
      <c r="C93" s="12" t="s">
        <v>15</v>
      </c>
      <c r="D93" s="12">
        <v>4.4391855041263009</v>
      </c>
      <c r="E93" s="12">
        <v>9.5</v>
      </c>
      <c r="F93" s="12">
        <v>20</v>
      </c>
      <c r="G93" s="12">
        <v>9.5</v>
      </c>
      <c r="H93" s="12">
        <v>4.0221737132352935</v>
      </c>
      <c r="I93" s="12" t="s">
        <v>68</v>
      </c>
      <c r="J93" s="6">
        <v>46295</v>
      </c>
      <c r="K93">
        <v>46295</v>
      </c>
      <c r="L93">
        <v>2.1400322178853717</v>
      </c>
      <c r="M93">
        <v>2.1400322178853717</v>
      </c>
      <c r="N93">
        <v>0.90606119286896492</v>
      </c>
      <c r="O93">
        <v>0.46728268464487377</v>
      </c>
      <c r="P93">
        <v>0.46728268464487377</v>
      </c>
      <c r="Q93">
        <v>0.4233867066563467</v>
      </c>
      <c r="R93">
        <v>2.3619069382158879</v>
      </c>
      <c r="S93">
        <v>2.3619069382158879</v>
      </c>
      <c r="T93">
        <v>1.1036782149708739</v>
      </c>
    </row>
    <row r="94" spans="1:20" x14ac:dyDescent="0.25">
      <c r="A94" s="12" t="s">
        <v>59</v>
      </c>
      <c r="B94" s="12" t="s">
        <v>37</v>
      </c>
      <c r="C94" s="12" t="s">
        <v>14</v>
      </c>
      <c r="D94" s="12">
        <v>8.0022159745434642</v>
      </c>
      <c r="E94" s="12">
        <v>20.9</v>
      </c>
      <c r="F94" s="12">
        <v>20</v>
      </c>
      <c r="G94" s="12">
        <v>20.9</v>
      </c>
      <c r="H94" s="12">
        <v>10.738135723039212</v>
      </c>
      <c r="I94" s="12" t="s">
        <v>69</v>
      </c>
      <c r="J94" s="6">
        <v>46295</v>
      </c>
      <c r="K94">
        <v>46295</v>
      </c>
      <c r="L94">
        <v>2.6117765462075484</v>
      </c>
      <c r="M94">
        <v>2.6117765462075484</v>
      </c>
      <c r="N94">
        <v>1.3418952646615909</v>
      </c>
      <c r="O94">
        <v>0.38288114710734283</v>
      </c>
      <c r="P94">
        <v>0.38288114710734283</v>
      </c>
      <c r="Q94">
        <v>0.51378639823154126</v>
      </c>
      <c r="R94">
        <v>1.9463341253135769</v>
      </c>
      <c r="S94">
        <v>1.9463341253135769</v>
      </c>
      <c r="T94">
        <v>0.74521464255422898</v>
      </c>
    </row>
    <row r="95" spans="1:20" x14ac:dyDescent="0.25">
      <c r="A95" s="12" t="s">
        <v>59</v>
      </c>
      <c r="B95" s="12" t="s">
        <v>37</v>
      </c>
      <c r="C95" s="12" t="s">
        <v>13</v>
      </c>
      <c r="D95" s="12">
        <v>10.92273275357392</v>
      </c>
      <c r="E95" s="12">
        <v>16.149999999999999</v>
      </c>
      <c r="F95" s="12">
        <v>20</v>
      </c>
      <c r="G95" s="12">
        <v>16.149999999999999</v>
      </c>
      <c r="H95" s="12">
        <v>11.856878063725487</v>
      </c>
      <c r="I95" s="12" t="s">
        <v>70</v>
      </c>
      <c r="J95" s="6">
        <v>46296</v>
      </c>
      <c r="K95">
        <v>46296</v>
      </c>
      <c r="L95">
        <v>1.4785677141753484</v>
      </c>
      <c r="M95">
        <v>1.4785677141753484</v>
      </c>
      <c r="N95">
        <v>1.0855230399961873</v>
      </c>
      <c r="O95">
        <v>0.67633020145968548</v>
      </c>
      <c r="P95">
        <v>0.67633020145968548</v>
      </c>
      <c r="Q95">
        <v>0.7341720163297516</v>
      </c>
      <c r="R95">
        <v>1.3620786106765099</v>
      </c>
      <c r="S95">
        <v>1.3620786106765099</v>
      </c>
      <c r="T95">
        <v>0.92121490116277249</v>
      </c>
    </row>
    <row r="96" spans="1:20" x14ac:dyDescent="0.25">
      <c r="A96" s="12" t="s">
        <v>59</v>
      </c>
      <c r="B96" s="12" t="s">
        <v>37</v>
      </c>
      <c r="C96" s="12" t="s">
        <v>15</v>
      </c>
      <c r="D96" s="12">
        <v>4.4391855041263009</v>
      </c>
      <c r="E96" s="12">
        <v>10.45</v>
      </c>
      <c r="F96" s="12">
        <v>20</v>
      </c>
      <c r="G96" s="12">
        <v>10.45</v>
      </c>
      <c r="H96" s="12">
        <v>4.1398207720588234</v>
      </c>
      <c r="I96" s="12" t="s">
        <v>72</v>
      </c>
      <c r="J96" s="6">
        <v>46296</v>
      </c>
      <c r="K96">
        <v>46296</v>
      </c>
      <c r="L96">
        <v>2.3540354396739089</v>
      </c>
      <c r="M96">
        <v>2.3540354396739089</v>
      </c>
      <c r="N96">
        <v>0.93256313983968164</v>
      </c>
      <c r="O96">
        <v>0.42480244058624894</v>
      </c>
      <c r="P96">
        <v>0.42480244058624894</v>
      </c>
      <c r="Q96">
        <v>0.39615509780467212</v>
      </c>
      <c r="R96">
        <v>2.5242638692309827</v>
      </c>
      <c r="S96">
        <v>2.5242638692309827</v>
      </c>
      <c r="T96">
        <v>1.0723134523330093</v>
      </c>
    </row>
    <row r="97" spans="1:20" x14ac:dyDescent="0.25">
      <c r="A97" s="12" t="s">
        <v>59</v>
      </c>
      <c r="B97" s="12" t="s">
        <v>37</v>
      </c>
      <c r="C97" s="12" t="s">
        <v>14</v>
      </c>
      <c r="D97" s="12">
        <v>8.8783710082526017</v>
      </c>
      <c r="E97" s="12">
        <v>20.9</v>
      </c>
      <c r="F97" s="12">
        <v>20</v>
      </c>
      <c r="G97" s="12">
        <v>20.9</v>
      </c>
      <c r="H97" s="12">
        <v>11.50330116421568</v>
      </c>
      <c r="I97" s="12" t="s">
        <v>71</v>
      </c>
      <c r="J97" s="6">
        <v>46296</v>
      </c>
      <c r="K97">
        <v>46296</v>
      </c>
      <c r="L97">
        <v>2.3540354396739089</v>
      </c>
      <c r="M97">
        <v>2.3540354396739089</v>
      </c>
      <c r="N97">
        <v>1.2956544791294664</v>
      </c>
      <c r="O97">
        <v>0.42480244058624894</v>
      </c>
      <c r="P97">
        <v>0.42480244058624894</v>
      </c>
      <c r="Q97">
        <v>0.55039718489070244</v>
      </c>
      <c r="R97">
        <v>1.8168697577887858</v>
      </c>
      <c r="S97">
        <v>1.8168697577887858</v>
      </c>
      <c r="T97">
        <v>0.77181070733602308</v>
      </c>
    </row>
    <row r="98" spans="1:20" x14ac:dyDescent="0.25">
      <c r="A98" s="12" t="s">
        <v>59</v>
      </c>
      <c r="B98" s="12" t="s">
        <v>37</v>
      </c>
      <c r="C98" s="12" t="s">
        <v>15</v>
      </c>
      <c r="D98" s="12">
        <v>4.4391855041263009</v>
      </c>
      <c r="E98" s="12">
        <v>11.4</v>
      </c>
      <c r="F98" s="12">
        <v>20</v>
      </c>
      <c r="G98" s="12">
        <v>11.4</v>
      </c>
      <c r="H98" s="12">
        <v>4.9564874387254898</v>
      </c>
      <c r="I98" s="12" t="s">
        <v>74</v>
      </c>
      <c r="J98" s="6">
        <v>46297</v>
      </c>
      <c r="K98">
        <v>46297</v>
      </c>
      <c r="L98">
        <v>2.5680386614624457</v>
      </c>
      <c r="M98">
        <v>2.5680386614624457</v>
      </c>
      <c r="N98">
        <v>1.1165308217280732</v>
      </c>
      <c r="O98">
        <v>0.38940223720406153</v>
      </c>
      <c r="P98">
        <v>0.38940223720406153</v>
      </c>
      <c r="Q98">
        <v>0.43477959988820092</v>
      </c>
      <c r="R98">
        <v>2.300015916701565</v>
      </c>
      <c r="S98">
        <v>2.300015916701565</v>
      </c>
      <c r="T98">
        <v>0.8956313435685398</v>
      </c>
    </row>
    <row r="99" spans="1:20" x14ac:dyDescent="0.25">
      <c r="A99" s="12" t="s">
        <v>59</v>
      </c>
      <c r="B99" s="12" t="s">
        <v>37</v>
      </c>
      <c r="C99" s="12" t="s">
        <v>13</v>
      </c>
      <c r="D99" s="12">
        <v>9.9297570487035642</v>
      </c>
      <c r="E99" s="12">
        <v>17.099999999999998</v>
      </c>
      <c r="F99" s="12">
        <v>20</v>
      </c>
      <c r="G99" s="12">
        <v>17.099999999999998</v>
      </c>
      <c r="H99" s="12">
        <v>12.739231004901946</v>
      </c>
      <c r="I99" s="12" t="s">
        <v>73</v>
      </c>
      <c r="J99" s="6">
        <v>46297</v>
      </c>
      <c r="K99">
        <v>46297</v>
      </c>
      <c r="L99">
        <v>1.7220965141571702</v>
      </c>
      <c r="M99">
        <v>1.7220965141571702</v>
      </c>
      <c r="N99">
        <v>1.2829348132505607</v>
      </c>
      <c r="O99">
        <v>0.58068754670781086</v>
      </c>
      <c r="P99">
        <v>0.58068754670781086</v>
      </c>
      <c r="Q99">
        <v>0.74498426929251149</v>
      </c>
      <c r="R99">
        <v>1.3423102221335075</v>
      </c>
      <c r="S99">
        <v>1.3423102221335075</v>
      </c>
      <c r="T99">
        <v>0.77946282981152315</v>
      </c>
    </row>
    <row r="100" spans="1:20" x14ac:dyDescent="0.25">
      <c r="A100" s="12" t="s">
        <v>59</v>
      </c>
      <c r="B100" s="12" t="s">
        <v>37</v>
      </c>
      <c r="C100" s="12" t="s">
        <v>14</v>
      </c>
      <c r="D100" s="12">
        <v>8.9367813438332124</v>
      </c>
      <c r="E100" s="12">
        <v>22.799999999999997</v>
      </c>
      <c r="F100" s="12">
        <v>20</v>
      </c>
      <c r="G100" s="12">
        <v>22.799999999999997</v>
      </c>
      <c r="H100" s="12">
        <v>10.87094822303921</v>
      </c>
      <c r="I100" s="12" t="s">
        <v>75</v>
      </c>
      <c r="J100" s="6">
        <v>46297</v>
      </c>
      <c r="K100">
        <v>46297</v>
      </c>
      <c r="L100">
        <v>2.5512540950476583</v>
      </c>
      <c r="M100">
        <v>2.5512540950476583</v>
      </c>
      <c r="N100">
        <v>1.2164276829420988</v>
      </c>
      <c r="O100">
        <v>0.39196409402777255</v>
      </c>
      <c r="P100">
        <v>0.39196409402777255</v>
      </c>
      <c r="Q100">
        <v>0.47679597469470225</v>
      </c>
      <c r="R100">
        <v>2.0973331426304744</v>
      </c>
      <c r="S100">
        <v>2.0973331426304744</v>
      </c>
      <c r="T100">
        <v>0.82207928512557482</v>
      </c>
    </row>
    <row r="101" spans="1:20" x14ac:dyDescent="0.25">
      <c r="A101" s="12" t="s">
        <v>59</v>
      </c>
      <c r="B101" s="12" t="s">
        <v>37</v>
      </c>
      <c r="C101" s="12" t="s">
        <v>14</v>
      </c>
      <c r="D101" s="12">
        <v>8.0606263101240732</v>
      </c>
      <c r="E101" s="12">
        <v>20.9</v>
      </c>
      <c r="F101" s="12">
        <v>20</v>
      </c>
      <c r="G101" s="12">
        <v>20.9</v>
      </c>
      <c r="H101" s="12">
        <v>10.286044730392156</v>
      </c>
      <c r="I101" s="12" t="s">
        <v>78</v>
      </c>
      <c r="J101" s="6">
        <v>46298</v>
      </c>
      <c r="K101">
        <v>46298</v>
      </c>
      <c r="L101">
        <v>2.5928506292060445</v>
      </c>
      <c r="M101">
        <v>2.5928506292060445</v>
      </c>
      <c r="N101">
        <v>1.2760850502985082</v>
      </c>
      <c r="O101">
        <v>0.38567590000593654</v>
      </c>
      <c r="P101">
        <v>0.38567590000593654</v>
      </c>
      <c r="Q101">
        <v>0.49215525025799794</v>
      </c>
      <c r="R101">
        <v>2.031879167144472</v>
      </c>
      <c r="S101">
        <v>2.031879167144472</v>
      </c>
      <c r="T101">
        <v>0.78364682649175699</v>
      </c>
    </row>
    <row r="102" spans="1:20" x14ac:dyDescent="0.25">
      <c r="A102" s="12" t="s">
        <v>59</v>
      </c>
      <c r="B102" s="12" t="s">
        <v>37</v>
      </c>
      <c r="C102" s="12" t="s">
        <v>13</v>
      </c>
      <c r="D102" s="12">
        <v>9.9297570487035678</v>
      </c>
      <c r="E102" s="12">
        <v>16.149999999999999</v>
      </c>
      <c r="F102" s="12">
        <v>20</v>
      </c>
      <c r="G102" s="12">
        <v>16.149999999999999</v>
      </c>
      <c r="H102" s="12">
        <v>11.032858455882351</v>
      </c>
      <c r="I102" s="12" t="s">
        <v>77</v>
      </c>
      <c r="J102" s="6">
        <v>46298</v>
      </c>
      <c r="K102">
        <v>46298</v>
      </c>
      <c r="L102">
        <v>1.6264244855928824</v>
      </c>
      <c r="M102">
        <v>1.6264244855928824</v>
      </c>
      <c r="N102">
        <v>1.1110904729862252</v>
      </c>
      <c r="O102">
        <v>0.61484563769062339</v>
      </c>
      <c r="P102">
        <v>0.61484563769062339</v>
      </c>
      <c r="Q102">
        <v>0.68314913039519209</v>
      </c>
      <c r="R102">
        <v>1.4638092262834532</v>
      </c>
      <c r="S102">
        <v>1.4638092262834532</v>
      </c>
      <c r="T102">
        <v>0.90001671719166787</v>
      </c>
    </row>
    <row r="103" spans="1:20" x14ac:dyDescent="0.25">
      <c r="A103" s="12" t="s">
        <v>59</v>
      </c>
      <c r="B103" s="12" t="s">
        <v>37</v>
      </c>
      <c r="C103" s="12" t="s">
        <v>15</v>
      </c>
      <c r="D103" s="12">
        <v>4.4391855041263009</v>
      </c>
      <c r="E103" s="12">
        <v>10.45</v>
      </c>
      <c r="F103" s="12">
        <v>20</v>
      </c>
      <c r="G103" s="12">
        <v>10.45</v>
      </c>
      <c r="H103" s="12">
        <v>4.8685968137254898</v>
      </c>
      <c r="I103" s="12" t="s">
        <v>76</v>
      </c>
      <c r="J103" s="6">
        <v>46298</v>
      </c>
      <c r="K103">
        <v>46298</v>
      </c>
      <c r="L103">
        <v>2.3540354396739089</v>
      </c>
      <c r="M103">
        <v>2.3540354396739089</v>
      </c>
      <c r="N103">
        <v>1.0967320039228015</v>
      </c>
      <c r="O103">
        <v>0.42480244058624894</v>
      </c>
      <c r="P103">
        <v>0.42480244058624894</v>
      </c>
      <c r="Q103">
        <v>0.4658944319354536</v>
      </c>
      <c r="R103">
        <v>2.1464089962305946</v>
      </c>
      <c r="S103">
        <v>2.1464089962305946</v>
      </c>
      <c r="T103">
        <v>0.91179978009503726</v>
      </c>
    </row>
    <row r="104" spans="1:20" x14ac:dyDescent="0.25">
      <c r="A104" s="12" t="s">
        <v>59</v>
      </c>
      <c r="B104" s="12" t="s">
        <v>37</v>
      </c>
      <c r="C104" s="12" t="s">
        <v>13</v>
      </c>
      <c r="D104" s="12">
        <v>9.929757048703566</v>
      </c>
      <c r="E104" s="12">
        <v>17.099999999999998</v>
      </c>
      <c r="F104" s="12">
        <v>20</v>
      </c>
      <c r="G104" s="12">
        <v>17.099999999999998</v>
      </c>
      <c r="H104" s="12">
        <v>11.915211397058822</v>
      </c>
      <c r="I104" s="12" t="s">
        <v>79</v>
      </c>
      <c r="J104" s="6">
        <v>46299</v>
      </c>
      <c r="K104">
        <v>46299</v>
      </c>
      <c r="L104">
        <v>1.7220965141571698</v>
      </c>
      <c r="M104">
        <v>1.7220965141571698</v>
      </c>
      <c r="N104">
        <v>1.1999499422409814</v>
      </c>
      <c r="O104">
        <v>0.58068754670781098</v>
      </c>
      <c r="P104">
        <v>0.58068754670781098</v>
      </c>
      <c r="Q104">
        <v>0.69679598813209498</v>
      </c>
      <c r="R104">
        <v>1.4351402950535146</v>
      </c>
      <c r="S104">
        <v>1.4351402950535146</v>
      </c>
      <c r="T104">
        <v>0.83336809711614934</v>
      </c>
    </row>
    <row r="105" spans="1:20" x14ac:dyDescent="0.25">
      <c r="A105" s="12" t="s">
        <v>59</v>
      </c>
      <c r="B105" s="12" t="s">
        <v>37</v>
      </c>
      <c r="C105" s="12" t="s">
        <v>14</v>
      </c>
      <c r="D105" s="12">
        <v>8.1190366457046821</v>
      </c>
      <c r="E105" s="12">
        <v>21.85</v>
      </c>
      <c r="F105" s="12">
        <v>20</v>
      </c>
      <c r="G105" s="12">
        <v>21.85</v>
      </c>
      <c r="H105" s="12">
        <v>10.686435355392147</v>
      </c>
      <c r="I105" s="12" t="s">
        <v>80</v>
      </c>
      <c r="J105" s="6">
        <v>46299</v>
      </c>
      <c r="K105">
        <v>46299</v>
      </c>
      <c r="L105">
        <v>2.691205983355129</v>
      </c>
      <c r="M105">
        <v>2.691205983355129</v>
      </c>
      <c r="N105">
        <v>1.3162196233029357</v>
      </c>
      <c r="O105">
        <v>0.37158062451737678</v>
      </c>
      <c r="P105">
        <v>0.37158062451737678</v>
      </c>
      <c r="Q105">
        <v>0.48908170962893127</v>
      </c>
      <c r="R105">
        <v>2.0446481238456147</v>
      </c>
      <c r="S105">
        <v>2.0446481238456147</v>
      </c>
      <c r="T105">
        <v>0.75975162677683628</v>
      </c>
    </row>
    <row r="106" spans="1:20" x14ac:dyDescent="0.25">
      <c r="A106" s="12" t="s">
        <v>59</v>
      </c>
      <c r="B106" s="12" t="s">
        <v>37</v>
      </c>
      <c r="C106" s="12" t="s">
        <v>15</v>
      </c>
      <c r="D106" s="12">
        <v>4.4391855041263009</v>
      </c>
      <c r="E106" s="12">
        <v>10.45</v>
      </c>
      <c r="F106" s="12">
        <v>20</v>
      </c>
      <c r="G106" s="12">
        <v>10.45</v>
      </c>
      <c r="H106" s="12">
        <v>4.8983532475490188</v>
      </c>
      <c r="I106" s="12" t="s">
        <v>81</v>
      </c>
      <c r="J106" s="6">
        <v>46299</v>
      </c>
      <c r="K106">
        <v>46299</v>
      </c>
      <c r="L106">
        <v>2.3540354396739089</v>
      </c>
      <c r="M106">
        <v>2.3540354396739089</v>
      </c>
      <c r="N106">
        <v>1.1034351330882464</v>
      </c>
      <c r="O106">
        <v>0.42480244058624894</v>
      </c>
      <c r="P106">
        <v>0.42480244058624894</v>
      </c>
      <c r="Q106">
        <v>0.46874193756449944</v>
      </c>
      <c r="R106">
        <v>2.1333700270042488</v>
      </c>
      <c r="S106">
        <v>2.1333700270042488</v>
      </c>
      <c r="T106">
        <v>0.90626079414495653</v>
      </c>
    </row>
    <row r="107" spans="1:20" x14ac:dyDescent="0.25">
      <c r="A107" s="12" t="s">
        <v>59</v>
      </c>
      <c r="B107" s="12" t="s">
        <v>37</v>
      </c>
      <c r="C107" s="12" t="s">
        <v>14</v>
      </c>
      <c r="D107" s="12">
        <v>8.1774469812852928</v>
      </c>
      <c r="E107" s="12">
        <v>22.799999999999997</v>
      </c>
      <c r="F107" s="12">
        <v>20</v>
      </c>
      <c r="G107" s="12">
        <v>22.799999999999997</v>
      </c>
      <c r="H107" s="12">
        <v>10.888985906862739</v>
      </c>
      <c r="I107" s="12" t="s">
        <v>83</v>
      </c>
      <c r="J107" s="6">
        <v>46300</v>
      </c>
      <c r="K107">
        <v>46300</v>
      </c>
      <c r="L107">
        <v>2.7881562610163693</v>
      </c>
      <c r="M107">
        <v>2.7881562610163693</v>
      </c>
      <c r="N107">
        <v>1.3315874663306297</v>
      </c>
      <c r="O107">
        <v>0.35865995531953043</v>
      </c>
      <c r="P107">
        <v>0.35865995531953043</v>
      </c>
      <c r="Q107">
        <v>0.47758710117819037</v>
      </c>
      <c r="R107">
        <v>2.093858895127267</v>
      </c>
      <c r="S107">
        <v>2.093858895127267</v>
      </c>
      <c r="T107">
        <v>0.75098333777174697</v>
      </c>
    </row>
    <row r="108" spans="1:20" x14ac:dyDescent="0.25">
      <c r="A108" s="12" t="s">
        <v>59</v>
      </c>
      <c r="B108" s="12" t="s">
        <v>37</v>
      </c>
      <c r="C108" s="12" t="s">
        <v>15</v>
      </c>
      <c r="D108" s="12">
        <v>4.4391855041263009</v>
      </c>
      <c r="E108" s="12">
        <v>10.45</v>
      </c>
      <c r="F108" s="12">
        <v>20</v>
      </c>
      <c r="G108" s="12">
        <v>10.45</v>
      </c>
      <c r="H108" s="12">
        <v>4.8685968137254898</v>
      </c>
      <c r="I108" s="12" t="s">
        <v>82</v>
      </c>
      <c r="J108" s="6">
        <v>46300</v>
      </c>
      <c r="K108">
        <v>46300</v>
      </c>
      <c r="L108">
        <v>2.3540354396739089</v>
      </c>
      <c r="M108">
        <v>2.3540354396739089</v>
      </c>
      <c r="N108">
        <v>1.0967320039228015</v>
      </c>
      <c r="O108">
        <v>0.42480244058624894</v>
      </c>
      <c r="P108">
        <v>0.42480244058624894</v>
      </c>
      <c r="Q108">
        <v>0.4658944319354536</v>
      </c>
      <c r="R108">
        <v>2.1464089962305946</v>
      </c>
      <c r="S108">
        <v>2.1464089962305946</v>
      </c>
      <c r="T108">
        <v>0.91179978009503726</v>
      </c>
    </row>
    <row r="109" spans="1:20" x14ac:dyDescent="0.25">
      <c r="A109" s="12" t="s">
        <v>59</v>
      </c>
      <c r="B109" s="12" t="s">
        <v>37</v>
      </c>
      <c r="C109" s="12" t="s">
        <v>13</v>
      </c>
      <c r="D109" s="12">
        <v>10.864322417993312</v>
      </c>
      <c r="E109" s="12">
        <v>18.05</v>
      </c>
      <c r="F109" s="12">
        <v>20</v>
      </c>
      <c r="G109" s="12">
        <v>18.05</v>
      </c>
      <c r="H109" s="12">
        <v>11.742417279411764</v>
      </c>
      <c r="I109" s="12" t="s">
        <v>84</v>
      </c>
      <c r="J109" s="6">
        <v>46300</v>
      </c>
      <c r="K109">
        <v>46300</v>
      </c>
      <c r="L109">
        <v>1.6614013562507945</v>
      </c>
      <c r="M109">
        <v>1.6614013562507945</v>
      </c>
      <c r="N109">
        <v>1.0808237115610786</v>
      </c>
      <c r="O109">
        <v>0.60190151900239952</v>
      </c>
      <c r="P109">
        <v>0.60190151900239952</v>
      </c>
      <c r="Q109">
        <v>0.65054943376242458</v>
      </c>
      <c r="R109">
        <v>1.5371622018276814</v>
      </c>
      <c r="S109">
        <v>1.5371622018276814</v>
      </c>
      <c r="T109">
        <v>0.92522026423315451</v>
      </c>
    </row>
    <row r="110" spans="1:20" x14ac:dyDescent="0.25">
      <c r="A110" s="12" t="s">
        <v>59</v>
      </c>
      <c r="B110" s="12" t="s">
        <v>37</v>
      </c>
      <c r="C110" s="12" t="s">
        <v>13</v>
      </c>
      <c r="D110" s="12">
        <v>10.864322417993312</v>
      </c>
      <c r="E110" s="12">
        <v>19.95</v>
      </c>
      <c r="F110" s="12">
        <v>20</v>
      </c>
      <c r="G110" s="12">
        <v>19.95</v>
      </c>
      <c r="H110" s="12">
        <v>11.0806219362745</v>
      </c>
      <c r="I110" s="12" t="s">
        <v>87</v>
      </c>
      <c r="J110" s="6">
        <v>46301</v>
      </c>
      <c r="K110">
        <v>46301</v>
      </c>
      <c r="L110">
        <v>1.8362857095403518</v>
      </c>
      <c r="M110">
        <v>1.8362857095403518</v>
      </c>
      <c r="N110">
        <v>1.0199091586165518</v>
      </c>
      <c r="O110">
        <v>0.54457756481169484</v>
      </c>
      <c r="P110">
        <v>0.54457756481169484</v>
      </c>
      <c r="Q110">
        <v>0.55541964592854642</v>
      </c>
      <c r="R110">
        <v>1.8004404549432302</v>
      </c>
      <c r="S110">
        <v>1.8004404549432302</v>
      </c>
      <c r="T110">
        <v>0.98047947854144446</v>
      </c>
    </row>
    <row r="111" spans="1:20" x14ac:dyDescent="0.25">
      <c r="A111" s="12" t="s">
        <v>59</v>
      </c>
      <c r="B111" s="12" t="s">
        <v>37</v>
      </c>
      <c r="C111" s="12" t="s">
        <v>15</v>
      </c>
      <c r="D111" s="12">
        <v>4.4391855041263009</v>
      </c>
      <c r="E111" s="12">
        <v>10.45</v>
      </c>
      <c r="F111" s="12">
        <v>20</v>
      </c>
      <c r="G111" s="12">
        <v>10.45</v>
      </c>
      <c r="H111" s="12">
        <v>4.8983532475490188</v>
      </c>
      <c r="I111" s="12" t="s">
        <v>86</v>
      </c>
      <c r="J111" s="6">
        <v>46301</v>
      </c>
      <c r="K111">
        <v>46301</v>
      </c>
      <c r="L111">
        <v>2.3540354396739089</v>
      </c>
      <c r="M111">
        <v>2.3540354396739089</v>
      </c>
      <c r="N111">
        <v>1.1034351330882464</v>
      </c>
      <c r="O111">
        <v>0.42480244058624894</v>
      </c>
      <c r="P111">
        <v>0.42480244058624894</v>
      </c>
      <c r="Q111">
        <v>0.46874193756449944</v>
      </c>
      <c r="R111">
        <v>2.1333700270042488</v>
      </c>
      <c r="S111">
        <v>2.1333700270042488</v>
      </c>
      <c r="T111">
        <v>0.90626079414495653</v>
      </c>
    </row>
    <row r="112" spans="1:20" x14ac:dyDescent="0.25">
      <c r="A112" s="12" t="s">
        <v>59</v>
      </c>
      <c r="B112" s="12" t="s">
        <v>37</v>
      </c>
      <c r="C112" s="12" t="s">
        <v>14</v>
      </c>
      <c r="D112" s="12">
        <v>9.0536020149944303</v>
      </c>
      <c r="E112" s="12">
        <v>19</v>
      </c>
      <c r="F112" s="12">
        <v>20</v>
      </c>
      <c r="G112" s="12">
        <v>19</v>
      </c>
      <c r="H112" s="12">
        <v>9.8335248161764675</v>
      </c>
      <c r="I112" s="12" t="s">
        <v>85</v>
      </c>
      <c r="J112" s="6">
        <v>46301</v>
      </c>
      <c r="K112">
        <v>46301</v>
      </c>
      <c r="L112">
        <v>2.0986122394746869</v>
      </c>
      <c r="M112">
        <v>2.0986122394746869</v>
      </c>
      <c r="N112">
        <v>1.086145028231895</v>
      </c>
      <c r="O112">
        <v>0.47650536921023318</v>
      </c>
      <c r="P112">
        <v>0.47650536921023318</v>
      </c>
      <c r="Q112">
        <v>0.51755393769349833</v>
      </c>
      <c r="R112">
        <v>1.9321657650921249</v>
      </c>
      <c r="S112">
        <v>1.9321657650921249</v>
      </c>
      <c r="T112">
        <v>0.92068736127059558</v>
      </c>
    </row>
    <row r="113" spans="1:20" x14ac:dyDescent="0.25">
      <c r="A113" s="12" t="s">
        <v>59</v>
      </c>
      <c r="B113" s="12" t="s">
        <v>37</v>
      </c>
      <c r="C113" s="12" t="s">
        <v>14</v>
      </c>
      <c r="D113" s="12">
        <v>8.0022159745434642</v>
      </c>
      <c r="E113" s="12">
        <v>20.9</v>
      </c>
      <c r="F113" s="12">
        <v>20</v>
      </c>
      <c r="G113" s="12">
        <v>20.9</v>
      </c>
      <c r="H113" s="12">
        <v>10.841651348039214</v>
      </c>
      <c r="I113" s="12" t="s">
        <v>88</v>
      </c>
      <c r="J113" s="6">
        <v>46302</v>
      </c>
      <c r="K113">
        <v>46302</v>
      </c>
      <c r="L113">
        <v>2.6117765462075484</v>
      </c>
      <c r="M113">
        <v>2.6117765462075484</v>
      </c>
      <c r="N113">
        <v>1.3548311345917832</v>
      </c>
      <c r="O113">
        <v>0.38288114710734283</v>
      </c>
      <c r="P113">
        <v>0.38288114710734283</v>
      </c>
      <c r="Q113">
        <v>0.51873929894924475</v>
      </c>
      <c r="R113">
        <v>1.9277506100378246</v>
      </c>
      <c r="S113">
        <v>1.9277506100378246</v>
      </c>
      <c r="T113">
        <v>0.73809936490816219</v>
      </c>
    </row>
    <row r="114" spans="1:20" x14ac:dyDescent="0.25">
      <c r="A114" s="12" t="s">
        <v>59</v>
      </c>
      <c r="B114" s="12" t="s">
        <v>37</v>
      </c>
      <c r="C114" s="12" t="s">
        <v>15</v>
      </c>
      <c r="D114" s="12">
        <v>4.4391855041263009</v>
      </c>
      <c r="E114" s="12">
        <v>9.5</v>
      </c>
      <c r="F114" s="12">
        <v>20</v>
      </c>
      <c r="G114" s="12">
        <v>9.5</v>
      </c>
      <c r="H114" s="12">
        <v>4.8685968137254898</v>
      </c>
      <c r="I114" s="12" t="s">
        <v>89</v>
      </c>
      <c r="J114" s="6">
        <v>46302</v>
      </c>
      <c r="K114">
        <v>46302</v>
      </c>
      <c r="L114">
        <v>2.1400322178853717</v>
      </c>
      <c r="M114">
        <v>2.1400322178853717</v>
      </c>
      <c r="N114">
        <v>1.0967320039228015</v>
      </c>
      <c r="O114">
        <v>0.46728268464487377</v>
      </c>
      <c r="P114">
        <v>0.46728268464487377</v>
      </c>
      <c r="Q114">
        <v>0.51248387512899896</v>
      </c>
      <c r="R114">
        <v>1.9512809056641769</v>
      </c>
      <c r="S114">
        <v>1.9512809056641769</v>
      </c>
      <c r="T114">
        <v>0.91179978009503726</v>
      </c>
    </row>
    <row r="115" spans="1:20" x14ac:dyDescent="0.25">
      <c r="A115" s="12" t="s">
        <v>59</v>
      </c>
      <c r="B115" s="12" t="s">
        <v>37</v>
      </c>
      <c r="C115" s="12" t="s">
        <v>13</v>
      </c>
      <c r="D115" s="12">
        <v>9.929757048703566</v>
      </c>
      <c r="E115" s="12">
        <v>19.95</v>
      </c>
      <c r="F115" s="12">
        <v>20</v>
      </c>
      <c r="G115" s="12">
        <v>19.95</v>
      </c>
      <c r="H115" s="12">
        <v>11.914751838235292</v>
      </c>
      <c r="I115" s="12" t="s">
        <v>90</v>
      </c>
      <c r="J115" s="6">
        <v>46302</v>
      </c>
      <c r="K115">
        <v>46302</v>
      </c>
      <c r="L115">
        <v>2.0091125998500319</v>
      </c>
      <c r="M115">
        <v>2.0091125998500319</v>
      </c>
      <c r="N115">
        <v>1.1999036612674112</v>
      </c>
      <c r="O115">
        <v>0.49773218289240934</v>
      </c>
      <c r="P115">
        <v>0.49773218289240934</v>
      </c>
      <c r="Q115">
        <v>0.59723066858322271</v>
      </c>
      <c r="R115">
        <v>1.674394924112395</v>
      </c>
      <c r="S115">
        <v>1.674394924112395</v>
      </c>
      <c r="T115">
        <v>0.83340024060243245</v>
      </c>
    </row>
    <row r="116" spans="1:20" x14ac:dyDescent="0.25">
      <c r="A116" s="12" t="s">
        <v>59</v>
      </c>
      <c r="B116" s="12" t="s">
        <v>37</v>
      </c>
      <c r="C116" s="12" t="s">
        <v>15</v>
      </c>
      <c r="D116" s="12">
        <v>4.4391855041263009</v>
      </c>
      <c r="E116" s="12">
        <v>11.4</v>
      </c>
      <c r="F116" s="12">
        <v>20</v>
      </c>
      <c r="G116" s="12">
        <v>11.4</v>
      </c>
      <c r="H116" s="12">
        <v>4.9862438725490197</v>
      </c>
      <c r="I116" s="12" t="s">
        <v>92</v>
      </c>
      <c r="J116" s="6">
        <v>46303</v>
      </c>
      <c r="K116">
        <v>46303</v>
      </c>
      <c r="L116">
        <v>2.5680386614624457</v>
      </c>
      <c r="M116">
        <v>2.5680386614624457</v>
      </c>
      <c r="N116">
        <v>1.1232339508935183</v>
      </c>
      <c r="O116">
        <v>0.38940223720406153</v>
      </c>
      <c r="P116">
        <v>0.38940223720406153</v>
      </c>
      <c r="Q116">
        <v>0.43738981338149302</v>
      </c>
      <c r="R116">
        <v>2.2862900996000022</v>
      </c>
      <c r="S116">
        <v>2.2862900996000022</v>
      </c>
      <c r="T116">
        <v>0.89028647968173746</v>
      </c>
    </row>
    <row r="117" spans="1:20" x14ac:dyDescent="0.25">
      <c r="A117" s="12" t="s">
        <v>59</v>
      </c>
      <c r="B117" s="12" t="s">
        <v>37</v>
      </c>
      <c r="C117" s="12" t="s">
        <v>14</v>
      </c>
      <c r="D117" s="12">
        <v>7.9438056389628562</v>
      </c>
      <c r="E117" s="12">
        <v>22.799999999999997</v>
      </c>
      <c r="F117" s="12">
        <v>20</v>
      </c>
      <c r="G117" s="12">
        <v>22.799999999999997</v>
      </c>
      <c r="H117" s="12">
        <v>11.536044730392153</v>
      </c>
      <c r="I117" s="12" t="s">
        <v>91</v>
      </c>
      <c r="J117" s="6">
        <v>46303</v>
      </c>
      <c r="K117">
        <v>46303</v>
      </c>
      <c r="L117">
        <v>2.8701608569286154</v>
      </c>
      <c r="M117">
        <v>2.8701608569286154</v>
      </c>
      <c r="N117">
        <v>1.4522063170591746</v>
      </c>
      <c r="O117">
        <v>0.3484125280246867</v>
      </c>
      <c r="P117">
        <v>0.3484125280246867</v>
      </c>
      <c r="Q117">
        <v>0.50596687414000674</v>
      </c>
      <c r="R117">
        <v>1.976413973147358</v>
      </c>
      <c r="S117">
        <v>1.976413973147358</v>
      </c>
      <c r="T117">
        <v>0.68860738880758632</v>
      </c>
    </row>
    <row r="118" spans="1:20" x14ac:dyDescent="0.25">
      <c r="A118" s="12" t="s">
        <v>59</v>
      </c>
      <c r="B118" s="12" t="s">
        <v>37</v>
      </c>
      <c r="C118" s="12" t="s">
        <v>13</v>
      </c>
      <c r="D118" s="12">
        <v>10.864322417993312</v>
      </c>
      <c r="E118" s="12">
        <v>19</v>
      </c>
      <c r="F118" s="12">
        <v>20</v>
      </c>
      <c r="G118" s="12">
        <v>19</v>
      </c>
      <c r="H118" s="12">
        <v>11.915211397058822</v>
      </c>
      <c r="I118" s="12" t="s">
        <v>93</v>
      </c>
      <c r="J118" s="6">
        <v>46303</v>
      </c>
      <c r="K118">
        <v>46303</v>
      </c>
      <c r="L118">
        <v>1.7488435328955731</v>
      </c>
      <c r="M118">
        <v>1.7488435328955731</v>
      </c>
      <c r="N118">
        <v>1.0967284418331551</v>
      </c>
      <c r="O118">
        <v>0.57180644305227957</v>
      </c>
      <c r="P118">
        <v>0.57180644305227957</v>
      </c>
      <c r="Q118">
        <v>0.62711638931888536</v>
      </c>
      <c r="R118">
        <v>1.5946003278372385</v>
      </c>
      <c r="S118">
        <v>1.5946003278372385</v>
      </c>
      <c r="T118">
        <v>0.91180274155061036</v>
      </c>
    </row>
    <row r="119" spans="1:20" x14ac:dyDescent="0.25">
      <c r="A119" s="12" t="s">
        <v>59</v>
      </c>
      <c r="B119" s="12" t="s">
        <v>37</v>
      </c>
      <c r="C119" s="12" t="s">
        <v>15</v>
      </c>
      <c r="D119" s="12">
        <v>4.4391855041263009</v>
      </c>
      <c r="E119" s="12">
        <v>10.45</v>
      </c>
      <c r="F119" s="12">
        <v>20</v>
      </c>
      <c r="G119" s="12">
        <v>10.45</v>
      </c>
      <c r="H119" s="12">
        <v>4.9862438725490197</v>
      </c>
      <c r="I119" s="12" t="s">
        <v>96</v>
      </c>
      <c r="J119" s="6">
        <v>46304</v>
      </c>
      <c r="K119">
        <v>46304</v>
      </c>
      <c r="L119">
        <v>2.3540354396739089</v>
      </c>
      <c r="M119">
        <v>2.3540354396739089</v>
      </c>
      <c r="N119">
        <v>1.1232339508935183</v>
      </c>
      <c r="O119">
        <v>0.42480244058624894</v>
      </c>
      <c r="P119">
        <v>0.42480244058624894</v>
      </c>
      <c r="Q119">
        <v>0.47715252368890143</v>
      </c>
      <c r="R119">
        <v>2.0957659246333353</v>
      </c>
      <c r="S119">
        <v>2.0957659246333353</v>
      </c>
      <c r="T119">
        <v>0.89028647968173746</v>
      </c>
    </row>
    <row r="120" spans="1:20" x14ac:dyDescent="0.25">
      <c r="A120" s="12" t="s">
        <v>59</v>
      </c>
      <c r="B120" s="12" t="s">
        <v>37</v>
      </c>
      <c r="C120" s="12" t="s">
        <v>14</v>
      </c>
      <c r="D120" s="12">
        <v>8.9951916794138196</v>
      </c>
      <c r="E120" s="12">
        <v>21.85</v>
      </c>
      <c r="F120" s="12">
        <v>20</v>
      </c>
      <c r="G120" s="12">
        <v>21.85</v>
      </c>
      <c r="H120" s="12">
        <v>11.48089767156862</v>
      </c>
      <c r="I120" s="12" t="s">
        <v>94</v>
      </c>
      <c r="J120" s="6">
        <v>46304</v>
      </c>
      <c r="K120">
        <v>46304</v>
      </c>
      <c r="L120">
        <v>2.4290755304309286</v>
      </c>
      <c r="M120">
        <v>2.4290755304309286</v>
      </c>
      <c r="N120">
        <v>1.276337189994909</v>
      </c>
      <c r="O120">
        <v>0.41167925306241743</v>
      </c>
      <c r="P120">
        <v>0.41167925306241743</v>
      </c>
      <c r="Q120">
        <v>0.52544154103288887</v>
      </c>
      <c r="R120">
        <v>1.9031612879983679</v>
      </c>
      <c r="S120">
        <v>1.9031612879983679</v>
      </c>
      <c r="T120">
        <v>0.78349201750047637</v>
      </c>
    </row>
    <row r="121" spans="1:20" x14ac:dyDescent="0.25">
      <c r="A121" s="12" t="s">
        <v>59</v>
      </c>
      <c r="B121" s="12" t="s">
        <v>37</v>
      </c>
      <c r="C121" s="12" t="s">
        <v>13</v>
      </c>
      <c r="D121" s="12">
        <v>9.9297570487035642</v>
      </c>
      <c r="E121" s="12">
        <v>17.099999999999998</v>
      </c>
      <c r="F121" s="12">
        <v>20</v>
      </c>
      <c r="G121" s="12">
        <v>17.099999999999998</v>
      </c>
      <c r="H121" s="12">
        <v>11.032858455882341</v>
      </c>
      <c r="I121" s="12" t="s">
        <v>95</v>
      </c>
      <c r="J121" s="6">
        <v>46304</v>
      </c>
      <c r="K121">
        <v>46304</v>
      </c>
      <c r="L121">
        <v>1.7220965141571702</v>
      </c>
      <c r="M121">
        <v>1.7220965141571702</v>
      </c>
      <c r="N121">
        <v>1.1110904729862245</v>
      </c>
      <c r="O121">
        <v>0.58068754670781086</v>
      </c>
      <c r="P121">
        <v>0.58068754670781086</v>
      </c>
      <c r="Q121">
        <v>0.64519640092879194</v>
      </c>
      <c r="R121">
        <v>1.5499156513589518</v>
      </c>
      <c r="S121">
        <v>1.5499156513589518</v>
      </c>
      <c r="T121">
        <v>0.90001671719166843</v>
      </c>
    </row>
    <row r="122" spans="1:20" x14ac:dyDescent="0.25">
      <c r="A122" s="12" t="s">
        <v>59</v>
      </c>
      <c r="B122" s="12" t="s">
        <v>37</v>
      </c>
      <c r="C122" s="12" t="s">
        <v>13</v>
      </c>
      <c r="D122" s="12">
        <v>9.9297570487035678</v>
      </c>
      <c r="E122" s="12">
        <v>17.099999999999998</v>
      </c>
      <c r="F122" s="12">
        <v>20</v>
      </c>
      <c r="G122" s="12">
        <v>17.099999999999998</v>
      </c>
      <c r="H122" s="12">
        <v>12.79756433823529</v>
      </c>
      <c r="I122" s="12" t="s">
        <v>98</v>
      </c>
      <c r="J122" s="6">
        <v>46305</v>
      </c>
      <c r="K122">
        <v>46305</v>
      </c>
      <c r="L122">
        <v>1.7220965141571696</v>
      </c>
      <c r="M122">
        <v>1.7220965141571696</v>
      </c>
      <c r="N122">
        <v>1.2888094114957369</v>
      </c>
      <c r="O122">
        <v>0.58068754670781109</v>
      </c>
      <c r="P122">
        <v>0.58068754670781109</v>
      </c>
      <c r="Q122">
        <v>0.74839557533539713</v>
      </c>
      <c r="R122">
        <v>1.3361917586856991</v>
      </c>
      <c r="S122">
        <v>1.3361917586856991</v>
      </c>
      <c r="T122">
        <v>0.77590991428239409</v>
      </c>
    </row>
    <row r="123" spans="1:20" x14ac:dyDescent="0.25">
      <c r="A123" s="12" t="s">
        <v>59</v>
      </c>
      <c r="B123" s="12" t="s">
        <v>37</v>
      </c>
      <c r="C123" s="12" t="s">
        <v>15</v>
      </c>
      <c r="D123" s="12">
        <v>4.3223648329650821</v>
      </c>
      <c r="E123" s="12">
        <v>11.4</v>
      </c>
      <c r="F123" s="12">
        <v>20</v>
      </c>
      <c r="G123" s="12">
        <v>11.4</v>
      </c>
      <c r="H123" s="12">
        <v>4.9862438725490197</v>
      </c>
      <c r="I123" s="12" t="s">
        <v>99</v>
      </c>
      <c r="J123" s="6">
        <v>46305</v>
      </c>
      <c r="K123">
        <v>46305</v>
      </c>
      <c r="L123">
        <v>2.6374451117722417</v>
      </c>
      <c r="M123">
        <v>2.6374451117722417</v>
      </c>
      <c r="N123">
        <v>1.1535916252419918</v>
      </c>
      <c r="O123">
        <v>0.37915480990921779</v>
      </c>
      <c r="P123">
        <v>0.37915480990921779</v>
      </c>
      <c r="Q123">
        <v>0.43738981338149302</v>
      </c>
      <c r="R123">
        <v>2.2862900996000022</v>
      </c>
      <c r="S123">
        <v>2.2862900996000022</v>
      </c>
      <c r="T123">
        <v>0.86685788811116538</v>
      </c>
    </row>
    <row r="124" spans="1:20" x14ac:dyDescent="0.25">
      <c r="A124" s="12" t="s">
        <v>59</v>
      </c>
      <c r="B124" s="12" t="s">
        <v>37</v>
      </c>
      <c r="C124" s="12" t="s">
        <v>14</v>
      </c>
      <c r="D124" s="12">
        <v>8.8783710082526017</v>
      </c>
      <c r="E124" s="12">
        <v>22.799999999999997</v>
      </c>
      <c r="F124" s="12">
        <v>20</v>
      </c>
      <c r="G124" s="12">
        <v>22.799999999999997</v>
      </c>
      <c r="H124" s="12">
        <v>11.028691789215678</v>
      </c>
      <c r="I124" s="12" t="s">
        <v>97</v>
      </c>
      <c r="J124" s="6">
        <v>46305</v>
      </c>
      <c r="K124">
        <v>46305</v>
      </c>
      <c r="L124">
        <v>2.5680386614624457</v>
      </c>
      <c r="M124">
        <v>2.5680386614624457</v>
      </c>
      <c r="N124">
        <v>1.2421976710552325</v>
      </c>
      <c r="O124">
        <v>0.38940223720406153</v>
      </c>
      <c r="P124">
        <v>0.38940223720406153</v>
      </c>
      <c r="Q124">
        <v>0.48371455215858244</v>
      </c>
      <c r="R124">
        <v>2.0673349510315271</v>
      </c>
      <c r="S124">
        <v>2.0673349510315271</v>
      </c>
      <c r="T124">
        <v>0.80502485498182563</v>
      </c>
    </row>
    <row r="125" spans="1:20" x14ac:dyDescent="0.25">
      <c r="A125" s="12" t="s">
        <v>59</v>
      </c>
      <c r="B125" s="12" t="s">
        <v>37</v>
      </c>
      <c r="C125" s="12" t="s">
        <v>14</v>
      </c>
      <c r="D125" s="12">
        <v>8.9367813438332124</v>
      </c>
      <c r="E125" s="12">
        <v>22.799999999999997</v>
      </c>
      <c r="F125" s="12">
        <v>20</v>
      </c>
      <c r="G125" s="12">
        <v>22.799999999999997</v>
      </c>
      <c r="H125" s="12">
        <v>11.657368259803912</v>
      </c>
      <c r="I125" s="12" t="s">
        <v>100</v>
      </c>
      <c r="J125" s="6">
        <v>46306</v>
      </c>
      <c r="K125">
        <v>46306</v>
      </c>
      <c r="L125">
        <v>2.5512540950476583</v>
      </c>
      <c r="M125">
        <v>2.5512540950476583</v>
      </c>
      <c r="N125">
        <v>1.3044258118554091</v>
      </c>
      <c r="O125">
        <v>0.39196409402777255</v>
      </c>
      <c r="P125">
        <v>0.39196409402777255</v>
      </c>
      <c r="Q125">
        <v>0.51128808157034711</v>
      </c>
      <c r="R125">
        <v>1.9558445347066282</v>
      </c>
      <c r="S125">
        <v>1.9558445347066282</v>
      </c>
      <c r="T125">
        <v>0.76662083110545376</v>
      </c>
    </row>
    <row r="126" spans="1:20" x14ac:dyDescent="0.25">
      <c r="A126" s="12" t="s">
        <v>59</v>
      </c>
      <c r="B126" s="12" t="s">
        <v>37</v>
      </c>
      <c r="C126" s="12" t="s">
        <v>15</v>
      </c>
      <c r="D126" s="12">
        <v>4.4391855041263009</v>
      </c>
      <c r="E126" s="12">
        <v>10.45</v>
      </c>
      <c r="F126" s="12">
        <v>20</v>
      </c>
      <c r="G126" s="12">
        <v>10.45</v>
      </c>
      <c r="H126" s="12">
        <v>4.9862438725490197</v>
      </c>
      <c r="I126" s="12" t="s">
        <v>101</v>
      </c>
      <c r="J126" s="6">
        <v>46306</v>
      </c>
      <c r="K126">
        <v>46306</v>
      </c>
      <c r="L126">
        <v>2.3540354396739089</v>
      </c>
      <c r="M126">
        <v>2.3540354396739089</v>
      </c>
      <c r="N126">
        <v>1.1232339508935183</v>
      </c>
      <c r="O126">
        <v>0.42480244058624894</v>
      </c>
      <c r="P126">
        <v>0.42480244058624894</v>
      </c>
      <c r="Q126">
        <v>0.47715252368890143</v>
      </c>
      <c r="R126">
        <v>2.0957659246333353</v>
      </c>
      <c r="S126">
        <v>2.0957659246333353</v>
      </c>
      <c r="T126">
        <v>0.89028647968173746</v>
      </c>
    </row>
    <row r="127" spans="1:20" x14ac:dyDescent="0.25">
      <c r="A127" s="12" t="s">
        <v>59</v>
      </c>
      <c r="B127" s="12" t="s">
        <v>37</v>
      </c>
      <c r="C127" s="12" t="s">
        <v>13</v>
      </c>
      <c r="D127" s="12">
        <v>9.929757048703566</v>
      </c>
      <c r="E127" s="12">
        <v>15.2</v>
      </c>
      <c r="F127" s="12">
        <v>20</v>
      </c>
      <c r="G127" s="12">
        <v>15.2</v>
      </c>
      <c r="H127" s="12">
        <v>10.918887867647058</v>
      </c>
      <c r="I127" s="12" t="s">
        <v>102</v>
      </c>
      <c r="J127" s="6">
        <v>46306</v>
      </c>
      <c r="K127">
        <v>46306</v>
      </c>
      <c r="L127">
        <v>1.5307524570285955</v>
      </c>
      <c r="M127">
        <v>1.5307524570285955</v>
      </c>
      <c r="N127">
        <v>1.0996127915408196</v>
      </c>
      <c r="O127">
        <v>0.65327349004628732</v>
      </c>
      <c r="P127">
        <v>0.65327349004628732</v>
      </c>
      <c r="Q127">
        <v>0.7183478860294118</v>
      </c>
      <c r="R127">
        <v>1.3920831667333067</v>
      </c>
      <c r="S127">
        <v>1.3920831667333067</v>
      </c>
      <c r="T127">
        <v>0.90941102876655489</v>
      </c>
    </row>
    <row r="128" spans="1:20" x14ac:dyDescent="0.25">
      <c r="A128" s="12" t="s">
        <v>59</v>
      </c>
      <c r="B128" s="12" t="s">
        <v>37</v>
      </c>
      <c r="C128" s="12" t="s">
        <v>14</v>
      </c>
      <c r="D128" s="12">
        <v>8.1774469812852928</v>
      </c>
      <c r="E128" s="12">
        <v>19.95</v>
      </c>
      <c r="F128" s="12">
        <v>20</v>
      </c>
      <c r="G128" s="12">
        <v>19.95</v>
      </c>
      <c r="H128" s="12">
        <v>10.088434436274508</v>
      </c>
      <c r="I128" s="12" t="s">
        <v>103</v>
      </c>
      <c r="J128" s="6">
        <v>46307</v>
      </c>
      <c r="K128">
        <v>46307</v>
      </c>
      <c r="L128">
        <v>2.4396367283893232</v>
      </c>
      <c r="M128">
        <v>2.4396367283893232</v>
      </c>
      <c r="N128">
        <v>1.2336899840943822</v>
      </c>
      <c r="O128">
        <v>0.409897091793749</v>
      </c>
      <c r="P128">
        <v>0.409897091793749</v>
      </c>
      <c r="Q128">
        <v>0.50568593665536377</v>
      </c>
      <c r="R128">
        <v>1.9775119842447235</v>
      </c>
      <c r="S128">
        <v>1.9775119842447235</v>
      </c>
      <c r="T128">
        <v>0.81057641132919822</v>
      </c>
    </row>
    <row r="129" spans="1:20" x14ac:dyDescent="0.25">
      <c r="A129" s="12" t="s">
        <v>59</v>
      </c>
      <c r="B129" s="12" t="s">
        <v>37</v>
      </c>
      <c r="C129" s="12" t="s">
        <v>15</v>
      </c>
      <c r="D129" s="12">
        <v>4.4391855041263009</v>
      </c>
      <c r="E129" s="12">
        <v>10.45</v>
      </c>
      <c r="F129" s="12">
        <v>20</v>
      </c>
      <c r="G129" s="12">
        <v>10.45</v>
      </c>
      <c r="H129" s="12">
        <v>4.8685968137254898</v>
      </c>
      <c r="I129" s="12" t="s">
        <v>104</v>
      </c>
      <c r="J129" s="6">
        <v>46307</v>
      </c>
      <c r="K129">
        <v>46307</v>
      </c>
      <c r="L129">
        <v>2.3540354396739089</v>
      </c>
      <c r="M129">
        <v>2.3540354396739089</v>
      </c>
      <c r="N129">
        <v>1.0967320039228015</v>
      </c>
      <c r="O129">
        <v>0.42480244058624894</v>
      </c>
      <c r="P129">
        <v>0.42480244058624894</v>
      </c>
      <c r="Q129">
        <v>0.4658944319354536</v>
      </c>
      <c r="R129">
        <v>2.1464089962305946</v>
      </c>
      <c r="S129">
        <v>2.1464089962305946</v>
      </c>
      <c r="T129">
        <v>0.91179978009503726</v>
      </c>
    </row>
    <row r="130" spans="1:20" x14ac:dyDescent="0.25">
      <c r="A130" s="12" t="s">
        <v>59</v>
      </c>
      <c r="B130" s="12" t="s">
        <v>37</v>
      </c>
      <c r="C130" s="12" t="s">
        <v>13</v>
      </c>
      <c r="D130" s="12">
        <v>10.864322417993312</v>
      </c>
      <c r="E130" s="12">
        <v>16.149999999999999</v>
      </c>
      <c r="F130" s="12">
        <v>20</v>
      </c>
      <c r="G130" s="12">
        <v>16.149999999999999</v>
      </c>
      <c r="H130" s="12">
        <v>10.980468749999998</v>
      </c>
      <c r="I130" s="12" t="s">
        <v>105</v>
      </c>
      <c r="J130" s="6">
        <v>46307</v>
      </c>
      <c r="K130">
        <v>46307</v>
      </c>
      <c r="L130">
        <v>1.4865170029612371</v>
      </c>
      <c r="M130">
        <v>1.4865170029612371</v>
      </c>
      <c r="N130">
        <v>1.0106906190315492</v>
      </c>
      <c r="O130">
        <v>0.67271346241444663</v>
      </c>
      <c r="P130">
        <v>0.67271346241444663</v>
      </c>
      <c r="Q130">
        <v>0.67990518575851389</v>
      </c>
      <c r="R130">
        <v>1.4707933119886163</v>
      </c>
      <c r="S130">
        <v>1.4707933119886163</v>
      </c>
      <c r="T130">
        <v>0.98942246140387347</v>
      </c>
    </row>
    <row r="131" spans="1:20" x14ac:dyDescent="0.25">
      <c r="A131" s="12" t="s">
        <v>59</v>
      </c>
      <c r="B131" s="12" t="s">
        <v>37</v>
      </c>
      <c r="C131" s="12" t="s">
        <v>14</v>
      </c>
      <c r="D131" s="12">
        <v>8.1190366457046821</v>
      </c>
      <c r="E131" s="12">
        <v>20.9</v>
      </c>
      <c r="F131" s="12">
        <v>20</v>
      </c>
      <c r="G131" s="12">
        <v>20.9</v>
      </c>
      <c r="H131" s="12">
        <v>10.146798406862745</v>
      </c>
      <c r="I131" s="12" t="s">
        <v>107</v>
      </c>
      <c r="J131" s="6">
        <v>46308</v>
      </c>
      <c r="K131">
        <v>46308</v>
      </c>
      <c r="L131">
        <v>2.57419702755708</v>
      </c>
      <c r="M131">
        <v>2.57419702755708</v>
      </c>
      <c r="N131">
        <v>1.2497539855582294</v>
      </c>
      <c r="O131">
        <v>0.38847065290453026</v>
      </c>
      <c r="P131">
        <v>0.38847065290453026</v>
      </c>
      <c r="Q131">
        <v>0.48549274673984427</v>
      </c>
      <c r="R131">
        <v>2.0597630072027813</v>
      </c>
      <c r="S131">
        <v>2.0597630072027813</v>
      </c>
      <c r="T131">
        <v>0.80015748023666322</v>
      </c>
    </row>
    <row r="132" spans="1:20" x14ac:dyDescent="0.25">
      <c r="A132" s="12" t="s">
        <v>59</v>
      </c>
      <c r="B132" s="12" t="s">
        <v>37</v>
      </c>
      <c r="C132" s="12" t="s">
        <v>15</v>
      </c>
      <c r="D132" s="12">
        <v>4.4391855041263009</v>
      </c>
      <c r="E132" s="12">
        <v>10.45</v>
      </c>
      <c r="F132" s="12">
        <v>20</v>
      </c>
      <c r="G132" s="12">
        <v>10.45</v>
      </c>
      <c r="H132" s="12">
        <v>4.8685968137254898</v>
      </c>
      <c r="I132" s="12" t="s">
        <v>106</v>
      </c>
      <c r="J132" s="6">
        <v>46308</v>
      </c>
      <c r="K132">
        <v>46308</v>
      </c>
      <c r="L132">
        <v>2.3540354396739089</v>
      </c>
      <c r="M132">
        <v>2.3540354396739089</v>
      </c>
      <c r="N132">
        <v>1.0967320039228015</v>
      </c>
      <c r="O132">
        <v>0.42480244058624894</v>
      </c>
      <c r="P132">
        <v>0.42480244058624894</v>
      </c>
      <c r="Q132">
        <v>0.4658944319354536</v>
      </c>
      <c r="R132">
        <v>2.1464089962305946</v>
      </c>
      <c r="S132">
        <v>2.1464089962305946</v>
      </c>
      <c r="T132">
        <v>0.91179978009503726</v>
      </c>
    </row>
    <row r="133" spans="1:20" x14ac:dyDescent="0.25">
      <c r="A133" s="12" t="s">
        <v>59</v>
      </c>
      <c r="B133" s="12" t="s">
        <v>37</v>
      </c>
      <c r="C133" s="12" t="s">
        <v>13</v>
      </c>
      <c r="D133" s="12">
        <v>10.864322417993312</v>
      </c>
      <c r="E133" s="12">
        <v>19.95</v>
      </c>
      <c r="F133" s="12">
        <v>20</v>
      </c>
      <c r="G133" s="12">
        <v>19.95</v>
      </c>
      <c r="H133" s="12">
        <v>11.859604779411764</v>
      </c>
      <c r="I133" s="12" t="s">
        <v>108</v>
      </c>
      <c r="J133" s="6">
        <v>46308</v>
      </c>
      <c r="K133">
        <v>46308</v>
      </c>
      <c r="L133">
        <v>1.8362857095403518</v>
      </c>
      <c r="M133">
        <v>1.8362857095403518</v>
      </c>
      <c r="N133">
        <v>1.0916101642721945</v>
      </c>
      <c r="O133">
        <v>0.54457756481169484</v>
      </c>
      <c r="P133">
        <v>0.54457756481169484</v>
      </c>
      <c r="Q133">
        <v>0.59446640498304582</v>
      </c>
      <c r="R133">
        <v>1.682180845910914</v>
      </c>
      <c r="S133">
        <v>1.682180845910914</v>
      </c>
      <c r="T133">
        <v>0.91607794863904246</v>
      </c>
    </row>
    <row r="134" spans="1:20" x14ac:dyDescent="0.25">
      <c r="A134" s="12" t="s">
        <v>59</v>
      </c>
      <c r="B134" s="12" t="s">
        <v>37</v>
      </c>
      <c r="C134" s="12" t="s">
        <v>15</v>
      </c>
      <c r="D134" s="12">
        <v>4.4391855041263009</v>
      </c>
      <c r="E134" s="12">
        <v>10.45</v>
      </c>
      <c r="F134" s="12">
        <v>20</v>
      </c>
      <c r="G134" s="12">
        <v>10.45</v>
      </c>
      <c r="H134" s="12">
        <v>4.8685968137254898</v>
      </c>
      <c r="I134" s="12" t="s">
        <v>109</v>
      </c>
      <c r="J134" s="6">
        <v>46309</v>
      </c>
      <c r="K134">
        <v>46309</v>
      </c>
      <c r="L134">
        <v>2.3540354396739089</v>
      </c>
      <c r="M134">
        <v>2.3540354396739089</v>
      </c>
      <c r="N134">
        <v>1.0967320039228015</v>
      </c>
      <c r="O134">
        <v>0.42480244058624894</v>
      </c>
      <c r="P134">
        <v>0.42480244058624894</v>
      </c>
      <c r="Q134">
        <v>0.4658944319354536</v>
      </c>
      <c r="R134">
        <v>2.1464089962305946</v>
      </c>
      <c r="S134">
        <v>2.1464089962305946</v>
      </c>
      <c r="T134">
        <v>0.91179978009503726</v>
      </c>
    </row>
    <row r="135" spans="1:20" x14ac:dyDescent="0.25">
      <c r="A135" s="12" t="s">
        <v>59</v>
      </c>
      <c r="B135" s="12" t="s">
        <v>37</v>
      </c>
      <c r="C135" s="12" t="s">
        <v>14</v>
      </c>
      <c r="D135" s="12">
        <v>8.0022159745434642</v>
      </c>
      <c r="E135" s="12">
        <v>19</v>
      </c>
      <c r="F135" s="12">
        <v>20</v>
      </c>
      <c r="G135" s="12">
        <v>19</v>
      </c>
      <c r="H135" s="12">
        <v>10.025934436274506</v>
      </c>
      <c r="I135" s="12" t="s">
        <v>110</v>
      </c>
      <c r="J135" s="6">
        <v>46309</v>
      </c>
      <c r="K135">
        <v>46309</v>
      </c>
      <c r="L135">
        <v>2.3743423147341347</v>
      </c>
      <c r="M135">
        <v>2.3743423147341347</v>
      </c>
      <c r="N135">
        <v>1.2528947566735096</v>
      </c>
      <c r="O135">
        <v>0.42116926181807707</v>
      </c>
      <c r="P135">
        <v>0.42116926181807707</v>
      </c>
      <c r="Q135">
        <v>0.52768075980392137</v>
      </c>
      <c r="R135">
        <v>1.8950852033558807</v>
      </c>
      <c r="S135">
        <v>1.8950852033558807</v>
      </c>
      <c r="T135">
        <v>0.79815163617975682</v>
      </c>
    </row>
    <row r="136" spans="1:20" x14ac:dyDescent="0.25">
      <c r="A136" s="12" t="s">
        <v>59</v>
      </c>
      <c r="B136" s="12" t="s">
        <v>37</v>
      </c>
      <c r="C136" s="12" t="s">
        <v>13</v>
      </c>
      <c r="D136" s="12">
        <v>9.929757048703566</v>
      </c>
      <c r="E136" s="12">
        <v>19</v>
      </c>
      <c r="F136" s="12">
        <v>20</v>
      </c>
      <c r="G136" s="12">
        <v>19</v>
      </c>
      <c r="H136" s="12">
        <v>10.980468749999998</v>
      </c>
      <c r="I136" s="12" t="s">
        <v>111</v>
      </c>
      <c r="J136" s="6">
        <v>46309</v>
      </c>
      <c r="K136">
        <v>46309</v>
      </c>
      <c r="L136">
        <v>1.9134405712857445</v>
      </c>
      <c r="M136">
        <v>1.9134405712857445</v>
      </c>
      <c r="N136">
        <v>1.1058144419992244</v>
      </c>
      <c r="O136">
        <v>0.52261879203702977</v>
      </c>
      <c r="P136">
        <v>0.52261879203702977</v>
      </c>
      <c r="Q136">
        <v>0.57791940789473673</v>
      </c>
      <c r="R136">
        <v>1.7303450729277841</v>
      </c>
      <c r="S136">
        <v>1.7303450729277841</v>
      </c>
      <c r="T136">
        <v>0.90431085182074467</v>
      </c>
    </row>
    <row r="137" spans="1:20" x14ac:dyDescent="0.25">
      <c r="A137" s="12" t="s">
        <v>59</v>
      </c>
      <c r="B137" s="12" t="s">
        <v>37</v>
      </c>
      <c r="C137" s="12" t="s">
        <v>14</v>
      </c>
      <c r="D137" s="12">
        <v>8.8783710082526017</v>
      </c>
      <c r="E137" s="12">
        <v>20.9</v>
      </c>
      <c r="F137" s="12">
        <v>20</v>
      </c>
      <c r="G137" s="12">
        <v>20.9</v>
      </c>
      <c r="H137" s="12">
        <v>10.816260723039212</v>
      </c>
      <c r="I137" s="12" t="s">
        <v>113</v>
      </c>
      <c r="J137" s="6">
        <v>46310</v>
      </c>
      <c r="K137">
        <v>46310</v>
      </c>
      <c r="L137">
        <v>2.3540354396739089</v>
      </c>
      <c r="M137">
        <v>2.3540354396739089</v>
      </c>
      <c r="N137">
        <v>1.218270864439581</v>
      </c>
      <c r="O137">
        <v>0.42480244058624894</v>
      </c>
      <c r="P137">
        <v>0.42480244058624894</v>
      </c>
      <c r="Q137">
        <v>0.51752443650905322</v>
      </c>
      <c r="R137">
        <v>1.9322759070962374</v>
      </c>
      <c r="S137">
        <v>1.9322759070962374</v>
      </c>
      <c r="T137">
        <v>0.82083552122048964</v>
      </c>
    </row>
    <row r="138" spans="1:20" x14ac:dyDescent="0.25">
      <c r="A138" s="12" t="s">
        <v>59</v>
      </c>
      <c r="B138" s="12" t="s">
        <v>37</v>
      </c>
      <c r="C138" s="12" t="s">
        <v>15</v>
      </c>
      <c r="D138" s="12">
        <v>4.4391855041263009</v>
      </c>
      <c r="E138" s="12">
        <v>10.45</v>
      </c>
      <c r="F138" s="12">
        <v>20</v>
      </c>
      <c r="G138" s="12">
        <v>10.45</v>
      </c>
      <c r="H138" s="12">
        <v>4.9564874387254898</v>
      </c>
      <c r="I138" s="12" t="s">
        <v>112</v>
      </c>
      <c r="J138" s="6">
        <v>46310</v>
      </c>
      <c r="K138">
        <v>46310</v>
      </c>
      <c r="L138">
        <v>2.3540354396739089</v>
      </c>
      <c r="M138">
        <v>2.3540354396739089</v>
      </c>
      <c r="N138">
        <v>1.1165308217280732</v>
      </c>
      <c r="O138">
        <v>0.42480244058624894</v>
      </c>
      <c r="P138">
        <v>0.42480244058624894</v>
      </c>
      <c r="Q138">
        <v>0.47430501805985553</v>
      </c>
      <c r="R138">
        <v>2.1083479236431013</v>
      </c>
      <c r="S138">
        <v>2.1083479236431013</v>
      </c>
      <c r="T138">
        <v>0.8956313435685398</v>
      </c>
    </row>
    <row r="139" spans="1:20" x14ac:dyDescent="0.25">
      <c r="A139" s="12" t="s">
        <v>59</v>
      </c>
      <c r="B139" s="12" t="s">
        <v>37</v>
      </c>
      <c r="C139" s="12" t="s">
        <v>13</v>
      </c>
      <c r="D139" s="12">
        <v>10.92273275357392</v>
      </c>
      <c r="E139" s="12">
        <v>19.95</v>
      </c>
      <c r="F139" s="12">
        <v>20</v>
      </c>
      <c r="G139" s="12">
        <v>19.95</v>
      </c>
      <c r="H139" s="12">
        <v>11.977251838235295</v>
      </c>
      <c r="I139" s="12" t="s">
        <v>114</v>
      </c>
      <c r="J139" s="6">
        <v>46310</v>
      </c>
      <c r="K139">
        <v>46310</v>
      </c>
      <c r="L139">
        <v>1.8264659998636656</v>
      </c>
      <c r="M139">
        <v>1.8264659998636656</v>
      </c>
      <c r="N139">
        <v>1.0965435215208701</v>
      </c>
      <c r="O139">
        <v>0.54750540118165014</v>
      </c>
      <c r="P139">
        <v>0.54750540118165014</v>
      </c>
      <c r="Q139">
        <v>0.60036350066342337</v>
      </c>
      <c r="R139">
        <v>1.6656575539568343</v>
      </c>
      <c r="S139">
        <v>1.6656575539568343</v>
      </c>
      <c r="T139">
        <v>0.91195650731038258</v>
      </c>
    </row>
    <row r="140" spans="1:20" x14ac:dyDescent="0.25">
      <c r="A140" s="12" t="s">
        <v>59</v>
      </c>
      <c r="B140" s="12" t="s">
        <v>37</v>
      </c>
      <c r="C140" s="12" t="s">
        <v>15</v>
      </c>
      <c r="D140" s="12">
        <v>4.4391855041263009</v>
      </c>
      <c r="E140" s="12">
        <v>10.45</v>
      </c>
      <c r="F140" s="12">
        <v>20</v>
      </c>
      <c r="G140" s="12">
        <v>10.45</v>
      </c>
      <c r="H140" s="12">
        <v>4.9868566176470583</v>
      </c>
      <c r="I140" s="12" t="s">
        <v>117</v>
      </c>
      <c r="J140" s="6">
        <v>46311</v>
      </c>
      <c r="K140">
        <v>46311</v>
      </c>
      <c r="L140">
        <v>2.3540354396739089</v>
      </c>
      <c r="M140">
        <v>2.3540354396739089</v>
      </c>
      <c r="N140">
        <v>1.123371981867324</v>
      </c>
      <c r="O140">
        <v>0.42480244058624894</v>
      </c>
      <c r="P140">
        <v>0.42480244058624894</v>
      </c>
      <c r="Q140">
        <v>0.47721115958345062</v>
      </c>
      <c r="R140">
        <v>2.0955084136609101</v>
      </c>
      <c r="S140">
        <v>2.0955084136609101</v>
      </c>
      <c r="T140">
        <v>0.89017708839217347</v>
      </c>
    </row>
    <row r="141" spans="1:20" x14ac:dyDescent="0.25">
      <c r="A141" s="12" t="s">
        <v>59</v>
      </c>
      <c r="B141" s="12" t="s">
        <v>37</v>
      </c>
      <c r="C141" s="12" t="s">
        <v>14</v>
      </c>
      <c r="D141" s="12">
        <v>8.9367813438332124</v>
      </c>
      <c r="E141" s="12">
        <v>19</v>
      </c>
      <c r="F141" s="12">
        <v>20</v>
      </c>
      <c r="G141" s="12">
        <v>19</v>
      </c>
      <c r="H141" s="12">
        <v>10.67559742647058</v>
      </c>
      <c r="I141" s="12" t="s">
        <v>116</v>
      </c>
      <c r="J141" s="6">
        <v>46311</v>
      </c>
      <c r="K141">
        <v>46311</v>
      </c>
      <c r="L141">
        <v>2.1260450792063823</v>
      </c>
      <c r="M141">
        <v>2.1260450792063823</v>
      </c>
      <c r="N141">
        <v>1.1945684934808469</v>
      </c>
      <c r="O141">
        <v>0.47035691283332698</v>
      </c>
      <c r="P141">
        <v>0.47035691283332698</v>
      </c>
      <c r="Q141">
        <v>0.56187354876160944</v>
      </c>
      <c r="R141">
        <v>1.7797598804998702</v>
      </c>
      <c r="S141">
        <v>1.7797598804998702</v>
      </c>
      <c r="T141">
        <v>0.83712236297652987</v>
      </c>
    </row>
    <row r="142" spans="1:20" x14ac:dyDescent="0.25">
      <c r="A142" s="12" t="s">
        <v>59</v>
      </c>
      <c r="B142" s="12" t="s">
        <v>37</v>
      </c>
      <c r="C142" s="12" t="s">
        <v>13</v>
      </c>
      <c r="D142" s="12">
        <v>9.9297570487035642</v>
      </c>
      <c r="E142" s="12">
        <v>17.099999999999998</v>
      </c>
      <c r="F142" s="12">
        <v>20</v>
      </c>
      <c r="G142" s="12">
        <v>17.099999999999998</v>
      </c>
      <c r="H142" s="12">
        <v>10.212545955882341</v>
      </c>
      <c r="I142" s="12" t="s">
        <v>115</v>
      </c>
      <c r="J142" s="6">
        <v>46311</v>
      </c>
      <c r="K142">
        <v>46311</v>
      </c>
      <c r="L142">
        <v>1.7220965141571702</v>
      </c>
      <c r="M142">
        <v>1.7220965141571702</v>
      </c>
      <c r="N142">
        <v>1.0284789351634436</v>
      </c>
      <c r="O142">
        <v>0.58068754670781086</v>
      </c>
      <c r="P142">
        <v>0.58068754670781086</v>
      </c>
      <c r="Q142">
        <v>0.59722490970072173</v>
      </c>
      <c r="R142">
        <v>1.6744110698616286</v>
      </c>
      <c r="S142">
        <v>1.6744110698616286</v>
      </c>
      <c r="T142">
        <v>0.97230965633834998</v>
      </c>
    </row>
    <row r="143" spans="1:20" x14ac:dyDescent="0.25">
      <c r="A143" s="12" t="s">
        <v>59</v>
      </c>
      <c r="B143" s="12" t="s">
        <v>37</v>
      </c>
      <c r="C143" s="12" t="s">
        <v>14</v>
      </c>
      <c r="D143" s="12">
        <v>8.0606263101240749</v>
      </c>
      <c r="E143" s="12">
        <v>19.95</v>
      </c>
      <c r="F143" s="12">
        <v>20</v>
      </c>
      <c r="G143" s="12">
        <v>19.95</v>
      </c>
      <c r="H143" s="12">
        <v>10.697801776960777</v>
      </c>
      <c r="I143" s="12" t="s">
        <v>118</v>
      </c>
      <c r="J143" s="6">
        <v>46312</v>
      </c>
      <c r="K143">
        <v>46312</v>
      </c>
      <c r="L143">
        <v>2.474993782423951</v>
      </c>
      <c r="M143">
        <v>2.474993782423951</v>
      </c>
      <c r="N143">
        <v>1.3271675630868078</v>
      </c>
      <c r="O143">
        <v>0.40404141905383834</v>
      </c>
      <c r="P143">
        <v>0.40404141905383834</v>
      </c>
      <c r="Q143">
        <v>0.53623066551181842</v>
      </c>
      <c r="R143">
        <v>1.8648691026379958</v>
      </c>
      <c r="S143">
        <v>1.8648691026379958</v>
      </c>
      <c r="T143">
        <v>0.7534843585795139</v>
      </c>
    </row>
    <row r="144" spans="1:20" x14ac:dyDescent="0.25">
      <c r="A144" s="12" t="s">
        <v>59</v>
      </c>
      <c r="B144" s="12" t="s">
        <v>37</v>
      </c>
      <c r="C144" s="12" t="s">
        <v>13</v>
      </c>
      <c r="D144" s="12">
        <v>9.9297570487035678</v>
      </c>
      <c r="E144" s="12">
        <v>17.099999999999998</v>
      </c>
      <c r="F144" s="12">
        <v>20</v>
      </c>
      <c r="G144" s="12">
        <v>17.099999999999998</v>
      </c>
      <c r="H144" s="12">
        <v>11.094898897058822</v>
      </c>
      <c r="I144" s="12" t="s">
        <v>119</v>
      </c>
      <c r="J144" s="6">
        <v>46312</v>
      </c>
      <c r="K144">
        <v>46312</v>
      </c>
      <c r="L144">
        <v>1.7220965141571696</v>
      </c>
      <c r="M144">
        <v>1.7220965141571696</v>
      </c>
      <c r="N144">
        <v>1.1173384044182004</v>
      </c>
      <c r="O144">
        <v>0.58068754670781109</v>
      </c>
      <c r="P144">
        <v>0.58068754670781109</v>
      </c>
      <c r="Q144">
        <v>0.64882449690402477</v>
      </c>
      <c r="R144">
        <v>1.5412488350419384</v>
      </c>
      <c r="S144">
        <v>1.5412488350419384</v>
      </c>
      <c r="T144">
        <v>0.89498400488677499</v>
      </c>
    </row>
    <row r="145" spans="1:20" x14ac:dyDescent="0.25">
      <c r="A145" s="12" t="s">
        <v>59</v>
      </c>
      <c r="B145" s="12" t="s">
        <v>37</v>
      </c>
      <c r="C145" s="12" t="s">
        <v>15</v>
      </c>
      <c r="D145" s="12">
        <v>4.4391855041263009</v>
      </c>
      <c r="E145" s="12">
        <v>11.4</v>
      </c>
      <c r="F145" s="12">
        <v>20</v>
      </c>
      <c r="G145" s="12">
        <v>11.4</v>
      </c>
      <c r="H145" s="12">
        <v>4.9572993259803919</v>
      </c>
      <c r="I145" s="12" t="s">
        <v>120</v>
      </c>
      <c r="J145" s="6">
        <v>46312</v>
      </c>
      <c r="K145">
        <v>46312</v>
      </c>
      <c r="L145">
        <v>2.5680386614624457</v>
      </c>
      <c r="M145">
        <v>2.5680386614624457</v>
      </c>
      <c r="N145">
        <v>1.116713712768366</v>
      </c>
      <c r="O145">
        <v>0.38940223720406153</v>
      </c>
      <c r="P145">
        <v>0.38940223720406153</v>
      </c>
      <c r="Q145">
        <v>0.43485081806845549</v>
      </c>
      <c r="R145">
        <v>2.2996392290161842</v>
      </c>
      <c r="S145">
        <v>2.2996392290161842</v>
      </c>
      <c r="T145">
        <v>0.89548466054112541</v>
      </c>
    </row>
    <row r="146" spans="1:20" x14ac:dyDescent="0.25">
      <c r="A146" s="12" t="s">
        <v>59</v>
      </c>
      <c r="B146" s="12" t="s">
        <v>37</v>
      </c>
      <c r="C146" s="12" t="s">
        <v>13</v>
      </c>
      <c r="D146" s="12">
        <v>9.929757048703566</v>
      </c>
      <c r="E146" s="12">
        <v>15.2</v>
      </c>
      <c r="F146" s="12">
        <v>20</v>
      </c>
      <c r="G146" s="12">
        <v>15.2</v>
      </c>
      <c r="H146" s="12">
        <v>10.212545955882351</v>
      </c>
      <c r="I146" s="12" t="s">
        <v>121</v>
      </c>
      <c r="J146" s="6">
        <v>46313</v>
      </c>
      <c r="K146">
        <v>46313</v>
      </c>
      <c r="L146">
        <v>1.5307524570285955</v>
      </c>
      <c r="M146">
        <v>1.5307524570285955</v>
      </c>
      <c r="N146">
        <v>1.0284789351634445</v>
      </c>
      <c r="O146">
        <v>0.65327349004628732</v>
      </c>
      <c r="P146">
        <v>0.65327349004628732</v>
      </c>
      <c r="Q146">
        <v>0.6718780234133126</v>
      </c>
      <c r="R146">
        <v>1.4883653954325573</v>
      </c>
      <c r="S146">
        <v>1.4883653954325573</v>
      </c>
      <c r="T146">
        <v>0.97230965633834909</v>
      </c>
    </row>
    <row r="147" spans="1:20" x14ac:dyDescent="0.25">
      <c r="A147" s="12" t="s">
        <v>59</v>
      </c>
      <c r="B147" s="12" t="s">
        <v>37</v>
      </c>
      <c r="C147" s="12" t="s">
        <v>15</v>
      </c>
      <c r="D147" s="12">
        <v>4.4391855041263009</v>
      </c>
      <c r="E147" s="12">
        <v>10.45</v>
      </c>
      <c r="F147" s="12">
        <v>20</v>
      </c>
      <c r="G147" s="12">
        <v>10.45</v>
      </c>
      <c r="H147" s="12">
        <v>4.9269301470588225</v>
      </c>
      <c r="I147" s="12" t="s">
        <v>122</v>
      </c>
      <c r="J147" s="6">
        <v>46313</v>
      </c>
      <c r="K147">
        <v>46313</v>
      </c>
      <c r="L147">
        <v>2.3540354396739089</v>
      </c>
      <c r="M147">
        <v>2.3540354396739089</v>
      </c>
      <c r="N147">
        <v>1.1098725526291151</v>
      </c>
      <c r="O147">
        <v>0.42480244058624894</v>
      </c>
      <c r="P147">
        <v>0.42480244058624894</v>
      </c>
      <c r="Q147">
        <v>0.47147656909653807</v>
      </c>
      <c r="R147">
        <v>2.1209961757298763</v>
      </c>
      <c r="S147">
        <v>2.1209961757298763</v>
      </c>
      <c r="T147">
        <v>0.90100435192415196</v>
      </c>
    </row>
    <row r="148" spans="1:20" x14ac:dyDescent="0.25">
      <c r="A148" s="12" t="s">
        <v>59</v>
      </c>
      <c r="B148" s="12" t="s">
        <v>37</v>
      </c>
      <c r="C148" s="12" t="s">
        <v>14</v>
      </c>
      <c r="D148" s="12">
        <v>8.1190366457046821</v>
      </c>
      <c r="E148" s="12">
        <v>19</v>
      </c>
      <c r="F148" s="12">
        <v>20</v>
      </c>
      <c r="G148" s="12">
        <v>19</v>
      </c>
      <c r="H148" s="12">
        <v>10.485523897058815</v>
      </c>
      <c r="I148" s="12" t="s">
        <v>123</v>
      </c>
      <c r="J148" s="6">
        <v>46313</v>
      </c>
      <c r="K148">
        <v>46313</v>
      </c>
      <c r="L148">
        <v>2.3401791159609822</v>
      </c>
      <c r="M148">
        <v>2.3401791159609822</v>
      </c>
      <c r="N148">
        <v>1.2914738970424657</v>
      </c>
      <c r="O148">
        <v>0.42731771819498326</v>
      </c>
      <c r="P148">
        <v>0.42731771819498326</v>
      </c>
      <c r="Q148">
        <v>0.55186967879256921</v>
      </c>
      <c r="R148">
        <v>1.8120220016216348</v>
      </c>
      <c r="S148">
        <v>1.8120220016216348</v>
      </c>
      <c r="T148">
        <v>0.77430910705206324</v>
      </c>
    </row>
    <row r="149" spans="1:20" x14ac:dyDescent="0.25">
      <c r="A149" s="12" t="s">
        <v>59</v>
      </c>
      <c r="B149" s="12" t="s">
        <v>37</v>
      </c>
      <c r="C149" s="12" t="s">
        <v>14</v>
      </c>
      <c r="D149" s="12">
        <v>8.1774469812852928</v>
      </c>
      <c r="E149" s="12">
        <v>19.95</v>
      </c>
      <c r="F149" s="12">
        <v>20</v>
      </c>
      <c r="G149" s="12">
        <v>19.95</v>
      </c>
      <c r="H149" s="12">
        <v>10.17954197303921</v>
      </c>
      <c r="I149" s="12" t="s">
        <v>124</v>
      </c>
      <c r="J149" s="6">
        <v>46314</v>
      </c>
      <c r="K149">
        <v>46314</v>
      </c>
      <c r="L149">
        <v>2.4396367283893232</v>
      </c>
      <c r="M149">
        <v>2.4396367283893232</v>
      </c>
      <c r="N149">
        <v>1.2448313020354476</v>
      </c>
      <c r="O149">
        <v>0.409897091793749</v>
      </c>
      <c r="P149">
        <v>0.409897091793749</v>
      </c>
      <c r="Q149">
        <v>0.51025273047815589</v>
      </c>
      <c r="R149">
        <v>1.9598131284136466</v>
      </c>
      <c r="S149">
        <v>1.9598131284136466</v>
      </c>
      <c r="T149">
        <v>0.80332170179596296</v>
      </c>
    </row>
    <row r="150" spans="1:20" x14ac:dyDescent="0.25">
      <c r="A150" s="12" t="s">
        <v>59</v>
      </c>
      <c r="B150" s="12" t="s">
        <v>37</v>
      </c>
      <c r="C150" s="12" t="s">
        <v>15</v>
      </c>
      <c r="D150" s="12">
        <v>4.4391855041263009</v>
      </c>
      <c r="E150" s="12">
        <v>10.45</v>
      </c>
      <c r="F150" s="12">
        <v>20</v>
      </c>
      <c r="G150" s="12">
        <v>10.45</v>
      </c>
      <c r="H150" s="12">
        <v>4.8983532475490188</v>
      </c>
      <c r="I150" s="12" t="s">
        <v>125</v>
      </c>
      <c r="J150" s="6">
        <v>46314</v>
      </c>
      <c r="K150">
        <v>46314</v>
      </c>
      <c r="L150">
        <v>2.3540354396739089</v>
      </c>
      <c r="M150">
        <v>2.3540354396739089</v>
      </c>
      <c r="N150">
        <v>1.1034351330882464</v>
      </c>
      <c r="O150">
        <v>0.42480244058624894</v>
      </c>
      <c r="P150">
        <v>0.42480244058624894</v>
      </c>
      <c r="Q150">
        <v>0.46874193756449944</v>
      </c>
      <c r="R150">
        <v>2.1333700270042488</v>
      </c>
      <c r="S150">
        <v>2.1333700270042488</v>
      </c>
      <c r="T150">
        <v>0.90626079414495653</v>
      </c>
    </row>
    <row r="151" spans="1:20" x14ac:dyDescent="0.25">
      <c r="A151" s="12" t="s">
        <v>59</v>
      </c>
      <c r="B151" s="12" t="s">
        <v>37</v>
      </c>
      <c r="C151" s="12" t="s">
        <v>13</v>
      </c>
      <c r="D151" s="12">
        <v>10.864322417993312</v>
      </c>
      <c r="E151" s="12">
        <v>18.05</v>
      </c>
      <c r="F151" s="12">
        <v>20</v>
      </c>
      <c r="G151" s="12">
        <v>18.05</v>
      </c>
      <c r="H151" s="12">
        <v>11.859604779411764</v>
      </c>
      <c r="I151" s="12" t="s">
        <v>126</v>
      </c>
      <c r="J151" s="6">
        <v>46314</v>
      </c>
      <c r="K151">
        <v>46314</v>
      </c>
      <c r="L151">
        <v>1.6614013562507945</v>
      </c>
      <c r="M151">
        <v>1.6614013562507945</v>
      </c>
      <c r="N151">
        <v>1.0916101642721945</v>
      </c>
      <c r="O151">
        <v>0.60190151900239952</v>
      </c>
      <c r="P151">
        <v>0.60190151900239952</v>
      </c>
      <c r="Q151">
        <v>0.65704181603389278</v>
      </c>
      <c r="R151">
        <v>1.5219731463003507</v>
      </c>
      <c r="S151">
        <v>1.5219731463003507</v>
      </c>
      <c r="T151">
        <v>0.91607794863904246</v>
      </c>
    </row>
    <row r="152" spans="1:20" x14ac:dyDescent="0.25">
      <c r="A152" s="12" t="s">
        <v>59</v>
      </c>
      <c r="B152" s="12" t="s">
        <v>37</v>
      </c>
      <c r="C152" s="12" t="s">
        <v>14</v>
      </c>
      <c r="D152" s="12">
        <v>9.0536020149944303</v>
      </c>
      <c r="E152" s="12">
        <v>19.95</v>
      </c>
      <c r="F152" s="12">
        <v>20</v>
      </c>
      <c r="G152" s="12">
        <v>19.95</v>
      </c>
      <c r="H152" s="12">
        <v>9.9193167892156815</v>
      </c>
      <c r="I152" s="12" t="s">
        <v>129</v>
      </c>
      <c r="J152" s="6">
        <v>46315</v>
      </c>
      <c r="K152">
        <v>46315</v>
      </c>
      <c r="L152">
        <v>2.2035428514484212</v>
      </c>
      <c r="M152">
        <v>2.2035428514484212</v>
      </c>
      <c r="N152">
        <v>1.0956210326881464</v>
      </c>
      <c r="O152">
        <v>0.45381463734307925</v>
      </c>
      <c r="P152">
        <v>0.45381463734307925</v>
      </c>
      <c r="Q152">
        <v>0.49720886161482114</v>
      </c>
      <c r="R152">
        <v>2.011227227029357</v>
      </c>
      <c r="S152">
        <v>2.011227227029357</v>
      </c>
      <c r="T152">
        <v>0.91272435464885449</v>
      </c>
    </row>
    <row r="153" spans="1:20" x14ac:dyDescent="0.25">
      <c r="A153" s="12" t="s">
        <v>59</v>
      </c>
      <c r="B153" s="12" t="s">
        <v>37</v>
      </c>
      <c r="C153" s="12" t="s">
        <v>13</v>
      </c>
      <c r="D153" s="12">
        <v>10.864322417993312</v>
      </c>
      <c r="E153" s="12">
        <v>19.95</v>
      </c>
      <c r="F153" s="12">
        <v>20</v>
      </c>
      <c r="G153" s="12">
        <v>19.95</v>
      </c>
      <c r="H153" s="12">
        <v>11.962086397058822</v>
      </c>
      <c r="I153" s="12" t="s">
        <v>127</v>
      </c>
      <c r="J153" s="6">
        <v>46315</v>
      </c>
      <c r="K153">
        <v>46315</v>
      </c>
      <c r="L153">
        <v>1.8362857095403518</v>
      </c>
      <c r="M153">
        <v>1.8362857095403518</v>
      </c>
      <c r="N153">
        <v>1.1010430229176016</v>
      </c>
      <c r="O153">
        <v>0.54457756481169484</v>
      </c>
      <c r="P153">
        <v>0.54457756481169484</v>
      </c>
      <c r="Q153">
        <v>0.59960332817337458</v>
      </c>
      <c r="R153">
        <v>1.6677692617991127</v>
      </c>
      <c r="S153">
        <v>1.6677692617991127</v>
      </c>
      <c r="T153">
        <v>0.90822972325835882</v>
      </c>
    </row>
    <row r="154" spans="1:20" x14ac:dyDescent="0.25">
      <c r="A154" s="12" t="s">
        <v>59</v>
      </c>
      <c r="B154" s="12" t="s">
        <v>37</v>
      </c>
      <c r="C154" s="12" t="s">
        <v>15</v>
      </c>
      <c r="D154" s="12">
        <v>4.4391855041263009</v>
      </c>
      <c r="E154" s="12">
        <v>10.45</v>
      </c>
      <c r="F154" s="12">
        <v>20</v>
      </c>
      <c r="G154" s="12">
        <v>10.45</v>
      </c>
      <c r="H154" s="12">
        <v>4.8685968137254898</v>
      </c>
      <c r="I154" s="12" t="s">
        <v>128</v>
      </c>
      <c r="J154" s="6">
        <v>46315</v>
      </c>
      <c r="K154">
        <v>46315</v>
      </c>
      <c r="L154">
        <v>2.3540354396739089</v>
      </c>
      <c r="M154">
        <v>2.3540354396739089</v>
      </c>
      <c r="N154">
        <v>1.0967320039228015</v>
      </c>
      <c r="O154">
        <v>0.42480244058624894</v>
      </c>
      <c r="P154">
        <v>0.42480244058624894</v>
      </c>
      <c r="Q154">
        <v>0.4658944319354536</v>
      </c>
      <c r="R154">
        <v>2.1464089962305946</v>
      </c>
      <c r="S154">
        <v>2.1464089962305946</v>
      </c>
      <c r="T154">
        <v>0.91179978009503726</v>
      </c>
    </row>
    <row r="155" spans="1:20" x14ac:dyDescent="0.25">
      <c r="A155" s="12" t="s">
        <v>59</v>
      </c>
      <c r="B155" s="12" t="s">
        <v>37</v>
      </c>
      <c r="C155" s="12" t="s">
        <v>14</v>
      </c>
      <c r="D155" s="12">
        <v>8.0022159745434642</v>
      </c>
      <c r="E155" s="12">
        <v>17.099999999999998</v>
      </c>
      <c r="F155" s="12">
        <v>20</v>
      </c>
      <c r="G155" s="12">
        <v>17.099999999999998</v>
      </c>
      <c r="H155" s="12">
        <v>9.1511642156862738</v>
      </c>
      <c r="I155" s="12" t="s">
        <v>130</v>
      </c>
      <c r="J155" s="6">
        <v>46316</v>
      </c>
      <c r="K155">
        <v>46316</v>
      </c>
      <c r="L155">
        <v>2.136908083260721</v>
      </c>
      <c r="M155">
        <v>2.136908083260721</v>
      </c>
      <c r="N155">
        <v>1.143578759283407</v>
      </c>
      <c r="O155">
        <v>0.46796584646453016</v>
      </c>
      <c r="P155">
        <v>0.46796584646453016</v>
      </c>
      <c r="Q155">
        <v>0.53515580208691671</v>
      </c>
      <c r="R155">
        <v>1.8686147026722999</v>
      </c>
      <c r="S155">
        <v>1.8686147026722999</v>
      </c>
      <c r="T155">
        <v>0.87444786105210914</v>
      </c>
    </row>
    <row r="156" spans="1:20" x14ac:dyDescent="0.25">
      <c r="A156" s="12" t="s">
        <v>59</v>
      </c>
      <c r="B156" s="12" t="s">
        <v>37</v>
      </c>
      <c r="C156" s="12" t="s">
        <v>13</v>
      </c>
      <c r="D156" s="12">
        <v>9.929757048703566</v>
      </c>
      <c r="E156" s="12">
        <v>19</v>
      </c>
      <c r="F156" s="12">
        <v>20</v>
      </c>
      <c r="G156" s="12">
        <v>19</v>
      </c>
      <c r="H156" s="12">
        <v>10.914751838235295</v>
      </c>
      <c r="I156" s="12" t="s">
        <v>132</v>
      </c>
      <c r="J156" s="6">
        <v>46316</v>
      </c>
      <c r="K156">
        <v>46316</v>
      </c>
      <c r="L156">
        <v>1.9134405712857445</v>
      </c>
      <c r="M156">
        <v>1.9134405712857445</v>
      </c>
      <c r="N156">
        <v>1.099196262778688</v>
      </c>
      <c r="O156">
        <v>0.52261879203702977</v>
      </c>
      <c r="P156">
        <v>0.52261879203702977</v>
      </c>
      <c r="Q156">
        <v>0.57446062306501555</v>
      </c>
      <c r="R156">
        <v>1.7407633523504766</v>
      </c>
      <c r="S156">
        <v>1.7407633523504766</v>
      </c>
      <c r="T156">
        <v>0.9097556404277366</v>
      </c>
    </row>
    <row r="157" spans="1:20" x14ac:dyDescent="0.25">
      <c r="A157" s="12" t="s">
        <v>59</v>
      </c>
      <c r="B157" s="12" t="s">
        <v>37</v>
      </c>
      <c r="C157" s="12" t="s">
        <v>15</v>
      </c>
      <c r="D157" s="12">
        <v>4.4391855041263009</v>
      </c>
      <c r="E157" s="12">
        <v>9.5</v>
      </c>
      <c r="F157" s="12">
        <v>20</v>
      </c>
      <c r="G157" s="12">
        <v>9.5</v>
      </c>
      <c r="H157" s="12">
        <v>4.8090839460784309</v>
      </c>
      <c r="I157" s="12" t="s">
        <v>131</v>
      </c>
      <c r="J157" s="6">
        <v>46316</v>
      </c>
      <c r="K157">
        <v>46316</v>
      </c>
      <c r="L157">
        <v>2.1400322178853717</v>
      </c>
      <c r="M157">
        <v>2.1400322178853717</v>
      </c>
      <c r="N157">
        <v>1.0833257455919116</v>
      </c>
      <c r="O157">
        <v>0.46728268464487377</v>
      </c>
      <c r="P157">
        <v>0.46728268464487377</v>
      </c>
      <c r="Q157">
        <v>0.50621936274509804</v>
      </c>
      <c r="R157">
        <v>1.9754281910064759</v>
      </c>
      <c r="S157">
        <v>1.9754281910064759</v>
      </c>
      <c r="T157">
        <v>0.92308338841667259</v>
      </c>
    </row>
    <row r="158" spans="1:20" x14ac:dyDescent="0.25">
      <c r="A158" s="12" t="s">
        <v>59</v>
      </c>
      <c r="B158" s="12" t="s">
        <v>37</v>
      </c>
      <c r="C158" s="12" t="s">
        <v>14</v>
      </c>
      <c r="D158" s="12">
        <v>7.9438056389628562</v>
      </c>
      <c r="E158" s="12">
        <v>19</v>
      </c>
      <c r="F158" s="12">
        <v>20</v>
      </c>
      <c r="G158" s="12">
        <v>19</v>
      </c>
      <c r="H158" s="12">
        <v>9.8012101715686235</v>
      </c>
      <c r="I158" s="12" t="s">
        <v>135</v>
      </c>
      <c r="J158" s="6">
        <v>46317</v>
      </c>
      <c r="K158">
        <v>46317</v>
      </c>
      <c r="L158">
        <v>2.3918007141071795</v>
      </c>
      <c r="M158">
        <v>2.3918007141071795</v>
      </c>
      <c r="N158">
        <v>1.2338179730248624</v>
      </c>
      <c r="O158">
        <v>0.41809503362962402</v>
      </c>
      <c r="P158">
        <v>0.41809503362962402</v>
      </c>
      <c r="Q158">
        <v>0.51585316692466443</v>
      </c>
      <c r="R158">
        <v>1.9385361263974576</v>
      </c>
      <c r="S158">
        <v>1.9385361263974576</v>
      </c>
      <c r="T158">
        <v>0.81049232695838613</v>
      </c>
    </row>
    <row r="159" spans="1:20" x14ac:dyDescent="0.25">
      <c r="A159" s="12" t="s">
        <v>59</v>
      </c>
      <c r="B159" s="12" t="s">
        <v>37</v>
      </c>
      <c r="C159" s="12" t="s">
        <v>15</v>
      </c>
      <c r="D159" s="12">
        <v>4.4391855041263009</v>
      </c>
      <c r="E159" s="12">
        <v>10.45</v>
      </c>
      <c r="F159" s="12">
        <v>20</v>
      </c>
      <c r="G159" s="12">
        <v>10.45</v>
      </c>
      <c r="H159" s="12">
        <v>4.9862438725490197</v>
      </c>
      <c r="I159" s="12" t="s">
        <v>134</v>
      </c>
      <c r="J159" s="6">
        <v>46317</v>
      </c>
      <c r="K159">
        <v>46317</v>
      </c>
      <c r="L159">
        <v>2.3540354396739089</v>
      </c>
      <c r="M159">
        <v>2.3540354396739089</v>
      </c>
      <c r="N159">
        <v>1.1232339508935183</v>
      </c>
      <c r="O159">
        <v>0.42480244058624894</v>
      </c>
      <c r="P159">
        <v>0.42480244058624894</v>
      </c>
      <c r="Q159">
        <v>0.47715252368890143</v>
      </c>
      <c r="R159">
        <v>2.0957659246333353</v>
      </c>
      <c r="S159">
        <v>2.0957659246333353</v>
      </c>
      <c r="T159">
        <v>0.89028647968173746</v>
      </c>
    </row>
    <row r="160" spans="1:20" x14ac:dyDescent="0.25">
      <c r="A160" s="12" t="s">
        <v>59</v>
      </c>
      <c r="B160" s="12" t="s">
        <v>37</v>
      </c>
      <c r="C160" s="12" t="s">
        <v>13</v>
      </c>
      <c r="D160" s="12">
        <v>10.864322417993312</v>
      </c>
      <c r="E160" s="12">
        <v>17.099999999999998</v>
      </c>
      <c r="F160" s="12">
        <v>20</v>
      </c>
      <c r="G160" s="12">
        <v>17.099999999999998</v>
      </c>
      <c r="H160" s="12">
        <v>10.212545955882351</v>
      </c>
      <c r="I160" s="12" t="s">
        <v>133</v>
      </c>
      <c r="J160" s="6">
        <v>46317</v>
      </c>
      <c r="K160">
        <v>46317</v>
      </c>
      <c r="L160">
        <v>1.5739591796060155</v>
      </c>
      <c r="M160">
        <v>1.5739591796060155</v>
      </c>
      <c r="N160">
        <v>0.94000762891282574</v>
      </c>
      <c r="O160">
        <v>0.63534049228031075</v>
      </c>
      <c r="P160">
        <v>0.63534049228031075</v>
      </c>
      <c r="Q160">
        <v>0.5972249097007224</v>
      </c>
      <c r="R160">
        <v>1.6744110698616268</v>
      </c>
      <c r="S160">
        <v>1.6744110698616268</v>
      </c>
      <c r="T160">
        <v>1.0638211534054878</v>
      </c>
    </row>
    <row r="161" spans="1:20" x14ac:dyDescent="0.25">
      <c r="A161" s="12" t="s">
        <v>59</v>
      </c>
      <c r="B161" s="12" t="s">
        <v>37</v>
      </c>
      <c r="C161" s="12" t="s">
        <v>13</v>
      </c>
      <c r="D161" s="12">
        <v>9.9297570487035642</v>
      </c>
      <c r="E161" s="12">
        <v>16.149999999999999</v>
      </c>
      <c r="F161" s="12">
        <v>20</v>
      </c>
      <c r="G161" s="12">
        <v>16.149999999999999</v>
      </c>
      <c r="H161" s="12">
        <v>10.212545955882341</v>
      </c>
      <c r="I161" s="12" t="s">
        <v>136</v>
      </c>
      <c r="J161" s="6">
        <v>46318</v>
      </c>
      <c r="K161">
        <v>46318</v>
      </c>
      <c r="L161">
        <v>1.6264244855928831</v>
      </c>
      <c r="M161">
        <v>1.6264244855928831</v>
      </c>
      <c r="N161">
        <v>1.0284789351634436</v>
      </c>
      <c r="O161">
        <v>0.61484563769062328</v>
      </c>
      <c r="P161">
        <v>0.61484563769062328</v>
      </c>
      <c r="Q161">
        <v>0.63235578674194071</v>
      </c>
      <c r="R161">
        <v>1.5813882326470936</v>
      </c>
      <c r="S161">
        <v>1.5813882326470936</v>
      </c>
      <c r="T161">
        <v>0.97230965633834998</v>
      </c>
    </row>
    <row r="162" spans="1:20" x14ac:dyDescent="0.25">
      <c r="A162" s="12" t="s">
        <v>59</v>
      </c>
      <c r="B162" s="12" t="s">
        <v>37</v>
      </c>
      <c r="C162" s="12" t="s">
        <v>15</v>
      </c>
      <c r="D162" s="12">
        <v>4.4391855041263009</v>
      </c>
      <c r="E162" s="12">
        <v>10.45</v>
      </c>
      <c r="F162" s="12">
        <v>20</v>
      </c>
      <c r="G162" s="12">
        <v>10.45</v>
      </c>
      <c r="H162" s="12">
        <v>4.9862438725490197</v>
      </c>
      <c r="I162" s="12" t="s">
        <v>137</v>
      </c>
      <c r="J162" s="6">
        <v>46318</v>
      </c>
      <c r="K162">
        <v>46318</v>
      </c>
      <c r="L162">
        <v>2.3540354396739089</v>
      </c>
      <c r="M162">
        <v>2.3540354396739089</v>
      </c>
      <c r="N162">
        <v>1.1232339508935183</v>
      </c>
      <c r="O162">
        <v>0.42480244058624894</v>
      </c>
      <c r="P162">
        <v>0.42480244058624894</v>
      </c>
      <c r="Q162">
        <v>0.47715252368890143</v>
      </c>
      <c r="R162">
        <v>2.0957659246333353</v>
      </c>
      <c r="S162">
        <v>2.0957659246333353</v>
      </c>
      <c r="T162">
        <v>0.89028647968173746</v>
      </c>
    </row>
    <row r="163" spans="1:20" x14ac:dyDescent="0.25">
      <c r="A163" s="12" t="s">
        <v>59</v>
      </c>
      <c r="B163" s="12" t="s">
        <v>37</v>
      </c>
      <c r="C163" s="12" t="s">
        <v>14</v>
      </c>
      <c r="D163" s="12">
        <v>8.9951916794138196</v>
      </c>
      <c r="E163" s="12">
        <v>19</v>
      </c>
      <c r="F163" s="12">
        <v>20</v>
      </c>
      <c r="G163" s="12">
        <v>19</v>
      </c>
      <c r="H163" s="12">
        <v>9.92621017156862</v>
      </c>
      <c r="I163" s="12" t="s">
        <v>138</v>
      </c>
      <c r="J163" s="6">
        <v>46318</v>
      </c>
      <c r="K163">
        <v>46318</v>
      </c>
      <c r="L163">
        <v>2.1122395916790686</v>
      </c>
      <c r="M163">
        <v>2.1122395916790686</v>
      </c>
      <c r="N163">
        <v>1.1035017957744588</v>
      </c>
      <c r="O163">
        <v>0.47343114102177997</v>
      </c>
      <c r="P163">
        <v>0.47343114102177997</v>
      </c>
      <c r="Q163">
        <v>0.52243211429308523</v>
      </c>
      <c r="R163">
        <v>1.9141242902977407</v>
      </c>
      <c r="S163">
        <v>1.9141242902977407</v>
      </c>
      <c r="T163">
        <v>0.90620604681316419</v>
      </c>
    </row>
    <row r="164" spans="1:20" x14ac:dyDescent="0.25">
      <c r="A164" s="12" t="s">
        <v>59</v>
      </c>
      <c r="B164" s="12" t="s">
        <v>37</v>
      </c>
      <c r="C164" s="12" t="s">
        <v>14</v>
      </c>
      <c r="D164" s="12">
        <v>8.8783710082525999</v>
      </c>
      <c r="E164" s="12">
        <v>19.95</v>
      </c>
      <c r="F164" s="12">
        <v>20</v>
      </c>
      <c r="G164" s="12">
        <v>19.95</v>
      </c>
      <c r="H164" s="12">
        <v>10.393466605392153</v>
      </c>
      <c r="I164" s="12" t="s">
        <v>140</v>
      </c>
      <c r="J164" s="6">
        <v>46319</v>
      </c>
      <c r="K164">
        <v>46319</v>
      </c>
      <c r="L164">
        <v>2.247033828779641</v>
      </c>
      <c r="M164">
        <v>2.247033828779641</v>
      </c>
      <c r="N164">
        <v>1.1706501784765746</v>
      </c>
      <c r="O164">
        <v>0.44503112823321306</v>
      </c>
      <c r="P164">
        <v>0.44503112823321306</v>
      </c>
      <c r="Q164">
        <v>0.52097576969384229</v>
      </c>
      <c r="R164">
        <v>1.9194750661583784</v>
      </c>
      <c r="S164">
        <v>1.9194750661583784</v>
      </c>
      <c r="T164">
        <v>0.85422615430798443</v>
      </c>
    </row>
    <row r="165" spans="1:20" x14ac:dyDescent="0.25">
      <c r="A165" s="12" t="s">
        <v>59</v>
      </c>
      <c r="B165" s="12" t="s">
        <v>37</v>
      </c>
      <c r="C165" s="12" t="s">
        <v>15</v>
      </c>
      <c r="D165" s="12">
        <v>4.3223648329650821</v>
      </c>
      <c r="E165" s="12">
        <v>10.45</v>
      </c>
      <c r="F165" s="12">
        <v>20</v>
      </c>
      <c r="G165" s="12">
        <v>10.45</v>
      </c>
      <c r="H165" s="12">
        <v>4.9564874387254898</v>
      </c>
      <c r="I165" s="12" t="s">
        <v>139</v>
      </c>
      <c r="J165" s="6">
        <v>46319</v>
      </c>
      <c r="K165">
        <v>46319</v>
      </c>
      <c r="L165">
        <v>2.4176580191245551</v>
      </c>
      <c r="M165">
        <v>2.4176580191245551</v>
      </c>
      <c r="N165">
        <v>1.1467073304234268</v>
      </c>
      <c r="O165">
        <v>0.41362342899187393</v>
      </c>
      <c r="P165">
        <v>0.41362342899187393</v>
      </c>
      <c r="Q165">
        <v>0.47430501805985553</v>
      </c>
      <c r="R165">
        <v>2.1083479236431013</v>
      </c>
      <c r="S165">
        <v>2.1083479236431013</v>
      </c>
      <c r="T165">
        <v>0.87206209768515708</v>
      </c>
    </row>
    <row r="166" spans="1:20" x14ac:dyDescent="0.25">
      <c r="A166" s="12" t="s">
        <v>59</v>
      </c>
      <c r="B166" s="12" t="s">
        <v>37</v>
      </c>
      <c r="C166" s="12" t="s">
        <v>13</v>
      </c>
      <c r="D166" s="12">
        <v>9.9297570487035678</v>
      </c>
      <c r="E166" s="12">
        <v>15.2</v>
      </c>
      <c r="F166" s="12">
        <v>20</v>
      </c>
      <c r="G166" s="12">
        <v>15.2</v>
      </c>
      <c r="H166" s="12">
        <v>10.212545955882351</v>
      </c>
      <c r="I166" s="12" t="s">
        <v>141</v>
      </c>
      <c r="J166" s="6">
        <v>46319</v>
      </c>
      <c r="K166">
        <v>46319</v>
      </c>
      <c r="L166">
        <v>1.5307524570285953</v>
      </c>
      <c r="M166">
        <v>1.5307524570285953</v>
      </c>
      <c r="N166">
        <v>1.0284789351634445</v>
      </c>
      <c r="O166">
        <v>0.65327349004628743</v>
      </c>
      <c r="P166">
        <v>0.65327349004628743</v>
      </c>
      <c r="Q166">
        <v>0.6718780234133126</v>
      </c>
      <c r="R166">
        <v>1.4883653954325573</v>
      </c>
      <c r="S166">
        <v>1.4883653954325573</v>
      </c>
      <c r="T166">
        <v>0.97230965633834932</v>
      </c>
    </row>
    <row r="167" spans="1:20" x14ac:dyDescent="0.25">
      <c r="A167" s="12" t="s">
        <v>59</v>
      </c>
      <c r="B167" s="12" t="s">
        <v>37</v>
      </c>
      <c r="C167" s="12" t="s">
        <v>14</v>
      </c>
      <c r="D167" s="12">
        <v>8.9367813438332107</v>
      </c>
      <c r="E167" s="12">
        <v>19.95</v>
      </c>
      <c r="F167" s="12">
        <v>20</v>
      </c>
      <c r="G167" s="12">
        <v>19.95</v>
      </c>
      <c r="H167" s="12">
        <v>10.676210171568618</v>
      </c>
      <c r="I167" s="12" t="s">
        <v>143</v>
      </c>
      <c r="J167" s="6">
        <v>46320</v>
      </c>
      <c r="K167">
        <v>46320</v>
      </c>
      <c r="L167">
        <v>2.2323473331667016</v>
      </c>
      <c r="M167">
        <v>2.2323473331667016</v>
      </c>
      <c r="N167">
        <v>1.1946370578861363</v>
      </c>
      <c r="O167">
        <v>0.44795896460316847</v>
      </c>
      <c r="P167">
        <v>0.44795896460316847</v>
      </c>
      <c r="Q167">
        <v>0.53514837952724903</v>
      </c>
      <c r="R167">
        <v>1.8686406205385535</v>
      </c>
      <c r="S167">
        <v>1.8686406205385535</v>
      </c>
      <c r="T167">
        <v>0.83707431759187267</v>
      </c>
    </row>
    <row r="168" spans="1:20" x14ac:dyDescent="0.25">
      <c r="A168" s="12" t="s">
        <v>59</v>
      </c>
      <c r="B168" s="12" t="s">
        <v>37</v>
      </c>
      <c r="C168" s="12" t="s">
        <v>15</v>
      </c>
      <c r="D168" s="12">
        <v>4.4391855041263009</v>
      </c>
      <c r="E168" s="12">
        <v>10.45</v>
      </c>
      <c r="F168" s="12">
        <v>20</v>
      </c>
      <c r="G168" s="12">
        <v>10.45</v>
      </c>
      <c r="H168" s="12">
        <v>4.9862438725490197</v>
      </c>
      <c r="I168" s="12" t="s">
        <v>142</v>
      </c>
      <c r="J168" s="6">
        <v>46320</v>
      </c>
      <c r="K168">
        <v>46320</v>
      </c>
      <c r="L168">
        <v>2.3540354396739089</v>
      </c>
      <c r="M168">
        <v>2.3540354396739089</v>
      </c>
      <c r="N168">
        <v>1.1232339508935183</v>
      </c>
      <c r="O168">
        <v>0.42480244058624894</v>
      </c>
      <c r="P168">
        <v>0.42480244058624894</v>
      </c>
      <c r="Q168">
        <v>0.47715252368890143</v>
      </c>
      <c r="R168">
        <v>2.0957659246333353</v>
      </c>
      <c r="S168">
        <v>2.0957659246333353</v>
      </c>
      <c r="T168">
        <v>0.89028647968173746</v>
      </c>
    </row>
    <row r="169" spans="1:20" x14ac:dyDescent="0.25">
      <c r="A169" s="12" t="s">
        <v>59</v>
      </c>
      <c r="B169" s="12" t="s">
        <v>37</v>
      </c>
      <c r="C169" s="12" t="s">
        <v>13</v>
      </c>
      <c r="D169" s="12">
        <v>9.929757048703566</v>
      </c>
      <c r="E169" s="12">
        <v>14.25</v>
      </c>
      <c r="F169" s="12">
        <v>20</v>
      </c>
      <c r="G169" s="12">
        <v>14.25</v>
      </c>
      <c r="H169" s="12">
        <v>10.212545955882351</v>
      </c>
      <c r="I169" s="12" t="s">
        <v>144</v>
      </c>
      <c r="J169" s="6">
        <v>46320</v>
      </c>
      <c r="K169">
        <v>46320</v>
      </c>
      <c r="L169">
        <v>1.4350804284643084</v>
      </c>
      <c r="M169">
        <v>1.4350804284643084</v>
      </c>
      <c r="N169">
        <v>1.0284789351634445</v>
      </c>
      <c r="O169">
        <v>0.69682505604937306</v>
      </c>
      <c r="P169">
        <v>0.69682505604937306</v>
      </c>
      <c r="Q169">
        <v>0.71666989164086681</v>
      </c>
      <c r="R169">
        <v>1.3953425582180226</v>
      </c>
      <c r="S169">
        <v>1.3953425582180226</v>
      </c>
      <c r="T169">
        <v>0.97230965633834909</v>
      </c>
    </row>
    <row r="170" spans="1:20" x14ac:dyDescent="0.25">
      <c r="A170" s="12" t="s">
        <v>59</v>
      </c>
      <c r="B170" s="12" t="s">
        <v>37</v>
      </c>
      <c r="C170" s="12" t="s">
        <v>15</v>
      </c>
      <c r="D170" s="12">
        <v>4.4391855041263009</v>
      </c>
      <c r="E170" s="12">
        <v>9.5</v>
      </c>
      <c r="F170" s="12">
        <v>20</v>
      </c>
      <c r="G170" s="12">
        <v>9.5</v>
      </c>
      <c r="H170" s="12">
        <v>4.0482843137254898</v>
      </c>
      <c r="I170" s="12" t="s">
        <v>147</v>
      </c>
      <c r="J170" s="6">
        <v>46321</v>
      </c>
      <c r="K170">
        <v>46321</v>
      </c>
      <c r="L170">
        <v>2.1400322178853717</v>
      </c>
      <c r="M170">
        <v>2.1400322178853717</v>
      </c>
      <c r="N170">
        <v>0.91194303774026531</v>
      </c>
      <c r="O170">
        <v>0.46728268464487377</v>
      </c>
      <c r="P170">
        <v>0.46728268464487377</v>
      </c>
      <c r="Q170">
        <v>0.42613519091847263</v>
      </c>
      <c r="R170">
        <v>2.3466731246594419</v>
      </c>
      <c r="S170">
        <v>2.3466731246594419</v>
      </c>
      <c r="T170">
        <v>1.0965597176748385</v>
      </c>
    </row>
    <row r="171" spans="1:20" x14ac:dyDescent="0.25">
      <c r="A171" s="12" t="s">
        <v>59</v>
      </c>
      <c r="B171" s="12" t="s">
        <v>37</v>
      </c>
      <c r="C171" s="12" t="s">
        <v>14</v>
      </c>
      <c r="D171" s="12">
        <v>8.1774469812852928</v>
      </c>
      <c r="E171" s="12">
        <v>18.05</v>
      </c>
      <c r="F171" s="12">
        <v>20</v>
      </c>
      <c r="G171" s="12">
        <v>18.05</v>
      </c>
      <c r="H171" s="12">
        <v>9.2212775735294077</v>
      </c>
      <c r="I171" s="12" t="s">
        <v>145</v>
      </c>
      <c r="J171" s="6">
        <v>46321</v>
      </c>
      <c r="K171">
        <v>46321</v>
      </c>
      <c r="L171">
        <v>2.2072903733046259</v>
      </c>
      <c r="M171">
        <v>2.2072903733046259</v>
      </c>
      <c r="N171">
        <v>1.1276474912809584</v>
      </c>
      <c r="O171">
        <v>0.45304415408782783</v>
      </c>
      <c r="P171">
        <v>0.45304415408782783</v>
      </c>
      <c r="Q171">
        <v>0.51087410379664311</v>
      </c>
      <c r="R171">
        <v>1.9574294186539094</v>
      </c>
      <c r="S171">
        <v>1.9574294186539094</v>
      </c>
      <c r="T171">
        <v>0.88680195516068894</v>
      </c>
    </row>
    <row r="172" spans="1:20" x14ac:dyDescent="0.25">
      <c r="A172" s="12" t="s">
        <v>59</v>
      </c>
      <c r="B172" s="12" t="s">
        <v>37</v>
      </c>
      <c r="C172" s="12" t="s">
        <v>13</v>
      </c>
      <c r="D172" s="12">
        <v>10.864322417993312</v>
      </c>
      <c r="E172" s="12">
        <v>14.25</v>
      </c>
      <c r="F172" s="12">
        <v>20</v>
      </c>
      <c r="G172" s="12">
        <v>14.25</v>
      </c>
      <c r="H172" s="12">
        <v>9.2851256127450963</v>
      </c>
      <c r="I172" s="12" t="s">
        <v>146</v>
      </c>
      <c r="J172" s="6">
        <v>46321</v>
      </c>
      <c r="K172">
        <v>46321</v>
      </c>
      <c r="L172">
        <v>1.3116326496716799</v>
      </c>
      <c r="M172">
        <v>1.3116326496716799</v>
      </c>
      <c r="N172">
        <v>0.85464378315643719</v>
      </c>
      <c r="O172">
        <v>0.76240859073637279</v>
      </c>
      <c r="P172">
        <v>0.76240859073637279</v>
      </c>
      <c r="Q172">
        <v>0.6515877622979015</v>
      </c>
      <c r="R172">
        <v>1.5347126785705449</v>
      </c>
      <c r="S172">
        <v>1.5347126785705449</v>
      </c>
      <c r="T172">
        <v>1.1700781304542132</v>
      </c>
    </row>
    <row r="173" spans="1:20" x14ac:dyDescent="0.25">
      <c r="A173" s="12" t="s">
        <v>60</v>
      </c>
      <c r="B173" s="12" t="s">
        <v>37</v>
      </c>
      <c r="C173" s="12" t="s">
        <v>15</v>
      </c>
      <c r="D173" s="12">
        <v>3.5458747546381306</v>
      </c>
      <c r="E173" s="12">
        <v>8.5499999999999989</v>
      </c>
      <c r="F173" s="12">
        <v>20</v>
      </c>
      <c r="G173" s="12">
        <v>8.5499999999999989</v>
      </c>
      <c r="H173" s="12">
        <v>3.9407169117647047</v>
      </c>
      <c r="I173" s="12" t="s">
        <v>61</v>
      </c>
      <c r="J173" s="6">
        <v>46293</v>
      </c>
      <c r="K173">
        <v>46293</v>
      </c>
      <c r="L173">
        <v>2.4112526785714286</v>
      </c>
      <c r="M173">
        <v>2.4112526785714286</v>
      </c>
      <c r="N173">
        <v>1.1113525390624996</v>
      </c>
      <c r="O173">
        <v>0.41472219352492762</v>
      </c>
      <c r="P173">
        <v>0.41472219352492762</v>
      </c>
      <c r="Q173">
        <v>0.4609025627794977</v>
      </c>
      <c r="R173">
        <v>2.1696559766763852</v>
      </c>
      <c r="S173">
        <v>2.1696559766763852</v>
      </c>
      <c r="T173">
        <v>0.8998044858416997</v>
      </c>
    </row>
    <row r="174" spans="1:20" x14ac:dyDescent="0.25">
      <c r="A174" s="12" t="s">
        <v>60</v>
      </c>
      <c r="B174" s="12" t="s">
        <v>37</v>
      </c>
      <c r="C174" s="12" t="s">
        <v>13</v>
      </c>
      <c r="D174" s="12">
        <v>9.5295384030899761</v>
      </c>
      <c r="E174" s="12">
        <v>10.45</v>
      </c>
      <c r="F174" s="12">
        <v>20</v>
      </c>
      <c r="G174" s="12">
        <v>10.45</v>
      </c>
      <c r="H174" s="12">
        <v>8.8694301470588215</v>
      </c>
      <c r="I174" s="12" t="s">
        <v>63</v>
      </c>
      <c r="J174" s="6">
        <v>46293</v>
      </c>
      <c r="K174">
        <v>46293</v>
      </c>
      <c r="L174">
        <v>1.096590365448505</v>
      </c>
      <c r="M174">
        <v>1.096590365448505</v>
      </c>
      <c r="N174">
        <v>0.93073030107973409</v>
      </c>
      <c r="O174">
        <v>0.91191755053492596</v>
      </c>
      <c r="P174">
        <v>0.91191755053492596</v>
      </c>
      <c r="Q174">
        <v>0.84874929636926533</v>
      </c>
      <c r="R174">
        <v>1.1782042168137834</v>
      </c>
      <c r="S174">
        <v>1.1782042168137834</v>
      </c>
      <c r="T174">
        <v>1.0744251034267462</v>
      </c>
    </row>
    <row r="175" spans="1:20" x14ac:dyDescent="0.25">
      <c r="A175" s="12" t="s">
        <v>60</v>
      </c>
      <c r="B175" s="12" t="s">
        <v>37</v>
      </c>
      <c r="C175" s="12" t="s">
        <v>14</v>
      </c>
      <c r="D175" s="12">
        <v>7.313366681441142</v>
      </c>
      <c r="E175" s="12">
        <v>14.25</v>
      </c>
      <c r="F175" s="12">
        <v>20</v>
      </c>
      <c r="G175" s="12">
        <v>14.25</v>
      </c>
      <c r="H175" s="12">
        <v>7.347711397058819</v>
      </c>
      <c r="I175" s="12" t="s">
        <v>62</v>
      </c>
      <c r="J175" s="6">
        <v>46293</v>
      </c>
      <c r="K175">
        <v>46293</v>
      </c>
      <c r="L175">
        <v>1.9484870129870138</v>
      </c>
      <c r="M175">
        <v>1.9484870129870138</v>
      </c>
      <c r="N175">
        <v>1.0046961566558439</v>
      </c>
      <c r="O175">
        <v>0.51321871448709766</v>
      </c>
      <c r="P175">
        <v>0.51321871448709766</v>
      </c>
      <c r="Q175">
        <v>0.51562886996903989</v>
      </c>
      <c r="R175">
        <v>1.9393793835865771</v>
      </c>
      <c r="S175">
        <v>1.9393793835865771</v>
      </c>
      <c r="T175">
        <v>0.995325794147083</v>
      </c>
    </row>
    <row r="176" spans="1:20" x14ac:dyDescent="0.25">
      <c r="A176" s="12" t="s">
        <v>60</v>
      </c>
      <c r="B176" s="12" t="s">
        <v>37</v>
      </c>
      <c r="C176" s="12" t="s">
        <v>15</v>
      </c>
      <c r="D176" s="12">
        <v>3.5458747546381306</v>
      </c>
      <c r="E176" s="12">
        <v>9.5</v>
      </c>
      <c r="F176" s="12">
        <v>20</v>
      </c>
      <c r="G176" s="12">
        <v>9.5</v>
      </c>
      <c r="H176" s="12">
        <v>3.3235294117647056</v>
      </c>
      <c r="I176" s="12" t="s">
        <v>65</v>
      </c>
      <c r="J176" s="6">
        <v>46294</v>
      </c>
      <c r="K176">
        <v>46294</v>
      </c>
      <c r="L176">
        <v>2.679169642857143</v>
      </c>
      <c r="M176">
        <v>2.679169642857143</v>
      </c>
      <c r="N176">
        <v>0.93729464285714281</v>
      </c>
      <c r="O176">
        <v>0.37324997417243483</v>
      </c>
      <c r="P176">
        <v>0.37324997417243483</v>
      </c>
      <c r="Q176">
        <v>0.34984520123839008</v>
      </c>
      <c r="R176">
        <v>2.8584070796460179</v>
      </c>
      <c r="S176">
        <v>2.8584070796460179</v>
      </c>
      <c r="T176">
        <v>1.066900368652181</v>
      </c>
    </row>
    <row r="177" spans="1:20" x14ac:dyDescent="0.25">
      <c r="A177" s="12" t="s">
        <v>60</v>
      </c>
      <c r="B177" s="12" t="s">
        <v>37</v>
      </c>
      <c r="C177" s="12" t="s">
        <v>13</v>
      </c>
      <c r="D177" s="12">
        <v>9.5295384030899761</v>
      </c>
      <c r="E177" s="12">
        <v>13.3</v>
      </c>
      <c r="F177" s="12">
        <v>20</v>
      </c>
      <c r="G177" s="12">
        <v>13.3</v>
      </c>
      <c r="H177" s="12">
        <v>8.6304901960784299</v>
      </c>
      <c r="I177" s="12" t="s">
        <v>64</v>
      </c>
      <c r="J177" s="6">
        <v>46294</v>
      </c>
      <c r="K177">
        <v>46294</v>
      </c>
      <c r="L177">
        <v>1.3956604651162789</v>
      </c>
      <c r="M177">
        <v>1.3956604651162789</v>
      </c>
      <c r="N177">
        <v>0.90565668881506078</v>
      </c>
      <c r="O177">
        <v>0.71650664684887044</v>
      </c>
      <c r="P177">
        <v>0.71650664684887044</v>
      </c>
      <c r="Q177">
        <v>0.64890903729913008</v>
      </c>
      <c r="R177">
        <v>1.541048039895037</v>
      </c>
      <c r="S177">
        <v>1.541048039895037</v>
      </c>
      <c r="T177">
        <v>1.1041711636982174</v>
      </c>
    </row>
    <row r="178" spans="1:20" x14ac:dyDescent="0.25">
      <c r="A178" s="12" t="s">
        <v>60</v>
      </c>
      <c r="B178" s="12" t="s">
        <v>37</v>
      </c>
      <c r="C178" s="12" t="s">
        <v>14</v>
      </c>
      <c r="D178" s="12">
        <v>7.313366681441142</v>
      </c>
      <c r="E178" s="12">
        <v>15.2</v>
      </c>
      <c r="F178" s="12">
        <v>20</v>
      </c>
      <c r="G178" s="12">
        <v>15.2</v>
      </c>
      <c r="H178" s="12">
        <v>8.3805392156862677</v>
      </c>
      <c r="I178" s="12" t="s">
        <v>66</v>
      </c>
      <c r="J178" s="6">
        <v>46294</v>
      </c>
      <c r="K178">
        <v>46294</v>
      </c>
      <c r="L178">
        <v>2.0783861471861478</v>
      </c>
      <c r="M178">
        <v>2.0783861471861478</v>
      </c>
      <c r="N178">
        <v>1.1459208297258292</v>
      </c>
      <c r="O178">
        <v>0.48114254483165408</v>
      </c>
      <c r="P178">
        <v>0.48114254483165408</v>
      </c>
      <c r="Q178">
        <v>0.551351264189886</v>
      </c>
      <c r="R178">
        <v>1.8137257769224935</v>
      </c>
      <c r="S178">
        <v>1.8137257769224935</v>
      </c>
      <c r="T178">
        <v>0.87266063593525744</v>
      </c>
    </row>
    <row r="179" spans="1:20" x14ac:dyDescent="0.25">
      <c r="A179" s="12" t="s">
        <v>60</v>
      </c>
      <c r="B179" s="12" t="s">
        <v>37</v>
      </c>
      <c r="C179" s="12" t="s">
        <v>13</v>
      </c>
      <c r="D179" s="12">
        <v>9.5295384030899779</v>
      </c>
      <c r="E179" s="12">
        <v>18.05</v>
      </c>
      <c r="F179" s="12">
        <v>20</v>
      </c>
      <c r="G179" s="12">
        <v>18.05</v>
      </c>
      <c r="H179" s="12">
        <v>9.2519607843137237</v>
      </c>
      <c r="I179" s="12" t="s">
        <v>67</v>
      </c>
      <c r="J179" s="6">
        <v>46295</v>
      </c>
      <c r="K179">
        <v>46295</v>
      </c>
      <c r="L179">
        <v>1.8941106312292357</v>
      </c>
      <c r="M179">
        <v>1.8941106312292357</v>
      </c>
      <c r="N179">
        <v>0.97087187153931309</v>
      </c>
      <c r="O179">
        <v>0.52795226609916768</v>
      </c>
      <c r="P179">
        <v>0.52795226609916768</v>
      </c>
      <c r="Q179">
        <v>0.51257400467112035</v>
      </c>
      <c r="R179">
        <v>1.950937798029035</v>
      </c>
      <c r="S179">
        <v>1.950937798029035</v>
      </c>
      <c r="T179">
        <v>1.0300020314879494</v>
      </c>
    </row>
    <row r="180" spans="1:20" x14ac:dyDescent="0.25">
      <c r="A180" s="12" t="s">
        <v>60</v>
      </c>
      <c r="B180" s="12" t="s">
        <v>37</v>
      </c>
      <c r="C180" s="12" t="s">
        <v>15</v>
      </c>
      <c r="D180" s="12">
        <v>3.5458747546381306</v>
      </c>
      <c r="E180" s="12">
        <v>9.5</v>
      </c>
      <c r="F180" s="12">
        <v>20</v>
      </c>
      <c r="G180" s="12">
        <v>9.5</v>
      </c>
      <c r="H180" s="12">
        <v>3.3235294117647056</v>
      </c>
      <c r="I180" s="12" t="s">
        <v>68</v>
      </c>
      <c r="J180" s="6">
        <v>46295</v>
      </c>
      <c r="K180">
        <v>46295</v>
      </c>
      <c r="L180">
        <v>2.679169642857143</v>
      </c>
      <c r="M180">
        <v>2.679169642857143</v>
      </c>
      <c r="N180">
        <v>0.93729464285714281</v>
      </c>
      <c r="O180">
        <v>0.37324997417243483</v>
      </c>
      <c r="P180">
        <v>0.37324997417243483</v>
      </c>
      <c r="Q180">
        <v>0.34984520123839008</v>
      </c>
      <c r="R180">
        <v>2.8584070796460179</v>
      </c>
      <c r="S180">
        <v>2.8584070796460179</v>
      </c>
      <c r="T180">
        <v>1.066900368652181</v>
      </c>
    </row>
    <row r="181" spans="1:20" x14ac:dyDescent="0.25">
      <c r="A181" s="12" t="s">
        <v>60</v>
      </c>
      <c r="B181" s="12" t="s">
        <v>37</v>
      </c>
      <c r="C181" s="12" t="s">
        <v>14</v>
      </c>
      <c r="D181" s="12">
        <v>6.6485151649464944</v>
      </c>
      <c r="E181" s="12">
        <v>15.2</v>
      </c>
      <c r="F181" s="12">
        <v>20</v>
      </c>
      <c r="G181" s="12">
        <v>15.2</v>
      </c>
      <c r="H181" s="12">
        <v>7.6745098039215636</v>
      </c>
      <c r="I181" s="12" t="s">
        <v>69</v>
      </c>
      <c r="J181" s="6">
        <v>46295</v>
      </c>
      <c r="K181">
        <v>46295</v>
      </c>
      <c r="L181">
        <v>2.2862247619047622</v>
      </c>
      <c r="M181">
        <v>2.2862247619047622</v>
      </c>
      <c r="N181">
        <v>1.1543193650793644</v>
      </c>
      <c r="O181">
        <v>0.43740231348332204</v>
      </c>
      <c r="P181">
        <v>0.43740231348332204</v>
      </c>
      <c r="Q181">
        <v>0.50490196078431338</v>
      </c>
      <c r="R181">
        <v>1.9805825242718458</v>
      </c>
      <c r="S181">
        <v>1.9805825242718458</v>
      </c>
      <c r="T181">
        <v>0.86631137816114323</v>
      </c>
    </row>
    <row r="182" spans="1:20" x14ac:dyDescent="0.25">
      <c r="A182" s="12" t="s">
        <v>60</v>
      </c>
      <c r="B182" s="12" t="s">
        <v>37</v>
      </c>
      <c r="C182" s="12" t="s">
        <v>13</v>
      </c>
      <c r="D182" s="12">
        <v>9.5295384030899779</v>
      </c>
      <c r="E182" s="12">
        <v>19</v>
      </c>
      <c r="F182" s="12">
        <v>20</v>
      </c>
      <c r="G182" s="12">
        <v>19</v>
      </c>
      <c r="H182" s="12">
        <v>10.14580269607843</v>
      </c>
      <c r="I182" s="12" t="s">
        <v>70</v>
      </c>
      <c r="J182" s="6">
        <v>46296</v>
      </c>
      <c r="K182">
        <v>46296</v>
      </c>
      <c r="L182">
        <v>1.9938006644518269</v>
      </c>
      <c r="M182">
        <v>1.9938006644518269</v>
      </c>
      <c r="N182">
        <v>1.0646688503599111</v>
      </c>
      <c r="O182">
        <v>0.50155465279420941</v>
      </c>
      <c r="P182">
        <v>0.50155465279420941</v>
      </c>
      <c r="Q182">
        <v>0.53398961558307523</v>
      </c>
      <c r="R182">
        <v>1.8726955933554579</v>
      </c>
      <c r="S182">
        <v>1.8726955933554579</v>
      </c>
      <c r="T182">
        <v>0.9392591881146426</v>
      </c>
    </row>
    <row r="183" spans="1:20" x14ac:dyDescent="0.25">
      <c r="A183" s="12" t="s">
        <v>60</v>
      </c>
      <c r="B183" s="12" t="s">
        <v>37</v>
      </c>
      <c r="C183" s="12" t="s">
        <v>15</v>
      </c>
      <c r="D183" s="12">
        <v>3.5458747546381306</v>
      </c>
      <c r="E183" s="12">
        <v>8.5499999999999989</v>
      </c>
      <c r="F183" s="12">
        <v>20</v>
      </c>
      <c r="G183" s="12">
        <v>8.5499999999999989</v>
      </c>
      <c r="H183" s="12">
        <v>3.2054227941176459</v>
      </c>
      <c r="I183" s="12" t="s">
        <v>72</v>
      </c>
      <c r="J183" s="6">
        <v>46296</v>
      </c>
      <c r="K183">
        <v>46296</v>
      </c>
      <c r="L183">
        <v>2.4112526785714286</v>
      </c>
      <c r="M183">
        <v>2.4112526785714286</v>
      </c>
      <c r="N183">
        <v>0.90398646763392831</v>
      </c>
      <c r="O183">
        <v>0.41472219352492762</v>
      </c>
      <c r="P183">
        <v>0.41472219352492762</v>
      </c>
      <c r="Q183">
        <v>0.37490325077399372</v>
      </c>
      <c r="R183">
        <v>2.6673548387096782</v>
      </c>
      <c r="S183">
        <v>2.6673548387096782</v>
      </c>
      <c r="T183">
        <v>1.1062112496190071</v>
      </c>
    </row>
    <row r="184" spans="1:20" x14ac:dyDescent="0.25">
      <c r="A184" s="12" t="s">
        <v>60</v>
      </c>
      <c r="B184" s="12" t="s">
        <v>37</v>
      </c>
      <c r="C184" s="12" t="s">
        <v>14</v>
      </c>
      <c r="D184" s="12">
        <v>7.313366681441142</v>
      </c>
      <c r="E184" s="12">
        <v>16.149999999999999</v>
      </c>
      <c r="F184" s="12">
        <v>20</v>
      </c>
      <c r="G184" s="12">
        <v>16.149999999999999</v>
      </c>
      <c r="H184" s="12">
        <v>7.832368259803915</v>
      </c>
      <c r="I184" s="12" t="s">
        <v>71</v>
      </c>
      <c r="J184" s="6">
        <v>46296</v>
      </c>
      <c r="K184">
        <v>46296</v>
      </c>
      <c r="L184">
        <v>2.2082852813852822</v>
      </c>
      <c r="M184">
        <v>2.2082852813852822</v>
      </c>
      <c r="N184">
        <v>1.070966163870851</v>
      </c>
      <c r="O184">
        <v>0.45284004219449797</v>
      </c>
      <c r="P184">
        <v>0.45284004219449797</v>
      </c>
      <c r="Q184">
        <v>0.48497636283615575</v>
      </c>
      <c r="R184">
        <v>2.0619561624652616</v>
      </c>
      <c r="S184">
        <v>2.0619561624652616</v>
      </c>
      <c r="T184">
        <v>0.93373631561397419</v>
      </c>
    </row>
    <row r="185" spans="1:20" x14ac:dyDescent="0.25">
      <c r="A185" s="12" t="s">
        <v>60</v>
      </c>
      <c r="B185" s="12" t="s">
        <v>37</v>
      </c>
      <c r="C185" s="12" t="s">
        <v>14</v>
      </c>
      <c r="D185" s="12">
        <v>7.313366681441142</v>
      </c>
      <c r="E185" s="12">
        <v>16.149999999999999</v>
      </c>
      <c r="F185" s="12">
        <v>20</v>
      </c>
      <c r="G185" s="12">
        <v>16.149999999999999</v>
      </c>
      <c r="H185" s="12">
        <v>7.7178043605501836</v>
      </c>
      <c r="I185" s="12" t="s">
        <v>75</v>
      </c>
      <c r="J185" s="6">
        <v>46297</v>
      </c>
      <c r="K185">
        <v>46297</v>
      </c>
      <c r="L185">
        <v>2.2082852813852822</v>
      </c>
      <c r="M185">
        <v>2.2082852813852822</v>
      </c>
      <c r="N185">
        <v>1.0553011624776545</v>
      </c>
      <c r="O185">
        <v>0.45284004219449797</v>
      </c>
      <c r="P185">
        <v>0.45284004219449797</v>
      </c>
      <c r="Q185">
        <v>0.47788262294428385</v>
      </c>
      <c r="R185">
        <v>2.0925640565017773</v>
      </c>
      <c r="S185">
        <v>2.0925640565017773</v>
      </c>
      <c r="T185">
        <v>0.94759679564095478</v>
      </c>
    </row>
    <row r="186" spans="1:20" x14ac:dyDescent="0.25">
      <c r="A186" s="12" t="s">
        <v>60</v>
      </c>
      <c r="B186" s="12" t="s">
        <v>37</v>
      </c>
      <c r="C186" s="12" t="s">
        <v>15</v>
      </c>
      <c r="D186" s="12">
        <v>3.5458747546381306</v>
      </c>
      <c r="E186" s="12">
        <v>8.5499999999999989</v>
      </c>
      <c r="F186" s="12">
        <v>20</v>
      </c>
      <c r="G186" s="12">
        <v>8.5499999999999989</v>
      </c>
      <c r="H186" s="12">
        <v>4.8512949956101838</v>
      </c>
      <c r="I186" s="12" t="s">
        <v>74</v>
      </c>
      <c r="J186" s="6">
        <v>46297</v>
      </c>
      <c r="K186">
        <v>46297</v>
      </c>
      <c r="L186">
        <v>2.4112526785714286</v>
      </c>
      <c r="M186">
        <v>2.4112526785714286</v>
      </c>
      <c r="N186">
        <v>1.3681518190298507</v>
      </c>
      <c r="O186">
        <v>0.41472219352492762</v>
      </c>
      <c r="P186">
        <v>0.41472219352492762</v>
      </c>
      <c r="Q186">
        <v>0.56740292346317944</v>
      </c>
      <c r="R186">
        <v>1.7624160162877502</v>
      </c>
      <c r="S186">
        <v>1.7624160162877502</v>
      </c>
      <c r="T186">
        <v>0.73091303617832037</v>
      </c>
    </row>
    <row r="187" spans="1:20" x14ac:dyDescent="0.25">
      <c r="A187" s="12" t="s">
        <v>60</v>
      </c>
      <c r="B187" s="12" t="s">
        <v>37</v>
      </c>
      <c r="C187" s="12" t="s">
        <v>13</v>
      </c>
      <c r="D187" s="12">
        <v>9.5295384030899779</v>
      </c>
      <c r="E187" s="12">
        <v>15.2</v>
      </c>
      <c r="F187" s="12">
        <v>20</v>
      </c>
      <c r="G187" s="12">
        <v>15.2</v>
      </c>
      <c r="H187" s="12">
        <v>10.82549019607843</v>
      </c>
      <c r="I187" s="12" t="s">
        <v>73</v>
      </c>
      <c r="J187" s="6">
        <v>46297</v>
      </c>
      <c r="K187">
        <v>46297</v>
      </c>
      <c r="L187">
        <v>1.5950405315614615</v>
      </c>
      <c r="M187">
        <v>1.5950405315614615</v>
      </c>
      <c r="N187">
        <v>1.1359931339977849</v>
      </c>
      <c r="O187">
        <v>0.62694331599276176</v>
      </c>
      <c r="P187">
        <v>0.62694331599276176</v>
      </c>
      <c r="Q187">
        <v>0.71220330237358098</v>
      </c>
      <c r="R187">
        <v>1.4040934613294693</v>
      </c>
      <c r="S187">
        <v>1.4040934613294693</v>
      </c>
      <c r="T187">
        <v>0.88028701060965209</v>
      </c>
    </row>
    <row r="188" spans="1:20" x14ac:dyDescent="0.25">
      <c r="A188" s="12" t="s">
        <v>60</v>
      </c>
      <c r="B188" s="12" t="s">
        <v>37</v>
      </c>
      <c r="C188" s="12" t="s">
        <v>15</v>
      </c>
      <c r="D188" s="12">
        <v>3.5458747546381306</v>
      </c>
      <c r="E188" s="12">
        <v>10.45</v>
      </c>
      <c r="F188" s="12">
        <v>20</v>
      </c>
      <c r="G188" s="12">
        <v>10.45</v>
      </c>
      <c r="H188" s="12">
        <v>4.1760110294117645</v>
      </c>
      <c r="I188" s="12" t="s">
        <v>76</v>
      </c>
      <c r="J188" s="6">
        <v>46298</v>
      </c>
      <c r="K188">
        <v>46298</v>
      </c>
      <c r="L188">
        <v>2.947086607142857</v>
      </c>
      <c r="M188">
        <v>2.947086607142857</v>
      </c>
      <c r="N188">
        <v>1.1777096819196429</v>
      </c>
      <c r="O188">
        <v>0.33931815833857709</v>
      </c>
      <c r="P188">
        <v>0.33931815833857709</v>
      </c>
      <c r="Q188">
        <v>0.39961828032648467</v>
      </c>
      <c r="R188">
        <v>2.5023880268515462</v>
      </c>
      <c r="S188">
        <v>2.5023880268515462</v>
      </c>
      <c r="T188">
        <v>0.84910569671977254</v>
      </c>
    </row>
    <row r="189" spans="1:20" x14ac:dyDescent="0.25">
      <c r="A189" s="12" t="s">
        <v>60</v>
      </c>
      <c r="B189" s="12" t="s">
        <v>37</v>
      </c>
      <c r="C189" s="12" t="s">
        <v>14</v>
      </c>
      <c r="D189" s="12">
        <v>7.313366681441142</v>
      </c>
      <c r="E189" s="12">
        <v>15.2</v>
      </c>
      <c r="F189" s="12">
        <v>20</v>
      </c>
      <c r="G189" s="12">
        <v>15.2</v>
      </c>
      <c r="H189" s="12">
        <v>8.1563878676470587</v>
      </c>
      <c r="I189" s="12" t="s">
        <v>78</v>
      </c>
      <c r="J189" s="6">
        <v>46298</v>
      </c>
      <c r="K189">
        <v>46298</v>
      </c>
      <c r="L189">
        <v>2.0783861471861478</v>
      </c>
      <c r="M189">
        <v>2.0783861471861478</v>
      </c>
      <c r="N189">
        <v>1.1152712865259744</v>
      </c>
      <c r="O189">
        <v>0.48114254483165408</v>
      </c>
      <c r="P189">
        <v>0.48114254483165408</v>
      </c>
      <c r="Q189">
        <v>0.53660446497678016</v>
      </c>
      <c r="R189">
        <v>1.8635700320594084</v>
      </c>
      <c r="S189">
        <v>1.8635700320594084</v>
      </c>
      <c r="T189">
        <v>0.89664282769707104</v>
      </c>
    </row>
    <row r="190" spans="1:20" x14ac:dyDescent="0.25">
      <c r="A190" s="12" t="s">
        <v>60</v>
      </c>
      <c r="B190" s="12" t="s">
        <v>37</v>
      </c>
      <c r="C190" s="12" t="s">
        <v>13</v>
      </c>
      <c r="D190" s="12">
        <v>9.5295384030899779</v>
      </c>
      <c r="E190" s="12">
        <v>15.2</v>
      </c>
      <c r="F190" s="12">
        <v>20</v>
      </c>
      <c r="G190" s="12">
        <v>15.2</v>
      </c>
      <c r="H190" s="12">
        <v>9.4760576712028097</v>
      </c>
      <c r="I190" s="12" t="s">
        <v>77</v>
      </c>
      <c r="J190" s="6">
        <v>46298</v>
      </c>
      <c r="K190">
        <v>46298</v>
      </c>
      <c r="L190">
        <v>1.5950405315614615</v>
      </c>
      <c r="M190">
        <v>1.5950405315614615</v>
      </c>
      <c r="N190">
        <v>0.99438789901199964</v>
      </c>
      <c r="O190">
        <v>0.62694331599276176</v>
      </c>
      <c r="P190">
        <v>0.62694331599276176</v>
      </c>
      <c r="Q190">
        <v>0.62342484678965859</v>
      </c>
      <c r="R190">
        <v>1.6040425805123495</v>
      </c>
      <c r="S190">
        <v>1.6040425805123495</v>
      </c>
      <c r="T190">
        <v>1.0056437744199989</v>
      </c>
    </row>
    <row r="191" spans="1:20" x14ac:dyDescent="0.25">
      <c r="A191" s="12" t="s">
        <v>60</v>
      </c>
      <c r="B191" s="12" t="s">
        <v>37</v>
      </c>
      <c r="C191" s="12" t="s">
        <v>13</v>
      </c>
      <c r="D191" s="12">
        <v>8.6430697144304478</v>
      </c>
      <c r="E191" s="12">
        <v>16.149999999999999</v>
      </c>
      <c r="F191" s="12">
        <v>20</v>
      </c>
      <c r="G191" s="12">
        <v>16.149999999999999</v>
      </c>
      <c r="H191" s="12">
        <v>10.957668067226892</v>
      </c>
      <c r="I191" s="12" t="s">
        <v>79</v>
      </c>
      <c r="J191" s="6">
        <v>46299</v>
      </c>
      <c r="K191">
        <v>46299</v>
      </c>
      <c r="L191">
        <v>1.8685490842490833</v>
      </c>
      <c r="M191">
        <v>1.8685490842490833</v>
      </c>
      <c r="N191">
        <v>1.2677981815803241</v>
      </c>
      <c r="O191">
        <v>0.53517459532077083</v>
      </c>
      <c r="P191">
        <v>0.53517459532077083</v>
      </c>
      <c r="Q191">
        <v>0.67849337877565907</v>
      </c>
      <c r="R191">
        <v>1.4738537342906712</v>
      </c>
      <c r="S191">
        <v>1.4738537342906712</v>
      </c>
      <c r="T191">
        <v>0.78876907581101685</v>
      </c>
    </row>
    <row r="192" spans="1:20" x14ac:dyDescent="0.25">
      <c r="A192" s="12" t="s">
        <v>60</v>
      </c>
      <c r="B192" s="12" t="s">
        <v>37</v>
      </c>
      <c r="C192" s="12" t="s">
        <v>14</v>
      </c>
      <c r="D192" s="12">
        <v>7.313366681441142</v>
      </c>
      <c r="E192" s="12">
        <v>17.099999999999998</v>
      </c>
      <c r="F192" s="12">
        <v>20</v>
      </c>
      <c r="G192" s="12">
        <v>17.099999999999998</v>
      </c>
      <c r="H192" s="12">
        <v>8.5533613445378069</v>
      </c>
      <c r="I192" s="12" t="s">
        <v>80</v>
      </c>
      <c r="J192" s="6">
        <v>46299</v>
      </c>
      <c r="K192">
        <v>46299</v>
      </c>
      <c r="L192">
        <v>2.3381844155844163</v>
      </c>
      <c r="M192">
        <v>2.3381844155844163</v>
      </c>
      <c r="N192">
        <v>1.1695518243661094</v>
      </c>
      <c r="O192">
        <v>0.42768226207258148</v>
      </c>
      <c r="P192">
        <v>0.42768226207258148</v>
      </c>
      <c r="Q192">
        <v>0.50019656985601213</v>
      </c>
      <c r="R192">
        <v>1.999214029572139</v>
      </c>
      <c r="S192">
        <v>1.999214029572139</v>
      </c>
      <c r="T192">
        <v>0.85502837853465319</v>
      </c>
    </row>
    <row r="193" spans="1:20" x14ac:dyDescent="0.25">
      <c r="A193" s="12" t="s">
        <v>60</v>
      </c>
      <c r="B193" s="12" t="s">
        <v>37</v>
      </c>
      <c r="C193" s="12" t="s">
        <v>15</v>
      </c>
      <c r="D193" s="12">
        <v>3.5458747546381306</v>
      </c>
      <c r="E193" s="12">
        <v>10.45</v>
      </c>
      <c r="F193" s="12">
        <v>20</v>
      </c>
      <c r="G193" s="12">
        <v>10.45</v>
      </c>
      <c r="H193" s="12">
        <v>4.1764705882352935</v>
      </c>
      <c r="I193" s="12" t="s">
        <v>81</v>
      </c>
      <c r="J193" s="6">
        <v>46299</v>
      </c>
      <c r="K193">
        <v>46299</v>
      </c>
      <c r="L193">
        <v>2.947086607142857</v>
      </c>
      <c r="M193">
        <v>2.947086607142857</v>
      </c>
      <c r="N193">
        <v>1.1778392857142856</v>
      </c>
      <c r="O193">
        <v>0.33931815833857709</v>
      </c>
      <c r="P193">
        <v>0.33931815833857709</v>
      </c>
      <c r="Q193">
        <v>0.39966225724739651</v>
      </c>
      <c r="R193">
        <v>2.5021126760563384</v>
      </c>
      <c r="S193">
        <v>2.5021126760563384</v>
      </c>
      <c r="T193">
        <v>0.84901226519504547</v>
      </c>
    </row>
    <row r="194" spans="1:20" x14ac:dyDescent="0.25">
      <c r="A194" s="12" t="s">
        <v>60</v>
      </c>
      <c r="B194" s="12" t="s">
        <v>37</v>
      </c>
      <c r="C194" s="12" t="s">
        <v>14</v>
      </c>
      <c r="D194" s="12">
        <v>7.313366681441142</v>
      </c>
      <c r="E194" s="12">
        <v>16.149999999999999</v>
      </c>
      <c r="F194" s="12">
        <v>20</v>
      </c>
      <c r="G194" s="12">
        <v>16.149999999999999</v>
      </c>
      <c r="H194" s="12">
        <v>8.6009803921568562</v>
      </c>
      <c r="I194" s="12" t="s">
        <v>83</v>
      </c>
      <c r="J194" s="6">
        <v>46300</v>
      </c>
      <c r="K194">
        <v>46300</v>
      </c>
      <c r="L194">
        <v>2.2082852813852822</v>
      </c>
      <c r="M194">
        <v>2.2082852813852822</v>
      </c>
      <c r="N194">
        <v>1.1760630591630588</v>
      </c>
      <c r="O194">
        <v>0.45284004219449797</v>
      </c>
      <c r="P194">
        <v>0.45284004219449797</v>
      </c>
      <c r="Q194">
        <v>0.53256844533478986</v>
      </c>
      <c r="R194">
        <v>1.8776929214635827</v>
      </c>
      <c r="S194">
        <v>1.8776929214635827</v>
      </c>
      <c r="T194">
        <v>0.85029454178387898</v>
      </c>
    </row>
    <row r="195" spans="1:20" x14ac:dyDescent="0.25">
      <c r="A195" s="12" t="s">
        <v>60</v>
      </c>
      <c r="B195" s="12" t="s">
        <v>37</v>
      </c>
      <c r="C195" s="12" t="s">
        <v>15</v>
      </c>
      <c r="D195" s="12">
        <v>3.5458747546381306</v>
      </c>
      <c r="E195" s="12">
        <v>10.45</v>
      </c>
      <c r="F195" s="12">
        <v>20</v>
      </c>
      <c r="G195" s="12">
        <v>10.45</v>
      </c>
      <c r="H195" s="12">
        <v>4.1764705882352935</v>
      </c>
      <c r="I195" s="12" t="s">
        <v>82</v>
      </c>
      <c r="J195" s="6">
        <v>46300</v>
      </c>
      <c r="K195">
        <v>46300</v>
      </c>
      <c r="L195">
        <v>2.947086607142857</v>
      </c>
      <c r="M195">
        <v>2.947086607142857</v>
      </c>
      <c r="N195">
        <v>1.1778392857142856</v>
      </c>
      <c r="O195">
        <v>0.33931815833857709</v>
      </c>
      <c r="P195">
        <v>0.33931815833857709</v>
      </c>
      <c r="Q195">
        <v>0.39966225724739651</v>
      </c>
      <c r="R195">
        <v>2.5021126760563384</v>
      </c>
      <c r="S195">
        <v>2.5021126760563384</v>
      </c>
      <c r="T195">
        <v>0.84901226519504547</v>
      </c>
    </row>
    <row r="196" spans="1:20" x14ac:dyDescent="0.25">
      <c r="A196" s="12" t="s">
        <v>60</v>
      </c>
      <c r="B196" s="12" t="s">
        <v>37</v>
      </c>
      <c r="C196" s="12" t="s">
        <v>13</v>
      </c>
      <c r="D196" s="12">
        <v>9.5295384030899779</v>
      </c>
      <c r="E196" s="12">
        <v>17.099999999999998</v>
      </c>
      <c r="F196" s="12">
        <v>20</v>
      </c>
      <c r="G196" s="12">
        <v>17.099999999999998</v>
      </c>
      <c r="H196" s="12">
        <v>10.22254901960784</v>
      </c>
      <c r="I196" s="12" t="s">
        <v>84</v>
      </c>
      <c r="J196" s="6">
        <v>46300</v>
      </c>
      <c r="K196">
        <v>46300</v>
      </c>
      <c r="L196">
        <v>1.7944205980066441</v>
      </c>
      <c r="M196">
        <v>1.7944205980066441</v>
      </c>
      <c r="N196">
        <v>1.0727223698781834</v>
      </c>
      <c r="O196">
        <v>0.55728294754912155</v>
      </c>
      <c r="P196">
        <v>0.55728294754912155</v>
      </c>
      <c r="Q196">
        <v>0.59780988418759307</v>
      </c>
      <c r="R196">
        <v>1.6727726095713056</v>
      </c>
      <c r="S196">
        <v>1.6727726095713056</v>
      </c>
      <c r="T196">
        <v>0.93220765044133314</v>
      </c>
    </row>
    <row r="197" spans="1:20" x14ac:dyDescent="0.25">
      <c r="A197" s="12" t="s">
        <v>60</v>
      </c>
      <c r="B197" s="12" t="s">
        <v>37</v>
      </c>
      <c r="C197" s="12" t="s">
        <v>13</v>
      </c>
      <c r="D197" s="12">
        <v>9.5295384030899779</v>
      </c>
      <c r="E197" s="12">
        <v>17.099999999999998</v>
      </c>
      <c r="F197" s="12">
        <v>20</v>
      </c>
      <c r="G197" s="12">
        <v>17.099999999999998</v>
      </c>
      <c r="H197" s="12">
        <v>10.22254901960784</v>
      </c>
      <c r="I197" s="12" t="s">
        <v>87</v>
      </c>
      <c r="J197" s="6">
        <v>46301</v>
      </c>
      <c r="K197">
        <v>46301</v>
      </c>
      <c r="L197">
        <v>1.7944205980066441</v>
      </c>
      <c r="M197">
        <v>1.7944205980066441</v>
      </c>
      <c r="N197">
        <v>1.0727223698781834</v>
      </c>
      <c r="O197">
        <v>0.55728294754912155</v>
      </c>
      <c r="P197">
        <v>0.55728294754912155</v>
      </c>
      <c r="Q197">
        <v>0.59780988418759307</v>
      </c>
      <c r="R197">
        <v>1.6727726095713056</v>
      </c>
      <c r="S197">
        <v>1.6727726095713056</v>
      </c>
      <c r="T197">
        <v>0.93220765044133314</v>
      </c>
    </row>
    <row r="198" spans="1:20" x14ac:dyDescent="0.25">
      <c r="A198" s="12" t="s">
        <v>60</v>
      </c>
      <c r="B198" s="12" t="s">
        <v>37</v>
      </c>
      <c r="C198" s="12" t="s">
        <v>15</v>
      </c>
      <c r="D198" s="12">
        <v>3.5458747546381306</v>
      </c>
      <c r="E198" s="12">
        <v>8.5499999999999989</v>
      </c>
      <c r="F198" s="12">
        <v>20</v>
      </c>
      <c r="G198" s="12">
        <v>8.5499999999999989</v>
      </c>
      <c r="H198" s="12">
        <v>3.2058823529411757</v>
      </c>
      <c r="I198" s="12" t="s">
        <v>86</v>
      </c>
      <c r="J198" s="6">
        <v>46301</v>
      </c>
      <c r="K198">
        <v>46301</v>
      </c>
      <c r="L198">
        <v>2.4112526785714286</v>
      </c>
      <c r="M198">
        <v>2.4112526785714286</v>
      </c>
      <c r="N198">
        <v>0.90411607142857131</v>
      </c>
      <c r="O198">
        <v>0.41472219352492762</v>
      </c>
      <c r="P198">
        <v>0.41472219352492762</v>
      </c>
      <c r="Q198">
        <v>0.3749570003439972</v>
      </c>
      <c r="R198">
        <v>2.6669724770642205</v>
      </c>
      <c r="S198">
        <v>2.6669724770642205</v>
      </c>
      <c r="T198">
        <v>1.1060526757586833</v>
      </c>
    </row>
    <row r="199" spans="1:20" x14ac:dyDescent="0.25">
      <c r="A199" s="12" t="s">
        <v>60</v>
      </c>
      <c r="B199" s="12" t="s">
        <v>37</v>
      </c>
      <c r="C199" s="12" t="s">
        <v>14</v>
      </c>
      <c r="D199" s="12">
        <v>7.313366681441142</v>
      </c>
      <c r="E199" s="12">
        <v>15.2</v>
      </c>
      <c r="F199" s="12">
        <v>20</v>
      </c>
      <c r="G199" s="12">
        <v>15.2</v>
      </c>
      <c r="H199" s="12">
        <v>7.7186274509803869</v>
      </c>
      <c r="I199" s="12" t="s">
        <v>85</v>
      </c>
      <c r="J199" s="6">
        <v>46301</v>
      </c>
      <c r="K199">
        <v>46301</v>
      </c>
      <c r="L199">
        <v>2.0783861471861478</v>
      </c>
      <c r="M199">
        <v>2.0783861471861478</v>
      </c>
      <c r="N199">
        <v>1.0554137085137083</v>
      </c>
      <c r="O199">
        <v>0.48114254483165408</v>
      </c>
      <c r="P199">
        <v>0.48114254483165408</v>
      </c>
      <c r="Q199">
        <v>0.50780443756449911</v>
      </c>
      <c r="R199">
        <v>1.9692620348024907</v>
      </c>
      <c r="S199">
        <v>1.9692620348024907</v>
      </c>
      <c r="T199">
        <v>0.94749574686523175</v>
      </c>
    </row>
    <row r="200" spans="1:20" x14ac:dyDescent="0.25">
      <c r="A200" s="12" t="s">
        <v>60</v>
      </c>
      <c r="B200" s="12" t="s">
        <v>37</v>
      </c>
      <c r="C200" s="12" t="s">
        <v>14</v>
      </c>
      <c r="D200" s="12">
        <v>6.6485151649464944</v>
      </c>
      <c r="E200" s="12">
        <v>15.2</v>
      </c>
      <c r="F200" s="12">
        <v>20</v>
      </c>
      <c r="G200" s="12">
        <v>15.2</v>
      </c>
      <c r="H200" s="12">
        <v>7.6745098039215618</v>
      </c>
      <c r="I200" s="12" t="s">
        <v>88</v>
      </c>
      <c r="J200" s="6">
        <v>46302</v>
      </c>
      <c r="K200">
        <v>46302</v>
      </c>
      <c r="L200">
        <v>2.2862247619047622</v>
      </c>
      <c r="M200">
        <v>2.2862247619047622</v>
      </c>
      <c r="N200">
        <v>1.1543193650793642</v>
      </c>
      <c r="O200">
        <v>0.43740231348332204</v>
      </c>
      <c r="P200">
        <v>0.43740231348332204</v>
      </c>
      <c r="Q200">
        <v>0.50490196078431326</v>
      </c>
      <c r="R200">
        <v>1.9805825242718462</v>
      </c>
      <c r="S200">
        <v>1.9805825242718462</v>
      </c>
      <c r="T200">
        <v>0.86631137816114334</v>
      </c>
    </row>
    <row r="201" spans="1:20" x14ac:dyDescent="0.25">
      <c r="A201" s="12" t="s">
        <v>60</v>
      </c>
      <c r="B201" s="12" t="s">
        <v>37</v>
      </c>
      <c r="C201" s="12" t="s">
        <v>15</v>
      </c>
      <c r="D201" s="12">
        <v>3.5458747546381306</v>
      </c>
      <c r="E201" s="12">
        <v>9.5</v>
      </c>
      <c r="F201" s="12">
        <v>20</v>
      </c>
      <c r="G201" s="12">
        <v>9.5</v>
      </c>
      <c r="H201" s="12">
        <v>2.4705882352941178</v>
      </c>
      <c r="I201" s="12" t="s">
        <v>89</v>
      </c>
      <c r="J201" s="6">
        <v>46302</v>
      </c>
      <c r="K201">
        <v>46302</v>
      </c>
      <c r="L201">
        <v>2.679169642857143</v>
      </c>
      <c r="M201">
        <v>2.679169642857143</v>
      </c>
      <c r="N201">
        <v>0.69675000000000009</v>
      </c>
      <c r="O201">
        <v>0.37324997417243483</v>
      </c>
      <c r="P201">
        <v>0.37324997417243483</v>
      </c>
      <c r="Q201">
        <v>0.26006191950464397</v>
      </c>
      <c r="R201">
        <v>3.8452380952380949</v>
      </c>
      <c r="S201">
        <v>3.8452380952380949</v>
      </c>
      <c r="T201">
        <v>1.4352350197344814</v>
      </c>
    </row>
    <row r="202" spans="1:20" x14ac:dyDescent="0.25">
      <c r="A202" s="12" t="s">
        <v>60</v>
      </c>
      <c r="B202" s="12" t="s">
        <v>37</v>
      </c>
      <c r="C202" s="12" t="s">
        <v>13</v>
      </c>
      <c r="D202" s="12">
        <v>9.5295384030899779</v>
      </c>
      <c r="E202" s="12">
        <v>17.099999999999998</v>
      </c>
      <c r="F202" s="12">
        <v>20</v>
      </c>
      <c r="G202" s="12">
        <v>17.099999999999998</v>
      </c>
      <c r="H202" s="12">
        <v>10.001960784313724</v>
      </c>
      <c r="I202" s="12" t="s">
        <v>90</v>
      </c>
      <c r="J202" s="6">
        <v>46302</v>
      </c>
      <c r="K202">
        <v>46302</v>
      </c>
      <c r="L202">
        <v>1.7944205980066441</v>
      </c>
      <c r="M202">
        <v>1.7944205980066441</v>
      </c>
      <c r="N202">
        <v>1.0495745293466221</v>
      </c>
      <c r="O202">
        <v>0.55728294754912155</v>
      </c>
      <c r="P202">
        <v>0.55728294754912155</v>
      </c>
      <c r="Q202">
        <v>0.58490998738676758</v>
      </c>
      <c r="R202">
        <v>1.7096647716134092</v>
      </c>
      <c r="S202">
        <v>1.7096647716134092</v>
      </c>
      <c r="T202">
        <v>0.95276702324561646</v>
      </c>
    </row>
    <row r="203" spans="1:20" x14ac:dyDescent="0.25">
      <c r="A203" s="12" t="s">
        <v>60</v>
      </c>
      <c r="B203" s="12" t="s">
        <v>37</v>
      </c>
      <c r="C203" s="12" t="s">
        <v>15</v>
      </c>
      <c r="D203" s="12">
        <v>3.5458747546381306</v>
      </c>
      <c r="E203" s="12">
        <v>8.5499999999999989</v>
      </c>
      <c r="F203" s="12">
        <v>20</v>
      </c>
      <c r="G203" s="12">
        <v>8.5499999999999989</v>
      </c>
      <c r="H203" s="12">
        <v>3.3226240122914836</v>
      </c>
      <c r="I203" s="12" t="s">
        <v>92</v>
      </c>
      <c r="J203" s="6">
        <v>46303</v>
      </c>
      <c r="K203">
        <v>46303</v>
      </c>
      <c r="L203">
        <v>2.4112526785714286</v>
      </c>
      <c r="M203">
        <v>2.4112526785714286</v>
      </c>
      <c r="N203">
        <v>0.93703930403784652</v>
      </c>
      <c r="O203">
        <v>0.41472219352492762</v>
      </c>
      <c r="P203">
        <v>0.41472219352492762</v>
      </c>
      <c r="Q203">
        <v>0.38861099558964723</v>
      </c>
      <c r="R203">
        <v>2.5732673839624121</v>
      </c>
      <c r="S203">
        <v>2.5732673839624121</v>
      </c>
      <c r="T203">
        <v>1.0671910940030436</v>
      </c>
    </row>
    <row r="204" spans="1:20" x14ac:dyDescent="0.25">
      <c r="A204" s="12" t="s">
        <v>60</v>
      </c>
      <c r="B204" s="12" t="s">
        <v>37</v>
      </c>
      <c r="C204" s="12" t="s">
        <v>14</v>
      </c>
      <c r="D204" s="12">
        <v>7.313366681441142</v>
      </c>
      <c r="E204" s="12">
        <v>17.099999999999998</v>
      </c>
      <c r="F204" s="12">
        <v>20</v>
      </c>
      <c r="G204" s="12">
        <v>17.099999999999998</v>
      </c>
      <c r="H204" s="12">
        <v>8.6001573017266573</v>
      </c>
      <c r="I204" s="12" t="s">
        <v>91</v>
      </c>
      <c r="J204" s="6">
        <v>46303</v>
      </c>
      <c r="K204">
        <v>46303</v>
      </c>
      <c r="L204">
        <v>2.3381844155844163</v>
      </c>
      <c r="M204">
        <v>2.3381844155844163</v>
      </c>
      <c r="N204">
        <v>1.1759505131270056</v>
      </c>
      <c r="O204">
        <v>0.42768226207258148</v>
      </c>
      <c r="P204">
        <v>0.42768226207258148</v>
      </c>
      <c r="Q204">
        <v>0.50293317553957062</v>
      </c>
      <c r="R204">
        <v>1.9883357245764357</v>
      </c>
      <c r="S204">
        <v>1.9883357245764357</v>
      </c>
      <c r="T204">
        <v>0.8503759204465754</v>
      </c>
    </row>
    <row r="205" spans="1:20" x14ac:dyDescent="0.25">
      <c r="A205" s="12" t="s">
        <v>60</v>
      </c>
      <c r="B205" s="12" t="s">
        <v>37</v>
      </c>
      <c r="C205" s="12" t="s">
        <v>13</v>
      </c>
      <c r="D205" s="12">
        <v>9.5295384030899779</v>
      </c>
      <c r="E205" s="12">
        <v>17.099999999999998</v>
      </c>
      <c r="F205" s="12">
        <v>20</v>
      </c>
      <c r="G205" s="12">
        <v>17.099999999999998</v>
      </c>
      <c r="H205" s="12">
        <v>9.9284313725490172</v>
      </c>
      <c r="I205" s="12" t="s">
        <v>93</v>
      </c>
      <c r="J205" s="6">
        <v>46303</v>
      </c>
      <c r="K205">
        <v>46303</v>
      </c>
      <c r="L205">
        <v>1.7944205980066441</v>
      </c>
      <c r="M205">
        <v>1.7944205980066441</v>
      </c>
      <c r="N205">
        <v>1.0418585825027682</v>
      </c>
      <c r="O205">
        <v>0.55728294754912155</v>
      </c>
      <c r="P205">
        <v>0.55728294754912155</v>
      </c>
      <c r="Q205">
        <v>0.58061002178649235</v>
      </c>
      <c r="R205">
        <v>1.7223264540337713</v>
      </c>
      <c r="S205">
        <v>1.7223264540337713</v>
      </c>
      <c r="T205">
        <v>0.95982316294576675</v>
      </c>
    </row>
    <row r="206" spans="1:20" x14ac:dyDescent="0.25">
      <c r="A206" s="12" t="s">
        <v>60</v>
      </c>
      <c r="B206" s="12" t="s">
        <v>37</v>
      </c>
      <c r="C206" s="12" t="s">
        <v>15</v>
      </c>
      <c r="D206" s="12">
        <v>3.5458747546381306</v>
      </c>
      <c r="E206" s="12">
        <v>8.5499999999999989</v>
      </c>
      <c r="F206" s="12">
        <v>20</v>
      </c>
      <c r="G206" s="12">
        <v>8.5499999999999989</v>
      </c>
      <c r="H206" s="12">
        <v>2.4705882352941178</v>
      </c>
      <c r="I206" s="12" t="s">
        <v>96</v>
      </c>
      <c r="J206" s="6">
        <v>46304</v>
      </c>
      <c r="K206">
        <v>46304</v>
      </c>
      <c r="L206">
        <v>2.4112526785714286</v>
      </c>
      <c r="M206">
        <v>2.4112526785714286</v>
      </c>
      <c r="N206">
        <v>0.69675000000000009</v>
      </c>
      <c r="O206">
        <v>0.41472219352492762</v>
      </c>
      <c r="P206">
        <v>0.41472219352492762</v>
      </c>
      <c r="Q206">
        <v>0.28895768833849333</v>
      </c>
      <c r="R206">
        <v>3.460714285714285</v>
      </c>
      <c r="S206">
        <v>3.460714285714285</v>
      </c>
      <c r="T206">
        <v>1.4352350197344814</v>
      </c>
    </row>
    <row r="207" spans="1:20" x14ac:dyDescent="0.25">
      <c r="A207" s="12" t="s">
        <v>60</v>
      </c>
      <c r="B207" s="12" t="s">
        <v>37</v>
      </c>
      <c r="C207" s="12" t="s">
        <v>14</v>
      </c>
      <c r="D207" s="12">
        <v>7.313366681441142</v>
      </c>
      <c r="E207" s="12">
        <v>17.099999999999998</v>
      </c>
      <c r="F207" s="12">
        <v>20</v>
      </c>
      <c r="G207" s="12">
        <v>17.099999999999998</v>
      </c>
      <c r="H207" s="12">
        <v>8.6009803921568562</v>
      </c>
      <c r="I207" s="12" t="s">
        <v>94</v>
      </c>
      <c r="J207" s="6">
        <v>46304</v>
      </c>
      <c r="K207">
        <v>46304</v>
      </c>
      <c r="L207">
        <v>2.3381844155844163</v>
      </c>
      <c r="M207">
        <v>2.3381844155844163</v>
      </c>
      <c r="N207">
        <v>1.1760630591630588</v>
      </c>
      <c r="O207">
        <v>0.42768226207258148</v>
      </c>
      <c r="P207">
        <v>0.42768226207258148</v>
      </c>
      <c r="Q207">
        <v>0.50298130948285713</v>
      </c>
      <c r="R207">
        <v>1.9881454462555581</v>
      </c>
      <c r="S207">
        <v>1.9881454462555581</v>
      </c>
      <c r="T207">
        <v>0.85029454178387898</v>
      </c>
    </row>
    <row r="208" spans="1:20" x14ac:dyDescent="0.25">
      <c r="A208" s="12" t="s">
        <v>60</v>
      </c>
      <c r="B208" s="12" t="s">
        <v>37</v>
      </c>
      <c r="C208" s="12" t="s">
        <v>13</v>
      </c>
      <c r="D208" s="12">
        <v>9.5295384030899779</v>
      </c>
      <c r="E208" s="12">
        <v>15.2</v>
      </c>
      <c r="F208" s="12">
        <v>20</v>
      </c>
      <c r="G208" s="12">
        <v>15.2</v>
      </c>
      <c r="H208" s="12">
        <v>10.075353014340063</v>
      </c>
      <c r="I208" s="12" t="s">
        <v>95</v>
      </c>
      <c r="J208" s="6">
        <v>46304</v>
      </c>
      <c r="K208">
        <v>46304</v>
      </c>
      <c r="L208">
        <v>1.5950405315614615</v>
      </c>
      <c r="M208">
        <v>1.5950405315614615</v>
      </c>
      <c r="N208">
        <v>1.0572760807672599</v>
      </c>
      <c r="O208">
        <v>0.62694331599276176</v>
      </c>
      <c r="P208">
        <v>0.62694331599276176</v>
      </c>
      <c r="Q208">
        <v>0.66285217199605684</v>
      </c>
      <c r="R208">
        <v>1.5086320031036253</v>
      </c>
      <c r="S208">
        <v>1.5086320031036253</v>
      </c>
      <c r="T208">
        <v>0.94582675063858934</v>
      </c>
    </row>
    <row r="209" spans="1:20" x14ac:dyDescent="0.25">
      <c r="A209" s="12" t="s">
        <v>60</v>
      </c>
      <c r="B209" s="12" t="s">
        <v>37</v>
      </c>
      <c r="C209" s="12" t="s">
        <v>14</v>
      </c>
      <c r="D209" s="12">
        <v>7.313366681441142</v>
      </c>
      <c r="E209" s="12">
        <v>17.099999999999998</v>
      </c>
      <c r="F209" s="12">
        <v>20</v>
      </c>
      <c r="G209" s="12">
        <v>17.099999999999998</v>
      </c>
      <c r="H209" s="12">
        <v>8.6009803921568562</v>
      </c>
      <c r="I209" s="12" t="s">
        <v>97</v>
      </c>
      <c r="J209" s="6">
        <v>46305</v>
      </c>
      <c r="K209">
        <v>46305</v>
      </c>
      <c r="L209">
        <v>2.3381844155844163</v>
      </c>
      <c r="M209">
        <v>2.3381844155844163</v>
      </c>
      <c r="N209">
        <v>1.1760630591630588</v>
      </c>
      <c r="O209">
        <v>0.42768226207258148</v>
      </c>
      <c r="P209">
        <v>0.42768226207258148</v>
      </c>
      <c r="Q209">
        <v>0.50298130948285713</v>
      </c>
      <c r="R209">
        <v>1.9881454462555581</v>
      </c>
      <c r="S209">
        <v>1.9881454462555581</v>
      </c>
      <c r="T209">
        <v>0.85029454178387898</v>
      </c>
    </row>
    <row r="210" spans="1:20" x14ac:dyDescent="0.25">
      <c r="A210" s="12" t="s">
        <v>60</v>
      </c>
      <c r="B210" s="12" t="s">
        <v>37</v>
      </c>
      <c r="C210" s="12" t="s">
        <v>15</v>
      </c>
      <c r="D210" s="12">
        <v>3.3242575824732468</v>
      </c>
      <c r="E210" s="12">
        <v>10.45</v>
      </c>
      <c r="F210" s="12">
        <v>20</v>
      </c>
      <c r="G210" s="12">
        <v>10.45</v>
      </c>
      <c r="H210" s="12">
        <v>4.1764705882352935</v>
      </c>
      <c r="I210" s="12" t="s">
        <v>99</v>
      </c>
      <c r="J210" s="6">
        <v>46305</v>
      </c>
      <c r="K210">
        <v>46305</v>
      </c>
      <c r="L210">
        <v>3.143559047619048</v>
      </c>
      <c r="M210">
        <v>3.143559047619048</v>
      </c>
      <c r="N210">
        <v>1.256361904761905</v>
      </c>
      <c r="O210">
        <v>0.31811077344241601</v>
      </c>
      <c r="P210">
        <v>0.31811077344241601</v>
      </c>
      <c r="Q210">
        <v>0.39966225724739651</v>
      </c>
      <c r="R210">
        <v>2.5021126760563384</v>
      </c>
      <c r="S210">
        <v>2.5021126760563384</v>
      </c>
      <c r="T210">
        <v>0.79594899862035495</v>
      </c>
    </row>
    <row r="211" spans="1:20" x14ac:dyDescent="0.25">
      <c r="A211" s="12" t="s">
        <v>60</v>
      </c>
      <c r="B211" s="12" t="s">
        <v>37</v>
      </c>
      <c r="C211" s="12" t="s">
        <v>13</v>
      </c>
      <c r="D211" s="12">
        <v>9.5295384030899779</v>
      </c>
      <c r="E211" s="12">
        <v>13.3</v>
      </c>
      <c r="F211" s="12">
        <v>20</v>
      </c>
      <c r="G211" s="12">
        <v>13.3</v>
      </c>
      <c r="H211" s="12">
        <v>9.9284313725490172</v>
      </c>
      <c r="I211" s="12" t="s">
        <v>98</v>
      </c>
      <c r="J211" s="6">
        <v>46305</v>
      </c>
      <c r="K211">
        <v>46305</v>
      </c>
      <c r="L211">
        <v>1.3956604651162787</v>
      </c>
      <c r="M211">
        <v>1.3956604651162787</v>
      </c>
      <c r="N211">
        <v>1.0418585825027682</v>
      </c>
      <c r="O211">
        <v>0.71650664684887055</v>
      </c>
      <c r="P211">
        <v>0.71650664684887055</v>
      </c>
      <c r="Q211">
        <v>0.74649859943977581</v>
      </c>
      <c r="R211">
        <v>1.3395872420262667</v>
      </c>
      <c r="S211">
        <v>1.3395872420262667</v>
      </c>
      <c r="T211">
        <v>0.95982316294576675</v>
      </c>
    </row>
    <row r="212" spans="1:20" x14ac:dyDescent="0.25">
      <c r="A212" s="12" t="s">
        <v>60</v>
      </c>
      <c r="B212" s="12" t="s">
        <v>37</v>
      </c>
      <c r="C212" s="12" t="s">
        <v>15</v>
      </c>
      <c r="D212" s="12">
        <v>3.5458747546381306</v>
      </c>
      <c r="E212" s="12">
        <v>9.5</v>
      </c>
      <c r="F212" s="12">
        <v>20</v>
      </c>
      <c r="G212" s="12">
        <v>9.5</v>
      </c>
      <c r="H212" s="12">
        <v>4.0588235294117636</v>
      </c>
      <c r="I212" s="12" t="s">
        <v>101</v>
      </c>
      <c r="J212" s="6">
        <v>46306</v>
      </c>
      <c r="K212">
        <v>46306</v>
      </c>
      <c r="L212">
        <v>2.679169642857143</v>
      </c>
      <c r="M212">
        <v>2.679169642857143</v>
      </c>
      <c r="N212">
        <v>1.1446607142857141</v>
      </c>
      <c r="O212">
        <v>0.37324997417243483</v>
      </c>
      <c r="P212">
        <v>0.37324997417243483</v>
      </c>
      <c r="Q212">
        <v>0.42724458204334353</v>
      </c>
      <c r="R212">
        <v>2.3405797101449282</v>
      </c>
      <c r="S212">
        <v>2.3405797101449282</v>
      </c>
      <c r="T212">
        <v>0.87362131636011942</v>
      </c>
    </row>
    <row r="213" spans="1:20" x14ac:dyDescent="0.25">
      <c r="A213" s="12" t="s">
        <v>60</v>
      </c>
      <c r="B213" s="12" t="s">
        <v>37</v>
      </c>
      <c r="C213" s="12" t="s">
        <v>13</v>
      </c>
      <c r="D213" s="12">
        <v>9.5295384030899779</v>
      </c>
      <c r="E213" s="12">
        <v>15.2</v>
      </c>
      <c r="F213" s="12">
        <v>20</v>
      </c>
      <c r="G213" s="12">
        <v>15.2</v>
      </c>
      <c r="H213" s="12">
        <v>10.22254901960784</v>
      </c>
      <c r="I213" s="12" t="s">
        <v>102</v>
      </c>
      <c r="J213" s="6">
        <v>46306</v>
      </c>
      <c r="K213">
        <v>46306</v>
      </c>
      <c r="L213">
        <v>1.5950405315614615</v>
      </c>
      <c r="M213">
        <v>1.5950405315614615</v>
      </c>
      <c r="N213">
        <v>1.0727223698781834</v>
      </c>
      <c r="O213">
        <v>0.62694331599276176</v>
      </c>
      <c r="P213">
        <v>0.62694331599276176</v>
      </c>
      <c r="Q213">
        <v>0.6725361197110421</v>
      </c>
      <c r="R213">
        <v>1.4869089862856051</v>
      </c>
      <c r="S213">
        <v>1.4869089862856051</v>
      </c>
      <c r="T213">
        <v>0.93220765044133314</v>
      </c>
    </row>
    <row r="214" spans="1:20" x14ac:dyDescent="0.25">
      <c r="A214" s="12" t="s">
        <v>60</v>
      </c>
      <c r="B214" s="12" t="s">
        <v>37</v>
      </c>
      <c r="C214" s="12" t="s">
        <v>14</v>
      </c>
      <c r="D214" s="12">
        <v>7.313366681441142</v>
      </c>
      <c r="E214" s="12">
        <v>16.149999999999999</v>
      </c>
      <c r="F214" s="12">
        <v>20</v>
      </c>
      <c r="G214" s="12">
        <v>16.149999999999999</v>
      </c>
      <c r="H214" s="12">
        <v>7.7186274509803869</v>
      </c>
      <c r="I214" s="12" t="s">
        <v>100</v>
      </c>
      <c r="J214" s="6">
        <v>46306</v>
      </c>
      <c r="K214">
        <v>46306</v>
      </c>
      <c r="L214">
        <v>2.2082852813852822</v>
      </c>
      <c r="M214">
        <v>2.2082852813852822</v>
      </c>
      <c r="N214">
        <v>1.0554137085137083</v>
      </c>
      <c r="O214">
        <v>0.45284004219449797</v>
      </c>
      <c r="P214">
        <v>0.45284004219449797</v>
      </c>
      <c r="Q214">
        <v>0.47793358829599925</v>
      </c>
      <c r="R214">
        <v>2.0923409119776464</v>
      </c>
      <c r="S214">
        <v>2.0923409119776464</v>
      </c>
      <c r="T214">
        <v>0.94749574686523175</v>
      </c>
    </row>
    <row r="215" spans="1:20" x14ac:dyDescent="0.25">
      <c r="A215" s="12" t="s">
        <v>60</v>
      </c>
      <c r="B215" s="12" t="s">
        <v>37</v>
      </c>
      <c r="C215" s="12" t="s">
        <v>15</v>
      </c>
      <c r="D215" s="12">
        <v>3.5458747546381306</v>
      </c>
      <c r="E215" s="12">
        <v>10.45</v>
      </c>
      <c r="F215" s="12">
        <v>20</v>
      </c>
      <c r="G215" s="12">
        <v>10.45</v>
      </c>
      <c r="H215" s="12">
        <v>4.1764705882352935</v>
      </c>
      <c r="I215" s="12" t="s">
        <v>104</v>
      </c>
      <c r="J215" s="6">
        <v>46307</v>
      </c>
      <c r="K215">
        <v>46307</v>
      </c>
      <c r="L215">
        <v>2.947086607142857</v>
      </c>
      <c r="M215">
        <v>2.947086607142857</v>
      </c>
      <c r="N215">
        <v>1.1778392857142856</v>
      </c>
      <c r="O215">
        <v>0.33931815833857709</v>
      </c>
      <c r="P215">
        <v>0.33931815833857709</v>
      </c>
      <c r="Q215">
        <v>0.39966225724739651</v>
      </c>
      <c r="R215">
        <v>2.5021126760563384</v>
      </c>
      <c r="S215">
        <v>2.5021126760563384</v>
      </c>
      <c r="T215">
        <v>0.84901226519504547</v>
      </c>
    </row>
    <row r="216" spans="1:20" x14ac:dyDescent="0.25">
      <c r="A216" s="12" t="s">
        <v>60</v>
      </c>
      <c r="B216" s="12" t="s">
        <v>37</v>
      </c>
      <c r="C216" s="12" t="s">
        <v>14</v>
      </c>
      <c r="D216" s="12">
        <v>7.313366681441142</v>
      </c>
      <c r="E216" s="12">
        <v>16.149999999999999</v>
      </c>
      <c r="F216" s="12">
        <v>20</v>
      </c>
      <c r="G216" s="12">
        <v>16.149999999999999</v>
      </c>
      <c r="H216" s="12">
        <v>8.6009803921568562</v>
      </c>
      <c r="I216" s="12" t="s">
        <v>103</v>
      </c>
      <c r="J216" s="6">
        <v>46307</v>
      </c>
      <c r="K216">
        <v>46307</v>
      </c>
      <c r="L216">
        <v>2.2082852813852822</v>
      </c>
      <c r="M216">
        <v>2.2082852813852822</v>
      </c>
      <c r="N216">
        <v>1.1760630591630588</v>
      </c>
      <c r="O216">
        <v>0.45284004219449797</v>
      </c>
      <c r="P216">
        <v>0.45284004219449797</v>
      </c>
      <c r="Q216">
        <v>0.53256844533478986</v>
      </c>
      <c r="R216">
        <v>1.8776929214635827</v>
      </c>
      <c r="S216">
        <v>1.8776929214635827</v>
      </c>
      <c r="T216">
        <v>0.85029454178387898</v>
      </c>
    </row>
    <row r="217" spans="1:20" x14ac:dyDescent="0.25">
      <c r="A217" s="12" t="s">
        <v>60</v>
      </c>
      <c r="B217" s="12" t="s">
        <v>37</v>
      </c>
      <c r="C217" s="12" t="s">
        <v>13</v>
      </c>
      <c r="D217" s="12">
        <v>9.5295384030899779</v>
      </c>
      <c r="E217" s="12">
        <v>17.099999999999998</v>
      </c>
      <c r="F217" s="12">
        <v>20</v>
      </c>
      <c r="G217" s="12">
        <v>17.099999999999998</v>
      </c>
      <c r="H217" s="12">
        <v>10.22254901960784</v>
      </c>
      <c r="I217" s="12" t="s">
        <v>105</v>
      </c>
      <c r="J217" s="6">
        <v>46307</v>
      </c>
      <c r="K217">
        <v>46307</v>
      </c>
      <c r="L217">
        <v>1.7944205980066441</v>
      </c>
      <c r="M217">
        <v>1.7944205980066441</v>
      </c>
      <c r="N217">
        <v>1.0727223698781834</v>
      </c>
      <c r="O217">
        <v>0.55728294754912155</v>
      </c>
      <c r="P217">
        <v>0.55728294754912155</v>
      </c>
      <c r="Q217">
        <v>0.59780988418759307</v>
      </c>
      <c r="R217">
        <v>1.6727726095713056</v>
      </c>
      <c r="S217">
        <v>1.6727726095713056</v>
      </c>
      <c r="T217">
        <v>0.93220765044133314</v>
      </c>
    </row>
    <row r="218" spans="1:20" x14ac:dyDescent="0.25">
      <c r="A218" s="12" t="s">
        <v>60</v>
      </c>
      <c r="B218" s="12" t="s">
        <v>37</v>
      </c>
      <c r="C218" s="12" t="s">
        <v>14</v>
      </c>
      <c r="D218" s="12">
        <v>7.313366681441142</v>
      </c>
      <c r="E218" s="12">
        <v>17.099999999999998</v>
      </c>
      <c r="F218" s="12">
        <v>20</v>
      </c>
      <c r="G218" s="12">
        <v>17.099999999999998</v>
      </c>
      <c r="H218" s="12">
        <v>8.6009803921568562</v>
      </c>
      <c r="I218" s="12" t="s">
        <v>107</v>
      </c>
      <c r="J218" s="6">
        <v>46308</v>
      </c>
      <c r="K218">
        <v>46308</v>
      </c>
      <c r="L218">
        <v>2.3381844155844163</v>
      </c>
      <c r="M218">
        <v>2.3381844155844163</v>
      </c>
      <c r="N218">
        <v>1.1760630591630588</v>
      </c>
      <c r="O218">
        <v>0.42768226207258148</v>
      </c>
      <c r="P218">
        <v>0.42768226207258148</v>
      </c>
      <c r="Q218">
        <v>0.50298130948285713</v>
      </c>
      <c r="R218">
        <v>1.9881454462555581</v>
      </c>
      <c r="S218">
        <v>1.9881454462555581</v>
      </c>
      <c r="T218">
        <v>0.85029454178387898</v>
      </c>
    </row>
    <row r="219" spans="1:20" x14ac:dyDescent="0.25">
      <c r="A219" s="12" t="s">
        <v>60</v>
      </c>
      <c r="B219" s="12" t="s">
        <v>37</v>
      </c>
      <c r="C219" s="12" t="s">
        <v>15</v>
      </c>
      <c r="D219" s="12">
        <v>3.5458747546381306</v>
      </c>
      <c r="E219" s="12">
        <v>10.45</v>
      </c>
      <c r="F219" s="12">
        <v>20</v>
      </c>
      <c r="G219" s="12">
        <v>10.45</v>
      </c>
      <c r="H219" s="12">
        <v>4.1764705882352935</v>
      </c>
      <c r="I219" s="12" t="s">
        <v>106</v>
      </c>
      <c r="J219" s="6">
        <v>46308</v>
      </c>
      <c r="K219">
        <v>46308</v>
      </c>
      <c r="L219">
        <v>2.947086607142857</v>
      </c>
      <c r="M219">
        <v>2.947086607142857</v>
      </c>
      <c r="N219">
        <v>1.1778392857142856</v>
      </c>
      <c r="O219">
        <v>0.33931815833857709</v>
      </c>
      <c r="P219">
        <v>0.33931815833857709</v>
      </c>
      <c r="Q219">
        <v>0.39966225724739651</v>
      </c>
      <c r="R219">
        <v>2.5021126760563384</v>
      </c>
      <c r="S219">
        <v>2.5021126760563384</v>
      </c>
      <c r="T219">
        <v>0.84901226519504547</v>
      </c>
    </row>
    <row r="220" spans="1:20" x14ac:dyDescent="0.25">
      <c r="A220" s="12" t="s">
        <v>60</v>
      </c>
      <c r="B220" s="12" t="s">
        <v>37</v>
      </c>
      <c r="C220" s="12" t="s">
        <v>13</v>
      </c>
      <c r="D220" s="12">
        <v>9.5295384030899761</v>
      </c>
      <c r="E220" s="12">
        <v>18.05</v>
      </c>
      <c r="F220" s="12">
        <v>20</v>
      </c>
      <c r="G220" s="12">
        <v>18.05</v>
      </c>
      <c r="H220" s="12">
        <v>10.22254901960784</v>
      </c>
      <c r="I220" s="12" t="s">
        <v>108</v>
      </c>
      <c r="J220" s="6">
        <v>46308</v>
      </c>
      <c r="K220">
        <v>46308</v>
      </c>
      <c r="L220">
        <v>1.894110631229236</v>
      </c>
      <c r="M220">
        <v>1.894110631229236</v>
      </c>
      <c r="N220">
        <v>1.0727223698781836</v>
      </c>
      <c r="O220">
        <v>0.52795226609916768</v>
      </c>
      <c r="P220">
        <v>0.52795226609916768</v>
      </c>
      <c r="Q220">
        <v>0.56634620607245645</v>
      </c>
      <c r="R220">
        <v>1.7657044212141562</v>
      </c>
      <c r="S220">
        <v>1.7657044212141562</v>
      </c>
      <c r="T220">
        <v>0.93220765044133302</v>
      </c>
    </row>
    <row r="221" spans="1:20" x14ac:dyDescent="0.25">
      <c r="A221" s="12" t="s">
        <v>60</v>
      </c>
      <c r="B221" s="12" t="s">
        <v>37</v>
      </c>
      <c r="C221" s="12" t="s">
        <v>14</v>
      </c>
      <c r="D221" s="12">
        <v>6.6485151649464944</v>
      </c>
      <c r="E221" s="12">
        <v>16.149999999999999</v>
      </c>
      <c r="F221" s="12">
        <v>20</v>
      </c>
      <c r="G221" s="12">
        <v>16.149999999999999</v>
      </c>
      <c r="H221" s="12">
        <v>7.8509803921568588</v>
      </c>
      <c r="I221" s="12" t="s">
        <v>110</v>
      </c>
      <c r="J221" s="6">
        <v>46309</v>
      </c>
      <c r="K221">
        <v>46309</v>
      </c>
      <c r="L221">
        <v>2.4291138095238098</v>
      </c>
      <c r="M221">
        <v>2.4291138095238098</v>
      </c>
      <c r="N221">
        <v>1.1808622222222218</v>
      </c>
      <c r="O221">
        <v>0.4116727656313619</v>
      </c>
      <c r="P221">
        <v>0.4116727656313619</v>
      </c>
      <c r="Q221">
        <v>0.48612881685181791</v>
      </c>
      <c r="R221">
        <v>2.057067932067933</v>
      </c>
      <c r="S221">
        <v>2.057067932067933</v>
      </c>
      <c r="T221">
        <v>0.84683884468599246</v>
      </c>
    </row>
    <row r="222" spans="1:20" x14ac:dyDescent="0.25">
      <c r="A222" s="12" t="s">
        <v>60</v>
      </c>
      <c r="B222" s="12" t="s">
        <v>37</v>
      </c>
      <c r="C222" s="12" t="s">
        <v>15</v>
      </c>
      <c r="D222" s="12">
        <v>3.5458747546381306</v>
      </c>
      <c r="E222" s="12">
        <v>10.45</v>
      </c>
      <c r="F222" s="12">
        <v>20</v>
      </c>
      <c r="G222" s="12">
        <v>10.45</v>
      </c>
      <c r="H222" s="12">
        <v>4.1764705882352935</v>
      </c>
      <c r="I222" s="12" t="s">
        <v>109</v>
      </c>
      <c r="J222" s="6">
        <v>46309</v>
      </c>
      <c r="K222">
        <v>46309</v>
      </c>
      <c r="L222">
        <v>2.947086607142857</v>
      </c>
      <c r="M222">
        <v>2.947086607142857</v>
      </c>
      <c r="N222">
        <v>1.1778392857142856</v>
      </c>
      <c r="O222">
        <v>0.33931815833857709</v>
      </c>
      <c r="P222">
        <v>0.33931815833857709</v>
      </c>
      <c r="Q222">
        <v>0.39966225724739651</v>
      </c>
      <c r="R222">
        <v>2.5021126760563384</v>
      </c>
      <c r="S222">
        <v>2.5021126760563384</v>
      </c>
      <c r="T222">
        <v>0.84901226519504547</v>
      </c>
    </row>
    <row r="223" spans="1:20" x14ac:dyDescent="0.25">
      <c r="A223" s="12" t="s">
        <v>60</v>
      </c>
      <c r="B223" s="12" t="s">
        <v>37</v>
      </c>
      <c r="C223" s="12" t="s">
        <v>13</v>
      </c>
      <c r="D223" s="12">
        <v>9.5295384030899779</v>
      </c>
      <c r="E223" s="12">
        <v>17.099999999999998</v>
      </c>
      <c r="F223" s="12">
        <v>20</v>
      </c>
      <c r="G223" s="12">
        <v>17.099999999999998</v>
      </c>
      <c r="H223" s="12">
        <v>10.22254901960784</v>
      </c>
      <c r="I223" s="12" t="s">
        <v>111</v>
      </c>
      <c r="J223" s="6">
        <v>46309</v>
      </c>
      <c r="K223">
        <v>46309</v>
      </c>
      <c r="L223">
        <v>1.7944205980066441</v>
      </c>
      <c r="M223">
        <v>1.7944205980066441</v>
      </c>
      <c r="N223">
        <v>1.0727223698781834</v>
      </c>
      <c r="O223">
        <v>0.55728294754912155</v>
      </c>
      <c r="P223">
        <v>0.55728294754912155</v>
      </c>
      <c r="Q223">
        <v>0.59780988418759307</v>
      </c>
      <c r="R223">
        <v>1.6727726095713056</v>
      </c>
      <c r="S223">
        <v>1.6727726095713056</v>
      </c>
      <c r="T223">
        <v>0.93220765044133314</v>
      </c>
    </row>
    <row r="224" spans="1:20" x14ac:dyDescent="0.25">
      <c r="A224" s="12" t="s">
        <v>60</v>
      </c>
      <c r="B224" s="12" t="s">
        <v>37</v>
      </c>
      <c r="C224" s="12" t="s">
        <v>15</v>
      </c>
      <c r="D224" s="12">
        <v>3.5458747546381306</v>
      </c>
      <c r="E224" s="12">
        <v>10.45</v>
      </c>
      <c r="F224" s="12">
        <v>20</v>
      </c>
      <c r="G224" s="12">
        <v>10.45</v>
      </c>
      <c r="H224" s="12">
        <v>4.1764705882352935</v>
      </c>
      <c r="I224" s="12" t="s">
        <v>112</v>
      </c>
      <c r="J224" s="6">
        <v>46310</v>
      </c>
      <c r="K224">
        <v>46310</v>
      </c>
      <c r="L224">
        <v>2.947086607142857</v>
      </c>
      <c r="M224">
        <v>2.947086607142857</v>
      </c>
      <c r="N224">
        <v>1.1778392857142856</v>
      </c>
      <c r="O224">
        <v>0.33931815833857709</v>
      </c>
      <c r="P224">
        <v>0.33931815833857709</v>
      </c>
      <c r="Q224">
        <v>0.39966225724739651</v>
      </c>
      <c r="R224">
        <v>2.5021126760563384</v>
      </c>
      <c r="S224">
        <v>2.5021126760563384</v>
      </c>
      <c r="T224">
        <v>0.84901226519504547</v>
      </c>
    </row>
    <row r="225" spans="1:20" x14ac:dyDescent="0.25">
      <c r="A225" s="12" t="s">
        <v>60</v>
      </c>
      <c r="B225" s="12" t="s">
        <v>37</v>
      </c>
      <c r="C225" s="12" t="s">
        <v>14</v>
      </c>
      <c r="D225" s="12">
        <v>7.313366681441142</v>
      </c>
      <c r="E225" s="12">
        <v>17.099999999999998</v>
      </c>
      <c r="F225" s="12">
        <v>20</v>
      </c>
      <c r="G225" s="12">
        <v>17.099999999999998</v>
      </c>
      <c r="H225" s="12">
        <v>8.6009803921568597</v>
      </c>
      <c r="I225" s="12" t="s">
        <v>113</v>
      </c>
      <c r="J225" s="6">
        <v>46310</v>
      </c>
      <c r="K225">
        <v>46310</v>
      </c>
      <c r="L225">
        <v>2.3381844155844163</v>
      </c>
      <c r="M225">
        <v>2.3381844155844163</v>
      </c>
      <c r="N225">
        <v>1.1760630591630592</v>
      </c>
      <c r="O225">
        <v>0.42768226207258148</v>
      </c>
      <c r="P225">
        <v>0.42768226207258148</v>
      </c>
      <c r="Q225">
        <v>0.50298130948285735</v>
      </c>
      <c r="R225">
        <v>1.9881454462555572</v>
      </c>
      <c r="S225">
        <v>1.9881454462555572</v>
      </c>
      <c r="T225">
        <v>0.85029454178387864</v>
      </c>
    </row>
    <row r="226" spans="1:20" x14ac:dyDescent="0.25">
      <c r="A226" s="12" t="s">
        <v>60</v>
      </c>
      <c r="B226" s="12" t="s">
        <v>37</v>
      </c>
      <c r="C226" s="12" t="s">
        <v>13</v>
      </c>
      <c r="D226" s="12">
        <v>9.5295384030899779</v>
      </c>
      <c r="E226" s="12">
        <v>17.099999999999998</v>
      </c>
      <c r="F226" s="12">
        <v>20</v>
      </c>
      <c r="G226" s="12">
        <v>17.099999999999998</v>
      </c>
      <c r="H226" s="12">
        <v>10.22254901960784</v>
      </c>
      <c r="I226" s="12" t="s">
        <v>114</v>
      </c>
      <c r="J226" s="6">
        <v>46310</v>
      </c>
      <c r="K226">
        <v>46310</v>
      </c>
      <c r="L226">
        <v>1.7944205980066441</v>
      </c>
      <c r="M226">
        <v>1.7944205980066441</v>
      </c>
      <c r="N226">
        <v>1.0727223698781834</v>
      </c>
      <c r="O226">
        <v>0.55728294754912155</v>
      </c>
      <c r="P226">
        <v>0.55728294754912155</v>
      </c>
      <c r="Q226">
        <v>0.59780988418759307</v>
      </c>
      <c r="R226">
        <v>1.6727726095713056</v>
      </c>
      <c r="S226">
        <v>1.6727726095713056</v>
      </c>
      <c r="T226">
        <v>0.93220765044133314</v>
      </c>
    </row>
    <row r="227" spans="1:20" x14ac:dyDescent="0.25">
      <c r="A227" s="12" t="s">
        <v>60</v>
      </c>
      <c r="B227" s="12" t="s">
        <v>37</v>
      </c>
      <c r="C227" s="12" t="s">
        <v>15</v>
      </c>
      <c r="D227" s="12">
        <v>3.5458747546381306</v>
      </c>
      <c r="E227" s="12">
        <v>10.45</v>
      </c>
      <c r="F227" s="12">
        <v>20</v>
      </c>
      <c r="G227" s="12">
        <v>10.45</v>
      </c>
      <c r="H227" s="12">
        <v>4.1764705882352935</v>
      </c>
      <c r="I227" s="12" t="s">
        <v>117</v>
      </c>
      <c r="J227" s="6">
        <v>46311</v>
      </c>
      <c r="K227">
        <v>46311</v>
      </c>
      <c r="L227">
        <v>2.947086607142857</v>
      </c>
      <c r="M227">
        <v>2.947086607142857</v>
      </c>
      <c r="N227">
        <v>1.1778392857142856</v>
      </c>
      <c r="O227">
        <v>0.33931815833857709</v>
      </c>
      <c r="P227">
        <v>0.33931815833857709</v>
      </c>
      <c r="Q227">
        <v>0.39966225724739651</v>
      </c>
      <c r="R227">
        <v>2.5021126760563384</v>
      </c>
      <c r="S227">
        <v>2.5021126760563384</v>
      </c>
      <c r="T227">
        <v>0.84901226519504547</v>
      </c>
    </row>
    <row r="228" spans="1:20" x14ac:dyDescent="0.25">
      <c r="A228" s="12" t="s">
        <v>60</v>
      </c>
      <c r="B228" s="12" t="s">
        <v>37</v>
      </c>
      <c r="C228" s="12" t="s">
        <v>14</v>
      </c>
      <c r="D228" s="12">
        <v>7.313366681441142</v>
      </c>
      <c r="E228" s="12">
        <v>17.099999999999998</v>
      </c>
      <c r="F228" s="12">
        <v>20</v>
      </c>
      <c r="G228" s="12">
        <v>17.099999999999998</v>
      </c>
      <c r="H228" s="12">
        <v>8.6009803921568562</v>
      </c>
      <c r="I228" s="12" t="s">
        <v>116</v>
      </c>
      <c r="J228" s="6">
        <v>46311</v>
      </c>
      <c r="K228">
        <v>46311</v>
      </c>
      <c r="L228">
        <v>2.3381844155844163</v>
      </c>
      <c r="M228">
        <v>2.3381844155844163</v>
      </c>
      <c r="N228">
        <v>1.1760630591630588</v>
      </c>
      <c r="O228">
        <v>0.42768226207258148</v>
      </c>
      <c r="P228">
        <v>0.42768226207258148</v>
      </c>
      <c r="Q228">
        <v>0.50298130948285713</v>
      </c>
      <c r="R228">
        <v>1.9881454462555581</v>
      </c>
      <c r="S228">
        <v>1.9881454462555581</v>
      </c>
      <c r="T228">
        <v>0.85029454178387898</v>
      </c>
    </row>
    <row r="229" spans="1:20" x14ac:dyDescent="0.25">
      <c r="A229" s="12" t="s">
        <v>60</v>
      </c>
      <c r="B229" s="12" t="s">
        <v>37</v>
      </c>
      <c r="C229" s="12" t="s">
        <v>13</v>
      </c>
      <c r="D229" s="12">
        <v>9.5295384030899779</v>
      </c>
      <c r="E229" s="12">
        <v>18.05</v>
      </c>
      <c r="F229" s="12">
        <v>20</v>
      </c>
      <c r="G229" s="12">
        <v>18.05</v>
      </c>
      <c r="H229" s="12">
        <v>10.22254901960784</v>
      </c>
      <c r="I229" s="12" t="s">
        <v>115</v>
      </c>
      <c r="J229" s="6">
        <v>46311</v>
      </c>
      <c r="K229">
        <v>46311</v>
      </c>
      <c r="L229">
        <v>1.8941106312292357</v>
      </c>
      <c r="M229">
        <v>1.8941106312292357</v>
      </c>
      <c r="N229">
        <v>1.0727223698781834</v>
      </c>
      <c r="O229">
        <v>0.52795226609916768</v>
      </c>
      <c r="P229">
        <v>0.52795226609916768</v>
      </c>
      <c r="Q229">
        <v>0.56634620607245645</v>
      </c>
      <c r="R229">
        <v>1.7657044212141562</v>
      </c>
      <c r="S229">
        <v>1.7657044212141562</v>
      </c>
      <c r="T229">
        <v>0.93220765044133314</v>
      </c>
    </row>
    <row r="230" spans="1:20" x14ac:dyDescent="0.25">
      <c r="A230" s="12" t="s">
        <v>60</v>
      </c>
      <c r="B230" s="12" t="s">
        <v>37</v>
      </c>
      <c r="C230" s="12" t="s">
        <v>13</v>
      </c>
      <c r="D230" s="12">
        <v>9.5295384030899779</v>
      </c>
      <c r="E230" s="12">
        <v>15.2</v>
      </c>
      <c r="F230" s="12">
        <v>20</v>
      </c>
      <c r="G230" s="12">
        <v>15.2</v>
      </c>
      <c r="H230" s="12">
        <v>10.149019607843137</v>
      </c>
      <c r="I230" s="12" t="s">
        <v>119</v>
      </c>
      <c r="J230" s="6">
        <v>46312</v>
      </c>
      <c r="K230">
        <v>46312</v>
      </c>
      <c r="L230">
        <v>1.5950405315614615</v>
      </c>
      <c r="M230">
        <v>1.5950405315614615</v>
      </c>
      <c r="N230">
        <v>1.0650064230343299</v>
      </c>
      <c r="O230">
        <v>0.62694331599276176</v>
      </c>
      <c r="P230">
        <v>0.62694331599276176</v>
      </c>
      <c r="Q230">
        <v>0.66769865841073273</v>
      </c>
      <c r="R230">
        <v>1.4976816074188564</v>
      </c>
      <c r="S230">
        <v>1.4976816074188564</v>
      </c>
      <c r="T230">
        <v>0.93896147325654733</v>
      </c>
    </row>
    <row r="231" spans="1:20" x14ac:dyDescent="0.25">
      <c r="A231" s="12" t="s">
        <v>60</v>
      </c>
      <c r="B231" s="12" t="s">
        <v>37</v>
      </c>
      <c r="C231" s="12" t="s">
        <v>15</v>
      </c>
      <c r="D231" s="12">
        <v>3.5458747546381306</v>
      </c>
      <c r="E231" s="12">
        <v>10.45</v>
      </c>
      <c r="F231" s="12">
        <v>20</v>
      </c>
      <c r="G231" s="12">
        <v>10.45</v>
      </c>
      <c r="H231" s="12">
        <v>4.1764705882352935</v>
      </c>
      <c r="I231" s="12" t="s">
        <v>120</v>
      </c>
      <c r="J231" s="6">
        <v>46312</v>
      </c>
      <c r="K231">
        <v>46312</v>
      </c>
      <c r="L231">
        <v>2.947086607142857</v>
      </c>
      <c r="M231">
        <v>2.947086607142857</v>
      </c>
      <c r="N231">
        <v>1.1778392857142856</v>
      </c>
      <c r="O231">
        <v>0.33931815833857709</v>
      </c>
      <c r="P231">
        <v>0.33931815833857709</v>
      </c>
      <c r="Q231">
        <v>0.39966225724739651</v>
      </c>
      <c r="R231">
        <v>2.5021126760563384</v>
      </c>
      <c r="S231">
        <v>2.5021126760563384</v>
      </c>
      <c r="T231">
        <v>0.84901226519504547</v>
      </c>
    </row>
    <row r="232" spans="1:20" x14ac:dyDescent="0.25">
      <c r="A232" s="12" t="s">
        <v>60</v>
      </c>
      <c r="B232" s="12" t="s">
        <v>37</v>
      </c>
      <c r="C232" s="12" t="s">
        <v>14</v>
      </c>
      <c r="D232" s="12">
        <v>7.313366681441142</v>
      </c>
      <c r="E232" s="12">
        <v>16.149999999999999</v>
      </c>
      <c r="F232" s="12">
        <v>20</v>
      </c>
      <c r="G232" s="12">
        <v>16.149999999999999</v>
      </c>
      <c r="H232" s="12">
        <v>8.4245098039215627</v>
      </c>
      <c r="I232" s="12" t="s">
        <v>118</v>
      </c>
      <c r="J232" s="6">
        <v>46312</v>
      </c>
      <c r="K232">
        <v>46312</v>
      </c>
      <c r="L232">
        <v>2.2082852813852822</v>
      </c>
      <c r="M232">
        <v>2.2082852813852822</v>
      </c>
      <c r="N232">
        <v>1.1519331890331888</v>
      </c>
      <c r="O232">
        <v>0.45284004219449797</v>
      </c>
      <c r="P232">
        <v>0.45284004219449797</v>
      </c>
      <c r="Q232">
        <v>0.52164147392703175</v>
      </c>
      <c r="R232">
        <v>1.9170254858605853</v>
      </c>
      <c r="S232">
        <v>1.9170254858605853</v>
      </c>
      <c r="T232">
        <v>0.86810590190503556</v>
      </c>
    </row>
    <row r="233" spans="1:20" x14ac:dyDescent="0.25">
      <c r="A233" s="12" t="s">
        <v>60</v>
      </c>
      <c r="B233" s="12" t="s">
        <v>37</v>
      </c>
      <c r="C233" s="12" t="s">
        <v>14</v>
      </c>
      <c r="D233" s="12">
        <v>7.313366681441142</v>
      </c>
      <c r="E233" s="12">
        <v>16.149999999999999</v>
      </c>
      <c r="F233" s="12">
        <v>20</v>
      </c>
      <c r="G233" s="12">
        <v>16.149999999999999</v>
      </c>
      <c r="H233" s="12">
        <v>8.4245098039215609</v>
      </c>
      <c r="I233" s="12" t="s">
        <v>123</v>
      </c>
      <c r="J233" s="6">
        <v>46313</v>
      </c>
      <c r="K233">
        <v>46313</v>
      </c>
      <c r="L233">
        <v>2.2082852813852822</v>
      </c>
      <c r="M233">
        <v>2.2082852813852822</v>
      </c>
      <c r="N233">
        <v>1.1519331890331885</v>
      </c>
      <c r="O233">
        <v>0.45284004219449797</v>
      </c>
      <c r="P233">
        <v>0.45284004219449797</v>
      </c>
      <c r="Q233">
        <v>0.52164147392703164</v>
      </c>
      <c r="R233">
        <v>1.9170254858605857</v>
      </c>
      <c r="S233">
        <v>1.9170254858605857</v>
      </c>
      <c r="T233">
        <v>0.86810590190503567</v>
      </c>
    </row>
    <row r="234" spans="1:20" x14ac:dyDescent="0.25">
      <c r="A234" s="12" t="s">
        <v>60</v>
      </c>
      <c r="B234" s="12" t="s">
        <v>37</v>
      </c>
      <c r="C234" s="12" t="s">
        <v>15</v>
      </c>
      <c r="D234" s="12">
        <v>3.5458747546381306</v>
      </c>
      <c r="E234" s="12">
        <v>10.45</v>
      </c>
      <c r="F234" s="12">
        <v>20</v>
      </c>
      <c r="G234" s="12">
        <v>10.45</v>
      </c>
      <c r="H234" s="12">
        <v>4.1764705882352935</v>
      </c>
      <c r="I234" s="12" t="s">
        <v>122</v>
      </c>
      <c r="J234" s="6">
        <v>46313</v>
      </c>
      <c r="K234">
        <v>46313</v>
      </c>
      <c r="L234">
        <v>2.947086607142857</v>
      </c>
      <c r="M234">
        <v>2.947086607142857</v>
      </c>
      <c r="N234">
        <v>1.1778392857142856</v>
      </c>
      <c r="O234">
        <v>0.33931815833857709</v>
      </c>
      <c r="P234">
        <v>0.33931815833857709</v>
      </c>
      <c r="Q234">
        <v>0.39966225724739651</v>
      </c>
      <c r="R234">
        <v>2.5021126760563384</v>
      </c>
      <c r="S234">
        <v>2.5021126760563384</v>
      </c>
      <c r="T234">
        <v>0.84901226519504547</v>
      </c>
    </row>
    <row r="235" spans="1:20" x14ac:dyDescent="0.25">
      <c r="A235" s="12" t="s">
        <v>60</v>
      </c>
      <c r="B235" s="12" t="s">
        <v>37</v>
      </c>
      <c r="C235" s="12" t="s">
        <v>13</v>
      </c>
      <c r="D235" s="12">
        <v>8.6430697144304478</v>
      </c>
      <c r="E235" s="12">
        <v>15.2</v>
      </c>
      <c r="F235" s="12">
        <v>20</v>
      </c>
      <c r="G235" s="12">
        <v>15.2</v>
      </c>
      <c r="H235" s="12">
        <v>9.8401960784313722</v>
      </c>
      <c r="I235" s="12" t="s">
        <v>121</v>
      </c>
      <c r="J235" s="6">
        <v>46313</v>
      </c>
      <c r="K235">
        <v>46313</v>
      </c>
      <c r="L235">
        <v>1.7586344322344314</v>
      </c>
      <c r="M235">
        <v>1.7586344322344314</v>
      </c>
      <c r="N235">
        <v>1.1385070818070813</v>
      </c>
      <c r="O235">
        <v>0.56862300752831896</v>
      </c>
      <c r="P235">
        <v>0.56862300752831896</v>
      </c>
      <c r="Q235">
        <v>0.64738132094943246</v>
      </c>
      <c r="R235">
        <v>1.5446846667330876</v>
      </c>
      <c r="S235">
        <v>1.5446846667330876</v>
      </c>
      <c r="T235">
        <v>0.8783432408806473</v>
      </c>
    </row>
    <row r="236" spans="1:20" x14ac:dyDescent="0.25">
      <c r="A236" s="12" t="s">
        <v>60</v>
      </c>
      <c r="B236" s="12" t="s">
        <v>37</v>
      </c>
      <c r="C236" s="12" t="s">
        <v>15</v>
      </c>
      <c r="D236" s="12">
        <v>3.5458747546381306</v>
      </c>
      <c r="E236" s="12">
        <v>10.45</v>
      </c>
      <c r="F236" s="12">
        <v>20</v>
      </c>
      <c r="G236" s="12">
        <v>10.45</v>
      </c>
      <c r="H236" s="12">
        <v>4.1764705882352935</v>
      </c>
      <c r="I236" s="12" t="s">
        <v>125</v>
      </c>
      <c r="J236" s="6">
        <v>46314</v>
      </c>
      <c r="K236">
        <v>46314</v>
      </c>
      <c r="L236">
        <v>2.947086607142857</v>
      </c>
      <c r="M236">
        <v>2.947086607142857</v>
      </c>
      <c r="N236">
        <v>1.1778392857142856</v>
      </c>
      <c r="O236">
        <v>0.33931815833857709</v>
      </c>
      <c r="P236">
        <v>0.33931815833857709</v>
      </c>
      <c r="Q236">
        <v>0.39966225724739651</v>
      </c>
      <c r="R236">
        <v>2.5021126760563384</v>
      </c>
      <c r="S236">
        <v>2.5021126760563384</v>
      </c>
      <c r="T236">
        <v>0.84901226519504547</v>
      </c>
    </row>
    <row r="237" spans="1:20" x14ac:dyDescent="0.25">
      <c r="A237" s="12" t="s">
        <v>60</v>
      </c>
      <c r="B237" s="12" t="s">
        <v>37</v>
      </c>
      <c r="C237" s="12" t="s">
        <v>13</v>
      </c>
      <c r="D237" s="12">
        <v>9.5295384030899779</v>
      </c>
      <c r="E237" s="12">
        <v>16.149999999999999</v>
      </c>
      <c r="F237" s="12">
        <v>20</v>
      </c>
      <c r="G237" s="12">
        <v>16.149999999999999</v>
      </c>
      <c r="H237" s="12">
        <v>10.22254901960784</v>
      </c>
      <c r="I237" s="12" t="s">
        <v>126</v>
      </c>
      <c r="J237" s="6">
        <v>46314</v>
      </c>
      <c r="K237">
        <v>46314</v>
      </c>
      <c r="L237">
        <v>1.6947305647840527</v>
      </c>
      <c r="M237">
        <v>1.6947305647840527</v>
      </c>
      <c r="N237">
        <v>1.0727223698781834</v>
      </c>
      <c r="O237">
        <v>0.59006429740495225</v>
      </c>
      <c r="P237">
        <v>0.59006429740495225</v>
      </c>
      <c r="Q237">
        <v>0.63297517149274551</v>
      </c>
      <c r="R237">
        <v>1.5798407979284554</v>
      </c>
      <c r="S237">
        <v>1.5798407979284554</v>
      </c>
      <c r="T237">
        <v>0.93220765044133314</v>
      </c>
    </row>
    <row r="238" spans="1:20" x14ac:dyDescent="0.25">
      <c r="A238" s="12" t="s">
        <v>60</v>
      </c>
      <c r="B238" s="12" t="s">
        <v>37</v>
      </c>
      <c r="C238" s="12" t="s">
        <v>14</v>
      </c>
      <c r="D238" s="12">
        <v>7.313366681441142</v>
      </c>
      <c r="E238" s="12">
        <v>17.099999999999998</v>
      </c>
      <c r="F238" s="12">
        <v>20</v>
      </c>
      <c r="G238" s="12">
        <v>17.099999999999998</v>
      </c>
      <c r="H238" s="12">
        <v>8.6009803921568562</v>
      </c>
      <c r="I238" s="12" t="s">
        <v>124</v>
      </c>
      <c r="J238" s="6">
        <v>46314</v>
      </c>
      <c r="K238">
        <v>46314</v>
      </c>
      <c r="L238">
        <v>2.3381844155844163</v>
      </c>
      <c r="M238">
        <v>2.3381844155844163</v>
      </c>
      <c r="N238">
        <v>1.1760630591630588</v>
      </c>
      <c r="O238">
        <v>0.42768226207258148</v>
      </c>
      <c r="P238">
        <v>0.42768226207258148</v>
      </c>
      <c r="Q238">
        <v>0.50298130948285713</v>
      </c>
      <c r="R238">
        <v>1.9881454462555581</v>
      </c>
      <c r="S238">
        <v>1.9881454462555581</v>
      </c>
      <c r="T238">
        <v>0.85029454178387898</v>
      </c>
    </row>
    <row r="239" spans="1:20" x14ac:dyDescent="0.25">
      <c r="A239" s="12" t="s">
        <v>60</v>
      </c>
      <c r="B239" s="12" t="s">
        <v>37</v>
      </c>
      <c r="C239" s="12" t="s">
        <v>13</v>
      </c>
      <c r="D239" s="12">
        <v>9.5295384030899779</v>
      </c>
      <c r="E239" s="12">
        <v>17.099999999999998</v>
      </c>
      <c r="F239" s="12">
        <v>20</v>
      </c>
      <c r="G239" s="12">
        <v>17.099999999999998</v>
      </c>
      <c r="H239" s="12">
        <v>10.22254901960784</v>
      </c>
      <c r="I239" s="12" t="s">
        <v>127</v>
      </c>
      <c r="J239" s="6">
        <v>46315</v>
      </c>
      <c r="K239">
        <v>46315</v>
      </c>
      <c r="L239">
        <v>1.7944205980066441</v>
      </c>
      <c r="M239">
        <v>1.7944205980066441</v>
      </c>
      <c r="N239">
        <v>1.0727223698781834</v>
      </c>
      <c r="O239">
        <v>0.55728294754912155</v>
      </c>
      <c r="P239">
        <v>0.55728294754912155</v>
      </c>
      <c r="Q239">
        <v>0.59780988418759307</v>
      </c>
      <c r="R239">
        <v>1.6727726095713056</v>
      </c>
      <c r="S239">
        <v>1.6727726095713056</v>
      </c>
      <c r="T239">
        <v>0.93220765044133314</v>
      </c>
    </row>
    <row r="240" spans="1:20" x14ac:dyDescent="0.25">
      <c r="A240" s="12" t="s">
        <v>60</v>
      </c>
      <c r="B240" s="12" t="s">
        <v>37</v>
      </c>
      <c r="C240" s="12" t="s">
        <v>14</v>
      </c>
      <c r="D240" s="12">
        <v>7.313366681441142</v>
      </c>
      <c r="E240" s="12">
        <v>17.099999999999998</v>
      </c>
      <c r="F240" s="12">
        <v>20</v>
      </c>
      <c r="G240" s="12">
        <v>17.099999999999998</v>
      </c>
      <c r="H240" s="12">
        <v>8.6009803921568544</v>
      </c>
      <c r="I240" s="12" t="s">
        <v>129</v>
      </c>
      <c r="J240" s="6">
        <v>46315</v>
      </c>
      <c r="K240">
        <v>46315</v>
      </c>
      <c r="L240">
        <v>2.3381844155844163</v>
      </c>
      <c r="M240">
        <v>2.3381844155844163</v>
      </c>
      <c r="N240">
        <v>1.1760630591630585</v>
      </c>
      <c r="O240">
        <v>0.42768226207258148</v>
      </c>
      <c r="P240">
        <v>0.42768226207258148</v>
      </c>
      <c r="Q240">
        <v>0.50298130948285702</v>
      </c>
      <c r="R240">
        <v>1.9881454462555586</v>
      </c>
      <c r="S240">
        <v>1.9881454462555586</v>
      </c>
      <c r="T240">
        <v>0.8502945417838792</v>
      </c>
    </row>
    <row r="241" spans="1:20" x14ac:dyDescent="0.25">
      <c r="A241" s="12" t="s">
        <v>60</v>
      </c>
      <c r="B241" s="12" t="s">
        <v>37</v>
      </c>
      <c r="C241" s="12" t="s">
        <v>15</v>
      </c>
      <c r="D241" s="12">
        <v>3.5458747546381306</v>
      </c>
      <c r="E241" s="12">
        <v>10.45</v>
      </c>
      <c r="F241" s="12">
        <v>20</v>
      </c>
      <c r="G241" s="12">
        <v>10.45</v>
      </c>
      <c r="H241" s="12">
        <v>4.1764705882352935</v>
      </c>
      <c r="I241" s="12" t="s">
        <v>128</v>
      </c>
      <c r="J241" s="6">
        <v>46315</v>
      </c>
      <c r="K241">
        <v>46315</v>
      </c>
      <c r="L241">
        <v>2.947086607142857</v>
      </c>
      <c r="M241">
        <v>2.947086607142857</v>
      </c>
      <c r="N241">
        <v>1.1778392857142856</v>
      </c>
      <c r="O241">
        <v>0.33931815833857709</v>
      </c>
      <c r="P241">
        <v>0.33931815833857709</v>
      </c>
      <c r="Q241">
        <v>0.39966225724739651</v>
      </c>
      <c r="R241">
        <v>2.5021126760563384</v>
      </c>
      <c r="S241">
        <v>2.5021126760563384</v>
      </c>
      <c r="T241">
        <v>0.84901226519504547</v>
      </c>
    </row>
    <row r="242" spans="1:20" x14ac:dyDescent="0.25">
      <c r="A242" s="12" t="s">
        <v>60</v>
      </c>
      <c r="B242" s="12" t="s">
        <v>37</v>
      </c>
      <c r="C242" s="12" t="s">
        <v>14</v>
      </c>
      <c r="D242" s="12">
        <v>6.6485151649464944</v>
      </c>
      <c r="E242" s="12">
        <v>14.25</v>
      </c>
      <c r="F242" s="12">
        <v>20</v>
      </c>
      <c r="G242" s="12">
        <v>14.25</v>
      </c>
      <c r="H242" s="12">
        <v>6.9686274509803887</v>
      </c>
      <c r="I242" s="12" t="s">
        <v>130</v>
      </c>
      <c r="J242" s="6">
        <v>46316</v>
      </c>
      <c r="K242">
        <v>46316</v>
      </c>
      <c r="L242">
        <v>2.1433357142857146</v>
      </c>
      <c r="M242">
        <v>2.1433357142857146</v>
      </c>
      <c r="N242">
        <v>1.048147936507936</v>
      </c>
      <c r="O242">
        <v>0.46656246771554349</v>
      </c>
      <c r="P242">
        <v>0.46656246771554349</v>
      </c>
      <c r="Q242">
        <v>0.48902648778809743</v>
      </c>
      <c r="R242">
        <v>2.0448790095666864</v>
      </c>
      <c r="S242">
        <v>2.0448790095666864</v>
      </c>
      <c r="T242">
        <v>0.95406379688314968</v>
      </c>
    </row>
    <row r="243" spans="1:20" x14ac:dyDescent="0.25">
      <c r="A243" s="12" t="s">
        <v>60</v>
      </c>
      <c r="B243" s="12" t="s">
        <v>37</v>
      </c>
      <c r="C243" s="12" t="s">
        <v>13</v>
      </c>
      <c r="D243" s="12">
        <v>9.5295384030899779</v>
      </c>
      <c r="E243" s="12">
        <v>17.099999999999998</v>
      </c>
      <c r="F243" s="12">
        <v>20</v>
      </c>
      <c r="G243" s="12">
        <v>17.099999999999998</v>
      </c>
      <c r="H243" s="12">
        <v>10.22254901960784</v>
      </c>
      <c r="I243" s="12" t="s">
        <v>132</v>
      </c>
      <c r="J243" s="6">
        <v>46316</v>
      </c>
      <c r="K243">
        <v>46316</v>
      </c>
      <c r="L243">
        <v>1.7944205980066441</v>
      </c>
      <c r="M243">
        <v>1.7944205980066441</v>
      </c>
      <c r="N243">
        <v>1.0727223698781834</v>
      </c>
      <c r="O243">
        <v>0.55728294754912155</v>
      </c>
      <c r="P243">
        <v>0.55728294754912155</v>
      </c>
      <c r="Q243">
        <v>0.59780988418759307</v>
      </c>
      <c r="R243">
        <v>1.6727726095713056</v>
      </c>
      <c r="S243">
        <v>1.6727726095713056</v>
      </c>
      <c r="T243">
        <v>0.93220765044133314</v>
      </c>
    </row>
    <row r="244" spans="1:20" x14ac:dyDescent="0.25">
      <c r="A244" s="12" t="s">
        <v>60</v>
      </c>
      <c r="B244" s="12" t="s">
        <v>37</v>
      </c>
      <c r="C244" s="12" t="s">
        <v>15</v>
      </c>
      <c r="D244" s="12">
        <v>3.5458747546381306</v>
      </c>
      <c r="E244" s="12">
        <v>10.45</v>
      </c>
      <c r="F244" s="12">
        <v>20</v>
      </c>
      <c r="G244" s="12">
        <v>10.45</v>
      </c>
      <c r="H244" s="12">
        <v>4.0588235294117636</v>
      </c>
      <c r="I244" s="12" t="s">
        <v>131</v>
      </c>
      <c r="J244" s="6">
        <v>46316</v>
      </c>
      <c r="K244">
        <v>46316</v>
      </c>
      <c r="L244">
        <v>2.947086607142857</v>
      </c>
      <c r="M244">
        <v>2.947086607142857</v>
      </c>
      <c r="N244">
        <v>1.1446607142857141</v>
      </c>
      <c r="O244">
        <v>0.33931815833857709</v>
      </c>
      <c r="P244">
        <v>0.33931815833857709</v>
      </c>
      <c r="Q244">
        <v>0.38840416549394868</v>
      </c>
      <c r="R244">
        <v>2.5746376811594209</v>
      </c>
      <c r="S244">
        <v>2.5746376811594209</v>
      </c>
      <c r="T244">
        <v>0.87362131636011942</v>
      </c>
    </row>
    <row r="245" spans="1:20" x14ac:dyDescent="0.25">
      <c r="A245" s="12" t="s">
        <v>60</v>
      </c>
      <c r="B245" s="12" t="s">
        <v>37</v>
      </c>
      <c r="C245" s="12" t="s">
        <v>14</v>
      </c>
      <c r="D245" s="12">
        <v>7.313366681441142</v>
      </c>
      <c r="E245" s="12">
        <v>17.099999999999998</v>
      </c>
      <c r="F245" s="12">
        <v>20</v>
      </c>
      <c r="G245" s="12">
        <v>17.099999999999998</v>
      </c>
      <c r="H245" s="12">
        <v>8.6009803921568597</v>
      </c>
      <c r="I245" s="12" t="s">
        <v>135</v>
      </c>
      <c r="J245" s="6">
        <v>46317</v>
      </c>
      <c r="K245">
        <v>46317</v>
      </c>
      <c r="L245">
        <v>2.3381844155844163</v>
      </c>
      <c r="M245">
        <v>2.3381844155844163</v>
      </c>
      <c r="N245">
        <v>1.1760630591630592</v>
      </c>
      <c r="O245">
        <v>0.42768226207258148</v>
      </c>
      <c r="P245">
        <v>0.42768226207258148</v>
      </c>
      <c r="Q245">
        <v>0.50298130948285735</v>
      </c>
      <c r="R245">
        <v>1.9881454462555572</v>
      </c>
      <c r="S245">
        <v>1.9881454462555572</v>
      </c>
      <c r="T245">
        <v>0.85029454178387864</v>
      </c>
    </row>
    <row r="246" spans="1:20" x14ac:dyDescent="0.25">
      <c r="A246" s="12" t="s">
        <v>60</v>
      </c>
      <c r="B246" s="12" t="s">
        <v>37</v>
      </c>
      <c r="C246" s="12" t="s">
        <v>13</v>
      </c>
      <c r="D246" s="12">
        <v>9.5295384030899779</v>
      </c>
      <c r="E246" s="12">
        <v>18.05</v>
      </c>
      <c r="F246" s="12">
        <v>20</v>
      </c>
      <c r="G246" s="12">
        <v>18.05</v>
      </c>
      <c r="H246" s="12">
        <v>10.22254901960784</v>
      </c>
      <c r="I246" s="12" t="s">
        <v>133</v>
      </c>
      <c r="J246" s="6">
        <v>46317</v>
      </c>
      <c r="K246">
        <v>46317</v>
      </c>
      <c r="L246">
        <v>1.8941106312292357</v>
      </c>
      <c r="M246">
        <v>1.8941106312292357</v>
      </c>
      <c r="N246">
        <v>1.0727223698781834</v>
      </c>
      <c r="O246">
        <v>0.52795226609916768</v>
      </c>
      <c r="P246">
        <v>0.52795226609916768</v>
      </c>
      <c r="Q246">
        <v>0.56634620607245645</v>
      </c>
      <c r="R246">
        <v>1.7657044212141562</v>
      </c>
      <c r="S246">
        <v>1.7657044212141562</v>
      </c>
      <c r="T246">
        <v>0.93220765044133314</v>
      </c>
    </row>
    <row r="247" spans="1:20" x14ac:dyDescent="0.25">
      <c r="A247" s="12" t="s">
        <v>60</v>
      </c>
      <c r="B247" s="12" t="s">
        <v>37</v>
      </c>
      <c r="C247" s="12" t="s">
        <v>15</v>
      </c>
      <c r="D247" s="12">
        <v>3.5458747546381306</v>
      </c>
      <c r="E247" s="12">
        <v>9.5</v>
      </c>
      <c r="F247" s="12">
        <v>20</v>
      </c>
      <c r="G247" s="12">
        <v>9.5</v>
      </c>
      <c r="H247" s="12">
        <v>3.3235294117647056</v>
      </c>
      <c r="I247" s="12" t="s">
        <v>134</v>
      </c>
      <c r="J247" s="6">
        <v>46317</v>
      </c>
      <c r="K247">
        <v>46317</v>
      </c>
      <c r="L247">
        <v>2.679169642857143</v>
      </c>
      <c r="M247">
        <v>2.679169642857143</v>
      </c>
      <c r="N247">
        <v>0.93729464285714281</v>
      </c>
      <c r="O247">
        <v>0.37324997417243483</v>
      </c>
      <c r="P247">
        <v>0.37324997417243483</v>
      </c>
      <c r="Q247">
        <v>0.34984520123839008</v>
      </c>
      <c r="R247">
        <v>2.8584070796460179</v>
      </c>
      <c r="S247">
        <v>2.8584070796460179</v>
      </c>
      <c r="T247">
        <v>1.066900368652181</v>
      </c>
    </row>
    <row r="248" spans="1:20" x14ac:dyDescent="0.25">
      <c r="A248" s="12" t="s">
        <v>60</v>
      </c>
      <c r="B248" s="12" t="s">
        <v>37</v>
      </c>
      <c r="C248" s="12" t="s">
        <v>14</v>
      </c>
      <c r="D248" s="12">
        <v>7.313366681441142</v>
      </c>
      <c r="E248" s="12">
        <v>17.099999999999998</v>
      </c>
      <c r="F248" s="12">
        <v>20</v>
      </c>
      <c r="G248" s="12">
        <v>17.099999999999998</v>
      </c>
      <c r="H248" s="12">
        <v>8.6009803921568562</v>
      </c>
      <c r="I248" s="12" t="s">
        <v>138</v>
      </c>
      <c r="J248" s="6">
        <v>46318</v>
      </c>
      <c r="K248">
        <v>46318</v>
      </c>
      <c r="L248">
        <v>2.3381844155844163</v>
      </c>
      <c r="M248">
        <v>2.3381844155844163</v>
      </c>
      <c r="N248">
        <v>1.1760630591630588</v>
      </c>
      <c r="O248">
        <v>0.42768226207258148</v>
      </c>
      <c r="P248">
        <v>0.42768226207258148</v>
      </c>
      <c r="Q248">
        <v>0.50298130948285713</v>
      </c>
      <c r="R248">
        <v>1.9881454462555581</v>
      </c>
      <c r="S248">
        <v>1.9881454462555581</v>
      </c>
      <c r="T248">
        <v>0.85029454178387898</v>
      </c>
    </row>
    <row r="249" spans="1:20" x14ac:dyDescent="0.25">
      <c r="A249" s="12" t="s">
        <v>60</v>
      </c>
      <c r="B249" s="12" t="s">
        <v>37</v>
      </c>
      <c r="C249" s="12" t="s">
        <v>15</v>
      </c>
      <c r="D249" s="12">
        <v>3.5458747546381306</v>
      </c>
      <c r="E249" s="12">
        <v>10.45</v>
      </c>
      <c r="F249" s="12">
        <v>20</v>
      </c>
      <c r="G249" s="12">
        <v>10.45</v>
      </c>
      <c r="H249" s="12">
        <v>4.1764705882352935</v>
      </c>
      <c r="I249" s="12" t="s">
        <v>137</v>
      </c>
      <c r="J249" s="6">
        <v>46318</v>
      </c>
      <c r="K249">
        <v>46318</v>
      </c>
      <c r="L249">
        <v>2.947086607142857</v>
      </c>
      <c r="M249">
        <v>2.947086607142857</v>
      </c>
      <c r="N249">
        <v>1.1778392857142856</v>
      </c>
      <c r="O249">
        <v>0.33931815833857709</v>
      </c>
      <c r="P249">
        <v>0.33931815833857709</v>
      </c>
      <c r="Q249">
        <v>0.39966225724739651</v>
      </c>
      <c r="R249">
        <v>2.5021126760563384</v>
      </c>
      <c r="S249">
        <v>2.5021126760563384</v>
      </c>
      <c r="T249">
        <v>0.84901226519504547</v>
      </c>
    </row>
    <row r="250" spans="1:20" x14ac:dyDescent="0.25">
      <c r="A250" s="12" t="s">
        <v>60</v>
      </c>
      <c r="B250" s="12" t="s">
        <v>37</v>
      </c>
      <c r="C250" s="12" t="s">
        <v>13</v>
      </c>
      <c r="D250" s="12">
        <v>9.5295384030899779</v>
      </c>
      <c r="E250" s="12">
        <v>17.099999999999998</v>
      </c>
      <c r="F250" s="12">
        <v>20</v>
      </c>
      <c r="G250" s="12">
        <v>17.099999999999998</v>
      </c>
      <c r="H250" s="12">
        <v>10.07549019607843</v>
      </c>
      <c r="I250" s="12" t="s">
        <v>136</v>
      </c>
      <c r="J250" s="6">
        <v>46318</v>
      </c>
      <c r="K250">
        <v>46318</v>
      </c>
      <c r="L250">
        <v>1.7944205980066441</v>
      </c>
      <c r="M250">
        <v>1.7944205980066441</v>
      </c>
      <c r="N250">
        <v>1.057290476190476</v>
      </c>
      <c r="O250">
        <v>0.55728294754912155</v>
      </c>
      <c r="P250">
        <v>0.55728294754912155</v>
      </c>
      <c r="Q250">
        <v>0.58920995298704282</v>
      </c>
      <c r="R250">
        <v>1.6971878953001849</v>
      </c>
      <c r="S250">
        <v>1.6971878953001849</v>
      </c>
      <c r="T250">
        <v>0.94581387283757701</v>
      </c>
    </row>
    <row r="251" spans="1:20" x14ac:dyDescent="0.25">
      <c r="A251" s="12" t="s">
        <v>60</v>
      </c>
      <c r="B251" s="12" t="s">
        <v>37</v>
      </c>
      <c r="C251" s="12" t="s">
        <v>14</v>
      </c>
      <c r="D251" s="12">
        <v>7.313366681441142</v>
      </c>
      <c r="E251" s="12">
        <v>15.2</v>
      </c>
      <c r="F251" s="12">
        <v>20</v>
      </c>
      <c r="G251" s="12">
        <v>15.2</v>
      </c>
      <c r="H251" s="12">
        <v>7.5421568627450926</v>
      </c>
      <c r="I251" s="12" t="s">
        <v>140</v>
      </c>
      <c r="J251" s="6">
        <v>46319</v>
      </c>
      <c r="K251">
        <v>46319</v>
      </c>
      <c r="L251">
        <v>2.0783861471861478</v>
      </c>
      <c r="M251">
        <v>2.0783861471861478</v>
      </c>
      <c r="N251">
        <v>1.0312838383838381</v>
      </c>
      <c r="O251">
        <v>0.48114254483165408</v>
      </c>
      <c r="P251">
        <v>0.48114254483165408</v>
      </c>
      <c r="Q251">
        <v>0.49619453044375611</v>
      </c>
      <c r="R251">
        <v>2.0153386195242442</v>
      </c>
      <c r="S251">
        <v>2.0153386195242442</v>
      </c>
      <c r="T251">
        <v>0.9696651520954076</v>
      </c>
    </row>
    <row r="252" spans="1:20" x14ac:dyDescent="0.25">
      <c r="A252" s="12" t="s">
        <v>60</v>
      </c>
      <c r="B252" s="12" t="s">
        <v>37</v>
      </c>
      <c r="C252" s="12" t="s">
        <v>15</v>
      </c>
      <c r="D252" s="12">
        <v>3.3242575824732468</v>
      </c>
      <c r="E252" s="12">
        <v>9.5</v>
      </c>
      <c r="F252" s="12">
        <v>20</v>
      </c>
      <c r="G252" s="12">
        <v>9.5</v>
      </c>
      <c r="H252" s="12">
        <v>4.0588235294117636</v>
      </c>
      <c r="I252" s="12" t="s">
        <v>139</v>
      </c>
      <c r="J252" s="6">
        <v>46319</v>
      </c>
      <c r="K252">
        <v>46319</v>
      </c>
      <c r="L252">
        <v>2.8577809523809532</v>
      </c>
      <c r="M252">
        <v>2.8577809523809532</v>
      </c>
      <c r="N252">
        <v>1.2209714285714286</v>
      </c>
      <c r="O252">
        <v>0.34992185078665755</v>
      </c>
      <c r="P252">
        <v>0.34992185078665755</v>
      </c>
      <c r="Q252">
        <v>0.42724458204334353</v>
      </c>
      <c r="R252">
        <v>2.3405797101449282</v>
      </c>
      <c r="S252">
        <v>2.3405797101449282</v>
      </c>
      <c r="T252">
        <v>0.81901998408761179</v>
      </c>
    </row>
    <row r="253" spans="1:20" x14ac:dyDescent="0.25">
      <c r="A253" s="12" t="s">
        <v>60</v>
      </c>
      <c r="B253" s="12" t="s">
        <v>37</v>
      </c>
      <c r="C253" s="12" t="s">
        <v>13</v>
      </c>
      <c r="D253" s="12">
        <v>9.5295384030899779</v>
      </c>
      <c r="E253" s="12">
        <v>15.2</v>
      </c>
      <c r="F253" s="12">
        <v>20</v>
      </c>
      <c r="G253" s="12">
        <v>15.2</v>
      </c>
      <c r="H253" s="12">
        <v>10.149019607843137</v>
      </c>
      <c r="I253" s="12" t="s">
        <v>141</v>
      </c>
      <c r="J253" s="6">
        <v>46319</v>
      </c>
      <c r="K253">
        <v>46319</v>
      </c>
      <c r="L253">
        <v>1.5950405315614615</v>
      </c>
      <c r="M253">
        <v>1.5950405315614615</v>
      </c>
      <c r="N253">
        <v>1.0650064230343299</v>
      </c>
      <c r="O253">
        <v>0.62694331599276176</v>
      </c>
      <c r="P253">
        <v>0.62694331599276176</v>
      </c>
      <c r="Q253">
        <v>0.66769865841073273</v>
      </c>
      <c r="R253">
        <v>1.4976816074188564</v>
      </c>
      <c r="S253">
        <v>1.4976816074188564</v>
      </c>
      <c r="T253">
        <v>0.93896147325654733</v>
      </c>
    </row>
    <row r="254" spans="1:20" x14ac:dyDescent="0.25">
      <c r="A254" s="12" t="s">
        <v>60</v>
      </c>
      <c r="B254" s="12" t="s">
        <v>37</v>
      </c>
      <c r="C254" s="12" t="s">
        <v>14</v>
      </c>
      <c r="D254" s="12">
        <v>7.313366681441142</v>
      </c>
      <c r="E254" s="12">
        <v>16.149999999999999</v>
      </c>
      <c r="F254" s="12">
        <v>20</v>
      </c>
      <c r="G254" s="12">
        <v>16.149999999999999</v>
      </c>
      <c r="H254" s="12">
        <v>8.4245098039215609</v>
      </c>
      <c r="I254" s="12" t="s">
        <v>143</v>
      </c>
      <c r="J254" s="6">
        <v>46320</v>
      </c>
      <c r="K254">
        <v>46320</v>
      </c>
      <c r="L254">
        <v>2.2082852813852822</v>
      </c>
      <c r="M254">
        <v>2.2082852813852822</v>
      </c>
      <c r="N254">
        <v>1.1519331890331885</v>
      </c>
      <c r="O254">
        <v>0.45284004219449797</v>
      </c>
      <c r="P254">
        <v>0.45284004219449797</v>
      </c>
      <c r="Q254">
        <v>0.52164147392703164</v>
      </c>
      <c r="R254">
        <v>1.9170254858605857</v>
      </c>
      <c r="S254">
        <v>1.9170254858605857</v>
      </c>
      <c r="T254">
        <v>0.86810590190503567</v>
      </c>
    </row>
    <row r="255" spans="1:20" x14ac:dyDescent="0.25">
      <c r="A255" s="12" t="s">
        <v>60</v>
      </c>
      <c r="B255" s="12" t="s">
        <v>37</v>
      </c>
      <c r="C255" s="12" t="s">
        <v>15</v>
      </c>
      <c r="D255" s="12">
        <v>3.5458747546381306</v>
      </c>
      <c r="E255" s="12">
        <v>10.45</v>
      </c>
      <c r="F255" s="12">
        <v>20</v>
      </c>
      <c r="G255" s="12">
        <v>10.45</v>
      </c>
      <c r="H255" s="12">
        <v>4.1764705882352935</v>
      </c>
      <c r="I255" s="12" t="s">
        <v>142</v>
      </c>
      <c r="J255" s="6">
        <v>46320</v>
      </c>
      <c r="K255">
        <v>46320</v>
      </c>
      <c r="L255">
        <v>2.947086607142857</v>
      </c>
      <c r="M255">
        <v>2.947086607142857</v>
      </c>
      <c r="N255">
        <v>1.1778392857142856</v>
      </c>
      <c r="O255">
        <v>0.33931815833857709</v>
      </c>
      <c r="P255">
        <v>0.33931815833857709</v>
      </c>
      <c r="Q255">
        <v>0.39966225724739651</v>
      </c>
      <c r="R255">
        <v>2.5021126760563384</v>
      </c>
      <c r="S255">
        <v>2.5021126760563384</v>
      </c>
      <c r="T255">
        <v>0.84901226519504547</v>
      </c>
    </row>
    <row r="256" spans="1:20" x14ac:dyDescent="0.25">
      <c r="A256" s="12" t="s">
        <v>60</v>
      </c>
      <c r="B256" s="12" t="s">
        <v>37</v>
      </c>
      <c r="C256" s="12" t="s">
        <v>13</v>
      </c>
      <c r="D256" s="12">
        <v>9.5295384030899779</v>
      </c>
      <c r="E256" s="12">
        <v>15.2</v>
      </c>
      <c r="F256" s="12">
        <v>20</v>
      </c>
      <c r="G256" s="12">
        <v>15.2</v>
      </c>
      <c r="H256" s="12">
        <v>10.149019607843137</v>
      </c>
      <c r="I256" s="12" t="s">
        <v>144</v>
      </c>
      <c r="J256" s="6">
        <v>46320</v>
      </c>
      <c r="K256">
        <v>46320</v>
      </c>
      <c r="L256">
        <v>1.5950405315614615</v>
      </c>
      <c r="M256">
        <v>1.5950405315614615</v>
      </c>
      <c r="N256">
        <v>1.0650064230343299</v>
      </c>
      <c r="O256">
        <v>0.62694331599276176</v>
      </c>
      <c r="P256">
        <v>0.62694331599276176</v>
      </c>
      <c r="Q256">
        <v>0.66769865841073273</v>
      </c>
      <c r="R256">
        <v>1.4976816074188564</v>
      </c>
      <c r="S256">
        <v>1.4976816074188564</v>
      </c>
      <c r="T256">
        <v>0.93896147325654733</v>
      </c>
    </row>
    <row r="257" spans="1:20" x14ac:dyDescent="0.25">
      <c r="A257" s="12" t="s">
        <v>58</v>
      </c>
      <c r="B257" s="12" t="s">
        <v>148</v>
      </c>
      <c r="C257" s="12" t="s">
        <v>13</v>
      </c>
      <c r="D257" s="12">
        <v>13.625000000000004</v>
      </c>
      <c r="E257" s="12">
        <v>16.149999999999999</v>
      </c>
      <c r="F257" s="12">
        <v>20</v>
      </c>
      <c r="G257" s="12">
        <v>16.149999999999999</v>
      </c>
      <c r="H257" s="12">
        <v>11.109975961538456</v>
      </c>
      <c r="I257" s="12" t="s">
        <v>63</v>
      </c>
      <c r="J257" s="6">
        <v>46293</v>
      </c>
      <c r="K257">
        <v>46293</v>
      </c>
      <c r="L257">
        <v>1.1853211009174307</v>
      </c>
      <c r="M257">
        <v>1.1853211009174307</v>
      </c>
      <c r="N257">
        <v>0.81541107974594151</v>
      </c>
      <c r="O257">
        <v>0.84365325077399411</v>
      </c>
      <c r="P257">
        <v>0.84365325077399411</v>
      </c>
      <c r="Q257">
        <v>0.68792420814479616</v>
      </c>
      <c r="R257">
        <v>1.4536485097636183</v>
      </c>
      <c r="S257">
        <v>1.4536485097636183</v>
      </c>
      <c r="T257">
        <v>1.2263752907448486</v>
      </c>
    </row>
    <row r="258" spans="1:20" x14ac:dyDescent="0.25">
      <c r="A258" s="12" t="s">
        <v>58</v>
      </c>
      <c r="B258" s="12" t="s">
        <v>148</v>
      </c>
      <c r="C258" s="12" t="s">
        <v>15</v>
      </c>
      <c r="D258" s="12">
        <v>0</v>
      </c>
      <c r="E258" s="12">
        <v>1.9</v>
      </c>
      <c r="F258" s="12">
        <v>20</v>
      </c>
      <c r="G258" s="12">
        <v>1.9</v>
      </c>
      <c r="H258" s="12">
        <v>0</v>
      </c>
      <c r="I258" s="12" t="s">
        <v>61</v>
      </c>
      <c r="J258" s="6">
        <v>46293</v>
      </c>
      <c r="K258">
        <v>46293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25">
      <c r="A259" s="12" t="s">
        <v>58</v>
      </c>
      <c r="B259" s="12" t="s">
        <v>148</v>
      </c>
      <c r="C259" s="12" t="s">
        <v>14</v>
      </c>
      <c r="D259" s="12">
        <v>3.5294117647058822</v>
      </c>
      <c r="E259" s="12">
        <v>5.6999999999999993</v>
      </c>
      <c r="F259" s="12">
        <v>20</v>
      </c>
      <c r="G259" s="12">
        <v>5.6999999999999993</v>
      </c>
      <c r="H259" s="12">
        <v>2.6097285067873299</v>
      </c>
      <c r="I259" s="12" t="s">
        <v>62</v>
      </c>
      <c r="J259" s="6">
        <v>46293</v>
      </c>
      <c r="K259">
        <v>46293</v>
      </c>
      <c r="L259">
        <v>1.6149999999999998</v>
      </c>
      <c r="M259">
        <v>1.6149999999999998</v>
      </c>
      <c r="N259">
        <v>0.73942307692307685</v>
      </c>
      <c r="O259">
        <v>0.61919504643962853</v>
      </c>
      <c r="P259">
        <v>0.61919504643962853</v>
      </c>
      <c r="Q259">
        <v>0.45784710645391757</v>
      </c>
      <c r="R259">
        <v>2.1841352405721719</v>
      </c>
      <c r="S259">
        <v>2.1841352405721719</v>
      </c>
      <c r="T259">
        <v>1.3524057217165151</v>
      </c>
    </row>
    <row r="260" spans="1:20" x14ac:dyDescent="0.25">
      <c r="A260" s="12" t="s">
        <v>58</v>
      </c>
      <c r="B260" s="12" t="s">
        <v>148</v>
      </c>
      <c r="C260" s="12" t="s">
        <v>13</v>
      </c>
      <c r="D260" s="12">
        <v>13.625000000000002</v>
      </c>
      <c r="E260" s="12">
        <v>17.099999999999998</v>
      </c>
      <c r="F260" s="12">
        <v>20</v>
      </c>
      <c r="G260" s="12">
        <v>17.099999999999998</v>
      </c>
      <c r="H260" s="12">
        <v>11.395132211538447</v>
      </c>
      <c r="I260" s="12" t="s">
        <v>64</v>
      </c>
      <c r="J260" s="6">
        <v>46294</v>
      </c>
      <c r="K260">
        <v>46294</v>
      </c>
      <c r="L260">
        <v>1.2550458715596327</v>
      </c>
      <c r="M260">
        <v>1.2550458715596327</v>
      </c>
      <c r="N260">
        <v>0.83633997882850974</v>
      </c>
      <c r="O260">
        <v>0.79678362573099437</v>
      </c>
      <c r="P260">
        <v>0.79678362573099437</v>
      </c>
      <c r="Q260">
        <v>0.66638200067476305</v>
      </c>
      <c r="R260">
        <v>1.5006407720908173</v>
      </c>
      <c r="S260">
        <v>1.5006407720908173</v>
      </c>
      <c r="T260">
        <v>1.1956859953062802</v>
      </c>
    </row>
    <row r="261" spans="1:20" x14ac:dyDescent="0.25">
      <c r="A261" s="12" t="s">
        <v>58</v>
      </c>
      <c r="B261" s="12" t="s">
        <v>148</v>
      </c>
      <c r="C261" s="12" t="s">
        <v>14</v>
      </c>
      <c r="D261" s="12">
        <v>2.8235294117647061</v>
      </c>
      <c r="E261" s="12">
        <v>6.6499999999999995</v>
      </c>
      <c r="F261" s="12">
        <v>20</v>
      </c>
      <c r="G261" s="12">
        <v>6.6499999999999995</v>
      </c>
      <c r="H261" s="12">
        <v>3.2163461538461537</v>
      </c>
      <c r="I261" s="12" t="s">
        <v>66</v>
      </c>
      <c r="J261" s="6">
        <v>46294</v>
      </c>
      <c r="K261">
        <v>46294</v>
      </c>
      <c r="L261">
        <v>2.3552083333333331</v>
      </c>
      <c r="M261">
        <v>2.3552083333333331</v>
      </c>
      <c r="N261">
        <v>1.139122596153846</v>
      </c>
      <c r="O261">
        <v>0.4245908889871739</v>
      </c>
      <c r="P261">
        <v>0.4245908889871739</v>
      </c>
      <c r="Q261">
        <v>0.48366107576633893</v>
      </c>
      <c r="R261">
        <v>2.0675635276532138</v>
      </c>
      <c r="S261">
        <v>2.0675635276532138</v>
      </c>
      <c r="T261">
        <v>0.87786863624373523</v>
      </c>
    </row>
    <row r="262" spans="1:20" x14ac:dyDescent="0.25">
      <c r="A262" s="12" t="s">
        <v>58</v>
      </c>
      <c r="B262" s="12" t="s">
        <v>148</v>
      </c>
      <c r="C262" s="12" t="s">
        <v>15</v>
      </c>
      <c r="D262" s="12">
        <v>0</v>
      </c>
      <c r="E262" s="12">
        <v>3.8</v>
      </c>
      <c r="F262" s="12">
        <v>20</v>
      </c>
      <c r="G262" s="12">
        <v>3.8</v>
      </c>
      <c r="H262" s="12">
        <v>0</v>
      </c>
      <c r="I262" s="12" t="s">
        <v>65</v>
      </c>
      <c r="J262" s="6">
        <v>46294</v>
      </c>
      <c r="K262">
        <v>46294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25">
      <c r="A263" s="12" t="s">
        <v>58</v>
      </c>
      <c r="B263" s="12" t="s">
        <v>148</v>
      </c>
      <c r="C263" s="12" t="s">
        <v>13</v>
      </c>
      <c r="D263" s="12">
        <v>13.687500000000004</v>
      </c>
      <c r="E263" s="12">
        <v>17.099999999999998</v>
      </c>
      <c r="F263" s="12">
        <v>20</v>
      </c>
      <c r="G263" s="12">
        <v>17.099999999999998</v>
      </c>
      <c r="H263" s="12">
        <v>11.570489253393651</v>
      </c>
      <c r="I263" s="12" t="s">
        <v>67</v>
      </c>
      <c r="J263" s="6">
        <v>46295</v>
      </c>
      <c r="K263">
        <v>46295</v>
      </c>
      <c r="L263">
        <v>1.2493150684931502</v>
      </c>
      <c r="M263">
        <v>1.2493150684931502</v>
      </c>
      <c r="N263">
        <v>0.8453325481931433</v>
      </c>
      <c r="O263">
        <v>0.80043859649122839</v>
      </c>
      <c r="P263">
        <v>0.80043859649122839</v>
      </c>
      <c r="Q263">
        <v>0.67663679844407321</v>
      </c>
      <c r="R263">
        <v>1.4778977470623835</v>
      </c>
      <c r="S263">
        <v>1.4778977470623835</v>
      </c>
      <c r="T263">
        <v>1.1829663984161627</v>
      </c>
    </row>
    <row r="264" spans="1:20" x14ac:dyDescent="0.25">
      <c r="A264" s="12" t="s">
        <v>58</v>
      </c>
      <c r="B264" s="12" t="s">
        <v>148</v>
      </c>
      <c r="C264" s="12" t="s">
        <v>15</v>
      </c>
      <c r="D264" s="12">
        <v>0</v>
      </c>
      <c r="E264" s="12">
        <v>5.6999999999999993</v>
      </c>
      <c r="F264" s="12">
        <v>20</v>
      </c>
      <c r="G264" s="12">
        <v>5.6999999999999993</v>
      </c>
      <c r="H264" s="12">
        <v>0</v>
      </c>
      <c r="I264" s="12" t="s">
        <v>68</v>
      </c>
      <c r="J264" s="6">
        <v>46295</v>
      </c>
      <c r="K264">
        <v>46295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25">
      <c r="A265" s="12" t="s">
        <v>58</v>
      </c>
      <c r="B265" s="12" t="s">
        <v>148</v>
      </c>
      <c r="C265" s="12" t="s">
        <v>14</v>
      </c>
      <c r="D265" s="12">
        <v>3.5294117647058822</v>
      </c>
      <c r="E265" s="12">
        <v>7.6</v>
      </c>
      <c r="F265" s="12">
        <v>20</v>
      </c>
      <c r="G265" s="12">
        <v>7.6</v>
      </c>
      <c r="H265" s="12">
        <v>3.8160101144530199</v>
      </c>
      <c r="I265" s="12" t="s">
        <v>69</v>
      </c>
      <c r="J265" s="6">
        <v>46295</v>
      </c>
      <c r="K265">
        <v>46295</v>
      </c>
      <c r="L265">
        <v>2.1533333333333333</v>
      </c>
      <c r="M265">
        <v>2.1533333333333333</v>
      </c>
      <c r="N265">
        <v>1.081202865761689</v>
      </c>
      <c r="O265">
        <v>0.4643962848297214</v>
      </c>
      <c r="P265">
        <v>0.4643962848297214</v>
      </c>
      <c r="Q265">
        <v>0.50210659400697633</v>
      </c>
      <c r="R265">
        <v>1.9916089769299183</v>
      </c>
      <c r="S265">
        <v>1.9916089769299183</v>
      </c>
      <c r="T265">
        <v>0.92489580971977636</v>
      </c>
    </row>
    <row r="266" spans="1:20" x14ac:dyDescent="0.25">
      <c r="A266" s="12" t="s">
        <v>58</v>
      </c>
      <c r="B266" s="12" t="s">
        <v>148</v>
      </c>
      <c r="C266" s="12" t="s">
        <v>14</v>
      </c>
      <c r="D266" s="12">
        <v>3.5294117647058827</v>
      </c>
      <c r="E266" s="12">
        <v>6.6499999999999995</v>
      </c>
      <c r="F266" s="12">
        <v>20</v>
      </c>
      <c r="G266" s="12">
        <v>6.6499999999999995</v>
      </c>
      <c r="H266" s="12">
        <v>3.2187250465797179</v>
      </c>
      <c r="I266" s="12" t="s">
        <v>71</v>
      </c>
      <c r="J266" s="6">
        <v>46296</v>
      </c>
      <c r="K266">
        <v>46296</v>
      </c>
      <c r="L266">
        <v>1.8841666666666663</v>
      </c>
      <c r="M266">
        <v>1.8841666666666663</v>
      </c>
      <c r="N266">
        <v>0.91197209653092004</v>
      </c>
      <c r="O266">
        <v>0.53073861123396737</v>
      </c>
      <c r="P266">
        <v>0.53073861123396737</v>
      </c>
      <c r="Q266">
        <v>0.48401880399695008</v>
      </c>
      <c r="R266">
        <v>2.0660354344545282</v>
      </c>
      <c r="S266">
        <v>2.0660354344545282</v>
      </c>
      <c r="T266">
        <v>1.0965247772425628</v>
      </c>
    </row>
    <row r="267" spans="1:20" x14ac:dyDescent="0.25">
      <c r="A267" s="12" t="s">
        <v>58</v>
      </c>
      <c r="B267" s="12" t="s">
        <v>148</v>
      </c>
      <c r="C267" s="12" t="s">
        <v>13</v>
      </c>
      <c r="D267" s="12">
        <v>14.812500000000004</v>
      </c>
      <c r="E267" s="12">
        <v>14.25</v>
      </c>
      <c r="F267" s="12">
        <v>20</v>
      </c>
      <c r="G267" s="12">
        <v>14.25</v>
      </c>
      <c r="H267" s="12">
        <v>10.767604638009049</v>
      </c>
      <c r="I267" s="12" t="s">
        <v>70</v>
      </c>
      <c r="J267" s="6">
        <v>46296</v>
      </c>
      <c r="K267">
        <v>46296</v>
      </c>
      <c r="L267">
        <v>0.962025316455696</v>
      </c>
      <c r="M267">
        <v>0.962025316455696</v>
      </c>
      <c r="N267">
        <v>0.7269268953930158</v>
      </c>
      <c r="O267">
        <v>1.0394736842105265</v>
      </c>
      <c r="P267">
        <v>1.0394736842105265</v>
      </c>
      <c r="Q267">
        <v>0.75562137810589813</v>
      </c>
      <c r="R267">
        <v>1.3234141184658925</v>
      </c>
      <c r="S267">
        <v>1.3234141184658925</v>
      </c>
      <c r="T267">
        <v>1.3756541494579675</v>
      </c>
    </row>
    <row r="268" spans="1:20" x14ac:dyDescent="0.25">
      <c r="A268" s="12" t="s">
        <v>58</v>
      </c>
      <c r="B268" s="12" t="s">
        <v>148</v>
      </c>
      <c r="C268" s="12" t="s">
        <v>15</v>
      </c>
      <c r="D268" s="12">
        <v>0</v>
      </c>
      <c r="E268" s="12">
        <v>5.6999999999999993</v>
      </c>
      <c r="F268" s="12">
        <v>20</v>
      </c>
      <c r="G268" s="12">
        <v>5.6999999999999993</v>
      </c>
      <c r="H268" s="12">
        <v>0</v>
      </c>
      <c r="I268" s="12" t="s">
        <v>72</v>
      </c>
      <c r="J268" s="6">
        <v>46296</v>
      </c>
      <c r="K268">
        <v>46296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25">
      <c r="A269" s="12" t="s">
        <v>58</v>
      </c>
      <c r="B269" s="12" t="s">
        <v>148</v>
      </c>
      <c r="C269" s="12" t="s">
        <v>15</v>
      </c>
      <c r="D269" s="12">
        <v>0</v>
      </c>
      <c r="E269" s="12">
        <v>2.8499999999999996</v>
      </c>
      <c r="F269" s="12">
        <v>20</v>
      </c>
      <c r="G269" s="12">
        <v>2.8499999999999996</v>
      </c>
      <c r="H269" s="12">
        <v>0</v>
      </c>
      <c r="I269" s="12" t="s">
        <v>74</v>
      </c>
      <c r="J269" s="6">
        <v>46297</v>
      </c>
      <c r="K269">
        <v>46297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25">
      <c r="A270" s="12" t="s">
        <v>58</v>
      </c>
      <c r="B270" s="12" t="s">
        <v>148</v>
      </c>
      <c r="C270" s="12" t="s">
        <v>13</v>
      </c>
      <c r="D270" s="12">
        <v>12.687500000000002</v>
      </c>
      <c r="E270" s="12">
        <v>13.3</v>
      </c>
      <c r="F270" s="12">
        <v>20</v>
      </c>
      <c r="G270" s="12">
        <v>13.3</v>
      </c>
      <c r="H270" s="12">
        <v>9.4771634615384546</v>
      </c>
      <c r="I270" s="12" t="s">
        <v>73</v>
      </c>
      <c r="J270" s="6">
        <v>46297</v>
      </c>
      <c r="K270">
        <v>46297</v>
      </c>
      <c r="L270">
        <v>1.0482758620689654</v>
      </c>
      <c r="M270">
        <v>1.0482758620689654</v>
      </c>
      <c r="N270">
        <v>0.74696854869268592</v>
      </c>
      <c r="O270">
        <v>0.95394736842105288</v>
      </c>
      <c r="P270">
        <v>0.95394736842105288</v>
      </c>
      <c r="Q270">
        <v>0.7125686813186809</v>
      </c>
      <c r="R270">
        <v>1.4033734939759046</v>
      </c>
      <c r="S270">
        <v>1.4033734939759046</v>
      </c>
      <c r="T270">
        <v>1.3387444514901723</v>
      </c>
    </row>
    <row r="271" spans="1:20" x14ac:dyDescent="0.25">
      <c r="A271" s="12" t="s">
        <v>58</v>
      </c>
      <c r="B271" s="12" t="s">
        <v>148</v>
      </c>
      <c r="C271" s="12" t="s">
        <v>14</v>
      </c>
      <c r="D271" s="12">
        <v>3.5294117647058822</v>
      </c>
      <c r="E271" s="12">
        <v>5.6999999999999993</v>
      </c>
      <c r="F271" s="12">
        <v>20</v>
      </c>
      <c r="G271" s="12">
        <v>5.6999999999999993</v>
      </c>
      <c r="H271" s="12">
        <v>2.6097285067873304</v>
      </c>
      <c r="I271" s="12" t="s">
        <v>75</v>
      </c>
      <c r="J271" s="6">
        <v>46297</v>
      </c>
      <c r="K271">
        <v>46297</v>
      </c>
      <c r="L271">
        <v>1.6149999999999998</v>
      </c>
      <c r="M271">
        <v>1.6149999999999998</v>
      </c>
      <c r="N271">
        <v>0.73942307692307696</v>
      </c>
      <c r="O271">
        <v>0.61919504643962853</v>
      </c>
      <c r="P271">
        <v>0.61919504643962853</v>
      </c>
      <c r="Q271">
        <v>0.45784710645391768</v>
      </c>
      <c r="R271">
        <v>2.1841352405721715</v>
      </c>
      <c r="S271">
        <v>2.1841352405721715</v>
      </c>
      <c r="T271">
        <v>1.3524057217165149</v>
      </c>
    </row>
    <row r="272" spans="1:20" x14ac:dyDescent="0.25">
      <c r="A272" s="12" t="s">
        <v>58</v>
      </c>
      <c r="B272" s="12" t="s">
        <v>148</v>
      </c>
      <c r="C272" s="12" t="s">
        <v>14</v>
      </c>
      <c r="D272" s="12">
        <v>2.8235294117647061</v>
      </c>
      <c r="E272" s="12">
        <v>3.8</v>
      </c>
      <c r="F272" s="12">
        <v>20</v>
      </c>
      <c r="G272" s="12">
        <v>3.8</v>
      </c>
      <c r="H272" s="12">
        <v>2.3984728506787327</v>
      </c>
      <c r="I272" s="12" t="s">
        <v>78</v>
      </c>
      <c r="J272" s="6">
        <v>46298</v>
      </c>
      <c r="K272">
        <v>46298</v>
      </c>
      <c r="L272">
        <v>1.3458333333333332</v>
      </c>
      <c r="M272">
        <v>1.3458333333333332</v>
      </c>
      <c r="N272">
        <v>0.84945913461538447</v>
      </c>
      <c r="O272">
        <v>0.74303405572755421</v>
      </c>
      <c r="P272">
        <v>0.74303405572755421</v>
      </c>
      <c r="Q272">
        <v>0.63117706596808754</v>
      </c>
      <c r="R272">
        <v>1.584341469166372</v>
      </c>
      <c r="S272">
        <v>1.584341469166372</v>
      </c>
      <c r="T272">
        <v>1.1772196674920412</v>
      </c>
    </row>
    <row r="273" spans="1:20" x14ac:dyDescent="0.25">
      <c r="A273" s="12" t="s">
        <v>58</v>
      </c>
      <c r="B273" s="12" t="s">
        <v>148</v>
      </c>
      <c r="C273" s="12" t="s">
        <v>15</v>
      </c>
      <c r="D273" s="12">
        <v>0</v>
      </c>
      <c r="E273" s="12">
        <v>0.95</v>
      </c>
      <c r="F273" s="12">
        <v>20</v>
      </c>
      <c r="G273" s="12">
        <v>0.95</v>
      </c>
      <c r="H273" s="12">
        <v>0</v>
      </c>
      <c r="I273" s="12" t="s">
        <v>76</v>
      </c>
      <c r="J273" s="6">
        <v>46298</v>
      </c>
      <c r="K273">
        <v>46298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25">
      <c r="A274" s="12" t="s">
        <v>58</v>
      </c>
      <c r="B274" s="12" t="s">
        <v>148</v>
      </c>
      <c r="C274" s="12" t="s">
        <v>13</v>
      </c>
      <c r="D274" s="12">
        <v>6.9375000000000018</v>
      </c>
      <c r="E274" s="12">
        <v>7.6</v>
      </c>
      <c r="F274" s="12">
        <v>20</v>
      </c>
      <c r="G274" s="12">
        <v>7.6</v>
      </c>
      <c r="H274" s="12">
        <v>5.1391225961538431</v>
      </c>
      <c r="I274" s="12" t="s">
        <v>77</v>
      </c>
      <c r="J274" s="6">
        <v>46298</v>
      </c>
      <c r="K274">
        <v>46298</v>
      </c>
      <c r="L274">
        <v>1.0954954954954952</v>
      </c>
      <c r="M274">
        <v>1.0954954954954952</v>
      </c>
      <c r="N274">
        <v>0.74077442827442763</v>
      </c>
      <c r="O274">
        <v>0.91282894736842135</v>
      </c>
      <c r="P274">
        <v>0.91282894736842135</v>
      </c>
      <c r="Q274">
        <v>0.67620034159918996</v>
      </c>
      <c r="R274">
        <v>1.4788516634508573</v>
      </c>
      <c r="S274">
        <v>1.4788516634508573</v>
      </c>
      <c r="T274">
        <v>1.3499386072618851</v>
      </c>
    </row>
    <row r="275" spans="1:20" x14ac:dyDescent="0.25">
      <c r="A275" s="12" t="s">
        <v>58</v>
      </c>
      <c r="B275" s="12" t="s">
        <v>148</v>
      </c>
      <c r="C275" s="12" t="s">
        <v>13</v>
      </c>
      <c r="D275" s="12">
        <v>6.9375000000000018</v>
      </c>
      <c r="E275" s="12">
        <v>10.45</v>
      </c>
      <c r="F275" s="12">
        <v>20</v>
      </c>
      <c r="G275" s="12">
        <v>10.45</v>
      </c>
      <c r="H275" s="12">
        <v>5.8891225961538431</v>
      </c>
      <c r="I275" s="12" t="s">
        <v>79</v>
      </c>
      <c r="J275" s="6">
        <v>46299</v>
      </c>
      <c r="K275">
        <v>46299</v>
      </c>
      <c r="L275">
        <v>1.5063063063063058</v>
      </c>
      <c r="M275">
        <v>1.5063063063063058</v>
      </c>
      <c r="N275">
        <v>0.84888253638253575</v>
      </c>
      <c r="O275">
        <v>0.66387559808612462</v>
      </c>
      <c r="P275">
        <v>0.66387559808612462</v>
      </c>
      <c r="Q275">
        <v>0.56355240154582231</v>
      </c>
      <c r="R275">
        <v>1.7744578805041082</v>
      </c>
      <c r="S275">
        <v>1.7744578805041082</v>
      </c>
      <c r="T275">
        <v>1.1780192866983019</v>
      </c>
    </row>
    <row r="276" spans="1:20" x14ac:dyDescent="0.25">
      <c r="A276" s="12" t="s">
        <v>58</v>
      </c>
      <c r="B276" s="12" t="s">
        <v>148</v>
      </c>
      <c r="C276" s="12" t="s">
        <v>14</v>
      </c>
      <c r="D276" s="12">
        <v>2.8235294117647061</v>
      </c>
      <c r="E276" s="12">
        <v>3.8</v>
      </c>
      <c r="F276" s="12">
        <v>20</v>
      </c>
      <c r="G276" s="12">
        <v>3.8</v>
      </c>
      <c r="H276" s="12">
        <v>2.3984728506787327</v>
      </c>
      <c r="I276" s="12" t="s">
        <v>80</v>
      </c>
      <c r="J276" s="6">
        <v>46299</v>
      </c>
      <c r="K276">
        <v>46299</v>
      </c>
      <c r="L276">
        <v>1.3458333333333332</v>
      </c>
      <c r="M276">
        <v>1.3458333333333332</v>
      </c>
      <c r="N276">
        <v>0.84945913461538447</v>
      </c>
      <c r="O276">
        <v>0.74303405572755421</v>
      </c>
      <c r="P276">
        <v>0.74303405572755421</v>
      </c>
      <c r="Q276">
        <v>0.63117706596808754</v>
      </c>
      <c r="R276">
        <v>1.584341469166372</v>
      </c>
      <c r="S276">
        <v>1.584341469166372</v>
      </c>
      <c r="T276">
        <v>1.1772196674920412</v>
      </c>
    </row>
    <row r="277" spans="1:20" x14ac:dyDescent="0.25">
      <c r="A277" s="12" t="s">
        <v>58</v>
      </c>
      <c r="B277" s="12" t="s">
        <v>148</v>
      </c>
      <c r="C277" s="12" t="s">
        <v>15</v>
      </c>
      <c r="D277" s="12">
        <v>0</v>
      </c>
      <c r="E277" s="12">
        <v>0.95</v>
      </c>
      <c r="F277" s="12">
        <v>20</v>
      </c>
      <c r="G277" s="12">
        <v>0.95</v>
      </c>
      <c r="H277" s="12">
        <v>0.125</v>
      </c>
      <c r="I277" s="12" t="s">
        <v>81</v>
      </c>
      <c r="J277" s="6">
        <v>46299</v>
      </c>
      <c r="K277">
        <v>46299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0.13157894736842105</v>
      </c>
      <c r="R277">
        <v>7.6</v>
      </c>
      <c r="S277">
        <v>7.6</v>
      </c>
      <c r="T277">
        <v>0</v>
      </c>
    </row>
    <row r="278" spans="1:20" x14ac:dyDescent="0.25">
      <c r="A278" s="12" t="s">
        <v>58</v>
      </c>
      <c r="B278" s="12" t="s">
        <v>148</v>
      </c>
      <c r="C278" s="12" t="s">
        <v>15</v>
      </c>
      <c r="D278" s="12">
        <v>0</v>
      </c>
      <c r="E278" s="12">
        <v>4.75</v>
      </c>
      <c r="F278" s="12">
        <v>20</v>
      </c>
      <c r="G278" s="12">
        <v>4.75</v>
      </c>
      <c r="H278" s="12">
        <v>0</v>
      </c>
      <c r="I278" s="12" t="s">
        <v>82</v>
      </c>
      <c r="J278" s="6">
        <v>46300</v>
      </c>
      <c r="K278">
        <v>46300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25">
      <c r="A279" s="12" t="s">
        <v>58</v>
      </c>
      <c r="B279" s="12" t="s">
        <v>148</v>
      </c>
      <c r="C279" s="12" t="s">
        <v>13</v>
      </c>
      <c r="D279" s="12">
        <v>14.5</v>
      </c>
      <c r="E279" s="12">
        <v>16.149999999999999</v>
      </c>
      <c r="F279" s="12">
        <v>20</v>
      </c>
      <c r="G279" s="12">
        <v>16.149999999999999</v>
      </c>
      <c r="H279" s="12">
        <v>10.655809294871789</v>
      </c>
      <c r="I279" s="12" t="s">
        <v>84</v>
      </c>
      <c r="J279" s="6">
        <v>46300</v>
      </c>
      <c r="K279">
        <v>46300</v>
      </c>
      <c r="L279">
        <v>1.1137931034482758</v>
      </c>
      <c r="M279">
        <v>1.1137931034482758</v>
      </c>
      <c r="N279">
        <v>0.73488339964633032</v>
      </c>
      <c r="O279">
        <v>0.89783281733746134</v>
      </c>
      <c r="P279">
        <v>0.89783281733746134</v>
      </c>
      <c r="Q279">
        <v>0.65980243311899622</v>
      </c>
      <c r="R279">
        <v>1.515605202110021</v>
      </c>
      <c r="S279">
        <v>1.515605202110021</v>
      </c>
      <c r="T279">
        <v>1.3607600885817528</v>
      </c>
    </row>
    <row r="280" spans="1:20" x14ac:dyDescent="0.25">
      <c r="A280" s="12" t="s">
        <v>58</v>
      </c>
      <c r="B280" s="12" t="s">
        <v>148</v>
      </c>
      <c r="C280" s="12" t="s">
        <v>14</v>
      </c>
      <c r="D280" s="12">
        <v>2.8235294117647061</v>
      </c>
      <c r="E280" s="12">
        <v>6.6499999999999995</v>
      </c>
      <c r="F280" s="12">
        <v>20</v>
      </c>
      <c r="G280" s="12">
        <v>6.6499999999999995</v>
      </c>
      <c r="H280" s="12">
        <v>3.2136500754147801</v>
      </c>
      <c r="I280" s="12" t="s">
        <v>83</v>
      </c>
      <c r="J280" s="6">
        <v>46300</v>
      </c>
      <c r="K280">
        <v>46300</v>
      </c>
      <c r="L280">
        <v>2.3552083333333331</v>
      </c>
      <c r="M280">
        <v>2.3552083333333331</v>
      </c>
      <c r="N280">
        <v>1.1381677350427346</v>
      </c>
      <c r="O280">
        <v>0.4245908889871739</v>
      </c>
      <c r="P280">
        <v>0.4245908889871739</v>
      </c>
      <c r="Q280">
        <v>0.48325565043831281</v>
      </c>
      <c r="R280">
        <v>2.0692981015183167</v>
      </c>
      <c r="S280">
        <v>2.0692981015183167</v>
      </c>
      <c r="T280">
        <v>0.87860512050313322</v>
      </c>
    </row>
    <row r="281" spans="1:20" x14ac:dyDescent="0.25">
      <c r="A281" s="12" t="s">
        <v>58</v>
      </c>
      <c r="B281" s="12" t="s">
        <v>148</v>
      </c>
      <c r="C281" s="12" t="s">
        <v>15</v>
      </c>
      <c r="D281" s="12">
        <v>0</v>
      </c>
      <c r="E281" s="12">
        <v>5.6999999999999993</v>
      </c>
      <c r="F281" s="12">
        <v>20</v>
      </c>
      <c r="G281" s="12">
        <v>5.6999999999999993</v>
      </c>
      <c r="H281" s="12">
        <v>0</v>
      </c>
      <c r="I281" s="12" t="s">
        <v>86</v>
      </c>
      <c r="J281" s="6">
        <v>46301</v>
      </c>
      <c r="K281">
        <v>46301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25">
      <c r="A282" s="12" t="s">
        <v>58</v>
      </c>
      <c r="B282" s="12" t="s">
        <v>148</v>
      </c>
      <c r="C282" s="12" t="s">
        <v>13</v>
      </c>
      <c r="D282" s="12">
        <v>12.687500000000002</v>
      </c>
      <c r="E282" s="12">
        <v>15.2</v>
      </c>
      <c r="F282" s="12">
        <v>20</v>
      </c>
      <c r="G282" s="12">
        <v>15.2</v>
      </c>
      <c r="H282" s="12">
        <v>10.986778846153848</v>
      </c>
      <c r="I282" s="12" t="s">
        <v>87</v>
      </c>
      <c r="J282" s="6">
        <v>46301</v>
      </c>
      <c r="K282">
        <v>46301</v>
      </c>
      <c r="L282">
        <v>1.1980295566502461</v>
      </c>
      <c r="M282">
        <v>1.1980295566502461</v>
      </c>
      <c r="N282">
        <v>0.86595301250473666</v>
      </c>
      <c r="O282">
        <v>0.83470394736842124</v>
      </c>
      <c r="P282">
        <v>0.83470394736842124</v>
      </c>
      <c r="Q282">
        <v>0.72281439777327949</v>
      </c>
      <c r="R282">
        <v>1.3834810195821023</v>
      </c>
      <c r="S282">
        <v>1.3834810195821023</v>
      </c>
      <c r="T282">
        <v>1.1547970681544688</v>
      </c>
    </row>
    <row r="283" spans="1:20" x14ac:dyDescent="0.25">
      <c r="A283" s="12" t="s">
        <v>58</v>
      </c>
      <c r="B283" s="12" t="s">
        <v>148</v>
      </c>
      <c r="C283" s="12" t="s">
        <v>14</v>
      </c>
      <c r="D283" s="12">
        <v>3.5294117647058822</v>
      </c>
      <c r="E283" s="12">
        <v>4.75</v>
      </c>
      <c r="F283" s="12">
        <v>20</v>
      </c>
      <c r="G283" s="12">
        <v>4.75</v>
      </c>
      <c r="H283" s="12">
        <v>2.0124434389140267</v>
      </c>
      <c r="I283" s="12" t="s">
        <v>85</v>
      </c>
      <c r="J283" s="6">
        <v>46301</v>
      </c>
      <c r="K283">
        <v>46301</v>
      </c>
      <c r="L283">
        <v>1.3458333333333334</v>
      </c>
      <c r="M283">
        <v>1.3458333333333334</v>
      </c>
      <c r="N283">
        <v>0.57019230769230755</v>
      </c>
      <c r="O283">
        <v>0.74303405572755421</v>
      </c>
      <c r="P283">
        <v>0.74303405572755421</v>
      </c>
      <c r="Q283">
        <v>0.42367230292926877</v>
      </c>
      <c r="R283">
        <v>2.360314783586285</v>
      </c>
      <c r="S283">
        <v>2.360314783586285</v>
      </c>
      <c r="T283">
        <v>1.7537942664418216</v>
      </c>
    </row>
    <row r="284" spans="1:20" x14ac:dyDescent="0.25">
      <c r="A284" s="12" t="s">
        <v>58</v>
      </c>
      <c r="B284" s="12" t="s">
        <v>148</v>
      </c>
      <c r="C284" s="12" t="s">
        <v>14</v>
      </c>
      <c r="D284" s="12">
        <v>3.5294117647058827</v>
      </c>
      <c r="E284" s="12">
        <v>7.6</v>
      </c>
      <c r="F284" s="12">
        <v>20</v>
      </c>
      <c r="G284" s="12">
        <v>7.6</v>
      </c>
      <c r="H284" s="12">
        <v>3.8160101144530207</v>
      </c>
      <c r="I284" s="12" t="s">
        <v>88</v>
      </c>
      <c r="J284" s="6">
        <v>46302</v>
      </c>
      <c r="K284">
        <v>46302</v>
      </c>
      <c r="L284">
        <v>2.1533333333333329</v>
      </c>
      <c r="M284">
        <v>2.1533333333333329</v>
      </c>
      <c r="N284">
        <v>1.081202865761689</v>
      </c>
      <c r="O284">
        <v>0.46439628482972145</v>
      </c>
      <c r="P284">
        <v>0.46439628482972145</v>
      </c>
      <c r="Q284">
        <v>0.50210659400697644</v>
      </c>
      <c r="R284">
        <v>1.9916089769299179</v>
      </c>
      <c r="S284">
        <v>1.9916089769299179</v>
      </c>
      <c r="T284">
        <v>0.92489580971977625</v>
      </c>
    </row>
    <row r="285" spans="1:20" x14ac:dyDescent="0.25">
      <c r="A285" s="12" t="s">
        <v>58</v>
      </c>
      <c r="B285" s="12" t="s">
        <v>148</v>
      </c>
      <c r="C285" s="12" t="s">
        <v>15</v>
      </c>
      <c r="D285" s="12">
        <v>0</v>
      </c>
      <c r="E285" s="12">
        <v>5.6999999999999993</v>
      </c>
      <c r="F285" s="12">
        <v>20</v>
      </c>
      <c r="G285" s="12">
        <v>5.6999999999999993</v>
      </c>
      <c r="H285" s="12">
        <v>0</v>
      </c>
      <c r="I285" s="12" t="s">
        <v>89</v>
      </c>
      <c r="J285" s="6">
        <v>46302</v>
      </c>
      <c r="K285">
        <v>46302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25">
      <c r="A286" s="12" t="s">
        <v>58</v>
      </c>
      <c r="B286" s="12" t="s">
        <v>148</v>
      </c>
      <c r="C286" s="12" t="s">
        <v>13</v>
      </c>
      <c r="D286" s="12">
        <v>13.687500000000004</v>
      </c>
      <c r="E286" s="12">
        <v>17.099999999999998</v>
      </c>
      <c r="F286" s="12">
        <v>20</v>
      </c>
      <c r="G286" s="12">
        <v>17.099999999999998</v>
      </c>
      <c r="H286" s="12">
        <v>10.820489253393664</v>
      </c>
      <c r="I286" s="12" t="s">
        <v>90</v>
      </c>
      <c r="J286" s="6">
        <v>46302</v>
      </c>
      <c r="K286">
        <v>46302</v>
      </c>
      <c r="L286">
        <v>1.2493150684931502</v>
      </c>
      <c r="M286">
        <v>1.2493150684931502</v>
      </c>
      <c r="N286">
        <v>0.79053802764519898</v>
      </c>
      <c r="O286">
        <v>0.80043859649122839</v>
      </c>
      <c r="P286">
        <v>0.80043859649122839</v>
      </c>
      <c r="Q286">
        <v>0.63277714932126694</v>
      </c>
      <c r="R286">
        <v>1.5803351955307263</v>
      </c>
      <c r="S286">
        <v>1.5803351955307263</v>
      </c>
      <c r="T286">
        <v>1.2649612858963055</v>
      </c>
    </row>
    <row r="287" spans="1:20" x14ac:dyDescent="0.25">
      <c r="A287" s="12" t="s">
        <v>58</v>
      </c>
      <c r="B287" s="12" t="s">
        <v>148</v>
      </c>
      <c r="C287" s="12" t="s">
        <v>14</v>
      </c>
      <c r="D287" s="12">
        <v>2.8235294117647061</v>
      </c>
      <c r="E287" s="12">
        <v>6.6499999999999995</v>
      </c>
      <c r="F287" s="12">
        <v>20</v>
      </c>
      <c r="G287" s="12">
        <v>6.6499999999999995</v>
      </c>
      <c r="H287" s="12">
        <v>3.2280576257652371</v>
      </c>
      <c r="I287" s="12" t="s">
        <v>91</v>
      </c>
      <c r="J287" s="6">
        <v>46303</v>
      </c>
      <c r="K287">
        <v>46303</v>
      </c>
      <c r="L287">
        <v>2.3552083333333331</v>
      </c>
      <c r="M287">
        <v>2.3552083333333331</v>
      </c>
      <c r="N287">
        <v>1.1432704091251882</v>
      </c>
      <c r="O287">
        <v>0.4245908889871739</v>
      </c>
      <c r="P287">
        <v>0.4245908889871739</v>
      </c>
      <c r="Q287">
        <v>0.48542219936319358</v>
      </c>
      <c r="R287">
        <v>2.0600623566698451</v>
      </c>
      <c r="S287">
        <v>2.0600623566698451</v>
      </c>
      <c r="T287">
        <v>0.87468370738746204</v>
      </c>
    </row>
    <row r="288" spans="1:20" x14ac:dyDescent="0.25">
      <c r="A288" s="12" t="s">
        <v>58</v>
      </c>
      <c r="B288" s="12" t="s">
        <v>148</v>
      </c>
      <c r="C288" s="12" t="s">
        <v>15</v>
      </c>
      <c r="D288" s="12">
        <v>0</v>
      </c>
      <c r="E288" s="12">
        <v>4.75</v>
      </c>
      <c r="F288" s="12">
        <v>20</v>
      </c>
      <c r="G288" s="12">
        <v>4.75</v>
      </c>
      <c r="H288" s="12">
        <v>0</v>
      </c>
      <c r="I288" s="12" t="s">
        <v>92</v>
      </c>
      <c r="J288" s="6">
        <v>46303</v>
      </c>
      <c r="K288">
        <v>46303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25">
      <c r="A289" s="12" t="s">
        <v>58</v>
      </c>
      <c r="B289" s="12" t="s">
        <v>148</v>
      </c>
      <c r="C289" s="12" t="s">
        <v>13</v>
      </c>
      <c r="D289" s="12">
        <v>14.812500000000004</v>
      </c>
      <c r="E289" s="12">
        <v>16.149999999999999</v>
      </c>
      <c r="F289" s="12">
        <v>20</v>
      </c>
      <c r="G289" s="12">
        <v>16.149999999999999</v>
      </c>
      <c r="H289" s="12">
        <v>11.820188772624425</v>
      </c>
      <c r="I289" s="12" t="s">
        <v>93</v>
      </c>
      <c r="J289" s="6">
        <v>46303</v>
      </c>
      <c r="K289">
        <v>46303</v>
      </c>
      <c r="L289">
        <v>1.0902953586497888</v>
      </c>
      <c r="M289">
        <v>1.0902953586497888</v>
      </c>
      <c r="N289">
        <v>0.79798742768772468</v>
      </c>
      <c r="O289">
        <v>0.91718266253869996</v>
      </c>
      <c r="P289">
        <v>0.91718266253869996</v>
      </c>
      <c r="Q289">
        <v>0.73190023359903567</v>
      </c>
      <c r="R289">
        <v>1.3663064364423201</v>
      </c>
      <c r="S289">
        <v>1.3663064364423201</v>
      </c>
      <c r="T289">
        <v>1.2531525752199302</v>
      </c>
    </row>
    <row r="290" spans="1:20" x14ac:dyDescent="0.25">
      <c r="A290" s="12" t="s">
        <v>58</v>
      </c>
      <c r="B290" s="12" t="s">
        <v>148</v>
      </c>
      <c r="C290" s="12" t="s">
        <v>13</v>
      </c>
      <c r="D290" s="12">
        <v>13.625000000000004</v>
      </c>
      <c r="E290" s="12">
        <v>13.3</v>
      </c>
      <c r="F290" s="12">
        <v>20</v>
      </c>
      <c r="G290" s="12">
        <v>13.3</v>
      </c>
      <c r="H290" s="12">
        <v>10.414362980769225</v>
      </c>
      <c r="I290" s="12" t="s">
        <v>95</v>
      </c>
      <c r="J290" s="6">
        <v>46304</v>
      </c>
      <c r="K290">
        <v>46304</v>
      </c>
      <c r="L290">
        <v>0.97614678899082541</v>
      </c>
      <c r="M290">
        <v>0.97614678899082541</v>
      </c>
      <c r="N290">
        <v>0.76435691601975941</v>
      </c>
      <c r="O290">
        <v>1.0244360902255643</v>
      </c>
      <c r="P290">
        <v>1.0244360902255643</v>
      </c>
      <c r="Q290">
        <v>0.78303481058415225</v>
      </c>
      <c r="R290">
        <v>1.2770824316916247</v>
      </c>
      <c r="S290">
        <v>1.2770824316916247</v>
      </c>
      <c r="T290">
        <v>1.3082893332179244</v>
      </c>
    </row>
    <row r="291" spans="1:20" x14ac:dyDescent="0.25">
      <c r="A291" s="12" t="s">
        <v>58</v>
      </c>
      <c r="B291" s="12" t="s">
        <v>148</v>
      </c>
      <c r="C291" s="12" t="s">
        <v>15</v>
      </c>
      <c r="D291" s="12">
        <v>0</v>
      </c>
      <c r="E291" s="12">
        <v>4.75</v>
      </c>
      <c r="F291" s="12">
        <v>20</v>
      </c>
      <c r="G291" s="12">
        <v>4.75</v>
      </c>
      <c r="H291" s="12">
        <v>0</v>
      </c>
      <c r="I291" s="12" t="s">
        <v>96</v>
      </c>
      <c r="J291" s="6">
        <v>46304</v>
      </c>
      <c r="K291">
        <v>46304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25">
      <c r="A292" s="12" t="s">
        <v>58</v>
      </c>
      <c r="B292" s="12" t="s">
        <v>148</v>
      </c>
      <c r="C292" s="12" t="s">
        <v>14</v>
      </c>
      <c r="D292" s="12">
        <v>2.8235294117647061</v>
      </c>
      <c r="E292" s="12">
        <v>4.75</v>
      </c>
      <c r="F292" s="12">
        <v>20</v>
      </c>
      <c r="G292" s="12">
        <v>4.75</v>
      </c>
      <c r="H292" s="12">
        <v>2.0217760180995477</v>
      </c>
      <c r="I292" s="12" t="s">
        <v>94</v>
      </c>
      <c r="J292" s="6">
        <v>46304</v>
      </c>
      <c r="K292">
        <v>46304</v>
      </c>
      <c r="L292">
        <v>1.6822916666666665</v>
      </c>
      <c r="M292">
        <v>1.6822916666666665</v>
      </c>
      <c r="N292">
        <v>0.71604567307692313</v>
      </c>
      <c r="O292">
        <v>0.59442724458204343</v>
      </c>
      <c r="P292">
        <v>0.59442724458204343</v>
      </c>
      <c r="Q292">
        <v>0.42563705644201005</v>
      </c>
      <c r="R292">
        <v>2.3494194992306614</v>
      </c>
      <c r="S292">
        <v>2.3494194992306614</v>
      </c>
      <c r="T292">
        <v>1.3965589592950063</v>
      </c>
    </row>
    <row r="293" spans="1:20" x14ac:dyDescent="0.25">
      <c r="A293" s="12" t="s">
        <v>58</v>
      </c>
      <c r="B293" s="12" t="s">
        <v>148</v>
      </c>
      <c r="C293" s="12" t="s">
        <v>14</v>
      </c>
      <c r="D293" s="12">
        <v>3.5294117647058827</v>
      </c>
      <c r="E293" s="12">
        <v>3.8</v>
      </c>
      <c r="F293" s="12">
        <v>20</v>
      </c>
      <c r="G293" s="12">
        <v>3.8</v>
      </c>
      <c r="H293" s="12">
        <v>2.3891402714932126</v>
      </c>
      <c r="I293" s="12" t="s">
        <v>97</v>
      </c>
      <c r="J293" s="6">
        <v>46305</v>
      </c>
      <c r="K293">
        <v>46305</v>
      </c>
      <c r="L293">
        <v>1.0766666666666664</v>
      </c>
      <c r="M293">
        <v>1.0766666666666664</v>
      </c>
      <c r="N293">
        <v>0.67692307692307685</v>
      </c>
      <c r="O293">
        <v>0.9287925696594429</v>
      </c>
      <c r="P293">
        <v>0.9287925696594429</v>
      </c>
      <c r="Q293">
        <v>0.6287211240771613</v>
      </c>
      <c r="R293">
        <v>1.5905303030303031</v>
      </c>
      <c r="S293">
        <v>1.5905303030303031</v>
      </c>
      <c r="T293">
        <v>1.4772727272727275</v>
      </c>
    </row>
    <row r="294" spans="1:20" x14ac:dyDescent="0.25">
      <c r="A294" s="12" t="s">
        <v>58</v>
      </c>
      <c r="B294" s="12" t="s">
        <v>148</v>
      </c>
      <c r="C294" s="12" t="s">
        <v>15</v>
      </c>
      <c r="D294" s="12">
        <v>0</v>
      </c>
      <c r="E294" s="12">
        <v>0.95</v>
      </c>
      <c r="F294" s="12">
        <v>20</v>
      </c>
      <c r="G294" s="12">
        <v>0.95</v>
      </c>
      <c r="H294" s="12">
        <v>0</v>
      </c>
      <c r="I294" s="12" t="s">
        <v>99</v>
      </c>
      <c r="J294" s="6">
        <v>46305</v>
      </c>
      <c r="K294">
        <v>46305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25">
      <c r="A295" s="12" t="s">
        <v>58</v>
      </c>
      <c r="B295" s="12" t="s">
        <v>148</v>
      </c>
      <c r="C295" s="12" t="s">
        <v>13</v>
      </c>
      <c r="D295" s="12">
        <v>6.0000000000000018</v>
      </c>
      <c r="E295" s="12">
        <v>10.45</v>
      </c>
      <c r="F295" s="12">
        <v>20</v>
      </c>
      <c r="G295" s="12">
        <v>10.45</v>
      </c>
      <c r="H295" s="12">
        <v>6.4615384615384572</v>
      </c>
      <c r="I295" s="12" t="s">
        <v>98</v>
      </c>
      <c r="J295" s="6">
        <v>46305</v>
      </c>
      <c r="K295">
        <v>46305</v>
      </c>
      <c r="L295">
        <v>1.741666666666666</v>
      </c>
      <c r="M295">
        <v>1.741666666666666</v>
      </c>
      <c r="N295">
        <v>1.076923076923076</v>
      </c>
      <c r="O295">
        <v>0.57416267942583754</v>
      </c>
      <c r="P295">
        <v>0.57416267942583754</v>
      </c>
      <c r="Q295">
        <v>0.61832903938167061</v>
      </c>
      <c r="R295">
        <v>1.6172619047619057</v>
      </c>
      <c r="S295">
        <v>1.6172619047619057</v>
      </c>
      <c r="T295">
        <v>0.92857142857142949</v>
      </c>
    </row>
    <row r="296" spans="1:20" x14ac:dyDescent="0.25">
      <c r="A296" s="12" t="s">
        <v>58</v>
      </c>
      <c r="B296" s="12" t="s">
        <v>148</v>
      </c>
      <c r="C296" s="12" t="s">
        <v>15</v>
      </c>
      <c r="D296" s="12">
        <v>0</v>
      </c>
      <c r="E296" s="12">
        <v>0.95</v>
      </c>
      <c r="F296" s="12">
        <v>20</v>
      </c>
      <c r="G296" s="12">
        <v>0.95</v>
      </c>
      <c r="H296" s="12">
        <v>0.125</v>
      </c>
      <c r="I296" s="12" t="s">
        <v>101</v>
      </c>
      <c r="J296" s="6">
        <v>46306</v>
      </c>
      <c r="K296">
        <v>46306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0.13157894736842105</v>
      </c>
      <c r="R296">
        <v>7.6</v>
      </c>
      <c r="S296">
        <v>7.6</v>
      </c>
      <c r="T296">
        <v>0</v>
      </c>
    </row>
    <row r="297" spans="1:20" x14ac:dyDescent="0.25">
      <c r="A297" s="12" t="s">
        <v>58</v>
      </c>
      <c r="B297" s="12" t="s">
        <v>148</v>
      </c>
      <c r="C297" s="12" t="s">
        <v>13</v>
      </c>
      <c r="D297" s="12">
        <v>6.0000000000000018</v>
      </c>
      <c r="E297" s="12">
        <v>11.4</v>
      </c>
      <c r="F297" s="12">
        <v>20</v>
      </c>
      <c r="G297" s="12">
        <v>11.4</v>
      </c>
      <c r="H297" s="12">
        <v>6.4615384615384581</v>
      </c>
      <c r="I297" s="12" t="s">
        <v>102</v>
      </c>
      <c r="J297" s="6">
        <v>46306</v>
      </c>
      <c r="K297">
        <v>46306</v>
      </c>
      <c r="L297">
        <v>1.8999999999999992</v>
      </c>
      <c r="M297">
        <v>1.8999999999999992</v>
      </c>
      <c r="N297">
        <v>1.076923076923076</v>
      </c>
      <c r="O297">
        <v>0.5263157894736844</v>
      </c>
      <c r="P297">
        <v>0.5263157894736844</v>
      </c>
      <c r="Q297">
        <v>0.56680161943319818</v>
      </c>
      <c r="R297">
        <v>1.7642857142857149</v>
      </c>
      <c r="S297">
        <v>1.7642857142857149</v>
      </c>
      <c r="T297">
        <v>0.92857142857142938</v>
      </c>
    </row>
    <row r="298" spans="1:20" x14ac:dyDescent="0.25">
      <c r="A298" s="12" t="s">
        <v>58</v>
      </c>
      <c r="B298" s="12" t="s">
        <v>148</v>
      </c>
      <c r="C298" s="12" t="s">
        <v>14</v>
      </c>
      <c r="D298" s="12">
        <v>3.5294117647058827</v>
      </c>
      <c r="E298" s="12">
        <v>3.8</v>
      </c>
      <c r="F298" s="12">
        <v>20</v>
      </c>
      <c r="G298" s="12">
        <v>3.8</v>
      </c>
      <c r="H298" s="12">
        <v>2.3891402714932126</v>
      </c>
      <c r="I298" s="12" t="s">
        <v>100</v>
      </c>
      <c r="J298" s="6">
        <v>46306</v>
      </c>
      <c r="K298">
        <v>46306</v>
      </c>
      <c r="L298">
        <v>1.0766666666666664</v>
      </c>
      <c r="M298">
        <v>1.0766666666666664</v>
      </c>
      <c r="N298">
        <v>0.67692307692307685</v>
      </c>
      <c r="O298">
        <v>0.9287925696594429</v>
      </c>
      <c r="P298">
        <v>0.9287925696594429</v>
      </c>
      <c r="Q298">
        <v>0.6287211240771613</v>
      </c>
      <c r="R298">
        <v>1.5905303030303031</v>
      </c>
      <c r="S298">
        <v>1.5905303030303031</v>
      </c>
      <c r="T298">
        <v>1.4772727272727275</v>
      </c>
    </row>
    <row r="299" spans="1:20" x14ac:dyDescent="0.25">
      <c r="A299" s="12" t="s">
        <v>58</v>
      </c>
      <c r="B299" s="12" t="s">
        <v>148</v>
      </c>
      <c r="C299" s="12" t="s">
        <v>14</v>
      </c>
      <c r="D299" s="12">
        <v>3.5294117647058827</v>
      </c>
      <c r="E299" s="12">
        <v>5.6999999999999993</v>
      </c>
      <c r="F299" s="12">
        <v>20</v>
      </c>
      <c r="G299" s="12">
        <v>5.6999999999999993</v>
      </c>
      <c r="H299" s="12">
        <v>2.6097285067873295</v>
      </c>
      <c r="I299" s="12" t="s">
        <v>103</v>
      </c>
      <c r="J299" s="6">
        <v>46307</v>
      </c>
      <c r="K299">
        <v>46307</v>
      </c>
      <c r="L299">
        <v>1.6149999999999995</v>
      </c>
      <c r="M299">
        <v>1.6149999999999995</v>
      </c>
      <c r="N299">
        <v>0.73942307692307663</v>
      </c>
      <c r="O299">
        <v>0.61919504643962864</v>
      </c>
      <c r="P299">
        <v>0.61919504643962864</v>
      </c>
      <c r="Q299">
        <v>0.45784710645391752</v>
      </c>
      <c r="R299">
        <v>2.1841352405721719</v>
      </c>
      <c r="S299">
        <v>2.1841352405721719</v>
      </c>
      <c r="T299">
        <v>1.3524057217165155</v>
      </c>
    </row>
    <row r="300" spans="1:20" x14ac:dyDescent="0.25">
      <c r="A300" s="12" t="s">
        <v>58</v>
      </c>
      <c r="B300" s="12" t="s">
        <v>148</v>
      </c>
      <c r="C300" s="12" t="s">
        <v>15</v>
      </c>
      <c r="D300" s="12">
        <v>0</v>
      </c>
      <c r="E300" s="12">
        <v>3.8</v>
      </c>
      <c r="F300" s="12">
        <v>20</v>
      </c>
      <c r="G300" s="12">
        <v>3.8</v>
      </c>
      <c r="H300" s="12">
        <v>0</v>
      </c>
      <c r="I300" s="12" t="s">
        <v>104</v>
      </c>
      <c r="J300" s="6">
        <v>46307</v>
      </c>
      <c r="K300">
        <v>46307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25">
      <c r="A301" s="12" t="s">
        <v>58</v>
      </c>
      <c r="B301" s="12" t="s">
        <v>148</v>
      </c>
      <c r="C301" s="12" t="s">
        <v>13</v>
      </c>
      <c r="D301" s="12">
        <v>13.625000000000004</v>
      </c>
      <c r="E301" s="12">
        <v>16.149999999999999</v>
      </c>
      <c r="F301" s="12">
        <v>20</v>
      </c>
      <c r="G301" s="12">
        <v>16.149999999999999</v>
      </c>
      <c r="H301" s="12">
        <v>11.109975961538458</v>
      </c>
      <c r="I301" s="12" t="s">
        <v>105</v>
      </c>
      <c r="J301" s="6">
        <v>46307</v>
      </c>
      <c r="K301">
        <v>46307</v>
      </c>
      <c r="L301">
        <v>1.1853211009174307</v>
      </c>
      <c r="M301">
        <v>1.1853211009174307</v>
      </c>
      <c r="N301">
        <v>0.81541107974594162</v>
      </c>
      <c r="O301">
        <v>0.84365325077399411</v>
      </c>
      <c r="P301">
        <v>0.84365325077399411</v>
      </c>
      <c r="Q301">
        <v>0.68792420814479627</v>
      </c>
      <c r="R301">
        <v>1.453648509763618</v>
      </c>
      <c r="S301">
        <v>1.453648509763618</v>
      </c>
      <c r="T301">
        <v>1.2263752907448484</v>
      </c>
    </row>
    <row r="302" spans="1:20" x14ac:dyDescent="0.25">
      <c r="A302" s="12" t="s">
        <v>58</v>
      </c>
      <c r="B302" s="12" t="s">
        <v>148</v>
      </c>
      <c r="C302" s="12" t="s">
        <v>15</v>
      </c>
      <c r="D302" s="12">
        <v>0</v>
      </c>
      <c r="E302" s="12">
        <v>5.6999999999999993</v>
      </c>
      <c r="F302" s="12">
        <v>20</v>
      </c>
      <c r="G302" s="12">
        <v>5.6999999999999993</v>
      </c>
      <c r="H302" s="12">
        <v>0</v>
      </c>
      <c r="I302" s="12" t="s">
        <v>106</v>
      </c>
      <c r="J302" s="6">
        <v>46308</v>
      </c>
      <c r="K302">
        <v>46308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25">
      <c r="A303" s="12" t="s">
        <v>58</v>
      </c>
      <c r="B303" s="12" t="s">
        <v>148</v>
      </c>
      <c r="C303" s="12" t="s">
        <v>13</v>
      </c>
      <c r="D303" s="12">
        <v>13.625000000000004</v>
      </c>
      <c r="E303" s="12">
        <v>17.099999999999998</v>
      </c>
      <c r="F303" s="12">
        <v>20</v>
      </c>
      <c r="G303" s="12">
        <v>17.099999999999998</v>
      </c>
      <c r="H303" s="12">
        <v>11.395132211538453</v>
      </c>
      <c r="I303" s="12" t="s">
        <v>108</v>
      </c>
      <c r="J303" s="6">
        <v>46308</v>
      </c>
      <c r="K303">
        <v>46308</v>
      </c>
      <c r="L303">
        <v>1.2550458715596327</v>
      </c>
      <c r="M303">
        <v>1.2550458715596327</v>
      </c>
      <c r="N303">
        <v>0.83633997882851008</v>
      </c>
      <c r="O303">
        <v>0.79678362573099448</v>
      </c>
      <c r="P303">
        <v>0.79678362573099448</v>
      </c>
      <c r="Q303">
        <v>0.66638200067476339</v>
      </c>
      <c r="R303">
        <v>1.5006407720908166</v>
      </c>
      <c r="S303">
        <v>1.5006407720908166</v>
      </c>
      <c r="T303">
        <v>1.1956859953062797</v>
      </c>
    </row>
    <row r="304" spans="1:20" x14ac:dyDescent="0.25">
      <c r="A304" s="12" t="s">
        <v>58</v>
      </c>
      <c r="B304" s="12" t="s">
        <v>148</v>
      </c>
      <c r="C304" s="12" t="s">
        <v>14</v>
      </c>
      <c r="D304" s="12">
        <v>2.8235294117647065</v>
      </c>
      <c r="E304" s="12">
        <v>6.6499999999999995</v>
      </c>
      <c r="F304" s="12">
        <v>20</v>
      </c>
      <c r="G304" s="12">
        <v>6.6499999999999995</v>
      </c>
      <c r="H304" s="12">
        <v>3.2163461538461529</v>
      </c>
      <c r="I304" s="12" t="s">
        <v>107</v>
      </c>
      <c r="J304" s="6">
        <v>46308</v>
      </c>
      <c r="K304">
        <v>46308</v>
      </c>
      <c r="L304">
        <v>2.3552083333333327</v>
      </c>
      <c r="M304">
        <v>2.3552083333333327</v>
      </c>
      <c r="N304">
        <v>1.1391225961538456</v>
      </c>
      <c r="O304">
        <v>0.42459088898717395</v>
      </c>
      <c r="P304">
        <v>0.42459088898717395</v>
      </c>
      <c r="Q304">
        <v>0.48366107576633882</v>
      </c>
      <c r="R304">
        <v>2.0675635276532143</v>
      </c>
      <c r="S304">
        <v>2.0675635276532143</v>
      </c>
      <c r="T304">
        <v>0.87786863624373568</v>
      </c>
    </row>
    <row r="305" spans="1:20" x14ac:dyDescent="0.25">
      <c r="A305" s="12" t="s">
        <v>58</v>
      </c>
      <c r="B305" s="12" t="s">
        <v>148</v>
      </c>
      <c r="C305" s="12" t="s">
        <v>15</v>
      </c>
      <c r="D305" s="12">
        <v>0</v>
      </c>
      <c r="E305" s="12">
        <v>6.6499999999999995</v>
      </c>
      <c r="F305" s="12">
        <v>20</v>
      </c>
      <c r="G305" s="12">
        <v>6.6499999999999995</v>
      </c>
      <c r="H305" s="12">
        <v>0</v>
      </c>
      <c r="I305" s="12" t="s">
        <v>109</v>
      </c>
      <c r="J305" s="6">
        <v>46309</v>
      </c>
      <c r="K305">
        <v>46309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25">
      <c r="A306" s="12" t="s">
        <v>58</v>
      </c>
      <c r="B306" s="12" t="s">
        <v>148</v>
      </c>
      <c r="C306" s="12" t="s">
        <v>14</v>
      </c>
      <c r="D306" s="12">
        <v>3.5294117647058818</v>
      </c>
      <c r="E306" s="12">
        <v>7.6</v>
      </c>
      <c r="F306" s="12">
        <v>20</v>
      </c>
      <c r="G306" s="12">
        <v>7.6</v>
      </c>
      <c r="H306" s="12">
        <v>3.8160101144530216</v>
      </c>
      <c r="I306" s="12" t="s">
        <v>110</v>
      </c>
      <c r="J306" s="6">
        <v>46309</v>
      </c>
      <c r="K306">
        <v>46309</v>
      </c>
      <c r="L306">
        <v>2.1533333333333338</v>
      </c>
      <c r="M306">
        <v>2.1533333333333338</v>
      </c>
      <c r="N306">
        <v>1.0812028657616897</v>
      </c>
      <c r="O306">
        <v>0.46439628482972128</v>
      </c>
      <c r="P306">
        <v>0.46439628482972128</v>
      </c>
      <c r="Q306">
        <v>0.50210659400697655</v>
      </c>
      <c r="R306">
        <v>1.9916089769299175</v>
      </c>
      <c r="S306">
        <v>1.9916089769299175</v>
      </c>
      <c r="T306">
        <v>0.92489580971977581</v>
      </c>
    </row>
    <row r="307" spans="1:20" x14ac:dyDescent="0.25">
      <c r="A307" s="12" t="s">
        <v>58</v>
      </c>
      <c r="B307" s="12" t="s">
        <v>148</v>
      </c>
      <c r="C307" s="12" t="s">
        <v>13</v>
      </c>
      <c r="D307" s="12">
        <v>13.687500000000004</v>
      </c>
      <c r="E307" s="12">
        <v>17.099999999999998</v>
      </c>
      <c r="F307" s="12">
        <v>20</v>
      </c>
      <c r="G307" s="12">
        <v>17.099999999999998</v>
      </c>
      <c r="H307" s="12">
        <v>11.570489253393664</v>
      </c>
      <c r="I307" s="12" t="s">
        <v>111</v>
      </c>
      <c r="J307" s="6">
        <v>46309</v>
      </c>
      <c r="K307">
        <v>46309</v>
      </c>
      <c r="L307">
        <v>1.2493150684931502</v>
      </c>
      <c r="M307">
        <v>1.2493150684931502</v>
      </c>
      <c r="N307">
        <v>0.84533254819314418</v>
      </c>
      <c r="O307">
        <v>0.80043859649122839</v>
      </c>
      <c r="P307">
        <v>0.80043859649122839</v>
      </c>
      <c r="Q307">
        <v>0.67663679844407398</v>
      </c>
      <c r="R307">
        <v>1.477897747062382</v>
      </c>
      <c r="S307">
        <v>1.477897747062382</v>
      </c>
      <c r="T307">
        <v>1.1829663984161616</v>
      </c>
    </row>
    <row r="308" spans="1:20" x14ac:dyDescent="0.25">
      <c r="A308" s="12" t="s">
        <v>58</v>
      </c>
      <c r="B308" s="12" t="s">
        <v>148</v>
      </c>
      <c r="C308" s="12" t="s">
        <v>14</v>
      </c>
      <c r="D308" s="12">
        <v>3.5294117647058822</v>
      </c>
      <c r="E308" s="12">
        <v>6.6499999999999995</v>
      </c>
      <c r="F308" s="12">
        <v>20</v>
      </c>
      <c r="G308" s="12">
        <v>6.6499999999999995</v>
      </c>
      <c r="H308" s="12">
        <v>3.2187250465797179</v>
      </c>
      <c r="I308" s="12" t="s">
        <v>113</v>
      </c>
      <c r="J308" s="6">
        <v>46310</v>
      </c>
      <c r="K308">
        <v>46310</v>
      </c>
      <c r="L308">
        <v>1.8841666666666665</v>
      </c>
      <c r="M308">
        <v>1.8841666666666665</v>
      </c>
      <c r="N308">
        <v>0.91197209653092015</v>
      </c>
      <c r="O308">
        <v>0.53073861123396726</v>
      </c>
      <c r="P308">
        <v>0.53073861123396726</v>
      </c>
      <c r="Q308">
        <v>0.48401880399695008</v>
      </c>
      <c r="R308">
        <v>2.0660354344545282</v>
      </c>
      <c r="S308">
        <v>2.0660354344545282</v>
      </c>
      <c r="T308">
        <v>1.0965247772425626</v>
      </c>
    </row>
    <row r="309" spans="1:20" x14ac:dyDescent="0.25">
      <c r="A309" s="12" t="s">
        <v>58</v>
      </c>
      <c r="B309" s="12" t="s">
        <v>148</v>
      </c>
      <c r="C309" s="12" t="s">
        <v>15</v>
      </c>
      <c r="D309" s="12">
        <v>0</v>
      </c>
      <c r="E309" s="12">
        <v>4.75</v>
      </c>
      <c r="F309" s="12">
        <v>20</v>
      </c>
      <c r="G309" s="12">
        <v>4.75</v>
      </c>
      <c r="H309" s="12">
        <v>0</v>
      </c>
      <c r="I309" s="12" t="s">
        <v>112</v>
      </c>
      <c r="J309" s="6">
        <v>46310</v>
      </c>
      <c r="K309">
        <v>46310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25">
      <c r="A310" s="12" t="s">
        <v>58</v>
      </c>
      <c r="B310" s="12" t="s">
        <v>148</v>
      </c>
      <c r="C310" s="12" t="s">
        <v>13</v>
      </c>
      <c r="D310" s="12">
        <v>14.812500000000004</v>
      </c>
      <c r="E310" s="12">
        <v>14.25</v>
      </c>
      <c r="F310" s="12">
        <v>20</v>
      </c>
      <c r="G310" s="12">
        <v>14.25</v>
      </c>
      <c r="H310" s="12">
        <v>10.767604638009049</v>
      </c>
      <c r="I310" s="12" t="s">
        <v>114</v>
      </c>
      <c r="J310" s="6">
        <v>46310</v>
      </c>
      <c r="K310">
        <v>46310</v>
      </c>
      <c r="L310">
        <v>0.962025316455696</v>
      </c>
      <c r="M310">
        <v>0.962025316455696</v>
      </c>
      <c r="N310">
        <v>0.7269268953930158</v>
      </c>
      <c r="O310">
        <v>1.0394736842105265</v>
      </c>
      <c r="P310">
        <v>1.0394736842105265</v>
      </c>
      <c r="Q310">
        <v>0.75562137810589813</v>
      </c>
      <c r="R310">
        <v>1.3234141184658925</v>
      </c>
      <c r="S310">
        <v>1.3234141184658925</v>
      </c>
      <c r="T310">
        <v>1.3756541494579675</v>
      </c>
    </row>
    <row r="311" spans="1:20" x14ac:dyDescent="0.25">
      <c r="A311" s="12" t="s">
        <v>58</v>
      </c>
      <c r="B311" s="12" t="s">
        <v>148</v>
      </c>
      <c r="C311" s="12" t="s">
        <v>14</v>
      </c>
      <c r="D311" s="12">
        <v>3.5294117647058822</v>
      </c>
      <c r="E311" s="12">
        <v>5.6999999999999993</v>
      </c>
      <c r="F311" s="12">
        <v>20</v>
      </c>
      <c r="G311" s="12">
        <v>5.6999999999999993</v>
      </c>
      <c r="H311" s="12">
        <v>2.6097285067873295</v>
      </c>
      <c r="I311" s="12" t="s">
        <v>116</v>
      </c>
      <c r="J311" s="6">
        <v>46311</v>
      </c>
      <c r="K311">
        <v>46311</v>
      </c>
      <c r="L311">
        <v>1.6149999999999998</v>
      </c>
      <c r="M311">
        <v>1.6149999999999998</v>
      </c>
      <c r="N311">
        <v>0.73942307692307674</v>
      </c>
      <c r="O311">
        <v>0.61919504643962853</v>
      </c>
      <c r="P311">
        <v>0.61919504643962853</v>
      </c>
      <c r="Q311">
        <v>0.45784710645391752</v>
      </c>
      <c r="R311">
        <v>2.1841352405721719</v>
      </c>
      <c r="S311">
        <v>2.1841352405721719</v>
      </c>
      <c r="T311">
        <v>1.3524057217165153</v>
      </c>
    </row>
    <row r="312" spans="1:20" x14ac:dyDescent="0.25">
      <c r="A312" s="12" t="s">
        <v>58</v>
      </c>
      <c r="B312" s="12" t="s">
        <v>148</v>
      </c>
      <c r="C312" s="12" t="s">
        <v>15</v>
      </c>
      <c r="D312" s="12">
        <v>0</v>
      </c>
      <c r="E312" s="12">
        <v>4.75</v>
      </c>
      <c r="F312" s="12">
        <v>20</v>
      </c>
      <c r="G312" s="12">
        <v>4.75</v>
      </c>
      <c r="H312" s="12">
        <v>0</v>
      </c>
      <c r="I312" s="12" t="s">
        <v>117</v>
      </c>
      <c r="J312" s="6">
        <v>46311</v>
      </c>
      <c r="K312">
        <v>46311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25">
      <c r="A313" s="12" t="s">
        <v>58</v>
      </c>
      <c r="B313" s="12" t="s">
        <v>148</v>
      </c>
      <c r="C313" s="12" t="s">
        <v>13</v>
      </c>
      <c r="D313" s="12">
        <v>12.687500000000002</v>
      </c>
      <c r="E313" s="12">
        <v>13.3</v>
      </c>
      <c r="F313" s="12">
        <v>20</v>
      </c>
      <c r="G313" s="12">
        <v>13.3</v>
      </c>
      <c r="H313" s="12">
        <v>9.4771634615384581</v>
      </c>
      <c r="I313" s="12" t="s">
        <v>115</v>
      </c>
      <c r="J313" s="6">
        <v>46311</v>
      </c>
      <c r="K313">
        <v>46311</v>
      </c>
      <c r="L313">
        <v>1.0482758620689654</v>
      </c>
      <c r="M313">
        <v>1.0482758620689654</v>
      </c>
      <c r="N313">
        <v>0.74696854869268625</v>
      </c>
      <c r="O313">
        <v>0.95394736842105288</v>
      </c>
      <c r="P313">
        <v>0.95394736842105288</v>
      </c>
      <c r="Q313">
        <v>0.71256868131868112</v>
      </c>
      <c r="R313">
        <v>1.4033734939759039</v>
      </c>
      <c r="S313">
        <v>1.4033734939759039</v>
      </c>
      <c r="T313">
        <v>1.3387444514901718</v>
      </c>
    </row>
    <row r="314" spans="1:20" x14ac:dyDescent="0.25">
      <c r="A314" s="12" t="s">
        <v>58</v>
      </c>
      <c r="B314" s="12" t="s">
        <v>148</v>
      </c>
      <c r="C314" s="12" t="s">
        <v>13</v>
      </c>
      <c r="D314" s="12">
        <v>6.9375000000000018</v>
      </c>
      <c r="E314" s="12">
        <v>7.6</v>
      </c>
      <c r="F314" s="12">
        <v>20</v>
      </c>
      <c r="G314" s="12">
        <v>7.6</v>
      </c>
      <c r="H314" s="12">
        <v>5.1391225961538431</v>
      </c>
      <c r="I314" s="12" t="s">
        <v>119</v>
      </c>
      <c r="J314" s="6">
        <v>46312</v>
      </c>
      <c r="K314">
        <v>46312</v>
      </c>
      <c r="L314">
        <v>1.0954954954954952</v>
      </c>
      <c r="M314">
        <v>1.0954954954954952</v>
      </c>
      <c r="N314">
        <v>0.74077442827442763</v>
      </c>
      <c r="O314">
        <v>0.91282894736842135</v>
      </c>
      <c r="P314">
        <v>0.91282894736842135</v>
      </c>
      <c r="Q314">
        <v>0.67620034159918996</v>
      </c>
      <c r="R314">
        <v>1.4788516634508573</v>
      </c>
      <c r="S314">
        <v>1.4788516634508573</v>
      </c>
      <c r="T314">
        <v>1.3499386072618851</v>
      </c>
    </row>
    <row r="315" spans="1:20" x14ac:dyDescent="0.25">
      <c r="A315" s="12" t="s">
        <v>58</v>
      </c>
      <c r="B315" s="12" t="s">
        <v>148</v>
      </c>
      <c r="C315" s="12" t="s">
        <v>15</v>
      </c>
      <c r="D315" s="12">
        <v>0</v>
      </c>
      <c r="E315" s="12">
        <v>0.95</v>
      </c>
      <c r="F315" s="12">
        <v>20</v>
      </c>
      <c r="G315" s="12">
        <v>0.95</v>
      </c>
      <c r="H315" s="12">
        <v>0</v>
      </c>
      <c r="I315" s="12" t="s">
        <v>120</v>
      </c>
      <c r="J315" s="6">
        <v>46312</v>
      </c>
      <c r="K315">
        <v>46312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25">
      <c r="A316" s="12" t="s">
        <v>58</v>
      </c>
      <c r="B316" s="12" t="s">
        <v>148</v>
      </c>
      <c r="C316" s="12" t="s">
        <v>14</v>
      </c>
      <c r="D316" s="12">
        <v>2.8235294117647061</v>
      </c>
      <c r="E316" s="12">
        <v>3.8</v>
      </c>
      <c r="F316" s="12">
        <v>20</v>
      </c>
      <c r="G316" s="12">
        <v>3.8</v>
      </c>
      <c r="H316" s="12">
        <v>2.3984728506787327</v>
      </c>
      <c r="I316" s="12" t="s">
        <v>118</v>
      </c>
      <c r="J316" s="6">
        <v>46312</v>
      </c>
      <c r="K316">
        <v>46312</v>
      </c>
      <c r="L316">
        <v>1.3458333333333332</v>
      </c>
      <c r="M316">
        <v>1.3458333333333332</v>
      </c>
      <c r="N316">
        <v>0.84945913461538447</v>
      </c>
      <c r="O316">
        <v>0.74303405572755421</v>
      </c>
      <c r="P316">
        <v>0.74303405572755421</v>
      </c>
      <c r="Q316">
        <v>0.63117706596808754</v>
      </c>
      <c r="R316">
        <v>1.584341469166372</v>
      </c>
      <c r="S316">
        <v>1.584341469166372</v>
      </c>
      <c r="T316">
        <v>1.1772196674920412</v>
      </c>
    </row>
    <row r="317" spans="1:20" x14ac:dyDescent="0.25">
      <c r="A317" s="12" t="s">
        <v>58</v>
      </c>
      <c r="B317" s="12" t="s">
        <v>148</v>
      </c>
      <c r="C317" s="12" t="s">
        <v>15</v>
      </c>
      <c r="D317" s="12">
        <v>0</v>
      </c>
      <c r="E317" s="12">
        <v>1.9</v>
      </c>
      <c r="F317" s="12">
        <v>20</v>
      </c>
      <c r="G317" s="12">
        <v>1.9</v>
      </c>
      <c r="H317" s="12">
        <v>0.125</v>
      </c>
      <c r="I317" s="12" t="s">
        <v>122</v>
      </c>
      <c r="J317" s="6">
        <v>46313</v>
      </c>
      <c r="K317">
        <v>46313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6.5789473684210523E-2</v>
      </c>
      <c r="R317">
        <v>15.2</v>
      </c>
      <c r="S317">
        <v>15.2</v>
      </c>
      <c r="T317">
        <v>0</v>
      </c>
    </row>
    <row r="318" spans="1:20" x14ac:dyDescent="0.25">
      <c r="A318" s="12" t="s">
        <v>58</v>
      </c>
      <c r="B318" s="12" t="s">
        <v>148</v>
      </c>
      <c r="C318" s="12" t="s">
        <v>14</v>
      </c>
      <c r="D318" s="12">
        <v>2.8235294117647061</v>
      </c>
      <c r="E318" s="12">
        <v>3.8</v>
      </c>
      <c r="F318" s="12">
        <v>20</v>
      </c>
      <c r="G318" s="12">
        <v>3.8</v>
      </c>
      <c r="H318" s="12">
        <v>2.3984728506787327</v>
      </c>
      <c r="I318" s="12" t="s">
        <v>123</v>
      </c>
      <c r="J318" s="6">
        <v>46313</v>
      </c>
      <c r="K318">
        <v>46313</v>
      </c>
      <c r="L318">
        <v>1.3458333333333332</v>
      </c>
      <c r="M318">
        <v>1.3458333333333332</v>
      </c>
      <c r="N318">
        <v>0.84945913461538447</v>
      </c>
      <c r="O318">
        <v>0.74303405572755421</v>
      </c>
      <c r="P318">
        <v>0.74303405572755421</v>
      </c>
      <c r="Q318">
        <v>0.63117706596808754</v>
      </c>
      <c r="R318">
        <v>1.584341469166372</v>
      </c>
      <c r="S318">
        <v>1.584341469166372</v>
      </c>
      <c r="T318">
        <v>1.1772196674920412</v>
      </c>
    </row>
    <row r="319" spans="1:20" x14ac:dyDescent="0.25">
      <c r="A319" s="12" t="s">
        <v>58</v>
      </c>
      <c r="B319" s="12" t="s">
        <v>148</v>
      </c>
      <c r="C319" s="12" t="s">
        <v>13</v>
      </c>
      <c r="D319" s="12">
        <v>6.9375000000000018</v>
      </c>
      <c r="E319" s="12">
        <v>10.45</v>
      </c>
      <c r="F319" s="12">
        <v>20</v>
      </c>
      <c r="G319" s="12">
        <v>10.45</v>
      </c>
      <c r="H319" s="12">
        <v>5.8891225961538431</v>
      </c>
      <c r="I319" s="12" t="s">
        <v>121</v>
      </c>
      <c r="J319" s="6">
        <v>46313</v>
      </c>
      <c r="K319">
        <v>46313</v>
      </c>
      <c r="L319">
        <v>1.5063063063063058</v>
      </c>
      <c r="M319">
        <v>1.5063063063063058</v>
      </c>
      <c r="N319">
        <v>0.84888253638253575</v>
      </c>
      <c r="O319">
        <v>0.66387559808612462</v>
      </c>
      <c r="P319">
        <v>0.66387559808612462</v>
      </c>
      <c r="Q319">
        <v>0.56355240154582231</v>
      </c>
      <c r="R319">
        <v>1.7744578805041082</v>
      </c>
      <c r="S319">
        <v>1.7744578805041082</v>
      </c>
      <c r="T319">
        <v>1.1780192866983019</v>
      </c>
    </row>
    <row r="320" spans="1:20" x14ac:dyDescent="0.25">
      <c r="A320" s="12" t="s">
        <v>58</v>
      </c>
      <c r="B320" s="12" t="s">
        <v>148</v>
      </c>
      <c r="C320" s="12" t="s">
        <v>14</v>
      </c>
      <c r="D320" s="12">
        <v>2.8235294117647065</v>
      </c>
      <c r="E320" s="12">
        <v>6.6499999999999995</v>
      </c>
      <c r="F320" s="12">
        <v>20</v>
      </c>
      <c r="G320" s="12">
        <v>6.6499999999999995</v>
      </c>
      <c r="H320" s="12">
        <v>3.2136500754147805</v>
      </c>
      <c r="I320" s="12" t="s">
        <v>124</v>
      </c>
      <c r="J320" s="6">
        <v>46314</v>
      </c>
      <c r="K320">
        <v>46314</v>
      </c>
      <c r="L320">
        <v>2.3552083333333327</v>
      </c>
      <c r="M320">
        <v>2.3552083333333327</v>
      </c>
      <c r="N320">
        <v>1.1381677350427346</v>
      </c>
      <c r="O320">
        <v>0.42459088898717395</v>
      </c>
      <c r="P320">
        <v>0.42459088898717395</v>
      </c>
      <c r="Q320">
        <v>0.48325565043831292</v>
      </c>
      <c r="R320">
        <v>2.0692981015183163</v>
      </c>
      <c r="S320">
        <v>2.0692981015183163</v>
      </c>
      <c r="T320">
        <v>0.87860512050313322</v>
      </c>
    </row>
    <row r="321" spans="1:20" x14ac:dyDescent="0.25">
      <c r="A321" s="12" t="s">
        <v>58</v>
      </c>
      <c r="B321" s="12" t="s">
        <v>148</v>
      </c>
      <c r="C321" s="12" t="s">
        <v>15</v>
      </c>
      <c r="D321" s="12">
        <v>0</v>
      </c>
      <c r="E321" s="12">
        <v>4.75</v>
      </c>
      <c r="F321" s="12">
        <v>20</v>
      </c>
      <c r="G321" s="12">
        <v>4.75</v>
      </c>
      <c r="H321" s="12">
        <v>0</v>
      </c>
      <c r="I321" s="12" t="s">
        <v>125</v>
      </c>
      <c r="J321" s="6">
        <v>46314</v>
      </c>
      <c r="K321">
        <v>46314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25">
      <c r="A322" s="12" t="s">
        <v>58</v>
      </c>
      <c r="B322" s="12" t="s">
        <v>148</v>
      </c>
      <c r="C322" s="12" t="s">
        <v>13</v>
      </c>
      <c r="D322" s="12">
        <v>14.5</v>
      </c>
      <c r="E322" s="12">
        <v>16.149999999999999</v>
      </c>
      <c r="F322" s="12">
        <v>20</v>
      </c>
      <c r="G322" s="12">
        <v>16.149999999999999</v>
      </c>
      <c r="H322" s="12">
        <v>10.655809294871784</v>
      </c>
      <c r="I322" s="12" t="s">
        <v>126</v>
      </c>
      <c r="J322" s="6">
        <v>46314</v>
      </c>
      <c r="K322">
        <v>46314</v>
      </c>
      <c r="L322">
        <v>1.1137931034482758</v>
      </c>
      <c r="M322">
        <v>1.1137931034482758</v>
      </c>
      <c r="N322">
        <v>0.73488339964632987</v>
      </c>
      <c r="O322">
        <v>0.89783281733746134</v>
      </c>
      <c r="P322">
        <v>0.89783281733746134</v>
      </c>
      <c r="Q322">
        <v>0.65980243311899589</v>
      </c>
      <c r="R322">
        <v>1.5156052021100219</v>
      </c>
      <c r="S322">
        <v>1.5156052021100219</v>
      </c>
      <c r="T322">
        <v>1.3607600885817535</v>
      </c>
    </row>
    <row r="323" spans="1:20" x14ac:dyDescent="0.25">
      <c r="A323" s="12" t="s">
        <v>58</v>
      </c>
      <c r="B323" s="12" t="s">
        <v>148</v>
      </c>
      <c r="C323" s="12" t="s">
        <v>13</v>
      </c>
      <c r="D323" s="12">
        <v>12.687500000000002</v>
      </c>
      <c r="E323" s="12">
        <v>15.2</v>
      </c>
      <c r="F323" s="12">
        <v>20</v>
      </c>
      <c r="G323" s="12">
        <v>15.2</v>
      </c>
      <c r="H323" s="12">
        <v>10.986778846153843</v>
      </c>
      <c r="I323" s="12" t="s">
        <v>127</v>
      </c>
      <c r="J323" s="6">
        <v>46315</v>
      </c>
      <c r="K323">
        <v>46315</v>
      </c>
      <c r="L323">
        <v>1.1980295566502461</v>
      </c>
      <c r="M323">
        <v>1.1980295566502461</v>
      </c>
      <c r="N323">
        <v>0.86595301250473633</v>
      </c>
      <c r="O323">
        <v>0.83470394736842124</v>
      </c>
      <c r="P323">
        <v>0.83470394736842124</v>
      </c>
      <c r="Q323">
        <v>0.72281439777327916</v>
      </c>
      <c r="R323">
        <v>1.383481019582103</v>
      </c>
      <c r="S323">
        <v>1.383481019582103</v>
      </c>
      <c r="T323">
        <v>1.1547970681544693</v>
      </c>
    </row>
    <row r="324" spans="1:20" x14ac:dyDescent="0.25">
      <c r="A324" s="12" t="s">
        <v>58</v>
      </c>
      <c r="B324" s="12" t="s">
        <v>148</v>
      </c>
      <c r="C324" s="12" t="s">
        <v>15</v>
      </c>
      <c r="D324" s="12">
        <v>0</v>
      </c>
      <c r="E324" s="12">
        <v>5.6999999999999993</v>
      </c>
      <c r="F324" s="12">
        <v>20</v>
      </c>
      <c r="G324" s="12">
        <v>5.6999999999999993</v>
      </c>
      <c r="H324" s="12">
        <v>0</v>
      </c>
      <c r="I324" s="12" t="s">
        <v>128</v>
      </c>
      <c r="J324" s="6">
        <v>46315</v>
      </c>
      <c r="K324">
        <v>46315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25">
      <c r="A325" s="12" t="s">
        <v>58</v>
      </c>
      <c r="B325" s="12" t="s">
        <v>148</v>
      </c>
      <c r="C325" s="12" t="s">
        <v>14</v>
      </c>
      <c r="D325" s="12">
        <v>3.5294117647058827</v>
      </c>
      <c r="E325" s="12">
        <v>4.75</v>
      </c>
      <c r="F325" s="12">
        <v>20</v>
      </c>
      <c r="G325" s="12">
        <v>4.75</v>
      </c>
      <c r="H325" s="12">
        <v>2.0124434389140267</v>
      </c>
      <c r="I325" s="12" t="s">
        <v>129</v>
      </c>
      <c r="J325" s="6">
        <v>46315</v>
      </c>
      <c r="K325">
        <v>46315</v>
      </c>
      <c r="L325">
        <v>1.3458333333333332</v>
      </c>
      <c r="M325">
        <v>1.3458333333333332</v>
      </c>
      <c r="N325">
        <v>0.57019230769230755</v>
      </c>
      <c r="O325">
        <v>0.74303405572755421</v>
      </c>
      <c r="P325">
        <v>0.74303405572755421</v>
      </c>
      <c r="Q325">
        <v>0.42367230292926877</v>
      </c>
      <c r="R325">
        <v>2.360314783586285</v>
      </c>
      <c r="S325">
        <v>2.360314783586285</v>
      </c>
      <c r="T325">
        <v>1.7537942664418218</v>
      </c>
    </row>
    <row r="326" spans="1:20" x14ac:dyDescent="0.25">
      <c r="A326" s="12" t="s">
        <v>58</v>
      </c>
      <c r="B326" s="12" t="s">
        <v>148</v>
      </c>
      <c r="C326" s="12" t="s">
        <v>14</v>
      </c>
      <c r="D326" s="12">
        <v>3.5294117647058822</v>
      </c>
      <c r="E326" s="12">
        <v>7.6</v>
      </c>
      <c r="F326" s="12">
        <v>20</v>
      </c>
      <c r="G326" s="12">
        <v>7.6</v>
      </c>
      <c r="H326" s="12">
        <v>3.816010114453019</v>
      </c>
      <c r="I326" s="12" t="s">
        <v>130</v>
      </c>
      <c r="J326" s="6">
        <v>46316</v>
      </c>
      <c r="K326">
        <v>46316</v>
      </c>
      <c r="L326">
        <v>2.1533333333333333</v>
      </c>
      <c r="M326">
        <v>2.1533333333333333</v>
      </c>
      <c r="N326">
        <v>1.0812028657616888</v>
      </c>
      <c r="O326">
        <v>0.4643962848297214</v>
      </c>
      <c r="P326">
        <v>0.4643962848297214</v>
      </c>
      <c r="Q326">
        <v>0.50210659400697621</v>
      </c>
      <c r="R326">
        <v>1.9916089769299188</v>
      </c>
      <c r="S326">
        <v>1.9916089769299188</v>
      </c>
      <c r="T326">
        <v>0.92489580971977658</v>
      </c>
    </row>
    <row r="327" spans="1:20" x14ac:dyDescent="0.25">
      <c r="A327" s="12" t="s">
        <v>58</v>
      </c>
      <c r="B327" s="12" t="s">
        <v>148</v>
      </c>
      <c r="C327" s="12" t="s">
        <v>15</v>
      </c>
      <c r="D327" s="12">
        <v>0</v>
      </c>
      <c r="E327" s="12">
        <v>5.6999999999999993</v>
      </c>
      <c r="F327" s="12">
        <v>20</v>
      </c>
      <c r="G327" s="12">
        <v>5.6999999999999993</v>
      </c>
      <c r="H327" s="12">
        <v>0</v>
      </c>
      <c r="I327" s="12" t="s">
        <v>131</v>
      </c>
      <c r="J327" s="6">
        <v>46316</v>
      </c>
      <c r="K327">
        <v>46316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25">
      <c r="A328" s="12" t="s">
        <v>58</v>
      </c>
      <c r="B328" s="12" t="s">
        <v>148</v>
      </c>
      <c r="C328" s="12" t="s">
        <v>13</v>
      </c>
      <c r="D328" s="12">
        <v>13.687500000000004</v>
      </c>
      <c r="E328" s="12">
        <v>17.099999999999998</v>
      </c>
      <c r="F328" s="12">
        <v>20</v>
      </c>
      <c r="G328" s="12">
        <v>17.099999999999998</v>
      </c>
      <c r="H328" s="12">
        <v>10.820489253393667</v>
      </c>
      <c r="I328" s="12" t="s">
        <v>132</v>
      </c>
      <c r="J328" s="6">
        <v>46316</v>
      </c>
      <c r="K328">
        <v>46316</v>
      </c>
      <c r="L328">
        <v>1.2493150684931502</v>
      </c>
      <c r="M328">
        <v>1.2493150684931502</v>
      </c>
      <c r="N328">
        <v>0.7905380276451992</v>
      </c>
      <c r="O328">
        <v>0.80043859649122839</v>
      </c>
      <c r="P328">
        <v>0.80043859649122839</v>
      </c>
      <c r="Q328">
        <v>0.63277714932126716</v>
      </c>
      <c r="R328">
        <v>1.5803351955307257</v>
      </c>
      <c r="S328">
        <v>1.5803351955307257</v>
      </c>
      <c r="T328">
        <v>1.2649612858963051</v>
      </c>
    </row>
    <row r="329" spans="1:20" x14ac:dyDescent="0.25">
      <c r="A329" s="12" t="s">
        <v>58</v>
      </c>
      <c r="B329" s="12" t="s">
        <v>148</v>
      </c>
      <c r="C329" s="12" t="s">
        <v>13</v>
      </c>
      <c r="D329" s="12">
        <v>14.812500000000004</v>
      </c>
      <c r="E329" s="12">
        <v>16.149999999999999</v>
      </c>
      <c r="F329" s="12">
        <v>20</v>
      </c>
      <c r="G329" s="12">
        <v>16.149999999999999</v>
      </c>
      <c r="H329" s="12">
        <v>11.820188772624419</v>
      </c>
      <c r="I329" s="12" t="s">
        <v>133</v>
      </c>
      <c r="J329" s="6">
        <v>46317</v>
      </c>
      <c r="K329">
        <v>46317</v>
      </c>
      <c r="L329">
        <v>1.0902953586497888</v>
      </c>
      <c r="M329">
        <v>1.0902953586497888</v>
      </c>
      <c r="N329">
        <v>0.79798742768772435</v>
      </c>
      <c r="O329">
        <v>0.91718266253869996</v>
      </c>
      <c r="P329">
        <v>0.91718266253869996</v>
      </c>
      <c r="Q329">
        <v>0.73190023359903533</v>
      </c>
      <c r="R329">
        <v>1.3663064364423207</v>
      </c>
      <c r="S329">
        <v>1.3663064364423207</v>
      </c>
      <c r="T329">
        <v>1.2531525752199308</v>
      </c>
    </row>
    <row r="330" spans="1:20" x14ac:dyDescent="0.25">
      <c r="A330" s="12" t="s">
        <v>58</v>
      </c>
      <c r="B330" s="12" t="s">
        <v>148</v>
      </c>
      <c r="C330" s="12" t="s">
        <v>15</v>
      </c>
      <c r="D330" s="12">
        <v>0</v>
      </c>
      <c r="E330" s="12">
        <v>3.8</v>
      </c>
      <c r="F330" s="12">
        <v>20</v>
      </c>
      <c r="G330" s="12">
        <v>3.8</v>
      </c>
      <c r="H330" s="12">
        <v>0</v>
      </c>
      <c r="I330" s="12" t="s">
        <v>134</v>
      </c>
      <c r="J330" s="6">
        <v>46317</v>
      </c>
      <c r="K330">
        <v>46317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25">
      <c r="A331" s="12" t="s">
        <v>58</v>
      </c>
      <c r="B331" s="12" t="s">
        <v>148</v>
      </c>
      <c r="C331" s="12" t="s">
        <v>14</v>
      </c>
      <c r="D331" s="12">
        <v>2.8235294117647061</v>
      </c>
      <c r="E331" s="12">
        <v>6.6499999999999995</v>
      </c>
      <c r="F331" s="12">
        <v>20</v>
      </c>
      <c r="G331" s="12">
        <v>6.6499999999999995</v>
      </c>
      <c r="H331" s="12">
        <v>3.2280576257652371</v>
      </c>
      <c r="I331" s="12" t="s">
        <v>135</v>
      </c>
      <c r="J331" s="6">
        <v>46317</v>
      </c>
      <c r="K331">
        <v>46317</v>
      </c>
      <c r="L331">
        <v>2.3552083333333331</v>
      </c>
      <c r="M331">
        <v>2.3552083333333331</v>
      </c>
      <c r="N331">
        <v>1.1432704091251882</v>
      </c>
      <c r="O331">
        <v>0.4245908889871739</v>
      </c>
      <c r="P331">
        <v>0.4245908889871739</v>
      </c>
      <c r="Q331">
        <v>0.48542219936319358</v>
      </c>
      <c r="R331">
        <v>2.0600623566698451</v>
      </c>
      <c r="S331">
        <v>2.0600623566698451</v>
      </c>
      <c r="T331">
        <v>0.87468370738746204</v>
      </c>
    </row>
    <row r="332" spans="1:20" x14ac:dyDescent="0.25">
      <c r="A332" s="12" t="s">
        <v>58</v>
      </c>
      <c r="B332" s="12" t="s">
        <v>148</v>
      </c>
      <c r="C332" s="12" t="s">
        <v>14</v>
      </c>
      <c r="D332" s="12">
        <v>2.8235294117647061</v>
      </c>
      <c r="E332" s="12">
        <v>4.75</v>
      </c>
      <c r="F332" s="12">
        <v>20</v>
      </c>
      <c r="G332" s="12">
        <v>4.75</v>
      </c>
      <c r="H332" s="12">
        <v>2.0217760180995472</v>
      </c>
      <c r="I332" s="12" t="s">
        <v>138</v>
      </c>
      <c r="J332" s="6">
        <v>46318</v>
      </c>
      <c r="K332">
        <v>46318</v>
      </c>
      <c r="L332">
        <v>1.6822916666666665</v>
      </c>
      <c r="M332">
        <v>1.6822916666666665</v>
      </c>
      <c r="N332">
        <v>0.71604567307692291</v>
      </c>
      <c r="O332">
        <v>0.59442724458204343</v>
      </c>
      <c r="P332">
        <v>0.59442724458204343</v>
      </c>
      <c r="Q332">
        <v>0.42563705644200994</v>
      </c>
      <c r="R332">
        <v>2.3494194992306618</v>
      </c>
      <c r="S332">
        <v>2.3494194992306618</v>
      </c>
      <c r="T332">
        <v>1.3965589592950065</v>
      </c>
    </row>
    <row r="333" spans="1:20" x14ac:dyDescent="0.25">
      <c r="A333" s="12" t="s">
        <v>58</v>
      </c>
      <c r="B333" s="12" t="s">
        <v>148</v>
      </c>
      <c r="C333" s="12" t="s">
        <v>15</v>
      </c>
      <c r="D333" s="12">
        <v>0</v>
      </c>
      <c r="E333" s="12">
        <v>5.6999999999999993</v>
      </c>
      <c r="F333" s="12">
        <v>20</v>
      </c>
      <c r="G333" s="12">
        <v>5.6999999999999993</v>
      </c>
      <c r="H333" s="12">
        <v>0</v>
      </c>
      <c r="I333" s="12" t="s">
        <v>137</v>
      </c>
      <c r="J333" s="6">
        <v>46318</v>
      </c>
      <c r="K333">
        <v>46318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25">
      <c r="A334" s="12" t="s">
        <v>58</v>
      </c>
      <c r="B334" s="12" t="s">
        <v>148</v>
      </c>
      <c r="C334" s="12" t="s">
        <v>13</v>
      </c>
      <c r="D334" s="12">
        <v>13.625000000000004</v>
      </c>
      <c r="E334" s="12">
        <v>13.3</v>
      </c>
      <c r="F334" s="12">
        <v>20</v>
      </c>
      <c r="G334" s="12">
        <v>13.3</v>
      </c>
      <c r="H334" s="12">
        <v>10.414362980769225</v>
      </c>
      <c r="I334" s="12" t="s">
        <v>136</v>
      </c>
      <c r="J334" s="6">
        <v>46318</v>
      </c>
      <c r="K334">
        <v>46318</v>
      </c>
      <c r="L334">
        <v>0.97614678899082541</v>
      </c>
      <c r="M334">
        <v>0.97614678899082541</v>
      </c>
      <c r="N334">
        <v>0.76435691601975941</v>
      </c>
      <c r="O334">
        <v>1.0244360902255643</v>
      </c>
      <c r="P334">
        <v>1.0244360902255643</v>
      </c>
      <c r="Q334">
        <v>0.78303481058415225</v>
      </c>
      <c r="R334">
        <v>1.2770824316916247</v>
      </c>
      <c r="S334">
        <v>1.2770824316916247</v>
      </c>
      <c r="T334">
        <v>1.3082893332179244</v>
      </c>
    </row>
    <row r="335" spans="1:20" x14ac:dyDescent="0.25">
      <c r="A335" s="12" t="s">
        <v>58</v>
      </c>
      <c r="B335" s="12" t="s">
        <v>148</v>
      </c>
      <c r="C335" s="12" t="s">
        <v>14</v>
      </c>
      <c r="D335" s="12">
        <v>3.5294117647058827</v>
      </c>
      <c r="E335" s="12">
        <v>3.8</v>
      </c>
      <c r="F335" s="12">
        <v>20</v>
      </c>
      <c r="G335" s="12">
        <v>3.8</v>
      </c>
      <c r="H335" s="12">
        <v>2.3891402714932126</v>
      </c>
      <c r="I335" s="12" t="s">
        <v>140</v>
      </c>
      <c r="J335" s="6">
        <v>46319</v>
      </c>
      <c r="K335">
        <v>46319</v>
      </c>
      <c r="L335">
        <v>1.0766666666666664</v>
      </c>
      <c r="M335">
        <v>1.0766666666666664</v>
      </c>
      <c r="N335">
        <v>0.67692307692307685</v>
      </c>
      <c r="O335">
        <v>0.9287925696594429</v>
      </c>
      <c r="P335">
        <v>0.9287925696594429</v>
      </c>
      <c r="Q335">
        <v>0.6287211240771613</v>
      </c>
      <c r="R335">
        <v>1.5905303030303031</v>
      </c>
      <c r="S335">
        <v>1.5905303030303031</v>
      </c>
      <c r="T335">
        <v>1.4772727272727275</v>
      </c>
    </row>
    <row r="336" spans="1:20" x14ac:dyDescent="0.25">
      <c r="A336" s="12" t="s">
        <v>58</v>
      </c>
      <c r="B336" s="12" t="s">
        <v>148</v>
      </c>
      <c r="C336" s="12" t="s">
        <v>13</v>
      </c>
      <c r="D336" s="12">
        <v>6.0000000000000009</v>
      </c>
      <c r="E336" s="12">
        <v>10.45</v>
      </c>
      <c r="F336" s="12">
        <v>20</v>
      </c>
      <c r="G336" s="12">
        <v>10.45</v>
      </c>
      <c r="H336" s="12">
        <v>6.4615384615384563</v>
      </c>
      <c r="I336" s="12" t="s">
        <v>141</v>
      </c>
      <c r="J336" s="6">
        <v>46319</v>
      </c>
      <c r="K336">
        <v>46319</v>
      </c>
      <c r="L336">
        <v>1.7416666666666663</v>
      </c>
      <c r="M336">
        <v>1.7416666666666663</v>
      </c>
      <c r="N336">
        <v>1.076923076923076</v>
      </c>
      <c r="O336">
        <v>0.57416267942583743</v>
      </c>
      <c r="P336">
        <v>0.57416267942583743</v>
      </c>
      <c r="Q336">
        <v>0.6183290393816705</v>
      </c>
      <c r="R336">
        <v>1.6172619047619059</v>
      </c>
      <c r="S336">
        <v>1.6172619047619059</v>
      </c>
      <c r="T336">
        <v>0.92857142857142949</v>
      </c>
    </row>
    <row r="337" spans="1:20" x14ac:dyDescent="0.25">
      <c r="A337" s="12" t="s">
        <v>58</v>
      </c>
      <c r="B337" s="12" t="s">
        <v>148</v>
      </c>
      <c r="C337" s="12" t="s">
        <v>15</v>
      </c>
      <c r="D337" s="12">
        <v>0</v>
      </c>
      <c r="E337" s="12">
        <v>0.95</v>
      </c>
      <c r="F337" s="12">
        <v>20</v>
      </c>
      <c r="G337" s="12">
        <v>0.95</v>
      </c>
      <c r="H337" s="12">
        <v>0</v>
      </c>
      <c r="I337" s="12" t="s">
        <v>139</v>
      </c>
      <c r="J337" s="6">
        <v>46319</v>
      </c>
      <c r="K337">
        <v>46319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25">
      <c r="A338" s="12" t="s">
        <v>58</v>
      </c>
      <c r="B338" s="12" t="s">
        <v>148</v>
      </c>
      <c r="C338" s="12" t="s">
        <v>15</v>
      </c>
      <c r="D338" s="12">
        <v>0</v>
      </c>
      <c r="E338" s="12">
        <v>0.95</v>
      </c>
      <c r="F338" s="12">
        <v>20</v>
      </c>
      <c r="G338" s="12">
        <v>0.95</v>
      </c>
      <c r="H338" s="12">
        <v>0</v>
      </c>
      <c r="I338" s="12" t="s">
        <v>142</v>
      </c>
      <c r="J338" s="6">
        <v>46320</v>
      </c>
      <c r="K338">
        <v>46320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25">
      <c r="A339" s="12" t="s">
        <v>58</v>
      </c>
      <c r="B339" s="12" t="s">
        <v>148</v>
      </c>
      <c r="C339" s="12" t="s">
        <v>14</v>
      </c>
      <c r="D339" s="12">
        <v>3.5294117647058827</v>
      </c>
      <c r="E339" s="12">
        <v>3.8</v>
      </c>
      <c r="F339" s="12">
        <v>20</v>
      </c>
      <c r="G339" s="12">
        <v>3.8</v>
      </c>
      <c r="H339" s="12">
        <v>2.3891402714932126</v>
      </c>
      <c r="I339" s="12" t="s">
        <v>143</v>
      </c>
      <c r="J339" s="6">
        <v>46320</v>
      </c>
      <c r="K339">
        <v>46320</v>
      </c>
      <c r="L339">
        <v>1.0766666666666664</v>
      </c>
      <c r="M339">
        <v>1.0766666666666664</v>
      </c>
      <c r="N339">
        <v>0.67692307692307685</v>
      </c>
      <c r="O339">
        <v>0.9287925696594429</v>
      </c>
      <c r="P339">
        <v>0.9287925696594429</v>
      </c>
      <c r="Q339">
        <v>0.6287211240771613</v>
      </c>
      <c r="R339">
        <v>1.5905303030303031</v>
      </c>
      <c r="S339">
        <v>1.5905303030303031</v>
      </c>
      <c r="T339">
        <v>1.4772727272727275</v>
      </c>
    </row>
    <row r="340" spans="1:20" x14ac:dyDescent="0.25">
      <c r="A340" s="12" t="s">
        <v>58</v>
      </c>
      <c r="B340" s="12" t="s">
        <v>148</v>
      </c>
      <c r="C340" s="12" t="s">
        <v>13</v>
      </c>
      <c r="D340" s="12">
        <v>6.0000000000000018</v>
      </c>
      <c r="E340" s="12">
        <v>11.4</v>
      </c>
      <c r="F340" s="12">
        <v>20</v>
      </c>
      <c r="G340" s="12">
        <v>11.4</v>
      </c>
      <c r="H340" s="12">
        <v>6.4615384615384581</v>
      </c>
      <c r="I340" s="12" t="s">
        <v>144</v>
      </c>
      <c r="J340" s="6">
        <v>46320</v>
      </c>
      <c r="K340">
        <v>46320</v>
      </c>
      <c r="L340">
        <v>1.8999999999999992</v>
      </c>
      <c r="M340">
        <v>1.8999999999999992</v>
      </c>
      <c r="N340">
        <v>1.076923076923076</v>
      </c>
      <c r="O340">
        <v>0.5263157894736844</v>
      </c>
      <c r="P340">
        <v>0.5263157894736844</v>
      </c>
      <c r="Q340">
        <v>0.56680161943319818</v>
      </c>
      <c r="R340">
        <v>1.7642857142857149</v>
      </c>
      <c r="S340">
        <v>1.7642857142857149</v>
      </c>
      <c r="T340">
        <v>0.92857142857142938</v>
      </c>
    </row>
    <row r="341" spans="1:20" x14ac:dyDescent="0.25">
      <c r="A341" s="12" t="s">
        <v>59</v>
      </c>
      <c r="B341" s="12" t="s">
        <v>148</v>
      </c>
      <c r="C341" s="12" t="s">
        <v>13</v>
      </c>
      <c r="D341" s="12">
        <v>13.249999999999996</v>
      </c>
      <c r="E341" s="12">
        <v>8.5499999999999989</v>
      </c>
      <c r="F341" s="12">
        <v>20</v>
      </c>
      <c r="G341" s="12">
        <v>8.5499999999999989</v>
      </c>
      <c r="H341" s="12">
        <v>7.6873314950980403</v>
      </c>
      <c r="I341" s="12" t="s">
        <v>63</v>
      </c>
      <c r="J341" s="6">
        <v>46293</v>
      </c>
      <c r="K341">
        <v>46293</v>
      </c>
      <c r="L341">
        <v>0.64528301886792461</v>
      </c>
      <c r="M341">
        <v>0.64528301886792461</v>
      </c>
      <c r="N341">
        <v>0.58017596189419185</v>
      </c>
      <c r="O341">
        <v>1.5497076023391811</v>
      </c>
      <c r="P341">
        <v>1.5497076023391811</v>
      </c>
      <c r="Q341">
        <v>0.89910309884187611</v>
      </c>
      <c r="R341">
        <v>1.1122195010651035</v>
      </c>
      <c r="S341">
        <v>1.1122195010651035</v>
      </c>
      <c r="T341">
        <v>1.723615016270482</v>
      </c>
    </row>
    <row r="342" spans="1:20" x14ac:dyDescent="0.25">
      <c r="A342" s="12" t="s">
        <v>59</v>
      </c>
      <c r="B342" s="12" t="s">
        <v>148</v>
      </c>
      <c r="C342" s="12" t="s">
        <v>15</v>
      </c>
      <c r="D342" s="12">
        <v>0</v>
      </c>
      <c r="E342" s="12">
        <v>1.9</v>
      </c>
      <c r="F342" s="12">
        <v>20</v>
      </c>
      <c r="G342" s="12">
        <v>1.9</v>
      </c>
      <c r="H342" s="12">
        <v>0</v>
      </c>
      <c r="I342" s="12" t="s">
        <v>61</v>
      </c>
      <c r="J342" s="6">
        <v>46293</v>
      </c>
      <c r="K342">
        <v>46293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25">
      <c r="A343" s="12" t="s">
        <v>59</v>
      </c>
      <c r="B343" s="12" t="s">
        <v>148</v>
      </c>
      <c r="C343" s="12" t="s">
        <v>14</v>
      </c>
      <c r="D343" s="12">
        <v>0.58823529411764719</v>
      </c>
      <c r="E343" s="12">
        <v>8.5499999999999989</v>
      </c>
      <c r="F343" s="12">
        <v>20</v>
      </c>
      <c r="G343" s="12">
        <v>8.5499999999999989</v>
      </c>
      <c r="H343" s="12">
        <v>1.7129613610149936</v>
      </c>
      <c r="I343" s="12" t="s">
        <v>62</v>
      </c>
      <c r="J343" s="6">
        <v>46293</v>
      </c>
      <c r="K343">
        <v>46293</v>
      </c>
      <c r="L343">
        <v>14.534999999999995</v>
      </c>
      <c r="M343">
        <v>14.534999999999995</v>
      </c>
      <c r="N343">
        <v>2.9120343137254885</v>
      </c>
      <c r="O343">
        <v>6.8799449604403193E-2</v>
      </c>
      <c r="P343">
        <v>6.8799449604403193E-2</v>
      </c>
      <c r="Q343">
        <v>0.20034635801344958</v>
      </c>
      <c r="R343">
        <v>4.9913560192238107</v>
      </c>
      <c r="S343">
        <v>4.9913560192238107</v>
      </c>
      <c r="T343">
        <v>0.34340254690222305</v>
      </c>
    </row>
    <row r="344" spans="1:20" x14ac:dyDescent="0.25">
      <c r="A344" s="12" t="s">
        <v>59</v>
      </c>
      <c r="B344" s="12" t="s">
        <v>148</v>
      </c>
      <c r="C344" s="12" t="s">
        <v>15</v>
      </c>
      <c r="D344" s="12">
        <v>0</v>
      </c>
      <c r="E344" s="12">
        <v>1.9</v>
      </c>
      <c r="F344" s="12">
        <v>20</v>
      </c>
      <c r="G344" s="12">
        <v>1.9</v>
      </c>
      <c r="H344" s="12">
        <v>0</v>
      </c>
      <c r="I344" s="12" t="s">
        <v>65</v>
      </c>
      <c r="J344" s="6">
        <v>46294</v>
      </c>
      <c r="K344">
        <v>46294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25">
      <c r="A345" s="12" t="s">
        <v>59</v>
      </c>
      <c r="B345" s="12" t="s">
        <v>148</v>
      </c>
      <c r="C345" s="12" t="s">
        <v>13</v>
      </c>
      <c r="D345" s="12">
        <v>12.25</v>
      </c>
      <c r="E345" s="12">
        <v>8.5499999999999989</v>
      </c>
      <c r="F345" s="12">
        <v>20</v>
      </c>
      <c r="G345" s="12">
        <v>8.5499999999999989</v>
      </c>
      <c r="H345" s="12">
        <v>6.7464220063025202</v>
      </c>
      <c r="I345" s="12" t="s">
        <v>64</v>
      </c>
      <c r="J345" s="6">
        <v>46294</v>
      </c>
      <c r="K345">
        <v>46294</v>
      </c>
      <c r="L345">
        <v>0.69795918367346932</v>
      </c>
      <c r="M345">
        <v>0.69795918367346932</v>
      </c>
      <c r="N345">
        <v>0.55072832704510366</v>
      </c>
      <c r="O345">
        <v>1.432748538011696</v>
      </c>
      <c r="P345">
        <v>1.432748538011696</v>
      </c>
      <c r="Q345">
        <v>0.78905520541549956</v>
      </c>
      <c r="R345">
        <v>1.2673384487380974</v>
      </c>
      <c r="S345">
        <v>1.2673384487380974</v>
      </c>
      <c r="T345">
        <v>1.8157773095955199</v>
      </c>
    </row>
    <row r="346" spans="1:20" x14ac:dyDescent="0.25">
      <c r="A346" s="12" t="s">
        <v>59</v>
      </c>
      <c r="B346" s="12" t="s">
        <v>148</v>
      </c>
      <c r="C346" s="12" t="s">
        <v>14</v>
      </c>
      <c r="D346" s="12">
        <v>0.58823529411764719</v>
      </c>
      <c r="E346" s="12">
        <v>8.5499999999999989</v>
      </c>
      <c r="F346" s="12">
        <v>20</v>
      </c>
      <c r="G346" s="12">
        <v>8.5499999999999989</v>
      </c>
      <c r="H346" s="12">
        <v>1.7680734058329213</v>
      </c>
      <c r="I346" s="12" t="s">
        <v>66</v>
      </c>
      <c r="J346" s="6">
        <v>46294</v>
      </c>
      <c r="K346">
        <v>46294</v>
      </c>
      <c r="L346">
        <v>14.534999999999995</v>
      </c>
      <c r="M346">
        <v>14.534999999999995</v>
      </c>
      <c r="N346">
        <v>3.0057247899159654</v>
      </c>
      <c r="O346">
        <v>6.8799449604403193E-2</v>
      </c>
      <c r="P346">
        <v>6.8799449604403193E-2</v>
      </c>
      <c r="Q346">
        <v>0.20679221120852884</v>
      </c>
      <c r="R346">
        <v>4.835772073599049</v>
      </c>
      <c r="S346">
        <v>4.835772073599049</v>
      </c>
      <c r="T346">
        <v>0.33269845707595808</v>
      </c>
    </row>
    <row r="347" spans="1:20" x14ac:dyDescent="0.25">
      <c r="A347" s="12" t="s">
        <v>59</v>
      </c>
      <c r="B347" s="12" t="s">
        <v>148</v>
      </c>
      <c r="C347" s="12" t="s">
        <v>13</v>
      </c>
      <c r="D347" s="12">
        <v>12.25</v>
      </c>
      <c r="E347" s="12">
        <v>9.5</v>
      </c>
      <c r="F347" s="12">
        <v>20</v>
      </c>
      <c r="G347" s="12">
        <v>9.5</v>
      </c>
      <c r="H347" s="12">
        <v>7.5630886729691875</v>
      </c>
      <c r="I347" s="12" t="s">
        <v>67</v>
      </c>
      <c r="J347" s="6">
        <v>46295</v>
      </c>
      <c r="K347">
        <v>46295</v>
      </c>
      <c r="L347">
        <v>0.77551020408163263</v>
      </c>
      <c r="M347">
        <v>0.77551020408163263</v>
      </c>
      <c r="N347">
        <v>0.61739499371177042</v>
      </c>
      <c r="O347">
        <v>1.2894736842105263</v>
      </c>
      <c r="P347">
        <v>1.2894736842105263</v>
      </c>
      <c r="Q347">
        <v>0.79611459715465127</v>
      </c>
      <c r="R347">
        <v>1.2561005709153483</v>
      </c>
      <c r="S347">
        <v>1.2561005709153483</v>
      </c>
      <c r="T347">
        <v>1.6197086309171596</v>
      </c>
    </row>
    <row r="348" spans="1:20" x14ac:dyDescent="0.25">
      <c r="A348" s="12" t="s">
        <v>59</v>
      </c>
      <c r="B348" s="12" t="s">
        <v>148</v>
      </c>
      <c r="C348" s="12" t="s">
        <v>15</v>
      </c>
      <c r="D348" s="12">
        <v>0</v>
      </c>
      <c r="E348" s="12">
        <v>4.75</v>
      </c>
      <c r="F348" s="12">
        <v>20</v>
      </c>
      <c r="G348" s="12">
        <v>4.75</v>
      </c>
      <c r="H348" s="12">
        <v>0</v>
      </c>
      <c r="I348" s="12" t="s">
        <v>68</v>
      </c>
      <c r="J348" s="6">
        <v>46295</v>
      </c>
      <c r="K348">
        <v>46295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25">
      <c r="A349" s="12" t="s">
        <v>59</v>
      </c>
      <c r="B349" s="12" t="s">
        <v>148</v>
      </c>
      <c r="C349" s="12" t="s">
        <v>14</v>
      </c>
      <c r="D349" s="12">
        <v>0.58823529411764719</v>
      </c>
      <c r="E349" s="12">
        <v>9.5</v>
      </c>
      <c r="F349" s="12">
        <v>20</v>
      </c>
      <c r="G349" s="12">
        <v>9.5</v>
      </c>
      <c r="H349" s="12">
        <v>1.8229753666172348</v>
      </c>
      <c r="I349" s="12" t="s">
        <v>69</v>
      </c>
      <c r="J349" s="6">
        <v>46295</v>
      </c>
      <c r="K349">
        <v>46295</v>
      </c>
      <c r="L349">
        <v>16.149999999999995</v>
      </c>
      <c r="M349">
        <v>16.149999999999995</v>
      </c>
      <c r="N349">
        <v>3.0990581232492986</v>
      </c>
      <c r="O349">
        <v>6.1919504643962862E-2</v>
      </c>
      <c r="P349">
        <v>6.1919504643962862E-2</v>
      </c>
      <c r="Q349">
        <v>0.19189214385444578</v>
      </c>
      <c r="R349">
        <v>5.2112607630175889</v>
      </c>
      <c r="S349">
        <v>5.2112607630175889</v>
      </c>
      <c r="T349">
        <v>0.32267868501656904</v>
      </c>
    </row>
    <row r="350" spans="1:20" x14ac:dyDescent="0.25">
      <c r="A350" s="12" t="s">
        <v>59</v>
      </c>
      <c r="B350" s="12" t="s">
        <v>148</v>
      </c>
      <c r="C350" s="12" t="s">
        <v>13</v>
      </c>
      <c r="D350" s="12">
        <v>12.25</v>
      </c>
      <c r="E350" s="12">
        <v>7.6</v>
      </c>
      <c r="F350" s="12">
        <v>20</v>
      </c>
      <c r="G350" s="12">
        <v>7.6</v>
      </c>
      <c r="H350" s="12">
        <v>5.8674479166666682</v>
      </c>
      <c r="I350" s="12" t="s">
        <v>70</v>
      </c>
      <c r="J350" s="6">
        <v>46296</v>
      </c>
      <c r="K350">
        <v>46296</v>
      </c>
      <c r="L350">
        <v>0.62040816326530612</v>
      </c>
      <c r="M350">
        <v>0.62040816326530612</v>
      </c>
      <c r="N350">
        <v>0.47897534013605453</v>
      </c>
      <c r="O350">
        <v>1.611842105263158</v>
      </c>
      <c r="P350">
        <v>1.611842105263158</v>
      </c>
      <c r="Q350">
        <v>0.77203262061403533</v>
      </c>
      <c r="R350">
        <v>1.2952820558341835</v>
      </c>
      <c r="S350">
        <v>1.2952820558341835</v>
      </c>
      <c r="T350">
        <v>2.087790155785362</v>
      </c>
    </row>
    <row r="351" spans="1:20" x14ac:dyDescent="0.25">
      <c r="A351" s="12" t="s">
        <v>59</v>
      </c>
      <c r="B351" s="12" t="s">
        <v>148</v>
      </c>
      <c r="C351" s="12" t="s">
        <v>15</v>
      </c>
      <c r="D351" s="12">
        <v>0</v>
      </c>
      <c r="E351" s="12">
        <v>6.6499999999999995</v>
      </c>
      <c r="F351" s="12">
        <v>20</v>
      </c>
      <c r="G351" s="12">
        <v>6.6499999999999995</v>
      </c>
      <c r="H351" s="12">
        <v>0</v>
      </c>
      <c r="I351" s="12" t="s">
        <v>72</v>
      </c>
      <c r="J351" s="6">
        <v>46296</v>
      </c>
      <c r="K351">
        <v>46296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25">
      <c r="A352" s="12" t="s">
        <v>59</v>
      </c>
      <c r="B352" s="12" t="s">
        <v>148</v>
      </c>
      <c r="C352" s="12" t="s">
        <v>14</v>
      </c>
      <c r="D352" s="12">
        <v>0.58823529411764719</v>
      </c>
      <c r="E352" s="12">
        <v>7.6</v>
      </c>
      <c r="F352" s="12">
        <v>20</v>
      </c>
      <c r="G352" s="12">
        <v>7.6</v>
      </c>
      <c r="H352" s="12">
        <v>1.7129901960784313</v>
      </c>
      <c r="I352" s="12" t="s">
        <v>71</v>
      </c>
      <c r="J352" s="6">
        <v>46296</v>
      </c>
      <c r="K352">
        <v>46296</v>
      </c>
      <c r="L352">
        <v>12.919999999999996</v>
      </c>
      <c r="M352">
        <v>12.919999999999996</v>
      </c>
      <c r="N352">
        <v>2.9120833333333325</v>
      </c>
      <c r="O352">
        <v>7.739938080495358E-2</v>
      </c>
      <c r="P352">
        <v>7.739938080495358E-2</v>
      </c>
      <c r="Q352">
        <v>0.22539344685242518</v>
      </c>
      <c r="R352">
        <v>4.4366862212047504</v>
      </c>
      <c r="S352">
        <v>4.4366862212047504</v>
      </c>
      <c r="T352">
        <v>0.34339676634711697</v>
      </c>
    </row>
    <row r="353" spans="1:20" x14ac:dyDescent="0.25">
      <c r="A353" s="12" t="s">
        <v>59</v>
      </c>
      <c r="B353" s="12" t="s">
        <v>148</v>
      </c>
      <c r="C353" s="12" t="s">
        <v>15</v>
      </c>
      <c r="D353" s="12">
        <v>0</v>
      </c>
      <c r="E353" s="12">
        <v>5.6999999999999993</v>
      </c>
      <c r="F353" s="12">
        <v>20</v>
      </c>
      <c r="G353" s="12">
        <v>5.6999999999999993</v>
      </c>
      <c r="H353" s="12">
        <v>0</v>
      </c>
      <c r="I353" s="12" t="s">
        <v>74</v>
      </c>
      <c r="J353" s="6">
        <v>46297</v>
      </c>
      <c r="K353">
        <v>46297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25">
      <c r="A354" s="12" t="s">
        <v>59</v>
      </c>
      <c r="B354" s="12" t="s">
        <v>148</v>
      </c>
      <c r="C354" s="12" t="s">
        <v>13</v>
      </c>
      <c r="D354" s="12">
        <v>11.5</v>
      </c>
      <c r="E354" s="12">
        <v>8.5499999999999989</v>
      </c>
      <c r="F354" s="12">
        <v>20</v>
      </c>
      <c r="G354" s="12">
        <v>8.5499999999999989</v>
      </c>
      <c r="H354" s="12">
        <v>6.6027420343137226</v>
      </c>
      <c r="I354" s="12" t="s">
        <v>73</v>
      </c>
      <c r="J354" s="6">
        <v>46297</v>
      </c>
      <c r="K354">
        <v>46297</v>
      </c>
      <c r="L354">
        <v>0.74347826086956514</v>
      </c>
      <c r="M354">
        <v>0.74347826086956514</v>
      </c>
      <c r="N354">
        <v>0.57415148124467152</v>
      </c>
      <c r="O354">
        <v>1.3450292397660821</v>
      </c>
      <c r="P354">
        <v>1.3450292397660821</v>
      </c>
      <c r="Q354">
        <v>0.77225053032909041</v>
      </c>
      <c r="R354">
        <v>1.2949165597514778</v>
      </c>
      <c r="S354">
        <v>1.2949165597514778</v>
      </c>
      <c r="T354">
        <v>1.7417006359230405</v>
      </c>
    </row>
    <row r="355" spans="1:20" x14ac:dyDescent="0.25">
      <c r="A355" s="12" t="s">
        <v>59</v>
      </c>
      <c r="B355" s="12" t="s">
        <v>148</v>
      </c>
      <c r="C355" s="12" t="s">
        <v>14</v>
      </c>
      <c r="D355" s="12">
        <v>0.58823529411764719</v>
      </c>
      <c r="E355" s="12">
        <v>6.6499999999999995</v>
      </c>
      <c r="F355" s="12">
        <v>20</v>
      </c>
      <c r="G355" s="12">
        <v>6.6499999999999995</v>
      </c>
      <c r="H355" s="12">
        <v>1.4915369088811996</v>
      </c>
      <c r="I355" s="12" t="s">
        <v>75</v>
      </c>
      <c r="J355" s="6">
        <v>46297</v>
      </c>
      <c r="K355">
        <v>46297</v>
      </c>
      <c r="L355">
        <v>11.304999999999996</v>
      </c>
      <c r="M355">
        <v>11.304999999999996</v>
      </c>
      <c r="N355">
        <v>2.5356127450980388</v>
      </c>
      <c r="O355">
        <v>8.8456435205661238E-2</v>
      </c>
      <c r="P355">
        <v>8.8456435205661238E-2</v>
      </c>
      <c r="Q355">
        <v>0.22429126449341349</v>
      </c>
      <c r="R355">
        <v>4.4584883956965964</v>
      </c>
      <c r="S355">
        <v>4.4584883956965964</v>
      </c>
      <c r="T355">
        <v>0.39438198988912848</v>
      </c>
    </row>
    <row r="356" spans="1:20" x14ac:dyDescent="0.25">
      <c r="A356" s="12" t="s">
        <v>59</v>
      </c>
      <c r="B356" s="12" t="s">
        <v>148</v>
      </c>
      <c r="C356" s="12" t="s">
        <v>14</v>
      </c>
      <c r="D356" s="12">
        <v>1.0588235294117647</v>
      </c>
      <c r="E356" s="12">
        <v>1.9</v>
      </c>
      <c r="F356" s="12">
        <v>20</v>
      </c>
      <c r="G356" s="12">
        <v>1.9</v>
      </c>
      <c r="H356" s="12">
        <v>0.66435986159169547</v>
      </c>
      <c r="I356" s="12" t="s">
        <v>78</v>
      </c>
      <c r="J356" s="6">
        <v>46298</v>
      </c>
      <c r="K356">
        <v>46298</v>
      </c>
      <c r="L356">
        <v>1.7944444444444443</v>
      </c>
      <c r="M356">
        <v>1.7944444444444443</v>
      </c>
      <c r="N356">
        <v>0.62745098039215685</v>
      </c>
      <c r="O356">
        <v>0.55727554179566563</v>
      </c>
      <c r="P356">
        <v>0.55727554179566563</v>
      </c>
      <c r="Q356">
        <v>0.34966308504826077</v>
      </c>
      <c r="R356">
        <v>2.8598958333333333</v>
      </c>
      <c r="S356">
        <v>2.8598958333333333</v>
      </c>
      <c r="T356">
        <v>1.59375</v>
      </c>
    </row>
    <row r="357" spans="1:20" x14ac:dyDescent="0.25">
      <c r="A357" s="12" t="s">
        <v>59</v>
      </c>
      <c r="B357" s="12" t="s">
        <v>148</v>
      </c>
      <c r="C357" s="12" t="s">
        <v>15</v>
      </c>
      <c r="D357" s="12">
        <v>0</v>
      </c>
      <c r="E357" s="12">
        <v>0</v>
      </c>
      <c r="F357" s="12">
        <v>20</v>
      </c>
      <c r="G357" s="12">
        <v>0</v>
      </c>
      <c r="H357" s="12">
        <v>0</v>
      </c>
      <c r="I357" s="12" t="s">
        <v>76</v>
      </c>
      <c r="J357" s="6">
        <v>46298</v>
      </c>
      <c r="K357">
        <v>46298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25">
      <c r="A358" s="12" t="s">
        <v>59</v>
      </c>
      <c r="B358" s="12" t="s">
        <v>148</v>
      </c>
      <c r="C358" s="12" t="s">
        <v>13</v>
      </c>
      <c r="D358" s="12">
        <v>4.9375</v>
      </c>
      <c r="E358" s="12">
        <v>1.9</v>
      </c>
      <c r="F358" s="12">
        <v>20</v>
      </c>
      <c r="G358" s="12">
        <v>1.9</v>
      </c>
      <c r="H358" s="12">
        <v>1.2941176470588236</v>
      </c>
      <c r="I358" s="12" t="s">
        <v>77</v>
      </c>
      <c r="J358" s="6">
        <v>46298</v>
      </c>
      <c r="K358">
        <v>46298</v>
      </c>
      <c r="L358">
        <v>0.38481012658227848</v>
      </c>
      <c r="M358">
        <v>0.38481012658227848</v>
      </c>
      <c r="N358">
        <v>0.26209977661950856</v>
      </c>
      <c r="O358">
        <v>2.5986842105263159</v>
      </c>
      <c r="P358">
        <v>2.5986842105263159</v>
      </c>
      <c r="Q358">
        <v>0.68111455108359142</v>
      </c>
      <c r="R358">
        <v>1.468181818181818</v>
      </c>
      <c r="S358">
        <v>1.468181818181818</v>
      </c>
      <c r="T358">
        <v>3.8153409090909087</v>
      </c>
    </row>
    <row r="359" spans="1:20" x14ac:dyDescent="0.25">
      <c r="A359" s="12" t="s">
        <v>59</v>
      </c>
      <c r="B359" s="12" t="s">
        <v>148</v>
      </c>
      <c r="C359" s="12" t="s">
        <v>13</v>
      </c>
      <c r="D359" s="12">
        <v>5.8749999999999991</v>
      </c>
      <c r="E359" s="12">
        <v>1.9</v>
      </c>
      <c r="F359" s="12">
        <v>20</v>
      </c>
      <c r="G359" s="12">
        <v>1.9</v>
      </c>
      <c r="H359" s="12">
        <v>1.7042738970588236</v>
      </c>
      <c r="I359" s="12" t="s">
        <v>79</v>
      </c>
      <c r="J359" s="6">
        <v>46299</v>
      </c>
      <c r="K359">
        <v>46299</v>
      </c>
      <c r="L359">
        <v>0.32340425531914896</v>
      </c>
      <c r="M359">
        <v>0.32340425531914896</v>
      </c>
      <c r="N359">
        <v>0.29008917396745937</v>
      </c>
      <c r="O359">
        <v>3.0921052631578942</v>
      </c>
      <c r="P359">
        <v>3.0921052631578942</v>
      </c>
      <c r="Q359">
        <v>0.89698626160990724</v>
      </c>
      <c r="R359">
        <v>1.114844276661723</v>
      </c>
      <c r="S359">
        <v>1.114844276661723</v>
      </c>
      <c r="T359">
        <v>3.4472158554671695</v>
      </c>
    </row>
    <row r="360" spans="1:20" x14ac:dyDescent="0.25">
      <c r="A360" s="12" t="s">
        <v>59</v>
      </c>
      <c r="B360" s="12" t="s">
        <v>148</v>
      </c>
      <c r="C360" s="12" t="s">
        <v>14</v>
      </c>
      <c r="D360" s="12">
        <v>1.0588235294117647</v>
      </c>
      <c r="E360" s="12">
        <v>1.9</v>
      </c>
      <c r="F360" s="12">
        <v>20</v>
      </c>
      <c r="G360" s="12">
        <v>1.9</v>
      </c>
      <c r="H360" s="12">
        <v>1.16068339100346</v>
      </c>
      <c r="I360" s="12" t="s">
        <v>80</v>
      </c>
      <c r="J360" s="6">
        <v>46299</v>
      </c>
      <c r="K360">
        <v>46299</v>
      </c>
      <c r="L360">
        <v>1.7944444444444443</v>
      </c>
      <c r="M360">
        <v>1.7944444444444443</v>
      </c>
      <c r="N360">
        <v>1.0962009803921566</v>
      </c>
      <c r="O360">
        <v>0.55727554179566563</v>
      </c>
      <c r="P360">
        <v>0.55727554179566563</v>
      </c>
      <c r="Q360">
        <v>0.610885995264979</v>
      </c>
      <c r="R360">
        <v>1.6369666480342839</v>
      </c>
      <c r="S360">
        <v>1.6369666480342839</v>
      </c>
      <c r="T360">
        <v>0.91224147568474023</v>
      </c>
    </row>
    <row r="361" spans="1:20" x14ac:dyDescent="0.25">
      <c r="A361" s="12" t="s">
        <v>59</v>
      </c>
      <c r="B361" s="12" t="s">
        <v>148</v>
      </c>
      <c r="C361" s="12" t="s">
        <v>15</v>
      </c>
      <c r="D361" s="12">
        <v>0</v>
      </c>
      <c r="E361" s="12">
        <v>0.95</v>
      </c>
      <c r="F361" s="12">
        <v>20</v>
      </c>
      <c r="G361" s="12">
        <v>0.95</v>
      </c>
      <c r="H361" s="12">
        <v>0</v>
      </c>
      <c r="I361" s="12" t="s">
        <v>81</v>
      </c>
      <c r="J361" s="6">
        <v>46299</v>
      </c>
      <c r="K361">
        <v>46299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25">
      <c r="A362" s="12" t="s">
        <v>59</v>
      </c>
      <c r="B362" s="12" t="s">
        <v>148</v>
      </c>
      <c r="C362" s="12" t="s">
        <v>15</v>
      </c>
      <c r="D362" s="12">
        <v>0</v>
      </c>
      <c r="E362" s="12">
        <v>6.6499999999999995</v>
      </c>
      <c r="F362" s="12">
        <v>20</v>
      </c>
      <c r="G362" s="12">
        <v>6.6499999999999995</v>
      </c>
      <c r="H362" s="12">
        <v>0</v>
      </c>
      <c r="I362" s="12" t="s">
        <v>82</v>
      </c>
      <c r="J362" s="6">
        <v>46300</v>
      </c>
      <c r="K362">
        <v>46300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25">
      <c r="A363" s="12" t="s">
        <v>59</v>
      </c>
      <c r="B363" s="12" t="s">
        <v>148</v>
      </c>
      <c r="C363" s="12" t="s">
        <v>13</v>
      </c>
      <c r="D363" s="12">
        <v>13.249999999999996</v>
      </c>
      <c r="E363" s="12">
        <v>7.6</v>
      </c>
      <c r="F363" s="12">
        <v>20</v>
      </c>
      <c r="G363" s="12">
        <v>7.6</v>
      </c>
      <c r="H363" s="12">
        <v>11.157919730392155</v>
      </c>
      <c r="I363" s="12" t="s">
        <v>84</v>
      </c>
      <c r="J363" s="6">
        <v>46300</v>
      </c>
      <c r="K363">
        <v>46300</v>
      </c>
      <c r="L363">
        <v>0.57358490566037745</v>
      </c>
      <c r="M363">
        <v>0.57358490566037745</v>
      </c>
      <c r="N363">
        <v>0.84210714946355913</v>
      </c>
      <c r="O363">
        <v>1.7434210526315785</v>
      </c>
      <c r="P363">
        <v>1.7434210526315785</v>
      </c>
      <c r="Q363">
        <v>1.4681473329463364</v>
      </c>
      <c r="R363">
        <v>0.68113054974745646</v>
      </c>
      <c r="S363">
        <v>0.68113054974745646</v>
      </c>
      <c r="T363">
        <v>1.1874973400202362</v>
      </c>
    </row>
    <row r="364" spans="1:20" x14ac:dyDescent="0.25">
      <c r="A364" s="12" t="s">
        <v>59</v>
      </c>
      <c r="B364" s="12" t="s">
        <v>148</v>
      </c>
      <c r="C364" s="12" t="s">
        <v>14</v>
      </c>
      <c r="D364" s="12">
        <v>0.58823529411764719</v>
      </c>
      <c r="E364" s="12">
        <v>7.6</v>
      </c>
      <c r="F364" s="12">
        <v>20</v>
      </c>
      <c r="G364" s="12">
        <v>7.6</v>
      </c>
      <c r="H364" s="12">
        <v>1.6575980392156859</v>
      </c>
      <c r="I364" s="12" t="s">
        <v>83</v>
      </c>
      <c r="J364" s="6">
        <v>46300</v>
      </c>
      <c r="K364">
        <v>46300</v>
      </c>
      <c r="L364">
        <v>12.919999999999996</v>
      </c>
      <c r="M364">
        <v>12.919999999999996</v>
      </c>
      <c r="N364">
        <v>2.8179166666666653</v>
      </c>
      <c r="O364">
        <v>7.739938080495358E-2</v>
      </c>
      <c r="P364">
        <v>7.739938080495358E-2</v>
      </c>
      <c r="Q364">
        <v>0.21810500515995868</v>
      </c>
      <c r="R364">
        <v>4.5849475085021449</v>
      </c>
      <c r="S364">
        <v>4.5849475085021449</v>
      </c>
      <c r="T364">
        <v>0.35487209818128063</v>
      </c>
    </row>
    <row r="365" spans="1:20" x14ac:dyDescent="0.25">
      <c r="A365" s="12" t="s">
        <v>59</v>
      </c>
      <c r="B365" s="12" t="s">
        <v>148</v>
      </c>
      <c r="C365" s="12" t="s">
        <v>15</v>
      </c>
      <c r="D365" s="12">
        <v>0</v>
      </c>
      <c r="E365" s="12">
        <v>5.6999999999999993</v>
      </c>
      <c r="F365" s="12">
        <v>20</v>
      </c>
      <c r="G365" s="12">
        <v>5.6999999999999993</v>
      </c>
      <c r="H365" s="12">
        <v>0</v>
      </c>
      <c r="I365" s="12" t="s">
        <v>86</v>
      </c>
      <c r="J365" s="6">
        <v>46301</v>
      </c>
      <c r="K365">
        <v>46301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25">
      <c r="A366" s="12" t="s">
        <v>59</v>
      </c>
      <c r="B366" s="12" t="s">
        <v>148</v>
      </c>
      <c r="C366" s="12" t="s">
        <v>13</v>
      </c>
      <c r="D366" s="12">
        <v>12.25</v>
      </c>
      <c r="E366" s="12">
        <v>8.5499999999999989</v>
      </c>
      <c r="F366" s="12">
        <v>20</v>
      </c>
      <c r="G366" s="12">
        <v>8.5499999999999989</v>
      </c>
      <c r="H366" s="12">
        <v>6.7464220063025193</v>
      </c>
      <c r="I366" s="12" t="s">
        <v>87</v>
      </c>
      <c r="J366" s="6">
        <v>46301</v>
      </c>
      <c r="K366">
        <v>46301</v>
      </c>
      <c r="L366">
        <v>0.69795918367346932</v>
      </c>
      <c r="M366">
        <v>0.69795918367346932</v>
      </c>
      <c r="N366">
        <v>0.55072832704510366</v>
      </c>
      <c r="O366">
        <v>1.432748538011696</v>
      </c>
      <c r="P366">
        <v>1.432748538011696</v>
      </c>
      <c r="Q366">
        <v>0.78905520541549945</v>
      </c>
      <c r="R366">
        <v>1.2673384487380976</v>
      </c>
      <c r="S366">
        <v>1.2673384487380976</v>
      </c>
      <c r="T366">
        <v>1.8157773095955201</v>
      </c>
    </row>
    <row r="367" spans="1:20" x14ac:dyDescent="0.25">
      <c r="A367" s="12" t="s">
        <v>59</v>
      </c>
      <c r="B367" s="12" t="s">
        <v>148</v>
      </c>
      <c r="C367" s="12" t="s">
        <v>14</v>
      </c>
      <c r="D367" s="12">
        <v>0.58823529411764719</v>
      </c>
      <c r="E367" s="12">
        <v>8.5499999999999989</v>
      </c>
      <c r="F367" s="12">
        <v>20</v>
      </c>
      <c r="G367" s="12">
        <v>8.5499999999999989</v>
      </c>
      <c r="H367" s="12">
        <v>1.7680734058329208</v>
      </c>
      <c r="I367" s="12" t="s">
        <v>85</v>
      </c>
      <c r="J367" s="6">
        <v>46301</v>
      </c>
      <c r="K367">
        <v>46301</v>
      </c>
      <c r="L367">
        <v>14.534999999999995</v>
      </c>
      <c r="M367">
        <v>14.534999999999995</v>
      </c>
      <c r="N367">
        <v>3.0057247899159649</v>
      </c>
      <c r="O367">
        <v>6.8799449604403193E-2</v>
      </c>
      <c r="P367">
        <v>6.8799449604403193E-2</v>
      </c>
      <c r="Q367">
        <v>0.20679221120852878</v>
      </c>
      <c r="R367">
        <v>4.8357720735990508</v>
      </c>
      <c r="S367">
        <v>4.8357720735990508</v>
      </c>
      <c r="T367">
        <v>0.33269845707595819</v>
      </c>
    </row>
    <row r="368" spans="1:20" x14ac:dyDescent="0.25">
      <c r="A368" s="12" t="s">
        <v>59</v>
      </c>
      <c r="B368" s="12" t="s">
        <v>148</v>
      </c>
      <c r="C368" s="12" t="s">
        <v>14</v>
      </c>
      <c r="D368" s="12">
        <v>0.58823529411764719</v>
      </c>
      <c r="E368" s="12">
        <v>7.6</v>
      </c>
      <c r="F368" s="12">
        <v>20</v>
      </c>
      <c r="G368" s="12">
        <v>7.6</v>
      </c>
      <c r="H368" s="12">
        <v>1.7129901960784313</v>
      </c>
      <c r="I368" s="12" t="s">
        <v>88</v>
      </c>
      <c r="J368" s="6">
        <v>46302</v>
      </c>
      <c r="K368">
        <v>46302</v>
      </c>
      <c r="L368">
        <v>12.919999999999996</v>
      </c>
      <c r="M368">
        <v>12.919999999999996</v>
      </c>
      <c r="N368">
        <v>2.9120833333333325</v>
      </c>
      <c r="O368">
        <v>7.739938080495358E-2</v>
      </c>
      <c r="P368">
        <v>7.739938080495358E-2</v>
      </c>
      <c r="Q368">
        <v>0.22539344685242518</v>
      </c>
      <c r="R368">
        <v>4.4366862212047504</v>
      </c>
      <c r="S368">
        <v>4.4366862212047504</v>
      </c>
      <c r="T368">
        <v>0.34339676634711697</v>
      </c>
    </row>
    <row r="369" spans="1:20" x14ac:dyDescent="0.25">
      <c r="A369" s="12" t="s">
        <v>59</v>
      </c>
      <c r="B369" s="12" t="s">
        <v>148</v>
      </c>
      <c r="C369" s="12" t="s">
        <v>15</v>
      </c>
      <c r="D369" s="12">
        <v>0</v>
      </c>
      <c r="E369" s="12">
        <v>5.6999999999999993</v>
      </c>
      <c r="F369" s="12">
        <v>20</v>
      </c>
      <c r="G369" s="12">
        <v>5.6999999999999993</v>
      </c>
      <c r="H369" s="12">
        <v>0</v>
      </c>
      <c r="I369" s="12" t="s">
        <v>89</v>
      </c>
      <c r="J369" s="6">
        <v>46302</v>
      </c>
      <c r="K369">
        <v>46302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25">
      <c r="A370" s="12" t="s">
        <v>59</v>
      </c>
      <c r="B370" s="12" t="s">
        <v>148</v>
      </c>
      <c r="C370" s="12" t="s">
        <v>13</v>
      </c>
      <c r="D370" s="12">
        <v>12.25</v>
      </c>
      <c r="E370" s="12">
        <v>7.6</v>
      </c>
      <c r="F370" s="12">
        <v>20</v>
      </c>
      <c r="G370" s="12">
        <v>7.6</v>
      </c>
      <c r="H370" s="12">
        <v>5.8674479166666682</v>
      </c>
      <c r="I370" s="12" t="s">
        <v>90</v>
      </c>
      <c r="J370" s="6">
        <v>46302</v>
      </c>
      <c r="K370">
        <v>46302</v>
      </c>
      <c r="L370">
        <v>0.62040816326530612</v>
      </c>
      <c r="M370">
        <v>0.62040816326530612</v>
      </c>
      <c r="N370">
        <v>0.47897534013605453</v>
      </c>
      <c r="O370">
        <v>1.611842105263158</v>
      </c>
      <c r="P370">
        <v>1.611842105263158</v>
      </c>
      <c r="Q370">
        <v>0.77203262061403533</v>
      </c>
      <c r="R370">
        <v>1.2952820558341835</v>
      </c>
      <c r="S370">
        <v>1.2952820558341835</v>
      </c>
      <c r="T370">
        <v>2.087790155785362</v>
      </c>
    </row>
    <row r="371" spans="1:20" x14ac:dyDescent="0.25">
      <c r="A371" s="12" t="s">
        <v>59</v>
      </c>
      <c r="B371" s="12" t="s">
        <v>148</v>
      </c>
      <c r="C371" s="12" t="s">
        <v>14</v>
      </c>
      <c r="D371" s="12">
        <v>0.58823529411764719</v>
      </c>
      <c r="E371" s="12">
        <v>8.5499999999999989</v>
      </c>
      <c r="F371" s="12">
        <v>20</v>
      </c>
      <c r="G371" s="12">
        <v>8.5499999999999989</v>
      </c>
      <c r="H371" s="12">
        <v>1.7684800200915276</v>
      </c>
      <c r="I371" s="12" t="s">
        <v>91</v>
      </c>
      <c r="J371" s="6">
        <v>46303</v>
      </c>
      <c r="K371">
        <v>46303</v>
      </c>
      <c r="L371">
        <v>14.534999999999995</v>
      </c>
      <c r="M371">
        <v>14.534999999999995</v>
      </c>
      <c r="N371">
        <v>3.0064160341555963</v>
      </c>
      <c r="O371">
        <v>6.8799449604403193E-2</v>
      </c>
      <c r="P371">
        <v>6.8799449604403193E-2</v>
      </c>
      <c r="Q371">
        <v>0.20683976843175764</v>
      </c>
      <c r="R371">
        <v>4.8346602183028873</v>
      </c>
      <c r="S371">
        <v>4.8346602183028873</v>
      </c>
      <c r="T371">
        <v>0.33262196204354239</v>
      </c>
    </row>
    <row r="372" spans="1:20" x14ac:dyDescent="0.25">
      <c r="A372" s="12" t="s">
        <v>59</v>
      </c>
      <c r="B372" s="12" t="s">
        <v>148</v>
      </c>
      <c r="C372" s="12" t="s">
        <v>15</v>
      </c>
      <c r="D372" s="12">
        <v>0</v>
      </c>
      <c r="E372" s="12">
        <v>5.6999999999999993</v>
      </c>
      <c r="F372" s="12">
        <v>20</v>
      </c>
      <c r="G372" s="12">
        <v>5.6999999999999993</v>
      </c>
      <c r="H372" s="12">
        <v>0</v>
      </c>
      <c r="I372" s="12" t="s">
        <v>92</v>
      </c>
      <c r="J372" s="6">
        <v>46303</v>
      </c>
      <c r="K372">
        <v>46303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25">
      <c r="A373" s="12" t="s">
        <v>59</v>
      </c>
      <c r="B373" s="12" t="s">
        <v>148</v>
      </c>
      <c r="C373" s="12" t="s">
        <v>13</v>
      </c>
      <c r="D373" s="12">
        <v>12.25</v>
      </c>
      <c r="E373" s="12">
        <v>8.5499999999999989</v>
      </c>
      <c r="F373" s="12">
        <v>20</v>
      </c>
      <c r="G373" s="12">
        <v>8.5499999999999989</v>
      </c>
      <c r="H373" s="12">
        <v>7.6875222367172658</v>
      </c>
      <c r="I373" s="12" t="s">
        <v>93</v>
      </c>
      <c r="J373" s="6">
        <v>46303</v>
      </c>
      <c r="K373">
        <v>46303</v>
      </c>
      <c r="L373">
        <v>0.69795918367346932</v>
      </c>
      <c r="M373">
        <v>0.69795918367346932</v>
      </c>
      <c r="N373">
        <v>0.627552835650389</v>
      </c>
      <c r="O373">
        <v>1.432748538011696</v>
      </c>
      <c r="P373">
        <v>1.432748538011696</v>
      </c>
      <c r="Q373">
        <v>0.89912540780318906</v>
      </c>
      <c r="R373">
        <v>1.1121919048459272</v>
      </c>
      <c r="S373">
        <v>1.1121919048459272</v>
      </c>
      <c r="T373">
        <v>1.5934913256564456</v>
      </c>
    </row>
    <row r="374" spans="1:20" x14ac:dyDescent="0.25">
      <c r="A374" s="12" t="s">
        <v>59</v>
      </c>
      <c r="B374" s="12" t="s">
        <v>148</v>
      </c>
      <c r="C374" s="12" t="s">
        <v>13</v>
      </c>
      <c r="D374" s="12">
        <v>11.5</v>
      </c>
      <c r="E374" s="12">
        <v>8.5499999999999989</v>
      </c>
      <c r="F374" s="12">
        <v>20</v>
      </c>
      <c r="G374" s="12">
        <v>8.5499999999999989</v>
      </c>
      <c r="H374" s="12">
        <v>6.6027420343137244</v>
      </c>
      <c r="I374" s="12" t="s">
        <v>95</v>
      </c>
      <c r="J374" s="6">
        <v>46304</v>
      </c>
      <c r="K374">
        <v>46304</v>
      </c>
      <c r="L374">
        <v>0.74347826086956514</v>
      </c>
      <c r="M374">
        <v>0.74347826086956514</v>
      </c>
      <c r="N374">
        <v>0.57415148124467164</v>
      </c>
      <c r="O374">
        <v>1.3450292397660821</v>
      </c>
      <c r="P374">
        <v>1.3450292397660821</v>
      </c>
      <c r="Q374">
        <v>0.77225053032909063</v>
      </c>
      <c r="R374">
        <v>1.2949165597514773</v>
      </c>
      <c r="S374">
        <v>1.2949165597514773</v>
      </c>
      <c r="T374">
        <v>1.7417006359230398</v>
      </c>
    </row>
    <row r="375" spans="1:20" x14ac:dyDescent="0.25">
      <c r="A375" s="12" t="s">
        <v>59</v>
      </c>
      <c r="B375" s="12" t="s">
        <v>148</v>
      </c>
      <c r="C375" s="12" t="s">
        <v>15</v>
      </c>
      <c r="D375" s="12">
        <v>0</v>
      </c>
      <c r="E375" s="12">
        <v>5.6999999999999993</v>
      </c>
      <c r="F375" s="12">
        <v>20</v>
      </c>
      <c r="G375" s="12">
        <v>5.6999999999999993</v>
      </c>
      <c r="H375" s="12">
        <v>0</v>
      </c>
      <c r="I375" s="12" t="s">
        <v>96</v>
      </c>
      <c r="J375" s="6">
        <v>46304</v>
      </c>
      <c r="K375">
        <v>46304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25">
      <c r="A376" s="12" t="s">
        <v>59</v>
      </c>
      <c r="B376" s="12" t="s">
        <v>148</v>
      </c>
      <c r="C376" s="12" t="s">
        <v>14</v>
      </c>
      <c r="D376" s="12">
        <v>0.58823529411764719</v>
      </c>
      <c r="E376" s="12">
        <v>6.6499999999999995</v>
      </c>
      <c r="F376" s="12">
        <v>20</v>
      </c>
      <c r="G376" s="12">
        <v>6.6499999999999995</v>
      </c>
      <c r="H376" s="12">
        <v>1.4915369088811996</v>
      </c>
      <c r="I376" s="12" t="s">
        <v>94</v>
      </c>
      <c r="J376" s="6">
        <v>46304</v>
      </c>
      <c r="K376">
        <v>46304</v>
      </c>
      <c r="L376">
        <v>11.304999999999996</v>
      </c>
      <c r="M376">
        <v>11.304999999999996</v>
      </c>
      <c r="N376">
        <v>2.5356127450980388</v>
      </c>
      <c r="O376">
        <v>8.8456435205661238E-2</v>
      </c>
      <c r="P376">
        <v>8.8456435205661238E-2</v>
      </c>
      <c r="Q376">
        <v>0.22429126449341349</v>
      </c>
      <c r="R376">
        <v>4.4584883956965964</v>
      </c>
      <c r="S376">
        <v>4.4584883956965964</v>
      </c>
      <c r="T376">
        <v>0.39438198988912848</v>
      </c>
    </row>
    <row r="377" spans="1:20" x14ac:dyDescent="0.25">
      <c r="A377" s="12" t="s">
        <v>59</v>
      </c>
      <c r="B377" s="12" t="s">
        <v>148</v>
      </c>
      <c r="C377" s="12" t="s">
        <v>13</v>
      </c>
      <c r="D377" s="12">
        <v>4.9375</v>
      </c>
      <c r="E377" s="12">
        <v>0.95</v>
      </c>
      <c r="F377" s="12">
        <v>20</v>
      </c>
      <c r="G377" s="12">
        <v>0.95</v>
      </c>
      <c r="H377" s="12">
        <v>0.35294117647058826</v>
      </c>
      <c r="I377" s="12" t="s">
        <v>98</v>
      </c>
      <c r="J377" s="6">
        <v>46305</v>
      </c>
      <c r="K377">
        <v>46305</v>
      </c>
      <c r="L377">
        <v>0.19240506329113924</v>
      </c>
      <c r="M377">
        <v>0.19240506329113924</v>
      </c>
      <c r="N377">
        <v>7.1481757259865983E-2</v>
      </c>
      <c r="O377">
        <v>5.1973684210526319</v>
      </c>
      <c r="P377">
        <v>5.1973684210526319</v>
      </c>
      <c r="Q377">
        <v>0.37151702786377711</v>
      </c>
      <c r="R377">
        <v>2.6916666666666664</v>
      </c>
      <c r="S377">
        <v>2.6916666666666664</v>
      </c>
      <c r="T377">
        <v>13.989583333333332</v>
      </c>
    </row>
    <row r="378" spans="1:20" x14ac:dyDescent="0.25">
      <c r="A378" s="12" t="s">
        <v>59</v>
      </c>
      <c r="B378" s="12" t="s">
        <v>148</v>
      </c>
      <c r="C378" s="12" t="s">
        <v>15</v>
      </c>
      <c r="D378" s="12">
        <v>0</v>
      </c>
      <c r="E378" s="12">
        <v>0</v>
      </c>
      <c r="F378" s="12">
        <v>20</v>
      </c>
      <c r="G378" s="12">
        <v>0</v>
      </c>
      <c r="H378" s="12">
        <v>0</v>
      </c>
      <c r="I378" s="12" t="s">
        <v>99</v>
      </c>
      <c r="J378" s="6">
        <v>46305</v>
      </c>
      <c r="K378">
        <v>46305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25">
      <c r="A379" s="12" t="s">
        <v>59</v>
      </c>
      <c r="B379" s="12" t="s">
        <v>148</v>
      </c>
      <c r="C379" s="12" t="s">
        <v>14</v>
      </c>
      <c r="D379" s="12">
        <v>1.0588235294117647</v>
      </c>
      <c r="E379" s="12">
        <v>0.95</v>
      </c>
      <c r="F379" s="12">
        <v>20</v>
      </c>
      <c r="G379" s="12">
        <v>0.95</v>
      </c>
      <c r="H379" s="12">
        <v>0.60899653979238755</v>
      </c>
      <c r="I379" s="12" t="s">
        <v>97</v>
      </c>
      <c r="J379" s="6">
        <v>46305</v>
      </c>
      <c r="K379">
        <v>46305</v>
      </c>
      <c r="L379">
        <v>0.89722222222222214</v>
      </c>
      <c r="M379">
        <v>0.89722222222222214</v>
      </c>
      <c r="N379">
        <v>0.57516339869281041</v>
      </c>
      <c r="O379">
        <v>1.1145510835913313</v>
      </c>
      <c r="P379">
        <v>1.1145510835913313</v>
      </c>
      <c r="Q379">
        <v>0.64104898925514486</v>
      </c>
      <c r="R379">
        <v>1.5599431818181817</v>
      </c>
      <c r="S379">
        <v>1.5599431818181817</v>
      </c>
      <c r="T379">
        <v>1.7386363636363635</v>
      </c>
    </row>
    <row r="380" spans="1:20" x14ac:dyDescent="0.25">
      <c r="A380" s="12" t="s">
        <v>59</v>
      </c>
      <c r="B380" s="12" t="s">
        <v>148</v>
      </c>
      <c r="C380" s="12" t="s">
        <v>14</v>
      </c>
      <c r="D380" s="12">
        <v>1.0588235294117647</v>
      </c>
      <c r="E380" s="12">
        <v>1.9</v>
      </c>
      <c r="F380" s="12">
        <v>20</v>
      </c>
      <c r="G380" s="12">
        <v>1.9</v>
      </c>
      <c r="H380" s="12">
        <v>1.1053200692041525</v>
      </c>
      <c r="I380" s="12" t="s">
        <v>100</v>
      </c>
      <c r="J380" s="6">
        <v>46306</v>
      </c>
      <c r="K380">
        <v>46306</v>
      </c>
      <c r="L380">
        <v>1.7944444444444443</v>
      </c>
      <c r="M380">
        <v>1.7944444444444443</v>
      </c>
      <c r="N380">
        <v>1.0439133986928106</v>
      </c>
      <c r="O380">
        <v>0.55727554179566563</v>
      </c>
      <c r="P380">
        <v>0.55727554179566563</v>
      </c>
      <c r="Q380">
        <v>0.58174740484429077</v>
      </c>
      <c r="R380">
        <v>1.718959107806691</v>
      </c>
      <c r="S380">
        <v>1.718959107806691</v>
      </c>
      <c r="T380">
        <v>0.95793386812756776</v>
      </c>
    </row>
    <row r="381" spans="1:20" x14ac:dyDescent="0.25">
      <c r="A381" s="12" t="s">
        <v>59</v>
      </c>
      <c r="B381" s="12" t="s">
        <v>148</v>
      </c>
      <c r="C381" s="12" t="s">
        <v>13</v>
      </c>
      <c r="D381" s="12">
        <v>5.8749999999999991</v>
      </c>
      <c r="E381" s="12">
        <v>1.9</v>
      </c>
      <c r="F381" s="12">
        <v>20</v>
      </c>
      <c r="G381" s="12">
        <v>1.9</v>
      </c>
      <c r="H381" s="12">
        <v>0.76309742647058831</v>
      </c>
      <c r="I381" s="12" t="s">
        <v>102</v>
      </c>
      <c r="J381" s="6">
        <v>46306</v>
      </c>
      <c r="K381">
        <v>46306</v>
      </c>
      <c r="L381">
        <v>0.32340425531914896</v>
      </c>
      <c r="M381">
        <v>0.32340425531914896</v>
      </c>
      <c r="N381">
        <v>0.12988892365456825</v>
      </c>
      <c r="O381">
        <v>3.0921052631578942</v>
      </c>
      <c r="P381">
        <v>3.0921052631578942</v>
      </c>
      <c r="Q381">
        <v>0.4016302244582044</v>
      </c>
      <c r="R381">
        <v>2.4898524540800961</v>
      </c>
      <c r="S381">
        <v>2.4898524540800961</v>
      </c>
      <c r="T381">
        <v>7.6988858777476645</v>
      </c>
    </row>
    <row r="382" spans="1:20" x14ac:dyDescent="0.25">
      <c r="A382" s="12" t="s">
        <v>59</v>
      </c>
      <c r="B382" s="12" t="s">
        <v>148</v>
      </c>
      <c r="C382" s="12" t="s">
        <v>15</v>
      </c>
      <c r="D382" s="12">
        <v>0</v>
      </c>
      <c r="E382" s="12">
        <v>1.9</v>
      </c>
      <c r="F382" s="12">
        <v>20</v>
      </c>
      <c r="G382" s="12">
        <v>1.9</v>
      </c>
      <c r="H382" s="12">
        <v>0</v>
      </c>
      <c r="I382" s="12" t="s">
        <v>101</v>
      </c>
      <c r="J382" s="6">
        <v>46306</v>
      </c>
      <c r="K382">
        <v>46306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25">
      <c r="A383" s="12" t="s">
        <v>59</v>
      </c>
      <c r="B383" s="12" t="s">
        <v>148</v>
      </c>
      <c r="C383" s="12" t="s">
        <v>14</v>
      </c>
      <c r="D383" s="12">
        <v>0.58823529411764719</v>
      </c>
      <c r="E383" s="12">
        <v>7.6</v>
      </c>
      <c r="F383" s="12">
        <v>20</v>
      </c>
      <c r="G383" s="12">
        <v>7.6</v>
      </c>
      <c r="H383" s="12">
        <v>1.7129613610149936</v>
      </c>
      <c r="I383" s="12" t="s">
        <v>103</v>
      </c>
      <c r="J383" s="6">
        <v>46307</v>
      </c>
      <c r="K383">
        <v>46307</v>
      </c>
      <c r="L383">
        <v>12.919999999999996</v>
      </c>
      <c r="M383">
        <v>12.919999999999996</v>
      </c>
      <c r="N383">
        <v>2.9120343137254885</v>
      </c>
      <c r="O383">
        <v>7.739938080495358E-2</v>
      </c>
      <c r="P383">
        <v>7.739938080495358E-2</v>
      </c>
      <c r="Q383">
        <v>0.22538965276513076</v>
      </c>
      <c r="R383">
        <v>4.4367609059767208</v>
      </c>
      <c r="S383">
        <v>4.4367609059767208</v>
      </c>
      <c r="T383">
        <v>0.34340254690222305</v>
      </c>
    </row>
    <row r="384" spans="1:20" x14ac:dyDescent="0.25">
      <c r="A384" s="12" t="s">
        <v>59</v>
      </c>
      <c r="B384" s="12" t="s">
        <v>148</v>
      </c>
      <c r="C384" s="12" t="s">
        <v>13</v>
      </c>
      <c r="D384" s="12">
        <v>13.249999999999996</v>
      </c>
      <c r="E384" s="12">
        <v>7.6</v>
      </c>
      <c r="F384" s="12">
        <v>20</v>
      </c>
      <c r="G384" s="12">
        <v>7.6</v>
      </c>
      <c r="H384" s="12">
        <v>12.099096200980393</v>
      </c>
      <c r="I384" s="12" t="s">
        <v>105</v>
      </c>
      <c r="J384" s="6">
        <v>46307</v>
      </c>
      <c r="K384">
        <v>46307</v>
      </c>
      <c r="L384">
        <v>0.57358490566037745</v>
      </c>
      <c r="M384">
        <v>0.57358490566037745</v>
      </c>
      <c r="N384">
        <v>0.91313933592304874</v>
      </c>
      <c r="O384">
        <v>1.7434210526315785</v>
      </c>
      <c r="P384">
        <v>1.7434210526315785</v>
      </c>
      <c r="Q384">
        <v>1.5919863422342622</v>
      </c>
      <c r="R384">
        <v>0.6281460923820219</v>
      </c>
      <c r="S384">
        <v>0.6281460923820219</v>
      </c>
      <c r="T384">
        <v>1.0951231215870774</v>
      </c>
    </row>
    <row r="385" spans="1:20" x14ac:dyDescent="0.25">
      <c r="A385" s="12" t="s">
        <v>59</v>
      </c>
      <c r="B385" s="12" t="s">
        <v>148</v>
      </c>
      <c r="C385" s="12" t="s">
        <v>15</v>
      </c>
      <c r="D385" s="12">
        <v>0</v>
      </c>
      <c r="E385" s="12">
        <v>5.6999999999999993</v>
      </c>
      <c r="F385" s="12">
        <v>20</v>
      </c>
      <c r="G385" s="12">
        <v>5.6999999999999993</v>
      </c>
      <c r="H385" s="12">
        <v>0</v>
      </c>
      <c r="I385" s="12" t="s">
        <v>104</v>
      </c>
      <c r="J385" s="6">
        <v>46307</v>
      </c>
      <c r="K385">
        <v>46307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25">
      <c r="A386" s="12" t="s">
        <v>59</v>
      </c>
      <c r="B386" s="12" t="s">
        <v>148</v>
      </c>
      <c r="C386" s="12" t="s">
        <v>14</v>
      </c>
      <c r="D386" s="12">
        <v>0.58823529411764719</v>
      </c>
      <c r="E386" s="12">
        <v>8.5499999999999989</v>
      </c>
      <c r="F386" s="12">
        <v>20</v>
      </c>
      <c r="G386" s="12">
        <v>8.5499999999999989</v>
      </c>
      <c r="H386" s="12">
        <v>1.7680734058329213</v>
      </c>
      <c r="I386" s="12" t="s">
        <v>107</v>
      </c>
      <c r="J386" s="6">
        <v>46308</v>
      </c>
      <c r="K386">
        <v>46308</v>
      </c>
      <c r="L386">
        <v>14.534999999999995</v>
      </c>
      <c r="M386">
        <v>14.534999999999995</v>
      </c>
      <c r="N386">
        <v>3.0057247899159654</v>
      </c>
      <c r="O386">
        <v>6.8799449604403193E-2</v>
      </c>
      <c r="P386">
        <v>6.8799449604403193E-2</v>
      </c>
      <c r="Q386">
        <v>0.20679221120852884</v>
      </c>
      <c r="R386">
        <v>4.835772073599049</v>
      </c>
      <c r="S386">
        <v>4.835772073599049</v>
      </c>
      <c r="T386">
        <v>0.33269845707595808</v>
      </c>
    </row>
    <row r="387" spans="1:20" x14ac:dyDescent="0.25">
      <c r="A387" s="12" t="s">
        <v>59</v>
      </c>
      <c r="B387" s="12" t="s">
        <v>148</v>
      </c>
      <c r="C387" s="12" t="s">
        <v>15</v>
      </c>
      <c r="D387" s="12">
        <v>0</v>
      </c>
      <c r="E387" s="12">
        <v>4.75</v>
      </c>
      <c r="F387" s="12">
        <v>20</v>
      </c>
      <c r="G387" s="12">
        <v>4.75</v>
      </c>
      <c r="H387" s="12">
        <v>0</v>
      </c>
      <c r="I387" s="12" t="s">
        <v>106</v>
      </c>
      <c r="J387" s="6">
        <v>46308</v>
      </c>
      <c r="K387">
        <v>46308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25">
      <c r="A388" s="12" t="s">
        <v>59</v>
      </c>
      <c r="B388" s="12" t="s">
        <v>148</v>
      </c>
      <c r="C388" s="12" t="s">
        <v>13</v>
      </c>
      <c r="D388" s="12">
        <v>12.25</v>
      </c>
      <c r="E388" s="12">
        <v>8.5499999999999989</v>
      </c>
      <c r="F388" s="12">
        <v>20</v>
      </c>
      <c r="G388" s="12">
        <v>8.5499999999999989</v>
      </c>
      <c r="H388" s="12">
        <v>6.7464220063025193</v>
      </c>
      <c r="I388" s="12" t="s">
        <v>108</v>
      </c>
      <c r="J388" s="6">
        <v>46308</v>
      </c>
      <c r="K388">
        <v>46308</v>
      </c>
      <c r="L388">
        <v>0.69795918367346932</v>
      </c>
      <c r="M388">
        <v>0.69795918367346932</v>
      </c>
      <c r="N388">
        <v>0.55072832704510366</v>
      </c>
      <c r="O388">
        <v>1.432748538011696</v>
      </c>
      <c r="P388">
        <v>1.432748538011696</v>
      </c>
      <c r="Q388">
        <v>0.78905520541549945</v>
      </c>
      <c r="R388">
        <v>1.2673384487380976</v>
      </c>
      <c r="S388">
        <v>1.2673384487380976</v>
      </c>
      <c r="T388">
        <v>1.8157773095955201</v>
      </c>
    </row>
    <row r="389" spans="1:20" x14ac:dyDescent="0.25">
      <c r="A389" s="12" t="s">
        <v>59</v>
      </c>
      <c r="B389" s="12" t="s">
        <v>148</v>
      </c>
      <c r="C389" s="12" t="s">
        <v>14</v>
      </c>
      <c r="D389" s="12">
        <v>0.58823529411764719</v>
      </c>
      <c r="E389" s="12">
        <v>9.5</v>
      </c>
      <c r="F389" s="12">
        <v>20</v>
      </c>
      <c r="G389" s="12">
        <v>9.5</v>
      </c>
      <c r="H389" s="12">
        <v>1.8229753666172344</v>
      </c>
      <c r="I389" s="12" t="s">
        <v>110</v>
      </c>
      <c r="J389" s="6">
        <v>46309</v>
      </c>
      <c r="K389">
        <v>46309</v>
      </c>
      <c r="L389">
        <v>16.149999999999995</v>
      </c>
      <c r="M389">
        <v>16.149999999999995</v>
      </c>
      <c r="N389">
        <v>3.0990581232492977</v>
      </c>
      <c r="O389">
        <v>6.1919504643962862E-2</v>
      </c>
      <c r="P389">
        <v>6.1919504643962862E-2</v>
      </c>
      <c r="Q389">
        <v>0.19189214385444572</v>
      </c>
      <c r="R389">
        <v>5.2112607630175898</v>
      </c>
      <c r="S389">
        <v>5.2112607630175898</v>
      </c>
      <c r="T389">
        <v>0.3226786850165691</v>
      </c>
    </row>
    <row r="390" spans="1:20" x14ac:dyDescent="0.25">
      <c r="A390" s="12" t="s">
        <v>59</v>
      </c>
      <c r="B390" s="12" t="s">
        <v>148</v>
      </c>
      <c r="C390" s="12" t="s">
        <v>15</v>
      </c>
      <c r="D390" s="12">
        <v>0</v>
      </c>
      <c r="E390" s="12">
        <v>6.6499999999999995</v>
      </c>
      <c r="F390" s="12">
        <v>20</v>
      </c>
      <c r="G390" s="12">
        <v>6.6499999999999995</v>
      </c>
      <c r="H390" s="12">
        <v>0</v>
      </c>
      <c r="I390" s="12" t="s">
        <v>109</v>
      </c>
      <c r="J390" s="6">
        <v>46309</v>
      </c>
      <c r="K390">
        <v>46309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25">
      <c r="A391" s="12" t="s">
        <v>59</v>
      </c>
      <c r="B391" s="12" t="s">
        <v>148</v>
      </c>
      <c r="C391" s="12" t="s">
        <v>13</v>
      </c>
      <c r="D391" s="12">
        <v>12.25</v>
      </c>
      <c r="E391" s="12">
        <v>9.5</v>
      </c>
      <c r="F391" s="12">
        <v>20</v>
      </c>
      <c r="G391" s="12">
        <v>9.5</v>
      </c>
      <c r="H391" s="12">
        <v>7.5630886729691884</v>
      </c>
      <c r="I391" s="12" t="s">
        <v>111</v>
      </c>
      <c r="J391" s="6">
        <v>46309</v>
      </c>
      <c r="K391">
        <v>46309</v>
      </c>
      <c r="L391">
        <v>0.77551020408163263</v>
      </c>
      <c r="M391">
        <v>0.77551020408163263</v>
      </c>
      <c r="N391">
        <v>0.61739499371177053</v>
      </c>
      <c r="O391">
        <v>1.2894736842105263</v>
      </c>
      <c r="P391">
        <v>1.2894736842105263</v>
      </c>
      <c r="Q391">
        <v>0.79611459715465138</v>
      </c>
      <c r="R391">
        <v>1.2561005709153481</v>
      </c>
      <c r="S391">
        <v>1.2561005709153481</v>
      </c>
      <c r="T391">
        <v>1.6197086309171593</v>
      </c>
    </row>
    <row r="392" spans="1:20" x14ac:dyDescent="0.25">
      <c r="A392" s="12" t="s">
        <v>59</v>
      </c>
      <c r="B392" s="12" t="s">
        <v>148</v>
      </c>
      <c r="C392" s="12" t="s">
        <v>14</v>
      </c>
      <c r="D392" s="12">
        <v>0.58823529411764719</v>
      </c>
      <c r="E392" s="12">
        <v>7.6</v>
      </c>
      <c r="F392" s="12">
        <v>20</v>
      </c>
      <c r="G392" s="12">
        <v>7.6</v>
      </c>
      <c r="H392" s="12">
        <v>1.7129901960784313</v>
      </c>
      <c r="I392" s="12" t="s">
        <v>113</v>
      </c>
      <c r="J392" s="6">
        <v>46310</v>
      </c>
      <c r="K392">
        <v>46310</v>
      </c>
      <c r="L392">
        <v>12.919999999999996</v>
      </c>
      <c r="M392">
        <v>12.919999999999996</v>
      </c>
      <c r="N392">
        <v>2.9120833333333325</v>
      </c>
      <c r="O392">
        <v>7.739938080495358E-2</v>
      </c>
      <c r="P392">
        <v>7.739938080495358E-2</v>
      </c>
      <c r="Q392">
        <v>0.22539344685242518</v>
      </c>
      <c r="R392">
        <v>4.4366862212047504</v>
      </c>
      <c r="S392">
        <v>4.4366862212047504</v>
      </c>
      <c r="T392">
        <v>0.34339676634711697</v>
      </c>
    </row>
    <row r="393" spans="1:20" x14ac:dyDescent="0.25">
      <c r="A393" s="12" t="s">
        <v>59</v>
      </c>
      <c r="B393" s="12" t="s">
        <v>148</v>
      </c>
      <c r="C393" s="12" t="s">
        <v>15</v>
      </c>
      <c r="D393" s="12">
        <v>0</v>
      </c>
      <c r="E393" s="12">
        <v>6.6499999999999995</v>
      </c>
      <c r="F393" s="12">
        <v>20</v>
      </c>
      <c r="G393" s="12">
        <v>6.6499999999999995</v>
      </c>
      <c r="H393" s="12">
        <v>0</v>
      </c>
      <c r="I393" s="12" t="s">
        <v>112</v>
      </c>
      <c r="J393" s="6">
        <v>46310</v>
      </c>
      <c r="K393">
        <v>46310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25">
      <c r="A394" s="12" t="s">
        <v>59</v>
      </c>
      <c r="B394" s="12" t="s">
        <v>148</v>
      </c>
      <c r="C394" s="12" t="s">
        <v>13</v>
      </c>
      <c r="D394" s="12">
        <v>12.25</v>
      </c>
      <c r="E394" s="12">
        <v>7.6</v>
      </c>
      <c r="F394" s="12">
        <v>20</v>
      </c>
      <c r="G394" s="12">
        <v>7.6</v>
      </c>
      <c r="H394" s="12">
        <v>5.8674479166666682</v>
      </c>
      <c r="I394" s="12" t="s">
        <v>114</v>
      </c>
      <c r="J394" s="6">
        <v>46310</v>
      </c>
      <c r="K394">
        <v>46310</v>
      </c>
      <c r="L394">
        <v>0.62040816326530612</v>
      </c>
      <c r="M394">
        <v>0.62040816326530612</v>
      </c>
      <c r="N394">
        <v>0.47897534013605453</v>
      </c>
      <c r="O394">
        <v>1.611842105263158</v>
      </c>
      <c r="P394">
        <v>1.611842105263158</v>
      </c>
      <c r="Q394">
        <v>0.77203262061403533</v>
      </c>
      <c r="R394">
        <v>1.2952820558341835</v>
      </c>
      <c r="S394">
        <v>1.2952820558341835</v>
      </c>
      <c r="T394">
        <v>2.087790155785362</v>
      </c>
    </row>
    <row r="395" spans="1:20" x14ac:dyDescent="0.25">
      <c r="A395" s="12" t="s">
        <v>59</v>
      </c>
      <c r="B395" s="12" t="s">
        <v>148</v>
      </c>
      <c r="C395" s="12" t="s">
        <v>14</v>
      </c>
      <c r="D395" s="12">
        <v>0.58823529411764719</v>
      </c>
      <c r="E395" s="12">
        <v>6.6499999999999995</v>
      </c>
      <c r="F395" s="12">
        <v>20</v>
      </c>
      <c r="G395" s="12">
        <v>6.6499999999999995</v>
      </c>
      <c r="H395" s="12">
        <v>1.4915369088811996</v>
      </c>
      <c r="I395" s="12" t="s">
        <v>116</v>
      </c>
      <c r="J395" s="6">
        <v>46311</v>
      </c>
      <c r="K395">
        <v>46311</v>
      </c>
      <c r="L395">
        <v>11.304999999999996</v>
      </c>
      <c r="M395">
        <v>11.304999999999996</v>
      </c>
      <c r="N395">
        <v>2.5356127450980388</v>
      </c>
      <c r="O395">
        <v>8.8456435205661238E-2</v>
      </c>
      <c r="P395">
        <v>8.8456435205661238E-2</v>
      </c>
      <c r="Q395">
        <v>0.22429126449341349</v>
      </c>
      <c r="R395">
        <v>4.4584883956965964</v>
      </c>
      <c r="S395">
        <v>4.4584883956965964</v>
      </c>
      <c r="T395">
        <v>0.39438198988912848</v>
      </c>
    </row>
    <row r="396" spans="1:20" x14ac:dyDescent="0.25">
      <c r="A396" s="12" t="s">
        <v>59</v>
      </c>
      <c r="B396" s="12" t="s">
        <v>148</v>
      </c>
      <c r="C396" s="12" t="s">
        <v>15</v>
      </c>
      <c r="D396" s="12">
        <v>0</v>
      </c>
      <c r="E396" s="12">
        <v>5.6999999999999993</v>
      </c>
      <c r="F396" s="12">
        <v>20</v>
      </c>
      <c r="G396" s="12">
        <v>5.6999999999999993</v>
      </c>
      <c r="H396" s="12">
        <v>0</v>
      </c>
      <c r="I396" s="12" t="s">
        <v>117</v>
      </c>
      <c r="J396" s="6">
        <v>46311</v>
      </c>
      <c r="K396">
        <v>46311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25">
      <c r="A397" s="12" t="s">
        <v>59</v>
      </c>
      <c r="B397" s="12" t="s">
        <v>148</v>
      </c>
      <c r="C397" s="12" t="s">
        <v>13</v>
      </c>
      <c r="D397" s="12">
        <v>11.5</v>
      </c>
      <c r="E397" s="12">
        <v>8.5499999999999989</v>
      </c>
      <c r="F397" s="12">
        <v>20</v>
      </c>
      <c r="G397" s="12">
        <v>8.5499999999999989</v>
      </c>
      <c r="H397" s="12">
        <v>6.6027420343137226</v>
      </c>
      <c r="I397" s="12" t="s">
        <v>115</v>
      </c>
      <c r="J397" s="6">
        <v>46311</v>
      </c>
      <c r="K397">
        <v>46311</v>
      </c>
      <c r="L397">
        <v>0.74347826086956514</v>
      </c>
      <c r="M397">
        <v>0.74347826086956514</v>
      </c>
      <c r="N397">
        <v>0.57415148124467152</v>
      </c>
      <c r="O397">
        <v>1.3450292397660821</v>
      </c>
      <c r="P397">
        <v>1.3450292397660821</v>
      </c>
      <c r="Q397">
        <v>0.77225053032909041</v>
      </c>
      <c r="R397">
        <v>1.2949165597514778</v>
      </c>
      <c r="S397">
        <v>1.2949165597514778</v>
      </c>
      <c r="T397">
        <v>1.7417006359230405</v>
      </c>
    </row>
    <row r="398" spans="1:20" x14ac:dyDescent="0.25">
      <c r="A398" s="12" t="s">
        <v>59</v>
      </c>
      <c r="B398" s="12" t="s">
        <v>148</v>
      </c>
      <c r="C398" s="12" t="s">
        <v>14</v>
      </c>
      <c r="D398" s="12">
        <v>1.0588235294117647</v>
      </c>
      <c r="E398" s="12">
        <v>1.9</v>
      </c>
      <c r="F398" s="12">
        <v>20</v>
      </c>
      <c r="G398" s="12">
        <v>1.9</v>
      </c>
      <c r="H398" s="12">
        <v>0.66435986159169547</v>
      </c>
      <c r="I398" s="12" t="s">
        <v>118</v>
      </c>
      <c r="J398" s="6">
        <v>46312</v>
      </c>
      <c r="K398">
        <v>46312</v>
      </c>
      <c r="L398">
        <v>1.7944444444444443</v>
      </c>
      <c r="M398">
        <v>1.7944444444444443</v>
      </c>
      <c r="N398">
        <v>0.62745098039215685</v>
      </c>
      <c r="O398">
        <v>0.55727554179566563</v>
      </c>
      <c r="P398">
        <v>0.55727554179566563</v>
      </c>
      <c r="Q398">
        <v>0.34966308504826077</v>
      </c>
      <c r="R398">
        <v>2.8598958333333333</v>
      </c>
      <c r="S398">
        <v>2.8598958333333333</v>
      </c>
      <c r="T398">
        <v>1.59375</v>
      </c>
    </row>
    <row r="399" spans="1:20" x14ac:dyDescent="0.25">
      <c r="A399" s="12" t="s">
        <v>59</v>
      </c>
      <c r="B399" s="12" t="s">
        <v>148</v>
      </c>
      <c r="C399" s="12" t="s">
        <v>13</v>
      </c>
      <c r="D399" s="12">
        <v>4.9375</v>
      </c>
      <c r="E399" s="12">
        <v>1.9</v>
      </c>
      <c r="F399" s="12">
        <v>20</v>
      </c>
      <c r="G399" s="12">
        <v>1.9</v>
      </c>
      <c r="H399" s="12">
        <v>1.2941176470588236</v>
      </c>
      <c r="I399" s="12" t="s">
        <v>119</v>
      </c>
      <c r="J399" s="6">
        <v>46312</v>
      </c>
      <c r="K399">
        <v>46312</v>
      </c>
      <c r="L399">
        <v>0.38481012658227848</v>
      </c>
      <c r="M399">
        <v>0.38481012658227848</v>
      </c>
      <c r="N399">
        <v>0.26209977661950856</v>
      </c>
      <c r="O399">
        <v>2.5986842105263159</v>
      </c>
      <c r="P399">
        <v>2.5986842105263159</v>
      </c>
      <c r="Q399">
        <v>0.68111455108359142</v>
      </c>
      <c r="R399">
        <v>1.468181818181818</v>
      </c>
      <c r="S399">
        <v>1.468181818181818</v>
      </c>
      <c r="T399">
        <v>3.8153409090909087</v>
      </c>
    </row>
    <row r="400" spans="1:20" x14ac:dyDescent="0.25">
      <c r="A400" s="12" t="s">
        <v>59</v>
      </c>
      <c r="B400" s="12" t="s">
        <v>148</v>
      </c>
      <c r="C400" s="12" t="s">
        <v>15</v>
      </c>
      <c r="D400" s="12">
        <v>0</v>
      </c>
      <c r="E400" s="12">
        <v>0</v>
      </c>
      <c r="F400" s="12">
        <v>20</v>
      </c>
      <c r="G400" s="12">
        <v>0</v>
      </c>
      <c r="H400" s="12">
        <v>0</v>
      </c>
      <c r="I400" s="12" t="s">
        <v>120</v>
      </c>
      <c r="J400" s="6">
        <v>46312</v>
      </c>
      <c r="K400">
        <v>46312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25">
      <c r="A401" s="12" t="s">
        <v>59</v>
      </c>
      <c r="B401" s="12" t="s">
        <v>148</v>
      </c>
      <c r="C401" s="12" t="s">
        <v>13</v>
      </c>
      <c r="D401" s="12">
        <v>5.8749999999999991</v>
      </c>
      <c r="E401" s="12">
        <v>2.8499999999999996</v>
      </c>
      <c r="F401" s="12">
        <v>20</v>
      </c>
      <c r="G401" s="12">
        <v>2.8499999999999996</v>
      </c>
      <c r="H401" s="12">
        <v>1.7042738970588236</v>
      </c>
      <c r="I401" s="12" t="s">
        <v>121</v>
      </c>
      <c r="J401" s="6">
        <v>46313</v>
      </c>
      <c r="K401">
        <v>46313</v>
      </c>
      <c r="L401">
        <v>0.48510638297872344</v>
      </c>
      <c r="M401">
        <v>0.48510638297872344</v>
      </c>
      <c r="N401">
        <v>0.29008917396745937</v>
      </c>
      <c r="O401">
        <v>2.0614035087719298</v>
      </c>
      <c r="P401">
        <v>2.0614035087719298</v>
      </c>
      <c r="Q401">
        <v>0.5979908410732715</v>
      </c>
      <c r="R401">
        <v>1.6722664149925843</v>
      </c>
      <c r="S401">
        <v>1.6722664149925843</v>
      </c>
      <c r="T401">
        <v>3.4472158554671695</v>
      </c>
    </row>
    <row r="402" spans="1:20" x14ac:dyDescent="0.25">
      <c r="A402" s="12" t="s">
        <v>59</v>
      </c>
      <c r="B402" s="12" t="s">
        <v>148</v>
      </c>
      <c r="C402" s="12" t="s">
        <v>14</v>
      </c>
      <c r="D402" s="12">
        <v>1.0588235294117647</v>
      </c>
      <c r="E402" s="12">
        <v>2.8499999999999996</v>
      </c>
      <c r="F402" s="12">
        <v>20</v>
      </c>
      <c r="G402" s="12">
        <v>2.8499999999999996</v>
      </c>
      <c r="H402" s="12">
        <v>1.16068339100346</v>
      </c>
      <c r="I402" s="12" t="s">
        <v>123</v>
      </c>
      <c r="J402" s="6">
        <v>46313</v>
      </c>
      <c r="K402">
        <v>46313</v>
      </c>
      <c r="L402">
        <v>2.6916666666666664</v>
      </c>
      <c r="M402">
        <v>2.6916666666666664</v>
      </c>
      <c r="N402">
        <v>1.0962009803921566</v>
      </c>
      <c r="O402">
        <v>0.37151702786377716</v>
      </c>
      <c r="P402">
        <v>0.37151702786377716</v>
      </c>
      <c r="Q402">
        <v>0.40725733017665267</v>
      </c>
      <c r="R402">
        <v>2.4554499720514258</v>
      </c>
      <c r="S402">
        <v>2.4554499720514258</v>
      </c>
      <c r="T402">
        <v>0.91224147568474023</v>
      </c>
    </row>
    <row r="403" spans="1:20" x14ac:dyDescent="0.25">
      <c r="A403" s="12" t="s">
        <v>59</v>
      </c>
      <c r="B403" s="12" t="s">
        <v>148</v>
      </c>
      <c r="C403" s="12" t="s">
        <v>15</v>
      </c>
      <c r="D403" s="12">
        <v>0</v>
      </c>
      <c r="E403" s="12">
        <v>1.9</v>
      </c>
      <c r="F403" s="12">
        <v>20</v>
      </c>
      <c r="G403" s="12">
        <v>1.9</v>
      </c>
      <c r="H403" s="12">
        <v>0</v>
      </c>
      <c r="I403" s="12" t="s">
        <v>122</v>
      </c>
      <c r="J403" s="6">
        <v>46313</v>
      </c>
      <c r="K403">
        <v>46313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25">
      <c r="A404" s="12" t="s">
        <v>59</v>
      </c>
      <c r="B404" s="12" t="s">
        <v>148</v>
      </c>
      <c r="C404" s="12" t="s">
        <v>15</v>
      </c>
      <c r="D404" s="12">
        <v>0</v>
      </c>
      <c r="E404" s="12">
        <v>6.6499999999999995</v>
      </c>
      <c r="F404" s="12">
        <v>20</v>
      </c>
      <c r="G404" s="12">
        <v>6.6499999999999995</v>
      </c>
      <c r="H404" s="12">
        <v>0</v>
      </c>
      <c r="I404" s="12" t="s">
        <v>125</v>
      </c>
      <c r="J404" s="6">
        <v>46314</v>
      </c>
      <c r="K404">
        <v>46314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25">
      <c r="A405" s="12" t="s">
        <v>59</v>
      </c>
      <c r="B405" s="12" t="s">
        <v>148</v>
      </c>
      <c r="C405" s="12" t="s">
        <v>13</v>
      </c>
      <c r="D405" s="12">
        <v>13.249999999999996</v>
      </c>
      <c r="E405" s="12">
        <v>7.6</v>
      </c>
      <c r="F405" s="12">
        <v>20</v>
      </c>
      <c r="G405" s="12">
        <v>7.6</v>
      </c>
      <c r="H405" s="12">
        <v>8.5108609068627441</v>
      </c>
      <c r="I405" s="12" t="s">
        <v>126</v>
      </c>
      <c r="J405" s="6">
        <v>46314</v>
      </c>
      <c r="K405">
        <v>46314</v>
      </c>
      <c r="L405">
        <v>0.57358490566037745</v>
      </c>
      <c r="M405">
        <v>0.57358490566037745</v>
      </c>
      <c r="N405">
        <v>0.64232912504624506</v>
      </c>
      <c r="O405">
        <v>1.7434210526315785</v>
      </c>
      <c r="P405">
        <v>1.7434210526315785</v>
      </c>
      <c r="Q405">
        <v>1.1198501193240453</v>
      </c>
      <c r="R405">
        <v>0.89297664280610312</v>
      </c>
      <c r="S405">
        <v>0.89297664280610312</v>
      </c>
      <c r="T405">
        <v>1.5568342785764295</v>
      </c>
    </row>
    <row r="406" spans="1:20" x14ac:dyDescent="0.25">
      <c r="A406" s="12" t="s">
        <v>59</v>
      </c>
      <c r="B406" s="12" t="s">
        <v>148</v>
      </c>
      <c r="C406" s="12" t="s">
        <v>14</v>
      </c>
      <c r="D406" s="12">
        <v>0.58823529411764719</v>
      </c>
      <c r="E406" s="12">
        <v>7.6</v>
      </c>
      <c r="F406" s="12">
        <v>20</v>
      </c>
      <c r="G406" s="12">
        <v>7.6</v>
      </c>
      <c r="H406" s="12">
        <v>1.6575980392156859</v>
      </c>
      <c r="I406" s="12" t="s">
        <v>124</v>
      </c>
      <c r="J406" s="6">
        <v>46314</v>
      </c>
      <c r="K406">
        <v>46314</v>
      </c>
      <c r="L406">
        <v>12.919999999999996</v>
      </c>
      <c r="M406">
        <v>12.919999999999996</v>
      </c>
      <c r="N406">
        <v>2.8179166666666653</v>
      </c>
      <c r="O406">
        <v>7.739938080495358E-2</v>
      </c>
      <c r="P406">
        <v>7.739938080495358E-2</v>
      </c>
      <c r="Q406">
        <v>0.21810500515995868</v>
      </c>
      <c r="R406">
        <v>4.5849475085021449</v>
      </c>
      <c r="S406">
        <v>4.5849475085021449</v>
      </c>
      <c r="T406">
        <v>0.35487209818128063</v>
      </c>
    </row>
    <row r="407" spans="1:20" x14ac:dyDescent="0.25">
      <c r="A407" s="12" t="s">
        <v>59</v>
      </c>
      <c r="B407" s="12" t="s">
        <v>148</v>
      </c>
      <c r="C407" s="12" t="s">
        <v>13</v>
      </c>
      <c r="D407" s="12">
        <v>12.25</v>
      </c>
      <c r="E407" s="12">
        <v>8.5499999999999989</v>
      </c>
      <c r="F407" s="12">
        <v>20</v>
      </c>
      <c r="G407" s="12">
        <v>8.5499999999999989</v>
      </c>
      <c r="H407" s="12">
        <v>6.7464220063025193</v>
      </c>
      <c r="I407" s="12" t="s">
        <v>127</v>
      </c>
      <c r="J407" s="6">
        <v>46315</v>
      </c>
      <c r="K407">
        <v>46315</v>
      </c>
      <c r="L407">
        <v>0.69795918367346932</v>
      </c>
      <c r="M407">
        <v>0.69795918367346932</v>
      </c>
      <c r="N407">
        <v>0.55072832704510366</v>
      </c>
      <c r="O407">
        <v>1.432748538011696</v>
      </c>
      <c r="P407">
        <v>1.432748538011696</v>
      </c>
      <c r="Q407">
        <v>0.78905520541549945</v>
      </c>
      <c r="R407">
        <v>1.2673384487380976</v>
      </c>
      <c r="S407">
        <v>1.2673384487380976</v>
      </c>
      <c r="T407">
        <v>1.8157773095955201</v>
      </c>
    </row>
    <row r="408" spans="1:20" x14ac:dyDescent="0.25">
      <c r="A408" s="12" t="s">
        <v>59</v>
      </c>
      <c r="B408" s="12" t="s">
        <v>148</v>
      </c>
      <c r="C408" s="12" t="s">
        <v>15</v>
      </c>
      <c r="D408" s="12">
        <v>0</v>
      </c>
      <c r="E408" s="12">
        <v>5.6999999999999993</v>
      </c>
      <c r="F408" s="12">
        <v>20</v>
      </c>
      <c r="G408" s="12">
        <v>5.6999999999999993</v>
      </c>
      <c r="H408" s="12">
        <v>0</v>
      </c>
      <c r="I408" s="12" t="s">
        <v>128</v>
      </c>
      <c r="J408" s="6">
        <v>46315</v>
      </c>
      <c r="K408">
        <v>46315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25">
      <c r="A409" s="12" t="s">
        <v>59</v>
      </c>
      <c r="B409" s="12" t="s">
        <v>148</v>
      </c>
      <c r="C409" s="12" t="s">
        <v>14</v>
      </c>
      <c r="D409" s="12">
        <v>0.58823529411764719</v>
      </c>
      <c r="E409" s="12">
        <v>8.5499999999999989</v>
      </c>
      <c r="F409" s="12">
        <v>20</v>
      </c>
      <c r="G409" s="12">
        <v>8.5499999999999989</v>
      </c>
      <c r="H409" s="12">
        <v>1.7680734058329213</v>
      </c>
      <c r="I409" s="12" t="s">
        <v>129</v>
      </c>
      <c r="J409" s="6">
        <v>46315</v>
      </c>
      <c r="K409">
        <v>46315</v>
      </c>
      <c r="L409">
        <v>14.534999999999995</v>
      </c>
      <c r="M409">
        <v>14.534999999999995</v>
      </c>
      <c r="N409">
        <v>3.0057247899159654</v>
      </c>
      <c r="O409">
        <v>6.8799449604403193E-2</v>
      </c>
      <c r="P409">
        <v>6.8799449604403193E-2</v>
      </c>
      <c r="Q409">
        <v>0.20679221120852884</v>
      </c>
      <c r="R409">
        <v>4.835772073599049</v>
      </c>
      <c r="S409">
        <v>4.835772073599049</v>
      </c>
      <c r="T409">
        <v>0.33269845707595808</v>
      </c>
    </row>
    <row r="410" spans="1:20" x14ac:dyDescent="0.25">
      <c r="A410" s="12" t="s">
        <v>59</v>
      </c>
      <c r="B410" s="12" t="s">
        <v>148</v>
      </c>
      <c r="C410" s="12" t="s">
        <v>15</v>
      </c>
      <c r="D410" s="12">
        <v>0</v>
      </c>
      <c r="E410" s="12">
        <v>5.6999999999999993</v>
      </c>
      <c r="F410" s="12">
        <v>20</v>
      </c>
      <c r="G410" s="12">
        <v>5.6999999999999993</v>
      </c>
      <c r="H410" s="12">
        <v>0</v>
      </c>
      <c r="I410" s="12" t="s">
        <v>131</v>
      </c>
      <c r="J410" s="6">
        <v>46316</v>
      </c>
      <c r="K410">
        <v>46316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25">
      <c r="A411" s="12" t="s">
        <v>59</v>
      </c>
      <c r="B411" s="12" t="s">
        <v>148</v>
      </c>
      <c r="C411" s="12" t="s">
        <v>14</v>
      </c>
      <c r="D411" s="12">
        <v>0.58823529411764719</v>
      </c>
      <c r="E411" s="12">
        <v>7.6</v>
      </c>
      <c r="F411" s="12">
        <v>20</v>
      </c>
      <c r="G411" s="12">
        <v>7.6</v>
      </c>
      <c r="H411" s="12">
        <v>1.7129901960784313</v>
      </c>
      <c r="I411" s="12" t="s">
        <v>130</v>
      </c>
      <c r="J411" s="6">
        <v>46316</v>
      </c>
      <c r="K411">
        <v>46316</v>
      </c>
      <c r="L411">
        <v>12.919999999999996</v>
      </c>
      <c r="M411">
        <v>12.919999999999996</v>
      </c>
      <c r="N411">
        <v>2.9120833333333325</v>
      </c>
      <c r="O411">
        <v>7.739938080495358E-2</v>
      </c>
      <c r="P411">
        <v>7.739938080495358E-2</v>
      </c>
      <c r="Q411">
        <v>0.22539344685242518</v>
      </c>
      <c r="R411">
        <v>4.4366862212047504</v>
      </c>
      <c r="S411">
        <v>4.4366862212047504</v>
      </c>
      <c r="T411">
        <v>0.34339676634711697</v>
      </c>
    </row>
    <row r="412" spans="1:20" x14ac:dyDescent="0.25">
      <c r="A412" s="12" t="s">
        <v>59</v>
      </c>
      <c r="B412" s="12" t="s">
        <v>148</v>
      </c>
      <c r="C412" s="12" t="s">
        <v>13</v>
      </c>
      <c r="D412" s="12">
        <v>12.25</v>
      </c>
      <c r="E412" s="12">
        <v>7.6</v>
      </c>
      <c r="F412" s="12">
        <v>20</v>
      </c>
      <c r="G412" s="12">
        <v>7.6</v>
      </c>
      <c r="H412" s="12">
        <v>5.8674479166666682</v>
      </c>
      <c r="I412" s="12" t="s">
        <v>132</v>
      </c>
      <c r="J412" s="6">
        <v>46316</v>
      </c>
      <c r="K412">
        <v>46316</v>
      </c>
      <c r="L412">
        <v>0.62040816326530612</v>
      </c>
      <c r="M412">
        <v>0.62040816326530612</v>
      </c>
      <c r="N412">
        <v>0.47897534013605453</v>
      </c>
      <c r="O412">
        <v>1.611842105263158</v>
      </c>
      <c r="P412">
        <v>1.611842105263158</v>
      </c>
      <c r="Q412">
        <v>0.77203262061403533</v>
      </c>
      <c r="R412">
        <v>1.2952820558341835</v>
      </c>
      <c r="S412">
        <v>1.2952820558341835</v>
      </c>
      <c r="T412">
        <v>2.087790155785362</v>
      </c>
    </row>
    <row r="413" spans="1:20" x14ac:dyDescent="0.25">
      <c r="A413" s="12" t="s">
        <v>59</v>
      </c>
      <c r="B413" s="12" t="s">
        <v>148</v>
      </c>
      <c r="C413" s="12" t="s">
        <v>15</v>
      </c>
      <c r="D413" s="12">
        <v>0</v>
      </c>
      <c r="E413" s="12">
        <v>6.6499999999999995</v>
      </c>
      <c r="F413" s="12">
        <v>20</v>
      </c>
      <c r="G413" s="12">
        <v>6.6499999999999995</v>
      </c>
      <c r="H413" s="12">
        <v>0</v>
      </c>
      <c r="I413" s="12" t="s">
        <v>134</v>
      </c>
      <c r="J413" s="6">
        <v>46317</v>
      </c>
      <c r="K413">
        <v>46317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25">
      <c r="A414" s="12" t="s">
        <v>59</v>
      </c>
      <c r="B414" s="12" t="s">
        <v>148</v>
      </c>
      <c r="C414" s="12" t="s">
        <v>14</v>
      </c>
      <c r="D414" s="12">
        <v>0.58823529411764719</v>
      </c>
      <c r="E414" s="12">
        <v>8.5499999999999989</v>
      </c>
      <c r="F414" s="12">
        <v>20</v>
      </c>
      <c r="G414" s="12">
        <v>8.5499999999999989</v>
      </c>
      <c r="H414" s="12">
        <v>1.7684800200915278</v>
      </c>
      <c r="I414" s="12" t="s">
        <v>135</v>
      </c>
      <c r="J414" s="6">
        <v>46317</v>
      </c>
      <c r="K414">
        <v>46317</v>
      </c>
      <c r="L414">
        <v>14.534999999999995</v>
      </c>
      <c r="M414">
        <v>14.534999999999995</v>
      </c>
      <c r="N414">
        <v>3.0064160341555968</v>
      </c>
      <c r="O414">
        <v>6.8799449604403193E-2</v>
      </c>
      <c r="P414">
        <v>6.8799449604403193E-2</v>
      </c>
      <c r="Q414">
        <v>0.20683976843175766</v>
      </c>
      <c r="R414">
        <v>4.8346602183028864</v>
      </c>
      <c r="S414">
        <v>4.8346602183028864</v>
      </c>
      <c r="T414">
        <v>0.33262196204354233</v>
      </c>
    </row>
    <row r="415" spans="1:20" x14ac:dyDescent="0.25">
      <c r="A415" s="12" t="s">
        <v>59</v>
      </c>
      <c r="B415" s="12" t="s">
        <v>148</v>
      </c>
      <c r="C415" s="12" t="s">
        <v>13</v>
      </c>
      <c r="D415" s="12">
        <v>12.25</v>
      </c>
      <c r="E415" s="12">
        <v>8.5499999999999989</v>
      </c>
      <c r="F415" s="12">
        <v>20</v>
      </c>
      <c r="G415" s="12">
        <v>8.5499999999999989</v>
      </c>
      <c r="H415" s="12">
        <v>7.6875222367172675</v>
      </c>
      <c r="I415" s="12" t="s">
        <v>133</v>
      </c>
      <c r="J415" s="6">
        <v>46317</v>
      </c>
      <c r="K415">
        <v>46317</v>
      </c>
      <c r="L415">
        <v>0.69795918367346932</v>
      </c>
      <c r="M415">
        <v>0.69795918367346932</v>
      </c>
      <c r="N415">
        <v>0.62755283565038922</v>
      </c>
      <c r="O415">
        <v>1.432748538011696</v>
      </c>
      <c r="P415">
        <v>1.432748538011696</v>
      </c>
      <c r="Q415">
        <v>0.89912540780318928</v>
      </c>
      <c r="R415">
        <v>1.112191904845927</v>
      </c>
      <c r="S415">
        <v>1.112191904845927</v>
      </c>
      <c r="T415">
        <v>1.5934913256564454</v>
      </c>
    </row>
    <row r="416" spans="1:20" x14ac:dyDescent="0.25">
      <c r="A416" s="12" t="s">
        <v>59</v>
      </c>
      <c r="B416" s="12" t="s">
        <v>148</v>
      </c>
      <c r="C416" s="12" t="s">
        <v>13</v>
      </c>
      <c r="D416" s="12">
        <v>11.5</v>
      </c>
      <c r="E416" s="12">
        <v>8.5499999999999989</v>
      </c>
      <c r="F416" s="12">
        <v>20</v>
      </c>
      <c r="G416" s="12">
        <v>8.5499999999999989</v>
      </c>
      <c r="H416" s="12">
        <v>6.6027420343137244</v>
      </c>
      <c r="I416" s="12" t="s">
        <v>136</v>
      </c>
      <c r="J416" s="6">
        <v>46318</v>
      </c>
      <c r="K416">
        <v>46318</v>
      </c>
      <c r="L416">
        <v>0.74347826086956514</v>
      </c>
      <c r="M416">
        <v>0.74347826086956514</v>
      </c>
      <c r="N416">
        <v>0.57415148124467164</v>
      </c>
      <c r="O416">
        <v>1.3450292397660821</v>
      </c>
      <c r="P416">
        <v>1.3450292397660821</v>
      </c>
      <c r="Q416">
        <v>0.77225053032909063</v>
      </c>
      <c r="R416">
        <v>1.2949165597514773</v>
      </c>
      <c r="S416">
        <v>1.2949165597514773</v>
      </c>
      <c r="T416">
        <v>1.7417006359230398</v>
      </c>
    </row>
    <row r="417" spans="1:20" x14ac:dyDescent="0.25">
      <c r="A417" s="12" t="s">
        <v>59</v>
      </c>
      <c r="B417" s="12" t="s">
        <v>148</v>
      </c>
      <c r="C417" s="12" t="s">
        <v>15</v>
      </c>
      <c r="D417" s="12">
        <v>0</v>
      </c>
      <c r="E417" s="12">
        <v>5.6999999999999993</v>
      </c>
      <c r="F417" s="12">
        <v>20</v>
      </c>
      <c r="G417" s="12">
        <v>5.6999999999999993</v>
      </c>
      <c r="H417" s="12">
        <v>0</v>
      </c>
      <c r="I417" s="12" t="s">
        <v>137</v>
      </c>
      <c r="J417" s="6">
        <v>46318</v>
      </c>
      <c r="K417">
        <v>46318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25">
      <c r="A418" s="12" t="s">
        <v>59</v>
      </c>
      <c r="B418" s="12" t="s">
        <v>148</v>
      </c>
      <c r="C418" s="12" t="s">
        <v>14</v>
      </c>
      <c r="D418" s="12">
        <v>0.58823529411764719</v>
      </c>
      <c r="E418" s="12">
        <v>6.6499999999999995</v>
      </c>
      <c r="F418" s="12">
        <v>20</v>
      </c>
      <c r="G418" s="12">
        <v>6.6499999999999995</v>
      </c>
      <c r="H418" s="12">
        <v>1.4915369088811996</v>
      </c>
      <c r="I418" s="12" t="s">
        <v>138</v>
      </c>
      <c r="J418" s="6">
        <v>46318</v>
      </c>
      <c r="K418">
        <v>46318</v>
      </c>
      <c r="L418">
        <v>11.304999999999996</v>
      </c>
      <c r="M418">
        <v>11.304999999999996</v>
      </c>
      <c r="N418">
        <v>2.5356127450980388</v>
      </c>
      <c r="O418">
        <v>8.8456435205661238E-2</v>
      </c>
      <c r="P418">
        <v>8.8456435205661238E-2</v>
      </c>
      <c r="Q418">
        <v>0.22429126449341349</v>
      </c>
      <c r="R418">
        <v>4.4584883956965964</v>
      </c>
      <c r="S418">
        <v>4.4584883956965964</v>
      </c>
      <c r="T418">
        <v>0.39438198988912848</v>
      </c>
    </row>
    <row r="419" spans="1:20" x14ac:dyDescent="0.25">
      <c r="A419" s="12" t="s">
        <v>59</v>
      </c>
      <c r="B419" s="12" t="s">
        <v>148</v>
      </c>
      <c r="C419" s="12" t="s">
        <v>14</v>
      </c>
      <c r="D419" s="12">
        <v>1.0588235294117647</v>
      </c>
      <c r="E419" s="12">
        <v>0.95</v>
      </c>
      <c r="F419" s="12">
        <v>20</v>
      </c>
      <c r="G419" s="12">
        <v>0.95</v>
      </c>
      <c r="H419" s="12">
        <v>0.60899653979238744</v>
      </c>
      <c r="I419" s="12" t="s">
        <v>140</v>
      </c>
      <c r="J419" s="6">
        <v>46319</v>
      </c>
      <c r="K419">
        <v>46319</v>
      </c>
      <c r="L419">
        <v>0.89722222222222214</v>
      </c>
      <c r="M419">
        <v>0.89722222222222214</v>
      </c>
      <c r="N419">
        <v>0.5751633986928103</v>
      </c>
      <c r="O419">
        <v>1.1145510835913313</v>
      </c>
      <c r="P419">
        <v>1.1145510835913313</v>
      </c>
      <c r="Q419">
        <v>0.64104898925514475</v>
      </c>
      <c r="R419">
        <v>1.5599431818181819</v>
      </c>
      <c r="S419">
        <v>1.5599431818181819</v>
      </c>
      <c r="T419">
        <v>1.738636363636364</v>
      </c>
    </row>
    <row r="420" spans="1:20" x14ac:dyDescent="0.25">
      <c r="A420" s="12" t="s">
        <v>59</v>
      </c>
      <c r="B420" s="12" t="s">
        <v>148</v>
      </c>
      <c r="C420" s="12" t="s">
        <v>15</v>
      </c>
      <c r="D420" s="12">
        <v>0</v>
      </c>
      <c r="E420" s="12">
        <v>0.95</v>
      </c>
      <c r="F420" s="12">
        <v>20</v>
      </c>
      <c r="G420" s="12">
        <v>0.95</v>
      </c>
      <c r="H420" s="12">
        <v>0</v>
      </c>
      <c r="I420" s="12" t="s">
        <v>139</v>
      </c>
      <c r="J420" s="6">
        <v>46319</v>
      </c>
      <c r="K420">
        <v>46319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25">
      <c r="A421" s="12" t="s">
        <v>59</v>
      </c>
      <c r="B421" s="12" t="s">
        <v>148</v>
      </c>
      <c r="C421" s="12" t="s">
        <v>13</v>
      </c>
      <c r="D421" s="12">
        <v>4.9375</v>
      </c>
      <c r="E421" s="12">
        <v>0.95</v>
      </c>
      <c r="F421" s="12">
        <v>20</v>
      </c>
      <c r="G421" s="12">
        <v>0.95</v>
      </c>
      <c r="H421" s="12">
        <v>0.35294117647058826</v>
      </c>
      <c r="I421" s="12" t="s">
        <v>141</v>
      </c>
      <c r="J421" s="6">
        <v>46319</v>
      </c>
      <c r="K421">
        <v>46319</v>
      </c>
      <c r="L421">
        <v>0.19240506329113924</v>
      </c>
      <c r="M421">
        <v>0.19240506329113924</v>
      </c>
      <c r="N421">
        <v>7.1481757259865983E-2</v>
      </c>
      <c r="O421">
        <v>5.1973684210526319</v>
      </c>
      <c r="P421">
        <v>5.1973684210526319</v>
      </c>
      <c r="Q421">
        <v>0.37151702786377711</v>
      </c>
      <c r="R421">
        <v>2.6916666666666664</v>
      </c>
      <c r="S421">
        <v>2.6916666666666664</v>
      </c>
      <c r="T421">
        <v>13.989583333333332</v>
      </c>
    </row>
    <row r="422" spans="1:20" x14ac:dyDescent="0.25">
      <c r="A422" s="12" t="s">
        <v>59</v>
      </c>
      <c r="B422" s="12" t="s">
        <v>148</v>
      </c>
      <c r="C422" s="12" t="s">
        <v>14</v>
      </c>
      <c r="D422" s="12">
        <v>1.0588235294117647</v>
      </c>
      <c r="E422" s="12">
        <v>1.9</v>
      </c>
      <c r="F422" s="12">
        <v>20</v>
      </c>
      <c r="G422" s="12">
        <v>1.9</v>
      </c>
      <c r="H422" s="12">
        <v>1.105320069204152</v>
      </c>
      <c r="I422" s="12" t="s">
        <v>143</v>
      </c>
      <c r="J422" s="6">
        <v>46320</v>
      </c>
      <c r="K422">
        <v>46320</v>
      </c>
      <c r="L422">
        <v>1.7944444444444443</v>
      </c>
      <c r="M422">
        <v>1.7944444444444443</v>
      </c>
      <c r="N422">
        <v>1.0439133986928102</v>
      </c>
      <c r="O422">
        <v>0.55727554179566563</v>
      </c>
      <c r="P422">
        <v>0.55727554179566563</v>
      </c>
      <c r="Q422">
        <v>0.58174740484429055</v>
      </c>
      <c r="R422">
        <v>1.7189591078066917</v>
      </c>
      <c r="S422">
        <v>1.7189591078066917</v>
      </c>
      <c r="T422">
        <v>0.9579338681275682</v>
      </c>
    </row>
    <row r="423" spans="1:20" x14ac:dyDescent="0.25">
      <c r="A423" s="12" t="s">
        <v>59</v>
      </c>
      <c r="B423" s="12" t="s">
        <v>148</v>
      </c>
      <c r="C423" s="12" t="s">
        <v>15</v>
      </c>
      <c r="D423" s="12">
        <v>0</v>
      </c>
      <c r="E423" s="12">
        <v>1.9</v>
      </c>
      <c r="F423" s="12">
        <v>20</v>
      </c>
      <c r="G423" s="12">
        <v>1.9</v>
      </c>
      <c r="H423" s="12">
        <v>0</v>
      </c>
      <c r="I423" s="12" t="s">
        <v>142</v>
      </c>
      <c r="J423" s="6">
        <v>46320</v>
      </c>
      <c r="K423">
        <v>46320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 x14ac:dyDescent="0.25">
      <c r="A424" s="12" t="s">
        <v>59</v>
      </c>
      <c r="B424" s="12" t="s">
        <v>148</v>
      </c>
      <c r="C424" s="12" t="s">
        <v>13</v>
      </c>
      <c r="D424" s="12">
        <v>5.8749999999999991</v>
      </c>
      <c r="E424" s="12">
        <v>1.9</v>
      </c>
      <c r="F424" s="12">
        <v>20</v>
      </c>
      <c r="G424" s="12">
        <v>1.9</v>
      </c>
      <c r="H424" s="12">
        <v>0.76309742647058831</v>
      </c>
      <c r="I424" s="12" t="s">
        <v>144</v>
      </c>
      <c r="J424" s="6">
        <v>46320</v>
      </c>
      <c r="K424">
        <v>46320</v>
      </c>
      <c r="L424">
        <v>0.32340425531914896</v>
      </c>
      <c r="M424">
        <v>0.32340425531914896</v>
      </c>
      <c r="N424">
        <v>0.12988892365456825</v>
      </c>
      <c r="O424">
        <v>3.0921052631578942</v>
      </c>
      <c r="P424">
        <v>3.0921052631578942</v>
      </c>
      <c r="Q424">
        <v>0.4016302244582044</v>
      </c>
      <c r="R424">
        <v>2.4898524540800961</v>
      </c>
      <c r="S424">
        <v>2.4898524540800961</v>
      </c>
      <c r="T424">
        <v>7.6988858777476645</v>
      </c>
    </row>
    <row r="425" spans="1:20" x14ac:dyDescent="0.25">
      <c r="A425" s="12" t="s">
        <v>59</v>
      </c>
      <c r="B425" s="12" t="s">
        <v>148</v>
      </c>
      <c r="C425" s="12" t="s">
        <v>14</v>
      </c>
      <c r="D425" s="12">
        <v>0.58823529411764719</v>
      </c>
      <c r="E425" s="12">
        <v>8.5499999999999989</v>
      </c>
      <c r="F425" s="12">
        <v>20</v>
      </c>
      <c r="G425" s="12">
        <v>8.5499999999999989</v>
      </c>
      <c r="H425" s="12">
        <v>1.7129613610149941</v>
      </c>
      <c r="I425" s="12" t="s">
        <v>145</v>
      </c>
      <c r="J425" s="6">
        <v>46321</v>
      </c>
      <c r="K425">
        <v>46321</v>
      </c>
      <c r="L425">
        <v>14.534999999999995</v>
      </c>
      <c r="M425">
        <v>14.534999999999995</v>
      </c>
      <c r="N425">
        <v>2.9120343137254894</v>
      </c>
      <c r="O425">
        <v>6.8799449604403193E-2</v>
      </c>
      <c r="P425">
        <v>6.8799449604403193E-2</v>
      </c>
      <c r="Q425">
        <v>0.20034635801344963</v>
      </c>
      <c r="R425">
        <v>4.9913560192238089</v>
      </c>
      <c r="S425">
        <v>4.9913560192238089</v>
      </c>
      <c r="T425">
        <v>0.34340254690222294</v>
      </c>
    </row>
    <row r="426" spans="1:20" x14ac:dyDescent="0.25">
      <c r="A426" s="12" t="s">
        <v>59</v>
      </c>
      <c r="B426" s="12" t="s">
        <v>148</v>
      </c>
      <c r="C426" s="12" t="s">
        <v>15</v>
      </c>
      <c r="D426" s="12">
        <v>0</v>
      </c>
      <c r="E426" s="12">
        <v>6.6499999999999995</v>
      </c>
      <c r="F426" s="12">
        <v>20</v>
      </c>
      <c r="G426" s="12">
        <v>6.6499999999999995</v>
      </c>
      <c r="H426" s="12">
        <v>0</v>
      </c>
      <c r="I426" s="12" t="s">
        <v>147</v>
      </c>
      <c r="J426" s="6">
        <v>46321</v>
      </c>
      <c r="K426">
        <v>46321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25">
      <c r="A427" s="12" t="s">
        <v>59</v>
      </c>
      <c r="B427" s="12" t="s">
        <v>148</v>
      </c>
      <c r="C427" s="12" t="s">
        <v>13</v>
      </c>
      <c r="D427" s="12">
        <v>13.249999999999996</v>
      </c>
      <c r="E427" s="12">
        <v>8.5499999999999989</v>
      </c>
      <c r="F427" s="12">
        <v>20</v>
      </c>
      <c r="G427" s="12">
        <v>8.5499999999999989</v>
      </c>
      <c r="H427" s="12">
        <v>12.099096200980393</v>
      </c>
      <c r="I427" s="12" t="s">
        <v>146</v>
      </c>
      <c r="J427" s="6">
        <v>46321</v>
      </c>
      <c r="K427">
        <v>46321</v>
      </c>
      <c r="L427">
        <v>0.64528301886792461</v>
      </c>
      <c r="M427">
        <v>0.64528301886792461</v>
      </c>
      <c r="N427">
        <v>0.91313933592304874</v>
      </c>
      <c r="O427">
        <v>1.5497076023391811</v>
      </c>
      <c r="P427">
        <v>1.5497076023391811</v>
      </c>
      <c r="Q427">
        <v>1.4150989708749</v>
      </c>
      <c r="R427">
        <v>0.70666435392977456</v>
      </c>
      <c r="S427">
        <v>0.70666435392977456</v>
      </c>
      <c r="T427">
        <v>1.0951231215870774</v>
      </c>
    </row>
    <row r="428" spans="1:20" x14ac:dyDescent="0.25">
      <c r="A428" s="12" t="s">
        <v>60</v>
      </c>
      <c r="B428" s="12" t="s">
        <v>148</v>
      </c>
      <c r="C428" s="12" t="s">
        <v>13</v>
      </c>
      <c r="D428" s="12">
        <v>7.0000000000000009</v>
      </c>
      <c r="E428" s="12">
        <v>6.6499999999999995</v>
      </c>
      <c r="F428" s="12">
        <v>20</v>
      </c>
      <c r="G428" s="12">
        <v>6.6499999999999995</v>
      </c>
      <c r="H428" s="12">
        <v>6.0588235294117627</v>
      </c>
      <c r="I428" s="12" t="s">
        <v>63</v>
      </c>
      <c r="J428" s="6">
        <v>46293</v>
      </c>
      <c r="K428">
        <v>46293</v>
      </c>
      <c r="L428">
        <v>0.94999999999999984</v>
      </c>
      <c r="M428">
        <v>0.94999999999999984</v>
      </c>
      <c r="N428">
        <v>0.86554621848739455</v>
      </c>
      <c r="O428">
        <v>1.0526315789473686</v>
      </c>
      <c r="P428">
        <v>1.0526315789473686</v>
      </c>
      <c r="Q428">
        <v>0.91110128261831025</v>
      </c>
      <c r="R428">
        <v>1.0975728155339808</v>
      </c>
      <c r="S428">
        <v>1.0975728155339808</v>
      </c>
      <c r="T428">
        <v>1.1553398058252433</v>
      </c>
    </row>
    <row r="429" spans="1:20" x14ac:dyDescent="0.25">
      <c r="A429" s="12" t="s">
        <v>60</v>
      </c>
      <c r="B429" s="12" t="s">
        <v>148</v>
      </c>
      <c r="C429" s="12" t="s">
        <v>15</v>
      </c>
      <c r="D429" s="12">
        <v>0</v>
      </c>
      <c r="E429" s="12">
        <v>0</v>
      </c>
      <c r="F429" s="12">
        <v>20</v>
      </c>
      <c r="G429" s="12">
        <v>0</v>
      </c>
      <c r="H429" s="12">
        <v>0</v>
      </c>
      <c r="I429" s="12" t="s">
        <v>61</v>
      </c>
      <c r="J429" s="6">
        <v>46293</v>
      </c>
      <c r="K429">
        <v>46293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25">
      <c r="A430" s="12" t="s">
        <v>60</v>
      </c>
      <c r="B430" s="12" t="s">
        <v>148</v>
      </c>
      <c r="C430" s="12" t="s">
        <v>14</v>
      </c>
      <c r="D430" s="12">
        <v>0</v>
      </c>
      <c r="E430" s="12">
        <v>8.5499999999999989</v>
      </c>
      <c r="F430" s="12">
        <v>20</v>
      </c>
      <c r="G430" s="12">
        <v>8.5499999999999989</v>
      </c>
      <c r="H430" s="12">
        <v>0.88581314878892703</v>
      </c>
      <c r="I430" s="12" t="s">
        <v>62</v>
      </c>
      <c r="J430" s="6">
        <v>46293</v>
      </c>
      <c r="K430">
        <v>46293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0.1036038770513365</v>
      </c>
      <c r="R430">
        <v>9.6521484375000028</v>
      </c>
      <c r="S430">
        <v>9.6521484375000028</v>
      </c>
      <c r="T430">
        <v>0</v>
      </c>
    </row>
    <row r="431" spans="1:20" x14ac:dyDescent="0.25">
      <c r="A431" s="12" t="s">
        <v>60</v>
      </c>
      <c r="B431" s="12" t="s">
        <v>148</v>
      </c>
      <c r="C431" s="12" t="s">
        <v>13</v>
      </c>
      <c r="D431" s="12">
        <v>7.5625000000000018</v>
      </c>
      <c r="E431" s="12">
        <v>6.6499999999999995</v>
      </c>
      <c r="F431" s="12">
        <v>20</v>
      </c>
      <c r="G431" s="12">
        <v>6.6499999999999995</v>
      </c>
      <c r="H431" s="12">
        <v>5.5551470588235281</v>
      </c>
      <c r="I431" s="12" t="s">
        <v>64</v>
      </c>
      <c r="J431" s="6">
        <v>46294</v>
      </c>
      <c r="K431">
        <v>46294</v>
      </c>
      <c r="L431">
        <v>0.87933884297520637</v>
      </c>
      <c r="M431">
        <v>0.87933884297520637</v>
      </c>
      <c r="N431">
        <v>0.73456490034030109</v>
      </c>
      <c r="O431">
        <v>1.1372180451127822</v>
      </c>
      <c r="P431">
        <v>1.1372180451127822</v>
      </c>
      <c r="Q431">
        <v>0.83536045997346298</v>
      </c>
      <c r="R431">
        <v>1.1970880211780279</v>
      </c>
      <c r="S431">
        <v>1.1970880211780279</v>
      </c>
      <c r="T431">
        <v>1.361350099272006</v>
      </c>
    </row>
    <row r="432" spans="1:20" x14ac:dyDescent="0.25">
      <c r="A432" s="12" t="s">
        <v>60</v>
      </c>
      <c r="B432" s="12" t="s">
        <v>148</v>
      </c>
      <c r="C432" s="12" t="s">
        <v>14</v>
      </c>
      <c r="D432" s="12">
        <v>0</v>
      </c>
      <c r="E432" s="12">
        <v>13.3</v>
      </c>
      <c r="F432" s="12">
        <v>20</v>
      </c>
      <c r="G432" s="12">
        <v>13.3</v>
      </c>
      <c r="H432" s="12">
        <v>1.0069204152249132</v>
      </c>
      <c r="I432" s="12" t="s">
        <v>66</v>
      </c>
      <c r="J432" s="6">
        <v>46294</v>
      </c>
      <c r="K432">
        <v>46294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7.5708301896610014E-2</v>
      </c>
      <c r="R432">
        <v>13.208591065292099</v>
      </c>
      <c r="S432">
        <v>13.208591065292099</v>
      </c>
      <c r="T432">
        <v>0</v>
      </c>
    </row>
    <row r="433" spans="1:20" x14ac:dyDescent="0.25">
      <c r="A433" s="12" t="s">
        <v>60</v>
      </c>
      <c r="B433" s="12" t="s">
        <v>148</v>
      </c>
      <c r="C433" s="12" t="s">
        <v>15</v>
      </c>
      <c r="D433" s="12">
        <v>0</v>
      </c>
      <c r="E433" s="12">
        <v>0</v>
      </c>
      <c r="F433" s="12">
        <v>20</v>
      </c>
      <c r="G433" s="12">
        <v>0</v>
      </c>
      <c r="H433" s="12">
        <v>0</v>
      </c>
      <c r="I433" s="12" t="s">
        <v>65</v>
      </c>
      <c r="J433" s="6">
        <v>46294</v>
      </c>
      <c r="K433">
        <v>46294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25">
      <c r="A434" s="12" t="s">
        <v>60</v>
      </c>
      <c r="B434" s="12" t="s">
        <v>148</v>
      </c>
      <c r="C434" s="12" t="s">
        <v>13</v>
      </c>
      <c r="D434" s="12">
        <v>6.6875000000000009</v>
      </c>
      <c r="E434" s="12">
        <v>6.6499999999999995</v>
      </c>
      <c r="F434" s="12">
        <v>20</v>
      </c>
      <c r="G434" s="12">
        <v>6.6499999999999995</v>
      </c>
      <c r="H434" s="12">
        <v>5.3492647058823515</v>
      </c>
      <c r="I434" s="12" t="s">
        <v>67</v>
      </c>
      <c r="J434" s="6">
        <v>46295</v>
      </c>
      <c r="K434">
        <v>46295</v>
      </c>
      <c r="L434">
        <v>0.9943925233644858</v>
      </c>
      <c r="M434">
        <v>0.9943925233644858</v>
      </c>
      <c r="N434">
        <v>0.79989004947773468</v>
      </c>
      <c r="O434">
        <v>1.0056390977443612</v>
      </c>
      <c r="P434">
        <v>1.0056390977443612</v>
      </c>
      <c r="Q434">
        <v>0.80440070765148153</v>
      </c>
      <c r="R434">
        <v>1.2431615120274917</v>
      </c>
      <c r="S434">
        <v>1.2431615120274917</v>
      </c>
      <c r="T434">
        <v>1.2501718213058424</v>
      </c>
    </row>
    <row r="435" spans="1:20" x14ac:dyDescent="0.25">
      <c r="A435" s="12" t="s">
        <v>60</v>
      </c>
      <c r="B435" s="12" t="s">
        <v>148</v>
      </c>
      <c r="C435" s="12" t="s">
        <v>15</v>
      </c>
      <c r="D435" s="12">
        <v>0</v>
      </c>
      <c r="E435" s="12">
        <v>0</v>
      </c>
      <c r="F435" s="12">
        <v>20</v>
      </c>
      <c r="G435" s="12">
        <v>0</v>
      </c>
      <c r="H435" s="12">
        <v>0</v>
      </c>
      <c r="I435" s="12" t="s">
        <v>68</v>
      </c>
      <c r="J435" s="6">
        <v>46295</v>
      </c>
      <c r="K435">
        <v>46295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25">
      <c r="A436" s="12" t="s">
        <v>60</v>
      </c>
      <c r="B436" s="12" t="s">
        <v>148</v>
      </c>
      <c r="C436" s="12" t="s">
        <v>14</v>
      </c>
      <c r="D436" s="12">
        <v>0</v>
      </c>
      <c r="E436" s="12">
        <v>12.35</v>
      </c>
      <c r="F436" s="12">
        <v>20</v>
      </c>
      <c r="G436" s="12">
        <v>12.35</v>
      </c>
      <c r="H436" s="12">
        <v>0.55363321799307952</v>
      </c>
      <c r="I436" s="12" t="s">
        <v>69</v>
      </c>
      <c r="J436" s="6">
        <v>46295</v>
      </c>
      <c r="K436">
        <v>46295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4.4828600647212918E-2</v>
      </c>
      <c r="R436">
        <v>22.307187500000001</v>
      </c>
      <c r="S436">
        <v>22.307187500000001</v>
      </c>
      <c r="T436">
        <v>0</v>
      </c>
    </row>
    <row r="437" spans="1:20" x14ac:dyDescent="0.25">
      <c r="A437" s="12" t="s">
        <v>60</v>
      </c>
      <c r="B437" s="12" t="s">
        <v>148</v>
      </c>
      <c r="C437" s="12" t="s">
        <v>14</v>
      </c>
      <c r="D437" s="12">
        <v>0</v>
      </c>
      <c r="E437" s="12">
        <v>12.35</v>
      </c>
      <c r="F437" s="12">
        <v>20</v>
      </c>
      <c r="G437" s="12">
        <v>12.35</v>
      </c>
      <c r="H437" s="12">
        <v>0.55363321799307952</v>
      </c>
      <c r="I437" s="12" t="s">
        <v>71</v>
      </c>
      <c r="J437" s="6">
        <v>46296</v>
      </c>
      <c r="K437">
        <v>46296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4.4828600647212918E-2</v>
      </c>
      <c r="R437">
        <v>22.307187500000001</v>
      </c>
      <c r="S437">
        <v>22.307187500000001</v>
      </c>
      <c r="T437">
        <v>0</v>
      </c>
    </row>
    <row r="438" spans="1:20" x14ac:dyDescent="0.25">
      <c r="A438" s="12" t="s">
        <v>60</v>
      </c>
      <c r="B438" s="12" t="s">
        <v>148</v>
      </c>
      <c r="C438" s="12" t="s">
        <v>13</v>
      </c>
      <c r="D438" s="12">
        <v>6.6875000000000009</v>
      </c>
      <c r="E438" s="12">
        <v>6.6499999999999995</v>
      </c>
      <c r="F438" s="12">
        <v>20</v>
      </c>
      <c r="G438" s="12">
        <v>6.6499999999999995</v>
      </c>
      <c r="H438" s="12">
        <v>5.3492647058823515</v>
      </c>
      <c r="I438" s="12" t="s">
        <v>70</v>
      </c>
      <c r="J438" s="6">
        <v>46296</v>
      </c>
      <c r="K438">
        <v>46296</v>
      </c>
      <c r="L438">
        <v>0.9943925233644858</v>
      </c>
      <c r="M438">
        <v>0.9943925233644858</v>
      </c>
      <c r="N438">
        <v>0.79989004947773468</v>
      </c>
      <c r="O438">
        <v>1.0056390977443612</v>
      </c>
      <c r="P438">
        <v>1.0056390977443612</v>
      </c>
      <c r="Q438">
        <v>0.80440070765148153</v>
      </c>
      <c r="R438">
        <v>1.2431615120274917</v>
      </c>
      <c r="S438">
        <v>1.2431615120274917</v>
      </c>
      <c r="T438">
        <v>1.2501718213058424</v>
      </c>
    </row>
    <row r="439" spans="1:20" x14ac:dyDescent="0.25">
      <c r="A439" s="12" t="s">
        <v>60</v>
      </c>
      <c r="B439" s="12" t="s">
        <v>148</v>
      </c>
      <c r="C439" s="12" t="s">
        <v>15</v>
      </c>
      <c r="D439" s="12">
        <v>0</v>
      </c>
      <c r="E439" s="12">
        <v>0</v>
      </c>
      <c r="F439" s="12">
        <v>20</v>
      </c>
      <c r="G439" s="12">
        <v>0</v>
      </c>
      <c r="H439" s="12">
        <v>0</v>
      </c>
      <c r="I439" s="12" t="s">
        <v>72</v>
      </c>
      <c r="J439" s="6">
        <v>46296</v>
      </c>
      <c r="K439">
        <v>46296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 x14ac:dyDescent="0.25">
      <c r="A440" s="12" t="s">
        <v>60</v>
      </c>
      <c r="B440" s="12" t="s">
        <v>148</v>
      </c>
      <c r="C440" s="12" t="s">
        <v>15</v>
      </c>
      <c r="D440" s="12">
        <v>0</v>
      </c>
      <c r="E440" s="12">
        <v>0</v>
      </c>
      <c r="F440" s="12">
        <v>20</v>
      </c>
      <c r="G440" s="12">
        <v>0</v>
      </c>
      <c r="H440" s="12">
        <v>0</v>
      </c>
      <c r="I440" s="12" t="s">
        <v>74</v>
      </c>
      <c r="J440" s="6">
        <v>46297</v>
      </c>
      <c r="K440">
        <v>46297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 x14ac:dyDescent="0.25">
      <c r="A441" s="12" t="s">
        <v>60</v>
      </c>
      <c r="B441" s="12" t="s">
        <v>148</v>
      </c>
      <c r="C441" s="12" t="s">
        <v>13</v>
      </c>
      <c r="D441" s="12">
        <v>5.1875000000000009</v>
      </c>
      <c r="E441" s="12">
        <v>5.6999999999999993</v>
      </c>
      <c r="F441" s="12">
        <v>20</v>
      </c>
      <c r="G441" s="12">
        <v>5.6999999999999993</v>
      </c>
      <c r="H441" s="12">
        <v>4.5992647058823515</v>
      </c>
      <c r="I441" s="12" t="s">
        <v>73</v>
      </c>
      <c r="J441" s="6">
        <v>46297</v>
      </c>
      <c r="K441">
        <v>46297</v>
      </c>
      <c r="L441">
        <v>1.0987951807228913</v>
      </c>
      <c r="M441">
        <v>1.0987951807228913</v>
      </c>
      <c r="N441">
        <v>0.88660524450744105</v>
      </c>
      <c r="O441">
        <v>0.91008771929824583</v>
      </c>
      <c r="P441">
        <v>0.91008771929824583</v>
      </c>
      <c r="Q441">
        <v>0.80688854489164075</v>
      </c>
      <c r="R441">
        <v>1.239328537170264</v>
      </c>
      <c r="S441">
        <v>1.239328537170264</v>
      </c>
      <c r="T441">
        <v>1.127897681854517</v>
      </c>
    </row>
    <row r="442" spans="1:20" x14ac:dyDescent="0.25">
      <c r="A442" s="12" t="s">
        <v>60</v>
      </c>
      <c r="B442" s="12" t="s">
        <v>148</v>
      </c>
      <c r="C442" s="12" t="s">
        <v>14</v>
      </c>
      <c r="D442" s="12">
        <v>0</v>
      </c>
      <c r="E442" s="12">
        <v>11.4</v>
      </c>
      <c r="F442" s="12">
        <v>20</v>
      </c>
      <c r="G442" s="12">
        <v>11.4</v>
      </c>
      <c r="H442" s="12">
        <v>0.55363321799307952</v>
      </c>
      <c r="I442" s="12" t="s">
        <v>75</v>
      </c>
      <c r="J442" s="6">
        <v>46297</v>
      </c>
      <c r="K442">
        <v>46297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4.8564317367813997E-2</v>
      </c>
      <c r="R442">
        <v>20.591249999999999</v>
      </c>
      <c r="S442">
        <v>20.591249999999999</v>
      </c>
      <c r="T442">
        <v>0</v>
      </c>
    </row>
    <row r="443" spans="1:20" x14ac:dyDescent="0.25">
      <c r="A443" s="12" t="s">
        <v>60</v>
      </c>
      <c r="B443" s="12" t="s">
        <v>148</v>
      </c>
      <c r="C443" s="12" t="s">
        <v>14</v>
      </c>
      <c r="D443" s="12">
        <v>0</v>
      </c>
      <c r="E443" s="12">
        <v>0.95</v>
      </c>
      <c r="F443" s="12">
        <v>20</v>
      </c>
      <c r="G443" s="12">
        <v>0.95</v>
      </c>
      <c r="H443" s="12">
        <v>0.17647058823529413</v>
      </c>
      <c r="I443" s="12" t="s">
        <v>78</v>
      </c>
      <c r="J443" s="6">
        <v>46298</v>
      </c>
      <c r="K443">
        <v>46298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0.18575851393188855</v>
      </c>
      <c r="R443">
        <v>5.3833333333333329</v>
      </c>
      <c r="S443">
        <v>5.3833333333333329</v>
      </c>
      <c r="T443">
        <v>0</v>
      </c>
    </row>
    <row r="444" spans="1:20" x14ac:dyDescent="0.25">
      <c r="A444" s="12" t="s">
        <v>60</v>
      </c>
      <c r="B444" s="12" t="s">
        <v>148</v>
      </c>
      <c r="C444" s="12" t="s">
        <v>15</v>
      </c>
      <c r="D444" s="12">
        <v>0</v>
      </c>
      <c r="E444" s="12">
        <v>0.95</v>
      </c>
      <c r="F444" s="12">
        <v>20</v>
      </c>
      <c r="G444" s="12">
        <v>0.95</v>
      </c>
      <c r="H444" s="12">
        <v>0</v>
      </c>
      <c r="I444" s="12" t="s">
        <v>76</v>
      </c>
      <c r="J444" s="6">
        <v>46298</v>
      </c>
      <c r="K444">
        <v>46298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25">
      <c r="A445" s="12" t="s">
        <v>60</v>
      </c>
      <c r="B445" s="12" t="s">
        <v>148</v>
      </c>
      <c r="C445" s="12" t="s">
        <v>13</v>
      </c>
      <c r="D445" s="12">
        <v>0.56250000000000011</v>
      </c>
      <c r="E445" s="12">
        <v>0.95</v>
      </c>
      <c r="F445" s="12">
        <v>20</v>
      </c>
      <c r="G445" s="12">
        <v>0.95</v>
      </c>
      <c r="H445" s="12">
        <v>0.43749999999999994</v>
      </c>
      <c r="I445" s="12" t="s">
        <v>77</v>
      </c>
      <c r="J445" s="6">
        <v>46298</v>
      </c>
      <c r="K445">
        <v>46298</v>
      </c>
      <c r="L445">
        <v>1.6888888888888884</v>
      </c>
      <c r="M445">
        <v>1.6888888888888884</v>
      </c>
      <c r="N445">
        <v>0.77777777777777757</v>
      </c>
      <c r="O445">
        <v>0.59210526315789491</v>
      </c>
      <c r="P445">
        <v>0.59210526315789491</v>
      </c>
      <c r="Q445">
        <v>0.46052631578947367</v>
      </c>
      <c r="R445">
        <v>2.1714285714285717</v>
      </c>
      <c r="S445">
        <v>2.1714285714285717</v>
      </c>
      <c r="T445">
        <v>1.285714285714286</v>
      </c>
    </row>
    <row r="446" spans="1:20" x14ac:dyDescent="0.25">
      <c r="A446" s="12" t="s">
        <v>60</v>
      </c>
      <c r="B446" s="12" t="s">
        <v>148</v>
      </c>
      <c r="C446" s="12" t="s">
        <v>13</v>
      </c>
      <c r="D446" s="12">
        <v>0.56250000000000011</v>
      </c>
      <c r="E446" s="12">
        <v>0.95</v>
      </c>
      <c r="F446" s="12">
        <v>20</v>
      </c>
      <c r="G446" s="12">
        <v>0.95</v>
      </c>
      <c r="H446" s="12">
        <v>0.43749999999999994</v>
      </c>
      <c r="I446" s="12" t="s">
        <v>79</v>
      </c>
      <c r="J446" s="6">
        <v>46299</v>
      </c>
      <c r="K446">
        <v>46299</v>
      </c>
      <c r="L446">
        <v>1.6888888888888884</v>
      </c>
      <c r="M446">
        <v>1.6888888888888884</v>
      </c>
      <c r="N446">
        <v>0.77777777777777757</v>
      </c>
      <c r="O446">
        <v>0.59210526315789491</v>
      </c>
      <c r="P446">
        <v>0.59210526315789491</v>
      </c>
      <c r="Q446">
        <v>0.46052631578947367</v>
      </c>
      <c r="R446">
        <v>2.1714285714285717</v>
      </c>
      <c r="S446">
        <v>2.1714285714285717</v>
      </c>
      <c r="T446">
        <v>1.285714285714286</v>
      </c>
    </row>
    <row r="447" spans="1:20" x14ac:dyDescent="0.25">
      <c r="A447" s="12" t="s">
        <v>60</v>
      </c>
      <c r="B447" s="12" t="s">
        <v>148</v>
      </c>
      <c r="C447" s="12" t="s">
        <v>14</v>
      </c>
      <c r="D447" s="12">
        <v>0</v>
      </c>
      <c r="E447" s="12">
        <v>1.9</v>
      </c>
      <c r="F447" s="12">
        <v>20</v>
      </c>
      <c r="G447" s="12">
        <v>1.9</v>
      </c>
      <c r="H447" s="12">
        <v>0.17647058823529413</v>
      </c>
      <c r="I447" s="12" t="s">
        <v>80</v>
      </c>
      <c r="J447" s="6">
        <v>46299</v>
      </c>
      <c r="K447">
        <v>46299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9.2879256965944276E-2</v>
      </c>
      <c r="R447">
        <v>10.766666666666666</v>
      </c>
      <c r="S447">
        <v>10.766666666666666</v>
      </c>
      <c r="T447">
        <v>0</v>
      </c>
    </row>
    <row r="448" spans="1:20" x14ac:dyDescent="0.25">
      <c r="A448" s="12" t="s">
        <v>60</v>
      </c>
      <c r="B448" s="12" t="s">
        <v>148</v>
      </c>
      <c r="C448" s="12" t="s">
        <v>15</v>
      </c>
      <c r="D448" s="12">
        <v>0</v>
      </c>
      <c r="E448" s="12">
        <v>0</v>
      </c>
      <c r="F448" s="12">
        <v>20</v>
      </c>
      <c r="G448" s="12">
        <v>0</v>
      </c>
      <c r="H448" s="12">
        <v>0</v>
      </c>
      <c r="I448" s="12" t="s">
        <v>81</v>
      </c>
      <c r="J448" s="6">
        <v>46299</v>
      </c>
      <c r="K448">
        <v>46299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 x14ac:dyDescent="0.25">
      <c r="A449" s="12" t="s">
        <v>60</v>
      </c>
      <c r="B449" s="12" t="s">
        <v>148</v>
      </c>
      <c r="C449" s="12" t="s">
        <v>15</v>
      </c>
      <c r="D449" s="12">
        <v>0</v>
      </c>
      <c r="E449" s="12">
        <v>0</v>
      </c>
      <c r="F449" s="12">
        <v>20</v>
      </c>
      <c r="G449" s="12">
        <v>0</v>
      </c>
      <c r="H449" s="12">
        <v>0</v>
      </c>
      <c r="I449" s="12" t="s">
        <v>82</v>
      </c>
      <c r="J449" s="6">
        <v>46300</v>
      </c>
      <c r="K449">
        <v>46300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25">
      <c r="A450" s="12" t="s">
        <v>60</v>
      </c>
      <c r="B450" s="12" t="s">
        <v>148</v>
      </c>
      <c r="C450" s="12" t="s">
        <v>13</v>
      </c>
      <c r="D450" s="12">
        <v>6.0000000000000009</v>
      </c>
      <c r="E450" s="12">
        <v>5.6999999999999993</v>
      </c>
      <c r="F450" s="12">
        <v>20</v>
      </c>
      <c r="G450" s="12">
        <v>5.6999999999999993</v>
      </c>
      <c r="H450" s="12">
        <v>5.1176470588235281</v>
      </c>
      <c r="I450" s="12" t="s">
        <v>84</v>
      </c>
      <c r="J450" s="6">
        <v>46300</v>
      </c>
      <c r="K450">
        <v>46300</v>
      </c>
      <c r="L450">
        <v>0.94999999999999973</v>
      </c>
      <c r="M450">
        <v>0.94999999999999973</v>
      </c>
      <c r="N450">
        <v>0.85294117647058787</v>
      </c>
      <c r="O450">
        <v>1.0526315789473688</v>
      </c>
      <c r="P450">
        <v>1.0526315789473688</v>
      </c>
      <c r="Q450">
        <v>0.89783281733746123</v>
      </c>
      <c r="R450">
        <v>1.113793103448276</v>
      </c>
      <c r="S450">
        <v>1.113793103448276</v>
      </c>
      <c r="T450">
        <v>1.1724137931034488</v>
      </c>
    </row>
    <row r="451" spans="1:20" x14ac:dyDescent="0.25">
      <c r="A451" s="12" t="s">
        <v>60</v>
      </c>
      <c r="B451" s="12" t="s">
        <v>148</v>
      </c>
      <c r="C451" s="12" t="s">
        <v>14</v>
      </c>
      <c r="D451" s="12">
        <v>0</v>
      </c>
      <c r="E451" s="12">
        <v>8.5499999999999989</v>
      </c>
      <c r="F451" s="12">
        <v>20</v>
      </c>
      <c r="G451" s="12">
        <v>8.5499999999999989</v>
      </c>
      <c r="H451" s="12">
        <v>0.830449826989619</v>
      </c>
      <c r="I451" s="12" t="s">
        <v>83</v>
      </c>
      <c r="J451" s="6">
        <v>46300</v>
      </c>
      <c r="K451">
        <v>46300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9.7128634735627967E-2</v>
      </c>
      <c r="R451">
        <v>10.295625000000003</v>
      </c>
      <c r="S451">
        <v>10.295625000000003</v>
      </c>
      <c r="T451">
        <v>0</v>
      </c>
    </row>
    <row r="452" spans="1:20" x14ac:dyDescent="0.25">
      <c r="A452" s="12" t="s">
        <v>60</v>
      </c>
      <c r="B452" s="12" t="s">
        <v>148</v>
      </c>
      <c r="C452" s="12" t="s">
        <v>15</v>
      </c>
      <c r="D452" s="12">
        <v>0</v>
      </c>
      <c r="E452" s="12">
        <v>0</v>
      </c>
      <c r="F452" s="12">
        <v>20</v>
      </c>
      <c r="G452" s="12">
        <v>0</v>
      </c>
      <c r="H452" s="12">
        <v>0</v>
      </c>
      <c r="I452" s="12" t="s">
        <v>86</v>
      </c>
      <c r="J452" s="6">
        <v>46301</v>
      </c>
      <c r="K452">
        <v>46301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25">
      <c r="A453" s="12" t="s">
        <v>60</v>
      </c>
      <c r="B453" s="12" t="s">
        <v>148</v>
      </c>
      <c r="C453" s="12" t="s">
        <v>13</v>
      </c>
      <c r="D453" s="12">
        <v>7.5625000000000018</v>
      </c>
      <c r="E453" s="12">
        <v>6.6499999999999995</v>
      </c>
      <c r="F453" s="12">
        <v>20</v>
      </c>
      <c r="G453" s="12">
        <v>6.6499999999999995</v>
      </c>
      <c r="H453" s="12">
        <v>5.5551470588235272</v>
      </c>
      <c r="I453" s="12" t="s">
        <v>87</v>
      </c>
      <c r="J453" s="6">
        <v>46301</v>
      </c>
      <c r="K453">
        <v>46301</v>
      </c>
      <c r="L453">
        <v>0.87933884297520637</v>
      </c>
      <c r="M453">
        <v>0.87933884297520637</v>
      </c>
      <c r="N453">
        <v>0.73456490034030097</v>
      </c>
      <c r="O453">
        <v>1.1372180451127822</v>
      </c>
      <c r="P453">
        <v>1.1372180451127822</v>
      </c>
      <c r="Q453">
        <v>0.83536045997346275</v>
      </c>
      <c r="R453">
        <v>1.1970880211780281</v>
      </c>
      <c r="S453">
        <v>1.1970880211780281</v>
      </c>
      <c r="T453">
        <v>1.3613500992720062</v>
      </c>
    </row>
    <row r="454" spans="1:20" x14ac:dyDescent="0.25">
      <c r="A454" s="12" t="s">
        <v>60</v>
      </c>
      <c r="B454" s="12" t="s">
        <v>148</v>
      </c>
      <c r="C454" s="12" t="s">
        <v>14</v>
      </c>
      <c r="D454" s="12">
        <v>0</v>
      </c>
      <c r="E454" s="12">
        <v>13.3</v>
      </c>
      <c r="F454" s="12">
        <v>20</v>
      </c>
      <c r="G454" s="12">
        <v>13.3</v>
      </c>
      <c r="H454" s="12">
        <v>1.0069204152249132</v>
      </c>
      <c r="I454" s="12" t="s">
        <v>85</v>
      </c>
      <c r="J454" s="6">
        <v>46301</v>
      </c>
      <c r="K454">
        <v>46301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7.5708301896610014E-2</v>
      </c>
      <c r="R454">
        <v>13.208591065292099</v>
      </c>
      <c r="S454">
        <v>13.208591065292099</v>
      </c>
      <c r="T454">
        <v>0</v>
      </c>
    </row>
    <row r="455" spans="1:20" x14ac:dyDescent="0.25">
      <c r="A455" s="12" t="s">
        <v>60</v>
      </c>
      <c r="B455" s="12" t="s">
        <v>148</v>
      </c>
      <c r="C455" s="12" t="s">
        <v>14</v>
      </c>
      <c r="D455" s="12">
        <v>0</v>
      </c>
      <c r="E455" s="12">
        <v>11.4</v>
      </c>
      <c r="F455" s="12">
        <v>20</v>
      </c>
      <c r="G455" s="12">
        <v>11.4</v>
      </c>
      <c r="H455" s="12">
        <v>0.55363321799307963</v>
      </c>
      <c r="I455" s="12" t="s">
        <v>88</v>
      </c>
      <c r="J455" s="6">
        <v>46302</v>
      </c>
      <c r="K455">
        <v>46302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4.8564317367814011E-2</v>
      </c>
      <c r="R455">
        <v>20.591249999999995</v>
      </c>
      <c r="S455">
        <v>20.591249999999995</v>
      </c>
      <c r="T455">
        <v>0</v>
      </c>
    </row>
    <row r="456" spans="1:20" x14ac:dyDescent="0.25">
      <c r="A456" s="12" t="s">
        <v>60</v>
      </c>
      <c r="B456" s="12" t="s">
        <v>148</v>
      </c>
      <c r="C456" s="12" t="s">
        <v>15</v>
      </c>
      <c r="D456" s="12">
        <v>0</v>
      </c>
      <c r="E456" s="12">
        <v>0</v>
      </c>
      <c r="F456" s="12">
        <v>20</v>
      </c>
      <c r="G456" s="12">
        <v>0</v>
      </c>
      <c r="H456" s="12">
        <v>0</v>
      </c>
      <c r="I456" s="12" t="s">
        <v>89</v>
      </c>
      <c r="J456" s="6">
        <v>46302</v>
      </c>
      <c r="K456">
        <v>46302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x14ac:dyDescent="0.25">
      <c r="A457" s="12" t="s">
        <v>60</v>
      </c>
      <c r="B457" s="12" t="s">
        <v>148</v>
      </c>
      <c r="C457" s="12" t="s">
        <v>13</v>
      </c>
      <c r="D457" s="12">
        <v>6.6875000000000009</v>
      </c>
      <c r="E457" s="12">
        <v>6.6499999999999995</v>
      </c>
      <c r="F457" s="12">
        <v>20</v>
      </c>
      <c r="G457" s="12">
        <v>6.6499999999999995</v>
      </c>
      <c r="H457" s="12">
        <v>5.3492647058823515</v>
      </c>
      <c r="I457" s="12" t="s">
        <v>90</v>
      </c>
      <c r="J457" s="6">
        <v>46302</v>
      </c>
      <c r="K457">
        <v>46302</v>
      </c>
      <c r="L457">
        <v>0.9943925233644858</v>
      </c>
      <c r="M457">
        <v>0.9943925233644858</v>
      </c>
      <c r="N457">
        <v>0.79989004947773468</v>
      </c>
      <c r="O457">
        <v>1.0056390977443612</v>
      </c>
      <c r="P457">
        <v>1.0056390977443612</v>
      </c>
      <c r="Q457">
        <v>0.80440070765148153</v>
      </c>
      <c r="R457">
        <v>1.2431615120274917</v>
      </c>
      <c r="S457">
        <v>1.2431615120274917</v>
      </c>
      <c r="T457">
        <v>1.2501718213058424</v>
      </c>
    </row>
    <row r="458" spans="1:20" x14ac:dyDescent="0.25">
      <c r="A458" s="12" t="s">
        <v>60</v>
      </c>
      <c r="B458" s="12" t="s">
        <v>148</v>
      </c>
      <c r="C458" s="12" t="s">
        <v>14</v>
      </c>
      <c r="D458" s="12">
        <v>0</v>
      </c>
      <c r="E458" s="12">
        <v>13.3</v>
      </c>
      <c r="F458" s="12">
        <v>20</v>
      </c>
      <c r="G458" s="12">
        <v>13.3</v>
      </c>
      <c r="H458" s="12">
        <v>0.55363321799307952</v>
      </c>
      <c r="I458" s="12" t="s">
        <v>91</v>
      </c>
      <c r="J458" s="6">
        <v>46303</v>
      </c>
      <c r="K458">
        <v>46303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4.1626557743840567E-2</v>
      </c>
      <c r="R458">
        <v>24.023125</v>
      </c>
      <c r="S458">
        <v>24.023125</v>
      </c>
      <c r="T458">
        <v>0</v>
      </c>
    </row>
    <row r="459" spans="1:20" x14ac:dyDescent="0.25">
      <c r="A459" s="12" t="s">
        <v>60</v>
      </c>
      <c r="B459" s="12" t="s">
        <v>148</v>
      </c>
      <c r="C459" s="12" t="s">
        <v>15</v>
      </c>
      <c r="D459" s="12">
        <v>0</v>
      </c>
      <c r="E459" s="12">
        <v>0.95</v>
      </c>
      <c r="F459" s="12">
        <v>20</v>
      </c>
      <c r="G459" s="12">
        <v>0.95</v>
      </c>
      <c r="H459" s="12">
        <v>0</v>
      </c>
      <c r="I459" s="12" t="s">
        <v>92</v>
      </c>
      <c r="J459" s="6">
        <v>46303</v>
      </c>
      <c r="K459">
        <v>46303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25">
      <c r="A460" s="12" t="s">
        <v>60</v>
      </c>
      <c r="B460" s="12" t="s">
        <v>148</v>
      </c>
      <c r="C460" s="12" t="s">
        <v>13</v>
      </c>
      <c r="D460" s="12">
        <v>6.6875000000000009</v>
      </c>
      <c r="E460" s="12">
        <v>6.6499999999999995</v>
      </c>
      <c r="F460" s="12">
        <v>20</v>
      </c>
      <c r="G460" s="12">
        <v>6.6499999999999995</v>
      </c>
      <c r="H460" s="12">
        <v>5.3492647058823515</v>
      </c>
      <c r="I460" s="12" t="s">
        <v>93</v>
      </c>
      <c r="J460" s="6">
        <v>46303</v>
      </c>
      <c r="K460">
        <v>46303</v>
      </c>
      <c r="L460">
        <v>0.9943925233644858</v>
      </c>
      <c r="M460">
        <v>0.9943925233644858</v>
      </c>
      <c r="N460">
        <v>0.79989004947773468</v>
      </c>
      <c r="O460">
        <v>1.0056390977443612</v>
      </c>
      <c r="P460">
        <v>1.0056390977443612</v>
      </c>
      <c r="Q460">
        <v>0.80440070765148153</v>
      </c>
      <c r="R460">
        <v>1.2431615120274917</v>
      </c>
      <c r="S460">
        <v>1.2431615120274917</v>
      </c>
      <c r="T460">
        <v>1.2501718213058424</v>
      </c>
    </row>
    <row r="461" spans="1:20" x14ac:dyDescent="0.25">
      <c r="A461" s="12" t="s">
        <v>60</v>
      </c>
      <c r="B461" s="12" t="s">
        <v>148</v>
      </c>
      <c r="C461" s="12" t="s">
        <v>13</v>
      </c>
      <c r="D461" s="12">
        <v>5.1875000000000009</v>
      </c>
      <c r="E461" s="12">
        <v>5.6999999999999993</v>
      </c>
      <c r="F461" s="12">
        <v>20</v>
      </c>
      <c r="G461" s="12">
        <v>5.6999999999999993</v>
      </c>
      <c r="H461" s="12">
        <v>4.7169117647058805</v>
      </c>
      <c r="I461" s="12" t="s">
        <v>95</v>
      </c>
      <c r="J461" s="6">
        <v>46304</v>
      </c>
      <c r="K461">
        <v>46304</v>
      </c>
      <c r="L461">
        <v>1.0987951807228913</v>
      </c>
      <c r="M461">
        <v>1.0987951807228913</v>
      </c>
      <c r="N461">
        <v>0.90928419560595275</v>
      </c>
      <c r="O461">
        <v>0.91008771929824583</v>
      </c>
      <c r="P461">
        <v>0.91008771929824583</v>
      </c>
      <c r="Q461">
        <v>0.82752837977296156</v>
      </c>
      <c r="R461">
        <v>1.2084177708495716</v>
      </c>
      <c r="S461">
        <v>1.2084177708495716</v>
      </c>
      <c r="T461">
        <v>1.099766173031957</v>
      </c>
    </row>
    <row r="462" spans="1:20" x14ac:dyDescent="0.25">
      <c r="A462" s="12" t="s">
        <v>60</v>
      </c>
      <c r="B462" s="12" t="s">
        <v>148</v>
      </c>
      <c r="C462" s="12" t="s">
        <v>15</v>
      </c>
      <c r="D462" s="12">
        <v>0</v>
      </c>
      <c r="E462" s="12">
        <v>0</v>
      </c>
      <c r="F462" s="12">
        <v>20</v>
      </c>
      <c r="G462" s="12">
        <v>0</v>
      </c>
      <c r="H462" s="12">
        <v>0</v>
      </c>
      <c r="I462" s="12" t="s">
        <v>96</v>
      </c>
      <c r="J462" s="6">
        <v>46304</v>
      </c>
      <c r="K462">
        <v>46304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25">
      <c r="A463" s="12" t="s">
        <v>60</v>
      </c>
      <c r="B463" s="12" t="s">
        <v>148</v>
      </c>
      <c r="C463" s="12" t="s">
        <v>14</v>
      </c>
      <c r="D463" s="12">
        <v>0</v>
      </c>
      <c r="E463" s="12">
        <v>11.4</v>
      </c>
      <c r="F463" s="12">
        <v>20</v>
      </c>
      <c r="G463" s="12">
        <v>11.4</v>
      </c>
      <c r="H463" s="12">
        <v>0.44290657439446368</v>
      </c>
      <c r="I463" s="12" t="s">
        <v>94</v>
      </c>
      <c r="J463" s="6">
        <v>46304</v>
      </c>
      <c r="K463">
        <v>46304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3.8851453894251202E-2</v>
      </c>
      <c r="R463">
        <v>25.739062499999996</v>
      </c>
      <c r="S463">
        <v>25.739062499999996</v>
      </c>
      <c r="T463">
        <v>0</v>
      </c>
    </row>
    <row r="464" spans="1:20" x14ac:dyDescent="0.25">
      <c r="A464" s="12" t="s">
        <v>60</v>
      </c>
      <c r="B464" s="12" t="s">
        <v>148</v>
      </c>
      <c r="C464" s="12" t="s">
        <v>14</v>
      </c>
      <c r="D464" s="12">
        <v>0</v>
      </c>
      <c r="E464" s="12">
        <v>1.9</v>
      </c>
      <c r="F464" s="12">
        <v>20</v>
      </c>
      <c r="G464" s="12">
        <v>1.9</v>
      </c>
      <c r="H464" s="12">
        <v>0.17647058823529413</v>
      </c>
      <c r="I464" s="12" t="s">
        <v>97</v>
      </c>
      <c r="J464" s="6">
        <v>46305</v>
      </c>
      <c r="K464">
        <v>46305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9.2879256965944276E-2</v>
      </c>
      <c r="R464">
        <v>10.766666666666666</v>
      </c>
      <c r="S464">
        <v>10.766666666666666</v>
      </c>
      <c r="T464">
        <v>0</v>
      </c>
    </row>
    <row r="465" spans="1:20" x14ac:dyDescent="0.25">
      <c r="A465" s="12" t="s">
        <v>60</v>
      </c>
      <c r="B465" s="12" t="s">
        <v>148</v>
      </c>
      <c r="C465" s="12" t="s">
        <v>15</v>
      </c>
      <c r="D465" s="12">
        <v>0</v>
      </c>
      <c r="E465" s="12">
        <v>0</v>
      </c>
      <c r="F465" s="12">
        <v>20</v>
      </c>
      <c r="G465" s="12">
        <v>0</v>
      </c>
      <c r="H465" s="12">
        <v>0</v>
      </c>
      <c r="I465" s="12" t="s">
        <v>99</v>
      </c>
      <c r="J465" s="6">
        <v>46305</v>
      </c>
      <c r="K465">
        <v>46305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25">
      <c r="A466" s="12" t="s">
        <v>60</v>
      </c>
      <c r="B466" s="12" t="s">
        <v>148</v>
      </c>
      <c r="C466" s="12" t="s">
        <v>13</v>
      </c>
      <c r="D466" s="12">
        <v>0.56250000000000011</v>
      </c>
      <c r="E466" s="12">
        <v>0.95</v>
      </c>
      <c r="F466" s="12">
        <v>20</v>
      </c>
      <c r="G466" s="12">
        <v>0.95</v>
      </c>
      <c r="H466" s="12">
        <v>0.43749999999999994</v>
      </c>
      <c r="I466" s="12" t="s">
        <v>98</v>
      </c>
      <c r="J466" s="6">
        <v>46305</v>
      </c>
      <c r="K466">
        <v>46305</v>
      </c>
      <c r="L466">
        <v>1.6888888888888884</v>
      </c>
      <c r="M466">
        <v>1.6888888888888884</v>
      </c>
      <c r="N466">
        <v>0.77777777777777757</v>
      </c>
      <c r="O466">
        <v>0.59210526315789491</v>
      </c>
      <c r="P466">
        <v>0.59210526315789491</v>
      </c>
      <c r="Q466">
        <v>0.46052631578947367</v>
      </c>
      <c r="R466">
        <v>2.1714285714285717</v>
      </c>
      <c r="S466">
        <v>2.1714285714285717</v>
      </c>
      <c r="T466">
        <v>1.285714285714286</v>
      </c>
    </row>
    <row r="467" spans="1:20" x14ac:dyDescent="0.25">
      <c r="A467" s="12" t="s">
        <v>60</v>
      </c>
      <c r="B467" s="12" t="s">
        <v>148</v>
      </c>
      <c r="C467" s="12" t="s">
        <v>15</v>
      </c>
      <c r="D467" s="12">
        <v>0</v>
      </c>
      <c r="E467" s="12">
        <v>0.95</v>
      </c>
      <c r="F467" s="12">
        <v>20</v>
      </c>
      <c r="G467" s="12">
        <v>0.95</v>
      </c>
      <c r="H467" s="12">
        <v>0</v>
      </c>
      <c r="I467" s="12" t="s">
        <v>101</v>
      </c>
      <c r="J467" s="6">
        <v>46306</v>
      </c>
      <c r="K467">
        <v>46306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x14ac:dyDescent="0.25">
      <c r="A468" s="12" t="s">
        <v>60</v>
      </c>
      <c r="B468" s="12" t="s">
        <v>148</v>
      </c>
      <c r="C468" s="12" t="s">
        <v>13</v>
      </c>
      <c r="D468" s="12">
        <v>0.56250000000000011</v>
      </c>
      <c r="E468" s="12">
        <v>0.95</v>
      </c>
      <c r="F468" s="12">
        <v>20</v>
      </c>
      <c r="G468" s="12">
        <v>0.95</v>
      </c>
      <c r="H468" s="12">
        <v>0.43749999999999994</v>
      </c>
      <c r="I468" s="12" t="s">
        <v>102</v>
      </c>
      <c r="J468" s="6">
        <v>46306</v>
      </c>
      <c r="K468">
        <v>46306</v>
      </c>
      <c r="L468">
        <v>1.6888888888888884</v>
      </c>
      <c r="M468">
        <v>1.6888888888888884</v>
      </c>
      <c r="N468">
        <v>0.77777777777777757</v>
      </c>
      <c r="O468">
        <v>0.59210526315789491</v>
      </c>
      <c r="P468">
        <v>0.59210526315789491</v>
      </c>
      <c r="Q468">
        <v>0.46052631578947367</v>
      </c>
      <c r="R468">
        <v>2.1714285714285717</v>
      </c>
      <c r="S468">
        <v>2.1714285714285717</v>
      </c>
      <c r="T468">
        <v>1.285714285714286</v>
      </c>
    </row>
    <row r="469" spans="1:20" x14ac:dyDescent="0.25">
      <c r="A469" s="12" t="s">
        <v>60</v>
      </c>
      <c r="B469" s="12" t="s">
        <v>148</v>
      </c>
      <c r="C469" s="12" t="s">
        <v>14</v>
      </c>
      <c r="D469" s="12">
        <v>0</v>
      </c>
      <c r="E469" s="12">
        <v>1.9</v>
      </c>
      <c r="F469" s="12">
        <v>20</v>
      </c>
      <c r="G469" s="12">
        <v>1.9</v>
      </c>
      <c r="H469" s="12">
        <v>0.17647058823529413</v>
      </c>
      <c r="I469" s="12" t="s">
        <v>100</v>
      </c>
      <c r="J469" s="6">
        <v>46306</v>
      </c>
      <c r="K469">
        <v>46306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9.2879256965944276E-2</v>
      </c>
      <c r="R469">
        <v>10.766666666666666</v>
      </c>
      <c r="S469">
        <v>10.766666666666666</v>
      </c>
      <c r="T469">
        <v>0</v>
      </c>
    </row>
    <row r="470" spans="1:20" x14ac:dyDescent="0.25">
      <c r="A470" s="12" t="s">
        <v>60</v>
      </c>
      <c r="B470" s="12" t="s">
        <v>148</v>
      </c>
      <c r="C470" s="12" t="s">
        <v>14</v>
      </c>
      <c r="D470" s="12">
        <v>0</v>
      </c>
      <c r="E470" s="12">
        <v>13.3</v>
      </c>
      <c r="F470" s="12">
        <v>20</v>
      </c>
      <c r="G470" s="12">
        <v>13.3</v>
      </c>
      <c r="H470" s="12">
        <v>0.88581314878892703</v>
      </c>
      <c r="I470" s="12" t="s">
        <v>103</v>
      </c>
      <c r="J470" s="6">
        <v>46307</v>
      </c>
      <c r="K470">
        <v>46307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6.6602492390144888E-2</v>
      </c>
      <c r="R470">
        <v>15.014453125000005</v>
      </c>
      <c r="S470">
        <v>15.014453125000005</v>
      </c>
      <c r="T470">
        <v>0</v>
      </c>
    </row>
    <row r="471" spans="1:20" x14ac:dyDescent="0.25">
      <c r="A471" s="12" t="s">
        <v>60</v>
      </c>
      <c r="B471" s="12" t="s">
        <v>148</v>
      </c>
      <c r="C471" s="12" t="s">
        <v>15</v>
      </c>
      <c r="D471" s="12">
        <v>0</v>
      </c>
      <c r="E471" s="12">
        <v>0</v>
      </c>
      <c r="F471" s="12">
        <v>20</v>
      </c>
      <c r="G471" s="12">
        <v>0</v>
      </c>
      <c r="H471" s="12">
        <v>0</v>
      </c>
      <c r="I471" s="12" t="s">
        <v>104</v>
      </c>
      <c r="J471" s="6">
        <v>46307</v>
      </c>
      <c r="K471">
        <v>46307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 x14ac:dyDescent="0.25">
      <c r="A472" s="12" t="s">
        <v>60</v>
      </c>
      <c r="B472" s="12" t="s">
        <v>148</v>
      </c>
      <c r="C472" s="12" t="s">
        <v>13</v>
      </c>
      <c r="D472" s="12">
        <v>7.0000000000000018</v>
      </c>
      <c r="E472" s="12">
        <v>6.6499999999999995</v>
      </c>
      <c r="F472" s="12">
        <v>20</v>
      </c>
      <c r="G472" s="12">
        <v>6.6499999999999995</v>
      </c>
      <c r="H472" s="12">
        <v>6.0588235294117627</v>
      </c>
      <c r="I472" s="12" t="s">
        <v>105</v>
      </c>
      <c r="J472" s="6">
        <v>46307</v>
      </c>
      <c r="K472">
        <v>46307</v>
      </c>
      <c r="L472">
        <v>0.94999999999999973</v>
      </c>
      <c r="M472">
        <v>0.94999999999999973</v>
      </c>
      <c r="N472">
        <v>0.86554621848739444</v>
      </c>
      <c r="O472">
        <v>1.0526315789473688</v>
      </c>
      <c r="P472">
        <v>1.0526315789473688</v>
      </c>
      <c r="Q472">
        <v>0.91110128261831025</v>
      </c>
      <c r="R472">
        <v>1.0975728155339808</v>
      </c>
      <c r="S472">
        <v>1.0975728155339808</v>
      </c>
      <c r="T472">
        <v>1.1553398058252433</v>
      </c>
    </row>
    <row r="473" spans="1:20" x14ac:dyDescent="0.25">
      <c r="A473" s="12" t="s">
        <v>60</v>
      </c>
      <c r="B473" s="12" t="s">
        <v>148</v>
      </c>
      <c r="C473" s="12" t="s">
        <v>15</v>
      </c>
      <c r="D473" s="12">
        <v>0</v>
      </c>
      <c r="E473" s="12">
        <v>0</v>
      </c>
      <c r="F473" s="12">
        <v>20</v>
      </c>
      <c r="G473" s="12">
        <v>0</v>
      </c>
      <c r="H473" s="12">
        <v>0</v>
      </c>
      <c r="I473" s="12" t="s">
        <v>106</v>
      </c>
      <c r="J473" s="6">
        <v>46308</v>
      </c>
      <c r="K473">
        <v>46308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25">
      <c r="A474" s="12" t="s">
        <v>60</v>
      </c>
      <c r="B474" s="12" t="s">
        <v>148</v>
      </c>
      <c r="C474" s="12" t="s">
        <v>13</v>
      </c>
      <c r="D474" s="12">
        <v>7.5625000000000018</v>
      </c>
      <c r="E474" s="12">
        <v>6.6499999999999995</v>
      </c>
      <c r="F474" s="12">
        <v>20</v>
      </c>
      <c r="G474" s="12">
        <v>6.6499999999999995</v>
      </c>
      <c r="H474" s="12">
        <v>5.5551470588235281</v>
      </c>
      <c r="I474" s="12" t="s">
        <v>108</v>
      </c>
      <c r="J474" s="6">
        <v>46308</v>
      </c>
      <c r="K474">
        <v>46308</v>
      </c>
      <c r="L474">
        <v>0.87933884297520637</v>
      </c>
      <c r="M474">
        <v>0.87933884297520637</v>
      </c>
      <c r="N474">
        <v>0.73456490034030109</v>
      </c>
      <c r="O474">
        <v>1.1372180451127822</v>
      </c>
      <c r="P474">
        <v>1.1372180451127822</v>
      </c>
      <c r="Q474">
        <v>0.83536045997346298</v>
      </c>
      <c r="R474">
        <v>1.1970880211780279</v>
      </c>
      <c r="S474">
        <v>1.1970880211780279</v>
      </c>
      <c r="T474">
        <v>1.361350099272006</v>
      </c>
    </row>
    <row r="475" spans="1:20" x14ac:dyDescent="0.25">
      <c r="A475" s="12" t="s">
        <v>60</v>
      </c>
      <c r="B475" s="12" t="s">
        <v>148</v>
      </c>
      <c r="C475" s="12" t="s">
        <v>14</v>
      </c>
      <c r="D475" s="12">
        <v>0</v>
      </c>
      <c r="E475" s="12">
        <v>14.25</v>
      </c>
      <c r="F475" s="12">
        <v>20</v>
      </c>
      <c r="G475" s="12">
        <v>14.25</v>
      </c>
      <c r="H475" s="12">
        <v>1.0069204152249132</v>
      </c>
      <c r="I475" s="12" t="s">
        <v>107</v>
      </c>
      <c r="J475" s="6">
        <v>46308</v>
      </c>
      <c r="K475">
        <v>46308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7.0661081770169346E-2</v>
      </c>
      <c r="R475">
        <v>14.152061855670107</v>
      </c>
      <c r="S475">
        <v>14.152061855670107</v>
      </c>
      <c r="T475">
        <v>0</v>
      </c>
    </row>
    <row r="476" spans="1:20" x14ac:dyDescent="0.25">
      <c r="A476" s="12" t="s">
        <v>60</v>
      </c>
      <c r="B476" s="12" t="s">
        <v>148</v>
      </c>
      <c r="C476" s="12" t="s">
        <v>15</v>
      </c>
      <c r="D476" s="12">
        <v>0</v>
      </c>
      <c r="E476" s="12">
        <v>0</v>
      </c>
      <c r="F476" s="12">
        <v>20</v>
      </c>
      <c r="G476" s="12">
        <v>0</v>
      </c>
      <c r="H476" s="12">
        <v>0</v>
      </c>
      <c r="I476" s="12" t="s">
        <v>109</v>
      </c>
      <c r="J476" s="6">
        <v>46309</v>
      </c>
      <c r="K476">
        <v>46309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 x14ac:dyDescent="0.25">
      <c r="A477" s="12" t="s">
        <v>60</v>
      </c>
      <c r="B477" s="12" t="s">
        <v>148</v>
      </c>
      <c r="C477" s="12" t="s">
        <v>14</v>
      </c>
      <c r="D477" s="12">
        <v>0</v>
      </c>
      <c r="E477" s="12">
        <v>12.35</v>
      </c>
      <c r="F477" s="12">
        <v>20</v>
      </c>
      <c r="G477" s="12">
        <v>12.35</v>
      </c>
      <c r="H477" s="12">
        <v>0.55363321799307952</v>
      </c>
      <c r="I477" s="12" t="s">
        <v>110</v>
      </c>
      <c r="J477" s="6">
        <v>46309</v>
      </c>
      <c r="K477">
        <v>46309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4.4828600647212918E-2</v>
      </c>
      <c r="R477">
        <v>22.307187500000001</v>
      </c>
      <c r="S477">
        <v>22.307187500000001</v>
      </c>
      <c r="T477">
        <v>0</v>
      </c>
    </row>
    <row r="478" spans="1:20" x14ac:dyDescent="0.25">
      <c r="A478" s="12" t="s">
        <v>60</v>
      </c>
      <c r="B478" s="12" t="s">
        <v>148</v>
      </c>
      <c r="C478" s="12" t="s">
        <v>13</v>
      </c>
      <c r="D478" s="12">
        <v>6.6875000000000009</v>
      </c>
      <c r="E478" s="12">
        <v>6.6499999999999995</v>
      </c>
      <c r="F478" s="12">
        <v>20</v>
      </c>
      <c r="G478" s="12">
        <v>6.6499999999999995</v>
      </c>
      <c r="H478" s="12">
        <v>5.3492647058823515</v>
      </c>
      <c r="I478" s="12" t="s">
        <v>111</v>
      </c>
      <c r="J478" s="6">
        <v>46309</v>
      </c>
      <c r="K478">
        <v>46309</v>
      </c>
      <c r="L478">
        <v>0.9943925233644858</v>
      </c>
      <c r="M478">
        <v>0.9943925233644858</v>
      </c>
      <c r="N478">
        <v>0.79989004947773468</v>
      </c>
      <c r="O478">
        <v>1.0056390977443612</v>
      </c>
      <c r="P478">
        <v>1.0056390977443612</v>
      </c>
      <c r="Q478">
        <v>0.80440070765148153</v>
      </c>
      <c r="R478">
        <v>1.2431615120274917</v>
      </c>
      <c r="S478">
        <v>1.2431615120274917</v>
      </c>
      <c r="T478">
        <v>1.2501718213058424</v>
      </c>
    </row>
    <row r="479" spans="1:20" x14ac:dyDescent="0.25">
      <c r="A479" s="12" t="s">
        <v>60</v>
      </c>
      <c r="B479" s="12" t="s">
        <v>148</v>
      </c>
      <c r="C479" s="12" t="s">
        <v>14</v>
      </c>
      <c r="D479" s="12">
        <v>0</v>
      </c>
      <c r="E479" s="12">
        <v>12.35</v>
      </c>
      <c r="F479" s="12">
        <v>20</v>
      </c>
      <c r="G479" s="12">
        <v>12.35</v>
      </c>
      <c r="H479" s="12">
        <v>0.55363321799307952</v>
      </c>
      <c r="I479" s="12" t="s">
        <v>113</v>
      </c>
      <c r="J479" s="6">
        <v>46310</v>
      </c>
      <c r="K479">
        <v>46310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4.4828600647212918E-2</v>
      </c>
      <c r="R479">
        <v>22.307187500000001</v>
      </c>
      <c r="S479">
        <v>22.307187500000001</v>
      </c>
      <c r="T479">
        <v>0</v>
      </c>
    </row>
    <row r="480" spans="1:20" x14ac:dyDescent="0.25">
      <c r="A480" s="12" t="s">
        <v>60</v>
      </c>
      <c r="B480" s="12" t="s">
        <v>148</v>
      </c>
      <c r="C480" s="12" t="s">
        <v>15</v>
      </c>
      <c r="D480" s="12">
        <v>0</v>
      </c>
      <c r="E480" s="12">
        <v>0</v>
      </c>
      <c r="F480" s="12">
        <v>20</v>
      </c>
      <c r="G480" s="12">
        <v>0</v>
      </c>
      <c r="H480" s="12">
        <v>0</v>
      </c>
      <c r="I480" s="12" t="s">
        <v>112</v>
      </c>
      <c r="J480" s="6">
        <v>46310</v>
      </c>
      <c r="K480">
        <v>46310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 x14ac:dyDescent="0.25">
      <c r="A481" s="12" t="s">
        <v>60</v>
      </c>
      <c r="B481" s="12" t="s">
        <v>148</v>
      </c>
      <c r="C481" s="12" t="s">
        <v>13</v>
      </c>
      <c r="D481" s="12">
        <v>6.6875000000000009</v>
      </c>
      <c r="E481" s="12">
        <v>6.6499999999999995</v>
      </c>
      <c r="F481" s="12">
        <v>20</v>
      </c>
      <c r="G481" s="12">
        <v>6.6499999999999995</v>
      </c>
      <c r="H481" s="12">
        <v>5.3492647058823515</v>
      </c>
      <c r="I481" s="12" t="s">
        <v>114</v>
      </c>
      <c r="J481" s="6">
        <v>46310</v>
      </c>
      <c r="K481">
        <v>46310</v>
      </c>
      <c r="L481">
        <v>0.9943925233644858</v>
      </c>
      <c r="M481">
        <v>0.9943925233644858</v>
      </c>
      <c r="N481">
        <v>0.79989004947773468</v>
      </c>
      <c r="O481">
        <v>1.0056390977443612</v>
      </c>
      <c r="P481">
        <v>1.0056390977443612</v>
      </c>
      <c r="Q481">
        <v>0.80440070765148153</v>
      </c>
      <c r="R481">
        <v>1.2431615120274917</v>
      </c>
      <c r="S481">
        <v>1.2431615120274917</v>
      </c>
      <c r="T481">
        <v>1.2501718213058424</v>
      </c>
    </row>
    <row r="482" spans="1:20" x14ac:dyDescent="0.25">
      <c r="A482" s="12" t="s">
        <v>60</v>
      </c>
      <c r="B482" s="12" t="s">
        <v>148</v>
      </c>
      <c r="C482" s="12" t="s">
        <v>14</v>
      </c>
      <c r="D482" s="12">
        <v>0</v>
      </c>
      <c r="E482" s="12">
        <v>11.4</v>
      </c>
      <c r="F482" s="12">
        <v>20</v>
      </c>
      <c r="G482" s="12">
        <v>11.4</v>
      </c>
      <c r="H482" s="12">
        <v>0.55363321799307952</v>
      </c>
      <c r="I482" s="12" t="s">
        <v>116</v>
      </c>
      <c r="J482" s="6">
        <v>46311</v>
      </c>
      <c r="K482">
        <v>46311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4.8564317367813997E-2</v>
      </c>
      <c r="R482">
        <v>20.591249999999999</v>
      </c>
      <c r="S482">
        <v>20.591249999999999</v>
      </c>
      <c r="T482">
        <v>0</v>
      </c>
    </row>
    <row r="483" spans="1:20" x14ac:dyDescent="0.25">
      <c r="A483" s="12" t="s">
        <v>60</v>
      </c>
      <c r="B483" s="12" t="s">
        <v>148</v>
      </c>
      <c r="C483" s="12" t="s">
        <v>15</v>
      </c>
      <c r="D483" s="12">
        <v>0</v>
      </c>
      <c r="E483" s="12">
        <v>0</v>
      </c>
      <c r="F483" s="12">
        <v>20</v>
      </c>
      <c r="G483" s="12">
        <v>0</v>
      </c>
      <c r="H483" s="12">
        <v>0</v>
      </c>
      <c r="I483" s="12" t="s">
        <v>117</v>
      </c>
      <c r="J483" s="6">
        <v>46311</v>
      </c>
      <c r="K483">
        <v>46311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 x14ac:dyDescent="0.25">
      <c r="A484" s="12" t="s">
        <v>60</v>
      </c>
      <c r="B484" s="12" t="s">
        <v>148</v>
      </c>
      <c r="C484" s="12" t="s">
        <v>13</v>
      </c>
      <c r="D484" s="12">
        <v>5.1875000000000009</v>
      </c>
      <c r="E484" s="12">
        <v>5.6999999999999993</v>
      </c>
      <c r="F484" s="12">
        <v>20</v>
      </c>
      <c r="G484" s="12">
        <v>5.6999999999999993</v>
      </c>
      <c r="H484" s="12">
        <v>4.5992647058823515</v>
      </c>
      <c r="I484" s="12" t="s">
        <v>115</v>
      </c>
      <c r="J484" s="6">
        <v>46311</v>
      </c>
      <c r="K484">
        <v>46311</v>
      </c>
      <c r="L484">
        <v>1.0987951807228913</v>
      </c>
      <c r="M484">
        <v>1.0987951807228913</v>
      </c>
      <c r="N484">
        <v>0.88660524450744105</v>
      </c>
      <c r="O484">
        <v>0.91008771929824583</v>
      </c>
      <c r="P484">
        <v>0.91008771929824583</v>
      </c>
      <c r="Q484">
        <v>0.80688854489164075</v>
      </c>
      <c r="R484">
        <v>1.239328537170264</v>
      </c>
      <c r="S484">
        <v>1.239328537170264</v>
      </c>
      <c r="T484">
        <v>1.127897681854517</v>
      </c>
    </row>
    <row r="485" spans="1:20" x14ac:dyDescent="0.25">
      <c r="A485" s="12" t="s">
        <v>60</v>
      </c>
      <c r="B485" s="12" t="s">
        <v>148</v>
      </c>
      <c r="C485" s="12" t="s">
        <v>13</v>
      </c>
      <c r="D485" s="12">
        <v>0.56250000000000011</v>
      </c>
      <c r="E485" s="12">
        <v>0.95</v>
      </c>
      <c r="F485" s="12">
        <v>20</v>
      </c>
      <c r="G485" s="12">
        <v>0.95</v>
      </c>
      <c r="H485" s="12">
        <v>0.43749999999999994</v>
      </c>
      <c r="I485" s="12" t="s">
        <v>119</v>
      </c>
      <c r="J485" s="6">
        <v>46312</v>
      </c>
      <c r="K485">
        <v>46312</v>
      </c>
      <c r="L485">
        <v>1.6888888888888884</v>
      </c>
      <c r="M485">
        <v>1.6888888888888884</v>
      </c>
      <c r="N485">
        <v>0.77777777777777757</v>
      </c>
      <c r="O485">
        <v>0.59210526315789491</v>
      </c>
      <c r="P485">
        <v>0.59210526315789491</v>
      </c>
      <c r="Q485">
        <v>0.46052631578947367</v>
      </c>
      <c r="R485">
        <v>2.1714285714285717</v>
      </c>
      <c r="S485">
        <v>2.1714285714285717</v>
      </c>
      <c r="T485">
        <v>1.285714285714286</v>
      </c>
    </row>
    <row r="486" spans="1:20" x14ac:dyDescent="0.25">
      <c r="A486" s="12" t="s">
        <v>60</v>
      </c>
      <c r="B486" s="12" t="s">
        <v>148</v>
      </c>
      <c r="C486" s="12" t="s">
        <v>15</v>
      </c>
      <c r="D486" s="12">
        <v>0</v>
      </c>
      <c r="E486" s="12">
        <v>0.95</v>
      </c>
      <c r="F486" s="12">
        <v>20</v>
      </c>
      <c r="G486" s="12">
        <v>0.95</v>
      </c>
      <c r="H486" s="12">
        <v>0</v>
      </c>
      <c r="I486" s="12" t="s">
        <v>120</v>
      </c>
      <c r="J486" s="6">
        <v>46312</v>
      </c>
      <c r="K486">
        <v>46312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 x14ac:dyDescent="0.25">
      <c r="A487" s="12" t="s">
        <v>60</v>
      </c>
      <c r="B487" s="12" t="s">
        <v>148</v>
      </c>
      <c r="C487" s="12" t="s">
        <v>14</v>
      </c>
      <c r="D487" s="12">
        <v>0</v>
      </c>
      <c r="E487" s="12">
        <v>1.9</v>
      </c>
      <c r="F487" s="12">
        <v>20</v>
      </c>
      <c r="G487" s="12">
        <v>1.9</v>
      </c>
      <c r="H487" s="12">
        <v>0.17647058823529413</v>
      </c>
      <c r="I487" s="12" t="s">
        <v>118</v>
      </c>
      <c r="J487" s="6">
        <v>46312</v>
      </c>
      <c r="K487">
        <v>46312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9.2879256965944276E-2</v>
      </c>
      <c r="R487">
        <v>10.766666666666666</v>
      </c>
      <c r="S487">
        <v>10.766666666666666</v>
      </c>
      <c r="T487">
        <v>0</v>
      </c>
    </row>
    <row r="488" spans="1:20" x14ac:dyDescent="0.25">
      <c r="A488" s="12" t="s">
        <v>60</v>
      </c>
      <c r="B488" s="12" t="s">
        <v>148</v>
      </c>
      <c r="C488" s="12" t="s">
        <v>15</v>
      </c>
      <c r="D488" s="12">
        <v>0</v>
      </c>
      <c r="E488" s="12">
        <v>0.95</v>
      </c>
      <c r="F488" s="12">
        <v>20</v>
      </c>
      <c r="G488" s="12">
        <v>0.95</v>
      </c>
      <c r="H488" s="12">
        <v>0</v>
      </c>
      <c r="I488" s="12" t="s">
        <v>122</v>
      </c>
      <c r="J488" s="6">
        <v>46313</v>
      </c>
      <c r="K488">
        <v>46313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 x14ac:dyDescent="0.25">
      <c r="A489" s="12" t="s">
        <v>60</v>
      </c>
      <c r="B489" s="12" t="s">
        <v>148</v>
      </c>
      <c r="C489" s="12" t="s">
        <v>14</v>
      </c>
      <c r="D489" s="12">
        <v>0</v>
      </c>
      <c r="E489" s="12">
        <v>1.9</v>
      </c>
      <c r="F489" s="12">
        <v>20</v>
      </c>
      <c r="G489" s="12">
        <v>1.9</v>
      </c>
      <c r="H489" s="12">
        <v>0.17647058823529413</v>
      </c>
      <c r="I489" s="12" t="s">
        <v>123</v>
      </c>
      <c r="J489" s="6">
        <v>46313</v>
      </c>
      <c r="K489">
        <v>46313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9.2879256965944276E-2</v>
      </c>
      <c r="R489">
        <v>10.766666666666666</v>
      </c>
      <c r="S489">
        <v>10.766666666666666</v>
      </c>
      <c r="T489">
        <v>0</v>
      </c>
    </row>
    <row r="490" spans="1:20" x14ac:dyDescent="0.25">
      <c r="A490" s="12" t="s">
        <v>60</v>
      </c>
      <c r="B490" s="12" t="s">
        <v>148</v>
      </c>
      <c r="C490" s="12" t="s">
        <v>13</v>
      </c>
      <c r="D490" s="12">
        <v>0.56250000000000011</v>
      </c>
      <c r="E490" s="12">
        <v>0.95</v>
      </c>
      <c r="F490" s="12">
        <v>20</v>
      </c>
      <c r="G490" s="12">
        <v>0.95</v>
      </c>
      <c r="H490" s="12">
        <v>0.43749999999999994</v>
      </c>
      <c r="I490" s="12" t="s">
        <v>121</v>
      </c>
      <c r="J490" s="6">
        <v>46313</v>
      </c>
      <c r="K490">
        <v>46313</v>
      </c>
      <c r="L490">
        <v>1.6888888888888884</v>
      </c>
      <c r="M490">
        <v>1.6888888888888884</v>
      </c>
      <c r="N490">
        <v>0.77777777777777757</v>
      </c>
      <c r="O490">
        <v>0.59210526315789491</v>
      </c>
      <c r="P490">
        <v>0.59210526315789491</v>
      </c>
      <c r="Q490">
        <v>0.46052631578947367</v>
      </c>
      <c r="R490">
        <v>2.1714285714285717</v>
      </c>
      <c r="S490">
        <v>2.1714285714285717</v>
      </c>
      <c r="T490">
        <v>1.285714285714286</v>
      </c>
    </row>
    <row r="491" spans="1:20" x14ac:dyDescent="0.25">
      <c r="A491" s="12" t="s">
        <v>60</v>
      </c>
      <c r="B491" s="12" t="s">
        <v>148</v>
      </c>
      <c r="C491" s="12" t="s">
        <v>14</v>
      </c>
      <c r="D491" s="12">
        <v>0</v>
      </c>
      <c r="E491" s="12">
        <v>12.35</v>
      </c>
      <c r="F491" s="12">
        <v>20</v>
      </c>
      <c r="G491" s="12">
        <v>12.35</v>
      </c>
      <c r="H491" s="12">
        <v>0.830449826989619</v>
      </c>
      <c r="I491" s="12" t="s">
        <v>124</v>
      </c>
      <c r="J491" s="6">
        <v>46314</v>
      </c>
      <c r="K491">
        <v>46314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6.724290097081935E-2</v>
      </c>
      <c r="R491">
        <v>14.87145833333334</v>
      </c>
      <c r="S491">
        <v>14.87145833333334</v>
      </c>
      <c r="T491">
        <v>0</v>
      </c>
    </row>
    <row r="492" spans="1:20" x14ac:dyDescent="0.25">
      <c r="A492" s="12" t="s">
        <v>60</v>
      </c>
      <c r="B492" s="12" t="s">
        <v>148</v>
      </c>
      <c r="C492" s="12" t="s">
        <v>15</v>
      </c>
      <c r="D492" s="12">
        <v>0</v>
      </c>
      <c r="E492" s="12">
        <v>0</v>
      </c>
      <c r="F492" s="12">
        <v>20</v>
      </c>
      <c r="G492" s="12">
        <v>0</v>
      </c>
      <c r="H492" s="12">
        <v>0</v>
      </c>
      <c r="I492" s="12" t="s">
        <v>125</v>
      </c>
      <c r="J492" s="6">
        <v>46314</v>
      </c>
      <c r="K492">
        <v>46314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 x14ac:dyDescent="0.25">
      <c r="A493" s="12" t="s">
        <v>60</v>
      </c>
      <c r="B493" s="12" t="s">
        <v>148</v>
      </c>
      <c r="C493" s="12" t="s">
        <v>13</v>
      </c>
      <c r="D493" s="12">
        <v>6.0000000000000018</v>
      </c>
      <c r="E493" s="12">
        <v>5.6999999999999993</v>
      </c>
      <c r="F493" s="12">
        <v>20</v>
      </c>
      <c r="G493" s="12">
        <v>5.6999999999999993</v>
      </c>
      <c r="H493" s="12">
        <v>5.1176470588235272</v>
      </c>
      <c r="I493" s="12" t="s">
        <v>126</v>
      </c>
      <c r="J493" s="6">
        <v>46314</v>
      </c>
      <c r="K493">
        <v>46314</v>
      </c>
      <c r="L493">
        <v>0.94999999999999962</v>
      </c>
      <c r="M493">
        <v>0.94999999999999962</v>
      </c>
      <c r="N493">
        <v>0.85294117647058765</v>
      </c>
      <c r="O493">
        <v>1.0526315789473688</v>
      </c>
      <c r="P493">
        <v>1.0526315789473688</v>
      </c>
      <c r="Q493">
        <v>0.89783281733746101</v>
      </c>
      <c r="R493">
        <v>1.1137931034482762</v>
      </c>
      <c r="S493">
        <v>1.1137931034482762</v>
      </c>
      <c r="T493">
        <v>1.1724137931034491</v>
      </c>
    </row>
    <row r="494" spans="1:20" x14ac:dyDescent="0.25">
      <c r="A494" s="12" t="s">
        <v>60</v>
      </c>
      <c r="B494" s="12" t="s">
        <v>148</v>
      </c>
      <c r="C494" s="12" t="s">
        <v>13</v>
      </c>
      <c r="D494" s="12">
        <v>7.5625000000000018</v>
      </c>
      <c r="E494" s="12">
        <v>6.6499999999999995</v>
      </c>
      <c r="F494" s="12">
        <v>20</v>
      </c>
      <c r="G494" s="12">
        <v>6.6499999999999995</v>
      </c>
      <c r="H494" s="12">
        <v>5.5551470588235272</v>
      </c>
      <c r="I494" s="12" t="s">
        <v>127</v>
      </c>
      <c r="J494" s="6">
        <v>46315</v>
      </c>
      <c r="K494">
        <v>46315</v>
      </c>
      <c r="L494">
        <v>0.87933884297520637</v>
      </c>
      <c r="M494">
        <v>0.87933884297520637</v>
      </c>
      <c r="N494">
        <v>0.73456490034030097</v>
      </c>
      <c r="O494">
        <v>1.1372180451127822</v>
      </c>
      <c r="P494">
        <v>1.1372180451127822</v>
      </c>
      <c r="Q494">
        <v>0.83536045997346275</v>
      </c>
      <c r="R494">
        <v>1.1970880211780281</v>
      </c>
      <c r="S494">
        <v>1.1970880211780281</v>
      </c>
      <c r="T494">
        <v>1.3613500992720062</v>
      </c>
    </row>
    <row r="495" spans="1:20" x14ac:dyDescent="0.25">
      <c r="A495" s="12" t="s">
        <v>60</v>
      </c>
      <c r="B495" s="12" t="s">
        <v>148</v>
      </c>
      <c r="C495" s="12" t="s">
        <v>15</v>
      </c>
      <c r="D495" s="12">
        <v>0</v>
      </c>
      <c r="E495" s="12">
        <v>0</v>
      </c>
      <c r="F495" s="12">
        <v>20</v>
      </c>
      <c r="G495" s="12">
        <v>0</v>
      </c>
      <c r="H495" s="12">
        <v>0</v>
      </c>
      <c r="I495" s="12" t="s">
        <v>128</v>
      </c>
      <c r="J495" s="6">
        <v>46315</v>
      </c>
      <c r="K495">
        <v>46315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 x14ac:dyDescent="0.25">
      <c r="A496" s="12" t="s">
        <v>60</v>
      </c>
      <c r="B496" s="12" t="s">
        <v>148</v>
      </c>
      <c r="C496" s="12" t="s">
        <v>14</v>
      </c>
      <c r="D496" s="12">
        <v>0</v>
      </c>
      <c r="E496" s="12">
        <v>15.2</v>
      </c>
      <c r="F496" s="12">
        <v>20</v>
      </c>
      <c r="G496" s="12">
        <v>15.2</v>
      </c>
      <c r="H496" s="12">
        <v>1.0069204152249132</v>
      </c>
      <c r="I496" s="12" t="s">
        <v>129</v>
      </c>
      <c r="J496" s="6">
        <v>46315</v>
      </c>
      <c r="K496">
        <v>46315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6.6244764159533759E-2</v>
      </c>
      <c r="R496">
        <v>15.095532646048115</v>
      </c>
      <c r="S496">
        <v>15.095532646048115</v>
      </c>
      <c r="T496">
        <v>0</v>
      </c>
    </row>
    <row r="497" spans="1:20" x14ac:dyDescent="0.25">
      <c r="A497" s="12" t="s">
        <v>60</v>
      </c>
      <c r="B497" s="12" t="s">
        <v>148</v>
      </c>
      <c r="C497" s="12" t="s">
        <v>14</v>
      </c>
      <c r="D497" s="12">
        <v>0</v>
      </c>
      <c r="E497" s="12">
        <v>12.35</v>
      </c>
      <c r="F497" s="12">
        <v>20</v>
      </c>
      <c r="G497" s="12">
        <v>12.35</v>
      </c>
      <c r="H497" s="12">
        <v>0.55363321799307952</v>
      </c>
      <c r="I497" s="12" t="s">
        <v>130</v>
      </c>
      <c r="J497" s="6">
        <v>46316</v>
      </c>
      <c r="K497">
        <v>46316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4.4828600647212918E-2</v>
      </c>
      <c r="R497">
        <v>22.307187500000001</v>
      </c>
      <c r="S497">
        <v>22.307187500000001</v>
      </c>
      <c r="T497">
        <v>0</v>
      </c>
    </row>
    <row r="498" spans="1:20" x14ac:dyDescent="0.25">
      <c r="A498" s="12" t="s">
        <v>60</v>
      </c>
      <c r="B498" s="12" t="s">
        <v>148</v>
      </c>
      <c r="C498" s="12" t="s">
        <v>15</v>
      </c>
      <c r="D498" s="12">
        <v>0</v>
      </c>
      <c r="E498" s="12">
        <v>0</v>
      </c>
      <c r="F498" s="12">
        <v>20</v>
      </c>
      <c r="G498" s="12">
        <v>0</v>
      </c>
      <c r="H498" s="12">
        <v>0</v>
      </c>
      <c r="I498" s="12" t="s">
        <v>131</v>
      </c>
      <c r="J498" s="6">
        <v>46316</v>
      </c>
      <c r="K498">
        <v>46316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x14ac:dyDescent="0.25">
      <c r="A499" s="12" t="s">
        <v>60</v>
      </c>
      <c r="B499" s="12" t="s">
        <v>148</v>
      </c>
      <c r="C499" s="12" t="s">
        <v>13</v>
      </c>
      <c r="D499" s="12">
        <v>6.6875000000000009</v>
      </c>
      <c r="E499" s="12">
        <v>6.6499999999999995</v>
      </c>
      <c r="F499" s="12">
        <v>20</v>
      </c>
      <c r="G499" s="12">
        <v>6.6499999999999995</v>
      </c>
      <c r="H499" s="12">
        <v>5.3492647058823515</v>
      </c>
      <c r="I499" s="12" t="s">
        <v>132</v>
      </c>
      <c r="J499" s="6">
        <v>46316</v>
      </c>
      <c r="K499">
        <v>46316</v>
      </c>
      <c r="L499">
        <v>0.9943925233644858</v>
      </c>
      <c r="M499">
        <v>0.9943925233644858</v>
      </c>
      <c r="N499">
        <v>0.79989004947773468</v>
      </c>
      <c r="O499">
        <v>1.0056390977443612</v>
      </c>
      <c r="P499">
        <v>1.0056390977443612</v>
      </c>
      <c r="Q499">
        <v>0.80440070765148153</v>
      </c>
      <c r="R499">
        <v>1.2431615120274917</v>
      </c>
      <c r="S499">
        <v>1.2431615120274917</v>
      </c>
      <c r="T499">
        <v>1.2501718213058424</v>
      </c>
    </row>
    <row r="500" spans="1:20" x14ac:dyDescent="0.25">
      <c r="A500" s="12" t="s">
        <v>60</v>
      </c>
      <c r="B500" s="12" t="s">
        <v>148</v>
      </c>
      <c r="C500" s="12" t="s">
        <v>13</v>
      </c>
      <c r="D500" s="12">
        <v>6.6875000000000009</v>
      </c>
      <c r="E500" s="12">
        <v>6.6499999999999995</v>
      </c>
      <c r="F500" s="12">
        <v>20</v>
      </c>
      <c r="G500" s="12">
        <v>6.6499999999999995</v>
      </c>
      <c r="H500" s="12">
        <v>5.3492647058823515</v>
      </c>
      <c r="I500" s="12" t="s">
        <v>133</v>
      </c>
      <c r="J500" s="6">
        <v>46317</v>
      </c>
      <c r="K500">
        <v>46317</v>
      </c>
      <c r="L500">
        <v>0.9943925233644858</v>
      </c>
      <c r="M500">
        <v>0.9943925233644858</v>
      </c>
      <c r="N500">
        <v>0.79989004947773468</v>
      </c>
      <c r="O500">
        <v>1.0056390977443612</v>
      </c>
      <c r="P500">
        <v>1.0056390977443612</v>
      </c>
      <c r="Q500">
        <v>0.80440070765148153</v>
      </c>
      <c r="R500">
        <v>1.2431615120274917</v>
      </c>
      <c r="S500">
        <v>1.2431615120274917</v>
      </c>
      <c r="T500">
        <v>1.2501718213058424</v>
      </c>
    </row>
    <row r="501" spans="1:20" x14ac:dyDescent="0.25">
      <c r="A501" s="12" t="s">
        <v>60</v>
      </c>
      <c r="B501" s="12" t="s">
        <v>148</v>
      </c>
      <c r="C501" s="12" t="s">
        <v>15</v>
      </c>
      <c r="D501" s="12">
        <v>0</v>
      </c>
      <c r="E501" s="12">
        <v>1.9</v>
      </c>
      <c r="F501" s="12">
        <v>20</v>
      </c>
      <c r="G501" s="12">
        <v>1.9</v>
      </c>
      <c r="H501" s="12">
        <v>0</v>
      </c>
      <c r="I501" s="12" t="s">
        <v>134</v>
      </c>
      <c r="J501" s="6">
        <v>46317</v>
      </c>
      <c r="K501">
        <v>46317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 x14ac:dyDescent="0.25">
      <c r="A502" s="12" t="s">
        <v>60</v>
      </c>
      <c r="B502" s="12" t="s">
        <v>148</v>
      </c>
      <c r="C502" s="12" t="s">
        <v>14</v>
      </c>
      <c r="D502" s="12">
        <v>0</v>
      </c>
      <c r="E502" s="12">
        <v>12.35</v>
      </c>
      <c r="F502" s="12">
        <v>20</v>
      </c>
      <c r="G502" s="12">
        <v>12.35</v>
      </c>
      <c r="H502" s="12">
        <v>0.55363321799307952</v>
      </c>
      <c r="I502" s="12" t="s">
        <v>135</v>
      </c>
      <c r="J502" s="6">
        <v>46317</v>
      </c>
      <c r="K502">
        <v>46317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4.4828600647212918E-2</v>
      </c>
      <c r="R502">
        <v>22.307187500000001</v>
      </c>
      <c r="S502">
        <v>22.307187500000001</v>
      </c>
      <c r="T502">
        <v>0</v>
      </c>
    </row>
    <row r="503" spans="1:20" x14ac:dyDescent="0.25">
      <c r="A503" s="12" t="s">
        <v>60</v>
      </c>
      <c r="B503" s="12" t="s">
        <v>148</v>
      </c>
      <c r="C503" s="12" t="s">
        <v>14</v>
      </c>
      <c r="D503" s="12">
        <v>0</v>
      </c>
      <c r="E503" s="12">
        <v>11.4</v>
      </c>
      <c r="F503" s="12">
        <v>20</v>
      </c>
      <c r="G503" s="12">
        <v>11.4</v>
      </c>
      <c r="H503" s="12">
        <v>0.44290657439446368</v>
      </c>
      <c r="I503" s="12" t="s">
        <v>138</v>
      </c>
      <c r="J503" s="6">
        <v>46318</v>
      </c>
      <c r="K503">
        <v>46318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3.8851453894251202E-2</v>
      </c>
      <c r="R503">
        <v>25.739062499999996</v>
      </c>
      <c r="S503">
        <v>25.739062499999996</v>
      </c>
      <c r="T503">
        <v>0</v>
      </c>
    </row>
    <row r="504" spans="1:20" x14ac:dyDescent="0.25">
      <c r="A504" s="12" t="s">
        <v>60</v>
      </c>
      <c r="B504" s="12" t="s">
        <v>148</v>
      </c>
      <c r="C504" s="12" t="s">
        <v>15</v>
      </c>
      <c r="D504" s="12">
        <v>0</v>
      </c>
      <c r="E504" s="12">
        <v>0</v>
      </c>
      <c r="F504" s="12">
        <v>20</v>
      </c>
      <c r="G504" s="12">
        <v>0</v>
      </c>
      <c r="H504" s="12">
        <v>0</v>
      </c>
      <c r="I504" s="12" t="s">
        <v>137</v>
      </c>
      <c r="J504" s="6">
        <v>46318</v>
      </c>
      <c r="K504">
        <v>46318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25">
      <c r="A505" s="12" t="s">
        <v>60</v>
      </c>
      <c r="B505" s="12" t="s">
        <v>148</v>
      </c>
      <c r="C505" s="12" t="s">
        <v>13</v>
      </c>
      <c r="D505" s="12">
        <v>5.1875000000000009</v>
      </c>
      <c r="E505" s="12">
        <v>5.6999999999999993</v>
      </c>
      <c r="F505" s="12">
        <v>20</v>
      </c>
      <c r="G505" s="12">
        <v>5.6999999999999993</v>
      </c>
      <c r="H505" s="12">
        <v>4.7169117647058805</v>
      </c>
      <c r="I505" s="12" t="s">
        <v>136</v>
      </c>
      <c r="J505" s="6">
        <v>46318</v>
      </c>
      <c r="K505">
        <v>46318</v>
      </c>
      <c r="L505">
        <v>1.0987951807228913</v>
      </c>
      <c r="M505">
        <v>1.0987951807228913</v>
      </c>
      <c r="N505">
        <v>0.90928419560595275</v>
      </c>
      <c r="O505">
        <v>0.91008771929824583</v>
      </c>
      <c r="P505">
        <v>0.91008771929824583</v>
      </c>
      <c r="Q505">
        <v>0.82752837977296156</v>
      </c>
      <c r="R505">
        <v>1.2084177708495716</v>
      </c>
      <c r="S505">
        <v>1.2084177708495716</v>
      </c>
      <c r="T505">
        <v>1.099766173031957</v>
      </c>
    </row>
    <row r="506" spans="1:20" x14ac:dyDescent="0.25">
      <c r="A506" s="12" t="s">
        <v>60</v>
      </c>
      <c r="B506" s="12" t="s">
        <v>148</v>
      </c>
      <c r="C506" s="12" t="s">
        <v>14</v>
      </c>
      <c r="D506" s="12">
        <v>0</v>
      </c>
      <c r="E506" s="12">
        <v>0.95</v>
      </c>
      <c r="F506" s="12">
        <v>20</v>
      </c>
      <c r="G506" s="12">
        <v>0.95</v>
      </c>
      <c r="H506" s="12">
        <v>0.17647058823529413</v>
      </c>
      <c r="I506" s="12" t="s">
        <v>140</v>
      </c>
      <c r="J506" s="6">
        <v>46319</v>
      </c>
      <c r="K506">
        <v>46319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0.18575851393188855</v>
      </c>
      <c r="R506">
        <v>5.3833333333333329</v>
      </c>
      <c r="S506">
        <v>5.3833333333333329</v>
      </c>
      <c r="T506">
        <v>0</v>
      </c>
    </row>
    <row r="507" spans="1:20" x14ac:dyDescent="0.25">
      <c r="A507" s="12" t="s">
        <v>60</v>
      </c>
      <c r="B507" s="12" t="s">
        <v>148</v>
      </c>
      <c r="C507" s="12" t="s">
        <v>13</v>
      </c>
      <c r="D507" s="12">
        <v>0.56250000000000011</v>
      </c>
      <c r="E507" s="12">
        <v>0.95</v>
      </c>
      <c r="F507" s="12">
        <v>20</v>
      </c>
      <c r="G507" s="12">
        <v>0.95</v>
      </c>
      <c r="H507" s="12">
        <v>0.43749999999999994</v>
      </c>
      <c r="I507" s="12" t="s">
        <v>141</v>
      </c>
      <c r="J507" s="6">
        <v>46319</v>
      </c>
      <c r="K507">
        <v>46319</v>
      </c>
      <c r="L507">
        <v>1.6888888888888884</v>
      </c>
      <c r="M507">
        <v>1.6888888888888884</v>
      </c>
      <c r="N507">
        <v>0.77777777777777757</v>
      </c>
      <c r="O507">
        <v>0.59210526315789491</v>
      </c>
      <c r="P507">
        <v>0.59210526315789491</v>
      </c>
      <c r="Q507">
        <v>0.46052631578947367</v>
      </c>
      <c r="R507">
        <v>2.1714285714285717</v>
      </c>
      <c r="S507">
        <v>2.1714285714285717</v>
      </c>
      <c r="T507">
        <v>1.285714285714286</v>
      </c>
    </row>
    <row r="508" spans="1:20" x14ac:dyDescent="0.25">
      <c r="A508" s="12" t="s">
        <v>60</v>
      </c>
      <c r="B508" s="12" t="s">
        <v>148</v>
      </c>
      <c r="C508" s="12" t="s">
        <v>15</v>
      </c>
      <c r="D508" s="12">
        <v>0</v>
      </c>
      <c r="E508" s="12">
        <v>0</v>
      </c>
      <c r="F508" s="12">
        <v>20</v>
      </c>
      <c r="G508" s="12">
        <v>0</v>
      </c>
      <c r="H508" s="12">
        <v>0</v>
      </c>
      <c r="I508" s="12" t="s">
        <v>139</v>
      </c>
      <c r="J508" s="6">
        <v>46319</v>
      </c>
      <c r="K508">
        <v>46319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x14ac:dyDescent="0.25">
      <c r="A509" s="12" t="s">
        <v>60</v>
      </c>
      <c r="B509" s="12" t="s">
        <v>148</v>
      </c>
      <c r="C509" s="12" t="s">
        <v>15</v>
      </c>
      <c r="D509" s="12">
        <v>0</v>
      </c>
      <c r="E509" s="12">
        <v>0.95</v>
      </c>
      <c r="F509" s="12">
        <v>20</v>
      </c>
      <c r="G509" s="12">
        <v>0.95</v>
      </c>
      <c r="H509" s="12">
        <v>0</v>
      </c>
      <c r="I509" s="12" t="s">
        <v>142</v>
      </c>
      <c r="J509" s="6">
        <v>46320</v>
      </c>
      <c r="K509">
        <v>46320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25">
      <c r="A510" s="12" t="s">
        <v>60</v>
      </c>
      <c r="B510" s="12" t="s">
        <v>148</v>
      </c>
      <c r="C510" s="12" t="s">
        <v>14</v>
      </c>
      <c r="D510" s="12">
        <v>0</v>
      </c>
      <c r="E510" s="12">
        <v>1.9</v>
      </c>
      <c r="F510" s="12">
        <v>20</v>
      </c>
      <c r="G510" s="12">
        <v>1.9</v>
      </c>
      <c r="H510" s="12">
        <v>0.17647058823529413</v>
      </c>
      <c r="I510" s="12" t="s">
        <v>143</v>
      </c>
      <c r="J510" s="6">
        <v>46320</v>
      </c>
      <c r="K510">
        <v>46320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9.2879256965944276E-2</v>
      </c>
      <c r="R510">
        <v>10.766666666666666</v>
      </c>
      <c r="S510">
        <v>10.766666666666666</v>
      </c>
      <c r="T510">
        <v>0</v>
      </c>
    </row>
    <row r="511" spans="1:20" x14ac:dyDescent="0.25">
      <c r="A511" s="12" t="s">
        <v>60</v>
      </c>
      <c r="B511" s="12" t="s">
        <v>148</v>
      </c>
      <c r="C511" s="12" t="s">
        <v>13</v>
      </c>
      <c r="D511" s="12">
        <v>0.56250000000000011</v>
      </c>
      <c r="E511" s="12">
        <v>0.95</v>
      </c>
      <c r="F511" s="12">
        <v>20</v>
      </c>
      <c r="G511" s="12">
        <v>0.95</v>
      </c>
      <c r="H511" s="12">
        <v>0.43749999999999994</v>
      </c>
      <c r="I511" s="12" t="s">
        <v>144</v>
      </c>
      <c r="J511" s="6">
        <v>46320</v>
      </c>
      <c r="K511">
        <v>46320</v>
      </c>
      <c r="L511">
        <v>1.6888888888888884</v>
      </c>
      <c r="M511">
        <v>1.6888888888888884</v>
      </c>
      <c r="N511">
        <v>0.77777777777777757</v>
      </c>
      <c r="O511">
        <v>0.59210526315789491</v>
      </c>
      <c r="P511">
        <v>0.59210526315789491</v>
      </c>
      <c r="Q511">
        <v>0.46052631578947367</v>
      </c>
      <c r="R511">
        <v>2.1714285714285717</v>
      </c>
      <c r="S511">
        <v>2.1714285714285717</v>
      </c>
      <c r="T511">
        <v>1.285714285714286</v>
      </c>
    </row>
    <row r="512" spans="1:20" x14ac:dyDescent="0.25">
      <c r="A512" s="12" t="s">
        <v>58</v>
      </c>
      <c r="B512" s="12" t="s">
        <v>57</v>
      </c>
      <c r="C512" s="12" t="s">
        <v>15</v>
      </c>
      <c r="D512" s="12">
        <v>0</v>
      </c>
      <c r="E512" s="12">
        <v>0.95</v>
      </c>
      <c r="F512" s="12">
        <v>18</v>
      </c>
      <c r="G512" s="12">
        <v>0.95</v>
      </c>
      <c r="H512" s="12">
        <v>0</v>
      </c>
      <c r="I512" s="12" t="s">
        <v>61</v>
      </c>
      <c r="J512" s="6">
        <v>46293</v>
      </c>
      <c r="K512">
        <v>46293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 x14ac:dyDescent="0.25">
      <c r="A513" s="12" t="s">
        <v>58</v>
      </c>
      <c r="B513" s="12" t="s">
        <v>57</v>
      </c>
      <c r="C513" s="12" t="s">
        <v>13</v>
      </c>
      <c r="D513" s="12">
        <v>4.3768873710032166</v>
      </c>
      <c r="E513" s="12">
        <v>2.8499999999999996</v>
      </c>
      <c r="F513" s="12">
        <v>18</v>
      </c>
      <c r="G513" s="12">
        <v>2.8499999999999996</v>
      </c>
      <c r="H513" s="12">
        <v>2.8235294117647065</v>
      </c>
      <c r="I513" s="12" t="s">
        <v>63</v>
      </c>
      <c r="J513" s="6">
        <v>46293</v>
      </c>
      <c r="K513">
        <v>46293</v>
      </c>
      <c r="L513">
        <v>0.65114766691991832</v>
      </c>
      <c r="M513">
        <v>0.65114766691991832</v>
      </c>
      <c r="N513">
        <v>0.64509985577205553</v>
      </c>
      <c r="O513">
        <v>1.5357499547379709</v>
      </c>
      <c r="P513">
        <v>1.5357499547379709</v>
      </c>
      <c r="Q513">
        <v>0.99071207430340591</v>
      </c>
      <c r="R513">
        <v>1.0093749999999997</v>
      </c>
      <c r="S513">
        <v>1.0093749999999997</v>
      </c>
      <c r="T513">
        <v>1.5501476105636389</v>
      </c>
    </row>
    <row r="514" spans="1:20" x14ac:dyDescent="0.25">
      <c r="A514" s="12" t="s">
        <v>58</v>
      </c>
      <c r="B514" s="12" t="s">
        <v>57</v>
      </c>
      <c r="C514" s="12" t="s">
        <v>14</v>
      </c>
      <c r="D514" s="12">
        <v>3.0895675560022688</v>
      </c>
      <c r="E514" s="12">
        <v>7.6</v>
      </c>
      <c r="F514" s="12">
        <v>18</v>
      </c>
      <c r="G514" s="12">
        <v>7.6</v>
      </c>
      <c r="H514" s="12">
        <v>4.577854671280277</v>
      </c>
      <c r="I514" s="12" t="s">
        <v>62</v>
      </c>
      <c r="J514" s="6">
        <v>46293</v>
      </c>
      <c r="K514">
        <v>46293</v>
      </c>
      <c r="L514">
        <v>2.4598911861419155</v>
      </c>
      <c r="M514">
        <v>2.4598911861419155</v>
      </c>
      <c r="N514">
        <v>1.4817137312264408</v>
      </c>
      <c r="O514">
        <v>0.40652204684240384</v>
      </c>
      <c r="P514">
        <v>0.40652204684240384</v>
      </c>
      <c r="Q514">
        <v>0.60234929885266808</v>
      </c>
      <c r="R514">
        <v>1.6601662887377171</v>
      </c>
      <c r="S514">
        <v>1.6601662887377171</v>
      </c>
      <c r="T514">
        <v>0.67489419779641391</v>
      </c>
    </row>
    <row r="515" spans="1:20" x14ac:dyDescent="0.25">
      <c r="A515" s="12" t="s">
        <v>58</v>
      </c>
      <c r="B515" s="12" t="s">
        <v>57</v>
      </c>
      <c r="C515" s="12" t="s">
        <v>15</v>
      </c>
      <c r="D515" s="12">
        <v>0</v>
      </c>
      <c r="E515" s="12">
        <v>1.9</v>
      </c>
      <c r="F515" s="12">
        <v>18</v>
      </c>
      <c r="G515" s="12">
        <v>1.9</v>
      </c>
      <c r="H515" s="12">
        <v>0</v>
      </c>
      <c r="I515" s="12" t="s">
        <v>65</v>
      </c>
      <c r="J515" s="6">
        <v>46294</v>
      </c>
      <c r="K515">
        <v>46294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 x14ac:dyDescent="0.25">
      <c r="A516" s="12" t="s">
        <v>58</v>
      </c>
      <c r="B516" s="12" t="s">
        <v>57</v>
      </c>
      <c r="C516" s="12" t="s">
        <v>13</v>
      </c>
      <c r="D516" s="12">
        <v>4.3768873710032166</v>
      </c>
      <c r="E516" s="12">
        <v>2.8499999999999996</v>
      </c>
      <c r="F516" s="12">
        <v>18</v>
      </c>
      <c r="G516" s="12">
        <v>2.8499999999999996</v>
      </c>
      <c r="H516" s="12">
        <v>3.7647058823529393</v>
      </c>
      <c r="I516" s="12" t="s">
        <v>64</v>
      </c>
      <c r="J516" s="6">
        <v>46294</v>
      </c>
      <c r="K516">
        <v>46294</v>
      </c>
      <c r="L516">
        <v>0.65114766691991832</v>
      </c>
      <c r="M516">
        <v>0.65114766691991832</v>
      </c>
      <c r="N516">
        <v>0.86013314102940686</v>
      </c>
      <c r="O516">
        <v>1.5357499547379709</v>
      </c>
      <c r="P516">
        <v>1.5357499547379709</v>
      </c>
      <c r="Q516">
        <v>1.3209494324045403</v>
      </c>
      <c r="R516">
        <v>0.75703125000000027</v>
      </c>
      <c r="S516">
        <v>0.75703125000000027</v>
      </c>
      <c r="T516">
        <v>1.1626107079227299</v>
      </c>
    </row>
    <row r="517" spans="1:20" x14ac:dyDescent="0.25">
      <c r="A517" s="12" t="s">
        <v>58</v>
      </c>
      <c r="B517" s="12" t="s">
        <v>57</v>
      </c>
      <c r="C517" s="12" t="s">
        <v>14</v>
      </c>
      <c r="D517" s="12">
        <v>3.0895675560022688</v>
      </c>
      <c r="E517" s="12">
        <v>6.6499999999999995</v>
      </c>
      <c r="F517" s="12">
        <v>18</v>
      </c>
      <c r="G517" s="12">
        <v>6.6499999999999995</v>
      </c>
      <c r="H517" s="12">
        <v>3.7508650519031144</v>
      </c>
      <c r="I517" s="12" t="s">
        <v>66</v>
      </c>
      <c r="J517" s="6">
        <v>46294</v>
      </c>
      <c r="K517">
        <v>46294</v>
      </c>
      <c r="L517">
        <v>2.1524047878741759</v>
      </c>
      <c r="M517">
        <v>2.1524047878741759</v>
      </c>
      <c r="N517">
        <v>1.2140420896821329</v>
      </c>
      <c r="O517">
        <v>0.46459662496274723</v>
      </c>
      <c r="P517">
        <v>0.46459662496274723</v>
      </c>
      <c r="Q517">
        <v>0.56403985742903984</v>
      </c>
      <c r="R517">
        <v>1.7729243542435422</v>
      </c>
      <c r="S517">
        <v>1.7729243542435422</v>
      </c>
      <c r="T517">
        <v>0.82369467129580776</v>
      </c>
    </row>
    <row r="518" spans="1:20" x14ac:dyDescent="0.25">
      <c r="A518" s="12" t="s">
        <v>58</v>
      </c>
      <c r="B518" s="12" t="s">
        <v>57</v>
      </c>
      <c r="C518" s="12" t="s">
        <v>13</v>
      </c>
      <c r="D518" s="12">
        <v>4.3768873710032157</v>
      </c>
      <c r="E518" s="12">
        <v>1.9</v>
      </c>
      <c r="F518" s="12">
        <v>18</v>
      </c>
      <c r="G518" s="12">
        <v>1.9</v>
      </c>
      <c r="H518" s="12">
        <v>2.8235294117647056</v>
      </c>
      <c r="I518" s="12" t="s">
        <v>67</v>
      </c>
      <c r="J518" s="6">
        <v>46295</v>
      </c>
      <c r="K518">
        <v>46295</v>
      </c>
      <c r="L518">
        <v>0.43409844461327901</v>
      </c>
      <c r="M518">
        <v>0.43409844461327901</v>
      </c>
      <c r="N518">
        <v>0.64509985577205553</v>
      </c>
      <c r="O518">
        <v>2.3036249321069557</v>
      </c>
      <c r="P518">
        <v>2.3036249321069557</v>
      </c>
      <c r="Q518">
        <v>1.4860681114551082</v>
      </c>
      <c r="R518">
        <v>0.67291666666666672</v>
      </c>
      <c r="S518">
        <v>0.67291666666666672</v>
      </c>
      <c r="T518">
        <v>1.5501476105636389</v>
      </c>
    </row>
    <row r="519" spans="1:20" x14ac:dyDescent="0.25">
      <c r="A519" s="12" t="s">
        <v>58</v>
      </c>
      <c r="B519" s="12" t="s">
        <v>57</v>
      </c>
      <c r="C519" s="12" t="s">
        <v>15</v>
      </c>
      <c r="D519" s="12">
        <v>0</v>
      </c>
      <c r="E519" s="12">
        <v>3.8</v>
      </c>
      <c r="F519" s="12">
        <v>18</v>
      </c>
      <c r="G519" s="12">
        <v>3.8</v>
      </c>
      <c r="H519" s="12">
        <v>0</v>
      </c>
      <c r="I519" s="12" t="s">
        <v>68</v>
      </c>
      <c r="J519" s="6">
        <v>46295</v>
      </c>
      <c r="K519">
        <v>46295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 x14ac:dyDescent="0.25">
      <c r="A520" s="12" t="s">
        <v>58</v>
      </c>
      <c r="B520" s="12" t="s">
        <v>57</v>
      </c>
      <c r="C520" s="12" t="s">
        <v>14</v>
      </c>
      <c r="D520" s="12">
        <v>3.8619594450028361</v>
      </c>
      <c r="E520" s="12">
        <v>6.6499999999999995</v>
      </c>
      <c r="F520" s="12">
        <v>18</v>
      </c>
      <c r="G520" s="12">
        <v>6.6499999999999995</v>
      </c>
      <c r="H520" s="12">
        <v>4.577854671280277</v>
      </c>
      <c r="I520" s="12" t="s">
        <v>69</v>
      </c>
      <c r="J520" s="6">
        <v>46295</v>
      </c>
      <c r="K520">
        <v>46295</v>
      </c>
      <c r="L520">
        <v>1.7219238302993407</v>
      </c>
      <c r="M520">
        <v>1.7219238302993407</v>
      </c>
      <c r="N520">
        <v>1.1853709849811525</v>
      </c>
      <c r="O520">
        <v>0.58074578120343401</v>
      </c>
      <c r="P520">
        <v>0.58074578120343401</v>
      </c>
      <c r="Q520">
        <v>0.68839919868876354</v>
      </c>
      <c r="R520">
        <v>1.4526455026455025</v>
      </c>
      <c r="S520">
        <v>1.4526455026455025</v>
      </c>
      <c r="T520">
        <v>0.84361774724551741</v>
      </c>
    </row>
    <row r="521" spans="1:20" x14ac:dyDescent="0.25">
      <c r="A521" s="12" t="s">
        <v>58</v>
      </c>
      <c r="B521" s="12" t="s">
        <v>57</v>
      </c>
      <c r="C521" s="12" t="s">
        <v>13</v>
      </c>
      <c r="D521" s="12">
        <v>3.5015098968025731</v>
      </c>
      <c r="E521" s="12">
        <v>3.8</v>
      </c>
      <c r="F521" s="12">
        <v>18</v>
      </c>
      <c r="G521" s="12">
        <v>3.8</v>
      </c>
      <c r="H521" s="12">
        <v>3.7647058823529393</v>
      </c>
      <c r="I521" s="12" t="s">
        <v>70</v>
      </c>
      <c r="J521" s="6">
        <v>46296</v>
      </c>
      <c r="K521">
        <v>46296</v>
      </c>
      <c r="L521">
        <v>1.0852461115331975</v>
      </c>
      <c r="M521">
        <v>1.0852461115331975</v>
      </c>
      <c r="N521">
        <v>1.0751664262867586</v>
      </c>
      <c r="O521">
        <v>0.92144997284278241</v>
      </c>
      <c r="P521">
        <v>0.92144997284278241</v>
      </c>
      <c r="Q521">
        <v>0.99071207430340513</v>
      </c>
      <c r="R521">
        <v>1.0093750000000004</v>
      </c>
      <c r="S521">
        <v>1.0093750000000004</v>
      </c>
      <c r="T521">
        <v>0.93008856633818393</v>
      </c>
    </row>
    <row r="522" spans="1:20" x14ac:dyDescent="0.25">
      <c r="A522" s="12" t="s">
        <v>58</v>
      </c>
      <c r="B522" s="12" t="s">
        <v>57</v>
      </c>
      <c r="C522" s="12" t="s">
        <v>15</v>
      </c>
      <c r="D522" s="12">
        <v>0</v>
      </c>
      <c r="E522" s="12">
        <v>0</v>
      </c>
      <c r="F522" s="12">
        <v>18</v>
      </c>
      <c r="G522" s="12">
        <v>0</v>
      </c>
      <c r="H522" s="12">
        <v>0</v>
      </c>
      <c r="I522" s="12" t="s">
        <v>72</v>
      </c>
      <c r="J522" s="6">
        <v>46296</v>
      </c>
      <c r="K522">
        <v>46296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 x14ac:dyDescent="0.25">
      <c r="A523" s="12" t="s">
        <v>58</v>
      </c>
      <c r="B523" s="12" t="s">
        <v>57</v>
      </c>
      <c r="C523" s="12" t="s">
        <v>14</v>
      </c>
      <c r="D523" s="12">
        <v>3.8619594450028369</v>
      </c>
      <c r="E523" s="12">
        <v>6.6499999999999995</v>
      </c>
      <c r="F523" s="12">
        <v>18</v>
      </c>
      <c r="G523" s="12">
        <v>6.6499999999999995</v>
      </c>
      <c r="H523" s="12">
        <v>3.7508650519031144</v>
      </c>
      <c r="I523" s="12" t="s">
        <v>71</v>
      </c>
      <c r="J523" s="6">
        <v>46296</v>
      </c>
      <c r="K523">
        <v>46296</v>
      </c>
      <c r="L523">
        <v>1.7219238302993403</v>
      </c>
      <c r="M523">
        <v>1.7219238302993403</v>
      </c>
      <c r="N523">
        <v>0.97123367174570607</v>
      </c>
      <c r="O523">
        <v>0.58074578120343412</v>
      </c>
      <c r="P523">
        <v>0.58074578120343412</v>
      </c>
      <c r="Q523">
        <v>0.56403985742903984</v>
      </c>
      <c r="R523">
        <v>1.7729243542435422</v>
      </c>
      <c r="S523">
        <v>1.7729243542435422</v>
      </c>
      <c r="T523">
        <v>1.02961833911976</v>
      </c>
    </row>
    <row r="524" spans="1:20" x14ac:dyDescent="0.25">
      <c r="A524" s="12" t="s">
        <v>58</v>
      </c>
      <c r="B524" s="12" t="s">
        <v>57</v>
      </c>
      <c r="C524" s="12" t="s">
        <v>15</v>
      </c>
      <c r="D524" s="12">
        <v>0</v>
      </c>
      <c r="E524" s="12">
        <v>1.9</v>
      </c>
      <c r="F524" s="12">
        <v>18</v>
      </c>
      <c r="G524" s="12">
        <v>1.9</v>
      </c>
      <c r="H524" s="12">
        <v>0</v>
      </c>
      <c r="I524" s="12" t="s">
        <v>74</v>
      </c>
      <c r="J524" s="6">
        <v>46297</v>
      </c>
      <c r="K524">
        <v>46297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 x14ac:dyDescent="0.25">
      <c r="A525" s="12" t="s">
        <v>58</v>
      </c>
      <c r="B525" s="12" t="s">
        <v>57</v>
      </c>
      <c r="C525" s="12" t="s">
        <v>13</v>
      </c>
      <c r="D525" s="12">
        <v>3.5015098968025731</v>
      </c>
      <c r="E525" s="12">
        <v>2.8499999999999996</v>
      </c>
      <c r="F525" s="12">
        <v>18</v>
      </c>
      <c r="G525" s="12">
        <v>2.8499999999999996</v>
      </c>
      <c r="H525" s="12">
        <v>2.569852941176471</v>
      </c>
      <c r="I525" s="12" t="s">
        <v>73</v>
      </c>
      <c r="J525" s="6">
        <v>46297</v>
      </c>
      <c r="K525">
        <v>46297</v>
      </c>
      <c r="L525">
        <v>0.81393458364989801</v>
      </c>
      <c r="M525">
        <v>0.81393458364989801</v>
      </c>
      <c r="N525">
        <v>0.73392708200629364</v>
      </c>
      <c r="O525">
        <v>1.2285999637903766</v>
      </c>
      <c r="P525">
        <v>1.2285999637903766</v>
      </c>
      <c r="Q525">
        <v>0.90170278637770929</v>
      </c>
      <c r="R525">
        <v>1.1090128755364803</v>
      </c>
      <c r="S525">
        <v>1.1090128755364803</v>
      </c>
      <c r="T525">
        <v>1.3625331787271813</v>
      </c>
    </row>
    <row r="526" spans="1:20" x14ac:dyDescent="0.25">
      <c r="A526" s="12" t="s">
        <v>58</v>
      </c>
      <c r="B526" s="12" t="s">
        <v>57</v>
      </c>
      <c r="C526" s="12" t="s">
        <v>14</v>
      </c>
      <c r="D526" s="12">
        <v>3.8619594450028369</v>
      </c>
      <c r="E526" s="12">
        <v>5.6999999999999993</v>
      </c>
      <c r="F526" s="12">
        <v>18</v>
      </c>
      <c r="G526" s="12">
        <v>5.6999999999999993</v>
      </c>
      <c r="H526" s="12">
        <v>3.45876585928489</v>
      </c>
      <c r="I526" s="12" t="s">
        <v>75</v>
      </c>
      <c r="J526" s="6">
        <v>46297</v>
      </c>
      <c r="K526">
        <v>46297</v>
      </c>
      <c r="L526">
        <v>1.4759347116851487</v>
      </c>
      <c r="M526">
        <v>1.4759347116851487</v>
      </c>
      <c r="N526">
        <v>0.89559870022983867</v>
      </c>
      <c r="O526">
        <v>0.67753674473733994</v>
      </c>
      <c r="P526">
        <v>0.67753674473733994</v>
      </c>
      <c r="Q526">
        <v>0.60680102794471757</v>
      </c>
      <c r="R526">
        <v>1.6479866611087954</v>
      </c>
      <c r="S526">
        <v>1.6479866611087954</v>
      </c>
      <c r="T526">
        <v>1.116571517738211</v>
      </c>
    </row>
    <row r="527" spans="1:20" x14ac:dyDescent="0.25">
      <c r="A527" s="12" t="s">
        <v>58</v>
      </c>
      <c r="B527" s="12" t="s">
        <v>57</v>
      </c>
      <c r="C527" s="12" t="s">
        <v>14</v>
      </c>
      <c r="D527" s="12">
        <v>3.8619594450028369</v>
      </c>
      <c r="E527" s="12">
        <v>3.8</v>
      </c>
      <c r="F527" s="12">
        <v>18</v>
      </c>
      <c r="G527" s="12">
        <v>3.8</v>
      </c>
      <c r="H527" s="12">
        <v>1.8754325259515572</v>
      </c>
      <c r="I527" s="12" t="s">
        <v>78</v>
      </c>
      <c r="J527" s="6">
        <v>46298</v>
      </c>
      <c r="K527">
        <v>46298</v>
      </c>
      <c r="L527">
        <v>0.98395647445676593</v>
      </c>
      <c r="M527">
        <v>0.98395647445676593</v>
      </c>
      <c r="N527">
        <v>0.48561683587285304</v>
      </c>
      <c r="O527">
        <v>1.0163051171060098</v>
      </c>
      <c r="P527">
        <v>1.0163051171060098</v>
      </c>
      <c r="Q527">
        <v>0.49353487525040979</v>
      </c>
      <c r="R527">
        <v>2.0261992619926197</v>
      </c>
      <c r="S527">
        <v>2.0261992619926197</v>
      </c>
      <c r="T527">
        <v>2.0592366782395199</v>
      </c>
    </row>
    <row r="528" spans="1:20" x14ac:dyDescent="0.25">
      <c r="A528" s="12" t="s">
        <v>58</v>
      </c>
      <c r="B528" s="12" t="s">
        <v>57</v>
      </c>
      <c r="C528" s="12" t="s">
        <v>13</v>
      </c>
      <c r="D528" s="12">
        <v>4.3768873710032166</v>
      </c>
      <c r="E528" s="12">
        <v>2.8499999999999996</v>
      </c>
      <c r="F528" s="12">
        <v>18</v>
      </c>
      <c r="G528" s="12">
        <v>2.8499999999999996</v>
      </c>
      <c r="H528" s="12">
        <v>1.8823529411764712</v>
      </c>
      <c r="I528" s="12" t="s">
        <v>77</v>
      </c>
      <c r="J528" s="6">
        <v>46298</v>
      </c>
      <c r="K528">
        <v>46298</v>
      </c>
      <c r="L528">
        <v>0.65114766691991832</v>
      </c>
      <c r="M528">
        <v>0.65114766691991832</v>
      </c>
      <c r="N528">
        <v>0.43006657051470376</v>
      </c>
      <c r="O528">
        <v>1.5357499547379709</v>
      </c>
      <c r="P528">
        <v>1.5357499547379709</v>
      </c>
      <c r="Q528">
        <v>0.66047471620227072</v>
      </c>
      <c r="R528">
        <v>1.5140624999999992</v>
      </c>
      <c r="S528">
        <v>1.5140624999999992</v>
      </c>
      <c r="T528">
        <v>2.3252214158454581</v>
      </c>
    </row>
    <row r="529" spans="1:20" x14ac:dyDescent="0.25">
      <c r="A529" s="12" t="s">
        <v>58</v>
      </c>
      <c r="B529" s="12" t="s">
        <v>57</v>
      </c>
      <c r="C529" s="12" t="s">
        <v>15</v>
      </c>
      <c r="D529" s="12">
        <v>0</v>
      </c>
      <c r="E529" s="12">
        <v>0.95</v>
      </c>
      <c r="F529" s="12">
        <v>18</v>
      </c>
      <c r="G529" s="12">
        <v>0.95</v>
      </c>
      <c r="H529" s="12">
        <v>0</v>
      </c>
      <c r="I529" s="12" t="s">
        <v>76</v>
      </c>
      <c r="J529" s="6">
        <v>46298</v>
      </c>
      <c r="K529">
        <v>46298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 x14ac:dyDescent="0.25">
      <c r="A530" s="12" t="s">
        <v>58</v>
      </c>
      <c r="B530" s="12" t="s">
        <v>57</v>
      </c>
      <c r="C530" s="12" t="s">
        <v>13</v>
      </c>
      <c r="D530" s="12">
        <v>4.3768873710032166</v>
      </c>
      <c r="E530" s="12">
        <v>3.8</v>
      </c>
      <c r="F530" s="12">
        <v>18</v>
      </c>
      <c r="G530" s="12">
        <v>3.8</v>
      </c>
      <c r="H530" s="12">
        <v>3.5110294117647047</v>
      </c>
      <c r="I530" s="12" t="s">
        <v>79</v>
      </c>
      <c r="J530" s="6">
        <v>46299</v>
      </c>
      <c r="K530">
        <v>46299</v>
      </c>
      <c r="L530">
        <v>0.86819688922655791</v>
      </c>
      <c r="M530">
        <v>0.86819688922655791</v>
      </c>
      <c r="N530">
        <v>0.80217495086238633</v>
      </c>
      <c r="O530">
        <v>1.1518124660534781</v>
      </c>
      <c r="P530">
        <v>1.1518124660534781</v>
      </c>
      <c r="Q530">
        <v>0.92395510835913286</v>
      </c>
      <c r="R530">
        <v>1.0823036649214663</v>
      </c>
      <c r="S530">
        <v>1.0823036649214663</v>
      </c>
      <c r="T530">
        <v>1.2466108533119113</v>
      </c>
    </row>
    <row r="531" spans="1:20" x14ac:dyDescent="0.25">
      <c r="A531" s="12" t="s">
        <v>58</v>
      </c>
      <c r="B531" s="12" t="s">
        <v>57</v>
      </c>
      <c r="C531" s="12" t="s">
        <v>15</v>
      </c>
      <c r="D531" s="12">
        <v>0</v>
      </c>
      <c r="E531" s="12">
        <v>0</v>
      </c>
      <c r="F531" s="12">
        <v>18</v>
      </c>
      <c r="G531" s="12">
        <v>0</v>
      </c>
      <c r="H531" s="12">
        <v>0</v>
      </c>
      <c r="I531" s="12" t="s">
        <v>81</v>
      </c>
      <c r="J531" s="6">
        <v>46299</v>
      </c>
      <c r="K531">
        <v>46299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x14ac:dyDescent="0.25">
      <c r="A532" s="12" t="s">
        <v>58</v>
      </c>
      <c r="B532" s="12" t="s">
        <v>57</v>
      </c>
      <c r="C532" s="12" t="s">
        <v>14</v>
      </c>
      <c r="D532" s="12">
        <v>3.8619594450028361</v>
      </c>
      <c r="E532" s="12">
        <v>6.6499999999999995</v>
      </c>
      <c r="F532" s="12">
        <v>18</v>
      </c>
      <c r="G532" s="12">
        <v>6.6499999999999995</v>
      </c>
      <c r="H532" s="12">
        <v>3.5141291810841975</v>
      </c>
      <c r="I532" s="12" t="s">
        <v>80</v>
      </c>
      <c r="J532" s="6">
        <v>46299</v>
      </c>
      <c r="K532">
        <v>46299</v>
      </c>
      <c r="L532">
        <v>1.7219238302993407</v>
      </c>
      <c r="M532">
        <v>1.7219238302993407</v>
      </c>
      <c r="N532">
        <v>0.9099342525803289</v>
      </c>
      <c r="O532">
        <v>0.58074578120343401</v>
      </c>
      <c r="P532">
        <v>0.58074578120343401</v>
      </c>
      <c r="Q532">
        <v>0.52844047835852603</v>
      </c>
      <c r="R532">
        <v>1.8923607122343484</v>
      </c>
      <c r="S532">
        <v>1.8923607122343484</v>
      </c>
      <c r="T532">
        <v>1.0989805001452235</v>
      </c>
    </row>
    <row r="533" spans="1:20" x14ac:dyDescent="0.25">
      <c r="A533" s="12" t="s">
        <v>58</v>
      </c>
      <c r="B533" s="12" t="s">
        <v>57</v>
      </c>
      <c r="C533" s="12" t="s">
        <v>15</v>
      </c>
      <c r="D533" s="12">
        <v>0</v>
      </c>
      <c r="E533" s="12">
        <v>0.95</v>
      </c>
      <c r="F533" s="12">
        <v>18</v>
      </c>
      <c r="G533" s="12">
        <v>0.95</v>
      </c>
      <c r="H533" s="12">
        <v>0</v>
      </c>
      <c r="I533" s="12" t="s">
        <v>82</v>
      </c>
      <c r="J533" s="6">
        <v>46300</v>
      </c>
      <c r="K533">
        <v>46300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25">
      <c r="A534" s="12" t="s">
        <v>58</v>
      </c>
      <c r="B534" s="12" t="s">
        <v>57</v>
      </c>
      <c r="C534" s="12" t="s">
        <v>14</v>
      </c>
      <c r="D534" s="12">
        <v>3.0895675560022688</v>
      </c>
      <c r="E534" s="12">
        <v>8.5499999999999989</v>
      </c>
      <c r="F534" s="12">
        <v>18</v>
      </c>
      <c r="G534" s="12">
        <v>8.5499999999999989</v>
      </c>
      <c r="H534" s="12">
        <v>3.8062283737024214</v>
      </c>
      <c r="I534" s="12" t="s">
        <v>83</v>
      </c>
      <c r="J534" s="6">
        <v>46300</v>
      </c>
      <c r="K534">
        <v>46300</v>
      </c>
      <c r="L534">
        <v>2.7673775844096546</v>
      </c>
      <c r="M534">
        <v>2.7673775844096546</v>
      </c>
      <c r="N534">
        <v>1.2319615301202451</v>
      </c>
      <c r="O534">
        <v>0.36135293052658118</v>
      </c>
      <c r="P534">
        <v>0.36135293052658118</v>
      </c>
      <c r="Q534">
        <v>0.44517290920496161</v>
      </c>
      <c r="R534">
        <v>2.2463181818181819</v>
      </c>
      <c r="S534">
        <v>2.2463181818181819</v>
      </c>
      <c r="T534">
        <v>0.81171365789514172</v>
      </c>
    </row>
    <row r="535" spans="1:20" x14ac:dyDescent="0.25">
      <c r="A535" s="12" t="s">
        <v>58</v>
      </c>
      <c r="B535" s="12" t="s">
        <v>57</v>
      </c>
      <c r="C535" s="12" t="s">
        <v>13</v>
      </c>
      <c r="D535" s="12">
        <v>4.3768873710032166</v>
      </c>
      <c r="E535" s="12">
        <v>4.75</v>
      </c>
      <c r="F535" s="12">
        <v>18</v>
      </c>
      <c r="G535" s="12">
        <v>4.75</v>
      </c>
      <c r="H535" s="12">
        <v>4.7058823529411749</v>
      </c>
      <c r="I535" s="12" t="s">
        <v>84</v>
      </c>
      <c r="J535" s="6">
        <v>46300</v>
      </c>
      <c r="K535">
        <v>46300</v>
      </c>
      <c r="L535">
        <v>1.0852461115331975</v>
      </c>
      <c r="M535">
        <v>1.0852461115331975</v>
      </c>
      <c r="N535">
        <v>1.0751664262867586</v>
      </c>
      <c r="O535">
        <v>0.92144997284278241</v>
      </c>
      <c r="P535">
        <v>0.92144997284278241</v>
      </c>
      <c r="Q535">
        <v>0.99071207430340524</v>
      </c>
      <c r="R535">
        <v>1.0093750000000004</v>
      </c>
      <c r="S535">
        <v>1.0093750000000004</v>
      </c>
      <c r="T535">
        <v>0.93008856633818382</v>
      </c>
    </row>
    <row r="536" spans="1:20" x14ac:dyDescent="0.25">
      <c r="A536" s="12" t="s">
        <v>58</v>
      </c>
      <c r="B536" s="12" t="s">
        <v>57</v>
      </c>
      <c r="C536" s="12" t="s">
        <v>13</v>
      </c>
      <c r="D536" s="12">
        <v>4.3768873710032166</v>
      </c>
      <c r="E536" s="12">
        <v>3.8</v>
      </c>
      <c r="F536" s="12">
        <v>18</v>
      </c>
      <c r="G536" s="12">
        <v>3.8</v>
      </c>
      <c r="H536" s="12">
        <v>3.5110294117647056</v>
      </c>
      <c r="I536" s="12" t="s">
        <v>87</v>
      </c>
      <c r="J536" s="6">
        <v>46301</v>
      </c>
      <c r="K536">
        <v>46301</v>
      </c>
      <c r="L536">
        <v>0.86819688922655791</v>
      </c>
      <c r="M536">
        <v>0.86819688922655791</v>
      </c>
      <c r="N536">
        <v>0.80217495086238655</v>
      </c>
      <c r="O536">
        <v>1.1518124660534781</v>
      </c>
      <c r="P536">
        <v>1.1518124660534781</v>
      </c>
      <c r="Q536">
        <v>0.92395510835913308</v>
      </c>
      <c r="R536">
        <v>1.0823036649214659</v>
      </c>
      <c r="S536">
        <v>1.0823036649214659</v>
      </c>
      <c r="T536">
        <v>1.2466108533119109</v>
      </c>
    </row>
    <row r="537" spans="1:20" x14ac:dyDescent="0.25">
      <c r="A537" s="12" t="s">
        <v>58</v>
      </c>
      <c r="B537" s="12" t="s">
        <v>57</v>
      </c>
      <c r="C537" s="12" t="s">
        <v>14</v>
      </c>
      <c r="D537" s="12">
        <v>3.0895675560022688</v>
      </c>
      <c r="E537" s="12">
        <v>6.6499999999999995</v>
      </c>
      <c r="F537" s="12">
        <v>18</v>
      </c>
      <c r="G537" s="12">
        <v>6.6499999999999995</v>
      </c>
      <c r="H537" s="12">
        <v>3.5141291810841979</v>
      </c>
      <c r="I537" s="12" t="s">
        <v>85</v>
      </c>
      <c r="J537" s="6">
        <v>46301</v>
      </c>
      <c r="K537">
        <v>46301</v>
      </c>
      <c r="L537">
        <v>2.1524047878741759</v>
      </c>
      <c r="M537">
        <v>2.1524047878741759</v>
      </c>
      <c r="N537">
        <v>1.1374178157254113</v>
      </c>
      <c r="O537">
        <v>0.46459662496274723</v>
      </c>
      <c r="P537">
        <v>0.46459662496274723</v>
      </c>
      <c r="Q537">
        <v>0.52844047835852603</v>
      </c>
      <c r="R537">
        <v>1.8923607122343482</v>
      </c>
      <c r="S537">
        <v>1.8923607122343482</v>
      </c>
      <c r="T537">
        <v>0.87918440011617871</v>
      </c>
    </row>
    <row r="538" spans="1:20" x14ac:dyDescent="0.25">
      <c r="A538" s="12" t="s">
        <v>58</v>
      </c>
      <c r="B538" s="12" t="s">
        <v>57</v>
      </c>
      <c r="C538" s="12" t="s">
        <v>15</v>
      </c>
      <c r="D538" s="12">
        <v>0</v>
      </c>
      <c r="E538" s="12">
        <v>1.9</v>
      </c>
      <c r="F538" s="12">
        <v>18</v>
      </c>
      <c r="G538" s="12">
        <v>1.9</v>
      </c>
      <c r="H538" s="12">
        <v>0</v>
      </c>
      <c r="I538" s="12" t="s">
        <v>86</v>
      </c>
      <c r="J538" s="6">
        <v>46301</v>
      </c>
      <c r="K538">
        <v>46301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 x14ac:dyDescent="0.25">
      <c r="A539" s="12" t="s">
        <v>58</v>
      </c>
      <c r="B539" s="12" t="s">
        <v>57</v>
      </c>
      <c r="C539" s="12" t="s">
        <v>14</v>
      </c>
      <c r="D539" s="12">
        <v>3.8619594450028369</v>
      </c>
      <c r="E539" s="12">
        <v>7.6</v>
      </c>
      <c r="F539" s="12">
        <v>18</v>
      </c>
      <c r="G539" s="12">
        <v>7.6</v>
      </c>
      <c r="H539" s="12">
        <v>3.7508650519031144</v>
      </c>
      <c r="I539" s="12" t="s">
        <v>88</v>
      </c>
      <c r="J539" s="6">
        <v>46302</v>
      </c>
      <c r="K539">
        <v>46302</v>
      </c>
      <c r="L539">
        <v>1.9679129489135319</v>
      </c>
      <c r="M539">
        <v>1.9679129489135319</v>
      </c>
      <c r="N539">
        <v>0.97123367174570607</v>
      </c>
      <c r="O539">
        <v>0.5081525585530049</v>
      </c>
      <c r="P539">
        <v>0.5081525585530049</v>
      </c>
      <c r="Q539">
        <v>0.49353487525040979</v>
      </c>
      <c r="R539">
        <v>2.0261992619926197</v>
      </c>
      <c r="S539">
        <v>2.0261992619926197</v>
      </c>
      <c r="T539">
        <v>1.02961833911976</v>
      </c>
    </row>
    <row r="540" spans="1:20" x14ac:dyDescent="0.25">
      <c r="A540" s="12" t="s">
        <v>58</v>
      </c>
      <c r="B540" s="12" t="s">
        <v>57</v>
      </c>
      <c r="C540" s="12" t="s">
        <v>13</v>
      </c>
      <c r="D540" s="12">
        <v>3.5015098968025731</v>
      </c>
      <c r="E540" s="12">
        <v>3.8</v>
      </c>
      <c r="F540" s="12">
        <v>18</v>
      </c>
      <c r="G540" s="12">
        <v>3.8</v>
      </c>
      <c r="H540" s="12">
        <v>3.7647058823529393</v>
      </c>
      <c r="I540" s="12" t="s">
        <v>90</v>
      </c>
      <c r="J540" s="6">
        <v>46302</v>
      </c>
      <c r="K540">
        <v>46302</v>
      </c>
      <c r="L540">
        <v>1.0852461115331975</v>
      </c>
      <c r="M540">
        <v>1.0852461115331975</v>
      </c>
      <c r="N540">
        <v>1.0751664262867586</v>
      </c>
      <c r="O540">
        <v>0.92144997284278241</v>
      </c>
      <c r="P540">
        <v>0.92144997284278241</v>
      </c>
      <c r="Q540">
        <v>0.99071207430340513</v>
      </c>
      <c r="R540">
        <v>1.0093750000000004</v>
      </c>
      <c r="S540">
        <v>1.0093750000000004</v>
      </c>
      <c r="T540">
        <v>0.93008856633818393</v>
      </c>
    </row>
    <row r="541" spans="1:20" x14ac:dyDescent="0.25">
      <c r="A541" s="12" t="s">
        <v>58</v>
      </c>
      <c r="B541" s="12" t="s">
        <v>57</v>
      </c>
      <c r="C541" s="12" t="s">
        <v>15</v>
      </c>
      <c r="D541" s="12">
        <v>0</v>
      </c>
      <c r="E541" s="12">
        <v>0</v>
      </c>
      <c r="F541" s="12">
        <v>18</v>
      </c>
      <c r="G541" s="12">
        <v>0</v>
      </c>
      <c r="H541" s="12">
        <v>0</v>
      </c>
      <c r="I541" s="12" t="s">
        <v>89</v>
      </c>
      <c r="J541" s="6">
        <v>46302</v>
      </c>
      <c r="K541">
        <v>46302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25">
      <c r="A542" s="12" t="s">
        <v>58</v>
      </c>
      <c r="B542" s="12" t="s">
        <v>57</v>
      </c>
      <c r="C542" s="12" t="s">
        <v>14</v>
      </c>
      <c r="D542" s="12">
        <v>3.8619594450028369</v>
      </c>
      <c r="E542" s="12">
        <v>7.6</v>
      </c>
      <c r="F542" s="12">
        <v>18</v>
      </c>
      <c r="G542" s="12">
        <v>7.6</v>
      </c>
      <c r="H542" s="12">
        <v>3.7498003726377434</v>
      </c>
      <c r="I542" s="12" t="s">
        <v>91</v>
      </c>
      <c r="J542" s="6">
        <v>46303</v>
      </c>
      <c r="K542">
        <v>46303</v>
      </c>
      <c r="L542">
        <v>1.9679129489135319</v>
      </c>
      <c r="M542">
        <v>1.9679129489135319</v>
      </c>
      <c r="N542">
        <v>0.97095798804665823</v>
      </c>
      <c r="O542">
        <v>0.5081525585530049</v>
      </c>
      <c r="P542">
        <v>0.5081525585530049</v>
      </c>
      <c r="Q542">
        <v>0.49339478587338731</v>
      </c>
      <c r="R542">
        <v>2.0267745599091422</v>
      </c>
      <c r="S542">
        <v>2.0267745599091422</v>
      </c>
      <c r="T542">
        <v>1.029910678227971</v>
      </c>
    </row>
    <row r="543" spans="1:20" x14ac:dyDescent="0.25">
      <c r="A543" s="12" t="s">
        <v>58</v>
      </c>
      <c r="B543" s="12" t="s">
        <v>57</v>
      </c>
      <c r="C543" s="12" t="s">
        <v>15</v>
      </c>
      <c r="D543" s="12">
        <v>0</v>
      </c>
      <c r="E543" s="12">
        <v>0.95</v>
      </c>
      <c r="F543" s="12">
        <v>18</v>
      </c>
      <c r="G543" s="12">
        <v>0.95</v>
      </c>
      <c r="H543" s="12">
        <v>0</v>
      </c>
      <c r="I543" s="12" t="s">
        <v>92</v>
      </c>
      <c r="J543" s="6">
        <v>46303</v>
      </c>
      <c r="K543">
        <v>46303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 x14ac:dyDescent="0.25">
      <c r="A544" s="12" t="s">
        <v>58</v>
      </c>
      <c r="B544" s="12" t="s">
        <v>57</v>
      </c>
      <c r="C544" s="12" t="s">
        <v>13</v>
      </c>
      <c r="D544" s="12">
        <v>3.5015098968025731</v>
      </c>
      <c r="E544" s="12">
        <v>3.8</v>
      </c>
      <c r="F544" s="12">
        <v>18</v>
      </c>
      <c r="G544" s="12">
        <v>3.8</v>
      </c>
      <c r="H544" s="12">
        <v>3.5158371040723972</v>
      </c>
      <c r="I544" s="12" t="s">
        <v>93</v>
      </c>
      <c r="J544" s="6">
        <v>46303</v>
      </c>
      <c r="K544">
        <v>46303</v>
      </c>
      <c r="L544">
        <v>1.0852461115331975</v>
      </c>
      <c r="M544">
        <v>1.0852461115331975</v>
      </c>
      <c r="N544">
        <v>1.0040917226259756</v>
      </c>
      <c r="O544">
        <v>0.92144997284278241</v>
      </c>
      <c r="P544">
        <v>0.92144997284278241</v>
      </c>
      <c r="Q544">
        <v>0.9252202905453677</v>
      </c>
      <c r="R544">
        <v>1.0808236808236811</v>
      </c>
      <c r="S544">
        <v>1.0808236808236811</v>
      </c>
      <c r="T544">
        <v>0.99592495134281711</v>
      </c>
    </row>
    <row r="545" spans="1:20" x14ac:dyDescent="0.25">
      <c r="A545" s="12" t="s">
        <v>58</v>
      </c>
      <c r="B545" s="12" t="s">
        <v>57</v>
      </c>
      <c r="C545" s="12" t="s">
        <v>14</v>
      </c>
      <c r="D545" s="12">
        <v>3.8619594450028369</v>
      </c>
      <c r="E545" s="12">
        <v>6.6499999999999995</v>
      </c>
      <c r="F545" s="12">
        <v>18</v>
      </c>
      <c r="G545" s="12">
        <v>6.6499999999999995</v>
      </c>
      <c r="H545" s="12">
        <v>3.6955017301038064</v>
      </c>
      <c r="I545" s="12" t="s">
        <v>94</v>
      </c>
      <c r="J545" s="6">
        <v>46304</v>
      </c>
      <c r="K545">
        <v>46304</v>
      </c>
      <c r="L545">
        <v>1.7219238302993403</v>
      </c>
      <c r="M545">
        <v>1.7219238302993403</v>
      </c>
      <c r="N545">
        <v>0.95689811939521596</v>
      </c>
      <c r="O545">
        <v>0.58074578120343412</v>
      </c>
      <c r="P545">
        <v>0.58074578120343412</v>
      </c>
      <c r="Q545">
        <v>0.55571454588027169</v>
      </c>
      <c r="R545">
        <v>1.7994850187265916</v>
      </c>
      <c r="S545">
        <v>1.7994850187265916</v>
      </c>
      <c r="T545">
        <v>1.0450433329642508</v>
      </c>
    </row>
    <row r="546" spans="1:20" x14ac:dyDescent="0.25">
      <c r="A546" s="12" t="s">
        <v>58</v>
      </c>
      <c r="B546" s="12" t="s">
        <v>57</v>
      </c>
      <c r="C546" s="12" t="s">
        <v>13</v>
      </c>
      <c r="D546" s="12">
        <v>3.5015098968025731</v>
      </c>
      <c r="E546" s="12">
        <v>2.8499999999999996</v>
      </c>
      <c r="F546" s="12">
        <v>18</v>
      </c>
      <c r="G546" s="12">
        <v>2.8499999999999996</v>
      </c>
      <c r="H546" s="12">
        <v>2.8235294117647065</v>
      </c>
      <c r="I546" s="12" t="s">
        <v>95</v>
      </c>
      <c r="J546" s="6">
        <v>46304</v>
      </c>
      <c r="K546">
        <v>46304</v>
      </c>
      <c r="L546">
        <v>0.81393458364989801</v>
      </c>
      <c r="M546">
        <v>0.81393458364989801</v>
      </c>
      <c r="N546">
        <v>0.80637481971506952</v>
      </c>
      <c r="O546">
        <v>1.2285999637903766</v>
      </c>
      <c r="P546">
        <v>1.2285999637903766</v>
      </c>
      <c r="Q546">
        <v>0.99071207430340591</v>
      </c>
      <c r="R546">
        <v>1.0093749999999997</v>
      </c>
      <c r="S546">
        <v>1.0093749999999997</v>
      </c>
      <c r="T546">
        <v>1.2401180884509111</v>
      </c>
    </row>
    <row r="547" spans="1:20" x14ac:dyDescent="0.25">
      <c r="A547" s="12" t="s">
        <v>58</v>
      </c>
      <c r="B547" s="12" t="s">
        <v>57</v>
      </c>
      <c r="C547" s="12" t="s">
        <v>15</v>
      </c>
      <c r="D547" s="12">
        <v>0</v>
      </c>
      <c r="E547" s="12">
        <v>1.9</v>
      </c>
      <c r="F547" s="12">
        <v>18</v>
      </c>
      <c r="G547" s="12">
        <v>1.9</v>
      </c>
      <c r="H547" s="12">
        <v>0</v>
      </c>
      <c r="I547" s="12" t="s">
        <v>96</v>
      </c>
      <c r="J547" s="6">
        <v>46304</v>
      </c>
      <c r="K547">
        <v>46304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25">
      <c r="A548" s="12" t="s">
        <v>58</v>
      </c>
      <c r="B548" s="12" t="s">
        <v>57</v>
      </c>
      <c r="C548" s="12" t="s">
        <v>14</v>
      </c>
      <c r="D548" s="12">
        <v>3.0895675560022697</v>
      </c>
      <c r="E548" s="12">
        <v>7.6</v>
      </c>
      <c r="F548" s="12">
        <v>18</v>
      </c>
      <c r="G548" s="12">
        <v>7.6</v>
      </c>
      <c r="H548" s="12">
        <v>3.7508650519031144</v>
      </c>
      <c r="I548" s="12" t="s">
        <v>97</v>
      </c>
      <c r="J548" s="6">
        <v>46305</v>
      </c>
      <c r="K548">
        <v>46305</v>
      </c>
      <c r="L548">
        <v>2.4598911861419146</v>
      </c>
      <c r="M548">
        <v>2.4598911861419146</v>
      </c>
      <c r="N548">
        <v>1.2140420896821325</v>
      </c>
      <c r="O548">
        <v>0.40652204684240395</v>
      </c>
      <c r="P548">
        <v>0.40652204684240395</v>
      </c>
      <c r="Q548">
        <v>0.49353487525040979</v>
      </c>
      <c r="R548">
        <v>2.0261992619926197</v>
      </c>
      <c r="S548">
        <v>2.0261992619926197</v>
      </c>
      <c r="T548">
        <v>0.82369467129580809</v>
      </c>
    </row>
    <row r="549" spans="1:20" x14ac:dyDescent="0.25">
      <c r="A549" s="12" t="s">
        <v>58</v>
      </c>
      <c r="B549" s="12" t="s">
        <v>57</v>
      </c>
      <c r="C549" s="12" t="s">
        <v>13</v>
      </c>
      <c r="D549" s="12">
        <v>4.3768873710032166</v>
      </c>
      <c r="E549" s="12">
        <v>3.8</v>
      </c>
      <c r="F549" s="12">
        <v>18</v>
      </c>
      <c r="G549" s="12">
        <v>3.8</v>
      </c>
      <c r="H549" s="12">
        <v>3.7647058823529398</v>
      </c>
      <c r="I549" s="12" t="s">
        <v>98</v>
      </c>
      <c r="J549" s="6">
        <v>46305</v>
      </c>
      <c r="K549">
        <v>46305</v>
      </c>
      <c r="L549">
        <v>0.86819688922655791</v>
      </c>
      <c r="M549">
        <v>0.86819688922655791</v>
      </c>
      <c r="N549">
        <v>0.86013314102940697</v>
      </c>
      <c r="O549">
        <v>1.1518124660534781</v>
      </c>
      <c r="P549">
        <v>1.1518124660534781</v>
      </c>
      <c r="Q549">
        <v>0.99071207430340524</v>
      </c>
      <c r="R549">
        <v>1.0093750000000004</v>
      </c>
      <c r="S549">
        <v>1.0093750000000004</v>
      </c>
      <c r="T549">
        <v>1.1626107079227299</v>
      </c>
    </row>
    <row r="550" spans="1:20" x14ac:dyDescent="0.25">
      <c r="A550" s="12" t="s">
        <v>58</v>
      </c>
      <c r="B550" s="12" t="s">
        <v>57</v>
      </c>
      <c r="C550" s="12" t="s">
        <v>15</v>
      </c>
      <c r="D550" s="12">
        <v>0</v>
      </c>
      <c r="E550" s="12">
        <v>1.9</v>
      </c>
      <c r="F550" s="12">
        <v>18</v>
      </c>
      <c r="G550" s="12">
        <v>1.9</v>
      </c>
      <c r="H550" s="12">
        <v>0</v>
      </c>
      <c r="I550" s="12" t="s">
        <v>99</v>
      </c>
      <c r="J550" s="6">
        <v>46305</v>
      </c>
      <c r="K550">
        <v>46305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x14ac:dyDescent="0.25">
      <c r="A551" s="12" t="s">
        <v>58</v>
      </c>
      <c r="B551" s="12" t="s">
        <v>57</v>
      </c>
      <c r="C551" s="12" t="s">
        <v>14</v>
      </c>
      <c r="D551" s="12">
        <v>3.0895675560022697</v>
      </c>
      <c r="E551" s="12">
        <v>6.6499999999999995</v>
      </c>
      <c r="F551" s="12">
        <v>18</v>
      </c>
      <c r="G551" s="12">
        <v>6.6499999999999995</v>
      </c>
      <c r="H551" s="12">
        <v>3.6955017301038064</v>
      </c>
      <c r="I551" s="12" t="s">
        <v>100</v>
      </c>
      <c r="J551" s="6">
        <v>46306</v>
      </c>
      <c r="K551">
        <v>46306</v>
      </c>
      <c r="L551">
        <v>2.1524047878741754</v>
      </c>
      <c r="M551">
        <v>2.1524047878741754</v>
      </c>
      <c r="N551">
        <v>1.1961226492440198</v>
      </c>
      <c r="O551">
        <v>0.46459662496274734</v>
      </c>
      <c r="P551">
        <v>0.46459662496274734</v>
      </c>
      <c r="Q551">
        <v>0.55571454588027169</v>
      </c>
      <c r="R551">
        <v>1.7994850187265916</v>
      </c>
      <c r="S551">
        <v>1.7994850187265916</v>
      </c>
      <c r="T551">
        <v>0.83603466637140067</v>
      </c>
    </row>
    <row r="552" spans="1:20" x14ac:dyDescent="0.25">
      <c r="A552" s="12" t="s">
        <v>58</v>
      </c>
      <c r="B552" s="12" t="s">
        <v>57</v>
      </c>
      <c r="C552" s="12" t="s">
        <v>15</v>
      </c>
      <c r="D552" s="12">
        <v>0</v>
      </c>
      <c r="E552" s="12">
        <v>1.9</v>
      </c>
      <c r="F552" s="12">
        <v>18</v>
      </c>
      <c r="G552" s="12">
        <v>1.9</v>
      </c>
      <c r="H552" s="12">
        <v>0</v>
      </c>
      <c r="I552" s="12" t="s">
        <v>101</v>
      </c>
      <c r="J552" s="6">
        <v>46306</v>
      </c>
      <c r="K552">
        <v>46306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25">
      <c r="A553" s="12" t="s">
        <v>58</v>
      </c>
      <c r="B553" s="12" t="s">
        <v>57</v>
      </c>
      <c r="C553" s="12" t="s">
        <v>13</v>
      </c>
      <c r="D553" s="12">
        <v>4.3768873710032166</v>
      </c>
      <c r="E553" s="12">
        <v>2.8499999999999996</v>
      </c>
      <c r="F553" s="12">
        <v>18</v>
      </c>
      <c r="G553" s="12">
        <v>2.8499999999999996</v>
      </c>
      <c r="H553" s="12">
        <v>2.8235294117647065</v>
      </c>
      <c r="I553" s="12" t="s">
        <v>102</v>
      </c>
      <c r="J553" s="6">
        <v>46306</v>
      </c>
      <c r="K553">
        <v>46306</v>
      </c>
      <c r="L553">
        <v>0.65114766691991832</v>
      </c>
      <c r="M553">
        <v>0.65114766691991832</v>
      </c>
      <c r="N553">
        <v>0.64509985577205553</v>
      </c>
      <c r="O553">
        <v>1.5357499547379709</v>
      </c>
      <c r="P553">
        <v>1.5357499547379709</v>
      </c>
      <c r="Q553">
        <v>0.99071207430340591</v>
      </c>
      <c r="R553">
        <v>1.0093749999999997</v>
      </c>
      <c r="S553">
        <v>1.0093749999999997</v>
      </c>
      <c r="T553">
        <v>1.5501476105636389</v>
      </c>
    </row>
    <row r="554" spans="1:20" x14ac:dyDescent="0.25">
      <c r="A554" s="12" t="s">
        <v>58</v>
      </c>
      <c r="B554" s="12" t="s">
        <v>57</v>
      </c>
      <c r="C554" s="12" t="s">
        <v>14</v>
      </c>
      <c r="D554" s="12">
        <v>3.0895675560022693</v>
      </c>
      <c r="E554" s="12">
        <v>6.6499999999999995</v>
      </c>
      <c r="F554" s="12">
        <v>18</v>
      </c>
      <c r="G554" s="12">
        <v>6.6499999999999995</v>
      </c>
      <c r="H554" s="12">
        <v>3.7508650519031144</v>
      </c>
      <c r="I554" s="12" t="s">
        <v>103</v>
      </c>
      <c r="J554" s="6">
        <v>46307</v>
      </c>
      <c r="K554">
        <v>46307</v>
      </c>
      <c r="L554">
        <v>2.1524047878741754</v>
      </c>
      <c r="M554">
        <v>2.1524047878741754</v>
      </c>
      <c r="N554">
        <v>1.2140420896821327</v>
      </c>
      <c r="O554">
        <v>0.46459662496274728</v>
      </c>
      <c r="P554">
        <v>0.46459662496274728</v>
      </c>
      <c r="Q554">
        <v>0.56403985742903984</v>
      </c>
      <c r="R554">
        <v>1.7729243542435422</v>
      </c>
      <c r="S554">
        <v>1.7729243542435422</v>
      </c>
      <c r="T554">
        <v>0.82369467129580787</v>
      </c>
    </row>
    <row r="555" spans="1:20" x14ac:dyDescent="0.25">
      <c r="A555" s="12" t="s">
        <v>58</v>
      </c>
      <c r="B555" s="12" t="s">
        <v>57</v>
      </c>
      <c r="C555" s="12" t="s">
        <v>13</v>
      </c>
      <c r="D555" s="12">
        <v>4.3768873710032166</v>
      </c>
      <c r="E555" s="12">
        <v>2.8499999999999996</v>
      </c>
      <c r="F555" s="12">
        <v>18</v>
      </c>
      <c r="G555" s="12">
        <v>2.8499999999999996</v>
      </c>
      <c r="H555" s="12">
        <v>3.7647058823529393</v>
      </c>
      <c r="I555" s="12" t="s">
        <v>105</v>
      </c>
      <c r="J555" s="6">
        <v>46307</v>
      </c>
      <c r="K555">
        <v>46307</v>
      </c>
      <c r="L555">
        <v>0.65114766691991832</v>
      </c>
      <c r="M555">
        <v>0.65114766691991832</v>
      </c>
      <c r="N555">
        <v>0.86013314102940686</v>
      </c>
      <c r="O555">
        <v>1.5357499547379709</v>
      </c>
      <c r="P555">
        <v>1.5357499547379709</v>
      </c>
      <c r="Q555">
        <v>1.3209494324045403</v>
      </c>
      <c r="R555">
        <v>0.75703125000000027</v>
      </c>
      <c r="S555">
        <v>0.75703125000000027</v>
      </c>
      <c r="T555">
        <v>1.1626107079227299</v>
      </c>
    </row>
    <row r="556" spans="1:20" x14ac:dyDescent="0.25">
      <c r="A556" s="12" t="s">
        <v>58</v>
      </c>
      <c r="B556" s="12" t="s">
        <v>57</v>
      </c>
      <c r="C556" s="12" t="s">
        <v>15</v>
      </c>
      <c r="D556" s="12">
        <v>0</v>
      </c>
      <c r="E556" s="12">
        <v>0.95</v>
      </c>
      <c r="F556" s="12">
        <v>18</v>
      </c>
      <c r="G556" s="12">
        <v>0.95</v>
      </c>
      <c r="H556" s="12">
        <v>0</v>
      </c>
      <c r="I556" s="12" t="s">
        <v>104</v>
      </c>
      <c r="J556" s="6">
        <v>46307</v>
      </c>
      <c r="K556">
        <v>46307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 x14ac:dyDescent="0.25">
      <c r="A557" s="12" t="s">
        <v>58</v>
      </c>
      <c r="B557" s="12" t="s">
        <v>57</v>
      </c>
      <c r="C557" s="12" t="s">
        <v>15</v>
      </c>
      <c r="D557" s="12">
        <v>0</v>
      </c>
      <c r="E557" s="12">
        <v>1.9</v>
      </c>
      <c r="F557" s="12">
        <v>18</v>
      </c>
      <c r="G557" s="12">
        <v>1.9</v>
      </c>
      <c r="H557" s="12">
        <v>0</v>
      </c>
      <c r="I557" s="12" t="s">
        <v>106</v>
      </c>
      <c r="J557" s="6">
        <v>46308</v>
      </c>
      <c r="K557">
        <v>46308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25">
      <c r="A558" s="12" t="s">
        <v>58</v>
      </c>
      <c r="B558" s="12" t="s">
        <v>57</v>
      </c>
      <c r="C558" s="12" t="s">
        <v>14</v>
      </c>
      <c r="D558" s="12">
        <v>3.0895675560022693</v>
      </c>
      <c r="E558" s="12">
        <v>6.6499999999999995</v>
      </c>
      <c r="F558" s="12">
        <v>18</v>
      </c>
      <c r="G558" s="12">
        <v>6.6499999999999995</v>
      </c>
      <c r="H558" s="12">
        <v>3.7508650519031144</v>
      </c>
      <c r="I558" s="12" t="s">
        <v>107</v>
      </c>
      <c r="J558" s="6">
        <v>46308</v>
      </c>
      <c r="K558">
        <v>46308</v>
      </c>
      <c r="L558">
        <v>2.1524047878741754</v>
      </c>
      <c r="M558">
        <v>2.1524047878741754</v>
      </c>
      <c r="N558">
        <v>1.2140420896821327</v>
      </c>
      <c r="O558">
        <v>0.46459662496274728</v>
      </c>
      <c r="P558">
        <v>0.46459662496274728</v>
      </c>
      <c r="Q558">
        <v>0.56403985742903984</v>
      </c>
      <c r="R558">
        <v>1.7729243542435422</v>
      </c>
      <c r="S558">
        <v>1.7729243542435422</v>
      </c>
      <c r="T558">
        <v>0.82369467129580787</v>
      </c>
    </row>
    <row r="559" spans="1:20" x14ac:dyDescent="0.25">
      <c r="A559" s="12" t="s">
        <v>58</v>
      </c>
      <c r="B559" s="12" t="s">
        <v>57</v>
      </c>
      <c r="C559" s="12" t="s">
        <v>13</v>
      </c>
      <c r="D559" s="12">
        <v>4.3768873710032166</v>
      </c>
      <c r="E559" s="12">
        <v>2.8499999999999996</v>
      </c>
      <c r="F559" s="12">
        <v>18</v>
      </c>
      <c r="G559" s="12">
        <v>2.8499999999999996</v>
      </c>
      <c r="H559" s="12">
        <v>3.7647058823529385</v>
      </c>
      <c r="I559" s="12" t="s">
        <v>108</v>
      </c>
      <c r="J559" s="6">
        <v>46308</v>
      </c>
      <c r="K559">
        <v>46308</v>
      </c>
      <c r="L559">
        <v>0.65114766691991832</v>
      </c>
      <c r="M559">
        <v>0.65114766691991832</v>
      </c>
      <c r="N559">
        <v>0.86013314102940663</v>
      </c>
      <c r="O559">
        <v>1.5357499547379709</v>
      </c>
      <c r="P559">
        <v>1.5357499547379709</v>
      </c>
      <c r="Q559">
        <v>1.3209494324045399</v>
      </c>
      <c r="R559">
        <v>0.75703125000000049</v>
      </c>
      <c r="S559">
        <v>0.75703125000000049</v>
      </c>
      <c r="T559">
        <v>1.1626107079227301</v>
      </c>
    </row>
    <row r="560" spans="1:20" x14ac:dyDescent="0.25">
      <c r="A560" s="12" t="s">
        <v>58</v>
      </c>
      <c r="B560" s="12" t="s">
        <v>57</v>
      </c>
      <c r="C560" s="12" t="s">
        <v>14</v>
      </c>
      <c r="D560" s="12">
        <v>3.8619594450028361</v>
      </c>
      <c r="E560" s="12">
        <v>6.6499999999999995</v>
      </c>
      <c r="F560" s="12">
        <v>18</v>
      </c>
      <c r="G560" s="12">
        <v>6.6499999999999995</v>
      </c>
      <c r="H560" s="12">
        <v>4.6332179930795849</v>
      </c>
      <c r="I560" s="12" t="s">
        <v>110</v>
      </c>
      <c r="J560" s="6">
        <v>46309</v>
      </c>
      <c r="K560">
        <v>46309</v>
      </c>
      <c r="L560">
        <v>1.7219238302993407</v>
      </c>
      <c r="M560">
        <v>1.7219238302993407</v>
      </c>
      <c r="N560">
        <v>1.1997065373316427</v>
      </c>
      <c r="O560">
        <v>0.58074578120343401</v>
      </c>
      <c r="P560">
        <v>0.58074578120343401</v>
      </c>
      <c r="Q560">
        <v>0.69672451023753157</v>
      </c>
      <c r="R560">
        <v>1.4352875280059745</v>
      </c>
      <c r="S560">
        <v>1.4352875280059745</v>
      </c>
      <c r="T560">
        <v>0.83353717670337535</v>
      </c>
    </row>
    <row r="561" spans="1:20" x14ac:dyDescent="0.25">
      <c r="A561" s="12" t="s">
        <v>58</v>
      </c>
      <c r="B561" s="12" t="s">
        <v>57</v>
      </c>
      <c r="C561" s="12" t="s">
        <v>15</v>
      </c>
      <c r="D561" s="12">
        <v>0</v>
      </c>
      <c r="E561" s="12">
        <v>0.95</v>
      </c>
      <c r="F561" s="12">
        <v>18</v>
      </c>
      <c r="G561" s="12">
        <v>0.95</v>
      </c>
      <c r="H561" s="12">
        <v>0</v>
      </c>
      <c r="I561" s="12" t="s">
        <v>109</v>
      </c>
      <c r="J561" s="6">
        <v>46309</v>
      </c>
      <c r="K561">
        <v>46309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25">
      <c r="A562" s="12" t="s">
        <v>58</v>
      </c>
      <c r="B562" s="12" t="s">
        <v>57</v>
      </c>
      <c r="C562" s="12" t="s">
        <v>13</v>
      </c>
      <c r="D562" s="12">
        <v>4.3768873710032166</v>
      </c>
      <c r="E562" s="12">
        <v>2.8499999999999996</v>
      </c>
      <c r="F562" s="12">
        <v>18</v>
      </c>
      <c r="G562" s="12">
        <v>2.8499999999999996</v>
      </c>
      <c r="H562" s="12">
        <v>3.7647058823529393</v>
      </c>
      <c r="I562" s="12" t="s">
        <v>111</v>
      </c>
      <c r="J562" s="6">
        <v>46309</v>
      </c>
      <c r="K562">
        <v>46309</v>
      </c>
      <c r="L562">
        <v>0.65114766691991832</v>
      </c>
      <c r="M562">
        <v>0.65114766691991832</v>
      </c>
      <c r="N562">
        <v>0.86013314102940686</v>
      </c>
      <c r="O562">
        <v>1.5357499547379709</v>
      </c>
      <c r="P562">
        <v>1.5357499547379709</v>
      </c>
      <c r="Q562">
        <v>1.3209494324045403</v>
      </c>
      <c r="R562">
        <v>0.75703125000000027</v>
      </c>
      <c r="S562">
        <v>0.75703125000000027</v>
      </c>
      <c r="T562">
        <v>1.1626107079227299</v>
      </c>
    </row>
    <row r="563" spans="1:20" x14ac:dyDescent="0.25">
      <c r="A563" s="12" t="s">
        <v>58</v>
      </c>
      <c r="B563" s="12" t="s">
        <v>57</v>
      </c>
      <c r="C563" s="12" t="s">
        <v>15</v>
      </c>
      <c r="D563" s="12">
        <v>0</v>
      </c>
      <c r="E563" s="12">
        <v>0.95</v>
      </c>
      <c r="F563" s="12">
        <v>18</v>
      </c>
      <c r="G563" s="12">
        <v>0.95</v>
      </c>
      <c r="H563" s="12">
        <v>0</v>
      </c>
      <c r="I563" s="12" t="s">
        <v>112</v>
      </c>
      <c r="J563" s="6">
        <v>46310</v>
      </c>
      <c r="K563">
        <v>46310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x14ac:dyDescent="0.25">
      <c r="A564" s="12" t="s">
        <v>58</v>
      </c>
      <c r="B564" s="12" t="s">
        <v>57</v>
      </c>
      <c r="C564" s="12" t="s">
        <v>14</v>
      </c>
      <c r="D564" s="12">
        <v>3.8619594450028361</v>
      </c>
      <c r="E564" s="12">
        <v>6.6499999999999995</v>
      </c>
      <c r="F564" s="12">
        <v>18</v>
      </c>
      <c r="G564" s="12">
        <v>6.6499999999999995</v>
      </c>
      <c r="H564" s="12">
        <v>3.7508650519031144</v>
      </c>
      <c r="I564" s="12" t="s">
        <v>113</v>
      </c>
      <c r="J564" s="6">
        <v>46310</v>
      </c>
      <c r="K564">
        <v>46310</v>
      </c>
      <c r="L564">
        <v>1.7219238302993407</v>
      </c>
      <c r="M564">
        <v>1.7219238302993407</v>
      </c>
      <c r="N564">
        <v>0.9712336717457063</v>
      </c>
      <c r="O564">
        <v>0.58074578120343401</v>
      </c>
      <c r="P564">
        <v>0.58074578120343401</v>
      </c>
      <c r="Q564">
        <v>0.56403985742903984</v>
      </c>
      <c r="R564">
        <v>1.7729243542435422</v>
      </c>
      <c r="S564">
        <v>1.7729243542435422</v>
      </c>
      <c r="T564">
        <v>1.0296183391197598</v>
      </c>
    </row>
    <row r="565" spans="1:20" x14ac:dyDescent="0.25">
      <c r="A565" s="12" t="s">
        <v>58</v>
      </c>
      <c r="B565" s="12" t="s">
        <v>57</v>
      </c>
      <c r="C565" s="12" t="s">
        <v>13</v>
      </c>
      <c r="D565" s="12">
        <v>3.5015098968025731</v>
      </c>
      <c r="E565" s="12">
        <v>3.8</v>
      </c>
      <c r="F565" s="12">
        <v>18</v>
      </c>
      <c r="G565" s="12">
        <v>3.8</v>
      </c>
      <c r="H565" s="12">
        <v>3.7647058823529393</v>
      </c>
      <c r="I565" s="12" t="s">
        <v>114</v>
      </c>
      <c r="J565" s="6">
        <v>46310</v>
      </c>
      <c r="K565">
        <v>46310</v>
      </c>
      <c r="L565">
        <v>1.0852461115331975</v>
      </c>
      <c r="M565">
        <v>1.0852461115331975</v>
      </c>
      <c r="N565">
        <v>1.0751664262867586</v>
      </c>
      <c r="O565">
        <v>0.92144997284278241</v>
      </c>
      <c r="P565">
        <v>0.92144997284278241</v>
      </c>
      <c r="Q565">
        <v>0.99071207430340513</v>
      </c>
      <c r="R565">
        <v>1.0093750000000004</v>
      </c>
      <c r="S565">
        <v>1.0093750000000004</v>
      </c>
      <c r="T565">
        <v>0.93008856633818393</v>
      </c>
    </row>
    <row r="566" spans="1:20" x14ac:dyDescent="0.25">
      <c r="A566" s="12" t="s">
        <v>58</v>
      </c>
      <c r="B566" s="12" t="s">
        <v>57</v>
      </c>
      <c r="C566" s="12" t="s">
        <v>15</v>
      </c>
      <c r="D566" s="12">
        <v>0</v>
      </c>
      <c r="E566" s="12">
        <v>0.95</v>
      </c>
      <c r="F566" s="12">
        <v>18</v>
      </c>
      <c r="G566" s="12">
        <v>0.95</v>
      </c>
      <c r="H566" s="12">
        <v>0</v>
      </c>
      <c r="I566" s="12" t="s">
        <v>117</v>
      </c>
      <c r="J566" s="6">
        <v>46311</v>
      </c>
      <c r="K566">
        <v>46311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x14ac:dyDescent="0.25">
      <c r="A567" s="12" t="s">
        <v>58</v>
      </c>
      <c r="B567" s="12" t="s">
        <v>57</v>
      </c>
      <c r="C567" s="12" t="s">
        <v>13</v>
      </c>
      <c r="D567" s="12">
        <v>3.5015098968025731</v>
      </c>
      <c r="E567" s="12">
        <v>2.8499999999999996</v>
      </c>
      <c r="F567" s="12">
        <v>18</v>
      </c>
      <c r="G567" s="12">
        <v>2.8499999999999996</v>
      </c>
      <c r="H567" s="12">
        <v>2.8235294117647065</v>
      </c>
      <c r="I567" s="12" t="s">
        <v>115</v>
      </c>
      <c r="J567" s="6">
        <v>46311</v>
      </c>
      <c r="K567">
        <v>46311</v>
      </c>
      <c r="L567">
        <v>0.81393458364989801</v>
      </c>
      <c r="M567">
        <v>0.81393458364989801</v>
      </c>
      <c r="N567">
        <v>0.80637481971506952</v>
      </c>
      <c r="O567">
        <v>1.2285999637903766</v>
      </c>
      <c r="P567">
        <v>1.2285999637903766</v>
      </c>
      <c r="Q567">
        <v>0.99071207430340591</v>
      </c>
      <c r="R567">
        <v>1.0093749999999997</v>
      </c>
      <c r="S567">
        <v>1.0093749999999997</v>
      </c>
      <c r="T567">
        <v>1.2401180884509111</v>
      </c>
    </row>
    <row r="568" spans="1:20" x14ac:dyDescent="0.25">
      <c r="A568" s="12" t="s">
        <v>58</v>
      </c>
      <c r="B568" s="12" t="s">
        <v>57</v>
      </c>
      <c r="C568" s="12" t="s">
        <v>14</v>
      </c>
      <c r="D568" s="12">
        <v>3.8619594450028369</v>
      </c>
      <c r="E568" s="12">
        <v>5.6999999999999993</v>
      </c>
      <c r="F568" s="12">
        <v>18</v>
      </c>
      <c r="G568" s="12">
        <v>5.6999999999999993</v>
      </c>
      <c r="H568" s="12">
        <v>3.6955017301038056</v>
      </c>
      <c r="I568" s="12" t="s">
        <v>116</v>
      </c>
      <c r="J568" s="6">
        <v>46311</v>
      </c>
      <c r="K568">
        <v>46311</v>
      </c>
      <c r="L568">
        <v>1.4759347116851487</v>
      </c>
      <c r="M568">
        <v>1.4759347116851487</v>
      </c>
      <c r="N568">
        <v>0.95689811939521563</v>
      </c>
      <c r="O568">
        <v>0.67753674473733994</v>
      </c>
      <c r="P568">
        <v>0.67753674473733994</v>
      </c>
      <c r="Q568">
        <v>0.64833363686031686</v>
      </c>
      <c r="R568">
        <v>1.5424157303370787</v>
      </c>
      <c r="S568">
        <v>1.5424157303370787</v>
      </c>
      <c r="T568">
        <v>1.045043332964251</v>
      </c>
    </row>
    <row r="569" spans="1:20" x14ac:dyDescent="0.25">
      <c r="A569" s="12" t="s">
        <v>58</v>
      </c>
      <c r="B569" s="12" t="s">
        <v>57</v>
      </c>
      <c r="C569" s="12" t="s">
        <v>13</v>
      </c>
      <c r="D569" s="12">
        <v>4.3768873710032166</v>
      </c>
      <c r="E569" s="12">
        <v>4.75</v>
      </c>
      <c r="F569" s="12">
        <v>18</v>
      </c>
      <c r="G569" s="12">
        <v>4.75</v>
      </c>
      <c r="H569" s="12">
        <v>3.7647058823529385</v>
      </c>
      <c r="I569" s="12" t="s">
        <v>119</v>
      </c>
      <c r="J569" s="6">
        <v>46312</v>
      </c>
      <c r="K569">
        <v>46312</v>
      </c>
      <c r="L569">
        <v>1.0852461115331975</v>
      </c>
      <c r="M569">
        <v>1.0852461115331975</v>
      </c>
      <c r="N569">
        <v>0.86013314102940663</v>
      </c>
      <c r="O569">
        <v>0.92144997284278241</v>
      </c>
      <c r="P569">
        <v>0.92144997284278241</v>
      </c>
      <c r="Q569">
        <v>0.79256965944272384</v>
      </c>
      <c r="R569">
        <v>1.2617187500000009</v>
      </c>
      <c r="S569">
        <v>1.2617187500000009</v>
      </c>
      <c r="T569">
        <v>1.1626107079227301</v>
      </c>
    </row>
    <row r="570" spans="1:20" x14ac:dyDescent="0.25">
      <c r="A570" s="12" t="s">
        <v>58</v>
      </c>
      <c r="B570" s="12" t="s">
        <v>57</v>
      </c>
      <c r="C570" s="12" t="s">
        <v>15</v>
      </c>
      <c r="D570" s="12">
        <v>0</v>
      </c>
      <c r="E570" s="12">
        <v>0.95</v>
      </c>
      <c r="F570" s="12">
        <v>18</v>
      </c>
      <c r="G570" s="12">
        <v>0.95</v>
      </c>
      <c r="H570" s="12">
        <v>0</v>
      </c>
      <c r="I570" s="12" t="s">
        <v>120</v>
      </c>
      <c r="J570" s="6">
        <v>46312</v>
      </c>
      <c r="K570">
        <v>46312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x14ac:dyDescent="0.25">
      <c r="A571" s="12" t="s">
        <v>58</v>
      </c>
      <c r="B571" s="12" t="s">
        <v>57</v>
      </c>
      <c r="C571" s="12" t="s">
        <v>14</v>
      </c>
      <c r="D571" s="12">
        <v>3.8619594450028369</v>
      </c>
      <c r="E571" s="12">
        <v>7.6</v>
      </c>
      <c r="F571" s="12">
        <v>18</v>
      </c>
      <c r="G571" s="12">
        <v>7.6</v>
      </c>
      <c r="H571" s="12">
        <v>4.633217993079584</v>
      </c>
      <c r="I571" s="12" t="s">
        <v>118</v>
      </c>
      <c r="J571" s="6">
        <v>46312</v>
      </c>
      <c r="K571">
        <v>46312</v>
      </c>
      <c r="L571">
        <v>1.9679129489135319</v>
      </c>
      <c r="M571">
        <v>1.9679129489135319</v>
      </c>
      <c r="N571">
        <v>1.1997065373316422</v>
      </c>
      <c r="O571">
        <v>0.5081525585530049</v>
      </c>
      <c r="P571">
        <v>0.5081525585530049</v>
      </c>
      <c r="Q571">
        <v>0.60963394645784008</v>
      </c>
      <c r="R571">
        <v>1.6403286034353997</v>
      </c>
      <c r="S571">
        <v>1.6403286034353997</v>
      </c>
      <c r="T571">
        <v>0.83353717670337568</v>
      </c>
    </row>
    <row r="572" spans="1:20" x14ac:dyDescent="0.25">
      <c r="A572" s="12" t="s">
        <v>58</v>
      </c>
      <c r="B572" s="12" t="s">
        <v>57</v>
      </c>
      <c r="C572" s="12" t="s">
        <v>14</v>
      </c>
      <c r="D572" s="12">
        <v>3.8619594450028369</v>
      </c>
      <c r="E572" s="12">
        <v>6.6499999999999995</v>
      </c>
      <c r="F572" s="12">
        <v>18</v>
      </c>
      <c r="G572" s="12">
        <v>6.6499999999999995</v>
      </c>
      <c r="H572" s="12">
        <v>3.7508650519031135</v>
      </c>
      <c r="I572" s="12" t="s">
        <v>123</v>
      </c>
      <c r="J572" s="6">
        <v>46313</v>
      </c>
      <c r="K572">
        <v>46313</v>
      </c>
      <c r="L572">
        <v>1.7219238302993403</v>
      </c>
      <c r="M572">
        <v>1.7219238302993403</v>
      </c>
      <c r="N572">
        <v>0.97123367174570585</v>
      </c>
      <c r="O572">
        <v>0.58074578120343412</v>
      </c>
      <c r="P572">
        <v>0.58074578120343412</v>
      </c>
      <c r="Q572">
        <v>0.56403985742903961</v>
      </c>
      <c r="R572">
        <v>1.7729243542435427</v>
      </c>
      <c r="S572">
        <v>1.7729243542435427</v>
      </c>
      <c r="T572">
        <v>1.0296183391197602</v>
      </c>
    </row>
    <row r="573" spans="1:20" x14ac:dyDescent="0.25">
      <c r="A573" s="12" t="s">
        <v>58</v>
      </c>
      <c r="B573" s="12" t="s">
        <v>57</v>
      </c>
      <c r="C573" s="12" t="s">
        <v>15</v>
      </c>
      <c r="D573" s="12">
        <v>0</v>
      </c>
      <c r="E573" s="12">
        <v>1.9</v>
      </c>
      <c r="F573" s="12">
        <v>18</v>
      </c>
      <c r="G573" s="12">
        <v>1.9</v>
      </c>
      <c r="H573" s="12">
        <v>0</v>
      </c>
      <c r="I573" s="12" t="s">
        <v>122</v>
      </c>
      <c r="J573" s="6">
        <v>46313</v>
      </c>
      <c r="K573">
        <v>46313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25">
      <c r="A574" s="12" t="s">
        <v>58</v>
      </c>
      <c r="B574" s="12" t="s">
        <v>57</v>
      </c>
      <c r="C574" s="12" t="s">
        <v>13</v>
      </c>
      <c r="D574" s="12">
        <v>4.3768873710032166</v>
      </c>
      <c r="E574" s="12">
        <v>3.8</v>
      </c>
      <c r="F574" s="12">
        <v>18</v>
      </c>
      <c r="G574" s="12">
        <v>3.8</v>
      </c>
      <c r="H574" s="12">
        <v>3.7647058823529393</v>
      </c>
      <c r="I574" s="12" t="s">
        <v>121</v>
      </c>
      <c r="J574" s="6">
        <v>46313</v>
      </c>
      <c r="K574">
        <v>46313</v>
      </c>
      <c r="L574">
        <v>0.86819688922655791</v>
      </c>
      <c r="M574">
        <v>0.86819688922655791</v>
      </c>
      <c r="N574">
        <v>0.86013314102940686</v>
      </c>
      <c r="O574">
        <v>1.1518124660534781</v>
      </c>
      <c r="P574">
        <v>1.1518124660534781</v>
      </c>
      <c r="Q574">
        <v>0.99071207430340513</v>
      </c>
      <c r="R574">
        <v>1.0093750000000004</v>
      </c>
      <c r="S574">
        <v>1.0093750000000004</v>
      </c>
      <c r="T574">
        <v>1.1626107079227299</v>
      </c>
    </row>
    <row r="575" spans="1:20" x14ac:dyDescent="0.25">
      <c r="A575" s="12" t="s">
        <v>58</v>
      </c>
      <c r="B575" s="12" t="s">
        <v>57</v>
      </c>
      <c r="C575" s="12" t="s">
        <v>15</v>
      </c>
      <c r="D575" s="12">
        <v>0</v>
      </c>
      <c r="E575" s="12">
        <v>0.95</v>
      </c>
      <c r="F575" s="12">
        <v>18</v>
      </c>
      <c r="G575" s="12">
        <v>0.95</v>
      </c>
      <c r="H575" s="12">
        <v>0</v>
      </c>
      <c r="I575" s="12" t="s">
        <v>125</v>
      </c>
      <c r="J575" s="6">
        <v>46314</v>
      </c>
      <c r="K575">
        <v>46314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 x14ac:dyDescent="0.25">
      <c r="A576" s="12" t="s">
        <v>58</v>
      </c>
      <c r="B576" s="12" t="s">
        <v>57</v>
      </c>
      <c r="C576" s="12" t="s">
        <v>14</v>
      </c>
      <c r="D576" s="12">
        <v>3.0895675560022693</v>
      </c>
      <c r="E576" s="12">
        <v>7.6</v>
      </c>
      <c r="F576" s="12">
        <v>18</v>
      </c>
      <c r="G576" s="12">
        <v>7.6</v>
      </c>
      <c r="H576" s="12">
        <v>3.7508650519031144</v>
      </c>
      <c r="I576" s="12" t="s">
        <v>124</v>
      </c>
      <c r="J576" s="6">
        <v>46314</v>
      </c>
      <c r="K576">
        <v>46314</v>
      </c>
      <c r="L576">
        <v>2.459891186141915</v>
      </c>
      <c r="M576">
        <v>2.459891186141915</v>
      </c>
      <c r="N576">
        <v>1.2140420896821327</v>
      </c>
      <c r="O576">
        <v>0.40652204684240389</v>
      </c>
      <c r="P576">
        <v>0.40652204684240389</v>
      </c>
      <c r="Q576">
        <v>0.49353487525040979</v>
      </c>
      <c r="R576">
        <v>2.0261992619926197</v>
      </c>
      <c r="S576">
        <v>2.0261992619926197</v>
      </c>
      <c r="T576">
        <v>0.82369467129580787</v>
      </c>
    </row>
    <row r="577" spans="1:20" x14ac:dyDescent="0.25">
      <c r="A577" s="12" t="s">
        <v>58</v>
      </c>
      <c r="B577" s="12" t="s">
        <v>57</v>
      </c>
      <c r="C577" s="12" t="s">
        <v>13</v>
      </c>
      <c r="D577" s="12">
        <v>4.3768873710032157</v>
      </c>
      <c r="E577" s="12">
        <v>3.8</v>
      </c>
      <c r="F577" s="12">
        <v>18</v>
      </c>
      <c r="G577" s="12">
        <v>3.8</v>
      </c>
      <c r="H577" s="12">
        <v>3.7647058823529398</v>
      </c>
      <c r="I577" s="12" t="s">
        <v>126</v>
      </c>
      <c r="J577" s="6">
        <v>46314</v>
      </c>
      <c r="K577">
        <v>46314</v>
      </c>
      <c r="L577">
        <v>0.86819688922655802</v>
      </c>
      <c r="M577">
        <v>0.86819688922655802</v>
      </c>
      <c r="N577">
        <v>0.86013314102940708</v>
      </c>
      <c r="O577">
        <v>1.1518124660534779</v>
      </c>
      <c r="P577">
        <v>1.1518124660534779</v>
      </c>
      <c r="Q577">
        <v>0.99071207430340524</v>
      </c>
      <c r="R577">
        <v>1.0093750000000004</v>
      </c>
      <c r="S577">
        <v>1.0093750000000004</v>
      </c>
      <c r="T577">
        <v>1.1626107079227297</v>
      </c>
    </row>
    <row r="578" spans="1:20" x14ac:dyDescent="0.25">
      <c r="A578" s="12" t="s">
        <v>58</v>
      </c>
      <c r="B578" s="12" t="s">
        <v>57</v>
      </c>
      <c r="C578" s="12" t="s">
        <v>13</v>
      </c>
      <c r="D578" s="12">
        <v>4.3768873710032166</v>
      </c>
      <c r="E578" s="12">
        <v>2.8499999999999996</v>
      </c>
      <c r="F578" s="12">
        <v>18</v>
      </c>
      <c r="G578" s="12">
        <v>2.8499999999999996</v>
      </c>
      <c r="H578" s="12">
        <v>3.7647058823529393</v>
      </c>
      <c r="I578" s="12" t="s">
        <v>127</v>
      </c>
      <c r="J578" s="6">
        <v>46315</v>
      </c>
      <c r="K578">
        <v>46315</v>
      </c>
      <c r="L578">
        <v>0.65114766691991832</v>
      </c>
      <c r="M578">
        <v>0.65114766691991832</v>
      </c>
      <c r="N578">
        <v>0.86013314102940686</v>
      </c>
      <c r="O578">
        <v>1.5357499547379709</v>
      </c>
      <c r="P578">
        <v>1.5357499547379709</v>
      </c>
      <c r="Q578">
        <v>1.3209494324045403</v>
      </c>
      <c r="R578">
        <v>0.75703125000000027</v>
      </c>
      <c r="S578">
        <v>0.75703125000000027</v>
      </c>
      <c r="T578">
        <v>1.1626107079227299</v>
      </c>
    </row>
    <row r="579" spans="1:20" x14ac:dyDescent="0.25">
      <c r="A579" s="12" t="s">
        <v>58</v>
      </c>
      <c r="B579" s="12" t="s">
        <v>57</v>
      </c>
      <c r="C579" s="12" t="s">
        <v>15</v>
      </c>
      <c r="D579" s="12">
        <v>0</v>
      </c>
      <c r="E579" s="12">
        <v>0.95</v>
      </c>
      <c r="F579" s="12">
        <v>18</v>
      </c>
      <c r="G579" s="12">
        <v>0.95</v>
      </c>
      <c r="H579" s="12">
        <v>0</v>
      </c>
      <c r="I579" s="12" t="s">
        <v>128</v>
      </c>
      <c r="J579" s="6">
        <v>46315</v>
      </c>
      <c r="K579">
        <v>46315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x14ac:dyDescent="0.25">
      <c r="A580" s="12" t="s">
        <v>58</v>
      </c>
      <c r="B580" s="12" t="s">
        <v>57</v>
      </c>
      <c r="C580" s="12" t="s">
        <v>14</v>
      </c>
      <c r="D580" s="12">
        <v>3.0895675560022693</v>
      </c>
      <c r="E580" s="12">
        <v>6.6499999999999995</v>
      </c>
      <c r="F580" s="12">
        <v>18</v>
      </c>
      <c r="G580" s="12">
        <v>6.6499999999999995</v>
      </c>
      <c r="H580" s="12">
        <v>3.7508650519031144</v>
      </c>
      <c r="I580" s="12" t="s">
        <v>129</v>
      </c>
      <c r="J580" s="6">
        <v>46315</v>
      </c>
      <c r="K580">
        <v>46315</v>
      </c>
      <c r="L580">
        <v>2.1524047878741754</v>
      </c>
      <c r="M580">
        <v>2.1524047878741754</v>
      </c>
      <c r="N580">
        <v>1.2140420896821327</v>
      </c>
      <c r="O580">
        <v>0.46459662496274728</v>
      </c>
      <c r="P580">
        <v>0.46459662496274728</v>
      </c>
      <c r="Q580">
        <v>0.56403985742903984</v>
      </c>
      <c r="R580">
        <v>1.7729243542435422</v>
      </c>
      <c r="S580">
        <v>1.7729243542435422</v>
      </c>
      <c r="T580">
        <v>0.82369467129580787</v>
      </c>
    </row>
    <row r="581" spans="1:20" x14ac:dyDescent="0.25">
      <c r="A581" s="12" t="s">
        <v>58</v>
      </c>
      <c r="B581" s="12" t="s">
        <v>57</v>
      </c>
      <c r="C581" s="12" t="s">
        <v>14</v>
      </c>
      <c r="D581" s="12">
        <v>3.8619594450028361</v>
      </c>
      <c r="E581" s="12">
        <v>6.6499999999999995</v>
      </c>
      <c r="F581" s="12">
        <v>18</v>
      </c>
      <c r="G581" s="12">
        <v>6.6499999999999995</v>
      </c>
      <c r="H581" s="12">
        <v>4.6332179930795849</v>
      </c>
      <c r="I581" s="12" t="s">
        <v>130</v>
      </c>
      <c r="J581" s="6">
        <v>46316</v>
      </c>
      <c r="K581">
        <v>46316</v>
      </c>
      <c r="L581">
        <v>1.7219238302993407</v>
      </c>
      <c r="M581">
        <v>1.7219238302993407</v>
      </c>
      <c r="N581">
        <v>1.1997065373316427</v>
      </c>
      <c r="O581">
        <v>0.58074578120343401</v>
      </c>
      <c r="P581">
        <v>0.58074578120343401</v>
      </c>
      <c r="Q581">
        <v>0.69672451023753157</v>
      </c>
      <c r="R581">
        <v>1.4352875280059745</v>
      </c>
      <c r="S581">
        <v>1.4352875280059745</v>
      </c>
      <c r="T581">
        <v>0.83353717670337535</v>
      </c>
    </row>
    <row r="582" spans="1:20" x14ac:dyDescent="0.25">
      <c r="A582" s="12" t="s">
        <v>58</v>
      </c>
      <c r="B582" s="12" t="s">
        <v>57</v>
      </c>
      <c r="C582" s="12" t="s">
        <v>15</v>
      </c>
      <c r="D582" s="12">
        <v>0</v>
      </c>
      <c r="E582" s="12">
        <v>0</v>
      </c>
      <c r="F582" s="12">
        <v>18</v>
      </c>
      <c r="G582" s="12">
        <v>0</v>
      </c>
      <c r="H582" s="12">
        <v>0</v>
      </c>
      <c r="I582" s="12" t="s">
        <v>131</v>
      </c>
      <c r="J582" s="6">
        <v>46316</v>
      </c>
      <c r="K582">
        <v>46316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 x14ac:dyDescent="0.25">
      <c r="A583" s="12" t="s">
        <v>58</v>
      </c>
      <c r="B583" s="12" t="s">
        <v>57</v>
      </c>
      <c r="C583" s="12" t="s">
        <v>13</v>
      </c>
      <c r="D583" s="12">
        <v>3.5015098968025731</v>
      </c>
      <c r="E583" s="12">
        <v>2.8499999999999996</v>
      </c>
      <c r="F583" s="12">
        <v>18</v>
      </c>
      <c r="G583" s="12">
        <v>2.8499999999999996</v>
      </c>
      <c r="H583" s="12">
        <v>3.7647058823529385</v>
      </c>
      <c r="I583" s="12" t="s">
        <v>132</v>
      </c>
      <c r="J583" s="6">
        <v>46316</v>
      </c>
      <c r="K583">
        <v>46316</v>
      </c>
      <c r="L583">
        <v>0.81393458364989801</v>
      </c>
      <c r="M583">
        <v>0.81393458364989801</v>
      </c>
      <c r="N583">
        <v>1.0751664262867584</v>
      </c>
      <c r="O583">
        <v>1.2285999637903766</v>
      </c>
      <c r="P583">
        <v>1.2285999637903766</v>
      </c>
      <c r="Q583">
        <v>1.3209494324045399</v>
      </c>
      <c r="R583">
        <v>0.75703125000000049</v>
      </c>
      <c r="S583">
        <v>0.75703125000000049</v>
      </c>
      <c r="T583">
        <v>0.93008856633818415</v>
      </c>
    </row>
    <row r="584" spans="1:20" x14ac:dyDescent="0.25">
      <c r="A584" s="12" t="s">
        <v>58</v>
      </c>
      <c r="B584" s="12" t="s">
        <v>57</v>
      </c>
      <c r="C584" s="12" t="s">
        <v>13</v>
      </c>
      <c r="D584" s="12">
        <v>3.5015098968025731</v>
      </c>
      <c r="E584" s="12">
        <v>3.8</v>
      </c>
      <c r="F584" s="12">
        <v>18</v>
      </c>
      <c r="G584" s="12">
        <v>3.8</v>
      </c>
      <c r="H584" s="12">
        <v>3.7647058823529398</v>
      </c>
      <c r="I584" s="12" t="s">
        <v>133</v>
      </c>
      <c r="J584" s="6">
        <v>46317</v>
      </c>
      <c r="K584">
        <v>46317</v>
      </c>
      <c r="L584">
        <v>1.0852461115331975</v>
      </c>
      <c r="M584">
        <v>1.0852461115331975</v>
      </c>
      <c r="N584">
        <v>1.0751664262867586</v>
      </c>
      <c r="O584">
        <v>0.92144997284278241</v>
      </c>
      <c r="P584">
        <v>0.92144997284278241</v>
      </c>
      <c r="Q584">
        <v>0.99071207430340524</v>
      </c>
      <c r="R584">
        <v>1.0093750000000004</v>
      </c>
      <c r="S584">
        <v>1.0093750000000004</v>
      </c>
      <c r="T584">
        <v>0.93008856633818382</v>
      </c>
    </row>
    <row r="585" spans="1:20" x14ac:dyDescent="0.25">
      <c r="A585" s="12" t="s">
        <v>58</v>
      </c>
      <c r="B585" s="12" t="s">
        <v>57</v>
      </c>
      <c r="C585" s="12" t="s">
        <v>15</v>
      </c>
      <c r="D585" s="12">
        <v>0</v>
      </c>
      <c r="E585" s="12">
        <v>0</v>
      </c>
      <c r="F585" s="12">
        <v>18</v>
      </c>
      <c r="G585" s="12">
        <v>0</v>
      </c>
      <c r="H585" s="12">
        <v>0</v>
      </c>
      <c r="I585" s="12" t="s">
        <v>134</v>
      </c>
      <c r="J585" s="6">
        <v>46317</v>
      </c>
      <c r="K585">
        <v>46317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25">
      <c r="A586" s="12" t="s">
        <v>58</v>
      </c>
      <c r="B586" s="12" t="s">
        <v>57</v>
      </c>
      <c r="C586" s="12" t="s">
        <v>14</v>
      </c>
      <c r="D586" s="12">
        <v>3.8619594450028369</v>
      </c>
      <c r="E586" s="12">
        <v>7.6</v>
      </c>
      <c r="F586" s="12">
        <v>18</v>
      </c>
      <c r="G586" s="12">
        <v>7.6</v>
      </c>
      <c r="H586" s="12">
        <v>4.6332179930795849</v>
      </c>
      <c r="I586" s="12" t="s">
        <v>135</v>
      </c>
      <c r="J586" s="6">
        <v>46317</v>
      </c>
      <c r="K586">
        <v>46317</v>
      </c>
      <c r="L586">
        <v>1.9679129489135319</v>
      </c>
      <c r="M586">
        <v>1.9679129489135319</v>
      </c>
      <c r="N586">
        <v>1.1997065373316425</v>
      </c>
      <c r="O586">
        <v>0.5081525585530049</v>
      </c>
      <c r="P586">
        <v>0.5081525585530049</v>
      </c>
      <c r="Q586">
        <v>0.60963394645784019</v>
      </c>
      <c r="R586">
        <v>1.6403286034353994</v>
      </c>
      <c r="S586">
        <v>1.6403286034353994</v>
      </c>
      <c r="T586">
        <v>0.83353717670337557</v>
      </c>
    </row>
    <row r="587" spans="1:20" x14ac:dyDescent="0.25">
      <c r="A587" s="12" t="s">
        <v>58</v>
      </c>
      <c r="B587" s="12" t="s">
        <v>57</v>
      </c>
      <c r="C587" s="12" t="s">
        <v>14</v>
      </c>
      <c r="D587" s="12">
        <v>3.8619594450028369</v>
      </c>
      <c r="E587" s="12">
        <v>7.6</v>
      </c>
      <c r="F587" s="12">
        <v>18</v>
      </c>
      <c r="G587" s="12">
        <v>7.6</v>
      </c>
      <c r="H587" s="12">
        <v>4.6332179930795849</v>
      </c>
      <c r="I587" s="12" t="s">
        <v>138</v>
      </c>
      <c r="J587" s="6">
        <v>46318</v>
      </c>
      <c r="K587">
        <v>46318</v>
      </c>
      <c r="L587">
        <v>1.9679129489135319</v>
      </c>
      <c r="M587">
        <v>1.9679129489135319</v>
      </c>
      <c r="N587">
        <v>1.1997065373316425</v>
      </c>
      <c r="O587">
        <v>0.5081525585530049</v>
      </c>
      <c r="P587">
        <v>0.5081525585530049</v>
      </c>
      <c r="Q587">
        <v>0.60963394645784019</v>
      </c>
      <c r="R587">
        <v>1.6403286034353994</v>
      </c>
      <c r="S587">
        <v>1.6403286034353994</v>
      </c>
      <c r="T587">
        <v>0.83353717670337557</v>
      </c>
    </row>
    <row r="588" spans="1:20" x14ac:dyDescent="0.25">
      <c r="A588" s="12" t="s">
        <v>58</v>
      </c>
      <c r="B588" s="12" t="s">
        <v>57</v>
      </c>
      <c r="C588" s="12" t="s">
        <v>13</v>
      </c>
      <c r="D588" s="12">
        <v>3.5015098968025731</v>
      </c>
      <c r="E588" s="12">
        <v>3.8</v>
      </c>
      <c r="F588" s="12">
        <v>18</v>
      </c>
      <c r="G588" s="12">
        <v>3.8</v>
      </c>
      <c r="H588" s="12">
        <v>3.7647058823529393</v>
      </c>
      <c r="I588" s="12" t="s">
        <v>136</v>
      </c>
      <c r="J588" s="6">
        <v>46318</v>
      </c>
      <c r="K588">
        <v>46318</v>
      </c>
      <c r="L588">
        <v>1.0852461115331975</v>
      </c>
      <c r="M588">
        <v>1.0852461115331975</v>
      </c>
      <c r="N588">
        <v>1.0751664262867586</v>
      </c>
      <c r="O588">
        <v>0.92144997284278241</v>
      </c>
      <c r="P588">
        <v>0.92144997284278241</v>
      </c>
      <c r="Q588">
        <v>0.99071207430340513</v>
      </c>
      <c r="R588">
        <v>1.0093750000000004</v>
      </c>
      <c r="S588">
        <v>1.0093750000000004</v>
      </c>
      <c r="T588">
        <v>0.93008856633818393</v>
      </c>
    </row>
    <row r="589" spans="1:20" x14ac:dyDescent="0.25">
      <c r="A589" s="12" t="s">
        <v>58</v>
      </c>
      <c r="B589" s="12" t="s">
        <v>57</v>
      </c>
      <c r="C589" s="12" t="s">
        <v>15</v>
      </c>
      <c r="D589" s="12">
        <v>0</v>
      </c>
      <c r="E589" s="12">
        <v>0.95</v>
      </c>
      <c r="F589" s="12">
        <v>18</v>
      </c>
      <c r="G589" s="12">
        <v>0.95</v>
      </c>
      <c r="H589" s="12">
        <v>0</v>
      </c>
      <c r="I589" s="12" t="s">
        <v>137</v>
      </c>
      <c r="J589" s="6">
        <v>46318</v>
      </c>
      <c r="K589">
        <v>46318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25">
      <c r="A590" s="12" t="s">
        <v>58</v>
      </c>
      <c r="B590" s="12" t="s">
        <v>57</v>
      </c>
      <c r="C590" s="12" t="s">
        <v>14</v>
      </c>
      <c r="D590" s="12">
        <v>3.0895675560022697</v>
      </c>
      <c r="E590" s="12">
        <v>6.6499999999999995</v>
      </c>
      <c r="F590" s="12">
        <v>18</v>
      </c>
      <c r="G590" s="12">
        <v>6.6499999999999995</v>
      </c>
      <c r="H590" s="12">
        <v>3.6955017301038064</v>
      </c>
      <c r="I590" s="12" t="s">
        <v>140</v>
      </c>
      <c r="J590" s="6">
        <v>46319</v>
      </c>
      <c r="K590">
        <v>46319</v>
      </c>
      <c r="L590">
        <v>2.1524047878741754</v>
      </c>
      <c r="M590">
        <v>2.1524047878741754</v>
      </c>
      <c r="N590">
        <v>1.1961226492440198</v>
      </c>
      <c r="O590">
        <v>0.46459662496274734</v>
      </c>
      <c r="P590">
        <v>0.46459662496274734</v>
      </c>
      <c r="Q590">
        <v>0.55571454588027169</v>
      </c>
      <c r="R590">
        <v>1.7994850187265916</v>
      </c>
      <c r="S590">
        <v>1.7994850187265916</v>
      </c>
      <c r="T590">
        <v>0.83603466637140067</v>
      </c>
    </row>
    <row r="591" spans="1:20" x14ac:dyDescent="0.25">
      <c r="A591" s="12" t="s">
        <v>58</v>
      </c>
      <c r="B591" s="12" t="s">
        <v>57</v>
      </c>
      <c r="C591" s="12" t="s">
        <v>15</v>
      </c>
      <c r="D591" s="12">
        <v>0</v>
      </c>
      <c r="E591" s="12">
        <v>0.95</v>
      </c>
      <c r="F591" s="12">
        <v>18</v>
      </c>
      <c r="G591" s="12">
        <v>0.95</v>
      </c>
      <c r="H591" s="12">
        <v>0</v>
      </c>
      <c r="I591" s="12" t="s">
        <v>139</v>
      </c>
      <c r="J591" s="6">
        <v>46319</v>
      </c>
      <c r="K591">
        <v>46319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x14ac:dyDescent="0.25">
      <c r="A592" s="12" t="s">
        <v>58</v>
      </c>
      <c r="B592" s="12" t="s">
        <v>57</v>
      </c>
      <c r="C592" s="12" t="s">
        <v>13</v>
      </c>
      <c r="D592" s="12">
        <v>4.3768873710032166</v>
      </c>
      <c r="E592" s="12">
        <v>3.8</v>
      </c>
      <c r="F592" s="12">
        <v>18</v>
      </c>
      <c r="G592" s="12">
        <v>3.8</v>
      </c>
      <c r="H592" s="12">
        <v>2.823529411764707</v>
      </c>
      <c r="I592" s="12" t="s">
        <v>141</v>
      </c>
      <c r="J592" s="6">
        <v>46319</v>
      </c>
      <c r="K592">
        <v>46319</v>
      </c>
      <c r="L592">
        <v>0.86819688922655791</v>
      </c>
      <c r="M592">
        <v>0.86819688922655791</v>
      </c>
      <c r="N592">
        <v>0.64509985577205564</v>
      </c>
      <c r="O592">
        <v>1.1518124660534781</v>
      </c>
      <c r="P592">
        <v>1.1518124660534781</v>
      </c>
      <c r="Q592">
        <v>0.74303405572755454</v>
      </c>
      <c r="R592">
        <v>1.3458333333333328</v>
      </c>
      <c r="S592">
        <v>1.3458333333333328</v>
      </c>
      <c r="T592">
        <v>1.5501476105636387</v>
      </c>
    </row>
    <row r="593" spans="1:20" x14ac:dyDescent="0.25">
      <c r="A593" s="12" t="s">
        <v>58</v>
      </c>
      <c r="B593" s="12" t="s">
        <v>57</v>
      </c>
      <c r="C593" s="12" t="s">
        <v>14</v>
      </c>
      <c r="D593" s="12">
        <v>3.0895675560022697</v>
      </c>
      <c r="E593" s="12">
        <v>7.6</v>
      </c>
      <c r="F593" s="12">
        <v>18</v>
      </c>
      <c r="G593" s="12">
        <v>7.6</v>
      </c>
      <c r="H593" s="12">
        <v>3.7508650519031144</v>
      </c>
      <c r="I593" s="12" t="s">
        <v>143</v>
      </c>
      <c r="J593" s="6">
        <v>46320</v>
      </c>
      <c r="K593">
        <v>46320</v>
      </c>
      <c r="L593">
        <v>2.4598911861419146</v>
      </c>
      <c r="M593">
        <v>2.4598911861419146</v>
      </c>
      <c r="N593">
        <v>1.2140420896821325</v>
      </c>
      <c r="O593">
        <v>0.40652204684240395</v>
      </c>
      <c r="P593">
        <v>0.40652204684240395</v>
      </c>
      <c r="Q593">
        <v>0.49353487525040979</v>
      </c>
      <c r="R593">
        <v>2.0261992619926197</v>
      </c>
      <c r="S593">
        <v>2.0261992619926197</v>
      </c>
      <c r="T593">
        <v>0.82369467129580809</v>
      </c>
    </row>
    <row r="594" spans="1:20" x14ac:dyDescent="0.25">
      <c r="A594" s="12" t="s">
        <v>58</v>
      </c>
      <c r="B594" s="12" t="s">
        <v>57</v>
      </c>
      <c r="C594" s="12" t="s">
        <v>13</v>
      </c>
      <c r="D594" s="12">
        <v>4.3768873710032166</v>
      </c>
      <c r="E594" s="12">
        <v>3.8</v>
      </c>
      <c r="F594" s="12">
        <v>18</v>
      </c>
      <c r="G594" s="12">
        <v>3.8</v>
      </c>
      <c r="H594" s="12">
        <v>3.7647058823529393</v>
      </c>
      <c r="I594" s="12" t="s">
        <v>144</v>
      </c>
      <c r="J594" s="6">
        <v>46320</v>
      </c>
      <c r="K594">
        <v>46320</v>
      </c>
      <c r="L594">
        <v>0.86819688922655791</v>
      </c>
      <c r="M594">
        <v>0.86819688922655791</v>
      </c>
      <c r="N594">
        <v>0.86013314102940686</v>
      </c>
      <c r="O594">
        <v>1.1518124660534781</v>
      </c>
      <c r="P594">
        <v>1.1518124660534781</v>
      </c>
      <c r="Q594">
        <v>0.99071207430340513</v>
      </c>
      <c r="R594">
        <v>1.0093750000000004</v>
      </c>
      <c r="S594">
        <v>1.0093750000000004</v>
      </c>
      <c r="T594">
        <v>1.1626107079227299</v>
      </c>
    </row>
    <row r="595" spans="1:20" x14ac:dyDescent="0.25">
      <c r="A595" s="12" t="s">
        <v>58</v>
      </c>
      <c r="B595" s="12" t="s">
        <v>57</v>
      </c>
      <c r="C595" s="12" t="s">
        <v>15</v>
      </c>
      <c r="D595" s="12">
        <v>0</v>
      </c>
      <c r="E595" s="12">
        <v>0.95</v>
      </c>
      <c r="F595" s="12">
        <v>18</v>
      </c>
      <c r="G595" s="12">
        <v>0.95</v>
      </c>
      <c r="H595" s="12">
        <v>0</v>
      </c>
      <c r="I595" s="12" t="s">
        <v>142</v>
      </c>
      <c r="J595" s="6">
        <v>46320</v>
      </c>
      <c r="K595">
        <v>46320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 x14ac:dyDescent="0.25">
      <c r="A596" s="12" t="s">
        <v>59</v>
      </c>
      <c r="B596" s="12" t="s">
        <v>57</v>
      </c>
      <c r="C596" s="12" t="s">
        <v>13</v>
      </c>
      <c r="D596" s="12">
        <v>0.93456536928974765</v>
      </c>
      <c r="E596" s="12">
        <v>1.9</v>
      </c>
      <c r="F596" s="12">
        <v>18</v>
      </c>
      <c r="G596" s="12">
        <v>1.9</v>
      </c>
      <c r="H596" s="12">
        <v>1.7647058823529411</v>
      </c>
      <c r="I596" s="12" t="s">
        <v>63</v>
      </c>
      <c r="J596" s="6">
        <v>46293</v>
      </c>
      <c r="K596">
        <v>46293</v>
      </c>
      <c r="L596">
        <v>2.0330306069911028</v>
      </c>
      <c r="M596">
        <v>2.0330306069911028</v>
      </c>
      <c r="N596">
        <v>1.8882637216635632</v>
      </c>
      <c r="O596">
        <v>0.49187651015249878</v>
      </c>
      <c r="P596">
        <v>0.49187651015249878</v>
      </c>
      <c r="Q596">
        <v>0.92879256965944279</v>
      </c>
      <c r="R596">
        <v>1.0766666666666667</v>
      </c>
      <c r="S596">
        <v>1.0766666666666667</v>
      </c>
      <c r="T596">
        <v>0.52958704259752365</v>
      </c>
    </row>
    <row r="597" spans="1:20" x14ac:dyDescent="0.25">
      <c r="A597" s="12" t="s">
        <v>59</v>
      </c>
      <c r="B597" s="12" t="s">
        <v>57</v>
      </c>
      <c r="C597" s="12" t="s">
        <v>14</v>
      </c>
      <c r="D597" s="12">
        <v>1.4293352706784377</v>
      </c>
      <c r="E597" s="12">
        <v>2.8499999999999996</v>
      </c>
      <c r="F597" s="12">
        <v>18</v>
      </c>
      <c r="G597" s="12">
        <v>2.8499999999999996</v>
      </c>
      <c r="H597" s="12">
        <v>1.0449826989619375</v>
      </c>
      <c r="I597" s="12" t="s">
        <v>62</v>
      </c>
      <c r="J597" s="6">
        <v>46293</v>
      </c>
      <c r="K597">
        <v>46293</v>
      </c>
      <c r="L597">
        <v>1.9939338645489659</v>
      </c>
      <c r="M597">
        <v>1.9939338645489659</v>
      </c>
      <c r="N597">
        <v>0.73109697941332807</v>
      </c>
      <c r="O597">
        <v>0.50152114760646938</v>
      </c>
      <c r="P597">
        <v>0.50152114760646938</v>
      </c>
      <c r="Q597">
        <v>0.36666059612699564</v>
      </c>
      <c r="R597">
        <v>2.7273178807947023</v>
      </c>
      <c r="S597">
        <v>2.7273178807947023</v>
      </c>
      <c r="T597">
        <v>1.3678075934638032</v>
      </c>
    </row>
    <row r="598" spans="1:20" x14ac:dyDescent="0.25">
      <c r="A598" s="12" t="s">
        <v>59</v>
      </c>
      <c r="B598" s="12" t="s">
        <v>57</v>
      </c>
      <c r="C598" s="12" t="s">
        <v>15</v>
      </c>
      <c r="D598" s="12">
        <v>0</v>
      </c>
      <c r="E598" s="12">
        <v>0</v>
      </c>
      <c r="F598" s="12">
        <v>18</v>
      </c>
      <c r="G598" s="12">
        <v>0</v>
      </c>
      <c r="H598" s="12">
        <v>0</v>
      </c>
      <c r="I598" s="12" t="s">
        <v>61</v>
      </c>
      <c r="J598" s="6">
        <v>46293</v>
      </c>
      <c r="K598">
        <v>46293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 x14ac:dyDescent="0.25">
      <c r="A599" s="12" t="s">
        <v>59</v>
      </c>
      <c r="B599" s="12" t="s">
        <v>57</v>
      </c>
      <c r="C599" s="12" t="s">
        <v>13</v>
      </c>
      <c r="D599" s="12">
        <v>0.93456536928974765</v>
      </c>
      <c r="E599" s="12">
        <v>0.95</v>
      </c>
      <c r="F599" s="12">
        <v>18</v>
      </c>
      <c r="G599" s="12">
        <v>0.95</v>
      </c>
      <c r="H599" s="12">
        <v>0.88235294117647056</v>
      </c>
      <c r="I599" s="12" t="s">
        <v>64</v>
      </c>
      <c r="J599" s="6">
        <v>46294</v>
      </c>
      <c r="K599">
        <v>46294</v>
      </c>
      <c r="L599">
        <v>1.0165153034955514</v>
      </c>
      <c r="M599">
        <v>1.0165153034955514</v>
      </c>
      <c r="N599">
        <v>0.94413186083178158</v>
      </c>
      <c r="O599">
        <v>0.98375302030499756</v>
      </c>
      <c r="P599">
        <v>0.98375302030499756</v>
      </c>
      <c r="Q599">
        <v>0.92879256965944279</v>
      </c>
      <c r="R599">
        <v>1.0766666666666667</v>
      </c>
      <c r="S599">
        <v>1.0766666666666667</v>
      </c>
      <c r="T599">
        <v>1.0591740851950473</v>
      </c>
    </row>
    <row r="600" spans="1:20" x14ac:dyDescent="0.25">
      <c r="A600" s="12" t="s">
        <v>59</v>
      </c>
      <c r="B600" s="12" t="s">
        <v>57</v>
      </c>
      <c r="C600" s="12" t="s">
        <v>15</v>
      </c>
      <c r="D600" s="12">
        <v>0</v>
      </c>
      <c r="E600" s="12">
        <v>0</v>
      </c>
      <c r="F600" s="12">
        <v>18</v>
      </c>
      <c r="G600" s="12">
        <v>0</v>
      </c>
      <c r="H600" s="12">
        <v>0</v>
      </c>
      <c r="I600" s="12" t="s">
        <v>65</v>
      </c>
      <c r="J600" s="6">
        <v>46294</v>
      </c>
      <c r="K600">
        <v>46294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25">
      <c r="A601" s="12" t="s">
        <v>59</v>
      </c>
      <c r="B601" s="12" t="s">
        <v>57</v>
      </c>
      <c r="C601" s="12" t="s">
        <v>14</v>
      </c>
      <c r="D601" s="12">
        <v>1.4293352706784377</v>
      </c>
      <c r="E601" s="12">
        <v>1.9</v>
      </c>
      <c r="F601" s="12">
        <v>18</v>
      </c>
      <c r="G601" s="12">
        <v>1.9</v>
      </c>
      <c r="H601" s="12">
        <v>0.93425605536332179</v>
      </c>
      <c r="I601" s="12" t="s">
        <v>66</v>
      </c>
      <c r="J601" s="6">
        <v>46294</v>
      </c>
      <c r="K601">
        <v>46294</v>
      </c>
      <c r="L601">
        <v>1.3292892430326442</v>
      </c>
      <c r="M601">
        <v>1.3292892430326442</v>
      </c>
      <c r="N601">
        <v>0.65362974980661792</v>
      </c>
      <c r="O601">
        <v>0.75228172140970406</v>
      </c>
      <c r="P601">
        <v>0.75228172140970406</v>
      </c>
      <c r="Q601">
        <v>0.49171371334911673</v>
      </c>
      <c r="R601">
        <v>2.0337037037037038</v>
      </c>
      <c r="S601">
        <v>2.0337037037037038</v>
      </c>
      <c r="T601">
        <v>1.5299181230595129</v>
      </c>
    </row>
    <row r="602" spans="1:20" x14ac:dyDescent="0.25">
      <c r="A602" s="12" t="s">
        <v>59</v>
      </c>
      <c r="B602" s="12" t="s">
        <v>57</v>
      </c>
      <c r="C602" s="12" t="s">
        <v>13</v>
      </c>
      <c r="D602" s="12">
        <v>1.8691307385794953</v>
      </c>
      <c r="E602" s="12">
        <v>1.9</v>
      </c>
      <c r="F602" s="12">
        <v>18</v>
      </c>
      <c r="G602" s="12">
        <v>1.9</v>
      </c>
      <c r="H602" s="12">
        <v>1.7647058823529411</v>
      </c>
      <c r="I602" s="12" t="s">
        <v>67</v>
      </c>
      <c r="J602" s="6">
        <v>46295</v>
      </c>
      <c r="K602">
        <v>46295</v>
      </c>
      <c r="L602">
        <v>1.0165153034955514</v>
      </c>
      <c r="M602">
        <v>1.0165153034955514</v>
      </c>
      <c r="N602">
        <v>0.94413186083178158</v>
      </c>
      <c r="O602">
        <v>0.98375302030499756</v>
      </c>
      <c r="P602">
        <v>0.98375302030499756</v>
      </c>
      <c r="Q602">
        <v>0.92879256965944279</v>
      </c>
      <c r="R602">
        <v>1.0766666666666667</v>
      </c>
      <c r="S602">
        <v>1.0766666666666667</v>
      </c>
      <c r="T602">
        <v>1.0591740851950473</v>
      </c>
    </row>
    <row r="603" spans="1:20" x14ac:dyDescent="0.25">
      <c r="A603" s="12" t="s">
        <v>59</v>
      </c>
      <c r="B603" s="12" t="s">
        <v>57</v>
      </c>
      <c r="C603" s="12" t="s">
        <v>15</v>
      </c>
      <c r="D603" s="12">
        <v>0</v>
      </c>
      <c r="E603" s="12">
        <v>0</v>
      </c>
      <c r="F603" s="12">
        <v>18</v>
      </c>
      <c r="G603" s="12">
        <v>0</v>
      </c>
      <c r="H603" s="12">
        <v>0</v>
      </c>
      <c r="I603" s="12" t="s">
        <v>68</v>
      </c>
      <c r="J603" s="6">
        <v>46295</v>
      </c>
      <c r="K603">
        <v>46295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 x14ac:dyDescent="0.25">
      <c r="A604" s="12" t="s">
        <v>59</v>
      </c>
      <c r="B604" s="12" t="s">
        <v>57</v>
      </c>
      <c r="C604" s="12" t="s">
        <v>14</v>
      </c>
      <c r="D604" s="12">
        <v>1.5942585711413342</v>
      </c>
      <c r="E604" s="12">
        <v>2.8499999999999996</v>
      </c>
      <c r="F604" s="12">
        <v>18</v>
      </c>
      <c r="G604" s="12">
        <v>2.8499999999999996</v>
      </c>
      <c r="H604" s="12">
        <v>1.0449826989619375</v>
      </c>
      <c r="I604" s="12" t="s">
        <v>69</v>
      </c>
      <c r="J604" s="6">
        <v>46295</v>
      </c>
      <c r="K604">
        <v>46295</v>
      </c>
      <c r="L604">
        <v>1.7876648440783836</v>
      </c>
      <c r="M604">
        <v>1.7876648440783836</v>
      </c>
      <c r="N604">
        <v>0.65546625740505282</v>
      </c>
      <c r="O604">
        <v>0.55938897233029272</v>
      </c>
      <c r="P604">
        <v>0.55938897233029272</v>
      </c>
      <c r="Q604">
        <v>0.36666059612699564</v>
      </c>
      <c r="R604">
        <v>2.7273178807947023</v>
      </c>
      <c r="S604">
        <v>2.7273178807947023</v>
      </c>
      <c r="T604">
        <v>1.5256315465557804</v>
      </c>
    </row>
    <row r="605" spans="1:20" x14ac:dyDescent="0.25">
      <c r="A605" s="12" t="s">
        <v>59</v>
      </c>
      <c r="B605" s="12" t="s">
        <v>57</v>
      </c>
      <c r="C605" s="12" t="s">
        <v>13</v>
      </c>
      <c r="D605" s="12">
        <v>0.93456536928974765</v>
      </c>
      <c r="E605" s="12">
        <v>0.95</v>
      </c>
      <c r="F605" s="12">
        <v>18</v>
      </c>
      <c r="G605" s="12">
        <v>0.95</v>
      </c>
      <c r="H605" s="12">
        <v>0.88235294117647056</v>
      </c>
      <c r="I605" s="12" t="s">
        <v>70</v>
      </c>
      <c r="J605" s="6">
        <v>46296</v>
      </c>
      <c r="K605">
        <v>46296</v>
      </c>
      <c r="L605">
        <v>1.0165153034955514</v>
      </c>
      <c r="M605">
        <v>1.0165153034955514</v>
      </c>
      <c r="N605">
        <v>0.94413186083178158</v>
      </c>
      <c r="O605">
        <v>0.98375302030499756</v>
      </c>
      <c r="P605">
        <v>0.98375302030499756</v>
      </c>
      <c r="Q605">
        <v>0.92879256965944279</v>
      </c>
      <c r="R605">
        <v>1.0766666666666667</v>
      </c>
      <c r="S605">
        <v>1.0766666666666667</v>
      </c>
      <c r="T605">
        <v>1.0591740851950473</v>
      </c>
    </row>
    <row r="606" spans="1:20" x14ac:dyDescent="0.25">
      <c r="A606" s="12" t="s">
        <v>59</v>
      </c>
      <c r="B606" s="12" t="s">
        <v>57</v>
      </c>
      <c r="C606" s="12" t="s">
        <v>15</v>
      </c>
      <c r="D606" s="12">
        <v>0</v>
      </c>
      <c r="E606" s="12">
        <v>0.95</v>
      </c>
      <c r="F606" s="12">
        <v>18</v>
      </c>
      <c r="G606" s="12">
        <v>0.95</v>
      </c>
      <c r="H606" s="12">
        <v>0</v>
      </c>
      <c r="I606" s="12" t="s">
        <v>72</v>
      </c>
      <c r="J606" s="6">
        <v>46296</v>
      </c>
      <c r="K606">
        <v>46296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 x14ac:dyDescent="0.25">
      <c r="A607" s="12" t="s">
        <v>59</v>
      </c>
      <c r="B607" s="12" t="s">
        <v>57</v>
      </c>
      <c r="C607" s="12" t="s">
        <v>14</v>
      </c>
      <c r="D607" s="12">
        <v>0.65969320185158653</v>
      </c>
      <c r="E607" s="12">
        <v>0.95</v>
      </c>
      <c r="F607" s="12">
        <v>18</v>
      </c>
      <c r="G607" s="12">
        <v>0.95</v>
      </c>
      <c r="H607" s="12">
        <v>0.11072664359861592</v>
      </c>
      <c r="I607" s="12" t="s">
        <v>71</v>
      </c>
      <c r="J607" s="6">
        <v>46296</v>
      </c>
      <c r="K607">
        <v>46296</v>
      </c>
      <c r="L607">
        <v>1.4400633466186981</v>
      </c>
      <c r="M607">
        <v>1.4400633466186981</v>
      </c>
      <c r="N607">
        <v>0.1678456641478723</v>
      </c>
      <c r="O607">
        <v>0.69441389668588061</v>
      </c>
      <c r="P607">
        <v>0.69441389668588061</v>
      </c>
      <c r="Q607">
        <v>0.1165543616827536</v>
      </c>
      <c r="R607">
        <v>8.5796874999999986</v>
      </c>
      <c r="S607">
        <v>8.5796874999999986</v>
      </c>
      <c r="T607">
        <v>5.957854229222141</v>
      </c>
    </row>
    <row r="608" spans="1:20" x14ac:dyDescent="0.25">
      <c r="A608" s="12" t="s">
        <v>59</v>
      </c>
      <c r="B608" s="12" t="s">
        <v>57</v>
      </c>
      <c r="C608" s="12" t="s">
        <v>14</v>
      </c>
      <c r="D608" s="12">
        <v>0.65969320185158653</v>
      </c>
      <c r="E608" s="12">
        <v>0</v>
      </c>
      <c r="F608" s="12">
        <v>18</v>
      </c>
      <c r="G608" s="12">
        <v>0</v>
      </c>
      <c r="H608" s="12">
        <v>0</v>
      </c>
      <c r="I608" s="12" t="s">
        <v>75</v>
      </c>
      <c r="J608" s="6">
        <v>46297</v>
      </c>
      <c r="K608">
        <v>46297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 x14ac:dyDescent="0.25">
      <c r="A609" s="12" t="s">
        <v>59</v>
      </c>
      <c r="B609" s="12" t="s">
        <v>57</v>
      </c>
      <c r="C609" s="12" t="s">
        <v>15</v>
      </c>
      <c r="D609" s="12">
        <v>0</v>
      </c>
      <c r="E609" s="12">
        <v>0</v>
      </c>
      <c r="F609" s="12">
        <v>18</v>
      </c>
      <c r="G609" s="12">
        <v>0</v>
      </c>
      <c r="H609" s="12">
        <v>0</v>
      </c>
      <c r="I609" s="12" t="s">
        <v>74</v>
      </c>
      <c r="J609" s="6">
        <v>46297</v>
      </c>
      <c r="K609">
        <v>46297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 x14ac:dyDescent="0.25">
      <c r="A610" s="12" t="s">
        <v>59</v>
      </c>
      <c r="B610" s="12" t="s">
        <v>57</v>
      </c>
      <c r="C610" s="12" t="s">
        <v>13</v>
      </c>
      <c r="D610" s="12">
        <v>1.8691307385794949</v>
      </c>
      <c r="E610" s="12">
        <v>0</v>
      </c>
      <c r="F610" s="12">
        <v>18</v>
      </c>
      <c r="G610" s="12">
        <v>0</v>
      </c>
      <c r="H610" s="12">
        <v>0</v>
      </c>
      <c r="I610" s="12" t="s">
        <v>73</v>
      </c>
      <c r="J610" s="6">
        <v>46297</v>
      </c>
      <c r="K610">
        <v>46297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 x14ac:dyDescent="0.25">
      <c r="A611" s="12" t="s">
        <v>59</v>
      </c>
      <c r="B611" s="12" t="s">
        <v>57</v>
      </c>
      <c r="C611" s="12" t="s">
        <v>15</v>
      </c>
      <c r="D611" s="12">
        <v>0</v>
      </c>
      <c r="E611" s="12">
        <v>0</v>
      </c>
      <c r="F611" s="12">
        <v>18</v>
      </c>
      <c r="G611" s="12">
        <v>0</v>
      </c>
      <c r="H611" s="12">
        <v>0</v>
      </c>
      <c r="I611" s="12" t="s">
        <v>76</v>
      </c>
      <c r="J611" s="6">
        <v>46298</v>
      </c>
      <c r="K611">
        <v>46298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x14ac:dyDescent="0.25">
      <c r="A612" s="12" t="s">
        <v>59</v>
      </c>
      <c r="B612" s="12" t="s">
        <v>57</v>
      </c>
      <c r="C612" s="12" t="s">
        <v>14</v>
      </c>
      <c r="D612" s="12">
        <v>1.4293352706784372</v>
      </c>
      <c r="E612" s="12">
        <v>1.9</v>
      </c>
      <c r="F612" s="12">
        <v>18</v>
      </c>
      <c r="G612" s="12">
        <v>1.9</v>
      </c>
      <c r="H612" s="12">
        <v>0.93425605536332179</v>
      </c>
      <c r="I612" s="12" t="s">
        <v>78</v>
      </c>
      <c r="J612" s="6">
        <v>46298</v>
      </c>
      <c r="K612">
        <v>46298</v>
      </c>
      <c r="L612">
        <v>1.3292892430326446</v>
      </c>
      <c r="M612">
        <v>1.3292892430326446</v>
      </c>
      <c r="N612">
        <v>0.65362974980661814</v>
      </c>
      <c r="O612">
        <v>0.75228172140970384</v>
      </c>
      <c r="P612">
        <v>0.75228172140970384</v>
      </c>
      <c r="Q612">
        <v>0.49171371334911673</v>
      </c>
      <c r="R612">
        <v>2.0337037037037038</v>
      </c>
      <c r="S612">
        <v>2.0337037037037038</v>
      </c>
      <c r="T612">
        <v>1.5299181230595125</v>
      </c>
    </row>
    <row r="613" spans="1:20" x14ac:dyDescent="0.25">
      <c r="A613" s="12" t="s">
        <v>59</v>
      </c>
      <c r="B613" s="12" t="s">
        <v>57</v>
      </c>
      <c r="C613" s="12" t="s">
        <v>13</v>
      </c>
      <c r="D613" s="12">
        <v>1.8691307385794953</v>
      </c>
      <c r="E613" s="12">
        <v>0.95</v>
      </c>
      <c r="F613" s="12">
        <v>18</v>
      </c>
      <c r="G613" s="12">
        <v>0.95</v>
      </c>
      <c r="H613" s="12">
        <v>0.88235294117647056</v>
      </c>
      <c r="I613" s="12" t="s">
        <v>77</v>
      </c>
      <c r="J613" s="6">
        <v>46298</v>
      </c>
      <c r="K613">
        <v>46298</v>
      </c>
      <c r="L613">
        <v>0.50825765174777571</v>
      </c>
      <c r="M613">
        <v>0.50825765174777571</v>
      </c>
      <c r="N613">
        <v>0.47206593041589079</v>
      </c>
      <c r="O613">
        <v>1.9675060406099951</v>
      </c>
      <c r="P613">
        <v>1.9675060406099951</v>
      </c>
      <c r="Q613">
        <v>0.92879256965944279</v>
      </c>
      <c r="R613">
        <v>1.0766666666666667</v>
      </c>
      <c r="S613">
        <v>1.0766666666666667</v>
      </c>
      <c r="T613">
        <v>2.1183481703900946</v>
      </c>
    </row>
    <row r="614" spans="1:20" x14ac:dyDescent="0.25">
      <c r="A614" s="12" t="s">
        <v>59</v>
      </c>
      <c r="B614" s="12" t="s">
        <v>57</v>
      </c>
      <c r="C614" s="12" t="s">
        <v>13</v>
      </c>
      <c r="D614" s="12">
        <v>1.8691307385794953</v>
      </c>
      <c r="E614" s="12">
        <v>0.95</v>
      </c>
      <c r="F614" s="12">
        <v>18</v>
      </c>
      <c r="G614" s="12">
        <v>0.95</v>
      </c>
      <c r="H614" s="12">
        <v>0.88235294117647056</v>
      </c>
      <c r="I614" s="12" t="s">
        <v>79</v>
      </c>
      <c r="J614" s="6">
        <v>46299</v>
      </c>
      <c r="K614">
        <v>46299</v>
      </c>
      <c r="L614">
        <v>0.50825765174777571</v>
      </c>
      <c r="M614">
        <v>0.50825765174777571</v>
      </c>
      <c r="N614">
        <v>0.47206593041589079</v>
      </c>
      <c r="O614">
        <v>1.9675060406099951</v>
      </c>
      <c r="P614">
        <v>1.9675060406099951</v>
      </c>
      <c r="Q614">
        <v>0.92879256965944279</v>
      </c>
      <c r="R614">
        <v>1.0766666666666667</v>
      </c>
      <c r="S614">
        <v>1.0766666666666667</v>
      </c>
      <c r="T614">
        <v>2.1183481703900946</v>
      </c>
    </row>
    <row r="615" spans="1:20" x14ac:dyDescent="0.25">
      <c r="A615" s="12" t="s">
        <v>59</v>
      </c>
      <c r="B615" s="12" t="s">
        <v>57</v>
      </c>
      <c r="C615" s="12" t="s">
        <v>15</v>
      </c>
      <c r="D615" s="12">
        <v>0</v>
      </c>
      <c r="E615" s="12">
        <v>0</v>
      </c>
      <c r="F615" s="12">
        <v>18</v>
      </c>
      <c r="G615" s="12">
        <v>0</v>
      </c>
      <c r="H615" s="12">
        <v>0</v>
      </c>
      <c r="I615" s="12" t="s">
        <v>81</v>
      </c>
      <c r="J615" s="6">
        <v>46299</v>
      </c>
      <c r="K615">
        <v>46299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 x14ac:dyDescent="0.25">
      <c r="A616" s="12" t="s">
        <v>59</v>
      </c>
      <c r="B616" s="12" t="s">
        <v>57</v>
      </c>
      <c r="C616" s="12" t="s">
        <v>14</v>
      </c>
      <c r="D616" s="12">
        <v>1.4293352706784372</v>
      </c>
      <c r="E616" s="12">
        <v>1.9</v>
      </c>
      <c r="F616" s="12">
        <v>18</v>
      </c>
      <c r="G616" s="12">
        <v>1.9</v>
      </c>
      <c r="H616" s="12">
        <v>0.93425605536332179</v>
      </c>
      <c r="I616" s="12" t="s">
        <v>80</v>
      </c>
      <c r="J616" s="6">
        <v>46299</v>
      </c>
      <c r="K616">
        <v>46299</v>
      </c>
      <c r="L616">
        <v>1.3292892430326446</v>
      </c>
      <c r="M616">
        <v>1.3292892430326446</v>
      </c>
      <c r="N616">
        <v>0.65362974980661814</v>
      </c>
      <c r="O616">
        <v>0.75228172140970384</v>
      </c>
      <c r="P616">
        <v>0.75228172140970384</v>
      </c>
      <c r="Q616">
        <v>0.49171371334911673</v>
      </c>
      <c r="R616">
        <v>2.0337037037037038</v>
      </c>
      <c r="S616">
        <v>2.0337037037037038</v>
      </c>
      <c r="T616">
        <v>1.5299181230595125</v>
      </c>
    </row>
    <row r="617" spans="1:20" x14ac:dyDescent="0.25">
      <c r="A617" s="12" t="s">
        <v>59</v>
      </c>
      <c r="B617" s="12" t="s">
        <v>57</v>
      </c>
      <c r="C617" s="12" t="s">
        <v>15</v>
      </c>
      <c r="D617" s="12">
        <v>0</v>
      </c>
      <c r="E617" s="12">
        <v>0</v>
      </c>
      <c r="F617" s="12">
        <v>18</v>
      </c>
      <c r="G617" s="12">
        <v>0</v>
      </c>
      <c r="H617" s="12">
        <v>0</v>
      </c>
      <c r="I617" s="12" t="s">
        <v>82</v>
      </c>
      <c r="J617" s="6">
        <v>46300</v>
      </c>
      <c r="K617">
        <v>46300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25">
      <c r="A618" s="12" t="s">
        <v>59</v>
      </c>
      <c r="B618" s="12" t="s">
        <v>57</v>
      </c>
      <c r="C618" s="12" t="s">
        <v>14</v>
      </c>
      <c r="D618" s="12">
        <v>1.4293352706784377</v>
      </c>
      <c r="E618" s="12">
        <v>1.9</v>
      </c>
      <c r="F618" s="12">
        <v>18</v>
      </c>
      <c r="G618" s="12">
        <v>1.9</v>
      </c>
      <c r="H618" s="12">
        <v>0.93425605536332179</v>
      </c>
      <c r="I618" s="12" t="s">
        <v>83</v>
      </c>
      <c r="J618" s="6">
        <v>46300</v>
      </c>
      <c r="K618">
        <v>46300</v>
      </c>
      <c r="L618">
        <v>1.3292892430326442</v>
      </c>
      <c r="M618">
        <v>1.3292892430326442</v>
      </c>
      <c r="N618">
        <v>0.65362974980661792</v>
      </c>
      <c r="O618">
        <v>0.75228172140970406</v>
      </c>
      <c r="P618">
        <v>0.75228172140970406</v>
      </c>
      <c r="Q618">
        <v>0.49171371334911673</v>
      </c>
      <c r="R618">
        <v>2.0337037037037038</v>
      </c>
      <c r="S618">
        <v>2.0337037037037038</v>
      </c>
      <c r="T618">
        <v>1.5299181230595129</v>
      </c>
    </row>
    <row r="619" spans="1:20" x14ac:dyDescent="0.25">
      <c r="A619" s="12" t="s">
        <v>59</v>
      </c>
      <c r="B619" s="12" t="s">
        <v>57</v>
      </c>
      <c r="C619" s="12" t="s">
        <v>13</v>
      </c>
      <c r="D619" s="12">
        <v>0.93456536928974765</v>
      </c>
      <c r="E619" s="12">
        <v>0.95</v>
      </c>
      <c r="F619" s="12">
        <v>18</v>
      </c>
      <c r="G619" s="12">
        <v>0.95</v>
      </c>
      <c r="H619" s="12">
        <v>0.88235294117647056</v>
      </c>
      <c r="I619" s="12" t="s">
        <v>84</v>
      </c>
      <c r="J619" s="6">
        <v>46300</v>
      </c>
      <c r="K619">
        <v>46300</v>
      </c>
      <c r="L619">
        <v>1.0165153034955514</v>
      </c>
      <c r="M619">
        <v>1.0165153034955514</v>
      </c>
      <c r="N619">
        <v>0.94413186083178158</v>
      </c>
      <c r="O619">
        <v>0.98375302030499756</v>
      </c>
      <c r="P619">
        <v>0.98375302030499756</v>
      </c>
      <c r="Q619">
        <v>0.92879256965944279</v>
      </c>
      <c r="R619">
        <v>1.0766666666666667</v>
      </c>
      <c r="S619">
        <v>1.0766666666666667</v>
      </c>
      <c r="T619">
        <v>1.0591740851950473</v>
      </c>
    </row>
    <row r="620" spans="1:20" x14ac:dyDescent="0.25">
      <c r="A620" s="12" t="s">
        <v>59</v>
      </c>
      <c r="B620" s="12" t="s">
        <v>57</v>
      </c>
      <c r="C620" s="12" t="s">
        <v>13</v>
      </c>
      <c r="D620" s="12">
        <v>0.93456536928974732</v>
      </c>
      <c r="E620" s="12">
        <v>0.95</v>
      </c>
      <c r="F620" s="12">
        <v>18</v>
      </c>
      <c r="G620" s="12">
        <v>0.95</v>
      </c>
      <c r="H620" s="12">
        <v>0.88235294117647045</v>
      </c>
      <c r="I620" s="12" t="s">
        <v>87</v>
      </c>
      <c r="J620" s="6">
        <v>46301</v>
      </c>
      <c r="K620">
        <v>46301</v>
      </c>
      <c r="L620">
        <v>1.0165153034955519</v>
      </c>
      <c r="M620">
        <v>1.0165153034955519</v>
      </c>
      <c r="N620">
        <v>0.9441318608317818</v>
      </c>
      <c r="O620">
        <v>0.98375302030499723</v>
      </c>
      <c r="P620">
        <v>0.98375302030499723</v>
      </c>
      <c r="Q620">
        <v>0.92879256965944257</v>
      </c>
      <c r="R620">
        <v>1.0766666666666669</v>
      </c>
      <c r="S620">
        <v>1.0766666666666669</v>
      </c>
      <c r="T620">
        <v>1.0591740851950471</v>
      </c>
    </row>
    <row r="621" spans="1:20" x14ac:dyDescent="0.25">
      <c r="A621" s="12" t="s">
        <v>59</v>
      </c>
      <c r="B621" s="12" t="s">
        <v>57</v>
      </c>
      <c r="C621" s="12" t="s">
        <v>14</v>
      </c>
      <c r="D621" s="12">
        <v>1.4293352706784377</v>
      </c>
      <c r="E621" s="12">
        <v>1.9</v>
      </c>
      <c r="F621" s="12">
        <v>18</v>
      </c>
      <c r="G621" s="12">
        <v>1.9</v>
      </c>
      <c r="H621" s="12">
        <v>0.93425605536332179</v>
      </c>
      <c r="I621" s="12" t="s">
        <v>85</v>
      </c>
      <c r="J621" s="6">
        <v>46301</v>
      </c>
      <c r="K621">
        <v>46301</v>
      </c>
      <c r="L621">
        <v>1.3292892430326442</v>
      </c>
      <c r="M621">
        <v>1.3292892430326442</v>
      </c>
      <c r="N621">
        <v>0.65362974980661792</v>
      </c>
      <c r="O621">
        <v>0.75228172140970406</v>
      </c>
      <c r="P621">
        <v>0.75228172140970406</v>
      </c>
      <c r="Q621">
        <v>0.49171371334911673</v>
      </c>
      <c r="R621">
        <v>2.0337037037037038</v>
      </c>
      <c r="S621">
        <v>2.0337037037037038</v>
      </c>
      <c r="T621">
        <v>1.5299181230595129</v>
      </c>
    </row>
    <row r="622" spans="1:20" x14ac:dyDescent="0.25">
      <c r="A622" s="12" t="s">
        <v>59</v>
      </c>
      <c r="B622" s="12" t="s">
        <v>57</v>
      </c>
      <c r="C622" s="12" t="s">
        <v>15</v>
      </c>
      <c r="D622" s="12">
        <v>0</v>
      </c>
      <c r="E622" s="12">
        <v>0</v>
      </c>
      <c r="F622" s="12">
        <v>18</v>
      </c>
      <c r="G622" s="12">
        <v>0</v>
      </c>
      <c r="H622" s="12">
        <v>0</v>
      </c>
      <c r="I622" s="12" t="s">
        <v>86</v>
      </c>
      <c r="J622" s="6">
        <v>46301</v>
      </c>
      <c r="K622">
        <v>46301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 x14ac:dyDescent="0.25">
      <c r="A623" s="12" t="s">
        <v>59</v>
      </c>
      <c r="B623" s="12" t="s">
        <v>57</v>
      </c>
      <c r="C623" s="12" t="s">
        <v>14</v>
      </c>
      <c r="D623" s="12">
        <v>1.5942585711413342</v>
      </c>
      <c r="E623" s="12">
        <v>1.9</v>
      </c>
      <c r="F623" s="12">
        <v>18</v>
      </c>
      <c r="G623" s="12">
        <v>1.9</v>
      </c>
      <c r="H623" s="12">
        <v>0.93425605536332179</v>
      </c>
      <c r="I623" s="12" t="s">
        <v>88</v>
      </c>
      <c r="J623" s="6">
        <v>46302</v>
      </c>
      <c r="K623">
        <v>46302</v>
      </c>
      <c r="L623">
        <v>1.1917765627189225</v>
      </c>
      <c r="M623">
        <v>1.1917765627189225</v>
      </c>
      <c r="N623">
        <v>0.58601287913696787</v>
      </c>
      <c r="O623">
        <v>0.83908345849543908</v>
      </c>
      <c r="P623">
        <v>0.83908345849543908</v>
      </c>
      <c r="Q623">
        <v>0.49171371334911673</v>
      </c>
      <c r="R623">
        <v>2.0337037037037038</v>
      </c>
      <c r="S623">
        <v>2.0337037037037038</v>
      </c>
      <c r="T623">
        <v>1.7064471372586874</v>
      </c>
    </row>
    <row r="624" spans="1:20" x14ac:dyDescent="0.25">
      <c r="A624" s="12" t="s">
        <v>59</v>
      </c>
      <c r="B624" s="12" t="s">
        <v>57</v>
      </c>
      <c r="C624" s="12" t="s">
        <v>13</v>
      </c>
      <c r="D624" s="12">
        <v>1.6354893962570578</v>
      </c>
      <c r="E624" s="12">
        <v>1.9</v>
      </c>
      <c r="F624" s="12">
        <v>18</v>
      </c>
      <c r="G624" s="12">
        <v>1.9</v>
      </c>
      <c r="H624" s="12">
        <v>1.6323529411764706</v>
      </c>
      <c r="I624" s="12" t="s">
        <v>90</v>
      </c>
      <c r="J624" s="6">
        <v>46302</v>
      </c>
      <c r="K624">
        <v>46302</v>
      </c>
      <c r="L624">
        <v>1.1617317754234877</v>
      </c>
      <c r="M624">
        <v>1.1617317754234877</v>
      </c>
      <c r="N624">
        <v>0.99808225287931229</v>
      </c>
      <c r="O624">
        <v>0.86078389276687262</v>
      </c>
      <c r="P624">
        <v>0.86078389276687262</v>
      </c>
      <c r="Q624">
        <v>0.85913312693498456</v>
      </c>
      <c r="R624">
        <v>1.1639639639639638</v>
      </c>
      <c r="S624">
        <v>1.1639639639639638</v>
      </c>
      <c r="T624">
        <v>1.0019214319412606</v>
      </c>
    </row>
    <row r="625" spans="1:20" x14ac:dyDescent="0.25">
      <c r="A625" s="12" t="s">
        <v>59</v>
      </c>
      <c r="B625" s="12" t="s">
        <v>57</v>
      </c>
      <c r="C625" s="12" t="s">
        <v>15</v>
      </c>
      <c r="D625" s="12">
        <v>0</v>
      </c>
      <c r="E625" s="12">
        <v>0</v>
      </c>
      <c r="F625" s="12">
        <v>18</v>
      </c>
      <c r="G625" s="12">
        <v>0</v>
      </c>
      <c r="H625" s="12">
        <v>0</v>
      </c>
      <c r="I625" s="12" t="s">
        <v>89</v>
      </c>
      <c r="J625" s="6">
        <v>46302</v>
      </c>
      <c r="K625">
        <v>46302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 x14ac:dyDescent="0.25">
      <c r="A626" s="12" t="s">
        <v>59</v>
      </c>
      <c r="B626" s="12" t="s">
        <v>57</v>
      </c>
      <c r="C626" s="12" t="s">
        <v>14</v>
      </c>
      <c r="D626" s="12">
        <v>0.65969320185158653</v>
      </c>
      <c r="E626" s="12">
        <v>0.95</v>
      </c>
      <c r="F626" s="12">
        <v>18</v>
      </c>
      <c r="G626" s="12">
        <v>0.95</v>
      </c>
      <c r="H626" s="12">
        <v>0.11072664359861592</v>
      </c>
      <c r="I626" s="12" t="s">
        <v>91</v>
      </c>
      <c r="J626" s="6">
        <v>46303</v>
      </c>
      <c r="K626">
        <v>46303</v>
      </c>
      <c r="L626">
        <v>1.4400633466186981</v>
      </c>
      <c r="M626">
        <v>1.4400633466186981</v>
      </c>
      <c r="N626">
        <v>0.1678456641478723</v>
      </c>
      <c r="O626">
        <v>0.69441389668588061</v>
      </c>
      <c r="P626">
        <v>0.69441389668588061</v>
      </c>
      <c r="Q626">
        <v>0.1165543616827536</v>
      </c>
      <c r="R626">
        <v>8.5796874999999986</v>
      </c>
      <c r="S626">
        <v>8.5796874999999986</v>
      </c>
      <c r="T626">
        <v>5.957854229222141</v>
      </c>
    </row>
    <row r="627" spans="1:20" x14ac:dyDescent="0.25">
      <c r="A627" s="12" t="s">
        <v>59</v>
      </c>
      <c r="B627" s="12" t="s">
        <v>57</v>
      </c>
      <c r="C627" s="12" t="s">
        <v>15</v>
      </c>
      <c r="D627" s="12">
        <v>0</v>
      </c>
      <c r="E627" s="12">
        <v>0.95</v>
      </c>
      <c r="F627" s="12">
        <v>18</v>
      </c>
      <c r="G627" s="12">
        <v>0.95</v>
      </c>
      <c r="H627" s="12">
        <v>0</v>
      </c>
      <c r="I627" s="12" t="s">
        <v>92</v>
      </c>
      <c r="J627" s="6">
        <v>46303</v>
      </c>
      <c r="K627">
        <v>46303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 x14ac:dyDescent="0.25">
      <c r="A628" s="12" t="s">
        <v>59</v>
      </c>
      <c r="B628" s="12" t="s">
        <v>57</v>
      </c>
      <c r="C628" s="12" t="s">
        <v>13</v>
      </c>
      <c r="D628" s="12">
        <v>0.93456536928974765</v>
      </c>
      <c r="E628" s="12">
        <v>0.95</v>
      </c>
      <c r="F628" s="12">
        <v>18</v>
      </c>
      <c r="G628" s="12">
        <v>0.95</v>
      </c>
      <c r="H628" s="12">
        <v>0.88235294117647056</v>
      </c>
      <c r="I628" s="12" t="s">
        <v>93</v>
      </c>
      <c r="J628" s="6">
        <v>46303</v>
      </c>
      <c r="K628">
        <v>46303</v>
      </c>
      <c r="L628">
        <v>1.0165153034955514</v>
      </c>
      <c r="M628">
        <v>1.0165153034955514</v>
      </c>
      <c r="N628">
        <v>0.94413186083178158</v>
      </c>
      <c r="O628">
        <v>0.98375302030499756</v>
      </c>
      <c r="P628">
        <v>0.98375302030499756</v>
      </c>
      <c r="Q628">
        <v>0.92879256965944279</v>
      </c>
      <c r="R628">
        <v>1.0766666666666667</v>
      </c>
      <c r="S628">
        <v>1.0766666666666667</v>
      </c>
      <c r="T628">
        <v>1.0591740851950473</v>
      </c>
    </row>
    <row r="629" spans="1:20" x14ac:dyDescent="0.25">
      <c r="A629" s="12" t="s">
        <v>59</v>
      </c>
      <c r="B629" s="12" t="s">
        <v>57</v>
      </c>
      <c r="C629" s="12" t="s">
        <v>14</v>
      </c>
      <c r="D629" s="12">
        <v>0.65969320185158653</v>
      </c>
      <c r="E629" s="12">
        <v>1.9</v>
      </c>
      <c r="F629" s="12">
        <v>18</v>
      </c>
      <c r="G629" s="12">
        <v>1.9</v>
      </c>
      <c r="H629" s="12">
        <v>0.22145328719723184</v>
      </c>
      <c r="I629" s="12" t="s">
        <v>94</v>
      </c>
      <c r="J629" s="6">
        <v>46304</v>
      </c>
      <c r="K629">
        <v>46304</v>
      </c>
      <c r="L629">
        <v>2.8801266932373961</v>
      </c>
      <c r="M629">
        <v>2.8801266932373961</v>
      </c>
      <c r="N629">
        <v>0.33569132829574461</v>
      </c>
      <c r="O629">
        <v>0.3472069483429403</v>
      </c>
      <c r="P629">
        <v>0.3472069483429403</v>
      </c>
      <c r="Q629">
        <v>0.1165543616827536</v>
      </c>
      <c r="R629">
        <v>8.5796874999999986</v>
      </c>
      <c r="S629">
        <v>8.5796874999999986</v>
      </c>
      <c r="T629">
        <v>2.9789271146110705</v>
      </c>
    </row>
    <row r="630" spans="1:20" x14ac:dyDescent="0.25">
      <c r="A630" s="12" t="s">
        <v>59</v>
      </c>
      <c r="B630" s="12" t="s">
        <v>57</v>
      </c>
      <c r="C630" s="12" t="s">
        <v>13</v>
      </c>
      <c r="D630" s="12">
        <v>1.8691307385794949</v>
      </c>
      <c r="E630" s="12">
        <v>1.9</v>
      </c>
      <c r="F630" s="12">
        <v>18</v>
      </c>
      <c r="G630" s="12">
        <v>1.9</v>
      </c>
      <c r="H630" s="12">
        <v>1.7647058823529411</v>
      </c>
      <c r="I630" s="12" t="s">
        <v>95</v>
      </c>
      <c r="J630" s="6">
        <v>46304</v>
      </c>
      <c r="K630">
        <v>46304</v>
      </c>
      <c r="L630">
        <v>1.0165153034955516</v>
      </c>
      <c r="M630">
        <v>1.0165153034955516</v>
      </c>
      <c r="N630">
        <v>0.9441318608317818</v>
      </c>
      <c r="O630">
        <v>0.98375302030499734</v>
      </c>
      <c r="P630">
        <v>0.98375302030499734</v>
      </c>
      <c r="Q630">
        <v>0.92879256965944279</v>
      </c>
      <c r="R630">
        <v>1.0766666666666667</v>
      </c>
      <c r="S630">
        <v>1.0766666666666667</v>
      </c>
      <c r="T630">
        <v>1.0591740851950471</v>
      </c>
    </row>
    <row r="631" spans="1:20" x14ac:dyDescent="0.25">
      <c r="A631" s="12" t="s">
        <v>59</v>
      </c>
      <c r="B631" s="12" t="s">
        <v>57</v>
      </c>
      <c r="C631" s="12" t="s">
        <v>15</v>
      </c>
      <c r="D631" s="12">
        <v>0</v>
      </c>
      <c r="E631" s="12">
        <v>0</v>
      </c>
      <c r="F631" s="12">
        <v>18</v>
      </c>
      <c r="G631" s="12">
        <v>0</v>
      </c>
      <c r="H631" s="12">
        <v>0</v>
      </c>
      <c r="I631" s="12" t="s">
        <v>96</v>
      </c>
      <c r="J631" s="6">
        <v>46304</v>
      </c>
      <c r="K631">
        <v>46304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25">
      <c r="A632" s="12" t="s">
        <v>59</v>
      </c>
      <c r="B632" s="12" t="s">
        <v>57</v>
      </c>
      <c r="C632" s="12" t="s">
        <v>13</v>
      </c>
      <c r="D632" s="12">
        <v>1.8691307385794953</v>
      </c>
      <c r="E632" s="12">
        <v>0</v>
      </c>
      <c r="F632" s="12">
        <v>18</v>
      </c>
      <c r="G632" s="12">
        <v>0</v>
      </c>
      <c r="H632" s="12">
        <v>0</v>
      </c>
      <c r="I632" s="12" t="s">
        <v>98</v>
      </c>
      <c r="J632" s="6">
        <v>46305</v>
      </c>
      <c r="K632">
        <v>46305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 x14ac:dyDescent="0.25">
      <c r="A633" s="12" t="s">
        <v>59</v>
      </c>
      <c r="B633" s="12" t="s">
        <v>57</v>
      </c>
      <c r="C633" s="12" t="s">
        <v>15</v>
      </c>
      <c r="D633" s="12">
        <v>0</v>
      </c>
      <c r="E633" s="12">
        <v>0</v>
      </c>
      <c r="F633" s="12">
        <v>18</v>
      </c>
      <c r="G633" s="12">
        <v>0</v>
      </c>
      <c r="H633" s="12">
        <v>0</v>
      </c>
      <c r="I633" s="12" t="s">
        <v>99</v>
      </c>
      <c r="J633" s="6">
        <v>46305</v>
      </c>
      <c r="K633">
        <v>46305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25">
      <c r="A634" s="12" t="s">
        <v>59</v>
      </c>
      <c r="B634" s="12" t="s">
        <v>57</v>
      </c>
      <c r="C634" s="12" t="s">
        <v>14</v>
      </c>
      <c r="D634" s="12">
        <v>0.65969320185158653</v>
      </c>
      <c r="E634" s="12">
        <v>0.95</v>
      </c>
      <c r="F634" s="12">
        <v>18</v>
      </c>
      <c r="G634" s="12">
        <v>0.95</v>
      </c>
      <c r="H634" s="12">
        <v>0.70588235294117641</v>
      </c>
      <c r="I634" s="12" t="s">
        <v>97</v>
      </c>
      <c r="J634" s="6">
        <v>46305</v>
      </c>
      <c r="K634">
        <v>46305</v>
      </c>
      <c r="L634">
        <v>1.4400633466186981</v>
      </c>
      <c r="M634">
        <v>1.4400633466186981</v>
      </c>
      <c r="N634">
        <v>1.0700161089426858</v>
      </c>
      <c r="O634">
        <v>0.69441389668588061</v>
      </c>
      <c r="P634">
        <v>0.69441389668588061</v>
      </c>
      <c r="Q634">
        <v>0.7430340557275541</v>
      </c>
      <c r="R634">
        <v>1.3458333333333334</v>
      </c>
      <c r="S634">
        <v>1.3458333333333334</v>
      </c>
      <c r="T634">
        <v>0.93456536928974765</v>
      </c>
    </row>
    <row r="635" spans="1:20" x14ac:dyDescent="0.25">
      <c r="A635" s="12" t="s">
        <v>59</v>
      </c>
      <c r="B635" s="12" t="s">
        <v>57</v>
      </c>
      <c r="C635" s="12" t="s">
        <v>14</v>
      </c>
      <c r="D635" s="12">
        <v>0.65969320185158653</v>
      </c>
      <c r="E635" s="12">
        <v>0.95</v>
      </c>
      <c r="F635" s="12">
        <v>18</v>
      </c>
      <c r="G635" s="12">
        <v>0.95</v>
      </c>
      <c r="H635" s="12">
        <v>0.11072664359861592</v>
      </c>
      <c r="I635" s="12" t="s">
        <v>100</v>
      </c>
      <c r="J635" s="6">
        <v>46306</v>
      </c>
      <c r="K635">
        <v>46306</v>
      </c>
      <c r="L635">
        <v>1.4400633466186981</v>
      </c>
      <c r="M635">
        <v>1.4400633466186981</v>
      </c>
      <c r="N635">
        <v>0.1678456641478723</v>
      </c>
      <c r="O635">
        <v>0.69441389668588061</v>
      </c>
      <c r="P635">
        <v>0.69441389668588061</v>
      </c>
      <c r="Q635">
        <v>0.1165543616827536</v>
      </c>
      <c r="R635">
        <v>8.5796874999999986</v>
      </c>
      <c r="S635">
        <v>8.5796874999999986</v>
      </c>
      <c r="T635">
        <v>5.957854229222141</v>
      </c>
    </row>
    <row r="636" spans="1:20" x14ac:dyDescent="0.25">
      <c r="A636" s="12" t="s">
        <v>59</v>
      </c>
      <c r="B636" s="12" t="s">
        <v>57</v>
      </c>
      <c r="C636" s="12" t="s">
        <v>15</v>
      </c>
      <c r="D636" s="12">
        <v>0</v>
      </c>
      <c r="E636" s="12">
        <v>0</v>
      </c>
      <c r="F636" s="12">
        <v>18</v>
      </c>
      <c r="G636" s="12">
        <v>0</v>
      </c>
      <c r="H636" s="12">
        <v>0</v>
      </c>
      <c r="I636" s="12" t="s">
        <v>101</v>
      </c>
      <c r="J636" s="6">
        <v>46306</v>
      </c>
      <c r="K636">
        <v>46306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25">
      <c r="A637" s="12" t="s">
        <v>59</v>
      </c>
      <c r="B637" s="12" t="s">
        <v>57</v>
      </c>
      <c r="C637" s="12" t="s">
        <v>13</v>
      </c>
      <c r="D637" s="12">
        <v>1.8691307385794953</v>
      </c>
      <c r="E637" s="12">
        <v>0.95</v>
      </c>
      <c r="F637" s="12">
        <v>18</v>
      </c>
      <c r="G637" s="12">
        <v>0.95</v>
      </c>
      <c r="H637" s="12">
        <v>0.88235294117647056</v>
      </c>
      <c r="I637" s="12" t="s">
        <v>102</v>
      </c>
      <c r="J637" s="6">
        <v>46306</v>
      </c>
      <c r="K637">
        <v>46306</v>
      </c>
      <c r="L637">
        <v>0.50825765174777571</v>
      </c>
      <c r="M637">
        <v>0.50825765174777571</v>
      </c>
      <c r="N637">
        <v>0.47206593041589079</v>
      </c>
      <c r="O637">
        <v>1.9675060406099951</v>
      </c>
      <c r="P637">
        <v>1.9675060406099951</v>
      </c>
      <c r="Q637">
        <v>0.92879256965944279</v>
      </c>
      <c r="R637">
        <v>1.0766666666666667</v>
      </c>
      <c r="S637">
        <v>1.0766666666666667</v>
      </c>
      <c r="T637">
        <v>2.1183481703900946</v>
      </c>
    </row>
    <row r="638" spans="1:20" x14ac:dyDescent="0.25">
      <c r="A638" s="12" t="s">
        <v>59</v>
      </c>
      <c r="B638" s="12" t="s">
        <v>57</v>
      </c>
      <c r="C638" s="12" t="s">
        <v>14</v>
      </c>
      <c r="D638" s="12">
        <v>1.4293352706784377</v>
      </c>
      <c r="E638" s="12">
        <v>2.8499999999999996</v>
      </c>
      <c r="F638" s="12">
        <v>18</v>
      </c>
      <c r="G638" s="12">
        <v>2.8499999999999996</v>
      </c>
      <c r="H638" s="12">
        <v>1.0449826989619375</v>
      </c>
      <c r="I638" s="12" t="s">
        <v>103</v>
      </c>
      <c r="J638" s="6">
        <v>46307</v>
      </c>
      <c r="K638">
        <v>46307</v>
      </c>
      <c r="L638">
        <v>1.9939338645489659</v>
      </c>
      <c r="M638">
        <v>1.9939338645489659</v>
      </c>
      <c r="N638">
        <v>0.73109697941332807</v>
      </c>
      <c r="O638">
        <v>0.50152114760646938</v>
      </c>
      <c r="P638">
        <v>0.50152114760646938</v>
      </c>
      <c r="Q638">
        <v>0.36666059612699564</v>
      </c>
      <c r="R638">
        <v>2.7273178807947023</v>
      </c>
      <c r="S638">
        <v>2.7273178807947023</v>
      </c>
      <c r="T638">
        <v>1.3678075934638032</v>
      </c>
    </row>
    <row r="639" spans="1:20" x14ac:dyDescent="0.25">
      <c r="A639" s="12" t="s">
        <v>59</v>
      </c>
      <c r="B639" s="12" t="s">
        <v>57</v>
      </c>
      <c r="C639" s="12" t="s">
        <v>15</v>
      </c>
      <c r="D639" s="12">
        <v>0</v>
      </c>
      <c r="E639" s="12">
        <v>0</v>
      </c>
      <c r="F639" s="12">
        <v>18</v>
      </c>
      <c r="G639" s="12">
        <v>0</v>
      </c>
      <c r="H639" s="12">
        <v>0</v>
      </c>
      <c r="I639" s="12" t="s">
        <v>104</v>
      </c>
      <c r="J639" s="6">
        <v>46307</v>
      </c>
      <c r="K639">
        <v>46307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25">
      <c r="A640" s="12" t="s">
        <v>59</v>
      </c>
      <c r="B640" s="12" t="s">
        <v>57</v>
      </c>
      <c r="C640" s="12" t="s">
        <v>13</v>
      </c>
      <c r="D640" s="12">
        <v>0.93456536928974765</v>
      </c>
      <c r="E640" s="12">
        <v>1.9</v>
      </c>
      <c r="F640" s="12">
        <v>18</v>
      </c>
      <c r="G640" s="12">
        <v>1.9</v>
      </c>
      <c r="H640" s="12">
        <v>1.7647058823529411</v>
      </c>
      <c r="I640" s="12" t="s">
        <v>105</v>
      </c>
      <c r="J640" s="6">
        <v>46307</v>
      </c>
      <c r="K640">
        <v>46307</v>
      </c>
      <c r="L640">
        <v>2.0330306069911028</v>
      </c>
      <c r="M640">
        <v>2.0330306069911028</v>
      </c>
      <c r="N640">
        <v>1.8882637216635632</v>
      </c>
      <c r="O640">
        <v>0.49187651015249878</v>
      </c>
      <c r="P640">
        <v>0.49187651015249878</v>
      </c>
      <c r="Q640">
        <v>0.92879256965944279</v>
      </c>
      <c r="R640">
        <v>1.0766666666666667</v>
      </c>
      <c r="S640">
        <v>1.0766666666666667</v>
      </c>
      <c r="T640">
        <v>0.52958704259752365</v>
      </c>
    </row>
    <row r="641" spans="1:20" x14ac:dyDescent="0.25">
      <c r="A641" s="12" t="s">
        <v>59</v>
      </c>
      <c r="B641" s="12" t="s">
        <v>57</v>
      </c>
      <c r="C641" s="12" t="s">
        <v>14</v>
      </c>
      <c r="D641" s="12">
        <v>1.4293352706784377</v>
      </c>
      <c r="E641" s="12">
        <v>1.9</v>
      </c>
      <c r="F641" s="12">
        <v>18</v>
      </c>
      <c r="G641" s="12">
        <v>1.9</v>
      </c>
      <c r="H641" s="12">
        <v>0.93425605536332179</v>
      </c>
      <c r="I641" s="12" t="s">
        <v>107</v>
      </c>
      <c r="J641" s="6">
        <v>46308</v>
      </c>
      <c r="K641">
        <v>46308</v>
      </c>
      <c r="L641">
        <v>1.3292892430326442</v>
      </c>
      <c r="M641">
        <v>1.3292892430326442</v>
      </c>
      <c r="N641">
        <v>0.65362974980661792</v>
      </c>
      <c r="O641">
        <v>0.75228172140970406</v>
      </c>
      <c r="P641">
        <v>0.75228172140970406</v>
      </c>
      <c r="Q641">
        <v>0.49171371334911673</v>
      </c>
      <c r="R641">
        <v>2.0337037037037038</v>
      </c>
      <c r="S641">
        <v>2.0337037037037038</v>
      </c>
      <c r="T641">
        <v>1.5299181230595129</v>
      </c>
    </row>
    <row r="642" spans="1:20" x14ac:dyDescent="0.25">
      <c r="A642" s="12" t="s">
        <v>59</v>
      </c>
      <c r="B642" s="12" t="s">
        <v>57</v>
      </c>
      <c r="C642" s="12" t="s">
        <v>13</v>
      </c>
      <c r="D642" s="12">
        <v>0.93456536928974765</v>
      </c>
      <c r="E642" s="12">
        <v>0.95</v>
      </c>
      <c r="F642" s="12">
        <v>18</v>
      </c>
      <c r="G642" s="12">
        <v>0.95</v>
      </c>
      <c r="H642" s="12">
        <v>0.88235294117647056</v>
      </c>
      <c r="I642" s="12" t="s">
        <v>108</v>
      </c>
      <c r="J642" s="6">
        <v>46308</v>
      </c>
      <c r="K642">
        <v>46308</v>
      </c>
      <c r="L642">
        <v>1.0165153034955514</v>
      </c>
      <c r="M642">
        <v>1.0165153034955514</v>
      </c>
      <c r="N642">
        <v>0.94413186083178158</v>
      </c>
      <c r="O642">
        <v>0.98375302030499756</v>
      </c>
      <c r="P642">
        <v>0.98375302030499756</v>
      </c>
      <c r="Q642">
        <v>0.92879256965944279</v>
      </c>
      <c r="R642">
        <v>1.0766666666666667</v>
      </c>
      <c r="S642">
        <v>1.0766666666666667</v>
      </c>
      <c r="T642">
        <v>1.0591740851950473</v>
      </c>
    </row>
    <row r="643" spans="1:20" x14ac:dyDescent="0.25">
      <c r="A643" s="12" t="s">
        <v>59</v>
      </c>
      <c r="B643" s="12" t="s">
        <v>57</v>
      </c>
      <c r="C643" s="12" t="s">
        <v>15</v>
      </c>
      <c r="D643" s="12">
        <v>0</v>
      </c>
      <c r="E643" s="12">
        <v>0</v>
      </c>
      <c r="F643" s="12">
        <v>18</v>
      </c>
      <c r="G643" s="12">
        <v>0</v>
      </c>
      <c r="H643" s="12">
        <v>0</v>
      </c>
      <c r="I643" s="12" t="s">
        <v>106</v>
      </c>
      <c r="J643" s="6">
        <v>46308</v>
      </c>
      <c r="K643">
        <v>46308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 x14ac:dyDescent="0.25">
      <c r="A644" s="12" t="s">
        <v>59</v>
      </c>
      <c r="B644" s="12" t="s">
        <v>57</v>
      </c>
      <c r="C644" s="12" t="s">
        <v>14</v>
      </c>
      <c r="D644" s="12">
        <v>1.5942585711413342</v>
      </c>
      <c r="E644" s="12">
        <v>2.8499999999999996</v>
      </c>
      <c r="F644" s="12">
        <v>18</v>
      </c>
      <c r="G644" s="12">
        <v>2.8499999999999996</v>
      </c>
      <c r="H644" s="12">
        <v>1.0449826989619375</v>
      </c>
      <c r="I644" s="12" t="s">
        <v>110</v>
      </c>
      <c r="J644" s="6">
        <v>46309</v>
      </c>
      <c r="K644">
        <v>46309</v>
      </c>
      <c r="L644">
        <v>1.7876648440783836</v>
      </c>
      <c r="M644">
        <v>1.7876648440783836</v>
      </c>
      <c r="N644">
        <v>0.65546625740505282</v>
      </c>
      <c r="O644">
        <v>0.55938897233029272</v>
      </c>
      <c r="P644">
        <v>0.55938897233029272</v>
      </c>
      <c r="Q644">
        <v>0.36666059612699564</v>
      </c>
      <c r="R644">
        <v>2.7273178807947023</v>
      </c>
      <c r="S644">
        <v>2.7273178807947023</v>
      </c>
      <c r="T644">
        <v>1.5256315465557804</v>
      </c>
    </row>
    <row r="645" spans="1:20" x14ac:dyDescent="0.25">
      <c r="A645" s="12" t="s">
        <v>59</v>
      </c>
      <c r="B645" s="12" t="s">
        <v>57</v>
      </c>
      <c r="C645" s="12" t="s">
        <v>15</v>
      </c>
      <c r="D645" s="12">
        <v>0</v>
      </c>
      <c r="E645" s="12">
        <v>0</v>
      </c>
      <c r="F645" s="12">
        <v>18</v>
      </c>
      <c r="G645" s="12">
        <v>0</v>
      </c>
      <c r="H645" s="12">
        <v>0</v>
      </c>
      <c r="I645" s="12" t="s">
        <v>109</v>
      </c>
      <c r="J645" s="6">
        <v>46309</v>
      </c>
      <c r="K645">
        <v>46309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25">
      <c r="A646" s="12" t="s">
        <v>59</v>
      </c>
      <c r="B646" s="12" t="s">
        <v>57</v>
      </c>
      <c r="C646" s="12" t="s">
        <v>13</v>
      </c>
      <c r="D646" s="12">
        <v>1.8691307385794953</v>
      </c>
      <c r="E646" s="12">
        <v>1.9</v>
      </c>
      <c r="F646" s="12">
        <v>18</v>
      </c>
      <c r="G646" s="12">
        <v>1.9</v>
      </c>
      <c r="H646" s="12">
        <v>1.7647058823529411</v>
      </c>
      <c r="I646" s="12" t="s">
        <v>111</v>
      </c>
      <c r="J646" s="6">
        <v>46309</v>
      </c>
      <c r="K646">
        <v>46309</v>
      </c>
      <c r="L646">
        <v>1.0165153034955514</v>
      </c>
      <c r="M646">
        <v>1.0165153034955514</v>
      </c>
      <c r="N646">
        <v>0.94413186083178158</v>
      </c>
      <c r="O646">
        <v>0.98375302030499756</v>
      </c>
      <c r="P646">
        <v>0.98375302030499756</v>
      </c>
      <c r="Q646">
        <v>0.92879256965944279</v>
      </c>
      <c r="R646">
        <v>1.0766666666666667</v>
      </c>
      <c r="S646">
        <v>1.0766666666666667</v>
      </c>
      <c r="T646">
        <v>1.0591740851950473</v>
      </c>
    </row>
    <row r="647" spans="1:20" x14ac:dyDescent="0.25">
      <c r="A647" s="12" t="s">
        <v>59</v>
      </c>
      <c r="B647" s="12" t="s">
        <v>57</v>
      </c>
      <c r="C647" s="12" t="s">
        <v>14</v>
      </c>
      <c r="D647" s="12">
        <v>0.65969320185158653</v>
      </c>
      <c r="E647" s="12">
        <v>0</v>
      </c>
      <c r="F647" s="12">
        <v>18</v>
      </c>
      <c r="G647" s="12">
        <v>0</v>
      </c>
      <c r="H647" s="12">
        <v>0</v>
      </c>
      <c r="I647" s="12" t="s">
        <v>113</v>
      </c>
      <c r="J647" s="6">
        <v>46310</v>
      </c>
      <c r="K647">
        <v>46310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 x14ac:dyDescent="0.25">
      <c r="A648" s="12" t="s">
        <v>59</v>
      </c>
      <c r="B648" s="12" t="s">
        <v>57</v>
      </c>
      <c r="C648" s="12" t="s">
        <v>15</v>
      </c>
      <c r="D648" s="12">
        <v>0</v>
      </c>
      <c r="E648" s="12">
        <v>0</v>
      </c>
      <c r="F648" s="12">
        <v>18</v>
      </c>
      <c r="G648" s="12">
        <v>0</v>
      </c>
      <c r="H648" s="12">
        <v>0</v>
      </c>
      <c r="I648" s="12" t="s">
        <v>112</v>
      </c>
      <c r="J648" s="6">
        <v>46310</v>
      </c>
      <c r="K648">
        <v>46310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x14ac:dyDescent="0.25">
      <c r="A649" s="12" t="s">
        <v>59</v>
      </c>
      <c r="B649" s="12" t="s">
        <v>57</v>
      </c>
      <c r="C649" s="12" t="s">
        <v>13</v>
      </c>
      <c r="D649" s="12">
        <v>0.93456536928974765</v>
      </c>
      <c r="E649" s="12">
        <v>0</v>
      </c>
      <c r="F649" s="12">
        <v>18</v>
      </c>
      <c r="G649" s="12">
        <v>0</v>
      </c>
      <c r="H649" s="12">
        <v>0</v>
      </c>
      <c r="I649" s="12" t="s">
        <v>114</v>
      </c>
      <c r="J649" s="6">
        <v>46310</v>
      </c>
      <c r="K649">
        <v>46310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25">
      <c r="A650" s="12" t="s">
        <v>59</v>
      </c>
      <c r="B650" s="12" t="s">
        <v>57</v>
      </c>
      <c r="C650" s="12" t="s">
        <v>15</v>
      </c>
      <c r="D650" s="12">
        <v>0</v>
      </c>
      <c r="E650" s="12">
        <v>0</v>
      </c>
      <c r="F650" s="12">
        <v>18</v>
      </c>
      <c r="G650" s="12">
        <v>0</v>
      </c>
      <c r="H650" s="12">
        <v>0</v>
      </c>
      <c r="I650" s="12" t="s">
        <v>117</v>
      </c>
      <c r="J650" s="6">
        <v>46311</v>
      </c>
      <c r="K650">
        <v>46311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 x14ac:dyDescent="0.25">
      <c r="A651" s="12" t="s">
        <v>59</v>
      </c>
      <c r="B651" s="12" t="s">
        <v>57</v>
      </c>
      <c r="C651" s="12" t="s">
        <v>14</v>
      </c>
      <c r="D651" s="12">
        <v>0.65969320185158653</v>
      </c>
      <c r="E651" s="12">
        <v>1.9</v>
      </c>
      <c r="F651" s="12">
        <v>18</v>
      </c>
      <c r="G651" s="12">
        <v>1.9</v>
      </c>
      <c r="H651" s="12">
        <v>0.22145328719723184</v>
      </c>
      <c r="I651" s="12" t="s">
        <v>116</v>
      </c>
      <c r="J651" s="6">
        <v>46311</v>
      </c>
      <c r="K651">
        <v>46311</v>
      </c>
      <c r="L651">
        <v>2.8801266932373961</v>
      </c>
      <c r="M651">
        <v>2.8801266932373961</v>
      </c>
      <c r="N651">
        <v>0.33569132829574461</v>
      </c>
      <c r="O651">
        <v>0.3472069483429403</v>
      </c>
      <c r="P651">
        <v>0.3472069483429403</v>
      </c>
      <c r="Q651">
        <v>0.1165543616827536</v>
      </c>
      <c r="R651">
        <v>8.5796874999999986</v>
      </c>
      <c r="S651">
        <v>8.5796874999999986</v>
      </c>
      <c r="T651">
        <v>2.9789271146110705</v>
      </c>
    </row>
    <row r="652" spans="1:20" x14ac:dyDescent="0.25">
      <c r="A652" s="12" t="s">
        <v>59</v>
      </c>
      <c r="B652" s="12" t="s">
        <v>57</v>
      </c>
      <c r="C652" s="12" t="s">
        <v>13</v>
      </c>
      <c r="D652" s="12">
        <v>1.8691307385794949</v>
      </c>
      <c r="E652" s="12">
        <v>1.9</v>
      </c>
      <c r="F652" s="12">
        <v>18</v>
      </c>
      <c r="G652" s="12">
        <v>1.9</v>
      </c>
      <c r="H652" s="12">
        <v>1.7647058823529411</v>
      </c>
      <c r="I652" s="12" t="s">
        <v>115</v>
      </c>
      <c r="J652" s="6">
        <v>46311</v>
      </c>
      <c r="K652">
        <v>46311</v>
      </c>
      <c r="L652">
        <v>1.0165153034955516</v>
      </c>
      <c r="M652">
        <v>1.0165153034955516</v>
      </c>
      <c r="N652">
        <v>0.9441318608317818</v>
      </c>
      <c r="O652">
        <v>0.98375302030499734</v>
      </c>
      <c r="P652">
        <v>0.98375302030499734</v>
      </c>
      <c r="Q652">
        <v>0.92879256965944279</v>
      </c>
      <c r="R652">
        <v>1.0766666666666667</v>
      </c>
      <c r="S652">
        <v>1.0766666666666667</v>
      </c>
      <c r="T652">
        <v>1.0591740851950471</v>
      </c>
    </row>
    <row r="653" spans="1:20" x14ac:dyDescent="0.25">
      <c r="A653" s="12" t="s">
        <v>59</v>
      </c>
      <c r="B653" s="12" t="s">
        <v>57</v>
      </c>
      <c r="C653" s="12" t="s">
        <v>14</v>
      </c>
      <c r="D653" s="12">
        <v>1.4293352706784377</v>
      </c>
      <c r="E653" s="12">
        <v>0.95</v>
      </c>
      <c r="F653" s="12">
        <v>18</v>
      </c>
      <c r="G653" s="12">
        <v>0.95</v>
      </c>
      <c r="H653" s="12">
        <v>0.11072664359861592</v>
      </c>
      <c r="I653" s="12" t="s">
        <v>118</v>
      </c>
      <c r="J653" s="6">
        <v>46312</v>
      </c>
      <c r="K653">
        <v>46312</v>
      </c>
      <c r="L653">
        <v>0.66464462151632209</v>
      </c>
      <c r="M653">
        <v>0.66464462151632209</v>
      </c>
      <c r="N653">
        <v>7.7467229606710278E-2</v>
      </c>
      <c r="O653">
        <v>1.5045634428194081</v>
      </c>
      <c r="P653">
        <v>1.5045634428194081</v>
      </c>
      <c r="Q653">
        <v>0.1165543616827536</v>
      </c>
      <c r="R653">
        <v>8.5796874999999986</v>
      </c>
      <c r="S653">
        <v>8.5796874999999986</v>
      </c>
      <c r="T653">
        <v>12.908684163314639</v>
      </c>
    </row>
    <row r="654" spans="1:20" x14ac:dyDescent="0.25">
      <c r="A654" s="12" t="s">
        <v>59</v>
      </c>
      <c r="B654" s="12" t="s">
        <v>57</v>
      </c>
      <c r="C654" s="12" t="s">
        <v>15</v>
      </c>
      <c r="D654" s="12">
        <v>0</v>
      </c>
      <c r="E654" s="12">
        <v>0</v>
      </c>
      <c r="F654" s="12">
        <v>18</v>
      </c>
      <c r="G654" s="12">
        <v>0</v>
      </c>
      <c r="H654" s="12">
        <v>0</v>
      </c>
      <c r="I654" s="12" t="s">
        <v>120</v>
      </c>
      <c r="J654" s="6">
        <v>46312</v>
      </c>
      <c r="K654">
        <v>46312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 x14ac:dyDescent="0.25">
      <c r="A655" s="12" t="s">
        <v>59</v>
      </c>
      <c r="B655" s="12" t="s">
        <v>57</v>
      </c>
      <c r="C655" s="12" t="s">
        <v>13</v>
      </c>
      <c r="D655" s="12">
        <v>1.8691307385794953</v>
      </c>
      <c r="E655" s="12">
        <v>0.95</v>
      </c>
      <c r="F655" s="12">
        <v>18</v>
      </c>
      <c r="G655" s="12">
        <v>0.95</v>
      </c>
      <c r="H655" s="12">
        <v>0.88235294117647056</v>
      </c>
      <c r="I655" s="12" t="s">
        <v>119</v>
      </c>
      <c r="J655" s="6">
        <v>46312</v>
      </c>
      <c r="K655">
        <v>46312</v>
      </c>
      <c r="L655">
        <v>0.50825765174777571</v>
      </c>
      <c r="M655">
        <v>0.50825765174777571</v>
      </c>
      <c r="N655">
        <v>0.47206593041589079</v>
      </c>
      <c r="O655">
        <v>1.9675060406099951</v>
      </c>
      <c r="P655">
        <v>1.9675060406099951</v>
      </c>
      <c r="Q655">
        <v>0.92879256965944279</v>
      </c>
      <c r="R655">
        <v>1.0766666666666667</v>
      </c>
      <c r="S655">
        <v>1.0766666666666667</v>
      </c>
      <c r="T655">
        <v>2.1183481703900946</v>
      </c>
    </row>
    <row r="656" spans="1:20" x14ac:dyDescent="0.25">
      <c r="A656" s="12" t="s">
        <v>59</v>
      </c>
      <c r="B656" s="12" t="s">
        <v>57</v>
      </c>
      <c r="C656" s="12" t="s">
        <v>13</v>
      </c>
      <c r="D656" s="12">
        <v>1.8691307385794953</v>
      </c>
      <c r="E656" s="12">
        <v>1.9</v>
      </c>
      <c r="F656" s="12">
        <v>18</v>
      </c>
      <c r="G656" s="12">
        <v>1.9</v>
      </c>
      <c r="H656" s="12">
        <v>1.7647058823529411</v>
      </c>
      <c r="I656" s="12" t="s">
        <v>121</v>
      </c>
      <c r="J656" s="6">
        <v>46313</v>
      </c>
      <c r="K656">
        <v>46313</v>
      </c>
      <c r="L656">
        <v>1.0165153034955514</v>
      </c>
      <c r="M656">
        <v>1.0165153034955514</v>
      </c>
      <c r="N656">
        <v>0.94413186083178158</v>
      </c>
      <c r="O656">
        <v>0.98375302030499756</v>
      </c>
      <c r="P656">
        <v>0.98375302030499756</v>
      </c>
      <c r="Q656">
        <v>0.92879256965944279</v>
      </c>
      <c r="R656">
        <v>1.0766666666666667</v>
      </c>
      <c r="S656">
        <v>1.0766666666666667</v>
      </c>
      <c r="T656">
        <v>1.0591740851950473</v>
      </c>
    </row>
    <row r="657" spans="1:20" x14ac:dyDescent="0.25">
      <c r="A657" s="12" t="s">
        <v>59</v>
      </c>
      <c r="B657" s="12" t="s">
        <v>57</v>
      </c>
      <c r="C657" s="12" t="s">
        <v>15</v>
      </c>
      <c r="D657" s="12">
        <v>0</v>
      </c>
      <c r="E657" s="12">
        <v>0</v>
      </c>
      <c r="F657" s="12">
        <v>18</v>
      </c>
      <c r="G657" s="12">
        <v>0</v>
      </c>
      <c r="H657" s="12">
        <v>0</v>
      </c>
      <c r="I657" s="12" t="s">
        <v>122</v>
      </c>
      <c r="J657" s="6">
        <v>46313</v>
      </c>
      <c r="K657">
        <v>46313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 x14ac:dyDescent="0.25">
      <c r="A658" s="12" t="s">
        <v>59</v>
      </c>
      <c r="B658" s="12" t="s">
        <v>57</v>
      </c>
      <c r="C658" s="12" t="s">
        <v>14</v>
      </c>
      <c r="D658" s="12">
        <v>1.4293352706784372</v>
      </c>
      <c r="E658" s="12">
        <v>1.9</v>
      </c>
      <c r="F658" s="12">
        <v>18</v>
      </c>
      <c r="G658" s="12">
        <v>1.9</v>
      </c>
      <c r="H658" s="12">
        <v>0.22145328719723184</v>
      </c>
      <c r="I658" s="12" t="s">
        <v>123</v>
      </c>
      <c r="J658" s="6">
        <v>46313</v>
      </c>
      <c r="K658">
        <v>46313</v>
      </c>
      <c r="L658">
        <v>1.3292892430326446</v>
      </c>
      <c r="M658">
        <v>1.3292892430326446</v>
      </c>
      <c r="N658">
        <v>0.15493445921342061</v>
      </c>
      <c r="O658">
        <v>0.75228172140970384</v>
      </c>
      <c r="P658">
        <v>0.75228172140970384</v>
      </c>
      <c r="Q658">
        <v>0.1165543616827536</v>
      </c>
      <c r="R658">
        <v>8.5796874999999986</v>
      </c>
      <c r="S658">
        <v>8.5796874999999986</v>
      </c>
      <c r="T658">
        <v>6.4543420816573178</v>
      </c>
    </row>
    <row r="659" spans="1:20" x14ac:dyDescent="0.25">
      <c r="A659" s="12" t="s">
        <v>59</v>
      </c>
      <c r="B659" s="12" t="s">
        <v>57</v>
      </c>
      <c r="C659" s="12" t="s">
        <v>14</v>
      </c>
      <c r="D659" s="12">
        <v>1.4293352706784377</v>
      </c>
      <c r="E659" s="12">
        <v>1.9</v>
      </c>
      <c r="F659" s="12">
        <v>18</v>
      </c>
      <c r="G659" s="12">
        <v>1.9</v>
      </c>
      <c r="H659" s="12">
        <v>0.93425605536332179</v>
      </c>
      <c r="I659" s="12" t="s">
        <v>124</v>
      </c>
      <c r="J659" s="6">
        <v>46314</v>
      </c>
      <c r="K659">
        <v>46314</v>
      </c>
      <c r="L659">
        <v>1.3292892430326442</v>
      </c>
      <c r="M659">
        <v>1.3292892430326442</v>
      </c>
      <c r="N659">
        <v>0.65362974980661792</v>
      </c>
      <c r="O659">
        <v>0.75228172140970406</v>
      </c>
      <c r="P659">
        <v>0.75228172140970406</v>
      </c>
      <c r="Q659">
        <v>0.49171371334911673</v>
      </c>
      <c r="R659">
        <v>2.0337037037037038</v>
      </c>
      <c r="S659">
        <v>2.0337037037037038</v>
      </c>
      <c r="T659">
        <v>1.5299181230595129</v>
      </c>
    </row>
    <row r="660" spans="1:20" x14ac:dyDescent="0.25">
      <c r="A660" s="12" t="s">
        <v>59</v>
      </c>
      <c r="B660" s="12" t="s">
        <v>57</v>
      </c>
      <c r="C660" s="12" t="s">
        <v>15</v>
      </c>
      <c r="D660" s="12">
        <v>0</v>
      </c>
      <c r="E660" s="12">
        <v>0</v>
      </c>
      <c r="F660" s="12">
        <v>18</v>
      </c>
      <c r="G660" s="12">
        <v>0</v>
      </c>
      <c r="H660" s="12">
        <v>0</v>
      </c>
      <c r="I660" s="12" t="s">
        <v>125</v>
      </c>
      <c r="J660" s="6">
        <v>46314</v>
      </c>
      <c r="K660">
        <v>46314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25">
      <c r="A661" s="12" t="s">
        <v>59</v>
      </c>
      <c r="B661" s="12" t="s">
        <v>57</v>
      </c>
      <c r="C661" s="12" t="s">
        <v>13</v>
      </c>
      <c r="D661" s="12">
        <v>0.93456536928974765</v>
      </c>
      <c r="E661" s="12">
        <v>0.95</v>
      </c>
      <c r="F661" s="12">
        <v>18</v>
      </c>
      <c r="G661" s="12">
        <v>0.95</v>
      </c>
      <c r="H661" s="12">
        <v>0.88235294117647067</v>
      </c>
      <c r="I661" s="12" t="s">
        <v>126</v>
      </c>
      <c r="J661" s="6">
        <v>46314</v>
      </c>
      <c r="K661">
        <v>46314</v>
      </c>
      <c r="L661">
        <v>1.0165153034955514</v>
      </c>
      <c r="M661">
        <v>1.0165153034955514</v>
      </c>
      <c r="N661">
        <v>0.94413186083178169</v>
      </c>
      <c r="O661">
        <v>0.98375302030499756</v>
      </c>
      <c r="P661">
        <v>0.98375302030499756</v>
      </c>
      <c r="Q661">
        <v>0.9287925696594429</v>
      </c>
      <c r="R661">
        <v>1.0766666666666664</v>
      </c>
      <c r="S661">
        <v>1.0766666666666664</v>
      </c>
      <c r="T661">
        <v>1.0591740851950473</v>
      </c>
    </row>
    <row r="662" spans="1:20" x14ac:dyDescent="0.25">
      <c r="A662" s="12" t="s">
        <v>59</v>
      </c>
      <c r="B662" s="12" t="s">
        <v>57</v>
      </c>
      <c r="C662" s="12" t="s">
        <v>13</v>
      </c>
      <c r="D662" s="12">
        <v>0.93456536928974732</v>
      </c>
      <c r="E662" s="12">
        <v>0</v>
      </c>
      <c r="F662" s="12">
        <v>18</v>
      </c>
      <c r="G662" s="12">
        <v>0</v>
      </c>
      <c r="H662" s="12">
        <v>0</v>
      </c>
      <c r="I662" s="12" t="s">
        <v>127</v>
      </c>
      <c r="J662" s="6">
        <v>46315</v>
      </c>
      <c r="K662">
        <v>46315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 x14ac:dyDescent="0.25">
      <c r="A663" s="12" t="s">
        <v>59</v>
      </c>
      <c r="B663" s="12" t="s">
        <v>57</v>
      </c>
      <c r="C663" s="12" t="s">
        <v>15</v>
      </c>
      <c r="D663" s="12">
        <v>0</v>
      </c>
      <c r="E663" s="12">
        <v>0</v>
      </c>
      <c r="F663" s="12">
        <v>18</v>
      </c>
      <c r="G663" s="12">
        <v>0</v>
      </c>
      <c r="H663" s="12">
        <v>0</v>
      </c>
      <c r="I663" s="12" t="s">
        <v>128</v>
      </c>
      <c r="J663" s="6">
        <v>46315</v>
      </c>
      <c r="K663">
        <v>46315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 x14ac:dyDescent="0.25">
      <c r="A664" s="12" t="s">
        <v>59</v>
      </c>
      <c r="B664" s="12" t="s">
        <v>57</v>
      </c>
      <c r="C664" s="12" t="s">
        <v>14</v>
      </c>
      <c r="D664" s="12">
        <v>1.4293352706784377</v>
      </c>
      <c r="E664" s="12">
        <v>0.95</v>
      </c>
      <c r="F664" s="12">
        <v>18</v>
      </c>
      <c r="G664" s="12">
        <v>0.95</v>
      </c>
      <c r="H664" s="12">
        <v>0.82352941176470595</v>
      </c>
      <c r="I664" s="12" t="s">
        <v>129</v>
      </c>
      <c r="J664" s="6">
        <v>46315</v>
      </c>
      <c r="K664">
        <v>46315</v>
      </c>
      <c r="L664">
        <v>0.66464462151632209</v>
      </c>
      <c r="M664">
        <v>0.66464462151632209</v>
      </c>
      <c r="N664">
        <v>0.57616252019990777</v>
      </c>
      <c r="O664">
        <v>1.5045634428194081</v>
      </c>
      <c r="P664">
        <v>1.5045634428194081</v>
      </c>
      <c r="Q664">
        <v>0.86687306501548</v>
      </c>
      <c r="R664">
        <v>1.1535714285714285</v>
      </c>
      <c r="S664">
        <v>1.1535714285714285</v>
      </c>
      <c r="T664">
        <v>1.7356214001095314</v>
      </c>
    </row>
    <row r="665" spans="1:20" x14ac:dyDescent="0.25">
      <c r="A665" s="12" t="s">
        <v>59</v>
      </c>
      <c r="B665" s="12" t="s">
        <v>57</v>
      </c>
      <c r="C665" s="12" t="s">
        <v>14</v>
      </c>
      <c r="D665" s="12">
        <v>1.5942585711413342</v>
      </c>
      <c r="E665" s="12">
        <v>1.9</v>
      </c>
      <c r="F665" s="12">
        <v>18</v>
      </c>
      <c r="G665" s="12">
        <v>1.9</v>
      </c>
      <c r="H665" s="12">
        <v>0.93425605536332179</v>
      </c>
      <c r="I665" s="12" t="s">
        <v>130</v>
      </c>
      <c r="J665" s="6">
        <v>46316</v>
      </c>
      <c r="K665">
        <v>46316</v>
      </c>
      <c r="L665">
        <v>1.1917765627189225</v>
      </c>
      <c r="M665">
        <v>1.1917765627189225</v>
      </c>
      <c r="N665">
        <v>0.58601287913696787</v>
      </c>
      <c r="O665">
        <v>0.83908345849543908</v>
      </c>
      <c r="P665">
        <v>0.83908345849543908</v>
      </c>
      <c r="Q665">
        <v>0.49171371334911673</v>
      </c>
      <c r="R665">
        <v>2.0337037037037038</v>
      </c>
      <c r="S665">
        <v>2.0337037037037038</v>
      </c>
      <c r="T665">
        <v>1.7064471372586874</v>
      </c>
    </row>
    <row r="666" spans="1:20" x14ac:dyDescent="0.25">
      <c r="A666" s="12" t="s">
        <v>59</v>
      </c>
      <c r="B666" s="12" t="s">
        <v>57</v>
      </c>
      <c r="C666" s="12" t="s">
        <v>15</v>
      </c>
      <c r="D666" s="12">
        <v>0</v>
      </c>
      <c r="E666" s="12">
        <v>0</v>
      </c>
      <c r="F666" s="12">
        <v>18</v>
      </c>
      <c r="G666" s="12">
        <v>0</v>
      </c>
      <c r="H666" s="12">
        <v>0</v>
      </c>
      <c r="I666" s="12" t="s">
        <v>131</v>
      </c>
      <c r="J666" s="6">
        <v>46316</v>
      </c>
      <c r="K666">
        <v>46316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 x14ac:dyDescent="0.25">
      <c r="A667" s="12" t="s">
        <v>59</v>
      </c>
      <c r="B667" s="12" t="s">
        <v>57</v>
      </c>
      <c r="C667" s="12" t="s">
        <v>13</v>
      </c>
      <c r="D667" s="12">
        <v>1.6354893962570578</v>
      </c>
      <c r="E667" s="12">
        <v>1.9</v>
      </c>
      <c r="F667" s="12">
        <v>18</v>
      </c>
      <c r="G667" s="12">
        <v>1.9</v>
      </c>
      <c r="H667" s="12">
        <v>1.6323529411764706</v>
      </c>
      <c r="I667" s="12" t="s">
        <v>132</v>
      </c>
      <c r="J667" s="6">
        <v>46316</v>
      </c>
      <c r="K667">
        <v>46316</v>
      </c>
      <c r="L667">
        <v>1.1617317754234877</v>
      </c>
      <c r="M667">
        <v>1.1617317754234877</v>
      </c>
      <c r="N667">
        <v>0.99808225287931229</v>
      </c>
      <c r="O667">
        <v>0.86078389276687262</v>
      </c>
      <c r="P667">
        <v>0.86078389276687262</v>
      </c>
      <c r="Q667">
        <v>0.85913312693498456</v>
      </c>
      <c r="R667">
        <v>1.1639639639639638</v>
      </c>
      <c r="S667">
        <v>1.1639639639639638</v>
      </c>
      <c r="T667">
        <v>1.0019214319412606</v>
      </c>
    </row>
    <row r="668" spans="1:20" x14ac:dyDescent="0.25">
      <c r="A668" s="12" t="s">
        <v>59</v>
      </c>
      <c r="B668" s="12" t="s">
        <v>57</v>
      </c>
      <c r="C668" s="12" t="s">
        <v>14</v>
      </c>
      <c r="D668" s="12">
        <v>0.65969320185158653</v>
      </c>
      <c r="E668" s="12">
        <v>1.9</v>
      </c>
      <c r="F668" s="12">
        <v>18</v>
      </c>
      <c r="G668" s="12">
        <v>1.9</v>
      </c>
      <c r="H668" s="12">
        <v>0.22145328719723184</v>
      </c>
      <c r="I668" s="12" t="s">
        <v>135</v>
      </c>
      <c r="J668" s="6">
        <v>46317</v>
      </c>
      <c r="K668">
        <v>46317</v>
      </c>
      <c r="L668">
        <v>2.8801266932373961</v>
      </c>
      <c r="M668">
        <v>2.8801266932373961</v>
      </c>
      <c r="N668">
        <v>0.33569132829574461</v>
      </c>
      <c r="O668">
        <v>0.3472069483429403</v>
      </c>
      <c r="P668">
        <v>0.3472069483429403</v>
      </c>
      <c r="Q668">
        <v>0.1165543616827536</v>
      </c>
      <c r="R668">
        <v>8.5796874999999986</v>
      </c>
      <c r="S668">
        <v>8.5796874999999986</v>
      </c>
      <c r="T668">
        <v>2.9789271146110705</v>
      </c>
    </row>
    <row r="669" spans="1:20" x14ac:dyDescent="0.25">
      <c r="A669" s="12" t="s">
        <v>59</v>
      </c>
      <c r="B669" s="12" t="s">
        <v>57</v>
      </c>
      <c r="C669" s="12" t="s">
        <v>15</v>
      </c>
      <c r="D669" s="12">
        <v>0</v>
      </c>
      <c r="E669" s="12">
        <v>0</v>
      </c>
      <c r="F669" s="12">
        <v>18</v>
      </c>
      <c r="G669" s="12">
        <v>0</v>
      </c>
      <c r="H669" s="12">
        <v>0</v>
      </c>
      <c r="I669" s="12" t="s">
        <v>134</v>
      </c>
      <c r="J669" s="6">
        <v>46317</v>
      </c>
      <c r="K669">
        <v>46317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 x14ac:dyDescent="0.25">
      <c r="A670" s="12" t="s">
        <v>59</v>
      </c>
      <c r="B670" s="12" t="s">
        <v>57</v>
      </c>
      <c r="C670" s="12" t="s">
        <v>13</v>
      </c>
      <c r="D670" s="12">
        <v>0.93456536928974765</v>
      </c>
      <c r="E670" s="12">
        <v>1.9</v>
      </c>
      <c r="F670" s="12">
        <v>18</v>
      </c>
      <c r="G670" s="12">
        <v>1.9</v>
      </c>
      <c r="H670" s="12">
        <v>1.7647058823529411</v>
      </c>
      <c r="I670" s="12" t="s">
        <v>133</v>
      </c>
      <c r="J670" s="6">
        <v>46317</v>
      </c>
      <c r="K670">
        <v>46317</v>
      </c>
      <c r="L670">
        <v>2.0330306069911028</v>
      </c>
      <c r="M670">
        <v>2.0330306069911028</v>
      </c>
      <c r="N670">
        <v>1.8882637216635632</v>
      </c>
      <c r="O670">
        <v>0.49187651015249878</v>
      </c>
      <c r="P670">
        <v>0.49187651015249878</v>
      </c>
      <c r="Q670">
        <v>0.92879256965944279</v>
      </c>
      <c r="R670">
        <v>1.0766666666666667</v>
      </c>
      <c r="S670">
        <v>1.0766666666666667</v>
      </c>
      <c r="T670">
        <v>0.52958704259752365</v>
      </c>
    </row>
    <row r="671" spans="1:20" x14ac:dyDescent="0.25">
      <c r="A671" s="12" t="s">
        <v>59</v>
      </c>
      <c r="B671" s="12" t="s">
        <v>57</v>
      </c>
      <c r="C671" s="12" t="s">
        <v>13</v>
      </c>
      <c r="D671" s="12">
        <v>1.8691307385794949</v>
      </c>
      <c r="E671" s="12">
        <v>1.9</v>
      </c>
      <c r="F671" s="12">
        <v>18</v>
      </c>
      <c r="G671" s="12">
        <v>1.9</v>
      </c>
      <c r="H671" s="12">
        <v>1.7647058823529411</v>
      </c>
      <c r="I671" s="12" t="s">
        <v>136</v>
      </c>
      <c r="J671" s="6">
        <v>46318</v>
      </c>
      <c r="K671">
        <v>46318</v>
      </c>
      <c r="L671">
        <v>1.0165153034955516</v>
      </c>
      <c r="M671">
        <v>1.0165153034955516</v>
      </c>
      <c r="N671">
        <v>0.9441318608317818</v>
      </c>
      <c r="O671">
        <v>0.98375302030499734</v>
      </c>
      <c r="P671">
        <v>0.98375302030499734</v>
      </c>
      <c r="Q671">
        <v>0.92879256965944279</v>
      </c>
      <c r="R671">
        <v>1.0766666666666667</v>
      </c>
      <c r="S671">
        <v>1.0766666666666667</v>
      </c>
      <c r="T671">
        <v>1.0591740851950471</v>
      </c>
    </row>
    <row r="672" spans="1:20" x14ac:dyDescent="0.25">
      <c r="A672" s="12" t="s">
        <v>59</v>
      </c>
      <c r="B672" s="12" t="s">
        <v>57</v>
      </c>
      <c r="C672" s="12" t="s">
        <v>14</v>
      </c>
      <c r="D672" s="12">
        <v>0.65969320185158653</v>
      </c>
      <c r="E672" s="12">
        <v>2.8499999999999996</v>
      </c>
      <c r="F672" s="12">
        <v>18</v>
      </c>
      <c r="G672" s="12">
        <v>2.8499999999999996</v>
      </c>
      <c r="H672" s="12">
        <v>0.92733564013840852</v>
      </c>
      <c r="I672" s="12" t="s">
        <v>138</v>
      </c>
      <c r="J672" s="6">
        <v>46318</v>
      </c>
      <c r="K672">
        <v>46318</v>
      </c>
      <c r="L672">
        <v>4.3201900398560937</v>
      </c>
      <c r="M672">
        <v>4.3201900398560937</v>
      </c>
      <c r="N672">
        <v>1.4057074372384306</v>
      </c>
      <c r="O672">
        <v>0.23147129889529355</v>
      </c>
      <c r="P672">
        <v>0.23147129889529355</v>
      </c>
      <c r="Q672">
        <v>0.3253809263643539</v>
      </c>
      <c r="R672">
        <v>3.0733208955223872</v>
      </c>
      <c r="S672">
        <v>3.0733208955223872</v>
      </c>
      <c r="T672">
        <v>0.71138557960861371</v>
      </c>
    </row>
    <row r="673" spans="1:20" x14ac:dyDescent="0.25">
      <c r="A673" s="12" t="s">
        <v>59</v>
      </c>
      <c r="B673" s="12" t="s">
        <v>57</v>
      </c>
      <c r="C673" s="12" t="s">
        <v>15</v>
      </c>
      <c r="D673" s="12">
        <v>0</v>
      </c>
      <c r="E673" s="12">
        <v>0</v>
      </c>
      <c r="F673" s="12">
        <v>18</v>
      </c>
      <c r="G673" s="12">
        <v>0</v>
      </c>
      <c r="H673" s="12">
        <v>0</v>
      </c>
      <c r="I673" s="12" t="s">
        <v>137</v>
      </c>
      <c r="J673" s="6">
        <v>46318</v>
      </c>
      <c r="K673">
        <v>46318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 x14ac:dyDescent="0.25">
      <c r="A674" s="12" t="s">
        <v>59</v>
      </c>
      <c r="B674" s="12" t="s">
        <v>57</v>
      </c>
      <c r="C674" s="12" t="s">
        <v>14</v>
      </c>
      <c r="D674" s="12">
        <v>0.65969320185158642</v>
      </c>
      <c r="E674" s="12">
        <v>0.95</v>
      </c>
      <c r="F674" s="12">
        <v>18</v>
      </c>
      <c r="G674" s="12">
        <v>0.95</v>
      </c>
      <c r="H674" s="12">
        <v>0.22145328719723184</v>
      </c>
      <c r="I674" s="12" t="s">
        <v>140</v>
      </c>
      <c r="J674" s="6">
        <v>46319</v>
      </c>
      <c r="K674">
        <v>46319</v>
      </c>
      <c r="L674">
        <v>1.4400633466186983</v>
      </c>
      <c r="M674">
        <v>1.4400633466186983</v>
      </c>
      <c r="N674">
        <v>0.33569132829574466</v>
      </c>
      <c r="O674">
        <v>0.69441389668588049</v>
      </c>
      <c r="P674">
        <v>0.69441389668588049</v>
      </c>
      <c r="Q674">
        <v>0.2331087233655072</v>
      </c>
      <c r="R674">
        <v>4.2898437499999993</v>
      </c>
      <c r="S674">
        <v>4.2898437499999993</v>
      </c>
      <c r="T674">
        <v>2.9789271146110696</v>
      </c>
    </row>
    <row r="675" spans="1:20" x14ac:dyDescent="0.25">
      <c r="A675" s="12" t="s">
        <v>59</v>
      </c>
      <c r="B675" s="12" t="s">
        <v>57</v>
      </c>
      <c r="C675" s="12" t="s">
        <v>15</v>
      </c>
      <c r="D675" s="12">
        <v>0</v>
      </c>
      <c r="E675" s="12">
        <v>0</v>
      </c>
      <c r="F675" s="12">
        <v>18</v>
      </c>
      <c r="G675" s="12">
        <v>0</v>
      </c>
      <c r="H675" s="12">
        <v>0</v>
      </c>
      <c r="I675" s="12" t="s">
        <v>139</v>
      </c>
      <c r="J675" s="6">
        <v>46319</v>
      </c>
      <c r="K675">
        <v>46319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 x14ac:dyDescent="0.25">
      <c r="A676" s="12" t="s">
        <v>59</v>
      </c>
      <c r="B676" s="12" t="s">
        <v>57</v>
      </c>
      <c r="C676" s="12" t="s">
        <v>13</v>
      </c>
      <c r="D676" s="12">
        <v>1.8691307385794953</v>
      </c>
      <c r="E676" s="12">
        <v>0.95</v>
      </c>
      <c r="F676" s="12">
        <v>18</v>
      </c>
      <c r="G676" s="12">
        <v>0.95</v>
      </c>
      <c r="H676" s="12">
        <v>1.7647058823529411</v>
      </c>
      <c r="I676" s="12" t="s">
        <v>141</v>
      </c>
      <c r="J676" s="6">
        <v>46319</v>
      </c>
      <c r="K676">
        <v>46319</v>
      </c>
      <c r="L676">
        <v>0.50825765174777571</v>
      </c>
      <c r="M676">
        <v>0.50825765174777571</v>
      </c>
      <c r="N676">
        <v>0.94413186083178158</v>
      </c>
      <c r="O676">
        <v>1.9675060406099951</v>
      </c>
      <c r="P676">
        <v>1.9675060406099951</v>
      </c>
      <c r="Q676">
        <v>1.8575851393188856</v>
      </c>
      <c r="R676">
        <v>0.53833333333333333</v>
      </c>
      <c r="S676">
        <v>0.53833333333333333</v>
      </c>
      <c r="T676">
        <v>1.0591740851950473</v>
      </c>
    </row>
    <row r="677" spans="1:20" x14ac:dyDescent="0.25">
      <c r="A677" s="12" t="s">
        <v>59</v>
      </c>
      <c r="B677" s="12" t="s">
        <v>57</v>
      </c>
      <c r="C677" s="12" t="s">
        <v>14</v>
      </c>
      <c r="D677" s="12">
        <v>0.65969320185158642</v>
      </c>
      <c r="E677" s="12">
        <v>1.9</v>
      </c>
      <c r="F677" s="12">
        <v>18</v>
      </c>
      <c r="G677" s="12">
        <v>1.9</v>
      </c>
      <c r="H677" s="12">
        <v>0.22145328719723184</v>
      </c>
      <c r="I677" s="12" t="s">
        <v>143</v>
      </c>
      <c r="J677" s="6">
        <v>46320</v>
      </c>
      <c r="K677">
        <v>46320</v>
      </c>
      <c r="L677">
        <v>2.8801266932373966</v>
      </c>
      <c r="M677">
        <v>2.8801266932373966</v>
      </c>
      <c r="N677">
        <v>0.33569132829574466</v>
      </c>
      <c r="O677">
        <v>0.34720694834294025</v>
      </c>
      <c r="P677">
        <v>0.34720694834294025</v>
      </c>
      <c r="Q677">
        <v>0.1165543616827536</v>
      </c>
      <c r="R677">
        <v>8.5796874999999986</v>
      </c>
      <c r="S677">
        <v>8.5796874999999986</v>
      </c>
      <c r="T677">
        <v>2.9789271146110696</v>
      </c>
    </row>
    <row r="678" spans="1:20" x14ac:dyDescent="0.25">
      <c r="A678" s="12" t="s">
        <v>59</v>
      </c>
      <c r="B678" s="12" t="s">
        <v>57</v>
      </c>
      <c r="C678" s="12" t="s">
        <v>15</v>
      </c>
      <c r="D678" s="12">
        <v>0</v>
      </c>
      <c r="E678" s="12">
        <v>0</v>
      </c>
      <c r="F678" s="12">
        <v>18</v>
      </c>
      <c r="G678" s="12">
        <v>0</v>
      </c>
      <c r="H678" s="12">
        <v>0</v>
      </c>
      <c r="I678" s="12" t="s">
        <v>142</v>
      </c>
      <c r="J678" s="6">
        <v>46320</v>
      </c>
      <c r="K678">
        <v>46320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 x14ac:dyDescent="0.25">
      <c r="A679" s="12" t="s">
        <v>59</v>
      </c>
      <c r="B679" s="12" t="s">
        <v>57</v>
      </c>
      <c r="C679" s="12" t="s">
        <v>13</v>
      </c>
      <c r="D679" s="12">
        <v>1.8691307385794953</v>
      </c>
      <c r="E679" s="12">
        <v>1.9</v>
      </c>
      <c r="F679" s="12">
        <v>18</v>
      </c>
      <c r="G679" s="12">
        <v>1.9</v>
      </c>
      <c r="H679" s="12">
        <v>1.7647058823529411</v>
      </c>
      <c r="I679" s="12" t="s">
        <v>144</v>
      </c>
      <c r="J679" s="6">
        <v>46320</v>
      </c>
      <c r="K679">
        <v>46320</v>
      </c>
      <c r="L679">
        <v>1.0165153034955514</v>
      </c>
      <c r="M679">
        <v>1.0165153034955514</v>
      </c>
      <c r="N679">
        <v>0.94413186083178158</v>
      </c>
      <c r="O679">
        <v>0.98375302030499756</v>
      </c>
      <c r="P679">
        <v>0.98375302030499756</v>
      </c>
      <c r="Q679">
        <v>0.92879256965944279</v>
      </c>
      <c r="R679">
        <v>1.0766666666666667</v>
      </c>
      <c r="S679">
        <v>1.0766666666666667</v>
      </c>
      <c r="T679">
        <v>1.0591740851950473</v>
      </c>
    </row>
    <row r="680" spans="1:20" x14ac:dyDescent="0.25">
      <c r="A680" s="12" t="s">
        <v>59</v>
      </c>
      <c r="B680" s="12" t="s">
        <v>57</v>
      </c>
      <c r="C680" s="12" t="s">
        <v>13</v>
      </c>
      <c r="D680" s="12">
        <v>0.93456536928974765</v>
      </c>
      <c r="E680" s="12">
        <v>0.95</v>
      </c>
      <c r="F680" s="12">
        <v>18</v>
      </c>
      <c r="G680" s="12">
        <v>0.95</v>
      </c>
      <c r="H680" s="12">
        <v>0.88235294117647056</v>
      </c>
      <c r="I680" s="12" t="s">
        <v>146</v>
      </c>
      <c r="J680" s="6">
        <v>46321</v>
      </c>
      <c r="K680">
        <v>46321</v>
      </c>
      <c r="L680">
        <v>1.0165153034955514</v>
      </c>
      <c r="M680">
        <v>1.0165153034955514</v>
      </c>
      <c r="N680">
        <v>0.94413186083178158</v>
      </c>
      <c r="O680">
        <v>0.98375302030499756</v>
      </c>
      <c r="P680">
        <v>0.98375302030499756</v>
      </c>
      <c r="Q680">
        <v>0.92879256965944279</v>
      </c>
      <c r="R680">
        <v>1.0766666666666667</v>
      </c>
      <c r="S680">
        <v>1.0766666666666667</v>
      </c>
      <c r="T680">
        <v>1.0591740851950473</v>
      </c>
    </row>
    <row r="681" spans="1:20" x14ac:dyDescent="0.25">
      <c r="A681" s="12" t="s">
        <v>59</v>
      </c>
      <c r="B681" s="12" t="s">
        <v>57</v>
      </c>
      <c r="C681" s="12" t="s">
        <v>15</v>
      </c>
      <c r="D681" s="12">
        <v>0</v>
      </c>
      <c r="E681" s="12">
        <v>0</v>
      </c>
      <c r="F681" s="12">
        <v>18</v>
      </c>
      <c r="G681" s="12">
        <v>0</v>
      </c>
      <c r="H681" s="12">
        <v>0</v>
      </c>
      <c r="I681" s="12" t="s">
        <v>147</v>
      </c>
      <c r="J681" s="6">
        <v>46321</v>
      </c>
      <c r="K681">
        <v>46321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 x14ac:dyDescent="0.25">
      <c r="A682" s="12" t="s">
        <v>59</v>
      </c>
      <c r="B682" s="12" t="s">
        <v>57</v>
      </c>
      <c r="C682" s="12" t="s">
        <v>14</v>
      </c>
      <c r="D682" s="12">
        <v>1.4293352706784377</v>
      </c>
      <c r="E682" s="12">
        <v>1.9</v>
      </c>
      <c r="F682" s="12">
        <v>18</v>
      </c>
      <c r="G682" s="12">
        <v>1.9</v>
      </c>
      <c r="H682" s="12">
        <v>0.93425605536332179</v>
      </c>
      <c r="I682" s="12" t="s">
        <v>145</v>
      </c>
      <c r="J682" s="6">
        <v>46321</v>
      </c>
      <c r="K682">
        <v>46321</v>
      </c>
      <c r="L682">
        <v>1.3292892430326442</v>
      </c>
      <c r="M682">
        <v>1.3292892430326442</v>
      </c>
      <c r="N682">
        <v>0.65362974980661792</v>
      </c>
      <c r="O682">
        <v>0.75228172140970406</v>
      </c>
      <c r="P682">
        <v>0.75228172140970406</v>
      </c>
      <c r="Q682">
        <v>0.49171371334911673</v>
      </c>
      <c r="R682">
        <v>2.0337037037037038</v>
      </c>
      <c r="S682">
        <v>2.0337037037037038</v>
      </c>
      <c r="T682">
        <v>1.5299181230595129</v>
      </c>
    </row>
    <row r="683" spans="1:20" x14ac:dyDescent="0.25">
      <c r="A683" s="12" t="s">
        <v>60</v>
      </c>
      <c r="B683" s="12" t="s">
        <v>57</v>
      </c>
      <c r="C683" s="12" t="s">
        <v>15</v>
      </c>
      <c r="D683" s="12">
        <v>0</v>
      </c>
      <c r="E683" s="12">
        <v>0</v>
      </c>
      <c r="F683" s="12">
        <v>20</v>
      </c>
      <c r="G683" s="12">
        <v>0</v>
      </c>
      <c r="H683" s="12">
        <v>0</v>
      </c>
      <c r="I683" s="12" t="s">
        <v>61</v>
      </c>
      <c r="J683" s="6">
        <v>46293</v>
      </c>
      <c r="K683">
        <v>46293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 x14ac:dyDescent="0.25">
      <c r="A684" s="12" t="s">
        <v>60</v>
      </c>
      <c r="B684" s="12" t="s">
        <v>57</v>
      </c>
      <c r="C684" s="12" t="s">
        <v>13</v>
      </c>
      <c r="D684" s="12">
        <v>0.88646868865953243</v>
      </c>
      <c r="E684" s="12">
        <v>0.95</v>
      </c>
      <c r="F684" s="12">
        <v>20</v>
      </c>
      <c r="G684" s="12">
        <v>0.95</v>
      </c>
      <c r="H684" s="12">
        <v>0.82352941176470595</v>
      </c>
      <c r="I684" s="12" t="s">
        <v>63</v>
      </c>
      <c r="J684" s="6">
        <v>46293</v>
      </c>
      <c r="K684">
        <v>46293</v>
      </c>
      <c r="L684">
        <v>1.0716678571428575</v>
      </c>
      <c r="M684">
        <v>1.0716678571428575</v>
      </c>
      <c r="N684">
        <v>0.92900000000000038</v>
      </c>
      <c r="O684">
        <v>0.93312493543108677</v>
      </c>
      <c r="P684">
        <v>0.93312493543108677</v>
      </c>
      <c r="Q684">
        <v>0.86687306501548</v>
      </c>
      <c r="R684">
        <v>1.1535714285714285</v>
      </c>
      <c r="S684">
        <v>1.1535714285714285</v>
      </c>
      <c r="T684">
        <v>1.0764262648008607</v>
      </c>
    </row>
    <row r="685" spans="1:20" x14ac:dyDescent="0.25">
      <c r="A685" s="12" t="s">
        <v>60</v>
      </c>
      <c r="B685" s="12" t="s">
        <v>57</v>
      </c>
      <c r="C685" s="12" t="s">
        <v>14</v>
      </c>
      <c r="D685" s="12">
        <v>0</v>
      </c>
      <c r="E685" s="12">
        <v>0.95</v>
      </c>
      <c r="F685" s="12">
        <v>20</v>
      </c>
      <c r="G685" s="12">
        <v>0.95</v>
      </c>
      <c r="H685" s="12">
        <v>0.16608996539792387</v>
      </c>
      <c r="I685" s="12" t="s">
        <v>62</v>
      </c>
      <c r="J685" s="6">
        <v>46293</v>
      </c>
      <c r="K685">
        <v>46293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0.17483154252413038</v>
      </c>
      <c r="R685">
        <v>5.7197916666666666</v>
      </c>
      <c r="S685">
        <v>5.7197916666666666</v>
      </c>
      <c r="T685">
        <v>0</v>
      </c>
    </row>
    <row r="686" spans="1:20" x14ac:dyDescent="0.25">
      <c r="A686" s="12" t="s">
        <v>60</v>
      </c>
      <c r="B686" s="12" t="s">
        <v>57</v>
      </c>
      <c r="C686" s="12" t="s">
        <v>15</v>
      </c>
      <c r="D686" s="12">
        <v>0</v>
      </c>
      <c r="E686" s="12">
        <v>0</v>
      </c>
      <c r="F686" s="12">
        <v>20</v>
      </c>
      <c r="G686" s="12">
        <v>0</v>
      </c>
      <c r="H686" s="12">
        <v>0</v>
      </c>
      <c r="I686" s="12" t="s">
        <v>65</v>
      </c>
      <c r="J686" s="6">
        <v>46294</v>
      </c>
      <c r="K686">
        <v>46294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 x14ac:dyDescent="0.25">
      <c r="A687" s="12" t="s">
        <v>60</v>
      </c>
      <c r="B687" s="12" t="s">
        <v>57</v>
      </c>
      <c r="C687" s="12" t="s">
        <v>13</v>
      </c>
      <c r="D687" s="12">
        <v>0.88646868865953243</v>
      </c>
      <c r="E687" s="12">
        <v>0.95</v>
      </c>
      <c r="F687" s="12">
        <v>20</v>
      </c>
      <c r="G687" s="12">
        <v>0.95</v>
      </c>
      <c r="H687" s="12">
        <v>0.82352941176470595</v>
      </c>
      <c r="I687" s="12" t="s">
        <v>64</v>
      </c>
      <c r="J687" s="6">
        <v>46294</v>
      </c>
      <c r="K687">
        <v>46294</v>
      </c>
      <c r="L687">
        <v>1.0716678571428575</v>
      </c>
      <c r="M687">
        <v>1.0716678571428575</v>
      </c>
      <c r="N687">
        <v>0.92900000000000038</v>
      </c>
      <c r="O687">
        <v>0.93312493543108677</v>
      </c>
      <c r="P687">
        <v>0.93312493543108677</v>
      </c>
      <c r="Q687">
        <v>0.86687306501548</v>
      </c>
      <c r="R687">
        <v>1.1535714285714285</v>
      </c>
      <c r="S687">
        <v>1.1535714285714285</v>
      </c>
      <c r="T687">
        <v>1.0764262648008607</v>
      </c>
    </row>
    <row r="688" spans="1:20" x14ac:dyDescent="0.25">
      <c r="A688" s="12" t="s">
        <v>60</v>
      </c>
      <c r="B688" s="12" t="s">
        <v>57</v>
      </c>
      <c r="C688" s="12" t="s">
        <v>14</v>
      </c>
      <c r="D688" s="12">
        <v>0</v>
      </c>
      <c r="E688" s="12">
        <v>1.9</v>
      </c>
      <c r="F688" s="12">
        <v>20</v>
      </c>
      <c r="G688" s="12">
        <v>1.9</v>
      </c>
      <c r="H688" s="12">
        <v>0.16608996539792387</v>
      </c>
      <c r="I688" s="12" t="s">
        <v>66</v>
      </c>
      <c r="J688" s="6">
        <v>46294</v>
      </c>
      <c r="K688">
        <v>46294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8.7415771262065192E-2</v>
      </c>
      <c r="R688">
        <v>11.439583333333333</v>
      </c>
      <c r="S688">
        <v>11.439583333333333</v>
      </c>
      <c r="T688">
        <v>0</v>
      </c>
    </row>
    <row r="689" spans="1:20" x14ac:dyDescent="0.25">
      <c r="A689" s="12" t="s">
        <v>60</v>
      </c>
      <c r="B689" s="12" t="s">
        <v>57</v>
      </c>
      <c r="C689" s="12" t="s">
        <v>13</v>
      </c>
      <c r="D689" s="12">
        <v>2.7148103590198196</v>
      </c>
      <c r="E689" s="12">
        <v>1.9</v>
      </c>
      <c r="F689" s="12">
        <v>20</v>
      </c>
      <c r="G689" s="12">
        <v>1.9</v>
      </c>
      <c r="H689" s="12">
        <v>1.6499183006535949</v>
      </c>
      <c r="I689" s="12" t="s">
        <v>67</v>
      </c>
      <c r="J689" s="6">
        <v>46295</v>
      </c>
      <c r="K689">
        <v>46295</v>
      </c>
      <c r="L689">
        <v>0.69986472303206981</v>
      </c>
      <c r="M689">
        <v>0.69986472303206981</v>
      </c>
      <c r="N689">
        <v>0.60774716553287966</v>
      </c>
      <c r="O689">
        <v>1.4288475573788524</v>
      </c>
      <c r="P689">
        <v>1.4288475573788524</v>
      </c>
      <c r="Q689">
        <v>0.86837805297557635</v>
      </c>
      <c r="R689">
        <v>1.1515721713295368</v>
      </c>
      <c r="S689">
        <v>1.1515721713295368</v>
      </c>
      <c r="T689">
        <v>1.6454210841496701</v>
      </c>
    </row>
    <row r="690" spans="1:20" x14ac:dyDescent="0.25">
      <c r="A690" s="12" t="s">
        <v>60</v>
      </c>
      <c r="B690" s="12" t="s">
        <v>57</v>
      </c>
      <c r="C690" s="12" t="s">
        <v>15</v>
      </c>
      <c r="D690" s="12">
        <v>0</v>
      </c>
      <c r="E690" s="12">
        <v>0</v>
      </c>
      <c r="F690" s="12">
        <v>20</v>
      </c>
      <c r="G690" s="12">
        <v>0</v>
      </c>
      <c r="H690" s="12">
        <v>0</v>
      </c>
      <c r="I690" s="12" t="s">
        <v>68</v>
      </c>
      <c r="J690" s="6">
        <v>46295</v>
      </c>
      <c r="K690">
        <v>46295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 x14ac:dyDescent="0.25">
      <c r="A691" s="12" t="s">
        <v>60</v>
      </c>
      <c r="B691" s="12" t="s">
        <v>57</v>
      </c>
      <c r="C691" s="12" t="s">
        <v>14</v>
      </c>
      <c r="D691" s="12">
        <v>0.62574260375967017</v>
      </c>
      <c r="E691" s="12">
        <v>2.8499999999999996</v>
      </c>
      <c r="F691" s="12">
        <v>20</v>
      </c>
      <c r="G691" s="12">
        <v>2.8499999999999996</v>
      </c>
      <c r="H691" s="12">
        <v>1.0941945405613227</v>
      </c>
      <c r="I691" s="12" t="s">
        <v>69</v>
      </c>
      <c r="J691" s="6">
        <v>46295</v>
      </c>
      <c r="K691">
        <v>46295</v>
      </c>
      <c r="L691">
        <v>4.5545883928571422</v>
      </c>
      <c r="M691">
        <v>4.5545883928571422</v>
      </c>
      <c r="N691">
        <v>1.7486335978835981</v>
      </c>
      <c r="O691">
        <v>0.21955880833672639</v>
      </c>
      <c r="P691">
        <v>0.21955880833672639</v>
      </c>
      <c r="Q691">
        <v>0.38392790896888523</v>
      </c>
      <c r="R691">
        <v>2.6046556570625432</v>
      </c>
      <c r="S691">
        <v>2.6046556570625432</v>
      </c>
      <c r="T691">
        <v>0.57187509219216515</v>
      </c>
    </row>
    <row r="692" spans="1:20" x14ac:dyDescent="0.25">
      <c r="A692" s="12" t="s">
        <v>60</v>
      </c>
      <c r="B692" s="12" t="s">
        <v>57</v>
      </c>
      <c r="C692" s="12" t="s">
        <v>13</v>
      </c>
      <c r="D692" s="12">
        <v>2.7148103590198196</v>
      </c>
      <c r="E692" s="12">
        <v>1.9</v>
      </c>
      <c r="F692" s="12">
        <v>20</v>
      </c>
      <c r="G692" s="12">
        <v>1.9</v>
      </c>
      <c r="H692" s="12">
        <v>1.6499183006535949</v>
      </c>
      <c r="I692" s="12" t="s">
        <v>70</v>
      </c>
      <c r="J692" s="6">
        <v>46296</v>
      </c>
      <c r="K692">
        <v>46296</v>
      </c>
      <c r="L692">
        <v>0.69986472303206981</v>
      </c>
      <c r="M692">
        <v>0.69986472303206981</v>
      </c>
      <c r="N692">
        <v>0.60774716553287966</v>
      </c>
      <c r="O692">
        <v>1.4288475573788524</v>
      </c>
      <c r="P692">
        <v>1.4288475573788524</v>
      </c>
      <c r="Q692">
        <v>0.86837805297557635</v>
      </c>
      <c r="R692">
        <v>1.1515721713295368</v>
      </c>
      <c r="S692">
        <v>1.1515721713295368</v>
      </c>
      <c r="T692">
        <v>1.6454210841496701</v>
      </c>
    </row>
    <row r="693" spans="1:20" x14ac:dyDescent="0.25">
      <c r="A693" s="12" t="s">
        <v>60</v>
      </c>
      <c r="B693" s="12" t="s">
        <v>57</v>
      </c>
      <c r="C693" s="12" t="s">
        <v>15</v>
      </c>
      <c r="D693" s="12">
        <v>0</v>
      </c>
      <c r="E693" s="12">
        <v>0</v>
      </c>
      <c r="F693" s="12">
        <v>20</v>
      </c>
      <c r="G693" s="12">
        <v>0</v>
      </c>
      <c r="H693" s="12">
        <v>0</v>
      </c>
      <c r="I693" s="12" t="s">
        <v>72</v>
      </c>
      <c r="J693" s="6">
        <v>46296</v>
      </c>
      <c r="K693">
        <v>46296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25">
      <c r="A694" s="12" t="s">
        <v>60</v>
      </c>
      <c r="B694" s="12" t="s">
        <v>57</v>
      </c>
      <c r="C694" s="12" t="s">
        <v>14</v>
      </c>
      <c r="D694" s="12">
        <v>0</v>
      </c>
      <c r="E694" s="12">
        <v>1.9</v>
      </c>
      <c r="F694" s="12">
        <v>20</v>
      </c>
      <c r="G694" s="12">
        <v>1.9</v>
      </c>
      <c r="H694" s="12">
        <v>0.38831218762014608</v>
      </c>
      <c r="I694" s="12" t="s">
        <v>71</v>
      </c>
      <c r="J694" s="6">
        <v>46296</v>
      </c>
      <c r="K694">
        <v>46296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0.20437483558955058</v>
      </c>
      <c r="R694">
        <v>4.8929702970297031</v>
      </c>
      <c r="S694">
        <v>4.8929702970297031</v>
      </c>
      <c r="T694">
        <v>0</v>
      </c>
    </row>
    <row r="695" spans="1:20" x14ac:dyDescent="0.25">
      <c r="A695" s="12" t="s">
        <v>60</v>
      </c>
      <c r="B695" s="12" t="s">
        <v>57</v>
      </c>
      <c r="C695" s="12" t="s">
        <v>15</v>
      </c>
      <c r="D695" s="12">
        <v>0</v>
      </c>
      <c r="E695" s="12">
        <v>0</v>
      </c>
      <c r="F695" s="12">
        <v>20</v>
      </c>
      <c r="G695" s="12">
        <v>0</v>
      </c>
      <c r="H695" s="12">
        <v>0</v>
      </c>
      <c r="I695" s="12" t="s">
        <v>74</v>
      </c>
      <c r="J695" s="6">
        <v>46297</v>
      </c>
      <c r="K695">
        <v>46297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 x14ac:dyDescent="0.25">
      <c r="A696" s="12" t="s">
        <v>60</v>
      </c>
      <c r="B696" s="12" t="s">
        <v>57</v>
      </c>
      <c r="C696" s="12" t="s">
        <v>13</v>
      </c>
      <c r="D696" s="12">
        <v>1.7729373773190653</v>
      </c>
      <c r="E696" s="12">
        <v>0.95</v>
      </c>
      <c r="F696" s="12">
        <v>20</v>
      </c>
      <c r="G696" s="12">
        <v>0.95</v>
      </c>
      <c r="H696" s="12">
        <v>0.82352941176470595</v>
      </c>
      <c r="I696" s="12" t="s">
        <v>73</v>
      </c>
      <c r="J696" s="6">
        <v>46297</v>
      </c>
      <c r="K696">
        <v>46297</v>
      </c>
      <c r="L696">
        <v>0.53583392857142853</v>
      </c>
      <c r="M696">
        <v>0.53583392857142853</v>
      </c>
      <c r="N696">
        <v>0.46450000000000008</v>
      </c>
      <c r="O696">
        <v>1.8662498708621742</v>
      </c>
      <c r="P696">
        <v>1.8662498708621742</v>
      </c>
      <c r="Q696">
        <v>0.86687306501548</v>
      </c>
      <c r="R696">
        <v>1.1535714285714285</v>
      </c>
      <c r="S696">
        <v>1.1535714285714285</v>
      </c>
      <c r="T696">
        <v>2.1528525296017218</v>
      </c>
    </row>
    <row r="697" spans="1:20" x14ac:dyDescent="0.25">
      <c r="A697" s="12" t="s">
        <v>60</v>
      </c>
      <c r="B697" s="12" t="s">
        <v>57</v>
      </c>
      <c r="C697" s="12" t="s">
        <v>14</v>
      </c>
      <c r="D697" s="12">
        <v>0</v>
      </c>
      <c r="E697" s="12">
        <v>0.95</v>
      </c>
      <c r="F697" s="12">
        <v>20</v>
      </c>
      <c r="G697" s="12">
        <v>0.95</v>
      </c>
      <c r="H697" s="12">
        <v>0.16608996539792387</v>
      </c>
      <c r="I697" s="12" t="s">
        <v>75</v>
      </c>
      <c r="J697" s="6">
        <v>46297</v>
      </c>
      <c r="K697">
        <v>46297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0.17483154252413038</v>
      </c>
      <c r="R697">
        <v>5.7197916666666666</v>
      </c>
      <c r="S697">
        <v>5.7197916666666666</v>
      </c>
      <c r="T697">
        <v>0</v>
      </c>
    </row>
    <row r="698" spans="1:20" x14ac:dyDescent="0.25">
      <c r="A698" s="12" t="s">
        <v>60</v>
      </c>
      <c r="B698" s="12" t="s">
        <v>57</v>
      </c>
      <c r="C698" s="12" t="s">
        <v>14</v>
      </c>
      <c r="D698" s="12">
        <v>0</v>
      </c>
      <c r="E698" s="12">
        <v>0</v>
      </c>
      <c r="F698" s="12">
        <v>20</v>
      </c>
      <c r="G698" s="12">
        <v>0</v>
      </c>
      <c r="H698" s="12">
        <v>0</v>
      </c>
      <c r="I698" s="12" t="s">
        <v>78</v>
      </c>
      <c r="J698" s="6">
        <v>46298</v>
      </c>
      <c r="K698">
        <v>46298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x14ac:dyDescent="0.25">
      <c r="A699" s="12" t="s">
        <v>60</v>
      </c>
      <c r="B699" s="12" t="s">
        <v>57</v>
      </c>
      <c r="C699" s="12" t="s">
        <v>13</v>
      </c>
      <c r="D699" s="12">
        <v>0.88646868865953277</v>
      </c>
      <c r="E699" s="12">
        <v>0</v>
      </c>
      <c r="F699" s="12">
        <v>20</v>
      </c>
      <c r="G699" s="12">
        <v>0</v>
      </c>
      <c r="H699" s="12">
        <v>0</v>
      </c>
      <c r="I699" s="12" t="s">
        <v>77</v>
      </c>
      <c r="J699" s="6">
        <v>46298</v>
      </c>
      <c r="K699">
        <v>46298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 x14ac:dyDescent="0.25">
      <c r="A700" s="12" t="s">
        <v>60</v>
      </c>
      <c r="B700" s="12" t="s">
        <v>57</v>
      </c>
      <c r="C700" s="12" t="s">
        <v>15</v>
      </c>
      <c r="D700" s="12">
        <v>0</v>
      </c>
      <c r="E700" s="12">
        <v>0</v>
      </c>
      <c r="F700" s="12">
        <v>20</v>
      </c>
      <c r="G700" s="12">
        <v>0</v>
      </c>
      <c r="H700" s="12">
        <v>0</v>
      </c>
      <c r="I700" s="12" t="s">
        <v>76</v>
      </c>
      <c r="J700" s="6">
        <v>46298</v>
      </c>
      <c r="K700">
        <v>46298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 x14ac:dyDescent="0.25">
      <c r="A701" s="12" t="s">
        <v>60</v>
      </c>
      <c r="B701" s="12" t="s">
        <v>57</v>
      </c>
      <c r="C701" s="12" t="s">
        <v>13</v>
      </c>
      <c r="D701" s="12">
        <v>0.88646868865953277</v>
      </c>
      <c r="E701" s="12">
        <v>0</v>
      </c>
      <c r="F701" s="12">
        <v>20</v>
      </c>
      <c r="G701" s="12">
        <v>0</v>
      </c>
      <c r="H701" s="12">
        <v>0</v>
      </c>
      <c r="I701" s="12" t="s">
        <v>79</v>
      </c>
      <c r="J701" s="6">
        <v>46299</v>
      </c>
      <c r="K701">
        <v>46299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 x14ac:dyDescent="0.25">
      <c r="A702" s="12" t="s">
        <v>60</v>
      </c>
      <c r="B702" s="12" t="s">
        <v>57</v>
      </c>
      <c r="C702" s="12" t="s">
        <v>15</v>
      </c>
      <c r="D702" s="12">
        <v>0</v>
      </c>
      <c r="E702" s="12">
        <v>0</v>
      </c>
      <c r="F702" s="12">
        <v>20</v>
      </c>
      <c r="G702" s="12">
        <v>0</v>
      </c>
      <c r="H702" s="12">
        <v>0</v>
      </c>
      <c r="I702" s="12" t="s">
        <v>81</v>
      </c>
      <c r="J702" s="6">
        <v>46299</v>
      </c>
      <c r="K702">
        <v>46299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x14ac:dyDescent="0.25">
      <c r="A703" s="12" t="s">
        <v>60</v>
      </c>
      <c r="B703" s="12" t="s">
        <v>57</v>
      </c>
      <c r="C703" s="12" t="s">
        <v>14</v>
      </c>
      <c r="D703" s="12">
        <v>0</v>
      </c>
      <c r="E703" s="12">
        <v>0</v>
      </c>
      <c r="F703" s="12">
        <v>20</v>
      </c>
      <c r="G703" s="12">
        <v>0</v>
      </c>
      <c r="H703" s="12">
        <v>0</v>
      </c>
      <c r="I703" s="12" t="s">
        <v>80</v>
      </c>
      <c r="J703" s="6">
        <v>46299</v>
      </c>
      <c r="K703">
        <v>46299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 x14ac:dyDescent="0.25">
      <c r="A704" s="12" t="s">
        <v>60</v>
      </c>
      <c r="B704" s="12" t="s">
        <v>57</v>
      </c>
      <c r="C704" s="12" t="s">
        <v>15</v>
      </c>
      <c r="D704" s="12">
        <v>0</v>
      </c>
      <c r="E704" s="12">
        <v>0</v>
      </c>
      <c r="F704" s="12">
        <v>20</v>
      </c>
      <c r="G704" s="12">
        <v>0</v>
      </c>
      <c r="H704" s="12">
        <v>0</v>
      </c>
      <c r="I704" s="12" t="s">
        <v>82</v>
      </c>
      <c r="J704" s="6">
        <v>46300</v>
      </c>
      <c r="K704">
        <v>46300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 x14ac:dyDescent="0.25">
      <c r="A705" s="12" t="s">
        <v>60</v>
      </c>
      <c r="B705" s="12" t="s">
        <v>57</v>
      </c>
      <c r="C705" s="12" t="s">
        <v>14</v>
      </c>
      <c r="D705" s="12">
        <v>0</v>
      </c>
      <c r="E705" s="12">
        <v>0</v>
      </c>
      <c r="F705" s="12">
        <v>20</v>
      </c>
      <c r="G705" s="12">
        <v>0</v>
      </c>
      <c r="H705" s="12">
        <v>0</v>
      </c>
      <c r="I705" s="12" t="s">
        <v>83</v>
      </c>
      <c r="J705" s="6">
        <v>46300</v>
      </c>
      <c r="K705">
        <v>46300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 x14ac:dyDescent="0.25">
      <c r="A706" s="12" t="s">
        <v>60</v>
      </c>
      <c r="B706" s="12" t="s">
        <v>57</v>
      </c>
      <c r="C706" s="12" t="s">
        <v>13</v>
      </c>
      <c r="D706" s="12">
        <v>0</v>
      </c>
      <c r="E706" s="12">
        <v>0</v>
      </c>
      <c r="F706" s="12">
        <v>20</v>
      </c>
      <c r="G706" s="12">
        <v>0</v>
      </c>
      <c r="H706" s="12">
        <v>0</v>
      </c>
      <c r="I706" s="12" t="s">
        <v>84</v>
      </c>
      <c r="J706" s="6">
        <v>46300</v>
      </c>
      <c r="K706">
        <v>46300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 x14ac:dyDescent="0.25">
      <c r="A707" s="12" t="s">
        <v>60</v>
      </c>
      <c r="B707" s="12" t="s">
        <v>57</v>
      </c>
      <c r="C707" s="12" t="s">
        <v>13</v>
      </c>
      <c r="D707" s="12">
        <v>1.7729373773190653</v>
      </c>
      <c r="E707" s="12">
        <v>0.95</v>
      </c>
      <c r="F707" s="12">
        <v>20</v>
      </c>
      <c r="G707" s="12">
        <v>0.95</v>
      </c>
      <c r="H707" s="12">
        <v>0.82352941176470595</v>
      </c>
      <c r="I707" s="12" t="s">
        <v>87</v>
      </c>
      <c r="J707" s="6">
        <v>46301</v>
      </c>
      <c r="K707">
        <v>46301</v>
      </c>
      <c r="L707">
        <v>0.53583392857142853</v>
      </c>
      <c r="M707">
        <v>0.53583392857142853</v>
      </c>
      <c r="N707">
        <v>0.46450000000000008</v>
      </c>
      <c r="O707">
        <v>1.8662498708621742</v>
      </c>
      <c r="P707">
        <v>1.8662498708621742</v>
      </c>
      <c r="Q707">
        <v>0.86687306501548</v>
      </c>
      <c r="R707">
        <v>1.1535714285714285</v>
      </c>
      <c r="S707">
        <v>1.1535714285714285</v>
      </c>
      <c r="T707">
        <v>2.1528525296017218</v>
      </c>
    </row>
    <row r="708" spans="1:20" x14ac:dyDescent="0.25">
      <c r="A708" s="12" t="s">
        <v>60</v>
      </c>
      <c r="B708" s="12" t="s">
        <v>57</v>
      </c>
      <c r="C708" s="12" t="s">
        <v>14</v>
      </c>
      <c r="D708" s="12">
        <v>0</v>
      </c>
      <c r="E708" s="12">
        <v>2.8499999999999996</v>
      </c>
      <c r="F708" s="12">
        <v>20</v>
      </c>
      <c r="G708" s="12">
        <v>2.8499999999999996</v>
      </c>
      <c r="H708" s="12">
        <v>0.16608996539792387</v>
      </c>
      <c r="I708" s="12" t="s">
        <v>85</v>
      </c>
      <c r="J708" s="6">
        <v>46301</v>
      </c>
      <c r="K708">
        <v>46301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5.8277180841376799E-2</v>
      </c>
      <c r="R708">
        <v>17.159374999999997</v>
      </c>
      <c r="S708">
        <v>17.159374999999997</v>
      </c>
      <c r="T708">
        <v>0</v>
      </c>
    </row>
    <row r="709" spans="1:20" x14ac:dyDescent="0.25">
      <c r="A709" s="12" t="s">
        <v>60</v>
      </c>
      <c r="B709" s="12" t="s">
        <v>57</v>
      </c>
      <c r="C709" s="12" t="s">
        <v>15</v>
      </c>
      <c r="D709" s="12">
        <v>0</v>
      </c>
      <c r="E709" s="12">
        <v>0</v>
      </c>
      <c r="F709" s="12">
        <v>20</v>
      </c>
      <c r="G709" s="12">
        <v>0</v>
      </c>
      <c r="H709" s="12">
        <v>0</v>
      </c>
      <c r="I709" s="12" t="s">
        <v>86</v>
      </c>
      <c r="J709" s="6">
        <v>46301</v>
      </c>
      <c r="K709">
        <v>46301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 x14ac:dyDescent="0.25">
      <c r="A710" s="12" t="s">
        <v>60</v>
      </c>
      <c r="B710" s="12" t="s">
        <v>57</v>
      </c>
      <c r="C710" s="12" t="s">
        <v>14</v>
      </c>
      <c r="D710" s="12">
        <v>0.62574260375967017</v>
      </c>
      <c r="E710" s="12">
        <v>1.9</v>
      </c>
      <c r="F710" s="12">
        <v>20</v>
      </c>
      <c r="G710" s="12">
        <v>1.9</v>
      </c>
      <c r="H710" s="12">
        <v>0.38831218762014608</v>
      </c>
      <c r="I710" s="12" t="s">
        <v>88</v>
      </c>
      <c r="J710" s="6">
        <v>46302</v>
      </c>
      <c r="K710">
        <v>46302</v>
      </c>
      <c r="L710">
        <v>3.0363922619047616</v>
      </c>
      <c r="M710">
        <v>3.0363922619047616</v>
      </c>
      <c r="N710">
        <v>0.62056216931216923</v>
      </c>
      <c r="O710">
        <v>0.3293382125050896</v>
      </c>
      <c r="P710">
        <v>0.3293382125050896</v>
      </c>
      <c r="Q710">
        <v>0.20437483558955058</v>
      </c>
      <c r="R710">
        <v>4.8929702970297031</v>
      </c>
      <c r="S710">
        <v>4.8929702970297031</v>
      </c>
      <c r="T710">
        <v>1.6114420914642595</v>
      </c>
    </row>
    <row r="711" spans="1:20" x14ac:dyDescent="0.25">
      <c r="A711" s="12" t="s">
        <v>60</v>
      </c>
      <c r="B711" s="12" t="s">
        <v>57</v>
      </c>
      <c r="C711" s="12" t="s">
        <v>13</v>
      </c>
      <c r="D711" s="12">
        <v>2.7148103590198196</v>
      </c>
      <c r="E711" s="12">
        <v>1.9</v>
      </c>
      <c r="F711" s="12">
        <v>20</v>
      </c>
      <c r="G711" s="12">
        <v>1.9</v>
      </c>
      <c r="H711" s="12">
        <v>1.6499183006535949</v>
      </c>
      <c r="I711" s="12" t="s">
        <v>90</v>
      </c>
      <c r="J711" s="6">
        <v>46302</v>
      </c>
      <c r="K711">
        <v>46302</v>
      </c>
      <c r="L711">
        <v>0.69986472303206981</v>
      </c>
      <c r="M711">
        <v>0.69986472303206981</v>
      </c>
      <c r="N711">
        <v>0.60774716553287966</v>
      </c>
      <c r="O711">
        <v>1.4288475573788524</v>
      </c>
      <c r="P711">
        <v>1.4288475573788524</v>
      </c>
      <c r="Q711">
        <v>0.86837805297557635</v>
      </c>
      <c r="R711">
        <v>1.1515721713295368</v>
      </c>
      <c r="S711">
        <v>1.1515721713295368</v>
      </c>
      <c r="T711">
        <v>1.6454210841496701</v>
      </c>
    </row>
    <row r="712" spans="1:20" x14ac:dyDescent="0.25">
      <c r="A712" s="12" t="s">
        <v>60</v>
      </c>
      <c r="B712" s="12" t="s">
        <v>57</v>
      </c>
      <c r="C712" s="12" t="s">
        <v>15</v>
      </c>
      <c r="D712" s="12">
        <v>0</v>
      </c>
      <c r="E712" s="12">
        <v>0</v>
      </c>
      <c r="F712" s="12">
        <v>20</v>
      </c>
      <c r="G712" s="12">
        <v>0</v>
      </c>
      <c r="H712" s="12">
        <v>0</v>
      </c>
      <c r="I712" s="12" t="s">
        <v>89</v>
      </c>
      <c r="J712" s="6">
        <v>46302</v>
      </c>
      <c r="K712">
        <v>46302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 x14ac:dyDescent="0.25">
      <c r="A713" s="12" t="s">
        <v>60</v>
      </c>
      <c r="B713" s="12" t="s">
        <v>57</v>
      </c>
      <c r="C713" s="12" t="s">
        <v>14</v>
      </c>
      <c r="D713" s="12">
        <v>0</v>
      </c>
      <c r="E713" s="12">
        <v>1.9</v>
      </c>
      <c r="F713" s="12">
        <v>20</v>
      </c>
      <c r="G713" s="12">
        <v>1.9</v>
      </c>
      <c r="H713" s="12">
        <v>0.38831218762014608</v>
      </c>
      <c r="I713" s="12" t="s">
        <v>91</v>
      </c>
      <c r="J713" s="6">
        <v>46303</v>
      </c>
      <c r="K713">
        <v>46303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0.20437483558955058</v>
      </c>
      <c r="R713">
        <v>4.8929702970297031</v>
      </c>
      <c r="S713">
        <v>4.8929702970297031</v>
      </c>
      <c r="T713">
        <v>0</v>
      </c>
    </row>
    <row r="714" spans="1:20" x14ac:dyDescent="0.25">
      <c r="A714" s="12" t="s">
        <v>60</v>
      </c>
      <c r="B714" s="12" t="s">
        <v>57</v>
      </c>
      <c r="C714" s="12" t="s">
        <v>15</v>
      </c>
      <c r="D714" s="12">
        <v>0</v>
      </c>
      <c r="E714" s="12">
        <v>0</v>
      </c>
      <c r="F714" s="12">
        <v>20</v>
      </c>
      <c r="G714" s="12">
        <v>0</v>
      </c>
      <c r="H714" s="12">
        <v>0</v>
      </c>
      <c r="I714" s="12" t="s">
        <v>92</v>
      </c>
      <c r="J714" s="6">
        <v>46303</v>
      </c>
      <c r="K714">
        <v>46303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 x14ac:dyDescent="0.25">
      <c r="A715" s="12" t="s">
        <v>60</v>
      </c>
      <c r="B715" s="12" t="s">
        <v>57</v>
      </c>
      <c r="C715" s="12" t="s">
        <v>13</v>
      </c>
      <c r="D715" s="12">
        <v>2.7148103590198196</v>
      </c>
      <c r="E715" s="12">
        <v>1.9</v>
      </c>
      <c r="F715" s="12">
        <v>20</v>
      </c>
      <c r="G715" s="12">
        <v>1.9</v>
      </c>
      <c r="H715" s="12">
        <v>1.6499183006535949</v>
      </c>
      <c r="I715" s="12" t="s">
        <v>93</v>
      </c>
      <c r="J715" s="6">
        <v>46303</v>
      </c>
      <c r="K715">
        <v>46303</v>
      </c>
      <c r="L715">
        <v>0.69986472303206981</v>
      </c>
      <c r="M715">
        <v>0.69986472303206981</v>
      </c>
      <c r="N715">
        <v>0.60774716553287966</v>
      </c>
      <c r="O715">
        <v>1.4288475573788524</v>
      </c>
      <c r="P715">
        <v>1.4288475573788524</v>
      </c>
      <c r="Q715">
        <v>0.86837805297557635</v>
      </c>
      <c r="R715">
        <v>1.1515721713295368</v>
      </c>
      <c r="S715">
        <v>1.1515721713295368</v>
      </c>
      <c r="T715">
        <v>1.6454210841496701</v>
      </c>
    </row>
    <row r="716" spans="1:20" x14ac:dyDescent="0.25">
      <c r="A716" s="12" t="s">
        <v>60</v>
      </c>
      <c r="B716" s="12" t="s">
        <v>57</v>
      </c>
      <c r="C716" s="12" t="s">
        <v>14</v>
      </c>
      <c r="D716" s="12">
        <v>0</v>
      </c>
      <c r="E716" s="12">
        <v>0</v>
      </c>
      <c r="F716" s="12">
        <v>20</v>
      </c>
      <c r="G716" s="12">
        <v>0</v>
      </c>
      <c r="H716" s="12">
        <v>0</v>
      </c>
      <c r="I716" s="12" t="s">
        <v>94</v>
      </c>
      <c r="J716" s="6">
        <v>46304</v>
      </c>
      <c r="K716">
        <v>46304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25">
      <c r="A717" s="12" t="s">
        <v>60</v>
      </c>
      <c r="B717" s="12" t="s">
        <v>57</v>
      </c>
      <c r="C717" s="12" t="s">
        <v>13</v>
      </c>
      <c r="D717" s="12">
        <v>1.7729373773190653</v>
      </c>
      <c r="E717" s="12">
        <v>0</v>
      </c>
      <c r="F717" s="12">
        <v>20</v>
      </c>
      <c r="G717" s="12">
        <v>0</v>
      </c>
      <c r="H717" s="12">
        <v>0</v>
      </c>
      <c r="I717" s="12" t="s">
        <v>95</v>
      </c>
      <c r="J717" s="6">
        <v>46304</v>
      </c>
      <c r="K717">
        <v>46304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 x14ac:dyDescent="0.25">
      <c r="A718" s="12" t="s">
        <v>60</v>
      </c>
      <c r="B718" s="12" t="s">
        <v>57</v>
      </c>
      <c r="C718" s="12" t="s">
        <v>15</v>
      </c>
      <c r="D718" s="12">
        <v>0</v>
      </c>
      <c r="E718" s="12">
        <v>0</v>
      </c>
      <c r="F718" s="12">
        <v>20</v>
      </c>
      <c r="G718" s="12">
        <v>0</v>
      </c>
      <c r="H718" s="12">
        <v>0</v>
      </c>
      <c r="I718" s="12" t="s">
        <v>96</v>
      </c>
      <c r="J718" s="6">
        <v>46304</v>
      </c>
      <c r="K718">
        <v>46304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 x14ac:dyDescent="0.25">
      <c r="A719" s="12" t="s">
        <v>60</v>
      </c>
      <c r="B719" s="12" t="s">
        <v>57</v>
      </c>
      <c r="C719" s="12" t="s">
        <v>14</v>
      </c>
      <c r="D719" s="12">
        <v>0</v>
      </c>
      <c r="E719" s="12">
        <v>0</v>
      </c>
      <c r="F719" s="12">
        <v>20</v>
      </c>
      <c r="G719" s="12">
        <v>0</v>
      </c>
      <c r="H719" s="12">
        <v>0</v>
      </c>
      <c r="I719" s="12" t="s">
        <v>97</v>
      </c>
      <c r="J719" s="6">
        <v>46305</v>
      </c>
      <c r="K719">
        <v>46305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 x14ac:dyDescent="0.25">
      <c r="A720" s="12" t="s">
        <v>60</v>
      </c>
      <c r="B720" s="12" t="s">
        <v>57</v>
      </c>
      <c r="C720" s="12" t="s">
        <v>13</v>
      </c>
      <c r="D720" s="12">
        <v>0</v>
      </c>
      <c r="E720" s="12">
        <v>0</v>
      </c>
      <c r="F720" s="12">
        <v>20</v>
      </c>
      <c r="G720" s="12">
        <v>0</v>
      </c>
      <c r="H720" s="12">
        <v>0</v>
      </c>
      <c r="I720" s="12" t="s">
        <v>98</v>
      </c>
      <c r="J720" s="6">
        <v>46305</v>
      </c>
      <c r="K720">
        <v>46305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 x14ac:dyDescent="0.25">
      <c r="A721" s="12" t="s">
        <v>60</v>
      </c>
      <c r="B721" s="12" t="s">
        <v>57</v>
      </c>
      <c r="C721" s="12" t="s">
        <v>15</v>
      </c>
      <c r="D721" s="12">
        <v>0</v>
      </c>
      <c r="E721" s="12">
        <v>0</v>
      </c>
      <c r="F721" s="12">
        <v>20</v>
      </c>
      <c r="G721" s="12">
        <v>0</v>
      </c>
      <c r="H721" s="12">
        <v>0</v>
      </c>
      <c r="I721" s="12" t="s">
        <v>99</v>
      </c>
      <c r="J721" s="6">
        <v>46305</v>
      </c>
      <c r="K721">
        <v>46305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 x14ac:dyDescent="0.25">
      <c r="A722" s="12" t="s">
        <v>60</v>
      </c>
      <c r="B722" s="12" t="s">
        <v>57</v>
      </c>
      <c r="C722" s="12" t="s">
        <v>14</v>
      </c>
      <c r="D722" s="12">
        <v>0</v>
      </c>
      <c r="E722" s="12">
        <v>0</v>
      </c>
      <c r="F722" s="12">
        <v>20</v>
      </c>
      <c r="G722" s="12">
        <v>0</v>
      </c>
      <c r="H722" s="12">
        <v>0</v>
      </c>
      <c r="I722" s="12" t="s">
        <v>100</v>
      </c>
      <c r="J722" s="6">
        <v>46306</v>
      </c>
      <c r="K722">
        <v>46306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x14ac:dyDescent="0.25">
      <c r="A723" s="12" t="s">
        <v>60</v>
      </c>
      <c r="B723" s="12" t="s">
        <v>57</v>
      </c>
      <c r="C723" s="12" t="s">
        <v>15</v>
      </c>
      <c r="D723" s="12">
        <v>0</v>
      </c>
      <c r="E723" s="12">
        <v>0</v>
      </c>
      <c r="F723" s="12">
        <v>20</v>
      </c>
      <c r="G723" s="12">
        <v>0</v>
      </c>
      <c r="H723" s="12">
        <v>0</v>
      </c>
      <c r="I723" s="12" t="s">
        <v>101</v>
      </c>
      <c r="J723" s="6">
        <v>46306</v>
      </c>
      <c r="K723">
        <v>46306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 x14ac:dyDescent="0.25">
      <c r="A724" s="12" t="s">
        <v>60</v>
      </c>
      <c r="B724" s="12" t="s">
        <v>57</v>
      </c>
      <c r="C724" s="12" t="s">
        <v>13</v>
      </c>
      <c r="D724" s="12">
        <v>0</v>
      </c>
      <c r="E724" s="12">
        <v>0</v>
      </c>
      <c r="F724" s="12">
        <v>20</v>
      </c>
      <c r="G724" s="12">
        <v>0</v>
      </c>
      <c r="H724" s="12">
        <v>0</v>
      </c>
      <c r="I724" s="12" t="s">
        <v>102</v>
      </c>
      <c r="J724" s="6">
        <v>46306</v>
      </c>
      <c r="K724">
        <v>46306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 x14ac:dyDescent="0.25">
      <c r="A725" s="12" t="s">
        <v>60</v>
      </c>
      <c r="B725" s="12" t="s">
        <v>57</v>
      </c>
      <c r="C725" s="12" t="s">
        <v>14</v>
      </c>
      <c r="D725" s="12">
        <v>0</v>
      </c>
      <c r="E725" s="12">
        <v>0.95</v>
      </c>
      <c r="F725" s="12">
        <v>20</v>
      </c>
      <c r="G725" s="12">
        <v>0.95</v>
      </c>
      <c r="H725" s="12">
        <v>0.16608996539792387</v>
      </c>
      <c r="I725" s="12" t="s">
        <v>103</v>
      </c>
      <c r="J725" s="6">
        <v>46307</v>
      </c>
      <c r="K725">
        <v>46307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0.17483154252413038</v>
      </c>
      <c r="R725">
        <v>5.7197916666666666</v>
      </c>
      <c r="S725">
        <v>5.7197916666666666</v>
      </c>
      <c r="T725">
        <v>0</v>
      </c>
    </row>
    <row r="726" spans="1:20" x14ac:dyDescent="0.25">
      <c r="A726" s="12" t="s">
        <v>60</v>
      </c>
      <c r="B726" s="12" t="s">
        <v>57</v>
      </c>
      <c r="C726" s="12" t="s">
        <v>13</v>
      </c>
      <c r="D726" s="12">
        <v>0.88646868865953277</v>
      </c>
      <c r="E726" s="12">
        <v>0.95</v>
      </c>
      <c r="F726" s="12">
        <v>20</v>
      </c>
      <c r="G726" s="12">
        <v>0.95</v>
      </c>
      <c r="H726" s="12">
        <v>0.82352941176470595</v>
      </c>
      <c r="I726" s="12" t="s">
        <v>105</v>
      </c>
      <c r="J726" s="6">
        <v>46307</v>
      </c>
      <c r="K726">
        <v>46307</v>
      </c>
      <c r="L726">
        <v>1.0716678571428571</v>
      </c>
      <c r="M726">
        <v>1.0716678571428571</v>
      </c>
      <c r="N726">
        <v>0.92900000000000005</v>
      </c>
      <c r="O726">
        <v>0.93312493543108721</v>
      </c>
      <c r="P726">
        <v>0.93312493543108721</v>
      </c>
      <c r="Q726">
        <v>0.86687306501548</v>
      </c>
      <c r="R726">
        <v>1.1535714285714285</v>
      </c>
      <c r="S726">
        <v>1.1535714285714285</v>
      </c>
      <c r="T726">
        <v>1.0764262648008611</v>
      </c>
    </row>
    <row r="727" spans="1:20" x14ac:dyDescent="0.25">
      <c r="A727" s="12" t="s">
        <v>60</v>
      </c>
      <c r="B727" s="12" t="s">
        <v>57</v>
      </c>
      <c r="C727" s="12" t="s">
        <v>15</v>
      </c>
      <c r="D727" s="12">
        <v>0</v>
      </c>
      <c r="E727" s="12">
        <v>0</v>
      </c>
      <c r="F727" s="12">
        <v>20</v>
      </c>
      <c r="G727" s="12">
        <v>0</v>
      </c>
      <c r="H727" s="12">
        <v>0</v>
      </c>
      <c r="I727" s="12" t="s">
        <v>104</v>
      </c>
      <c r="J727" s="6">
        <v>46307</v>
      </c>
      <c r="K727">
        <v>46307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 x14ac:dyDescent="0.25">
      <c r="A728" s="12" t="s">
        <v>60</v>
      </c>
      <c r="B728" s="12" t="s">
        <v>57</v>
      </c>
      <c r="C728" s="12" t="s">
        <v>15</v>
      </c>
      <c r="D728" s="12">
        <v>0</v>
      </c>
      <c r="E728" s="12">
        <v>0</v>
      </c>
      <c r="F728" s="12">
        <v>20</v>
      </c>
      <c r="G728" s="12">
        <v>0</v>
      </c>
      <c r="H728" s="12">
        <v>0</v>
      </c>
      <c r="I728" s="12" t="s">
        <v>106</v>
      </c>
      <c r="J728" s="6">
        <v>46308</v>
      </c>
      <c r="K728">
        <v>46308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x14ac:dyDescent="0.25">
      <c r="A729" s="12" t="s">
        <v>60</v>
      </c>
      <c r="B729" s="12" t="s">
        <v>57</v>
      </c>
      <c r="C729" s="12" t="s">
        <v>14</v>
      </c>
      <c r="D729" s="12">
        <v>0</v>
      </c>
      <c r="E729" s="12">
        <v>1.9</v>
      </c>
      <c r="F729" s="12">
        <v>20</v>
      </c>
      <c r="G729" s="12">
        <v>1.9</v>
      </c>
      <c r="H729" s="12">
        <v>0.16608996539792387</v>
      </c>
      <c r="I729" s="12" t="s">
        <v>107</v>
      </c>
      <c r="J729" s="6">
        <v>46308</v>
      </c>
      <c r="K729">
        <v>46308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8.7415771262065192E-2</v>
      </c>
      <c r="R729">
        <v>11.439583333333333</v>
      </c>
      <c r="S729">
        <v>11.439583333333333</v>
      </c>
      <c r="T729">
        <v>0</v>
      </c>
    </row>
    <row r="730" spans="1:20" x14ac:dyDescent="0.25">
      <c r="A730" s="12" t="s">
        <v>60</v>
      </c>
      <c r="B730" s="12" t="s">
        <v>57</v>
      </c>
      <c r="C730" s="12" t="s">
        <v>13</v>
      </c>
      <c r="D730" s="12">
        <v>0.88646868865953243</v>
      </c>
      <c r="E730" s="12">
        <v>0.95</v>
      </c>
      <c r="F730" s="12">
        <v>20</v>
      </c>
      <c r="G730" s="12">
        <v>0.95</v>
      </c>
      <c r="H730" s="12">
        <v>0.82352941176470595</v>
      </c>
      <c r="I730" s="12" t="s">
        <v>108</v>
      </c>
      <c r="J730" s="6">
        <v>46308</v>
      </c>
      <c r="K730">
        <v>46308</v>
      </c>
      <c r="L730">
        <v>1.0716678571428575</v>
      </c>
      <c r="M730">
        <v>1.0716678571428575</v>
      </c>
      <c r="N730">
        <v>0.92900000000000038</v>
      </c>
      <c r="O730">
        <v>0.93312493543108677</v>
      </c>
      <c r="P730">
        <v>0.93312493543108677</v>
      </c>
      <c r="Q730">
        <v>0.86687306501548</v>
      </c>
      <c r="R730">
        <v>1.1535714285714285</v>
      </c>
      <c r="S730">
        <v>1.1535714285714285</v>
      </c>
      <c r="T730">
        <v>1.0764262648008607</v>
      </c>
    </row>
    <row r="731" spans="1:20" x14ac:dyDescent="0.25">
      <c r="A731" s="12" t="s">
        <v>60</v>
      </c>
      <c r="B731" s="12" t="s">
        <v>57</v>
      </c>
      <c r="C731" s="12" t="s">
        <v>14</v>
      </c>
      <c r="D731" s="12">
        <v>0.62574260375967017</v>
      </c>
      <c r="E731" s="12">
        <v>3.8</v>
      </c>
      <c r="F731" s="12">
        <v>20</v>
      </c>
      <c r="G731" s="12">
        <v>3.8</v>
      </c>
      <c r="H731" s="12">
        <v>1.2602845059592465</v>
      </c>
      <c r="I731" s="12" t="s">
        <v>110</v>
      </c>
      <c r="J731" s="6">
        <v>46309</v>
      </c>
      <c r="K731">
        <v>46309</v>
      </c>
      <c r="L731">
        <v>6.0727845238095233</v>
      </c>
      <c r="M731">
        <v>6.0727845238095233</v>
      </c>
      <c r="N731">
        <v>2.0140621693121692</v>
      </c>
      <c r="O731">
        <v>0.1646691062525448</v>
      </c>
      <c r="P731">
        <v>0.1646691062525448</v>
      </c>
      <c r="Q731">
        <v>0.33165381735769645</v>
      </c>
      <c r="R731">
        <v>3.0151921903599752</v>
      </c>
      <c r="S731">
        <v>3.0151921903599752</v>
      </c>
      <c r="T731">
        <v>0.49650900316623003</v>
      </c>
    </row>
    <row r="732" spans="1:20" x14ac:dyDescent="0.25">
      <c r="A732" s="12" t="s">
        <v>60</v>
      </c>
      <c r="B732" s="12" t="s">
        <v>57</v>
      </c>
      <c r="C732" s="12" t="s">
        <v>15</v>
      </c>
      <c r="D732" s="12">
        <v>0</v>
      </c>
      <c r="E732" s="12">
        <v>0</v>
      </c>
      <c r="F732" s="12">
        <v>20</v>
      </c>
      <c r="G732" s="12">
        <v>0</v>
      </c>
      <c r="H732" s="12">
        <v>0</v>
      </c>
      <c r="I732" s="12" t="s">
        <v>109</v>
      </c>
      <c r="J732" s="6">
        <v>46309</v>
      </c>
      <c r="K732">
        <v>46309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 x14ac:dyDescent="0.25">
      <c r="A733" s="12" t="s">
        <v>60</v>
      </c>
      <c r="B733" s="12" t="s">
        <v>57</v>
      </c>
      <c r="C733" s="12" t="s">
        <v>13</v>
      </c>
      <c r="D733" s="12">
        <v>2.7148103590198196</v>
      </c>
      <c r="E733" s="12">
        <v>2.8499999999999996</v>
      </c>
      <c r="F733" s="12">
        <v>20</v>
      </c>
      <c r="G733" s="12">
        <v>2.8499999999999996</v>
      </c>
      <c r="H733" s="12">
        <v>2.473447712418301</v>
      </c>
      <c r="I733" s="12" t="s">
        <v>111</v>
      </c>
      <c r="J733" s="6">
        <v>46309</v>
      </c>
      <c r="K733">
        <v>46309</v>
      </c>
      <c r="L733">
        <v>1.0497970845481046</v>
      </c>
      <c r="M733">
        <v>1.0497970845481046</v>
      </c>
      <c r="N733">
        <v>0.91109410430838988</v>
      </c>
      <c r="O733">
        <v>0.95256503825256844</v>
      </c>
      <c r="P733">
        <v>0.95256503825256844</v>
      </c>
      <c r="Q733">
        <v>0.86787639032221098</v>
      </c>
      <c r="R733">
        <v>1.1522378199834844</v>
      </c>
      <c r="S733">
        <v>1.1522378199834844</v>
      </c>
      <c r="T733">
        <v>1.0975814630686238</v>
      </c>
    </row>
    <row r="734" spans="1:20" x14ac:dyDescent="0.25">
      <c r="A734" s="12" t="s">
        <v>60</v>
      </c>
      <c r="B734" s="12" t="s">
        <v>57</v>
      </c>
      <c r="C734" s="12" t="s">
        <v>15</v>
      </c>
      <c r="D734" s="12">
        <v>0</v>
      </c>
      <c r="E734" s="12">
        <v>0</v>
      </c>
      <c r="F734" s="12">
        <v>20</v>
      </c>
      <c r="G734" s="12">
        <v>0</v>
      </c>
      <c r="H734" s="12">
        <v>0</v>
      </c>
      <c r="I734" s="12" t="s">
        <v>112</v>
      </c>
      <c r="J734" s="6">
        <v>46310</v>
      </c>
      <c r="K734">
        <v>46310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x14ac:dyDescent="0.25">
      <c r="A735" s="12" t="s">
        <v>60</v>
      </c>
      <c r="B735" s="12" t="s">
        <v>57</v>
      </c>
      <c r="C735" s="12" t="s">
        <v>14</v>
      </c>
      <c r="D735" s="12">
        <v>0</v>
      </c>
      <c r="E735" s="12">
        <v>2.8499999999999996</v>
      </c>
      <c r="F735" s="12">
        <v>20</v>
      </c>
      <c r="G735" s="12">
        <v>2.8499999999999996</v>
      </c>
      <c r="H735" s="12">
        <v>0.55440215301806983</v>
      </c>
      <c r="I735" s="12" t="s">
        <v>113</v>
      </c>
      <c r="J735" s="6">
        <v>46310</v>
      </c>
      <c r="K735">
        <v>46310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0.19452707123441049</v>
      </c>
      <c r="R735">
        <v>5.1406726768377258</v>
      </c>
      <c r="S735">
        <v>5.1406726768377258</v>
      </c>
      <c r="T735">
        <v>0</v>
      </c>
    </row>
    <row r="736" spans="1:20" x14ac:dyDescent="0.25">
      <c r="A736" s="12" t="s">
        <v>60</v>
      </c>
      <c r="B736" s="12" t="s">
        <v>57</v>
      </c>
      <c r="C736" s="12" t="s">
        <v>13</v>
      </c>
      <c r="D736" s="12">
        <v>2.7148103590198196</v>
      </c>
      <c r="E736" s="12">
        <v>2.8499999999999996</v>
      </c>
      <c r="F736" s="12">
        <v>20</v>
      </c>
      <c r="G736" s="12">
        <v>2.8499999999999996</v>
      </c>
      <c r="H736" s="12">
        <v>2.4734477124183014</v>
      </c>
      <c r="I736" s="12" t="s">
        <v>114</v>
      </c>
      <c r="J736" s="6">
        <v>46310</v>
      </c>
      <c r="K736">
        <v>46310</v>
      </c>
      <c r="L736">
        <v>1.0497970845481046</v>
      </c>
      <c r="M736">
        <v>1.0497970845481046</v>
      </c>
      <c r="N736">
        <v>0.91109410430839011</v>
      </c>
      <c r="O736">
        <v>0.95256503825256844</v>
      </c>
      <c r="P736">
        <v>0.95256503825256844</v>
      </c>
      <c r="Q736">
        <v>0.86787639032221109</v>
      </c>
      <c r="R736">
        <v>1.1522378199834842</v>
      </c>
      <c r="S736">
        <v>1.1522378199834842</v>
      </c>
      <c r="T736">
        <v>1.0975814630686236</v>
      </c>
    </row>
    <row r="737" spans="1:20" x14ac:dyDescent="0.25">
      <c r="A737" s="12" t="s">
        <v>60</v>
      </c>
      <c r="B737" s="12" t="s">
        <v>57</v>
      </c>
      <c r="C737" s="12" t="s">
        <v>15</v>
      </c>
      <c r="D737" s="12">
        <v>0</v>
      </c>
      <c r="E737" s="12">
        <v>0</v>
      </c>
      <c r="F737" s="12">
        <v>20</v>
      </c>
      <c r="G737" s="12">
        <v>0</v>
      </c>
      <c r="H737" s="12">
        <v>0</v>
      </c>
      <c r="I737" s="12" t="s">
        <v>117</v>
      </c>
      <c r="J737" s="6">
        <v>46311</v>
      </c>
      <c r="K737">
        <v>46311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 x14ac:dyDescent="0.25">
      <c r="A738" s="12" t="s">
        <v>60</v>
      </c>
      <c r="B738" s="12" t="s">
        <v>57</v>
      </c>
      <c r="C738" s="12" t="s">
        <v>13</v>
      </c>
      <c r="D738" s="12">
        <v>1.7729373773190653</v>
      </c>
      <c r="E738" s="12">
        <v>1.9</v>
      </c>
      <c r="F738" s="12">
        <v>20</v>
      </c>
      <c r="G738" s="12">
        <v>1.9</v>
      </c>
      <c r="H738" s="12">
        <v>1.6470588235294119</v>
      </c>
      <c r="I738" s="12" t="s">
        <v>115</v>
      </c>
      <c r="J738" s="6">
        <v>46311</v>
      </c>
      <c r="K738">
        <v>46311</v>
      </c>
      <c r="L738">
        <v>1.0716678571428571</v>
      </c>
      <c r="M738">
        <v>1.0716678571428571</v>
      </c>
      <c r="N738">
        <v>0.92900000000000016</v>
      </c>
      <c r="O738">
        <v>0.9331249354310871</v>
      </c>
      <c r="P738">
        <v>0.9331249354310871</v>
      </c>
      <c r="Q738">
        <v>0.86687306501548</v>
      </c>
      <c r="R738">
        <v>1.1535714285714285</v>
      </c>
      <c r="S738">
        <v>1.1535714285714285</v>
      </c>
      <c r="T738">
        <v>1.0764262648008609</v>
      </c>
    </row>
    <row r="739" spans="1:20" x14ac:dyDescent="0.25">
      <c r="A739" s="12" t="s">
        <v>60</v>
      </c>
      <c r="B739" s="12" t="s">
        <v>57</v>
      </c>
      <c r="C739" s="12" t="s">
        <v>14</v>
      </c>
      <c r="D739" s="12">
        <v>0</v>
      </c>
      <c r="E739" s="12">
        <v>1.9</v>
      </c>
      <c r="F739" s="12">
        <v>20</v>
      </c>
      <c r="G739" s="12">
        <v>1.9</v>
      </c>
      <c r="H739" s="12">
        <v>0.33217993079584773</v>
      </c>
      <c r="I739" s="12" t="s">
        <v>116</v>
      </c>
      <c r="J739" s="6">
        <v>46311</v>
      </c>
      <c r="K739">
        <v>46311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0.17483154252413038</v>
      </c>
      <c r="R739">
        <v>5.7197916666666666</v>
      </c>
      <c r="S739">
        <v>5.7197916666666666</v>
      </c>
      <c r="T739">
        <v>0</v>
      </c>
    </row>
    <row r="740" spans="1:20" x14ac:dyDescent="0.25">
      <c r="A740" s="12" t="s">
        <v>60</v>
      </c>
      <c r="B740" s="12" t="s">
        <v>57</v>
      </c>
      <c r="C740" s="12" t="s">
        <v>13</v>
      </c>
      <c r="D740" s="12">
        <v>0.88646868865953277</v>
      </c>
      <c r="E740" s="12">
        <v>0.95</v>
      </c>
      <c r="F740" s="12">
        <v>20</v>
      </c>
      <c r="G740" s="12">
        <v>0.95</v>
      </c>
      <c r="H740" s="12">
        <v>0.82352941176470595</v>
      </c>
      <c r="I740" s="12" t="s">
        <v>119</v>
      </c>
      <c r="J740" s="6">
        <v>46312</v>
      </c>
      <c r="K740">
        <v>46312</v>
      </c>
      <c r="L740">
        <v>1.0716678571428571</v>
      </c>
      <c r="M740">
        <v>1.0716678571428571</v>
      </c>
      <c r="N740">
        <v>0.92900000000000005</v>
      </c>
      <c r="O740">
        <v>0.93312493543108721</v>
      </c>
      <c r="P740">
        <v>0.93312493543108721</v>
      </c>
      <c r="Q740">
        <v>0.86687306501548</v>
      </c>
      <c r="R740">
        <v>1.1535714285714285</v>
      </c>
      <c r="S740">
        <v>1.1535714285714285</v>
      </c>
      <c r="T740">
        <v>1.0764262648008611</v>
      </c>
    </row>
    <row r="741" spans="1:20" x14ac:dyDescent="0.25">
      <c r="A741" s="12" t="s">
        <v>60</v>
      </c>
      <c r="B741" s="12" t="s">
        <v>57</v>
      </c>
      <c r="C741" s="12" t="s">
        <v>15</v>
      </c>
      <c r="D741" s="12">
        <v>0</v>
      </c>
      <c r="E741" s="12">
        <v>0</v>
      </c>
      <c r="F741" s="12">
        <v>20</v>
      </c>
      <c r="G741" s="12">
        <v>0</v>
      </c>
      <c r="H741" s="12">
        <v>0</v>
      </c>
      <c r="I741" s="12" t="s">
        <v>120</v>
      </c>
      <c r="J741" s="6">
        <v>46312</v>
      </c>
      <c r="K741">
        <v>46312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 x14ac:dyDescent="0.25">
      <c r="A742" s="12" t="s">
        <v>60</v>
      </c>
      <c r="B742" s="12" t="s">
        <v>57</v>
      </c>
      <c r="C742" s="12" t="s">
        <v>14</v>
      </c>
      <c r="D742" s="12">
        <v>0</v>
      </c>
      <c r="E742" s="12">
        <v>0.95</v>
      </c>
      <c r="F742" s="12">
        <v>20</v>
      </c>
      <c r="G742" s="12">
        <v>0.95</v>
      </c>
      <c r="H742" s="12">
        <v>0.16608996539792387</v>
      </c>
      <c r="I742" s="12" t="s">
        <v>118</v>
      </c>
      <c r="J742" s="6">
        <v>46312</v>
      </c>
      <c r="K742">
        <v>46312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0.17483154252413038</v>
      </c>
      <c r="R742">
        <v>5.7197916666666666</v>
      </c>
      <c r="S742">
        <v>5.7197916666666666</v>
      </c>
      <c r="T742">
        <v>0</v>
      </c>
    </row>
    <row r="743" spans="1:20" x14ac:dyDescent="0.25">
      <c r="A743" s="12" t="s">
        <v>60</v>
      </c>
      <c r="B743" s="12" t="s">
        <v>57</v>
      </c>
      <c r="C743" s="12" t="s">
        <v>14</v>
      </c>
      <c r="D743" s="12">
        <v>0</v>
      </c>
      <c r="E743" s="12">
        <v>0</v>
      </c>
      <c r="F743" s="12">
        <v>20</v>
      </c>
      <c r="G743" s="12">
        <v>0</v>
      </c>
      <c r="H743" s="12">
        <v>0</v>
      </c>
      <c r="I743" s="12" t="s">
        <v>123</v>
      </c>
      <c r="J743" s="6">
        <v>46313</v>
      </c>
      <c r="K743">
        <v>46313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 x14ac:dyDescent="0.25">
      <c r="A744" s="12" t="s">
        <v>60</v>
      </c>
      <c r="B744" s="12" t="s">
        <v>57</v>
      </c>
      <c r="C744" s="12" t="s">
        <v>15</v>
      </c>
      <c r="D744" s="12">
        <v>0</v>
      </c>
      <c r="E744" s="12">
        <v>0</v>
      </c>
      <c r="F744" s="12">
        <v>20</v>
      </c>
      <c r="G744" s="12">
        <v>0</v>
      </c>
      <c r="H744" s="12">
        <v>0</v>
      </c>
      <c r="I744" s="12" t="s">
        <v>122</v>
      </c>
      <c r="J744" s="6">
        <v>46313</v>
      </c>
      <c r="K744">
        <v>46313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 x14ac:dyDescent="0.25">
      <c r="A745" s="12" t="s">
        <v>60</v>
      </c>
      <c r="B745" s="12" t="s">
        <v>57</v>
      </c>
      <c r="C745" s="12" t="s">
        <v>13</v>
      </c>
      <c r="D745" s="12">
        <v>0.88646868865953277</v>
      </c>
      <c r="E745" s="12">
        <v>0</v>
      </c>
      <c r="F745" s="12">
        <v>20</v>
      </c>
      <c r="G745" s="12">
        <v>0</v>
      </c>
      <c r="H745" s="12">
        <v>0</v>
      </c>
      <c r="I745" s="12" t="s">
        <v>121</v>
      </c>
      <c r="J745" s="6">
        <v>46313</v>
      </c>
      <c r="K745">
        <v>46313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 x14ac:dyDescent="0.25">
      <c r="A746" s="12" t="s">
        <v>60</v>
      </c>
      <c r="B746" s="12" t="s">
        <v>57</v>
      </c>
      <c r="C746" s="12" t="s">
        <v>15</v>
      </c>
      <c r="D746" s="12">
        <v>0</v>
      </c>
      <c r="E746" s="12">
        <v>0</v>
      </c>
      <c r="F746" s="12">
        <v>20</v>
      </c>
      <c r="G746" s="12">
        <v>0</v>
      </c>
      <c r="H746" s="12">
        <v>0</v>
      </c>
      <c r="I746" s="12" t="s">
        <v>125</v>
      </c>
      <c r="J746" s="6">
        <v>46314</v>
      </c>
      <c r="K746">
        <v>46314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 x14ac:dyDescent="0.25">
      <c r="A747" s="12" t="s">
        <v>60</v>
      </c>
      <c r="B747" s="12" t="s">
        <v>57</v>
      </c>
      <c r="C747" s="12" t="s">
        <v>14</v>
      </c>
      <c r="D747" s="12">
        <v>0</v>
      </c>
      <c r="E747" s="12">
        <v>0</v>
      </c>
      <c r="F747" s="12">
        <v>20</v>
      </c>
      <c r="G747" s="12">
        <v>0</v>
      </c>
      <c r="H747" s="12">
        <v>0</v>
      </c>
      <c r="I747" s="12" t="s">
        <v>124</v>
      </c>
      <c r="J747" s="6">
        <v>46314</v>
      </c>
      <c r="K747">
        <v>46314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 x14ac:dyDescent="0.25">
      <c r="A748" s="12" t="s">
        <v>60</v>
      </c>
      <c r="B748" s="12" t="s">
        <v>57</v>
      </c>
      <c r="C748" s="12" t="s">
        <v>13</v>
      </c>
      <c r="D748" s="12">
        <v>0</v>
      </c>
      <c r="E748" s="12">
        <v>0</v>
      </c>
      <c r="F748" s="12">
        <v>20</v>
      </c>
      <c r="G748" s="12">
        <v>0</v>
      </c>
      <c r="H748" s="12">
        <v>0</v>
      </c>
      <c r="I748" s="12" t="s">
        <v>126</v>
      </c>
      <c r="J748" s="6">
        <v>46314</v>
      </c>
      <c r="K748">
        <v>46314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 x14ac:dyDescent="0.25">
      <c r="A749" s="12" t="s">
        <v>60</v>
      </c>
      <c r="B749" s="12" t="s">
        <v>57</v>
      </c>
      <c r="C749" s="12" t="s">
        <v>13</v>
      </c>
      <c r="D749" s="12">
        <v>1.7729373773190653</v>
      </c>
      <c r="E749" s="12">
        <v>1.9</v>
      </c>
      <c r="F749" s="12">
        <v>20</v>
      </c>
      <c r="G749" s="12">
        <v>1.9</v>
      </c>
      <c r="H749" s="12">
        <v>1.6470588235294119</v>
      </c>
      <c r="I749" s="12" t="s">
        <v>127</v>
      </c>
      <c r="J749" s="6">
        <v>46315</v>
      </c>
      <c r="K749">
        <v>46315</v>
      </c>
      <c r="L749">
        <v>1.0716678571428571</v>
      </c>
      <c r="M749">
        <v>1.0716678571428571</v>
      </c>
      <c r="N749">
        <v>0.92900000000000016</v>
      </c>
      <c r="O749">
        <v>0.9331249354310871</v>
      </c>
      <c r="P749">
        <v>0.9331249354310871</v>
      </c>
      <c r="Q749">
        <v>0.86687306501548</v>
      </c>
      <c r="R749">
        <v>1.1535714285714285</v>
      </c>
      <c r="S749">
        <v>1.1535714285714285</v>
      </c>
      <c r="T749">
        <v>1.0764262648008609</v>
      </c>
    </row>
    <row r="750" spans="1:20" x14ac:dyDescent="0.25">
      <c r="A750" s="12" t="s">
        <v>60</v>
      </c>
      <c r="B750" s="12" t="s">
        <v>57</v>
      </c>
      <c r="C750" s="12" t="s">
        <v>15</v>
      </c>
      <c r="D750" s="12">
        <v>0</v>
      </c>
      <c r="E750" s="12">
        <v>0</v>
      </c>
      <c r="F750" s="12">
        <v>20</v>
      </c>
      <c r="G750" s="12">
        <v>0</v>
      </c>
      <c r="H750" s="12">
        <v>0</v>
      </c>
      <c r="I750" s="12" t="s">
        <v>128</v>
      </c>
      <c r="J750" s="6">
        <v>46315</v>
      </c>
      <c r="K750">
        <v>46315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 x14ac:dyDescent="0.25">
      <c r="A751" s="12" t="s">
        <v>60</v>
      </c>
      <c r="B751" s="12" t="s">
        <v>57</v>
      </c>
      <c r="C751" s="12" t="s">
        <v>14</v>
      </c>
      <c r="D751" s="12">
        <v>0</v>
      </c>
      <c r="E751" s="12">
        <v>2.8499999999999996</v>
      </c>
      <c r="F751" s="12">
        <v>20</v>
      </c>
      <c r="G751" s="12">
        <v>2.8499999999999996</v>
      </c>
      <c r="H751" s="12">
        <v>0.33217993079584773</v>
      </c>
      <c r="I751" s="12" t="s">
        <v>129</v>
      </c>
      <c r="J751" s="6">
        <v>46315</v>
      </c>
      <c r="K751">
        <v>46315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0.1165543616827536</v>
      </c>
      <c r="R751">
        <v>8.5796874999999986</v>
      </c>
      <c r="S751">
        <v>8.5796874999999986</v>
      </c>
      <c r="T751">
        <v>0</v>
      </c>
    </row>
    <row r="752" spans="1:20" x14ac:dyDescent="0.25">
      <c r="A752" s="12" t="s">
        <v>60</v>
      </c>
      <c r="B752" s="12" t="s">
        <v>57</v>
      </c>
      <c r="C752" s="12" t="s">
        <v>14</v>
      </c>
      <c r="D752" s="12">
        <v>0.62574260375967006</v>
      </c>
      <c r="E752" s="12">
        <v>2.8499999999999996</v>
      </c>
      <c r="F752" s="12">
        <v>20</v>
      </c>
      <c r="G752" s="12">
        <v>2.8499999999999996</v>
      </c>
      <c r="H752" s="12">
        <v>1.2602845059592462</v>
      </c>
      <c r="I752" s="12" t="s">
        <v>130</v>
      </c>
      <c r="J752" s="6">
        <v>46316</v>
      </c>
      <c r="K752">
        <v>46316</v>
      </c>
      <c r="L752">
        <v>4.5545883928571431</v>
      </c>
      <c r="M752">
        <v>4.5545883928571431</v>
      </c>
      <c r="N752">
        <v>2.0140621693121692</v>
      </c>
      <c r="O752">
        <v>0.21955880833672636</v>
      </c>
      <c r="P752">
        <v>0.21955880833672636</v>
      </c>
      <c r="Q752">
        <v>0.44220508981026191</v>
      </c>
      <c r="R752">
        <v>2.2613941427699817</v>
      </c>
      <c r="S752">
        <v>2.2613941427699817</v>
      </c>
      <c r="T752">
        <v>0.49650900316623003</v>
      </c>
    </row>
    <row r="753" spans="1:20" x14ac:dyDescent="0.25">
      <c r="A753" s="12" t="s">
        <v>60</v>
      </c>
      <c r="B753" s="12" t="s">
        <v>57</v>
      </c>
      <c r="C753" s="12" t="s">
        <v>15</v>
      </c>
      <c r="D753" s="12">
        <v>0</v>
      </c>
      <c r="E753" s="12">
        <v>0</v>
      </c>
      <c r="F753" s="12">
        <v>20</v>
      </c>
      <c r="G753" s="12">
        <v>0</v>
      </c>
      <c r="H753" s="12">
        <v>0</v>
      </c>
      <c r="I753" s="12" t="s">
        <v>131</v>
      </c>
      <c r="J753" s="6">
        <v>46316</v>
      </c>
      <c r="K753">
        <v>46316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 x14ac:dyDescent="0.25">
      <c r="A754" s="12" t="s">
        <v>60</v>
      </c>
      <c r="B754" s="12" t="s">
        <v>57</v>
      </c>
      <c r="C754" s="12" t="s">
        <v>13</v>
      </c>
      <c r="D754" s="12">
        <v>2.7148103590198196</v>
      </c>
      <c r="E754" s="12">
        <v>1.9</v>
      </c>
      <c r="F754" s="12">
        <v>20</v>
      </c>
      <c r="G754" s="12">
        <v>1.9</v>
      </c>
      <c r="H754" s="12">
        <v>2.473447712418301</v>
      </c>
      <c r="I754" s="12" t="s">
        <v>132</v>
      </c>
      <c r="J754" s="6">
        <v>46316</v>
      </c>
      <c r="K754">
        <v>46316</v>
      </c>
      <c r="L754">
        <v>0.69986472303206981</v>
      </c>
      <c r="M754">
        <v>0.69986472303206981</v>
      </c>
      <c r="N754">
        <v>0.91109410430838988</v>
      </c>
      <c r="O754">
        <v>1.4288475573788524</v>
      </c>
      <c r="P754">
        <v>1.4288475573788524</v>
      </c>
      <c r="Q754">
        <v>1.3018145854833163</v>
      </c>
      <c r="R754">
        <v>0.7681585466556563</v>
      </c>
      <c r="S754">
        <v>0.7681585466556563</v>
      </c>
      <c r="T754">
        <v>1.0975814630686238</v>
      </c>
    </row>
    <row r="755" spans="1:20" x14ac:dyDescent="0.25">
      <c r="A755" s="12" t="s">
        <v>60</v>
      </c>
      <c r="B755" s="12" t="s">
        <v>57</v>
      </c>
      <c r="C755" s="12" t="s">
        <v>13</v>
      </c>
      <c r="D755" s="12">
        <v>2.7148103590198196</v>
      </c>
      <c r="E755" s="12">
        <v>2.8499999999999996</v>
      </c>
      <c r="F755" s="12">
        <v>20</v>
      </c>
      <c r="G755" s="12">
        <v>2.8499999999999996</v>
      </c>
      <c r="H755" s="12">
        <v>2.4734477124183014</v>
      </c>
      <c r="I755" s="12" t="s">
        <v>133</v>
      </c>
      <c r="J755" s="6">
        <v>46317</v>
      </c>
      <c r="K755">
        <v>46317</v>
      </c>
      <c r="L755">
        <v>1.0497970845481046</v>
      </c>
      <c r="M755">
        <v>1.0497970845481046</v>
      </c>
      <c r="N755">
        <v>0.91109410430839011</v>
      </c>
      <c r="O755">
        <v>0.95256503825256844</v>
      </c>
      <c r="P755">
        <v>0.95256503825256844</v>
      </c>
      <c r="Q755">
        <v>0.86787639032221109</v>
      </c>
      <c r="R755">
        <v>1.1522378199834842</v>
      </c>
      <c r="S755">
        <v>1.1522378199834842</v>
      </c>
      <c r="T755">
        <v>1.0975814630686236</v>
      </c>
    </row>
    <row r="756" spans="1:20" x14ac:dyDescent="0.25">
      <c r="A756" s="12" t="s">
        <v>60</v>
      </c>
      <c r="B756" s="12" t="s">
        <v>57</v>
      </c>
      <c r="C756" s="12" t="s">
        <v>15</v>
      </c>
      <c r="D756" s="12">
        <v>0</v>
      </c>
      <c r="E756" s="12">
        <v>0</v>
      </c>
      <c r="F756" s="12">
        <v>20</v>
      </c>
      <c r="G756" s="12">
        <v>0</v>
      </c>
      <c r="H756" s="12">
        <v>0</v>
      </c>
      <c r="I756" s="12" t="s">
        <v>134</v>
      </c>
      <c r="J756" s="6">
        <v>46317</v>
      </c>
      <c r="K756">
        <v>46317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 x14ac:dyDescent="0.25">
      <c r="A757" s="12" t="s">
        <v>60</v>
      </c>
      <c r="B757" s="12" t="s">
        <v>57</v>
      </c>
      <c r="C757" s="12" t="s">
        <v>14</v>
      </c>
      <c r="D757" s="12">
        <v>0</v>
      </c>
      <c r="E757" s="12">
        <v>2.8499999999999996</v>
      </c>
      <c r="F757" s="12">
        <v>20</v>
      </c>
      <c r="G757" s="12">
        <v>2.8499999999999996</v>
      </c>
      <c r="H757" s="12">
        <v>0.55440215301806983</v>
      </c>
      <c r="I757" s="12" t="s">
        <v>135</v>
      </c>
      <c r="J757" s="6">
        <v>46317</v>
      </c>
      <c r="K757">
        <v>46317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0.19452707123441049</v>
      </c>
      <c r="R757">
        <v>5.1406726768377258</v>
      </c>
      <c r="S757">
        <v>5.1406726768377258</v>
      </c>
      <c r="T757">
        <v>0</v>
      </c>
    </row>
    <row r="758" spans="1:20" x14ac:dyDescent="0.25">
      <c r="A758" s="12" t="s">
        <v>60</v>
      </c>
      <c r="B758" s="12" t="s">
        <v>57</v>
      </c>
      <c r="C758" s="12" t="s">
        <v>14</v>
      </c>
      <c r="D758" s="12">
        <v>0</v>
      </c>
      <c r="E758" s="12">
        <v>0.95</v>
      </c>
      <c r="F758" s="12">
        <v>20</v>
      </c>
      <c r="G758" s="12">
        <v>0.95</v>
      </c>
      <c r="H758" s="12">
        <v>0.33217993079584773</v>
      </c>
      <c r="I758" s="12" t="s">
        <v>138</v>
      </c>
      <c r="J758" s="6">
        <v>46318</v>
      </c>
      <c r="K758">
        <v>46318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0.34966308504826077</v>
      </c>
      <c r="R758">
        <v>2.8598958333333333</v>
      </c>
      <c r="S758">
        <v>2.8598958333333333</v>
      </c>
      <c r="T758">
        <v>0</v>
      </c>
    </row>
    <row r="759" spans="1:20" x14ac:dyDescent="0.25">
      <c r="A759" s="12" t="s">
        <v>60</v>
      </c>
      <c r="B759" s="12" t="s">
        <v>57</v>
      </c>
      <c r="C759" s="12" t="s">
        <v>13</v>
      </c>
      <c r="D759" s="12">
        <v>1.7729373773190653</v>
      </c>
      <c r="E759" s="12">
        <v>0.95</v>
      </c>
      <c r="F759" s="12">
        <v>20</v>
      </c>
      <c r="G759" s="12">
        <v>0.95</v>
      </c>
      <c r="H759" s="12">
        <v>1.6470588235294119</v>
      </c>
      <c r="I759" s="12" t="s">
        <v>136</v>
      </c>
      <c r="J759" s="6">
        <v>46318</v>
      </c>
      <c r="K759">
        <v>46318</v>
      </c>
      <c r="L759">
        <v>0.53583392857142853</v>
      </c>
      <c r="M759">
        <v>0.53583392857142853</v>
      </c>
      <c r="N759">
        <v>0.92900000000000016</v>
      </c>
      <c r="O759">
        <v>1.8662498708621742</v>
      </c>
      <c r="P759">
        <v>1.8662498708621742</v>
      </c>
      <c r="Q759">
        <v>1.73374613003096</v>
      </c>
      <c r="R759">
        <v>0.57678571428571423</v>
      </c>
      <c r="S759">
        <v>0.57678571428571423</v>
      </c>
      <c r="T759">
        <v>1.0764262648008609</v>
      </c>
    </row>
    <row r="760" spans="1:20" x14ac:dyDescent="0.25">
      <c r="A760" s="12" t="s">
        <v>60</v>
      </c>
      <c r="B760" s="12" t="s">
        <v>57</v>
      </c>
      <c r="C760" s="12" t="s">
        <v>15</v>
      </c>
      <c r="D760" s="12">
        <v>0</v>
      </c>
      <c r="E760" s="12">
        <v>0</v>
      </c>
      <c r="F760" s="12">
        <v>20</v>
      </c>
      <c r="G760" s="12">
        <v>0</v>
      </c>
      <c r="H760" s="12">
        <v>0</v>
      </c>
      <c r="I760" s="12" t="s">
        <v>137</v>
      </c>
      <c r="J760" s="6">
        <v>46318</v>
      </c>
      <c r="K760">
        <v>46318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 x14ac:dyDescent="0.25">
      <c r="A761" s="12" t="s">
        <v>60</v>
      </c>
      <c r="B761" s="12" t="s">
        <v>57</v>
      </c>
      <c r="C761" s="12" t="s">
        <v>14</v>
      </c>
      <c r="D761" s="12">
        <v>0</v>
      </c>
      <c r="E761" s="12">
        <v>0</v>
      </c>
      <c r="F761" s="12">
        <v>20</v>
      </c>
      <c r="G761" s="12">
        <v>0</v>
      </c>
      <c r="H761" s="12">
        <v>0</v>
      </c>
      <c r="I761" s="12" t="s">
        <v>140</v>
      </c>
      <c r="J761" s="6">
        <v>46319</v>
      </c>
      <c r="K761">
        <v>46319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 x14ac:dyDescent="0.25">
      <c r="A762" s="12" t="s">
        <v>60</v>
      </c>
      <c r="B762" s="12" t="s">
        <v>57</v>
      </c>
      <c r="C762" s="12" t="s">
        <v>15</v>
      </c>
      <c r="D762" s="12">
        <v>0</v>
      </c>
      <c r="E762" s="12">
        <v>0</v>
      </c>
      <c r="F762" s="12">
        <v>20</v>
      </c>
      <c r="G762" s="12">
        <v>0</v>
      </c>
      <c r="H762" s="12">
        <v>0</v>
      </c>
      <c r="I762" s="12" t="s">
        <v>139</v>
      </c>
      <c r="J762" s="6">
        <v>46319</v>
      </c>
      <c r="K762">
        <v>46319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 x14ac:dyDescent="0.25">
      <c r="A763" s="12" t="s">
        <v>60</v>
      </c>
      <c r="B763" s="12" t="s">
        <v>57</v>
      </c>
      <c r="C763" s="12" t="s">
        <v>13</v>
      </c>
      <c r="D763" s="12">
        <v>0</v>
      </c>
      <c r="E763" s="12">
        <v>0</v>
      </c>
      <c r="F763" s="12">
        <v>20</v>
      </c>
      <c r="G763" s="12">
        <v>0</v>
      </c>
      <c r="H763" s="12">
        <v>0</v>
      </c>
      <c r="I763" s="12" t="s">
        <v>141</v>
      </c>
      <c r="J763" s="6">
        <v>46319</v>
      </c>
      <c r="K763">
        <v>46319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 x14ac:dyDescent="0.25">
      <c r="A764" s="12" t="s">
        <v>60</v>
      </c>
      <c r="B764" s="12" t="s">
        <v>57</v>
      </c>
      <c r="C764" s="12" t="s">
        <v>14</v>
      </c>
      <c r="D764" s="12">
        <v>0</v>
      </c>
      <c r="E764" s="12">
        <v>0</v>
      </c>
      <c r="F764" s="12">
        <v>20</v>
      </c>
      <c r="G764" s="12">
        <v>0</v>
      </c>
      <c r="H764" s="12">
        <v>0</v>
      </c>
      <c r="I764" s="12" t="s">
        <v>143</v>
      </c>
      <c r="J764" s="6">
        <v>46320</v>
      </c>
      <c r="K764">
        <v>46320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 x14ac:dyDescent="0.25">
      <c r="A765" s="12" t="s">
        <v>60</v>
      </c>
      <c r="B765" s="12" t="s">
        <v>57</v>
      </c>
      <c r="C765" s="12" t="s">
        <v>13</v>
      </c>
      <c r="D765" s="12">
        <v>0</v>
      </c>
      <c r="E765" s="12">
        <v>0</v>
      </c>
      <c r="F765" s="12">
        <v>20</v>
      </c>
      <c r="G765" s="12">
        <v>0</v>
      </c>
      <c r="H765" s="12">
        <v>0</v>
      </c>
      <c r="I765" s="12" t="s">
        <v>144</v>
      </c>
      <c r="J765" s="6">
        <v>46320</v>
      </c>
      <c r="K765">
        <v>46320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 x14ac:dyDescent="0.25">
      <c r="A766" s="12" t="s">
        <v>60</v>
      </c>
      <c r="B766" s="12" t="s">
        <v>57</v>
      </c>
      <c r="C766" s="12" t="s">
        <v>15</v>
      </c>
      <c r="D766" s="12">
        <v>0</v>
      </c>
      <c r="E766" s="12">
        <v>0</v>
      </c>
      <c r="F766" s="12">
        <v>20</v>
      </c>
      <c r="G766" s="12">
        <v>0</v>
      </c>
      <c r="H766" s="12">
        <v>0</v>
      </c>
      <c r="I766" s="12" t="s">
        <v>142</v>
      </c>
      <c r="J766" s="6">
        <v>46320</v>
      </c>
      <c r="K766">
        <v>46320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 x14ac:dyDescent="0.25">
      <c r="A767" s="12" t="s">
        <v>58</v>
      </c>
      <c r="B767" s="12" t="s">
        <v>38</v>
      </c>
      <c r="C767" s="12" t="s">
        <v>13</v>
      </c>
      <c r="D767" s="12">
        <v>5.8508369812393415</v>
      </c>
      <c r="E767" s="12">
        <v>2.8499999999999996</v>
      </c>
      <c r="F767" s="12">
        <v>20</v>
      </c>
      <c r="G767" s="12">
        <v>2.8499999999999996</v>
      </c>
      <c r="H767" s="12">
        <v>2.585477941176471</v>
      </c>
      <c r="I767" s="12" t="s">
        <v>63</v>
      </c>
      <c r="J767" s="6">
        <v>46293</v>
      </c>
      <c r="K767">
        <v>46293</v>
      </c>
      <c r="L767">
        <v>0.48710979457101611</v>
      </c>
      <c r="M767">
        <v>0.48710979457101611</v>
      </c>
      <c r="N767">
        <v>0.44189881712082968</v>
      </c>
      <c r="O767">
        <v>2.0529252565752079</v>
      </c>
      <c r="P767">
        <v>2.0529252565752079</v>
      </c>
      <c r="Q767">
        <v>0.9071852425180601</v>
      </c>
      <c r="R767">
        <v>1.1023107003199428</v>
      </c>
      <c r="S767">
        <v>1.1023107003199428</v>
      </c>
      <c r="T767">
        <v>2.2629614772799154</v>
      </c>
    </row>
    <row r="768" spans="1:20" x14ac:dyDescent="0.25">
      <c r="A768" s="12" t="s">
        <v>58</v>
      </c>
      <c r="B768" s="12" t="s">
        <v>38</v>
      </c>
      <c r="C768" s="12" t="s">
        <v>14</v>
      </c>
      <c r="D768" s="12">
        <v>3.388720061532287</v>
      </c>
      <c r="E768" s="12">
        <v>7.6</v>
      </c>
      <c r="F768" s="12">
        <v>20</v>
      </c>
      <c r="G768" s="12">
        <v>7.6</v>
      </c>
      <c r="H768" s="12">
        <v>4.1513840830449817</v>
      </c>
      <c r="I768" s="12" t="s">
        <v>62</v>
      </c>
      <c r="J768" s="6">
        <v>46293</v>
      </c>
      <c r="K768">
        <v>46293</v>
      </c>
      <c r="L768">
        <v>2.242734679170721</v>
      </c>
      <c r="M768">
        <v>2.242734679170721</v>
      </c>
      <c r="N768">
        <v>1.2250596117897796</v>
      </c>
      <c r="O768">
        <v>0.44588421862266936</v>
      </c>
      <c r="P768">
        <v>0.44588421862266936</v>
      </c>
      <c r="Q768">
        <v>0.54623474776907655</v>
      </c>
      <c r="R768">
        <v>1.8307147322358828</v>
      </c>
      <c r="S768">
        <v>1.8307147322358828</v>
      </c>
      <c r="T768">
        <v>0.81628680790400598</v>
      </c>
    </row>
    <row r="769" spans="1:20" x14ac:dyDescent="0.25">
      <c r="A769" s="12" t="s">
        <v>58</v>
      </c>
      <c r="B769" s="12" t="s">
        <v>38</v>
      </c>
      <c r="C769" s="12" t="s">
        <v>15</v>
      </c>
      <c r="D769" s="12">
        <v>1.2801831343566421</v>
      </c>
      <c r="E769" s="12">
        <v>0.95</v>
      </c>
      <c r="F769" s="12">
        <v>20</v>
      </c>
      <c r="G769" s="12">
        <v>0.95</v>
      </c>
      <c r="H769" s="12">
        <v>0.94117647058823517</v>
      </c>
      <c r="I769" s="12" t="s">
        <v>61</v>
      </c>
      <c r="J769" s="6">
        <v>46293</v>
      </c>
      <c r="K769">
        <v>46293</v>
      </c>
      <c r="L769">
        <v>0.74208132766678248</v>
      </c>
      <c r="M769">
        <v>0.74208132766678248</v>
      </c>
      <c r="N769">
        <v>0.73518893143458319</v>
      </c>
      <c r="O769">
        <v>1.3475611940596233</v>
      </c>
      <c r="P769">
        <v>1.3475611940596233</v>
      </c>
      <c r="Q769">
        <v>0.99071207430340547</v>
      </c>
      <c r="R769">
        <v>1.0093750000000001</v>
      </c>
      <c r="S769">
        <v>1.0093750000000001</v>
      </c>
      <c r="T769">
        <v>1.3601945802539324</v>
      </c>
    </row>
    <row r="770" spans="1:20" x14ac:dyDescent="0.25">
      <c r="A770" s="12" t="s">
        <v>58</v>
      </c>
      <c r="B770" s="12" t="s">
        <v>38</v>
      </c>
      <c r="C770" s="12" t="s">
        <v>13</v>
      </c>
      <c r="D770" s="12">
        <v>5.8508369812393424</v>
      </c>
      <c r="E770" s="12">
        <v>4.75</v>
      </c>
      <c r="F770" s="12">
        <v>20</v>
      </c>
      <c r="G770" s="12">
        <v>4.75</v>
      </c>
      <c r="H770" s="12">
        <v>2.6443014705882359</v>
      </c>
      <c r="I770" s="12" t="s">
        <v>64</v>
      </c>
      <c r="J770" s="6">
        <v>46294</v>
      </c>
      <c r="K770">
        <v>46294</v>
      </c>
      <c r="L770">
        <v>0.81184965761836014</v>
      </c>
      <c r="M770">
        <v>0.81184965761836014</v>
      </c>
      <c r="N770">
        <v>0.45195268284984957</v>
      </c>
      <c r="O770">
        <v>1.2317551539451248</v>
      </c>
      <c r="P770">
        <v>1.2317551539451248</v>
      </c>
      <c r="Q770">
        <v>0.55669504643962864</v>
      </c>
      <c r="R770">
        <v>1.7963156065345842</v>
      </c>
      <c r="S770">
        <v>1.7963156065345842</v>
      </c>
      <c r="T770">
        <v>2.212621006461037</v>
      </c>
    </row>
    <row r="771" spans="1:20" x14ac:dyDescent="0.25">
      <c r="A771" s="12" t="s">
        <v>58</v>
      </c>
      <c r="B771" s="12" t="s">
        <v>38</v>
      </c>
      <c r="C771" s="12" t="s">
        <v>15</v>
      </c>
      <c r="D771" s="12">
        <v>1.2801831343566421</v>
      </c>
      <c r="E771" s="12">
        <v>0.95</v>
      </c>
      <c r="F771" s="12">
        <v>20</v>
      </c>
      <c r="G771" s="12">
        <v>0.95</v>
      </c>
      <c r="H771" s="12">
        <v>0.94117647058823517</v>
      </c>
      <c r="I771" s="12" t="s">
        <v>65</v>
      </c>
      <c r="J771" s="6">
        <v>46294</v>
      </c>
      <c r="K771">
        <v>46294</v>
      </c>
      <c r="L771">
        <v>0.74208132766678248</v>
      </c>
      <c r="M771">
        <v>0.74208132766678248</v>
      </c>
      <c r="N771">
        <v>0.73518893143458319</v>
      </c>
      <c r="O771">
        <v>1.3475611940596233</v>
      </c>
      <c r="P771">
        <v>1.3475611940596233</v>
      </c>
      <c r="Q771">
        <v>0.99071207430340547</v>
      </c>
      <c r="R771">
        <v>1.0093750000000001</v>
      </c>
      <c r="S771">
        <v>1.0093750000000001</v>
      </c>
      <c r="T771">
        <v>1.3601945802539324</v>
      </c>
    </row>
    <row r="772" spans="1:20" x14ac:dyDescent="0.25">
      <c r="A772" s="12" t="s">
        <v>58</v>
      </c>
      <c r="B772" s="12" t="s">
        <v>38</v>
      </c>
      <c r="C772" s="12" t="s">
        <v>14</v>
      </c>
      <c r="D772" s="12">
        <v>3.388720061532287</v>
      </c>
      <c r="E772" s="12">
        <v>7.6</v>
      </c>
      <c r="F772" s="12">
        <v>20</v>
      </c>
      <c r="G772" s="12">
        <v>7.6</v>
      </c>
      <c r="H772" s="12">
        <v>4.0925605536332172</v>
      </c>
      <c r="I772" s="12" t="s">
        <v>66</v>
      </c>
      <c r="J772" s="6">
        <v>46294</v>
      </c>
      <c r="K772">
        <v>46294</v>
      </c>
      <c r="L772">
        <v>2.242734679170721</v>
      </c>
      <c r="M772">
        <v>2.242734679170721</v>
      </c>
      <c r="N772">
        <v>1.2077009842420188</v>
      </c>
      <c r="O772">
        <v>0.44588421862266936</v>
      </c>
      <c r="P772">
        <v>0.44588421862266936</v>
      </c>
      <c r="Q772">
        <v>0.53849480968858121</v>
      </c>
      <c r="R772">
        <v>1.8570281124497994</v>
      </c>
      <c r="S772">
        <v>1.8570281124497994</v>
      </c>
      <c r="T772">
        <v>0.8280195288800094</v>
      </c>
    </row>
    <row r="773" spans="1:20" x14ac:dyDescent="0.25">
      <c r="A773" s="12" t="s">
        <v>58</v>
      </c>
      <c r="B773" s="12" t="s">
        <v>38</v>
      </c>
      <c r="C773" s="12" t="s">
        <v>13</v>
      </c>
      <c r="D773" s="12">
        <v>4.6506652927799896</v>
      </c>
      <c r="E773" s="12">
        <v>5.6999999999999993</v>
      </c>
      <c r="F773" s="12">
        <v>20</v>
      </c>
      <c r="G773" s="12">
        <v>5.6999999999999993</v>
      </c>
      <c r="H773" s="12">
        <v>2.9062500000000004</v>
      </c>
      <c r="I773" s="12" t="s">
        <v>67</v>
      </c>
      <c r="J773" s="6">
        <v>46295</v>
      </c>
      <c r="K773">
        <v>46295</v>
      </c>
      <c r="L773">
        <v>1.2256310960173953</v>
      </c>
      <c r="M773">
        <v>1.2256310960173953</v>
      </c>
      <c r="N773">
        <v>0.62491059171939578</v>
      </c>
      <c r="O773">
        <v>0.81590619171578771</v>
      </c>
      <c r="P773">
        <v>0.81590619171578771</v>
      </c>
      <c r="Q773">
        <v>0.50986842105263175</v>
      </c>
      <c r="R773">
        <v>1.9612903225806446</v>
      </c>
      <c r="S773">
        <v>1.9612903225806446</v>
      </c>
      <c r="T773">
        <v>1.6002289179458027</v>
      </c>
    </row>
    <row r="774" spans="1:20" x14ac:dyDescent="0.25">
      <c r="A774" s="12" t="s">
        <v>58</v>
      </c>
      <c r="B774" s="12" t="s">
        <v>38</v>
      </c>
      <c r="C774" s="12" t="s">
        <v>14</v>
      </c>
      <c r="D774" s="12">
        <v>3.9535067384543359</v>
      </c>
      <c r="E774" s="12">
        <v>7.6</v>
      </c>
      <c r="F774" s="12">
        <v>20</v>
      </c>
      <c r="G774" s="12">
        <v>7.6</v>
      </c>
      <c r="H774" s="12">
        <v>4.2577854671280253</v>
      </c>
      <c r="I774" s="12" t="s">
        <v>69</v>
      </c>
      <c r="J774" s="6">
        <v>46295</v>
      </c>
      <c r="K774">
        <v>46295</v>
      </c>
      <c r="L774">
        <v>1.9223440107177603</v>
      </c>
      <c r="M774">
        <v>1.9223440107177603</v>
      </c>
      <c r="N774">
        <v>1.0769642620598265</v>
      </c>
      <c r="O774">
        <v>0.52019825505978101</v>
      </c>
      <c r="P774">
        <v>0.52019825505978101</v>
      </c>
      <c r="Q774">
        <v>0.56023492988526646</v>
      </c>
      <c r="R774">
        <v>1.7849654611946373</v>
      </c>
      <c r="S774">
        <v>1.7849654611946373</v>
      </c>
      <c r="T774">
        <v>0.92853591825542758</v>
      </c>
    </row>
    <row r="775" spans="1:20" x14ac:dyDescent="0.25">
      <c r="A775" s="12" t="s">
        <v>58</v>
      </c>
      <c r="B775" s="12" t="s">
        <v>38</v>
      </c>
      <c r="C775" s="12" t="s">
        <v>15</v>
      </c>
      <c r="D775" s="12">
        <v>1.2801831343566421</v>
      </c>
      <c r="E775" s="12">
        <v>0.95</v>
      </c>
      <c r="F775" s="12">
        <v>20</v>
      </c>
      <c r="G775" s="12">
        <v>0.95</v>
      </c>
      <c r="H775" s="12">
        <v>0.94117647058823517</v>
      </c>
      <c r="I775" s="12" t="s">
        <v>68</v>
      </c>
      <c r="J775" s="6">
        <v>46295</v>
      </c>
      <c r="K775">
        <v>46295</v>
      </c>
      <c r="L775">
        <v>0.74208132766678248</v>
      </c>
      <c r="M775">
        <v>0.74208132766678248</v>
      </c>
      <c r="N775">
        <v>0.73518893143458319</v>
      </c>
      <c r="O775">
        <v>1.3475611940596233</v>
      </c>
      <c r="P775">
        <v>1.3475611940596233</v>
      </c>
      <c r="Q775">
        <v>0.99071207430340547</v>
      </c>
      <c r="R775">
        <v>1.0093750000000001</v>
      </c>
      <c r="S775">
        <v>1.0093750000000001</v>
      </c>
      <c r="T775">
        <v>1.3601945802539324</v>
      </c>
    </row>
    <row r="776" spans="1:20" x14ac:dyDescent="0.25">
      <c r="A776" s="12" t="s">
        <v>58</v>
      </c>
      <c r="B776" s="12" t="s">
        <v>38</v>
      </c>
      <c r="C776" s="12" t="s">
        <v>13</v>
      </c>
      <c r="D776" s="12">
        <v>6.000858442296761</v>
      </c>
      <c r="E776" s="12">
        <v>5.6999999999999993</v>
      </c>
      <c r="F776" s="12">
        <v>20</v>
      </c>
      <c r="G776" s="12">
        <v>5.6999999999999993</v>
      </c>
      <c r="H776" s="12">
        <v>3.0007739938080498</v>
      </c>
      <c r="I776" s="12" t="s">
        <v>70</v>
      </c>
      <c r="J776" s="6">
        <v>46296</v>
      </c>
      <c r="K776">
        <v>46296</v>
      </c>
      <c r="L776">
        <v>0.94986409941348138</v>
      </c>
      <c r="M776">
        <v>0.94986409941348138</v>
      </c>
      <c r="N776">
        <v>0.50005745388980338</v>
      </c>
      <c r="O776">
        <v>1.0527821828590811</v>
      </c>
      <c r="P776">
        <v>1.0527821828590811</v>
      </c>
      <c r="Q776">
        <v>0.52645157786106145</v>
      </c>
      <c r="R776">
        <v>1.8995099303585243</v>
      </c>
      <c r="S776">
        <v>1.8995099303585243</v>
      </c>
      <c r="T776">
        <v>1.9997702108453481</v>
      </c>
    </row>
    <row r="777" spans="1:20" x14ac:dyDescent="0.25">
      <c r="A777" s="12" t="s">
        <v>58</v>
      </c>
      <c r="B777" s="12" t="s">
        <v>38</v>
      </c>
      <c r="C777" s="12" t="s">
        <v>15</v>
      </c>
      <c r="D777" s="12">
        <v>1.2801831343566421</v>
      </c>
      <c r="E777" s="12">
        <v>0.95</v>
      </c>
      <c r="F777" s="12">
        <v>20</v>
      </c>
      <c r="G777" s="12">
        <v>0.95</v>
      </c>
      <c r="H777" s="12">
        <v>0.94117647058823517</v>
      </c>
      <c r="I777" s="12" t="s">
        <v>72</v>
      </c>
      <c r="J777" s="6">
        <v>46296</v>
      </c>
      <c r="K777">
        <v>46296</v>
      </c>
      <c r="L777">
        <v>0.74208132766678248</v>
      </c>
      <c r="M777">
        <v>0.74208132766678248</v>
      </c>
      <c r="N777">
        <v>0.73518893143458319</v>
      </c>
      <c r="O777">
        <v>1.3475611940596233</v>
      </c>
      <c r="P777">
        <v>1.3475611940596233</v>
      </c>
      <c r="Q777">
        <v>0.99071207430340547</v>
      </c>
      <c r="R777">
        <v>1.0093750000000001</v>
      </c>
      <c r="S777">
        <v>1.0093750000000001</v>
      </c>
      <c r="T777">
        <v>1.3601945802539324</v>
      </c>
    </row>
    <row r="778" spans="1:20" x14ac:dyDescent="0.25">
      <c r="A778" s="12" t="s">
        <v>58</v>
      </c>
      <c r="B778" s="12" t="s">
        <v>38</v>
      </c>
      <c r="C778" s="12" t="s">
        <v>14</v>
      </c>
      <c r="D778" s="12">
        <v>3.5299167307627997</v>
      </c>
      <c r="E778" s="12">
        <v>6.6499999999999995</v>
      </c>
      <c r="F778" s="12">
        <v>20</v>
      </c>
      <c r="G778" s="12">
        <v>6.6499999999999995</v>
      </c>
      <c r="H778" s="12">
        <v>3.0511746494263332</v>
      </c>
      <c r="I778" s="12" t="s">
        <v>71</v>
      </c>
      <c r="J778" s="6">
        <v>46296</v>
      </c>
      <c r="K778">
        <v>46296</v>
      </c>
      <c r="L778">
        <v>1.8838971305034051</v>
      </c>
      <c r="M778">
        <v>1.8838971305034051</v>
      </c>
      <c r="N778">
        <v>0.86437581454421097</v>
      </c>
      <c r="O778">
        <v>0.53081454597936839</v>
      </c>
      <c r="P778">
        <v>0.53081454597936839</v>
      </c>
      <c r="Q778">
        <v>0.4588232555528321</v>
      </c>
      <c r="R778">
        <v>2.1794884803628989</v>
      </c>
      <c r="S778">
        <v>2.1794884803628989</v>
      </c>
      <c r="T778">
        <v>1.1569041881710957</v>
      </c>
    </row>
    <row r="779" spans="1:20" x14ac:dyDescent="0.25">
      <c r="A779" s="12" t="s">
        <v>58</v>
      </c>
      <c r="B779" s="12" t="s">
        <v>38</v>
      </c>
      <c r="C779" s="12" t="s">
        <v>13</v>
      </c>
      <c r="D779" s="12">
        <v>4.8006867538374083</v>
      </c>
      <c r="E779" s="12">
        <v>4.75</v>
      </c>
      <c r="F779" s="12">
        <v>20</v>
      </c>
      <c r="G779" s="12">
        <v>4.75</v>
      </c>
      <c r="H779" s="12">
        <v>2.882352941176471</v>
      </c>
      <c r="I779" s="12" t="s">
        <v>73</v>
      </c>
      <c r="J779" s="6">
        <v>46297</v>
      </c>
      <c r="K779">
        <v>46297</v>
      </c>
      <c r="L779">
        <v>0.98944177022237656</v>
      </c>
      <c r="M779">
        <v>0.98944177022237656</v>
      </c>
      <c r="N779">
        <v>0.60040429400490969</v>
      </c>
      <c r="O779">
        <v>1.0106708955447175</v>
      </c>
      <c r="P779">
        <v>1.0106708955447175</v>
      </c>
      <c r="Q779">
        <v>0.60681114551083604</v>
      </c>
      <c r="R779">
        <v>1.6479591836734691</v>
      </c>
      <c r="S779">
        <v>1.6479591836734691</v>
      </c>
      <c r="T779">
        <v>1.6655443839844066</v>
      </c>
    </row>
    <row r="780" spans="1:20" x14ac:dyDescent="0.25">
      <c r="A780" s="12" t="s">
        <v>58</v>
      </c>
      <c r="B780" s="12" t="s">
        <v>38</v>
      </c>
      <c r="C780" s="12" t="s">
        <v>15</v>
      </c>
      <c r="D780" s="12">
        <v>1.2801831343566421</v>
      </c>
      <c r="E780" s="12">
        <v>0.95</v>
      </c>
      <c r="F780" s="12">
        <v>20</v>
      </c>
      <c r="G780" s="12">
        <v>0.95</v>
      </c>
      <c r="H780" s="12">
        <v>0.94117647058823517</v>
      </c>
      <c r="I780" s="12" t="s">
        <v>74</v>
      </c>
      <c r="J780" s="6">
        <v>46297</v>
      </c>
      <c r="K780">
        <v>46297</v>
      </c>
      <c r="L780">
        <v>0.74208132766678248</v>
      </c>
      <c r="M780">
        <v>0.74208132766678248</v>
      </c>
      <c r="N780">
        <v>0.73518893143458319</v>
      </c>
      <c r="O780">
        <v>1.3475611940596233</v>
      </c>
      <c r="P780">
        <v>1.3475611940596233</v>
      </c>
      <c r="Q780">
        <v>0.99071207430340547</v>
      </c>
      <c r="R780">
        <v>1.0093750000000001</v>
      </c>
      <c r="S780">
        <v>1.0093750000000001</v>
      </c>
      <c r="T780">
        <v>1.3601945802539324</v>
      </c>
    </row>
    <row r="781" spans="1:20" x14ac:dyDescent="0.25">
      <c r="A781" s="12" t="s">
        <v>58</v>
      </c>
      <c r="B781" s="12" t="s">
        <v>38</v>
      </c>
      <c r="C781" s="12" t="s">
        <v>14</v>
      </c>
      <c r="D781" s="12">
        <v>2.2591467076881915</v>
      </c>
      <c r="E781" s="12">
        <v>5.6999999999999993</v>
      </c>
      <c r="F781" s="12">
        <v>20</v>
      </c>
      <c r="G781" s="12">
        <v>5.6999999999999993</v>
      </c>
      <c r="H781" s="12">
        <v>2.1038062283737027</v>
      </c>
      <c r="I781" s="12" t="s">
        <v>75</v>
      </c>
      <c r="J781" s="6">
        <v>46297</v>
      </c>
      <c r="K781">
        <v>46297</v>
      </c>
      <c r="L781">
        <v>2.5230765140670606</v>
      </c>
      <c r="M781">
        <v>2.5230765140670606</v>
      </c>
      <c r="N781">
        <v>0.93123931315047248</v>
      </c>
      <c r="O781">
        <v>0.39634152766459507</v>
      </c>
      <c r="P781">
        <v>0.39634152766459507</v>
      </c>
      <c r="Q781">
        <v>0.36908881199538646</v>
      </c>
      <c r="R781">
        <v>2.7093749999999992</v>
      </c>
      <c r="S781">
        <v>2.7093749999999992</v>
      </c>
      <c r="T781">
        <v>1.073837826516262</v>
      </c>
    </row>
    <row r="782" spans="1:20" x14ac:dyDescent="0.25">
      <c r="A782" s="12" t="s">
        <v>58</v>
      </c>
      <c r="B782" s="12" t="s">
        <v>38</v>
      </c>
      <c r="C782" s="12" t="s">
        <v>15</v>
      </c>
      <c r="D782" s="12">
        <v>1.2801831343566421</v>
      </c>
      <c r="E782" s="12">
        <v>0.95</v>
      </c>
      <c r="F782" s="12">
        <v>20</v>
      </c>
      <c r="G782" s="12">
        <v>0.95</v>
      </c>
      <c r="H782" s="12">
        <v>0.94117647058823517</v>
      </c>
      <c r="I782" s="12" t="s">
        <v>76</v>
      </c>
      <c r="J782" s="6">
        <v>46298</v>
      </c>
      <c r="K782">
        <v>46298</v>
      </c>
      <c r="L782">
        <v>0.74208132766678248</v>
      </c>
      <c r="M782">
        <v>0.74208132766678248</v>
      </c>
      <c r="N782">
        <v>0.73518893143458319</v>
      </c>
      <c r="O782">
        <v>1.3475611940596233</v>
      </c>
      <c r="P782">
        <v>1.3475611940596233</v>
      </c>
      <c r="Q782">
        <v>0.99071207430340547</v>
      </c>
      <c r="R782">
        <v>1.0093750000000001</v>
      </c>
      <c r="S782">
        <v>1.0093750000000001</v>
      </c>
      <c r="T782">
        <v>1.3601945802539324</v>
      </c>
    </row>
    <row r="783" spans="1:20" x14ac:dyDescent="0.25">
      <c r="A783" s="12" t="s">
        <v>58</v>
      </c>
      <c r="B783" s="12" t="s">
        <v>38</v>
      </c>
      <c r="C783" s="12" t="s">
        <v>14</v>
      </c>
      <c r="D783" s="12">
        <v>3.388720061532287</v>
      </c>
      <c r="E783" s="12">
        <v>7.6</v>
      </c>
      <c r="F783" s="12">
        <v>20</v>
      </c>
      <c r="G783" s="12">
        <v>7.6</v>
      </c>
      <c r="H783" s="12">
        <v>3.9273356401384079</v>
      </c>
      <c r="I783" s="12" t="s">
        <v>78</v>
      </c>
      <c r="J783" s="6">
        <v>46298</v>
      </c>
      <c r="K783">
        <v>46298</v>
      </c>
      <c r="L783">
        <v>2.242734679170721</v>
      </c>
      <c r="M783">
        <v>2.242734679170721</v>
      </c>
      <c r="N783">
        <v>1.1589436627475724</v>
      </c>
      <c r="O783">
        <v>0.44588421862266936</v>
      </c>
      <c r="P783">
        <v>0.44588421862266936</v>
      </c>
      <c r="Q783">
        <v>0.51675468949189585</v>
      </c>
      <c r="R783">
        <v>1.9351541850220266</v>
      </c>
      <c r="S783">
        <v>1.9351541850220266</v>
      </c>
      <c r="T783">
        <v>0.86285471170293482</v>
      </c>
    </row>
    <row r="784" spans="1:20" x14ac:dyDescent="0.25">
      <c r="A784" s="12" t="s">
        <v>58</v>
      </c>
      <c r="B784" s="12" t="s">
        <v>38</v>
      </c>
      <c r="C784" s="12" t="s">
        <v>13</v>
      </c>
      <c r="D784" s="12">
        <v>3.6005150653780569</v>
      </c>
      <c r="E784" s="12">
        <v>5.6999999999999993</v>
      </c>
      <c r="F784" s="12">
        <v>20</v>
      </c>
      <c r="G784" s="12">
        <v>5.6999999999999993</v>
      </c>
      <c r="H784" s="12">
        <v>3.8198529411764688</v>
      </c>
      <c r="I784" s="12" t="s">
        <v>77</v>
      </c>
      <c r="J784" s="6">
        <v>46298</v>
      </c>
      <c r="K784">
        <v>46298</v>
      </c>
      <c r="L784">
        <v>1.5831068323558022</v>
      </c>
      <c r="M784">
        <v>1.5831068323558022</v>
      </c>
      <c r="N784">
        <v>1.060918471889627</v>
      </c>
      <c r="O784">
        <v>0.63166930971544866</v>
      </c>
      <c r="P784">
        <v>0.63166930971544866</v>
      </c>
      <c r="Q784">
        <v>0.67014963880288936</v>
      </c>
      <c r="R784">
        <v>1.4922040423484124</v>
      </c>
      <c r="S784">
        <v>1.4922040423484124</v>
      </c>
      <c r="T784">
        <v>0.94257949738482383</v>
      </c>
    </row>
    <row r="785" spans="1:20" x14ac:dyDescent="0.25">
      <c r="A785" s="12" t="s">
        <v>58</v>
      </c>
      <c r="B785" s="12" t="s">
        <v>38</v>
      </c>
      <c r="C785" s="12" t="s">
        <v>13</v>
      </c>
      <c r="D785" s="12">
        <v>4.7256760233086981</v>
      </c>
      <c r="E785" s="12">
        <v>4.75</v>
      </c>
      <c r="F785" s="12">
        <v>20</v>
      </c>
      <c r="G785" s="12">
        <v>4.75</v>
      </c>
      <c r="H785" s="12">
        <v>3.5854779411764692</v>
      </c>
      <c r="I785" s="12" t="s">
        <v>79</v>
      </c>
      <c r="J785" s="6">
        <v>46299</v>
      </c>
      <c r="K785">
        <v>46299</v>
      </c>
      <c r="L785">
        <v>1.0051471951465414</v>
      </c>
      <c r="M785">
        <v>1.0051471951465414</v>
      </c>
      <c r="N785">
        <v>0.75872275701754199</v>
      </c>
      <c r="O785">
        <v>0.9948791628018312</v>
      </c>
      <c r="P785">
        <v>0.9948791628018312</v>
      </c>
      <c r="Q785">
        <v>0.75483746130030926</v>
      </c>
      <c r="R785">
        <v>1.3247885157651889</v>
      </c>
      <c r="S785">
        <v>1.3247885157651889</v>
      </c>
      <c r="T785">
        <v>1.3180044894539518</v>
      </c>
    </row>
    <row r="786" spans="1:20" x14ac:dyDescent="0.25">
      <c r="A786" s="12" t="s">
        <v>58</v>
      </c>
      <c r="B786" s="12" t="s">
        <v>38</v>
      </c>
      <c r="C786" s="12" t="s">
        <v>15</v>
      </c>
      <c r="D786" s="12">
        <v>1.2801831343566421</v>
      </c>
      <c r="E786" s="12">
        <v>0.95</v>
      </c>
      <c r="F786" s="12">
        <v>20</v>
      </c>
      <c r="G786" s="12">
        <v>0.95</v>
      </c>
      <c r="H786" s="12">
        <v>0.94117647058823517</v>
      </c>
      <c r="I786" s="12" t="s">
        <v>81</v>
      </c>
      <c r="J786" s="6">
        <v>46299</v>
      </c>
      <c r="K786">
        <v>46299</v>
      </c>
      <c r="L786">
        <v>0.74208132766678248</v>
      </c>
      <c r="M786">
        <v>0.74208132766678248</v>
      </c>
      <c r="N786">
        <v>0.73518893143458319</v>
      </c>
      <c r="O786">
        <v>1.3475611940596233</v>
      </c>
      <c r="P786">
        <v>1.3475611940596233</v>
      </c>
      <c r="Q786">
        <v>0.99071207430340547</v>
      </c>
      <c r="R786">
        <v>1.0093750000000001</v>
      </c>
      <c r="S786">
        <v>1.0093750000000001</v>
      </c>
      <c r="T786">
        <v>1.3601945802539324</v>
      </c>
    </row>
    <row r="787" spans="1:20" x14ac:dyDescent="0.25">
      <c r="A787" s="12" t="s">
        <v>58</v>
      </c>
      <c r="B787" s="12" t="s">
        <v>38</v>
      </c>
      <c r="C787" s="12" t="s">
        <v>14</v>
      </c>
      <c r="D787" s="12">
        <v>3.388720061532287</v>
      </c>
      <c r="E787" s="12">
        <v>7.6</v>
      </c>
      <c r="F787" s="12">
        <v>20</v>
      </c>
      <c r="G787" s="12">
        <v>7.6</v>
      </c>
      <c r="H787" s="12">
        <v>3.2655709342560546</v>
      </c>
      <c r="I787" s="12" t="s">
        <v>80</v>
      </c>
      <c r="J787" s="6">
        <v>46299</v>
      </c>
      <c r="K787">
        <v>46299</v>
      </c>
      <c r="L787">
        <v>2.242734679170721</v>
      </c>
      <c r="M787">
        <v>2.242734679170721</v>
      </c>
      <c r="N787">
        <v>0.96365910283526113</v>
      </c>
      <c r="O787">
        <v>0.44588421862266936</v>
      </c>
      <c r="P787">
        <v>0.44588421862266936</v>
      </c>
      <c r="Q787">
        <v>0.42968038608632297</v>
      </c>
      <c r="R787">
        <v>2.3273112582781463</v>
      </c>
      <c r="S787">
        <v>2.3273112582781463</v>
      </c>
      <c r="T787">
        <v>1.0377113618890925</v>
      </c>
    </row>
    <row r="788" spans="1:20" x14ac:dyDescent="0.25">
      <c r="A788" s="12" t="s">
        <v>58</v>
      </c>
      <c r="B788" s="12" t="s">
        <v>38</v>
      </c>
      <c r="C788" s="12" t="s">
        <v>15</v>
      </c>
      <c r="D788" s="12">
        <v>1.2801831343566421</v>
      </c>
      <c r="E788" s="12">
        <v>0</v>
      </c>
      <c r="F788" s="12">
        <v>20</v>
      </c>
      <c r="G788" s="12">
        <v>0</v>
      </c>
      <c r="H788" s="12">
        <v>0</v>
      </c>
      <c r="I788" s="12" t="s">
        <v>82</v>
      </c>
      <c r="J788" s="6">
        <v>46300</v>
      </c>
      <c r="K788">
        <v>46300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 x14ac:dyDescent="0.25">
      <c r="A789" s="12" t="s">
        <v>58</v>
      </c>
      <c r="B789" s="12" t="s">
        <v>38</v>
      </c>
      <c r="C789" s="12" t="s">
        <v>13</v>
      </c>
      <c r="D789" s="12">
        <v>3.5255043348493471</v>
      </c>
      <c r="E789" s="12">
        <v>3.8</v>
      </c>
      <c r="F789" s="12">
        <v>20</v>
      </c>
      <c r="G789" s="12">
        <v>3.8</v>
      </c>
      <c r="H789" s="12">
        <v>2.8786764705882355</v>
      </c>
      <c r="I789" s="12" t="s">
        <v>84</v>
      </c>
      <c r="J789" s="6">
        <v>46300</v>
      </c>
      <c r="K789">
        <v>46300</v>
      </c>
      <c r="L789">
        <v>1.0778599709656527</v>
      </c>
      <c r="M789">
        <v>1.0778599709656527</v>
      </c>
      <c r="N789">
        <v>0.81652898342309033</v>
      </c>
      <c r="O789">
        <v>0.92776429864456511</v>
      </c>
      <c r="P789">
        <v>0.92776429864456511</v>
      </c>
      <c r="Q789">
        <v>0.75754643962848311</v>
      </c>
      <c r="R789">
        <v>1.3200510855683267</v>
      </c>
      <c r="S789">
        <v>1.3200510855683267</v>
      </c>
      <c r="T789">
        <v>1.2246962695772954</v>
      </c>
    </row>
    <row r="790" spans="1:20" x14ac:dyDescent="0.25">
      <c r="A790" s="12" t="s">
        <v>58</v>
      </c>
      <c r="B790" s="12" t="s">
        <v>38</v>
      </c>
      <c r="C790" s="12" t="s">
        <v>14</v>
      </c>
      <c r="D790" s="12">
        <v>3.388720061532287</v>
      </c>
      <c r="E790" s="12">
        <v>4.75</v>
      </c>
      <c r="F790" s="12">
        <v>20</v>
      </c>
      <c r="G790" s="12">
        <v>4.75</v>
      </c>
      <c r="H790" s="12">
        <v>2.9342560553633215</v>
      </c>
      <c r="I790" s="12" t="s">
        <v>83</v>
      </c>
      <c r="J790" s="6">
        <v>46300</v>
      </c>
      <c r="K790">
        <v>46300</v>
      </c>
      <c r="L790">
        <v>1.4017091744817007</v>
      </c>
      <c r="M790">
        <v>1.4017091744817007</v>
      </c>
      <c r="N790">
        <v>0.86588918591184272</v>
      </c>
      <c r="O790">
        <v>0.71341474979627095</v>
      </c>
      <c r="P790">
        <v>0.71341474979627095</v>
      </c>
      <c r="Q790">
        <v>0.61773811691859404</v>
      </c>
      <c r="R790">
        <v>1.6188089622641511</v>
      </c>
      <c r="S790">
        <v>1.6188089622641511</v>
      </c>
      <c r="T790">
        <v>1.1548821907816404</v>
      </c>
    </row>
    <row r="791" spans="1:20" x14ac:dyDescent="0.25">
      <c r="A791" s="12" t="s">
        <v>58</v>
      </c>
      <c r="B791" s="12" t="s">
        <v>38</v>
      </c>
      <c r="C791" s="12" t="s">
        <v>14</v>
      </c>
      <c r="D791" s="12">
        <v>3.388720061532287</v>
      </c>
      <c r="E791" s="12">
        <v>8.5499999999999989</v>
      </c>
      <c r="F791" s="12">
        <v>20</v>
      </c>
      <c r="G791" s="12">
        <v>8.5499999999999989</v>
      </c>
      <c r="H791" s="12">
        <v>3.2964244521337935</v>
      </c>
      <c r="I791" s="12" t="s">
        <v>85</v>
      </c>
      <c r="J791" s="6">
        <v>46301</v>
      </c>
      <c r="K791">
        <v>46301</v>
      </c>
      <c r="L791">
        <v>2.523076514067061</v>
      </c>
      <c r="M791">
        <v>2.523076514067061</v>
      </c>
      <c r="N791">
        <v>0.97276387316668467</v>
      </c>
      <c r="O791">
        <v>0.39634152766459502</v>
      </c>
      <c r="P791">
        <v>0.39634152766459502</v>
      </c>
      <c r="Q791">
        <v>0.38554671954781217</v>
      </c>
      <c r="R791">
        <v>2.593719384184745</v>
      </c>
      <c r="S791">
        <v>2.593719384184745</v>
      </c>
      <c r="T791">
        <v>1.0279987030610545</v>
      </c>
    </row>
    <row r="792" spans="1:20" x14ac:dyDescent="0.25">
      <c r="A792" s="12" t="s">
        <v>58</v>
      </c>
      <c r="B792" s="12" t="s">
        <v>38</v>
      </c>
      <c r="C792" s="12" t="s">
        <v>13</v>
      </c>
      <c r="D792" s="12">
        <v>7.0510086696986942</v>
      </c>
      <c r="E792" s="12">
        <v>5.6999999999999993</v>
      </c>
      <c r="F792" s="12">
        <v>20</v>
      </c>
      <c r="G792" s="12">
        <v>5.6999999999999993</v>
      </c>
      <c r="H792" s="12">
        <v>4.8688725490196072</v>
      </c>
      <c r="I792" s="12" t="s">
        <v>87</v>
      </c>
      <c r="J792" s="6">
        <v>46301</v>
      </c>
      <c r="K792">
        <v>46301</v>
      </c>
      <c r="L792">
        <v>0.80839497822423945</v>
      </c>
      <c r="M792">
        <v>0.80839497822423945</v>
      </c>
      <c r="N792">
        <v>0.69052142425286012</v>
      </c>
      <c r="O792">
        <v>1.2370190648594201</v>
      </c>
      <c r="P792">
        <v>1.2370190648594201</v>
      </c>
      <c r="Q792">
        <v>0.854188166494668</v>
      </c>
      <c r="R792">
        <v>1.1707022401208156</v>
      </c>
      <c r="S792">
        <v>1.1707022401208156</v>
      </c>
      <c r="T792">
        <v>1.4481809903030796</v>
      </c>
    </row>
    <row r="793" spans="1:20" x14ac:dyDescent="0.25">
      <c r="A793" s="12" t="s">
        <v>58</v>
      </c>
      <c r="B793" s="12" t="s">
        <v>38</v>
      </c>
      <c r="C793" s="12" t="s">
        <v>15</v>
      </c>
      <c r="D793" s="12">
        <v>1.2801831343566421</v>
      </c>
      <c r="E793" s="12">
        <v>0.95</v>
      </c>
      <c r="F793" s="12">
        <v>20</v>
      </c>
      <c r="G793" s="12">
        <v>0.95</v>
      </c>
      <c r="H793" s="12">
        <v>0.94117647058823517</v>
      </c>
      <c r="I793" s="12" t="s">
        <v>86</v>
      </c>
      <c r="J793" s="6">
        <v>46301</v>
      </c>
      <c r="K793">
        <v>46301</v>
      </c>
      <c r="L793">
        <v>0.74208132766678248</v>
      </c>
      <c r="M793">
        <v>0.74208132766678248</v>
      </c>
      <c r="N793">
        <v>0.73518893143458319</v>
      </c>
      <c r="O793">
        <v>1.3475611940596233</v>
      </c>
      <c r="P793">
        <v>1.3475611940596233</v>
      </c>
      <c r="Q793">
        <v>0.99071207430340547</v>
      </c>
      <c r="R793">
        <v>1.0093750000000001</v>
      </c>
      <c r="S793">
        <v>1.0093750000000001</v>
      </c>
      <c r="T793">
        <v>1.3601945802539324</v>
      </c>
    </row>
    <row r="794" spans="1:20" x14ac:dyDescent="0.25">
      <c r="A794" s="12" t="s">
        <v>58</v>
      </c>
      <c r="B794" s="12" t="s">
        <v>38</v>
      </c>
      <c r="C794" s="12" t="s">
        <v>14</v>
      </c>
      <c r="D794" s="12">
        <v>3.3181217269170316</v>
      </c>
      <c r="E794" s="12">
        <v>7.6</v>
      </c>
      <c r="F794" s="12">
        <v>20</v>
      </c>
      <c r="G794" s="12">
        <v>7.6</v>
      </c>
      <c r="H794" s="12">
        <v>2.6538062283737021</v>
      </c>
      <c r="I794" s="12" t="s">
        <v>88</v>
      </c>
      <c r="J794" s="6">
        <v>46302</v>
      </c>
      <c r="K794">
        <v>46302</v>
      </c>
      <c r="L794">
        <v>2.2904524383020126</v>
      </c>
      <c r="M794">
        <v>2.2904524383020126</v>
      </c>
      <c r="N794">
        <v>0.79979170349468598</v>
      </c>
      <c r="O794">
        <v>0.4365949640680305</v>
      </c>
      <c r="P794">
        <v>0.4365949640680305</v>
      </c>
      <c r="Q794">
        <v>0.34918503004917134</v>
      </c>
      <c r="R794">
        <v>2.8638112002086187</v>
      </c>
      <c r="S794">
        <v>2.8638112002086187</v>
      </c>
      <c r="T794">
        <v>1.2503255480527051</v>
      </c>
    </row>
    <row r="795" spans="1:20" x14ac:dyDescent="0.25">
      <c r="A795" s="12" t="s">
        <v>58</v>
      </c>
      <c r="B795" s="12" t="s">
        <v>38</v>
      </c>
      <c r="C795" s="12" t="s">
        <v>15</v>
      </c>
      <c r="D795" s="12">
        <v>1.2801831343566421</v>
      </c>
      <c r="E795" s="12">
        <v>0.95</v>
      </c>
      <c r="F795" s="12">
        <v>20</v>
      </c>
      <c r="G795" s="12">
        <v>0.95</v>
      </c>
      <c r="H795" s="12">
        <v>0.94117647058823517</v>
      </c>
      <c r="I795" s="12" t="s">
        <v>89</v>
      </c>
      <c r="J795" s="6">
        <v>46302</v>
      </c>
      <c r="K795">
        <v>46302</v>
      </c>
      <c r="L795">
        <v>0.74208132766678248</v>
      </c>
      <c r="M795">
        <v>0.74208132766678248</v>
      </c>
      <c r="N795">
        <v>0.73518893143458319</v>
      </c>
      <c r="O795">
        <v>1.3475611940596233</v>
      </c>
      <c r="P795">
        <v>1.3475611940596233</v>
      </c>
      <c r="Q795">
        <v>0.99071207430340547</v>
      </c>
      <c r="R795">
        <v>1.0093750000000001</v>
      </c>
      <c r="S795">
        <v>1.0093750000000001</v>
      </c>
      <c r="T795">
        <v>1.3601945802539324</v>
      </c>
    </row>
    <row r="796" spans="1:20" x14ac:dyDescent="0.25">
      <c r="A796" s="12" t="s">
        <v>58</v>
      </c>
      <c r="B796" s="12" t="s">
        <v>38</v>
      </c>
      <c r="C796" s="12" t="s">
        <v>13</v>
      </c>
      <c r="D796" s="12">
        <v>5.8508369812393415</v>
      </c>
      <c r="E796" s="12">
        <v>6.6499999999999995</v>
      </c>
      <c r="F796" s="12">
        <v>20</v>
      </c>
      <c r="G796" s="12">
        <v>6.6499999999999995</v>
      </c>
      <c r="H796" s="12">
        <v>4.1104779411764687</v>
      </c>
      <c r="I796" s="12" t="s">
        <v>90</v>
      </c>
      <c r="J796" s="6">
        <v>46302</v>
      </c>
      <c r="K796">
        <v>46302</v>
      </c>
      <c r="L796">
        <v>1.1365895206657044</v>
      </c>
      <c r="M796">
        <v>1.1365895206657044</v>
      </c>
      <c r="N796">
        <v>0.70254528614567124</v>
      </c>
      <c r="O796">
        <v>0.87982510996080332</v>
      </c>
      <c r="P796">
        <v>0.87982510996080332</v>
      </c>
      <c r="Q796">
        <v>0.61811698363555923</v>
      </c>
      <c r="R796">
        <v>1.6178167344930912</v>
      </c>
      <c r="S796">
        <v>1.6178167344930912</v>
      </c>
      <c r="T796">
        <v>1.4233957863218116</v>
      </c>
    </row>
    <row r="797" spans="1:20" x14ac:dyDescent="0.25">
      <c r="A797" s="12" t="s">
        <v>58</v>
      </c>
      <c r="B797" s="12" t="s">
        <v>38</v>
      </c>
      <c r="C797" s="12" t="s">
        <v>14</v>
      </c>
      <c r="D797" s="12">
        <v>3.388720061532287</v>
      </c>
      <c r="E797" s="12">
        <v>7.6</v>
      </c>
      <c r="F797" s="12">
        <v>20</v>
      </c>
      <c r="G797" s="12">
        <v>7.6</v>
      </c>
      <c r="H797" s="12">
        <v>3.3743944636678194</v>
      </c>
      <c r="I797" s="12" t="s">
        <v>91</v>
      </c>
      <c r="J797" s="6">
        <v>46303</v>
      </c>
      <c r="K797">
        <v>46303</v>
      </c>
      <c r="L797">
        <v>2.242734679170721</v>
      </c>
      <c r="M797">
        <v>2.242734679170721</v>
      </c>
      <c r="N797">
        <v>0.995772563798619</v>
      </c>
      <c r="O797">
        <v>0.44588421862266936</v>
      </c>
      <c r="P797">
        <v>0.44588421862266936</v>
      </c>
      <c r="Q797">
        <v>0.44399927153523944</v>
      </c>
      <c r="R797">
        <v>2.2522559474979493</v>
      </c>
      <c r="S797">
        <v>2.2522559474979493</v>
      </c>
      <c r="T797">
        <v>1.0042453832883831</v>
      </c>
    </row>
    <row r="798" spans="1:20" x14ac:dyDescent="0.25">
      <c r="A798" s="12" t="s">
        <v>58</v>
      </c>
      <c r="B798" s="12" t="s">
        <v>38</v>
      </c>
      <c r="C798" s="12" t="s">
        <v>13</v>
      </c>
      <c r="D798" s="12">
        <v>5.7758262507106339</v>
      </c>
      <c r="E798" s="12">
        <v>5.6999999999999993</v>
      </c>
      <c r="F798" s="12">
        <v>20</v>
      </c>
      <c r="G798" s="12">
        <v>5.6999999999999993</v>
      </c>
      <c r="H798" s="12">
        <v>3.4073529411764705</v>
      </c>
      <c r="I798" s="12" t="s">
        <v>93</v>
      </c>
      <c r="J798" s="6">
        <v>46303</v>
      </c>
      <c r="K798">
        <v>46303</v>
      </c>
      <c r="L798">
        <v>0.98687179159842187</v>
      </c>
      <c r="M798">
        <v>0.98687179159842187</v>
      </c>
      <c r="N798">
        <v>0.58993342134508353</v>
      </c>
      <c r="O798">
        <v>1.0133028510018658</v>
      </c>
      <c r="P798">
        <v>1.0133028510018658</v>
      </c>
      <c r="Q798">
        <v>0.59778121775025805</v>
      </c>
      <c r="R798">
        <v>1.6728528269313767</v>
      </c>
      <c r="S798">
        <v>1.6728528269313767</v>
      </c>
      <c r="T798">
        <v>1.6951065388360946</v>
      </c>
    </row>
    <row r="799" spans="1:20" x14ac:dyDescent="0.25">
      <c r="A799" s="12" t="s">
        <v>58</v>
      </c>
      <c r="B799" s="12" t="s">
        <v>38</v>
      </c>
      <c r="C799" s="12" t="s">
        <v>15</v>
      </c>
      <c r="D799" s="12">
        <v>1.2801831343566421</v>
      </c>
      <c r="E799" s="12">
        <v>0.95</v>
      </c>
      <c r="F799" s="12">
        <v>20</v>
      </c>
      <c r="G799" s="12">
        <v>0.95</v>
      </c>
      <c r="H799" s="12">
        <v>0.94117647058823517</v>
      </c>
      <c r="I799" s="12" t="s">
        <v>92</v>
      </c>
      <c r="J799" s="6">
        <v>46303</v>
      </c>
      <c r="K799">
        <v>46303</v>
      </c>
      <c r="L799">
        <v>0.74208132766678248</v>
      </c>
      <c r="M799">
        <v>0.74208132766678248</v>
      </c>
      <c r="N799">
        <v>0.73518893143458319</v>
      </c>
      <c r="O799">
        <v>1.3475611940596233</v>
      </c>
      <c r="P799">
        <v>1.3475611940596233</v>
      </c>
      <c r="Q799">
        <v>0.99071207430340547</v>
      </c>
      <c r="R799">
        <v>1.0093750000000001</v>
      </c>
      <c r="S799">
        <v>1.0093750000000001</v>
      </c>
      <c r="T799">
        <v>1.3601945802539324</v>
      </c>
    </row>
    <row r="800" spans="1:20" x14ac:dyDescent="0.25">
      <c r="A800" s="12" t="s">
        <v>58</v>
      </c>
      <c r="B800" s="12" t="s">
        <v>38</v>
      </c>
      <c r="C800" s="12" t="s">
        <v>13</v>
      </c>
      <c r="D800" s="12">
        <v>4.5756545622512785</v>
      </c>
      <c r="E800" s="12">
        <v>3.8</v>
      </c>
      <c r="F800" s="12">
        <v>20</v>
      </c>
      <c r="G800" s="12">
        <v>3.8</v>
      </c>
      <c r="H800" s="12">
        <v>2.4073529411764714</v>
      </c>
      <c r="I800" s="12" t="s">
        <v>95</v>
      </c>
      <c r="J800" s="6">
        <v>46304</v>
      </c>
      <c r="K800">
        <v>46304</v>
      </c>
      <c r="L800">
        <v>0.83048227271124087</v>
      </c>
      <c r="M800">
        <v>0.83048227271124087</v>
      </c>
      <c r="N800">
        <v>0.5261220899490332</v>
      </c>
      <c r="O800">
        <v>1.2041196216450734</v>
      </c>
      <c r="P800">
        <v>1.2041196216450734</v>
      </c>
      <c r="Q800">
        <v>0.6335139318885451</v>
      </c>
      <c r="R800">
        <v>1.5784972510690281</v>
      </c>
      <c r="S800">
        <v>1.5784972510690281</v>
      </c>
      <c r="T800">
        <v>1.9006995127250266</v>
      </c>
    </row>
    <row r="801" spans="1:20" x14ac:dyDescent="0.25">
      <c r="A801" s="12" t="s">
        <v>58</v>
      </c>
      <c r="B801" s="12" t="s">
        <v>38</v>
      </c>
      <c r="C801" s="12" t="s">
        <v>15</v>
      </c>
      <c r="D801" s="12">
        <v>1.2801831343566421</v>
      </c>
      <c r="E801" s="12">
        <v>0.95</v>
      </c>
      <c r="F801" s="12">
        <v>20</v>
      </c>
      <c r="G801" s="12">
        <v>0.95</v>
      </c>
      <c r="H801" s="12">
        <v>0.94117647058823517</v>
      </c>
      <c r="I801" s="12" t="s">
        <v>96</v>
      </c>
      <c r="J801" s="6">
        <v>46304</v>
      </c>
      <c r="K801">
        <v>46304</v>
      </c>
      <c r="L801">
        <v>0.74208132766678248</v>
      </c>
      <c r="M801">
        <v>0.74208132766678248</v>
      </c>
      <c r="N801">
        <v>0.73518893143458319</v>
      </c>
      <c r="O801">
        <v>1.3475611940596233</v>
      </c>
      <c r="P801">
        <v>1.3475611940596233</v>
      </c>
      <c r="Q801">
        <v>0.99071207430340547</v>
      </c>
      <c r="R801">
        <v>1.0093750000000001</v>
      </c>
      <c r="S801">
        <v>1.0093750000000001</v>
      </c>
      <c r="T801">
        <v>1.3601945802539324</v>
      </c>
    </row>
    <row r="802" spans="1:20" x14ac:dyDescent="0.25">
      <c r="A802" s="12" t="s">
        <v>58</v>
      </c>
      <c r="B802" s="12" t="s">
        <v>38</v>
      </c>
      <c r="C802" s="12" t="s">
        <v>14</v>
      </c>
      <c r="D802" s="12">
        <v>2.2591467076881915</v>
      </c>
      <c r="E802" s="12">
        <v>5.6999999999999993</v>
      </c>
      <c r="F802" s="12">
        <v>20</v>
      </c>
      <c r="G802" s="12">
        <v>5.6999999999999993</v>
      </c>
      <c r="H802" s="12">
        <v>2.4332179930795848</v>
      </c>
      <c r="I802" s="12" t="s">
        <v>94</v>
      </c>
      <c r="J802" s="6">
        <v>46304</v>
      </c>
      <c r="K802">
        <v>46304</v>
      </c>
      <c r="L802">
        <v>2.5230765140670606</v>
      </c>
      <c r="M802">
        <v>2.5230765140670606</v>
      </c>
      <c r="N802">
        <v>1.0770517845516647</v>
      </c>
      <c r="O802">
        <v>0.39634152766459507</v>
      </c>
      <c r="P802">
        <v>0.39634152766459507</v>
      </c>
      <c r="Q802">
        <v>0.42688034966308508</v>
      </c>
      <c r="R802">
        <v>2.3425767918088733</v>
      </c>
      <c r="S802">
        <v>2.3425767918088733</v>
      </c>
      <c r="T802">
        <v>0.9284604643371549</v>
      </c>
    </row>
    <row r="803" spans="1:20" x14ac:dyDescent="0.25">
      <c r="A803" s="12" t="s">
        <v>58</v>
      </c>
      <c r="B803" s="12" t="s">
        <v>38</v>
      </c>
      <c r="C803" s="12" t="s">
        <v>14</v>
      </c>
      <c r="D803" s="12">
        <v>2.2591467076881915</v>
      </c>
      <c r="E803" s="12">
        <v>6.6499999999999995</v>
      </c>
      <c r="F803" s="12">
        <v>20</v>
      </c>
      <c r="G803" s="12">
        <v>6.6499999999999995</v>
      </c>
      <c r="H803" s="12">
        <v>2.1591695501730106</v>
      </c>
      <c r="I803" s="12" t="s">
        <v>97</v>
      </c>
      <c r="J803" s="6">
        <v>46305</v>
      </c>
      <c r="K803">
        <v>46305</v>
      </c>
      <c r="L803">
        <v>2.9435892664115708</v>
      </c>
      <c r="M803">
        <v>2.9435892664115708</v>
      </c>
      <c r="N803">
        <v>0.95574561086495857</v>
      </c>
      <c r="O803">
        <v>0.33972130942679574</v>
      </c>
      <c r="P803">
        <v>0.33972130942679574</v>
      </c>
      <c r="Q803">
        <v>0.3246871504019565</v>
      </c>
      <c r="R803">
        <v>3.0798878205128202</v>
      </c>
      <c r="S803">
        <v>3.0798878205128202</v>
      </c>
      <c r="T803">
        <v>1.0463035232722553</v>
      </c>
    </row>
    <row r="804" spans="1:20" x14ac:dyDescent="0.25">
      <c r="A804" s="12" t="s">
        <v>58</v>
      </c>
      <c r="B804" s="12" t="s">
        <v>38</v>
      </c>
      <c r="C804" s="12" t="s">
        <v>15</v>
      </c>
      <c r="D804" s="12">
        <v>1.2801831343566421</v>
      </c>
      <c r="E804" s="12">
        <v>0.95</v>
      </c>
      <c r="F804" s="12">
        <v>20</v>
      </c>
      <c r="G804" s="12">
        <v>0.95</v>
      </c>
      <c r="H804" s="12">
        <v>0.94117647058823517</v>
      </c>
      <c r="I804" s="12" t="s">
        <v>99</v>
      </c>
      <c r="J804" s="6">
        <v>46305</v>
      </c>
      <c r="K804">
        <v>46305</v>
      </c>
      <c r="L804">
        <v>0.74208132766678248</v>
      </c>
      <c r="M804">
        <v>0.74208132766678248</v>
      </c>
      <c r="N804">
        <v>0.73518893143458319</v>
      </c>
      <c r="O804">
        <v>1.3475611940596233</v>
      </c>
      <c r="P804">
        <v>1.3475611940596233</v>
      </c>
      <c r="Q804">
        <v>0.99071207430340547</v>
      </c>
      <c r="R804">
        <v>1.0093750000000001</v>
      </c>
      <c r="S804">
        <v>1.0093750000000001</v>
      </c>
      <c r="T804">
        <v>1.3601945802539324</v>
      </c>
    </row>
    <row r="805" spans="1:20" x14ac:dyDescent="0.25">
      <c r="A805" s="12" t="s">
        <v>58</v>
      </c>
      <c r="B805" s="12" t="s">
        <v>38</v>
      </c>
      <c r="C805" s="12" t="s">
        <v>13</v>
      </c>
      <c r="D805" s="12">
        <v>4.2006009096077328</v>
      </c>
      <c r="E805" s="12">
        <v>6.6499999999999995</v>
      </c>
      <c r="F805" s="12">
        <v>20</v>
      </c>
      <c r="G805" s="12">
        <v>6.6499999999999995</v>
      </c>
      <c r="H805" s="12">
        <v>4.3235294117647038</v>
      </c>
      <c r="I805" s="12" t="s">
        <v>98</v>
      </c>
      <c r="J805" s="6">
        <v>46305</v>
      </c>
      <c r="K805">
        <v>46305</v>
      </c>
      <c r="L805">
        <v>1.5831068323558022</v>
      </c>
      <c r="M805">
        <v>1.5831068323558022</v>
      </c>
      <c r="N805">
        <v>1.0292645040084158</v>
      </c>
      <c r="O805">
        <v>0.63166930971544855</v>
      </c>
      <c r="P805">
        <v>0.63166930971544855</v>
      </c>
      <c r="Q805">
        <v>0.65015479876160964</v>
      </c>
      <c r="R805">
        <v>1.5380952380952386</v>
      </c>
      <c r="S805">
        <v>1.5380952380952386</v>
      </c>
      <c r="T805">
        <v>0.97156755732423794</v>
      </c>
    </row>
    <row r="806" spans="1:20" x14ac:dyDescent="0.25">
      <c r="A806" s="12" t="s">
        <v>58</v>
      </c>
      <c r="B806" s="12" t="s">
        <v>38</v>
      </c>
      <c r="C806" s="12" t="s">
        <v>14</v>
      </c>
      <c r="D806" s="12">
        <v>2.2591467076881915</v>
      </c>
      <c r="E806" s="12">
        <v>4.75</v>
      </c>
      <c r="F806" s="12">
        <v>20</v>
      </c>
      <c r="G806" s="12">
        <v>4.75</v>
      </c>
      <c r="H806" s="12">
        <v>2.0484429065743948</v>
      </c>
      <c r="I806" s="12" t="s">
        <v>100</v>
      </c>
      <c r="J806" s="6">
        <v>46306</v>
      </c>
      <c r="K806">
        <v>46306</v>
      </c>
      <c r="L806">
        <v>2.1025637617225508</v>
      </c>
      <c r="M806">
        <v>2.1025637617225508</v>
      </c>
      <c r="N806">
        <v>0.90673301543598639</v>
      </c>
      <c r="O806">
        <v>0.47560983319751399</v>
      </c>
      <c r="P806">
        <v>0.47560983319751399</v>
      </c>
      <c r="Q806">
        <v>0.43125113822618838</v>
      </c>
      <c r="R806">
        <v>2.3188344594594592</v>
      </c>
      <c r="S806">
        <v>2.3188344594594592</v>
      </c>
      <c r="T806">
        <v>1.1028604704761609</v>
      </c>
    </row>
    <row r="807" spans="1:20" x14ac:dyDescent="0.25">
      <c r="A807" s="12" t="s">
        <v>58</v>
      </c>
      <c r="B807" s="12" t="s">
        <v>38</v>
      </c>
      <c r="C807" s="12" t="s">
        <v>13</v>
      </c>
      <c r="D807" s="12">
        <v>2.4003433769187041</v>
      </c>
      <c r="E807" s="12">
        <v>5.6999999999999993</v>
      </c>
      <c r="F807" s="12">
        <v>20</v>
      </c>
      <c r="G807" s="12">
        <v>5.6999999999999993</v>
      </c>
      <c r="H807" s="12">
        <v>2.9411764705882359</v>
      </c>
      <c r="I807" s="12" t="s">
        <v>102</v>
      </c>
      <c r="J807" s="6">
        <v>46306</v>
      </c>
      <c r="K807">
        <v>46306</v>
      </c>
      <c r="L807">
        <v>2.3746602485337034</v>
      </c>
      <c r="M807">
        <v>2.3746602485337034</v>
      </c>
      <c r="N807">
        <v>1.2253148857243057</v>
      </c>
      <c r="O807">
        <v>0.42111287314363238</v>
      </c>
      <c r="P807">
        <v>0.42111287314363238</v>
      </c>
      <c r="Q807">
        <v>0.51599587203302388</v>
      </c>
      <c r="R807">
        <v>1.9379999999999993</v>
      </c>
      <c r="S807">
        <v>1.9379999999999993</v>
      </c>
      <c r="T807">
        <v>0.81611674815235924</v>
      </c>
    </row>
    <row r="808" spans="1:20" x14ac:dyDescent="0.25">
      <c r="A808" s="12" t="s">
        <v>58</v>
      </c>
      <c r="B808" s="12" t="s">
        <v>38</v>
      </c>
      <c r="C808" s="12" t="s">
        <v>15</v>
      </c>
      <c r="D808" s="12">
        <v>1.2801831343566421</v>
      </c>
      <c r="E808" s="12">
        <v>0.95</v>
      </c>
      <c r="F808" s="12">
        <v>20</v>
      </c>
      <c r="G808" s="12">
        <v>0.95</v>
      </c>
      <c r="H808" s="12">
        <v>0.94117647058823517</v>
      </c>
      <c r="I808" s="12" t="s">
        <v>101</v>
      </c>
      <c r="J808" s="6">
        <v>46306</v>
      </c>
      <c r="K808">
        <v>46306</v>
      </c>
      <c r="L808">
        <v>0.74208132766678248</v>
      </c>
      <c r="M808">
        <v>0.74208132766678248</v>
      </c>
      <c r="N808">
        <v>0.73518893143458319</v>
      </c>
      <c r="O808">
        <v>1.3475611940596233</v>
      </c>
      <c r="P808">
        <v>1.3475611940596233</v>
      </c>
      <c r="Q808">
        <v>0.99071207430340547</v>
      </c>
      <c r="R808">
        <v>1.0093750000000001</v>
      </c>
      <c r="S808">
        <v>1.0093750000000001</v>
      </c>
      <c r="T808">
        <v>1.3601945802539324</v>
      </c>
    </row>
    <row r="809" spans="1:20" x14ac:dyDescent="0.25">
      <c r="A809" s="12" t="s">
        <v>58</v>
      </c>
      <c r="B809" s="12" t="s">
        <v>38</v>
      </c>
      <c r="C809" s="12" t="s">
        <v>14</v>
      </c>
      <c r="D809" s="12">
        <v>3.3887200615322879</v>
      </c>
      <c r="E809" s="12">
        <v>7.6</v>
      </c>
      <c r="F809" s="12">
        <v>20</v>
      </c>
      <c r="G809" s="12">
        <v>7.6</v>
      </c>
      <c r="H809" s="12">
        <v>3.2655709342560537</v>
      </c>
      <c r="I809" s="12" t="s">
        <v>103</v>
      </c>
      <c r="J809" s="6">
        <v>46307</v>
      </c>
      <c r="K809">
        <v>46307</v>
      </c>
      <c r="L809">
        <v>2.2427346791707206</v>
      </c>
      <c r="M809">
        <v>2.2427346791707206</v>
      </c>
      <c r="N809">
        <v>0.96365910283526057</v>
      </c>
      <c r="O809">
        <v>0.44588421862266947</v>
      </c>
      <c r="P809">
        <v>0.44588421862266947</v>
      </c>
      <c r="Q809">
        <v>0.42968038608632286</v>
      </c>
      <c r="R809">
        <v>2.3273112582781468</v>
      </c>
      <c r="S809">
        <v>2.3273112582781468</v>
      </c>
      <c r="T809">
        <v>1.0377113618890932</v>
      </c>
    </row>
    <row r="810" spans="1:20" x14ac:dyDescent="0.25">
      <c r="A810" s="12" t="s">
        <v>58</v>
      </c>
      <c r="B810" s="12" t="s">
        <v>38</v>
      </c>
      <c r="C810" s="12" t="s">
        <v>15</v>
      </c>
      <c r="D810" s="12">
        <v>1.2801831343566421</v>
      </c>
      <c r="E810" s="12">
        <v>0.95</v>
      </c>
      <c r="F810" s="12">
        <v>20</v>
      </c>
      <c r="G810" s="12">
        <v>0.95</v>
      </c>
      <c r="H810" s="12">
        <v>0.94117647058823517</v>
      </c>
      <c r="I810" s="12" t="s">
        <v>104</v>
      </c>
      <c r="J810" s="6">
        <v>46307</v>
      </c>
      <c r="K810">
        <v>46307</v>
      </c>
      <c r="L810">
        <v>0.74208132766678248</v>
      </c>
      <c r="M810">
        <v>0.74208132766678248</v>
      </c>
      <c r="N810">
        <v>0.73518893143458319</v>
      </c>
      <c r="O810">
        <v>1.3475611940596233</v>
      </c>
      <c r="P810">
        <v>1.3475611940596233</v>
      </c>
      <c r="Q810">
        <v>0.99071207430340547</v>
      </c>
      <c r="R810">
        <v>1.0093750000000001</v>
      </c>
      <c r="S810">
        <v>1.0093750000000001</v>
      </c>
      <c r="T810">
        <v>1.3601945802539324</v>
      </c>
    </row>
    <row r="811" spans="1:20" x14ac:dyDescent="0.25">
      <c r="A811" s="12" t="s">
        <v>58</v>
      </c>
      <c r="B811" s="12" t="s">
        <v>38</v>
      </c>
      <c r="C811" s="12" t="s">
        <v>13</v>
      </c>
      <c r="D811" s="12">
        <v>5.8508369812393415</v>
      </c>
      <c r="E811" s="12">
        <v>5.6999999999999993</v>
      </c>
      <c r="F811" s="12">
        <v>20</v>
      </c>
      <c r="G811" s="12">
        <v>5.6999999999999993</v>
      </c>
      <c r="H811" s="12">
        <v>3.5854779411764692</v>
      </c>
      <c r="I811" s="12" t="s">
        <v>105</v>
      </c>
      <c r="J811" s="6">
        <v>46307</v>
      </c>
      <c r="K811">
        <v>46307</v>
      </c>
      <c r="L811">
        <v>0.97421958914203222</v>
      </c>
      <c r="M811">
        <v>0.97421958914203222</v>
      </c>
      <c r="N811">
        <v>0.61281453451416834</v>
      </c>
      <c r="O811">
        <v>1.0264626282876039</v>
      </c>
      <c r="P811">
        <v>1.0264626282876039</v>
      </c>
      <c r="Q811">
        <v>0.62903121775025783</v>
      </c>
      <c r="R811">
        <v>1.5897462189182265</v>
      </c>
      <c r="S811">
        <v>1.5897462189182265</v>
      </c>
      <c r="T811">
        <v>1.6318150821810833</v>
      </c>
    </row>
    <row r="812" spans="1:20" x14ac:dyDescent="0.25">
      <c r="A812" s="12" t="s">
        <v>58</v>
      </c>
      <c r="B812" s="12" t="s">
        <v>38</v>
      </c>
      <c r="C812" s="12" t="s">
        <v>15</v>
      </c>
      <c r="D812" s="12">
        <v>1.2801831343566421</v>
      </c>
      <c r="E812" s="12">
        <v>0.95</v>
      </c>
      <c r="F812" s="12">
        <v>20</v>
      </c>
      <c r="G812" s="12">
        <v>0.95</v>
      </c>
      <c r="H812" s="12">
        <v>0.94117647058823517</v>
      </c>
      <c r="I812" s="12" t="s">
        <v>106</v>
      </c>
      <c r="J812" s="6">
        <v>46308</v>
      </c>
      <c r="K812">
        <v>46308</v>
      </c>
      <c r="L812">
        <v>0.74208132766678248</v>
      </c>
      <c r="M812">
        <v>0.74208132766678248</v>
      </c>
      <c r="N812">
        <v>0.73518893143458319</v>
      </c>
      <c r="O812">
        <v>1.3475611940596233</v>
      </c>
      <c r="P812">
        <v>1.3475611940596233</v>
      </c>
      <c r="Q812">
        <v>0.99071207430340547</v>
      </c>
      <c r="R812">
        <v>1.0093750000000001</v>
      </c>
      <c r="S812">
        <v>1.0093750000000001</v>
      </c>
      <c r="T812">
        <v>1.3601945802539324</v>
      </c>
    </row>
    <row r="813" spans="1:20" x14ac:dyDescent="0.25">
      <c r="A813" s="12" t="s">
        <v>58</v>
      </c>
      <c r="B813" s="12" t="s">
        <v>38</v>
      </c>
      <c r="C813" s="12" t="s">
        <v>14</v>
      </c>
      <c r="D813" s="12">
        <v>3.3887200615322879</v>
      </c>
      <c r="E813" s="12">
        <v>7.6</v>
      </c>
      <c r="F813" s="12">
        <v>20</v>
      </c>
      <c r="G813" s="12">
        <v>7.6</v>
      </c>
      <c r="H813" s="12">
        <v>3.2655709342560537</v>
      </c>
      <c r="I813" s="12" t="s">
        <v>107</v>
      </c>
      <c r="J813" s="6">
        <v>46308</v>
      </c>
      <c r="K813">
        <v>46308</v>
      </c>
      <c r="L813">
        <v>2.2427346791707206</v>
      </c>
      <c r="M813">
        <v>2.2427346791707206</v>
      </c>
      <c r="N813">
        <v>0.96365910283526057</v>
      </c>
      <c r="O813">
        <v>0.44588421862266947</v>
      </c>
      <c r="P813">
        <v>0.44588421862266947</v>
      </c>
      <c r="Q813">
        <v>0.42968038608632286</v>
      </c>
      <c r="R813">
        <v>2.3273112582781468</v>
      </c>
      <c r="S813">
        <v>2.3273112582781468</v>
      </c>
      <c r="T813">
        <v>1.0377113618890932</v>
      </c>
    </row>
    <row r="814" spans="1:20" x14ac:dyDescent="0.25">
      <c r="A814" s="12" t="s">
        <v>58</v>
      </c>
      <c r="B814" s="12" t="s">
        <v>38</v>
      </c>
      <c r="C814" s="12" t="s">
        <v>13</v>
      </c>
      <c r="D814" s="12">
        <v>5.8508369812393415</v>
      </c>
      <c r="E814" s="12">
        <v>5.6999999999999993</v>
      </c>
      <c r="F814" s="12">
        <v>20</v>
      </c>
      <c r="G814" s="12">
        <v>5.6999999999999993</v>
      </c>
      <c r="H814" s="12">
        <v>3.5854779411764692</v>
      </c>
      <c r="I814" s="12" t="s">
        <v>108</v>
      </c>
      <c r="J814" s="6">
        <v>46308</v>
      </c>
      <c r="K814">
        <v>46308</v>
      </c>
      <c r="L814">
        <v>0.97421958914203222</v>
      </c>
      <c r="M814">
        <v>0.97421958914203222</v>
      </c>
      <c r="N814">
        <v>0.61281453451416834</v>
      </c>
      <c r="O814">
        <v>1.0264626282876039</v>
      </c>
      <c r="P814">
        <v>1.0264626282876039</v>
      </c>
      <c r="Q814">
        <v>0.62903121775025783</v>
      </c>
      <c r="R814">
        <v>1.5897462189182265</v>
      </c>
      <c r="S814">
        <v>1.5897462189182265</v>
      </c>
      <c r="T814">
        <v>1.6318150821810833</v>
      </c>
    </row>
    <row r="815" spans="1:20" x14ac:dyDescent="0.25">
      <c r="A815" s="12" t="s">
        <v>58</v>
      </c>
      <c r="B815" s="12" t="s">
        <v>38</v>
      </c>
      <c r="C815" s="12" t="s">
        <v>14</v>
      </c>
      <c r="D815" s="12">
        <v>3.9535067384543359</v>
      </c>
      <c r="E815" s="12">
        <v>6.6499999999999995</v>
      </c>
      <c r="F815" s="12">
        <v>20</v>
      </c>
      <c r="G815" s="12">
        <v>6.6499999999999995</v>
      </c>
      <c r="H815" s="12">
        <v>3.4602076124567476</v>
      </c>
      <c r="I815" s="12" t="s">
        <v>110</v>
      </c>
      <c r="J815" s="6">
        <v>46309</v>
      </c>
      <c r="K815">
        <v>46309</v>
      </c>
      <c r="L815">
        <v>1.6820510093780403</v>
      </c>
      <c r="M815">
        <v>1.6820510093780403</v>
      </c>
      <c r="N815">
        <v>0.875224918374504</v>
      </c>
      <c r="O815">
        <v>0.59451229149689266</v>
      </c>
      <c r="P815">
        <v>0.59451229149689266</v>
      </c>
      <c r="Q815">
        <v>0.52033197179800716</v>
      </c>
      <c r="R815">
        <v>1.9218499999999998</v>
      </c>
      <c r="S815">
        <v>1.9218499999999998</v>
      </c>
      <c r="T815">
        <v>1.1425634474133031</v>
      </c>
    </row>
    <row r="816" spans="1:20" x14ac:dyDescent="0.25">
      <c r="A816" s="12" t="s">
        <v>58</v>
      </c>
      <c r="B816" s="12" t="s">
        <v>38</v>
      </c>
      <c r="C816" s="12" t="s">
        <v>13</v>
      </c>
      <c r="D816" s="12">
        <v>4.6506652927799896</v>
      </c>
      <c r="E816" s="12">
        <v>3.8</v>
      </c>
      <c r="F816" s="12">
        <v>20</v>
      </c>
      <c r="G816" s="12">
        <v>3.8</v>
      </c>
      <c r="H816" s="12">
        <v>1.9411764705882355</v>
      </c>
      <c r="I816" s="12" t="s">
        <v>111</v>
      </c>
      <c r="J816" s="6">
        <v>46309</v>
      </c>
      <c r="K816">
        <v>46309</v>
      </c>
      <c r="L816">
        <v>0.8170873973449303</v>
      </c>
      <c r="M816">
        <v>0.8170873973449303</v>
      </c>
      <c r="N816">
        <v>0.4173975868789892</v>
      </c>
      <c r="O816">
        <v>1.2238592875736816</v>
      </c>
      <c r="P816">
        <v>1.2238592875736816</v>
      </c>
      <c r="Q816">
        <v>0.51083591331269362</v>
      </c>
      <c r="R816">
        <v>1.9575757575757573</v>
      </c>
      <c r="S816">
        <v>1.9575757575757573</v>
      </c>
      <c r="T816">
        <v>2.3957972720381764</v>
      </c>
    </row>
    <row r="817" spans="1:20" x14ac:dyDescent="0.25">
      <c r="A817" s="12" t="s">
        <v>58</v>
      </c>
      <c r="B817" s="12" t="s">
        <v>38</v>
      </c>
      <c r="C817" s="12" t="s">
        <v>15</v>
      </c>
      <c r="D817" s="12">
        <v>1.2801831343566421</v>
      </c>
      <c r="E817" s="12">
        <v>0.95</v>
      </c>
      <c r="F817" s="12">
        <v>20</v>
      </c>
      <c r="G817" s="12">
        <v>0.95</v>
      </c>
      <c r="H817" s="12">
        <v>0.94117647058823517</v>
      </c>
      <c r="I817" s="12" t="s">
        <v>109</v>
      </c>
      <c r="J817" s="6">
        <v>46309</v>
      </c>
      <c r="K817">
        <v>46309</v>
      </c>
      <c r="L817">
        <v>0.74208132766678248</v>
      </c>
      <c r="M817">
        <v>0.74208132766678248</v>
      </c>
      <c r="N817">
        <v>0.73518893143458319</v>
      </c>
      <c r="O817">
        <v>1.3475611940596233</v>
      </c>
      <c r="P817">
        <v>1.3475611940596233</v>
      </c>
      <c r="Q817">
        <v>0.99071207430340547</v>
      </c>
      <c r="R817">
        <v>1.0093750000000001</v>
      </c>
      <c r="S817">
        <v>1.0093750000000001</v>
      </c>
      <c r="T817">
        <v>1.3601945802539324</v>
      </c>
    </row>
    <row r="818" spans="1:20" x14ac:dyDescent="0.25">
      <c r="A818" s="12" t="s">
        <v>58</v>
      </c>
      <c r="B818" s="12" t="s">
        <v>38</v>
      </c>
      <c r="C818" s="12" t="s">
        <v>15</v>
      </c>
      <c r="D818" s="12">
        <v>1.2801831343566421</v>
      </c>
      <c r="E818" s="12">
        <v>0.95</v>
      </c>
      <c r="F818" s="12">
        <v>20</v>
      </c>
      <c r="G818" s="12">
        <v>0.95</v>
      </c>
      <c r="H818" s="12">
        <v>0.94117647058823517</v>
      </c>
      <c r="I818" s="12" t="s">
        <v>112</v>
      </c>
      <c r="J818" s="6">
        <v>46310</v>
      </c>
      <c r="K818">
        <v>46310</v>
      </c>
      <c r="L818">
        <v>0.74208132766678248</v>
      </c>
      <c r="M818">
        <v>0.74208132766678248</v>
      </c>
      <c r="N818">
        <v>0.73518893143458319</v>
      </c>
      <c r="O818">
        <v>1.3475611940596233</v>
      </c>
      <c r="P818">
        <v>1.3475611940596233</v>
      </c>
      <c r="Q818">
        <v>0.99071207430340547</v>
      </c>
      <c r="R818">
        <v>1.0093750000000001</v>
      </c>
      <c r="S818">
        <v>1.0093750000000001</v>
      </c>
      <c r="T818">
        <v>1.3601945802539324</v>
      </c>
    </row>
    <row r="819" spans="1:20" x14ac:dyDescent="0.25">
      <c r="A819" s="12" t="s">
        <v>58</v>
      </c>
      <c r="B819" s="12" t="s">
        <v>38</v>
      </c>
      <c r="C819" s="12" t="s">
        <v>14</v>
      </c>
      <c r="D819" s="12">
        <v>3.5299167307627997</v>
      </c>
      <c r="E819" s="12">
        <v>8.5499999999999989</v>
      </c>
      <c r="F819" s="12">
        <v>20</v>
      </c>
      <c r="G819" s="12">
        <v>8.5499999999999989</v>
      </c>
      <c r="H819" s="12">
        <v>3.1619012930249504</v>
      </c>
      <c r="I819" s="12" t="s">
        <v>113</v>
      </c>
      <c r="J819" s="6">
        <v>46310</v>
      </c>
      <c r="K819">
        <v>46310</v>
      </c>
      <c r="L819">
        <v>2.4221534535043778</v>
      </c>
      <c r="M819">
        <v>2.4221534535043778</v>
      </c>
      <c r="N819">
        <v>0.89574387561875357</v>
      </c>
      <c r="O819">
        <v>0.41285575798395324</v>
      </c>
      <c r="P819">
        <v>0.41285575798395324</v>
      </c>
      <c r="Q819">
        <v>0.36981301672806444</v>
      </c>
      <c r="R819">
        <v>2.7040692316553385</v>
      </c>
      <c r="S819">
        <v>2.7040692316553385</v>
      </c>
      <c r="T819">
        <v>1.1163905522761508</v>
      </c>
    </row>
    <row r="820" spans="1:20" x14ac:dyDescent="0.25">
      <c r="A820" s="12" t="s">
        <v>58</v>
      </c>
      <c r="B820" s="12" t="s">
        <v>38</v>
      </c>
      <c r="C820" s="12" t="s">
        <v>13</v>
      </c>
      <c r="D820" s="12">
        <v>6.000858442296761</v>
      </c>
      <c r="E820" s="12">
        <v>7.6</v>
      </c>
      <c r="F820" s="12">
        <v>20</v>
      </c>
      <c r="G820" s="12">
        <v>7.6</v>
      </c>
      <c r="H820" s="12">
        <v>4.8831269349845163</v>
      </c>
      <c r="I820" s="12" t="s">
        <v>114</v>
      </c>
      <c r="J820" s="6">
        <v>46310</v>
      </c>
      <c r="K820">
        <v>46310</v>
      </c>
      <c r="L820">
        <v>1.2664854658846418</v>
      </c>
      <c r="M820">
        <v>1.2664854658846418</v>
      </c>
      <c r="N820">
        <v>0.8137380646352248</v>
      </c>
      <c r="O820">
        <v>0.78958663714431065</v>
      </c>
      <c r="P820">
        <v>0.78958663714431065</v>
      </c>
      <c r="Q820">
        <v>0.6425167019716469</v>
      </c>
      <c r="R820">
        <v>1.5563797749247119</v>
      </c>
      <c r="S820">
        <v>1.5563797749247119</v>
      </c>
      <c r="T820">
        <v>1.2288966726022224</v>
      </c>
    </row>
    <row r="821" spans="1:20" x14ac:dyDescent="0.25">
      <c r="A821" s="12" t="s">
        <v>58</v>
      </c>
      <c r="B821" s="12" t="s">
        <v>38</v>
      </c>
      <c r="C821" s="12" t="s">
        <v>14</v>
      </c>
      <c r="D821" s="12">
        <v>2.2591467076881915</v>
      </c>
      <c r="E821" s="12">
        <v>7.6</v>
      </c>
      <c r="F821" s="12">
        <v>20</v>
      </c>
      <c r="G821" s="12">
        <v>7.6</v>
      </c>
      <c r="H821" s="12">
        <v>2.3797577854671279</v>
      </c>
      <c r="I821" s="12" t="s">
        <v>116</v>
      </c>
      <c r="J821" s="6">
        <v>46311</v>
      </c>
      <c r="K821">
        <v>46311</v>
      </c>
      <c r="L821">
        <v>3.3641020187560815</v>
      </c>
      <c r="M821">
        <v>3.3641020187560815</v>
      </c>
      <c r="N821">
        <v>1.0533878908211141</v>
      </c>
      <c r="O821">
        <v>0.29725614574844628</v>
      </c>
      <c r="P821">
        <v>0.29725614574844628</v>
      </c>
      <c r="Q821">
        <v>0.31312602440356946</v>
      </c>
      <c r="R821">
        <v>3.1936023264267539</v>
      </c>
      <c r="S821">
        <v>3.1936023264267539</v>
      </c>
      <c r="T821">
        <v>0.94931791860688819</v>
      </c>
    </row>
    <row r="822" spans="1:20" x14ac:dyDescent="0.25">
      <c r="A822" s="12" t="s">
        <v>58</v>
      </c>
      <c r="B822" s="12" t="s">
        <v>38</v>
      </c>
      <c r="C822" s="12" t="s">
        <v>15</v>
      </c>
      <c r="D822" s="12">
        <v>1.2801831343566421</v>
      </c>
      <c r="E822" s="12">
        <v>0.95</v>
      </c>
      <c r="F822" s="12">
        <v>20</v>
      </c>
      <c r="G822" s="12">
        <v>0.95</v>
      </c>
      <c r="H822" s="12">
        <v>0.94117647058823517</v>
      </c>
      <c r="I822" s="12" t="s">
        <v>117</v>
      </c>
      <c r="J822" s="6">
        <v>46311</v>
      </c>
      <c r="K822">
        <v>46311</v>
      </c>
      <c r="L822">
        <v>0.74208132766678248</v>
      </c>
      <c r="M822">
        <v>0.74208132766678248</v>
      </c>
      <c r="N822">
        <v>0.73518893143458319</v>
      </c>
      <c r="O822">
        <v>1.3475611940596233</v>
      </c>
      <c r="P822">
        <v>1.3475611940596233</v>
      </c>
      <c r="Q822">
        <v>0.99071207430340547</v>
      </c>
      <c r="R822">
        <v>1.0093750000000001</v>
      </c>
      <c r="S822">
        <v>1.0093750000000001</v>
      </c>
      <c r="T822">
        <v>1.3601945802539324</v>
      </c>
    </row>
    <row r="823" spans="1:20" x14ac:dyDescent="0.25">
      <c r="A823" s="12" t="s">
        <v>58</v>
      </c>
      <c r="B823" s="12" t="s">
        <v>38</v>
      </c>
      <c r="C823" s="12" t="s">
        <v>13</v>
      </c>
      <c r="D823" s="12">
        <v>4.8006867538374083</v>
      </c>
      <c r="E823" s="12">
        <v>6.6499999999999995</v>
      </c>
      <c r="F823" s="12">
        <v>20</v>
      </c>
      <c r="G823" s="12">
        <v>6.6499999999999995</v>
      </c>
      <c r="H823" s="12">
        <v>4.5266544117647038</v>
      </c>
      <c r="I823" s="12" t="s">
        <v>115</v>
      </c>
      <c r="J823" s="6">
        <v>46311</v>
      </c>
      <c r="K823">
        <v>46311</v>
      </c>
      <c r="L823">
        <v>1.3852184783113271</v>
      </c>
      <c r="M823">
        <v>1.3852184783113271</v>
      </c>
      <c r="N823">
        <v>0.94291809565503149</v>
      </c>
      <c r="O823">
        <v>0.7219077825319411</v>
      </c>
      <c r="P823">
        <v>0.7219077825319411</v>
      </c>
      <c r="Q823">
        <v>0.68069991154356457</v>
      </c>
      <c r="R823">
        <v>1.4690761421319802</v>
      </c>
      <c r="S823">
        <v>1.4690761421319802</v>
      </c>
      <c r="T823">
        <v>1.0605375001370767</v>
      </c>
    </row>
    <row r="824" spans="1:20" x14ac:dyDescent="0.25">
      <c r="A824" s="12" t="s">
        <v>58</v>
      </c>
      <c r="B824" s="12" t="s">
        <v>38</v>
      </c>
      <c r="C824" s="12" t="s">
        <v>15</v>
      </c>
      <c r="D824" s="12">
        <v>1.2801831343566421</v>
      </c>
      <c r="E824" s="12">
        <v>0.95</v>
      </c>
      <c r="F824" s="12">
        <v>20</v>
      </c>
      <c r="G824" s="12">
        <v>0.95</v>
      </c>
      <c r="H824" s="12">
        <v>0.94117647058823517</v>
      </c>
      <c r="I824" s="12" t="s">
        <v>120</v>
      </c>
      <c r="J824" s="6">
        <v>46312</v>
      </c>
      <c r="K824">
        <v>46312</v>
      </c>
      <c r="L824">
        <v>0.74208132766678248</v>
      </c>
      <c r="M824">
        <v>0.74208132766678248</v>
      </c>
      <c r="N824">
        <v>0.73518893143458319</v>
      </c>
      <c r="O824">
        <v>1.3475611940596233</v>
      </c>
      <c r="P824">
        <v>1.3475611940596233</v>
      </c>
      <c r="Q824">
        <v>0.99071207430340547</v>
      </c>
      <c r="R824">
        <v>1.0093750000000001</v>
      </c>
      <c r="S824">
        <v>1.0093750000000001</v>
      </c>
      <c r="T824">
        <v>1.3601945802539324</v>
      </c>
    </row>
    <row r="825" spans="1:20" x14ac:dyDescent="0.25">
      <c r="A825" s="12" t="s">
        <v>58</v>
      </c>
      <c r="B825" s="12" t="s">
        <v>38</v>
      </c>
      <c r="C825" s="12" t="s">
        <v>14</v>
      </c>
      <c r="D825" s="12">
        <v>3.388720061532287</v>
      </c>
      <c r="E825" s="12">
        <v>6.6499999999999995</v>
      </c>
      <c r="F825" s="12">
        <v>20</v>
      </c>
      <c r="G825" s="12">
        <v>6.6499999999999995</v>
      </c>
      <c r="H825" s="12">
        <v>3.0449826989619369</v>
      </c>
      <c r="I825" s="12" t="s">
        <v>118</v>
      </c>
      <c r="J825" s="6">
        <v>46312</v>
      </c>
      <c r="K825">
        <v>46312</v>
      </c>
      <c r="L825">
        <v>1.9623928442743808</v>
      </c>
      <c r="M825">
        <v>1.9623928442743808</v>
      </c>
      <c r="N825">
        <v>0.89856424953115732</v>
      </c>
      <c r="O825">
        <v>0.50958196414019352</v>
      </c>
      <c r="P825">
        <v>0.50958196414019352</v>
      </c>
      <c r="Q825">
        <v>0.4578921351822462</v>
      </c>
      <c r="R825">
        <v>2.1839204545454551</v>
      </c>
      <c r="S825">
        <v>2.1839204545454551</v>
      </c>
      <c r="T825">
        <v>1.1128864747532172</v>
      </c>
    </row>
    <row r="826" spans="1:20" x14ac:dyDescent="0.25">
      <c r="A826" s="12" t="s">
        <v>58</v>
      </c>
      <c r="B826" s="12" t="s">
        <v>38</v>
      </c>
      <c r="C826" s="12" t="s">
        <v>13</v>
      </c>
      <c r="D826" s="12">
        <v>3.6005150653780564</v>
      </c>
      <c r="E826" s="12">
        <v>3.8</v>
      </c>
      <c r="F826" s="12">
        <v>20</v>
      </c>
      <c r="G826" s="12">
        <v>3.8</v>
      </c>
      <c r="H826" s="12">
        <v>2.882352941176471</v>
      </c>
      <c r="I826" s="12" t="s">
        <v>119</v>
      </c>
      <c r="J826" s="6">
        <v>46312</v>
      </c>
      <c r="K826">
        <v>46312</v>
      </c>
      <c r="L826">
        <v>1.0554045549038682</v>
      </c>
      <c r="M826">
        <v>1.0554045549038682</v>
      </c>
      <c r="N826">
        <v>0.80053905867321296</v>
      </c>
      <c r="O826">
        <v>0.94750396457317276</v>
      </c>
      <c r="P826">
        <v>0.94750396457317276</v>
      </c>
      <c r="Q826">
        <v>0.75851393188854499</v>
      </c>
      <c r="R826">
        <v>1.3183673469387753</v>
      </c>
      <c r="S826">
        <v>1.3183673469387753</v>
      </c>
      <c r="T826">
        <v>1.2491582879883052</v>
      </c>
    </row>
    <row r="827" spans="1:20" x14ac:dyDescent="0.25">
      <c r="A827" s="12" t="s">
        <v>58</v>
      </c>
      <c r="B827" s="12" t="s">
        <v>38</v>
      </c>
      <c r="C827" s="12" t="s">
        <v>13</v>
      </c>
      <c r="D827" s="12">
        <v>4.7256760233086981</v>
      </c>
      <c r="E827" s="12">
        <v>4.75</v>
      </c>
      <c r="F827" s="12">
        <v>20</v>
      </c>
      <c r="G827" s="12">
        <v>4.75</v>
      </c>
      <c r="H827" s="12">
        <v>2.8823529411764715</v>
      </c>
      <c r="I827" s="12" t="s">
        <v>121</v>
      </c>
      <c r="J827" s="6">
        <v>46313</v>
      </c>
      <c r="K827">
        <v>46313</v>
      </c>
      <c r="L827">
        <v>1.0051471951465414</v>
      </c>
      <c r="M827">
        <v>1.0051471951465414</v>
      </c>
      <c r="N827">
        <v>0.60993452089387679</v>
      </c>
      <c r="O827">
        <v>0.9948791628018312</v>
      </c>
      <c r="P827">
        <v>0.9948791628018312</v>
      </c>
      <c r="Q827">
        <v>0.60681114551083615</v>
      </c>
      <c r="R827">
        <v>1.6479591836734688</v>
      </c>
      <c r="S827">
        <v>1.6479591836734688</v>
      </c>
      <c r="T827">
        <v>1.6395202529846498</v>
      </c>
    </row>
    <row r="828" spans="1:20" x14ac:dyDescent="0.25">
      <c r="A828" s="12" t="s">
        <v>58</v>
      </c>
      <c r="B828" s="12" t="s">
        <v>38</v>
      </c>
      <c r="C828" s="12" t="s">
        <v>14</v>
      </c>
      <c r="D828" s="12">
        <v>3.388720061532287</v>
      </c>
      <c r="E828" s="12">
        <v>6.6499999999999995</v>
      </c>
      <c r="F828" s="12">
        <v>20</v>
      </c>
      <c r="G828" s="12">
        <v>6.6499999999999995</v>
      </c>
      <c r="H828" s="12">
        <v>3.0449826989619369</v>
      </c>
      <c r="I828" s="12" t="s">
        <v>123</v>
      </c>
      <c r="J828" s="6">
        <v>46313</v>
      </c>
      <c r="K828">
        <v>46313</v>
      </c>
      <c r="L828">
        <v>1.9623928442743808</v>
      </c>
      <c r="M828">
        <v>1.9623928442743808</v>
      </c>
      <c r="N828">
        <v>0.89856424953115732</v>
      </c>
      <c r="O828">
        <v>0.50958196414019352</v>
      </c>
      <c r="P828">
        <v>0.50958196414019352</v>
      </c>
      <c r="Q828">
        <v>0.4578921351822462</v>
      </c>
      <c r="R828">
        <v>2.1839204545454551</v>
      </c>
      <c r="S828">
        <v>2.1839204545454551</v>
      </c>
      <c r="T828">
        <v>1.1128864747532172</v>
      </c>
    </row>
    <row r="829" spans="1:20" x14ac:dyDescent="0.25">
      <c r="A829" s="12" t="s">
        <v>58</v>
      </c>
      <c r="B829" s="12" t="s">
        <v>38</v>
      </c>
      <c r="C829" s="12" t="s">
        <v>15</v>
      </c>
      <c r="D829" s="12">
        <v>1.2801831343566421</v>
      </c>
      <c r="E829" s="12">
        <v>0.95</v>
      </c>
      <c r="F829" s="12">
        <v>20</v>
      </c>
      <c r="G829" s="12">
        <v>0.95</v>
      </c>
      <c r="H829" s="12">
        <v>0.94117647058823517</v>
      </c>
      <c r="I829" s="12" t="s">
        <v>122</v>
      </c>
      <c r="J829" s="6">
        <v>46313</v>
      </c>
      <c r="K829">
        <v>46313</v>
      </c>
      <c r="L829">
        <v>0.74208132766678248</v>
      </c>
      <c r="M829">
        <v>0.74208132766678248</v>
      </c>
      <c r="N829">
        <v>0.73518893143458319</v>
      </c>
      <c r="O829">
        <v>1.3475611940596233</v>
      </c>
      <c r="P829">
        <v>1.3475611940596233</v>
      </c>
      <c r="Q829">
        <v>0.99071207430340547</v>
      </c>
      <c r="R829">
        <v>1.0093750000000001</v>
      </c>
      <c r="S829">
        <v>1.0093750000000001</v>
      </c>
      <c r="T829">
        <v>1.3601945802539324</v>
      </c>
    </row>
    <row r="830" spans="1:20" x14ac:dyDescent="0.25">
      <c r="A830" s="12" t="s">
        <v>58</v>
      </c>
      <c r="B830" s="12" t="s">
        <v>38</v>
      </c>
      <c r="C830" s="12" t="s">
        <v>14</v>
      </c>
      <c r="D830" s="12">
        <v>3.3887200615322879</v>
      </c>
      <c r="E830" s="12">
        <v>7.6</v>
      </c>
      <c r="F830" s="12">
        <v>20</v>
      </c>
      <c r="G830" s="12">
        <v>7.6</v>
      </c>
      <c r="H830" s="12">
        <v>3.4307958477508635</v>
      </c>
      <c r="I830" s="12" t="s">
        <v>124</v>
      </c>
      <c r="J830" s="6">
        <v>46314</v>
      </c>
      <c r="K830">
        <v>46314</v>
      </c>
      <c r="L830">
        <v>2.2427346791707206</v>
      </c>
      <c r="M830">
        <v>2.2427346791707206</v>
      </c>
      <c r="N830">
        <v>1.0124164243297069</v>
      </c>
      <c r="O830">
        <v>0.44588421862266947</v>
      </c>
      <c r="P830">
        <v>0.44588421862266947</v>
      </c>
      <c r="Q830">
        <v>0.45142050628300839</v>
      </c>
      <c r="R830">
        <v>2.215229450327787</v>
      </c>
      <c r="S830">
        <v>2.215229450327787</v>
      </c>
      <c r="T830">
        <v>0.98773585252933094</v>
      </c>
    </row>
    <row r="831" spans="1:20" x14ac:dyDescent="0.25">
      <c r="A831" s="12" t="s">
        <v>58</v>
      </c>
      <c r="B831" s="12" t="s">
        <v>38</v>
      </c>
      <c r="C831" s="12" t="s">
        <v>13</v>
      </c>
      <c r="D831" s="12">
        <v>3.5255043348493462</v>
      </c>
      <c r="E831" s="12">
        <v>5.6999999999999993</v>
      </c>
      <c r="F831" s="12">
        <v>20</v>
      </c>
      <c r="G831" s="12">
        <v>5.6999999999999993</v>
      </c>
      <c r="H831" s="12">
        <v>3.3474264705882351</v>
      </c>
      <c r="I831" s="12" t="s">
        <v>126</v>
      </c>
      <c r="J831" s="6">
        <v>46314</v>
      </c>
      <c r="K831">
        <v>46314</v>
      </c>
      <c r="L831">
        <v>1.6167899564484793</v>
      </c>
      <c r="M831">
        <v>1.6167899564484793</v>
      </c>
      <c r="N831">
        <v>0.94948868378891926</v>
      </c>
      <c r="O831">
        <v>0.61850953242970996</v>
      </c>
      <c r="P831">
        <v>0.61850953242970996</v>
      </c>
      <c r="Q831">
        <v>0.5872678018575852</v>
      </c>
      <c r="R831">
        <v>1.7028006589785831</v>
      </c>
      <c r="S831">
        <v>1.7028006589785831</v>
      </c>
      <c r="T831">
        <v>1.0531984394058453</v>
      </c>
    </row>
    <row r="832" spans="1:20" x14ac:dyDescent="0.25">
      <c r="A832" s="12" t="s">
        <v>58</v>
      </c>
      <c r="B832" s="12" t="s">
        <v>38</v>
      </c>
      <c r="C832" s="12" t="s">
        <v>15</v>
      </c>
      <c r="D832" s="12">
        <v>1.2801831343566421</v>
      </c>
      <c r="E832" s="12">
        <v>0.95</v>
      </c>
      <c r="F832" s="12">
        <v>20</v>
      </c>
      <c r="G832" s="12">
        <v>0.95</v>
      </c>
      <c r="H832" s="12">
        <v>0.94117647058823517</v>
      </c>
      <c r="I832" s="12" t="s">
        <v>125</v>
      </c>
      <c r="J832" s="6">
        <v>46314</v>
      </c>
      <c r="K832">
        <v>46314</v>
      </c>
      <c r="L832">
        <v>0.74208132766678248</v>
      </c>
      <c r="M832">
        <v>0.74208132766678248</v>
      </c>
      <c r="N832">
        <v>0.73518893143458319</v>
      </c>
      <c r="O832">
        <v>1.3475611940596233</v>
      </c>
      <c r="P832">
        <v>1.3475611940596233</v>
      </c>
      <c r="Q832">
        <v>0.99071207430340547</v>
      </c>
      <c r="R832">
        <v>1.0093750000000001</v>
      </c>
      <c r="S832">
        <v>1.0093750000000001</v>
      </c>
      <c r="T832">
        <v>1.3601945802539324</v>
      </c>
    </row>
    <row r="833" spans="1:20" x14ac:dyDescent="0.25">
      <c r="A833" s="12" t="s">
        <v>58</v>
      </c>
      <c r="B833" s="12" t="s">
        <v>38</v>
      </c>
      <c r="C833" s="12" t="s">
        <v>13</v>
      </c>
      <c r="D833" s="12">
        <v>7.0510086696986942</v>
      </c>
      <c r="E833" s="12">
        <v>6.6499999999999995</v>
      </c>
      <c r="F833" s="12">
        <v>20</v>
      </c>
      <c r="G833" s="12">
        <v>6.6499999999999995</v>
      </c>
      <c r="H833" s="12">
        <v>4.5266544117647038</v>
      </c>
      <c r="I833" s="12" t="s">
        <v>127</v>
      </c>
      <c r="J833" s="6">
        <v>46315</v>
      </c>
      <c r="K833">
        <v>46315</v>
      </c>
      <c r="L833">
        <v>0.94312747459494606</v>
      </c>
      <c r="M833">
        <v>0.94312747459494606</v>
      </c>
      <c r="N833">
        <v>0.64198678853108515</v>
      </c>
      <c r="O833">
        <v>1.0603020555937888</v>
      </c>
      <c r="P833">
        <v>1.0603020555937888</v>
      </c>
      <c r="Q833">
        <v>0.68069991154356457</v>
      </c>
      <c r="R833">
        <v>1.4690761421319802</v>
      </c>
      <c r="S833">
        <v>1.4690761421319802</v>
      </c>
      <c r="T833">
        <v>1.5576644533263315</v>
      </c>
    </row>
    <row r="834" spans="1:20" x14ac:dyDescent="0.25">
      <c r="A834" s="12" t="s">
        <v>58</v>
      </c>
      <c r="B834" s="12" t="s">
        <v>38</v>
      </c>
      <c r="C834" s="12" t="s">
        <v>15</v>
      </c>
      <c r="D834" s="12">
        <v>1.2801831343566421</v>
      </c>
      <c r="E834" s="12">
        <v>0.95</v>
      </c>
      <c r="F834" s="12">
        <v>20</v>
      </c>
      <c r="G834" s="12">
        <v>0.95</v>
      </c>
      <c r="H834" s="12">
        <v>0.94117647058823517</v>
      </c>
      <c r="I834" s="12" t="s">
        <v>128</v>
      </c>
      <c r="J834" s="6">
        <v>46315</v>
      </c>
      <c r="K834">
        <v>46315</v>
      </c>
      <c r="L834">
        <v>0.74208132766678248</v>
      </c>
      <c r="M834">
        <v>0.74208132766678248</v>
      </c>
      <c r="N834">
        <v>0.73518893143458319</v>
      </c>
      <c r="O834">
        <v>1.3475611940596233</v>
      </c>
      <c r="P834">
        <v>1.3475611940596233</v>
      </c>
      <c r="Q834">
        <v>0.99071207430340547</v>
      </c>
      <c r="R834">
        <v>1.0093750000000001</v>
      </c>
      <c r="S834">
        <v>1.0093750000000001</v>
      </c>
      <c r="T834">
        <v>1.3601945802539324</v>
      </c>
    </row>
    <row r="835" spans="1:20" x14ac:dyDescent="0.25">
      <c r="A835" s="12" t="s">
        <v>58</v>
      </c>
      <c r="B835" s="12" t="s">
        <v>38</v>
      </c>
      <c r="C835" s="12" t="s">
        <v>14</v>
      </c>
      <c r="D835" s="12">
        <v>3.3887200615322879</v>
      </c>
      <c r="E835" s="12">
        <v>8.5499999999999989</v>
      </c>
      <c r="F835" s="12">
        <v>20</v>
      </c>
      <c r="G835" s="12">
        <v>8.5499999999999989</v>
      </c>
      <c r="H835" s="12">
        <v>3.3209342560553616</v>
      </c>
      <c r="I835" s="12" t="s">
        <v>129</v>
      </c>
      <c r="J835" s="6">
        <v>46315</v>
      </c>
      <c r="K835">
        <v>46315</v>
      </c>
      <c r="L835">
        <v>2.5230765140670601</v>
      </c>
      <c r="M835">
        <v>2.5230765140670601</v>
      </c>
      <c r="N835">
        <v>0.97999663464491804</v>
      </c>
      <c r="O835">
        <v>0.39634152766459513</v>
      </c>
      <c r="P835">
        <v>0.39634152766459513</v>
      </c>
      <c r="Q835">
        <v>0.38841336328132892</v>
      </c>
      <c r="R835">
        <v>2.5745767126855963</v>
      </c>
      <c r="S835">
        <v>2.5745767126855963</v>
      </c>
      <c r="T835">
        <v>1.0204116673955006</v>
      </c>
    </row>
    <row r="836" spans="1:20" x14ac:dyDescent="0.25">
      <c r="A836" s="12" t="s">
        <v>58</v>
      </c>
      <c r="B836" s="12" t="s">
        <v>38</v>
      </c>
      <c r="C836" s="12" t="s">
        <v>14</v>
      </c>
      <c r="D836" s="12">
        <v>3.3181217269170316</v>
      </c>
      <c r="E836" s="12">
        <v>8.5499999999999989</v>
      </c>
      <c r="F836" s="12">
        <v>20</v>
      </c>
      <c r="G836" s="12">
        <v>8.5499999999999989</v>
      </c>
      <c r="H836" s="12">
        <v>3.2606689734717413</v>
      </c>
      <c r="I836" s="12" t="s">
        <v>130</v>
      </c>
      <c r="J836" s="6">
        <v>46316</v>
      </c>
      <c r="K836">
        <v>46316</v>
      </c>
      <c r="L836">
        <v>2.5767589930897641</v>
      </c>
      <c r="M836">
        <v>2.5767589930897641</v>
      </c>
      <c r="N836">
        <v>0.98268515799790401</v>
      </c>
      <c r="O836">
        <v>0.38808441250491604</v>
      </c>
      <c r="P836">
        <v>0.38808441250491604</v>
      </c>
      <c r="Q836">
        <v>0.38136479221891717</v>
      </c>
      <c r="R836">
        <v>2.6221613017332861</v>
      </c>
      <c r="S836">
        <v>2.6221613017332861</v>
      </c>
      <c r="T836">
        <v>1.0176199282762881</v>
      </c>
    </row>
    <row r="837" spans="1:20" x14ac:dyDescent="0.25">
      <c r="A837" s="12" t="s">
        <v>58</v>
      </c>
      <c r="B837" s="12" t="s">
        <v>38</v>
      </c>
      <c r="C837" s="12" t="s">
        <v>15</v>
      </c>
      <c r="D837" s="12">
        <v>1.2801831343566421</v>
      </c>
      <c r="E837" s="12">
        <v>0.95</v>
      </c>
      <c r="F837" s="12">
        <v>20</v>
      </c>
      <c r="G837" s="12">
        <v>0.95</v>
      </c>
      <c r="H837" s="12">
        <v>0.94117647058823517</v>
      </c>
      <c r="I837" s="12" t="s">
        <v>131</v>
      </c>
      <c r="J837" s="6">
        <v>46316</v>
      </c>
      <c r="K837">
        <v>46316</v>
      </c>
      <c r="L837">
        <v>0.74208132766678248</v>
      </c>
      <c r="M837">
        <v>0.74208132766678248</v>
      </c>
      <c r="N837">
        <v>0.73518893143458319</v>
      </c>
      <c r="O837">
        <v>1.3475611940596233</v>
      </c>
      <c r="P837">
        <v>1.3475611940596233</v>
      </c>
      <c r="Q837">
        <v>0.99071207430340547</v>
      </c>
      <c r="R837">
        <v>1.0093750000000001</v>
      </c>
      <c r="S837">
        <v>1.0093750000000001</v>
      </c>
      <c r="T837">
        <v>1.3601945802539324</v>
      </c>
    </row>
    <row r="838" spans="1:20" x14ac:dyDescent="0.25">
      <c r="A838" s="12" t="s">
        <v>58</v>
      </c>
      <c r="B838" s="12" t="s">
        <v>38</v>
      </c>
      <c r="C838" s="12" t="s">
        <v>13</v>
      </c>
      <c r="D838" s="12">
        <v>5.8508369812393424</v>
      </c>
      <c r="E838" s="12">
        <v>5.6999999999999993</v>
      </c>
      <c r="F838" s="12">
        <v>20</v>
      </c>
      <c r="G838" s="12">
        <v>5.6999999999999993</v>
      </c>
      <c r="H838" s="12">
        <v>4.2156862745098023</v>
      </c>
      <c r="I838" s="12" t="s">
        <v>132</v>
      </c>
      <c r="J838" s="6">
        <v>46316</v>
      </c>
      <c r="K838">
        <v>46316</v>
      </c>
      <c r="L838">
        <v>0.97421958914203211</v>
      </c>
      <c r="M838">
        <v>0.97421958914203211</v>
      </c>
      <c r="N838">
        <v>0.72052704391309541</v>
      </c>
      <c r="O838">
        <v>1.0264626282876042</v>
      </c>
      <c r="P838">
        <v>1.0264626282876042</v>
      </c>
      <c r="Q838">
        <v>0.73959408324733378</v>
      </c>
      <c r="R838">
        <v>1.3520930232558144</v>
      </c>
      <c r="S838">
        <v>1.3520930232558144</v>
      </c>
      <c r="T838">
        <v>1.3878729583404956</v>
      </c>
    </row>
    <row r="839" spans="1:20" x14ac:dyDescent="0.25">
      <c r="A839" s="12" t="s">
        <v>58</v>
      </c>
      <c r="B839" s="12" t="s">
        <v>38</v>
      </c>
      <c r="C839" s="12" t="s">
        <v>13</v>
      </c>
      <c r="D839" s="12">
        <v>5.7758262507106339</v>
      </c>
      <c r="E839" s="12">
        <v>5.6999999999999993</v>
      </c>
      <c r="F839" s="12">
        <v>20</v>
      </c>
      <c r="G839" s="12">
        <v>5.6999999999999993</v>
      </c>
      <c r="H839" s="12">
        <v>4.1104779411764696</v>
      </c>
      <c r="I839" s="12" t="s">
        <v>133</v>
      </c>
      <c r="J839" s="6">
        <v>46317</v>
      </c>
      <c r="K839">
        <v>46317</v>
      </c>
      <c r="L839">
        <v>0.98687179159842187</v>
      </c>
      <c r="M839">
        <v>0.98687179159842187</v>
      </c>
      <c r="N839">
        <v>0.71166925090080979</v>
      </c>
      <c r="O839">
        <v>1.0133028510018658</v>
      </c>
      <c r="P839">
        <v>1.0133028510018658</v>
      </c>
      <c r="Q839">
        <v>0.72113648090815263</v>
      </c>
      <c r="R839">
        <v>1.3867000581369351</v>
      </c>
      <c r="S839">
        <v>1.3867000581369351</v>
      </c>
      <c r="T839">
        <v>1.4051471223946093</v>
      </c>
    </row>
    <row r="840" spans="1:20" x14ac:dyDescent="0.25">
      <c r="A840" s="12" t="s">
        <v>58</v>
      </c>
      <c r="B840" s="12" t="s">
        <v>38</v>
      </c>
      <c r="C840" s="12" t="s">
        <v>15</v>
      </c>
      <c r="D840" s="12">
        <v>1.2801831343566421</v>
      </c>
      <c r="E840" s="12">
        <v>0.95</v>
      </c>
      <c r="F840" s="12">
        <v>20</v>
      </c>
      <c r="G840" s="12">
        <v>0.95</v>
      </c>
      <c r="H840" s="12">
        <v>0.94117647058823517</v>
      </c>
      <c r="I840" s="12" t="s">
        <v>134</v>
      </c>
      <c r="J840" s="6">
        <v>46317</v>
      </c>
      <c r="K840">
        <v>46317</v>
      </c>
      <c r="L840">
        <v>0.74208132766678248</v>
      </c>
      <c r="M840">
        <v>0.74208132766678248</v>
      </c>
      <c r="N840">
        <v>0.73518893143458319</v>
      </c>
      <c r="O840">
        <v>1.3475611940596233</v>
      </c>
      <c r="P840">
        <v>1.3475611940596233</v>
      </c>
      <c r="Q840">
        <v>0.99071207430340547</v>
      </c>
      <c r="R840">
        <v>1.0093750000000001</v>
      </c>
      <c r="S840">
        <v>1.0093750000000001</v>
      </c>
      <c r="T840">
        <v>1.3601945802539324</v>
      </c>
    </row>
    <row r="841" spans="1:20" x14ac:dyDescent="0.25">
      <c r="A841" s="12" t="s">
        <v>58</v>
      </c>
      <c r="B841" s="12" t="s">
        <v>38</v>
      </c>
      <c r="C841" s="12" t="s">
        <v>14</v>
      </c>
      <c r="D841" s="12">
        <v>3.388720061532287</v>
      </c>
      <c r="E841" s="12">
        <v>8.5499999999999989</v>
      </c>
      <c r="F841" s="12">
        <v>20</v>
      </c>
      <c r="G841" s="12">
        <v>8.5499999999999989</v>
      </c>
      <c r="H841" s="12">
        <v>3.5949826989619367</v>
      </c>
      <c r="I841" s="12" t="s">
        <v>135</v>
      </c>
      <c r="J841" s="6">
        <v>46317</v>
      </c>
      <c r="K841">
        <v>46317</v>
      </c>
      <c r="L841">
        <v>2.523076514067061</v>
      </c>
      <c r="M841">
        <v>2.523076514067061</v>
      </c>
      <c r="N841">
        <v>1.0608674171027226</v>
      </c>
      <c r="O841">
        <v>0.39634152766459502</v>
      </c>
      <c r="P841">
        <v>0.39634152766459502</v>
      </c>
      <c r="Q841">
        <v>0.42046581274408623</v>
      </c>
      <c r="R841">
        <v>2.3783146445930994</v>
      </c>
      <c r="S841">
        <v>2.3783146445930994</v>
      </c>
      <c r="T841">
        <v>0.94262485950510733</v>
      </c>
    </row>
    <row r="842" spans="1:20" x14ac:dyDescent="0.25">
      <c r="A842" s="12" t="s">
        <v>58</v>
      </c>
      <c r="B842" s="12" t="s">
        <v>38</v>
      </c>
      <c r="C842" s="12" t="s">
        <v>14</v>
      </c>
      <c r="D842" s="12">
        <v>2.2591467076881915</v>
      </c>
      <c r="E842" s="12">
        <v>6.6499999999999995</v>
      </c>
      <c r="F842" s="12">
        <v>20</v>
      </c>
      <c r="G842" s="12">
        <v>6.6499999999999995</v>
      </c>
      <c r="H842" s="12">
        <v>2.6538062283737021</v>
      </c>
      <c r="I842" s="12" t="s">
        <v>138</v>
      </c>
      <c r="J842" s="6">
        <v>46318</v>
      </c>
      <c r="K842">
        <v>46318</v>
      </c>
      <c r="L842">
        <v>2.9435892664115708</v>
      </c>
      <c r="M842">
        <v>2.9435892664115708</v>
      </c>
      <c r="N842">
        <v>1.1746940645078203</v>
      </c>
      <c r="O842">
        <v>0.33972130942679574</v>
      </c>
      <c r="P842">
        <v>0.33972130942679574</v>
      </c>
      <c r="Q842">
        <v>0.39906860577048153</v>
      </c>
      <c r="R842">
        <v>2.5058348001825412</v>
      </c>
      <c r="S842">
        <v>2.5058348001825412</v>
      </c>
      <c r="T842">
        <v>0.85128547952524602</v>
      </c>
    </row>
    <row r="843" spans="1:20" x14ac:dyDescent="0.25">
      <c r="A843" s="12" t="s">
        <v>58</v>
      </c>
      <c r="B843" s="12" t="s">
        <v>38</v>
      </c>
      <c r="C843" s="12" t="s">
        <v>13</v>
      </c>
      <c r="D843" s="12">
        <v>4.5756545622512785</v>
      </c>
      <c r="E843" s="12">
        <v>4.75</v>
      </c>
      <c r="F843" s="12">
        <v>20</v>
      </c>
      <c r="G843" s="12">
        <v>4.75</v>
      </c>
      <c r="H843" s="12">
        <v>3.1104779411764705</v>
      </c>
      <c r="I843" s="12" t="s">
        <v>136</v>
      </c>
      <c r="J843" s="6">
        <v>46318</v>
      </c>
      <c r="K843">
        <v>46318</v>
      </c>
      <c r="L843">
        <v>1.0381028408890511</v>
      </c>
      <c r="M843">
        <v>1.0381028408890511</v>
      </c>
      <c r="N843">
        <v>0.67978862889642544</v>
      </c>
      <c r="O843">
        <v>0.96329569731605869</v>
      </c>
      <c r="P843">
        <v>0.96329569731605869</v>
      </c>
      <c r="Q843">
        <v>0.65483746130030962</v>
      </c>
      <c r="R843">
        <v>1.5270965072986231</v>
      </c>
      <c r="S843">
        <v>1.5270965072986231</v>
      </c>
      <c r="T843">
        <v>1.4710454948671448</v>
      </c>
    </row>
    <row r="844" spans="1:20" x14ac:dyDescent="0.25">
      <c r="A844" s="12" t="s">
        <v>58</v>
      </c>
      <c r="B844" s="12" t="s">
        <v>38</v>
      </c>
      <c r="C844" s="12" t="s">
        <v>15</v>
      </c>
      <c r="D844" s="12">
        <v>1.2801831343566421</v>
      </c>
      <c r="E844" s="12">
        <v>0.95</v>
      </c>
      <c r="F844" s="12">
        <v>20</v>
      </c>
      <c r="G844" s="12">
        <v>0.95</v>
      </c>
      <c r="H844" s="12">
        <v>0.94117647058823517</v>
      </c>
      <c r="I844" s="12" t="s">
        <v>137</v>
      </c>
      <c r="J844" s="6">
        <v>46318</v>
      </c>
      <c r="K844">
        <v>46318</v>
      </c>
      <c r="L844">
        <v>0.74208132766678248</v>
      </c>
      <c r="M844">
        <v>0.74208132766678248</v>
      </c>
      <c r="N844">
        <v>0.73518893143458319</v>
      </c>
      <c r="O844">
        <v>1.3475611940596233</v>
      </c>
      <c r="P844">
        <v>1.3475611940596233</v>
      </c>
      <c r="Q844">
        <v>0.99071207430340547</v>
      </c>
      <c r="R844">
        <v>1.0093750000000001</v>
      </c>
      <c r="S844">
        <v>1.0093750000000001</v>
      </c>
      <c r="T844">
        <v>1.3601945802539324</v>
      </c>
    </row>
    <row r="845" spans="1:20" x14ac:dyDescent="0.25">
      <c r="A845" s="12" t="s">
        <v>58</v>
      </c>
      <c r="B845" s="12" t="s">
        <v>38</v>
      </c>
      <c r="C845" s="12" t="s">
        <v>15</v>
      </c>
      <c r="D845" s="12">
        <v>1.2801831343566421</v>
      </c>
      <c r="E845" s="12">
        <v>0.95</v>
      </c>
      <c r="F845" s="12">
        <v>20</v>
      </c>
      <c r="G845" s="12">
        <v>0.95</v>
      </c>
      <c r="H845" s="12">
        <v>0.94117647058823517</v>
      </c>
      <c r="I845" s="12" t="s">
        <v>139</v>
      </c>
      <c r="J845" s="6">
        <v>46319</v>
      </c>
      <c r="K845">
        <v>46319</v>
      </c>
      <c r="L845">
        <v>0.74208132766678248</v>
      </c>
      <c r="M845">
        <v>0.74208132766678248</v>
      </c>
      <c r="N845">
        <v>0.73518893143458319</v>
      </c>
      <c r="O845">
        <v>1.3475611940596233</v>
      </c>
      <c r="P845">
        <v>1.3475611940596233</v>
      </c>
      <c r="Q845">
        <v>0.99071207430340547</v>
      </c>
      <c r="R845">
        <v>1.0093750000000001</v>
      </c>
      <c r="S845">
        <v>1.0093750000000001</v>
      </c>
      <c r="T845">
        <v>1.3601945802539324</v>
      </c>
    </row>
    <row r="846" spans="1:20" x14ac:dyDescent="0.25">
      <c r="A846" s="12" t="s">
        <v>58</v>
      </c>
      <c r="B846" s="12" t="s">
        <v>38</v>
      </c>
      <c r="C846" s="12" t="s">
        <v>14</v>
      </c>
      <c r="D846" s="12">
        <v>2.2591467076881915</v>
      </c>
      <c r="E846" s="12">
        <v>6.6499999999999995</v>
      </c>
      <c r="F846" s="12">
        <v>20</v>
      </c>
      <c r="G846" s="12">
        <v>6.6499999999999995</v>
      </c>
      <c r="H846" s="12">
        <v>2.1591695501730106</v>
      </c>
      <c r="I846" s="12" t="s">
        <v>140</v>
      </c>
      <c r="J846" s="6">
        <v>46319</v>
      </c>
      <c r="K846">
        <v>46319</v>
      </c>
      <c r="L846">
        <v>2.9435892664115708</v>
      </c>
      <c r="M846">
        <v>2.9435892664115708</v>
      </c>
      <c r="N846">
        <v>0.95574561086495857</v>
      </c>
      <c r="O846">
        <v>0.33972130942679574</v>
      </c>
      <c r="P846">
        <v>0.33972130942679574</v>
      </c>
      <c r="Q846">
        <v>0.3246871504019565</v>
      </c>
      <c r="R846">
        <v>3.0798878205128202</v>
      </c>
      <c r="S846">
        <v>3.0798878205128202</v>
      </c>
      <c r="T846">
        <v>1.0463035232722553</v>
      </c>
    </row>
    <row r="847" spans="1:20" x14ac:dyDescent="0.25">
      <c r="A847" s="12" t="s">
        <v>58</v>
      </c>
      <c r="B847" s="12" t="s">
        <v>38</v>
      </c>
      <c r="C847" s="12" t="s">
        <v>13</v>
      </c>
      <c r="D847" s="12">
        <v>4.2006009096077328</v>
      </c>
      <c r="E847" s="12">
        <v>4.75</v>
      </c>
      <c r="F847" s="12">
        <v>20</v>
      </c>
      <c r="G847" s="12">
        <v>4.75</v>
      </c>
      <c r="H847" s="12">
        <v>3.8235294117647038</v>
      </c>
      <c r="I847" s="12" t="s">
        <v>141</v>
      </c>
      <c r="J847" s="6">
        <v>46319</v>
      </c>
      <c r="K847">
        <v>46319</v>
      </c>
      <c r="L847">
        <v>1.1307905945398589</v>
      </c>
      <c r="M847">
        <v>1.1307905945398589</v>
      </c>
      <c r="N847">
        <v>0.91023391510948337</v>
      </c>
      <c r="O847">
        <v>0.88433703360162796</v>
      </c>
      <c r="P847">
        <v>0.88433703360162796</v>
      </c>
      <c r="Q847">
        <v>0.80495356037151655</v>
      </c>
      <c r="R847">
        <v>1.242307692307693</v>
      </c>
      <c r="S847">
        <v>1.242307692307693</v>
      </c>
      <c r="T847">
        <v>1.0986186994358691</v>
      </c>
    </row>
    <row r="848" spans="1:20" x14ac:dyDescent="0.25">
      <c r="A848" s="12" t="s">
        <v>58</v>
      </c>
      <c r="B848" s="12" t="s">
        <v>38</v>
      </c>
      <c r="C848" s="12" t="s">
        <v>15</v>
      </c>
      <c r="D848" s="12">
        <v>1.2801831343566421</v>
      </c>
      <c r="E848" s="12">
        <v>0.95</v>
      </c>
      <c r="F848" s="12">
        <v>20</v>
      </c>
      <c r="G848" s="12">
        <v>0.95</v>
      </c>
      <c r="H848" s="12">
        <v>0.94117647058823517</v>
      </c>
      <c r="I848" s="12" t="s">
        <v>142</v>
      </c>
      <c r="J848" s="6">
        <v>46320</v>
      </c>
      <c r="K848">
        <v>46320</v>
      </c>
      <c r="L848">
        <v>0.74208132766678248</v>
      </c>
      <c r="M848">
        <v>0.74208132766678248</v>
      </c>
      <c r="N848">
        <v>0.73518893143458319</v>
      </c>
      <c r="O848">
        <v>1.3475611940596233</v>
      </c>
      <c r="P848">
        <v>1.3475611940596233</v>
      </c>
      <c r="Q848">
        <v>0.99071207430340547</v>
      </c>
      <c r="R848">
        <v>1.0093750000000001</v>
      </c>
      <c r="S848">
        <v>1.0093750000000001</v>
      </c>
      <c r="T848">
        <v>1.3601945802539324</v>
      </c>
    </row>
    <row r="849" spans="1:20" x14ac:dyDescent="0.25">
      <c r="A849" s="12" t="s">
        <v>58</v>
      </c>
      <c r="B849" s="12" t="s">
        <v>38</v>
      </c>
      <c r="C849" s="12" t="s">
        <v>13</v>
      </c>
      <c r="D849" s="12">
        <v>2.4003433769187041</v>
      </c>
      <c r="E849" s="12">
        <v>4.75</v>
      </c>
      <c r="F849" s="12">
        <v>20</v>
      </c>
      <c r="G849" s="12">
        <v>4.75</v>
      </c>
      <c r="H849" s="12">
        <v>2.9411764705882359</v>
      </c>
      <c r="I849" s="12" t="s">
        <v>144</v>
      </c>
      <c r="J849" s="6">
        <v>46320</v>
      </c>
      <c r="K849">
        <v>46320</v>
      </c>
      <c r="L849">
        <v>1.9788835404447531</v>
      </c>
      <c r="M849">
        <v>1.9788835404447531</v>
      </c>
      <c r="N849">
        <v>1.2253148857243057</v>
      </c>
      <c r="O849">
        <v>0.50533544777235873</v>
      </c>
      <c r="P849">
        <v>0.50533544777235873</v>
      </c>
      <c r="Q849">
        <v>0.61919504643962864</v>
      </c>
      <c r="R849">
        <v>1.6149999999999995</v>
      </c>
      <c r="S849">
        <v>1.6149999999999995</v>
      </c>
      <c r="T849">
        <v>0.81611674815235924</v>
      </c>
    </row>
    <row r="850" spans="1:20" x14ac:dyDescent="0.25">
      <c r="A850" s="12" t="s">
        <v>58</v>
      </c>
      <c r="B850" s="12" t="s">
        <v>38</v>
      </c>
      <c r="C850" s="12" t="s">
        <v>14</v>
      </c>
      <c r="D850" s="12">
        <v>2.2591467076881915</v>
      </c>
      <c r="E850" s="12">
        <v>4.75</v>
      </c>
      <c r="F850" s="12">
        <v>20</v>
      </c>
      <c r="G850" s="12">
        <v>4.75</v>
      </c>
      <c r="H850" s="12">
        <v>2.0484429065743948</v>
      </c>
      <c r="I850" s="12" t="s">
        <v>143</v>
      </c>
      <c r="J850" s="6">
        <v>46320</v>
      </c>
      <c r="K850">
        <v>46320</v>
      </c>
      <c r="L850">
        <v>2.1025637617225508</v>
      </c>
      <c r="M850">
        <v>2.1025637617225508</v>
      </c>
      <c r="N850">
        <v>0.90673301543598639</v>
      </c>
      <c r="O850">
        <v>0.47560983319751399</v>
      </c>
      <c r="P850">
        <v>0.47560983319751399</v>
      </c>
      <c r="Q850">
        <v>0.43125113822618838</v>
      </c>
      <c r="R850">
        <v>2.3188344594594592</v>
      </c>
      <c r="S850">
        <v>2.3188344594594592</v>
      </c>
      <c r="T850">
        <v>1.1028604704761609</v>
      </c>
    </row>
    <row r="851" spans="1:20" x14ac:dyDescent="0.25">
      <c r="A851" s="12" t="s">
        <v>59</v>
      </c>
      <c r="B851" s="12" t="s">
        <v>38</v>
      </c>
      <c r="C851" s="12" t="s">
        <v>13</v>
      </c>
      <c r="D851" s="12">
        <v>2.5896257225433525</v>
      </c>
      <c r="E851" s="12">
        <v>0.95</v>
      </c>
      <c r="F851" s="12">
        <v>20</v>
      </c>
      <c r="G851" s="12">
        <v>0.95</v>
      </c>
      <c r="H851" s="12">
        <v>0.88541666666666674</v>
      </c>
      <c r="I851" s="12" t="s">
        <v>63</v>
      </c>
      <c r="J851" s="6">
        <v>46293</v>
      </c>
      <c r="K851">
        <v>46293</v>
      </c>
      <c r="L851">
        <v>0.36684837956698052</v>
      </c>
      <c r="M851">
        <v>0.36684837956698052</v>
      </c>
      <c r="N851">
        <v>0.34190912569290949</v>
      </c>
      <c r="O851">
        <v>2.725921813203529</v>
      </c>
      <c r="P851">
        <v>2.725921813203529</v>
      </c>
      <c r="Q851">
        <v>0.93201754385964919</v>
      </c>
      <c r="R851">
        <v>1.0729411764705881</v>
      </c>
      <c r="S851">
        <v>1.0729411764705881</v>
      </c>
      <c r="T851">
        <v>2.9247537572254334</v>
      </c>
    </row>
    <row r="852" spans="1:20" x14ac:dyDescent="0.25">
      <c r="A852" s="12" t="s">
        <v>59</v>
      </c>
      <c r="B852" s="12" t="s">
        <v>38</v>
      </c>
      <c r="C852" s="12" t="s">
        <v>15</v>
      </c>
      <c r="D852" s="12">
        <v>2.7622674373795766</v>
      </c>
      <c r="E852" s="12">
        <v>3.8</v>
      </c>
      <c r="F852" s="12">
        <v>20</v>
      </c>
      <c r="G852" s="12">
        <v>3.8</v>
      </c>
      <c r="H852" s="12">
        <v>2.0078431372549019</v>
      </c>
      <c r="I852" s="12" t="s">
        <v>61</v>
      </c>
      <c r="J852" s="6">
        <v>46293</v>
      </c>
      <c r="K852">
        <v>46293</v>
      </c>
      <c r="L852">
        <v>1.3756814233761767</v>
      </c>
      <c r="M852">
        <v>1.3756814233761767</v>
      </c>
      <c r="N852">
        <v>0.72688223815129249</v>
      </c>
      <c r="O852">
        <v>0.72691248352094129</v>
      </c>
      <c r="P852">
        <v>0.72691248352094129</v>
      </c>
      <c r="Q852">
        <v>0.52837977296181637</v>
      </c>
      <c r="R852">
        <v>1.892578125</v>
      </c>
      <c r="S852">
        <v>1.892578125</v>
      </c>
      <c r="T852">
        <v>1.3757386651011563</v>
      </c>
    </row>
    <row r="853" spans="1:20" x14ac:dyDescent="0.25">
      <c r="A853" s="12" t="s">
        <v>59</v>
      </c>
      <c r="B853" s="12" t="s">
        <v>38</v>
      </c>
      <c r="C853" s="12" t="s">
        <v>14</v>
      </c>
      <c r="D853" s="12">
        <v>2.4372947976878616</v>
      </c>
      <c r="E853" s="12">
        <v>2.8499999999999996</v>
      </c>
      <c r="F853" s="12">
        <v>20</v>
      </c>
      <c r="G853" s="12">
        <v>2.8499999999999996</v>
      </c>
      <c r="H853" s="12">
        <v>1.9382929642445217</v>
      </c>
      <c r="I853" s="12" t="s">
        <v>62</v>
      </c>
      <c r="J853" s="6">
        <v>46293</v>
      </c>
      <c r="K853">
        <v>46293</v>
      </c>
      <c r="L853">
        <v>1.1693292098697501</v>
      </c>
      <c r="M853">
        <v>1.1693292098697501</v>
      </c>
      <c r="N853">
        <v>0.79526406328987465</v>
      </c>
      <c r="O853">
        <v>0.85519115708346027</v>
      </c>
      <c r="P853">
        <v>0.85519115708346027</v>
      </c>
      <c r="Q853">
        <v>0.68010279447176203</v>
      </c>
      <c r="R853">
        <v>1.4703659625111569</v>
      </c>
      <c r="S853">
        <v>1.4703659625111569</v>
      </c>
      <c r="T853">
        <v>1.2574439688160521</v>
      </c>
    </row>
    <row r="854" spans="1:20" x14ac:dyDescent="0.25">
      <c r="A854" s="12" t="s">
        <v>59</v>
      </c>
      <c r="B854" s="12" t="s">
        <v>38</v>
      </c>
      <c r="C854" s="12" t="s">
        <v>13</v>
      </c>
      <c r="D854" s="12">
        <v>3.7321076589595377</v>
      </c>
      <c r="E854" s="12">
        <v>3.8</v>
      </c>
      <c r="F854" s="12">
        <v>20</v>
      </c>
      <c r="G854" s="12">
        <v>3.8</v>
      </c>
      <c r="H854" s="12">
        <v>2.0061274509803924</v>
      </c>
      <c r="I854" s="12" t="s">
        <v>64</v>
      </c>
      <c r="J854" s="6">
        <v>46294</v>
      </c>
      <c r="K854">
        <v>46294</v>
      </c>
      <c r="L854">
        <v>1.0181914208389662</v>
      </c>
      <c r="M854">
        <v>1.0181914208389662</v>
      </c>
      <c r="N854">
        <v>0.53753204202573146</v>
      </c>
      <c r="O854">
        <v>0.98213359446303627</v>
      </c>
      <c r="P854">
        <v>0.98213359446303627</v>
      </c>
      <c r="Q854">
        <v>0.52792827657378749</v>
      </c>
      <c r="R854">
        <v>1.8941967012828342</v>
      </c>
      <c r="S854">
        <v>1.8941967012828342</v>
      </c>
      <c r="T854">
        <v>1.8603542148509362</v>
      </c>
    </row>
    <row r="855" spans="1:20" x14ac:dyDescent="0.25">
      <c r="A855" s="12" t="s">
        <v>59</v>
      </c>
      <c r="B855" s="12" t="s">
        <v>38</v>
      </c>
      <c r="C855" s="12" t="s">
        <v>15</v>
      </c>
      <c r="D855" s="12">
        <v>2.7622674373795766</v>
      </c>
      <c r="E855" s="12">
        <v>3.8</v>
      </c>
      <c r="F855" s="12">
        <v>20</v>
      </c>
      <c r="G855" s="12">
        <v>3.8</v>
      </c>
      <c r="H855" s="12">
        <v>2.0078431372549019</v>
      </c>
      <c r="I855" s="12" t="s">
        <v>65</v>
      </c>
      <c r="J855" s="6">
        <v>46294</v>
      </c>
      <c r="K855">
        <v>46294</v>
      </c>
      <c r="L855">
        <v>1.3756814233761767</v>
      </c>
      <c r="M855">
        <v>1.3756814233761767</v>
      </c>
      <c r="N855">
        <v>0.72688223815129249</v>
      </c>
      <c r="O855">
        <v>0.72691248352094129</v>
      </c>
      <c r="P855">
        <v>0.72691248352094129</v>
      </c>
      <c r="Q855">
        <v>0.52837977296181637</v>
      </c>
      <c r="R855">
        <v>1.892578125</v>
      </c>
      <c r="S855">
        <v>1.892578125</v>
      </c>
      <c r="T855">
        <v>1.3757386651011563</v>
      </c>
    </row>
    <row r="856" spans="1:20" x14ac:dyDescent="0.25">
      <c r="A856" s="12" t="s">
        <v>59</v>
      </c>
      <c r="B856" s="12" t="s">
        <v>38</v>
      </c>
      <c r="C856" s="12" t="s">
        <v>14</v>
      </c>
      <c r="D856" s="12">
        <v>2.4372947976878616</v>
      </c>
      <c r="E856" s="12">
        <v>3.8</v>
      </c>
      <c r="F856" s="12">
        <v>20</v>
      </c>
      <c r="G856" s="12">
        <v>3.8</v>
      </c>
      <c r="H856" s="12">
        <v>2.1049596309111882</v>
      </c>
      <c r="I856" s="12" t="s">
        <v>66</v>
      </c>
      <c r="J856" s="6">
        <v>46294</v>
      </c>
      <c r="K856">
        <v>46294</v>
      </c>
      <c r="L856">
        <v>1.559105613159667</v>
      </c>
      <c r="M856">
        <v>1.559105613159667</v>
      </c>
      <c r="N856">
        <v>0.86364588842845647</v>
      </c>
      <c r="O856">
        <v>0.64139336781259515</v>
      </c>
      <c r="P856">
        <v>0.64139336781259515</v>
      </c>
      <c r="Q856">
        <v>0.55393674497662848</v>
      </c>
      <c r="R856">
        <v>1.8052602739726025</v>
      </c>
      <c r="S856">
        <v>1.8052602739726025</v>
      </c>
      <c r="T856">
        <v>1.1578819669015759</v>
      </c>
    </row>
    <row r="857" spans="1:20" x14ac:dyDescent="0.25">
      <c r="A857" s="12" t="s">
        <v>59</v>
      </c>
      <c r="B857" s="12" t="s">
        <v>38</v>
      </c>
      <c r="C857" s="12" t="s">
        <v>13</v>
      </c>
      <c r="D857" s="12">
        <v>2.5134602601156062</v>
      </c>
      <c r="E857" s="12">
        <v>4.75</v>
      </c>
      <c r="F857" s="12">
        <v>20</v>
      </c>
      <c r="G857" s="12">
        <v>4.75</v>
      </c>
      <c r="H857" s="12">
        <v>2.7144607843137254</v>
      </c>
      <c r="I857" s="12" t="s">
        <v>67</v>
      </c>
      <c r="J857" s="6">
        <v>46295</v>
      </c>
      <c r="K857">
        <v>46295</v>
      </c>
      <c r="L857">
        <v>1.889824985648082</v>
      </c>
      <c r="M857">
        <v>1.889824985648082</v>
      </c>
      <c r="N857">
        <v>1.0799696447911511</v>
      </c>
      <c r="O857">
        <v>0.52914952844539076</v>
      </c>
      <c r="P857">
        <v>0.52914952844539076</v>
      </c>
      <c r="Q857">
        <v>0.57146542827657376</v>
      </c>
      <c r="R857">
        <v>1.7498871331828443</v>
      </c>
      <c r="S857">
        <v>1.7498871331828443</v>
      </c>
      <c r="T857">
        <v>0.92595195135635877</v>
      </c>
    </row>
    <row r="858" spans="1:20" x14ac:dyDescent="0.25">
      <c r="A858" s="12" t="s">
        <v>59</v>
      </c>
      <c r="B858" s="12" t="s">
        <v>38</v>
      </c>
      <c r="C858" s="12" t="s">
        <v>14</v>
      </c>
      <c r="D858" s="12">
        <v>2.4372947976878616</v>
      </c>
      <c r="E858" s="12">
        <v>4.75</v>
      </c>
      <c r="F858" s="12">
        <v>20</v>
      </c>
      <c r="G858" s="12">
        <v>4.75</v>
      </c>
      <c r="H858" s="12">
        <v>2.4382929642445212</v>
      </c>
      <c r="I858" s="12" t="s">
        <v>69</v>
      </c>
      <c r="J858" s="6">
        <v>46295</v>
      </c>
      <c r="K858">
        <v>46295</v>
      </c>
      <c r="L858">
        <v>1.9488820164495837</v>
      </c>
      <c r="M858">
        <v>1.9488820164495837</v>
      </c>
      <c r="N858">
        <v>1.00040953870562</v>
      </c>
      <c r="O858">
        <v>0.51311469425007616</v>
      </c>
      <c r="P858">
        <v>0.51311469425007616</v>
      </c>
      <c r="Q858">
        <v>0.51332483457779399</v>
      </c>
      <c r="R858">
        <v>1.9480842005676444</v>
      </c>
      <c r="S858">
        <v>1.9480842005676444</v>
      </c>
      <c r="T858">
        <v>0.99959062894767081</v>
      </c>
    </row>
    <row r="859" spans="1:20" x14ac:dyDescent="0.25">
      <c r="A859" s="12" t="s">
        <v>59</v>
      </c>
      <c r="B859" s="12" t="s">
        <v>38</v>
      </c>
      <c r="C859" s="12" t="s">
        <v>15</v>
      </c>
      <c r="D859" s="12">
        <v>2.7622674373795766</v>
      </c>
      <c r="E859" s="12">
        <v>3.8</v>
      </c>
      <c r="F859" s="12">
        <v>20</v>
      </c>
      <c r="G859" s="12">
        <v>3.8</v>
      </c>
      <c r="H859" s="12">
        <v>2.0078431372549019</v>
      </c>
      <c r="I859" s="12" t="s">
        <v>68</v>
      </c>
      <c r="J859" s="6">
        <v>46295</v>
      </c>
      <c r="K859">
        <v>46295</v>
      </c>
      <c r="L859">
        <v>1.3756814233761767</v>
      </c>
      <c r="M859">
        <v>1.3756814233761767</v>
      </c>
      <c r="N859">
        <v>0.72688223815129249</v>
      </c>
      <c r="O859">
        <v>0.72691248352094129</v>
      </c>
      <c r="P859">
        <v>0.72691248352094129</v>
      </c>
      <c r="Q859">
        <v>0.52837977296181637</v>
      </c>
      <c r="R859">
        <v>1.892578125</v>
      </c>
      <c r="S859">
        <v>1.892578125</v>
      </c>
      <c r="T859">
        <v>1.3757386651011563</v>
      </c>
    </row>
    <row r="860" spans="1:20" x14ac:dyDescent="0.25">
      <c r="A860" s="12" t="s">
        <v>59</v>
      </c>
      <c r="B860" s="12" t="s">
        <v>38</v>
      </c>
      <c r="C860" s="12" t="s">
        <v>14</v>
      </c>
      <c r="D860" s="12">
        <v>2.4372947976878616</v>
      </c>
      <c r="E860" s="12">
        <v>2.8499999999999996</v>
      </c>
      <c r="F860" s="12">
        <v>20</v>
      </c>
      <c r="G860" s="12">
        <v>2.8499999999999996</v>
      </c>
      <c r="H860" s="12">
        <v>1.8823529411764703</v>
      </c>
      <c r="I860" s="12" t="s">
        <v>71</v>
      </c>
      <c r="J860" s="6">
        <v>46296</v>
      </c>
      <c r="K860">
        <v>46296</v>
      </c>
      <c r="L860">
        <v>1.1693292098697501</v>
      </c>
      <c r="M860">
        <v>1.1693292098697501</v>
      </c>
      <c r="N860">
        <v>0.77231237803574826</v>
      </c>
      <c r="O860">
        <v>0.85519115708346027</v>
      </c>
      <c r="P860">
        <v>0.85519115708346027</v>
      </c>
      <c r="Q860">
        <v>0.66047471620227038</v>
      </c>
      <c r="R860">
        <v>1.5140625000000001</v>
      </c>
      <c r="S860">
        <v>1.5140625000000001</v>
      </c>
      <c r="T860">
        <v>1.2948128612716767</v>
      </c>
    </row>
    <row r="861" spans="1:20" x14ac:dyDescent="0.25">
      <c r="A861" s="12" t="s">
        <v>59</v>
      </c>
      <c r="B861" s="12" t="s">
        <v>38</v>
      </c>
      <c r="C861" s="12" t="s">
        <v>13</v>
      </c>
      <c r="D861" s="12">
        <v>3.884438583815029</v>
      </c>
      <c r="E861" s="12">
        <v>1.9</v>
      </c>
      <c r="F861" s="12">
        <v>20</v>
      </c>
      <c r="G861" s="12">
        <v>1.9</v>
      </c>
      <c r="H861" s="12">
        <v>1.1176470588235294</v>
      </c>
      <c r="I861" s="12" t="s">
        <v>70</v>
      </c>
      <c r="J861" s="6">
        <v>46296</v>
      </c>
      <c r="K861">
        <v>46296</v>
      </c>
      <c r="L861">
        <v>0.48913117275597401</v>
      </c>
      <c r="M861">
        <v>0.48913117275597401</v>
      </c>
      <c r="N861">
        <v>0.28772421926822001</v>
      </c>
      <c r="O861">
        <v>2.0444413599026467</v>
      </c>
      <c r="P861">
        <v>2.0444413599026467</v>
      </c>
      <c r="Q861">
        <v>0.58823529411764708</v>
      </c>
      <c r="R861">
        <v>1.7</v>
      </c>
      <c r="S861">
        <v>1.7</v>
      </c>
      <c r="T861">
        <v>3.4755503118344997</v>
      </c>
    </row>
    <row r="862" spans="1:20" x14ac:dyDescent="0.25">
      <c r="A862" s="12" t="s">
        <v>59</v>
      </c>
      <c r="B862" s="12" t="s">
        <v>38</v>
      </c>
      <c r="C862" s="12" t="s">
        <v>15</v>
      </c>
      <c r="D862" s="12">
        <v>2.7622674373795766</v>
      </c>
      <c r="E862" s="12">
        <v>3.8</v>
      </c>
      <c r="F862" s="12">
        <v>20</v>
      </c>
      <c r="G862" s="12">
        <v>3.8</v>
      </c>
      <c r="H862" s="12">
        <v>2.0078431372549019</v>
      </c>
      <c r="I862" s="12" t="s">
        <v>72</v>
      </c>
      <c r="J862" s="6">
        <v>46296</v>
      </c>
      <c r="K862">
        <v>46296</v>
      </c>
      <c r="L862">
        <v>1.3756814233761767</v>
      </c>
      <c r="M862">
        <v>1.3756814233761767</v>
      </c>
      <c r="N862">
        <v>0.72688223815129249</v>
      </c>
      <c r="O862">
        <v>0.72691248352094129</v>
      </c>
      <c r="P862">
        <v>0.72691248352094129</v>
      </c>
      <c r="Q862">
        <v>0.52837977296181637</v>
      </c>
      <c r="R862">
        <v>1.892578125</v>
      </c>
      <c r="S862">
        <v>1.892578125</v>
      </c>
      <c r="T862">
        <v>1.3757386651011563</v>
      </c>
    </row>
    <row r="863" spans="1:20" x14ac:dyDescent="0.25">
      <c r="A863" s="12" t="s">
        <v>59</v>
      </c>
      <c r="B863" s="12" t="s">
        <v>38</v>
      </c>
      <c r="C863" s="12" t="s">
        <v>13</v>
      </c>
      <c r="D863" s="12">
        <v>3.8082731213872831</v>
      </c>
      <c r="E863" s="12">
        <v>3.8</v>
      </c>
      <c r="F863" s="12">
        <v>20</v>
      </c>
      <c r="G863" s="12">
        <v>3.8</v>
      </c>
      <c r="H863" s="12">
        <v>2.0061274509803924</v>
      </c>
      <c r="I863" s="12" t="s">
        <v>73</v>
      </c>
      <c r="J863" s="6">
        <v>46297</v>
      </c>
      <c r="K863">
        <v>46297</v>
      </c>
      <c r="L863">
        <v>0.99782759242218699</v>
      </c>
      <c r="M863">
        <v>0.99782759242218699</v>
      </c>
      <c r="N863">
        <v>0.52678140118521688</v>
      </c>
      <c r="O863">
        <v>1.0021771372071797</v>
      </c>
      <c r="P863">
        <v>1.0021771372071797</v>
      </c>
      <c r="Q863">
        <v>0.52792827657378749</v>
      </c>
      <c r="R863">
        <v>1.8941967012828342</v>
      </c>
      <c r="S863">
        <v>1.8941967012828342</v>
      </c>
      <c r="T863">
        <v>1.8983206273989144</v>
      </c>
    </row>
    <row r="864" spans="1:20" x14ac:dyDescent="0.25">
      <c r="A864" s="12" t="s">
        <v>59</v>
      </c>
      <c r="B864" s="12" t="s">
        <v>38</v>
      </c>
      <c r="C864" s="12" t="s">
        <v>15</v>
      </c>
      <c r="D864" s="12">
        <v>2.7622674373795766</v>
      </c>
      <c r="E864" s="12">
        <v>3.8</v>
      </c>
      <c r="F864" s="12">
        <v>20</v>
      </c>
      <c r="G864" s="12">
        <v>3.8</v>
      </c>
      <c r="H864" s="12">
        <v>2.0078431372549019</v>
      </c>
      <c r="I864" s="12" t="s">
        <v>74</v>
      </c>
      <c r="J864" s="6">
        <v>46297</v>
      </c>
      <c r="K864">
        <v>46297</v>
      </c>
      <c r="L864">
        <v>1.3756814233761767</v>
      </c>
      <c r="M864">
        <v>1.3756814233761767</v>
      </c>
      <c r="N864">
        <v>0.72688223815129249</v>
      </c>
      <c r="O864">
        <v>0.72691248352094129</v>
      </c>
      <c r="P864">
        <v>0.72691248352094129</v>
      </c>
      <c r="Q864">
        <v>0.52837977296181637</v>
      </c>
      <c r="R864">
        <v>1.892578125</v>
      </c>
      <c r="S864">
        <v>1.892578125</v>
      </c>
      <c r="T864">
        <v>1.3757386651011563</v>
      </c>
    </row>
    <row r="865" spans="1:20" x14ac:dyDescent="0.25">
      <c r="A865" s="12" t="s">
        <v>59</v>
      </c>
      <c r="B865" s="12" t="s">
        <v>38</v>
      </c>
      <c r="C865" s="12" t="s">
        <v>14</v>
      </c>
      <c r="D865" s="12">
        <v>2.4372947976878616</v>
      </c>
      <c r="E865" s="12">
        <v>3.8</v>
      </c>
      <c r="F865" s="12">
        <v>20</v>
      </c>
      <c r="G865" s="12">
        <v>3.8</v>
      </c>
      <c r="H865" s="12">
        <v>2.1049596309111882</v>
      </c>
      <c r="I865" s="12" t="s">
        <v>75</v>
      </c>
      <c r="J865" s="6">
        <v>46297</v>
      </c>
      <c r="K865">
        <v>46297</v>
      </c>
      <c r="L865">
        <v>1.559105613159667</v>
      </c>
      <c r="M865">
        <v>1.559105613159667</v>
      </c>
      <c r="N865">
        <v>0.86364588842845647</v>
      </c>
      <c r="O865">
        <v>0.64139336781259515</v>
      </c>
      <c r="P865">
        <v>0.64139336781259515</v>
      </c>
      <c r="Q865">
        <v>0.55393674497662848</v>
      </c>
      <c r="R865">
        <v>1.8052602739726025</v>
      </c>
      <c r="S865">
        <v>1.8052602739726025</v>
      </c>
      <c r="T865">
        <v>1.1578819669015759</v>
      </c>
    </row>
    <row r="866" spans="1:20" x14ac:dyDescent="0.25">
      <c r="A866" s="12" t="s">
        <v>59</v>
      </c>
      <c r="B866" s="12" t="s">
        <v>38</v>
      </c>
      <c r="C866" s="12" t="s">
        <v>14</v>
      </c>
      <c r="D866" s="12">
        <v>2.4372947976878612</v>
      </c>
      <c r="E866" s="12">
        <v>2.8499999999999996</v>
      </c>
      <c r="F866" s="12">
        <v>20</v>
      </c>
      <c r="G866" s="12">
        <v>2.8499999999999996</v>
      </c>
      <c r="H866" s="12">
        <v>1.9930795847750864</v>
      </c>
      <c r="I866" s="12" t="s">
        <v>78</v>
      </c>
      <c r="J866" s="6">
        <v>46298</v>
      </c>
      <c r="K866">
        <v>46298</v>
      </c>
      <c r="L866">
        <v>1.1693292098697503</v>
      </c>
      <c r="M866">
        <v>1.1693292098697503</v>
      </c>
      <c r="N866">
        <v>0.81774251792020425</v>
      </c>
      <c r="O866">
        <v>0.85519115708346016</v>
      </c>
      <c r="P866">
        <v>0.85519115708346016</v>
      </c>
      <c r="Q866">
        <v>0.69932617009652165</v>
      </c>
      <c r="R866">
        <v>1.4299479166666667</v>
      </c>
      <c r="S866">
        <v>1.4299479166666667</v>
      </c>
      <c r="T866">
        <v>1.2228788134232498</v>
      </c>
    </row>
    <row r="867" spans="1:20" x14ac:dyDescent="0.25">
      <c r="A867" s="12" t="s">
        <v>59</v>
      </c>
      <c r="B867" s="12" t="s">
        <v>38</v>
      </c>
      <c r="C867" s="12" t="s">
        <v>15</v>
      </c>
      <c r="D867" s="12">
        <v>2.7622674373795766</v>
      </c>
      <c r="E867" s="12">
        <v>3.8</v>
      </c>
      <c r="F867" s="12">
        <v>20</v>
      </c>
      <c r="G867" s="12">
        <v>3.8</v>
      </c>
      <c r="H867" s="12">
        <v>2.0078431372549019</v>
      </c>
      <c r="I867" s="12" t="s">
        <v>76</v>
      </c>
      <c r="J867" s="6">
        <v>46298</v>
      </c>
      <c r="K867">
        <v>46298</v>
      </c>
      <c r="L867">
        <v>1.3756814233761767</v>
      </c>
      <c r="M867">
        <v>1.3756814233761767</v>
      </c>
      <c r="N867">
        <v>0.72688223815129249</v>
      </c>
      <c r="O867">
        <v>0.72691248352094129</v>
      </c>
      <c r="P867">
        <v>0.72691248352094129</v>
      </c>
      <c r="Q867">
        <v>0.52837977296181637</v>
      </c>
      <c r="R867">
        <v>1.892578125</v>
      </c>
      <c r="S867">
        <v>1.892578125</v>
      </c>
      <c r="T867">
        <v>1.3757386651011563</v>
      </c>
    </row>
    <row r="868" spans="1:20" x14ac:dyDescent="0.25">
      <c r="A868" s="12" t="s">
        <v>59</v>
      </c>
      <c r="B868" s="12" t="s">
        <v>38</v>
      </c>
      <c r="C868" s="12" t="s">
        <v>13</v>
      </c>
      <c r="D868" s="12">
        <v>0</v>
      </c>
      <c r="E868" s="12">
        <v>2.8499999999999996</v>
      </c>
      <c r="F868" s="12">
        <v>20</v>
      </c>
      <c r="G868" s="12">
        <v>2.8499999999999996</v>
      </c>
      <c r="H868" s="12">
        <v>2</v>
      </c>
      <c r="I868" s="12" t="s">
        <v>77</v>
      </c>
      <c r="J868" s="6">
        <v>46298</v>
      </c>
      <c r="K868">
        <v>46298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0.70175438596491235</v>
      </c>
      <c r="R868">
        <v>1.4249999999999998</v>
      </c>
      <c r="S868">
        <v>1.4249999999999998</v>
      </c>
      <c r="T868">
        <v>0</v>
      </c>
    </row>
    <row r="869" spans="1:20" x14ac:dyDescent="0.25">
      <c r="A869" s="12" t="s">
        <v>59</v>
      </c>
      <c r="B869" s="12" t="s">
        <v>38</v>
      </c>
      <c r="C869" s="12" t="s">
        <v>13</v>
      </c>
      <c r="D869" s="12">
        <v>0</v>
      </c>
      <c r="E869" s="12">
        <v>2.8499999999999996</v>
      </c>
      <c r="F869" s="12">
        <v>20</v>
      </c>
      <c r="G869" s="12">
        <v>2.8499999999999996</v>
      </c>
      <c r="H869" s="12">
        <v>2</v>
      </c>
      <c r="I869" s="12" t="s">
        <v>79</v>
      </c>
      <c r="J869" s="6">
        <v>46299</v>
      </c>
      <c r="K869">
        <v>46299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0.70175438596491235</v>
      </c>
      <c r="R869">
        <v>1.4249999999999998</v>
      </c>
      <c r="S869">
        <v>1.4249999999999998</v>
      </c>
      <c r="T869">
        <v>0</v>
      </c>
    </row>
    <row r="870" spans="1:20" x14ac:dyDescent="0.25">
      <c r="A870" s="12" t="s">
        <v>59</v>
      </c>
      <c r="B870" s="12" t="s">
        <v>38</v>
      </c>
      <c r="C870" s="12" t="s">
        <v>15</v>
      </c>
      <c r="D870" s="12">
        <v>2.7622674373795766</v>
      </c>
      <c r="E870" s="12">
        <v>3.8</v>
      </c>
      <c r="F870" s="12">
        <v>20</v>
      </c>
      <c r="G870" s="12">
        <v>3.8</v>
      </c>
      <c r="H870" s="12">
        <v>2.0078431372549019</v>
      </c>
      <c r="I870" s="12" t="s">
        <v>81</v>
      </c>
      <c r="J870" s="6">
        <v>46299</v>
      </c>
      <c r="K870">
        <v>46299</v>
      </c>
      <c r="L870">
        <v>1.3756814233761767</v>
      </c>
      <c r="M870">
        <v>1.3756814233761767</v>
      </c>
      <c r="N870">
        <v>0.72688223815129249</v>
      </c>
      <c r="O870">
        <v>0.72691248352094129</v>
      </c>
      <c r="P870">
        <v>0.72691248352094129</v>
      </c>
      <c r="Q870">
        <v>0.52837977296181637</v>
      </c>
      <c r="R870">
        <v>1.892578125</v>
      </c>
      <c r="S870">
        <v>1.892578125</v>
      </c>
      <c r="T870">
        <v>1.3757386651011563</v>
      </c>
    </row>
    <row r="871" spans="1:20" x14ac:dyDescent="0.25">
      <c r="A871" s="12" t="s">
        <v>59</v>
      </c>
      <c r="B871" s="12" t="s">
        <v>38</v>
      </c>
      <c r="C871" s="12" t="s">
        <v>14</v>
      </c>
      <c r="D871" s="12">
        <v>2.4372947976878616</v>
      </c>
      <c r="E871" s="12">
        <v>2.8499999999999996</v>
      </c>
      <c r="F871" s="12">
        <v>20</v>
      </c>
      <c r="G871" s="12">
        <v>2.8499999999999996</v>
      </c>
      <c r="H871" s="12">
        <v>1.9930795847750864</v>
      </c>
      <c r="I871" s="12" t="s">
        <v>80</v>
      </c>
      <c r="J871" s="6">
        <v>46299</v>
      </c>
      <c r="K871">
        <v>46299</v>
      </c>
      <c r="L871">
        <v>1.1693292098697501</v>
      </c>
      <c r="M871">
        <v>1.1693292098697501</v>
      </c>
      <c r="N871">
        <v>0.81774251792020414</v>
      </c>
      <c r="O871">
        <v>0.85519115708346027</v>
      </c>
      <c r="P871">
        <v>0.85519115708346027</v>
      </c>
      <c r="Q871">
        <v>0.69932617009652165</v>
      </c>
      <c r="R871">
        <v>1.4299479166666667</v>
      </c>
      <c r="S871">
        <v>1.4299479166666667</v>
      </c>
      <c r="T871">
        <v>1.22287881342325</v>
      </c>
    </row>
    <row r="872" spans="1:20" x14ac:dyDescent="0.25">
      <c r="A872" s="12" t="s">
        <v>59</v>
      </c>
      <c r="B872" s="12" t="s">
        <v>38</v>
      </c>
      <c r="C872" s="12" t="s">
        <v>15</v>
      </c>
      <c r="D872" s="12">
        <v>2.7622674373795766</v>
      </c>
      <c r="E872" s="12">
        <v>3.8</v>
      </c>
      <c r="F872" s="12">
        <v>20</v>
      </c>
      <c r="G872" s="12">
        <v>3.8</v>
      </c>
      <c r="H872" s="12">
        <v>2.0080610021786489</v>
      </c>
      <c r="I872" s="12" t="s">
        <v>82</v>
      </c>
      <c r="J872" s="6">
        <v>46300</v>
      </c>
      <c r="K872">
        <v>46300</v>
      </c>
      <c r="L872">
        <v>1.3756814233761767</v>
      </c>
      <c r="M872">
        <v>1.3756814233761767</v>
      </c>
      <c r="N872">
        <v>0.7269611099219252</v>
      </c>
      <c r="O872">
        <v>0.72691248352094129</v>
      </c>
      <c r="P872">
        <v>0.72691248352094129</v>
      </c>
      <c r="Q872">
        <v>0.52843710583648662</v>
      </c>
      <c r="R872">
        <v>1.8923727894108715</v>
      </c>
      <c r="S872">
        <v>1.8923727894108715</v>
      </c>
      <c r="T872">
        <v>1.3755894040981076</v>
      </c>
    </row>
    <row r="873" spans="1:20" x14ac:dyDescent="0.25">
      <c r="A873" s="12" t="s">
        <v>59</v>
      </c>
      <c r="B873" s="12" t="s">
        <v>38</v>
      </c>
      <c r="C873" s="12" t="s">
        <v>13</v>
      </c>
      <c r="D873" s="12">
        <v>2.5134602601156062</v>
      </c>
      <c r="E873" s="12">
        <v>3.8</v>
      </c>
      <c r="F873" s="12">
        <v>20</v>
      </c>
      <c r="G873" s="12">
        <v>3.8</v>
      </c>
      <c r="H873" s="12">
        <v>2</v>
      </c>
      <c r="I873" s="12" t="s">
        <v>84</v>
      </c>
      <c r="J873" s="6">
        <v>46300</v>
      </c>
      <c r="K873">
        <v>46300</v>
      </c>
      <c r="L873">
        <v>1.5118599885184656</v>
      </c>
      <c r="M873">
        <v>1.5118599885184656</v>
      </c>
      <c r="N873">
        <v>0.79571578343077143</v>
      </c>
      <c r="O873">
        <v>0.66143691055673848</v>
      </c>
      <c r="P873">
        <v>0.66143691055673848</v>
      </c>
      <c r="Q873">
        <v>0.52631578947368418</v>
      </c>
      <c r="R873">
        <v>1.9</v>
      </c>
      <c r="S873">
        <v>1.9</v>
      </c>
      <c r="T873">
        <v>1.2567301300578031</v>
      </c>
    </row>
    <row r="874" spans="1:20" x14ac:dyDescent="0.25">
      <c r="A874" s="12" t="s">
        <v>59</v>
      </c>
      <c r="B874" s="12" t="s">
        <v>38</v>
      </c>
      <c r="C874" s="12" t="s">
        <v>14</v>
      </c>
      <c r="D874" s="12">
        <v>2.5089799387963283</v>
      </c>
      <c r="E874" s="12">
        <v>3.8</v>
      </c>
      <c r="F874" s="12">
        <v>20</v>
      </c>
      <c r="G874" s="12">
        <v>3.8</v>
      </c>
      <c r="H874" s="12">
        <v>2.0517108804306035</v>
      </c>
      <c r="I874" s="12" t="s">
        <v>83</v>
      </c>
      <c r="J874" s="6">
        <v>46300</v>
      </c>
      <c r="K874">
        <v>46300</v>
      </c>
      <c r="L874">
        <v>1.5145597384979621</v>
      </c>
      <c r="M874">
        <v>1.5145597384979621</v>
      </c>
      <c r="N874">
        <v>0.81774702487852591</v>
      </c>
      <c r="O874">
        <v>0.66025787863061269</v>
      </c>
      <c r="P874">
        <v>0.66025787863061269</v>
      </c>
      <c r="Q874">
        <v>0.53992391590279043</v>
      </c>
      <c r="R874">
        <v>1.852112808020238</v>
      </c>
      <c r="S874">
        <v>1.852112808020238</v>
      </c>
      <c r="T874">
        <v>1.2228720736080296</v>
      </c>
    </row>
    <row r="875" spans="1:20" x14ac:dyDescent="0.25">
      <c r="A875" s="12" t="s">
        <v>59</v>
      </c>
      <c r="B875" s="12" t="s">
        <v>38</v>
      </c>
      <c r="C875" s="12" t="s">
        <v>14</v>
      </c>
      <c r="D875" s="12">
        <v>2.4372947976878616</v>
      </c>
      <c r="E875" s="12">
        <v>3.8</v>
      </c>
      <c r="F875" s="12">
        <v>20</v>
      </c>
      <c r="G875" s="12">
        <v>3.8</v>
      </c>
      <c r="H875" s="12">
        <v>2.0490196078431371</v>
      </c>
      <c r="I875" s="12" t="s">
        <v>85</v>
      </c>
      <c r="J875" s="6">
        <v>46301</v>
      </c>
      <c r="K875">
        <v>46301</v>
      </c>
      <c r="L875">
        <v>1.559105613159667</v>
      </c>
      <c r="M875">
        <v>1.559105613159667</v>
      </c>
      <c r="N875">
        <v>0.84069420317433019</v>
      </c>
      <c r="O875">
        <v>0.64139336781259515</v>
      </c>
      <c r="P875">
        <v>0.64139336781259515</v>
      </c>
      <c r="Q875">
        <v>0.53921568627450978</v>
      </c>
      <c r="R875">
        <v>1.8545454545454547</v>
      </c>
      <c r="S875">
        <v>1.8545454545454547</v>
      </c>
      <c r="T875">
        <v>1.1894931548524492</v>
      </c>
    </row>
    <row r="876" spans="1:20" x14ac:dyDescent="0.25">
      <c r="A876" s="12" t="s">
        <v>59</v>
      </c>
      <c r="B876" s="12" t="s">
        <v>38</v>
      </c>
      <c r="C876" s="12" t="s">
        <v>13</v>
      </c>
      <c r="D876" s="12">
        <v>3.8082731213872831</v>
      </c>
      <c r="E876" s="12">
        <v>3.8</v>
      </c>
      <c r="F876" s="12">
        <v>20</v>
      </c>
      <c r="G876" s="12">
        <v>3.8</v>
      </c>
      <c r="H876" s="12">
        <v>2.0030637254901964</v>
      </c>
      <c r="I876" s="12" t="s">
        <v>87</v>
      </c>
      <c r="J876" s="6">
        <v>46301</v>
      </c>
      <c r="K876">
        <v>46301</v>
      </c>
      <c r="L876">
        <v>0.99782759242218699</v>
      </c>
      <c r="M876">
        <v>0.99782759242218699</v>
      </c>
      <c r="N876">
        <v>0.52597690912476291</v>
      </c>
      <c r="O876">
        <v>1.0021771372071797</v>
      </c>
      <c r="P876">
        <v>1.0021771372071797</v>
      </c>
      <c r="Q876">
        <v>0.52712203302373595</v>
      </c>
      <c r="R876">
        <v>1.897093912511471</v>
      </c>
      <c r="S876">
        <v>1.897093912511471</v>
      </c>
      <c r="T876">
        <v>1.9012241462539141</v>
      </c>
    </row>
    <row r="877" spans="1:20" x14ac:dyDescent="0.25">
      <c r="A877" s="12" t="s">
        <v>59</v>
      </c>
      <c r="B877" s="12" t="s">
        <v>38</v>
      </c>
      <c r="C877" s="12" t="s">
        <v>15</v>
      </c>
      <c r="D877" s="12">
        <v>2.7622674373795766</v>
      </c>
      <c r="E877" s="12">
        <v>3.8</v>
      </c>
      <c r="F877" s="12">
        <v>20</v>
      </c>
      <c r="G877" s="12">
        <v>3.8</v>
      </c>
      <c r="H877" s="12">
        <v>2.0078431372549019</v>
      </c>
      <c r="I877" s="12" t="s">
        <v>86</v>
      </c>
      <c r="J877" s="6">
        <v>46301</v>
      </c>
      <c r="K877">
        <v>46301</v>
      </c>
      <c r="L877">
        <v>1.3756814233761767</v>
      </c>
      <c r="M877">
        <v>1.3756814233761767</v>
      </c>
      <c r="N877">
        <v>0.72688223815129249</v>
      </c>
      <c r="O877">
        <v>0.72691248352094129</v>
      </c>
      <c r="P877">
        <v>0.72691248352094129</v>
      </c>
      <c r="Q877">
        <v>0.52837977296181637</v>
      </c>
      <c r="R877">
        <v>1.892578125</v>
      </c>
      <c r="S877">
        <v>1.892578125</v>
      </c>
      <c r="T877">
        <v>1.3757386651011563</v>
      </c>
    </row>
    <row r="878" spans="1:20" x14ac:dyDescent="0.25">
      <c r="A878" s="12" t="s">
        <v>59</v>
      </c>
      <c r="B878" s="12" t="s">
        <v>38</v>
      </c>
      <c r="C878" s="12" t="s">
        <v>14</v>
      </c>
      <c r="D878" s="12">
        <v>2.4372947976878616</v>
      </c>
      <c r="E878" s="12">
        <v>2.8499999999999996</v>
      </c>
      <c r="F878" s="12">
        <v>20</v>
      </c>
      <c r="G878" s="12">
        <v>2.8499999999999996</v>
      </c>
      <c r="H878" s="12">
        <v>1.9382929642445217</v>
      </c>
      <c r="I878" s="12" t="s">
        <v>88</v>
      </c>
      <c r="J878" s="6">
        <v>46302</v>
      </c>
      <c r="K878">
        <v>46302</v>
      </c>
      <c r="L878">
        <v>1.1693292098697501</v>
      </c>
      <c r="M878">
        <v>1.1693292098697501</v>
      </c>
      <c r="N878">
        <v>0.79526406328987465</v>
      </c>
      <c r="O878">
        <v>0.85519115708346027</v>
      </c>
      <c r="P878">
        <v>0.85519115708346027</v>
      </c>
      <c r="Q878">
        <v>0.68010279447176203</v>
      </c>
      <c r="R878">
        <v>1.4703659625111569</v>
      </c>
      <c r="S878">
        <v>1.4703659625111569</v>
      </c>
      <c r="T878">
        <v>1.2574439688160521</v>
      </c>
    </row>
    <row r="879" spans="1:20" x14ac:dyDescent="0.25">
      <c r="A879" s="12" t="s">
        <v>59</v>
      </c>
      <c r="B879" s="12" t="s">
        <v>38</v>
      </c>
      <c r="C879" s="12" t="s">
        <v>15</v>
      </c>
      <c r="D879" s="12">
        <v>2.7622674373795766</v>
      </c>
      <c r="E879" s="12">
        <v>3.8</v>
      </c>
      <c r="F879" s="12">
        <v>20</v>
      </c>
      <c r="G879" s="12">
        <v>3.8</v>
      </c>
      <c r="H879" s="12">
        <v>2.0078431372549019</v>
      </c>
      <c r="I879" s="12" t="s">
        <v>89</v>
      </c>
      <c r="J879" s="6">
        <v>46302</v>
      </c>
      <c r="K879">
        <v>46302</v>
      </c>
      <c r="L879">
        <v>1.3756814233761767</v>
      </c>
      <c r="M879">
        <v>1.3756814233761767</v>
      </c>
      <c r="N879">
        <v>0.72688223815129249</v>
      </c>
      <c r="O879">
        <v>0.72691248352094129</v>
      </c>
      <c r="P879">
        <v>0.72691248352094129</v>
      </c>
      <c r="Q879">
        <v>0.52837977296181637</v>
      </c>
      <c r="R879">
        <v>1.892578125</v>
      </c>
      <c r="S879">
        <v>1.892578125</v>
      </c>
      <c r="T879">
        <v>1.3757386651011563</v>
      </c>
    </row>
    <row r="880" spans="1:20" x14ac:dyDescent="0.25">
      <c r="A880" s="12" t="s">
        <v>59</v>
      </c>
      <c r="B880" s="12" t="s">
        <v>38</v>
      </c>
      <c r="C880" s="12" t="s">
        <v>13</v>
      </c>
      <c r="D880" s="12">
        <v>3.884438583815029</v>
      </c>
      <c r="E880" s="12">
        <v>2.8499999999999996</v>
      </c>
      <c r="F880" s="12">
        <v>20</v>
      </c>
      <c r="G880" s="12">
        <v>2.8499999999999996</v>
      </c>
      <c r="H880" s="12">
        <v>1.1207107843137256</v>
      </c>
      <c r="I880" s="12" t="s">
        <v>90</v>
      </c>
      <c r="J880" s="6">
        <v>46302</v>
      </c>
      <c r="K880">
        <v>46302</v>
      </c>
      <c r="L880">
        <v>0.73369675913396093</v>
      </c>
      <c r="M880">
        <v>0.73369675913396093</v>
      </c>
      <c r="N880">
        <v>0.28851293697454738</v>
      </c>
      <c r="O880">
        <v>1.3629609066017647</v>
      </c>
      <c r="P880">
        <v>1.3629609066017647</v>
      </c>
      <c r="Q880">
        <v>0.39323185414516693</v>
      </c>
      <c r="R880">
        <v>2.5430289775833783</v>
      </c>
      <c r="S880">
        <v>2.5430289775833783</v>
      </c>
      <c r="T880">
        <v>3.4660490808016</v>
      </c>
    </row>
    <row r="881" spans="1:20" x14ac:dyDescent="0.25">
      <c r="A881" s="12" t="s">
        <v>59</v>
      </c>
      <c r="B881" s="12" t="s">
        <v>38</v>
      </c>
      <c r="C881" s="12" t="s">
        <v>14</v>
      </c>
      <c r="D881" s="12">
        <v>2.4372947976878616</v>
      </c>
      <c r="E881" s="12">
        <v>3.8</v>
      </c>
      <c r="F881" s="12">
        <v>20</v>
      </c>
      <c r="G881" s="12">
        <v>3.8</v>
      </c>
      <c r="H881" s="12">
        <v>2.1049596309111882</v>
      </c>
      <c r="I881" s="12" t="s">
        <v>91</v>
      </c>
      <c r="J881" s="6">
        <v>46303</v>
      </c>
      <c r="K881">
        <v>46303</v>
      </c>
      <c r="L881">
        <v>1.559105613159667</v>
      </c>
      <c r="M881">
        <v>1.559105613159667</v>
      </c>
      <c r="N881">
        <v>0.86364588842845647</v>
      </c>
      <c r="O881">
        <v>0.64139336781259515</v>
      </c>
      <c r="P881">
        <v>0.64139336781259515</v>
      </c>
      <c r="Q881">
        <v>0.55393674497662848</v>
      </c>
      <c r="R881">
        <v>1.8052602739726025</v>
      </c>
      <c r="S881">
        <v>1.8052602739726025</v>
      </c>
      <c r="T881">
        <v>1.1578819669015759</v>
      </c>
    </row>
    <row r="882" spans="1:20" x14ac:dyDescent="0.25">
      <c r="A882" s="12" t="s">
        <v>59</v>
      </c>
      <c r="B882" s="12" t="s">
        <v>38</v>
      </c>
      <c r="C882" s="12" t="s">
        <v>13</v>
      </c>
      <c r="D882" s="12">
        <v>2.5134602601156062</v>
      </c>
      <c r="E882" s="12">
        <v>2.8499999999999996</v>
      </c>
      <c r="F882" s="12">
        <v>20</v>
      </c>
      <c r="G882" s="12">
        <v>2.8499999999999996</v>
      </c>
      <c r="H882" s="12">
        <v>2.0061274509803924</v>
      </c>
      <c r="I882" s="12" t="s">
        <v>93</v>
      </c>
      <c r="J882" s="6">
        <v>46303</v>
      </c>
      <c r="K882">
        <v>46303</v>
      </c>
      <c r="L882">
        <v>1.133894991388849</v>
      </c>
      <c r="M882">
        <v>1.133894991388849</v>
      </c>
      <c r="N882">
        <v>0.79815363815941964</v>
      </c>
      <c r="O882">
        <v>0.88191588074231808</v>
      </c>
      <c r="P882">
        <v>0.88191588074231808</v>
      </c>
      <c r="Q882">
        <v>0.70390436876505003</v>
      </c>
      <c r="R882">
        <v>1.4206475259621256</v>
      </c>
      <c r="S882">
        <v>1.4206475259621256</v>
      </c>
      <c r="T882">
        <v>1.2528916140832831</v>
      </c>
    </row>
    <row r="883" spans="1:20" x14ac:dyDescent="0.25">
      <c r="A883" s="12" t="s">
        <v>59</v>
      </c>
      <c r="B883" s="12" t="s">
        <v>38</v>
      </c>
      <c r="C883" s="12" t="s">
        <v>15</v>
      </c>
      <c r="D883" s="12">
        <v>2.7622674373795766</v>
      </c>
      <c r="E883" s="12">
        <v>3.8</v>
      </c>
      <c r="F883" s="12">
        <v>20</v>
      </c>
      <c r="G883" s="12">
        <v>3.8</v>
      </c>
      <c r="H883" s="12">
        <v>2.0078431372549019</v>
      </c>
      <c r="I883" s="12" t="s">
        <v>92</v>
      </c>
      <c r="J883" s="6">
        <v>46303</v>
      </c>
      <c r="K883">
        <v>46303</v>
      </c>
      <c r="L883">
        <v>1.3756814233761767</v>
      </c>
      <c r="M883">
        <v>1.3756814233761767</v>
      </c>
      <c r="N883">
        <v>0.72688223815129249</v>
      </c>
      <c r="O883">
        <v>0.72691248352094129</v>
      </c>
      <c r="P883">
        <v>0.72691248352094129</v>
      </c>
      <c r="Q883">
        <v>0.52837977296181637</v>
      </c>
      <c r="R883">
        <v>1.892578125</v>
      </c>
      <c r="S883">
        <v>1.892578125</v>
      </c>
      <c r="T883">
        <v>1.3757386651011563</v>
      </c>
    </row>
    <row r="884" spans="1:20" x14ac:dyDescent="0.25">
      <c r="A884" s="12" t="s">
        <v>59</v>
      </c>
      <c r="B884" s="12" t="s">
        <v>38</v>
      </c>
      <c r="C884" s="12" t="s">
        <v>13</v>
      </c>
      <c r="D884" s="12">
        <v>3.7321076589595377</v>
      </c>
      <c r="E884" s="12">
        <v>3.8</v>
      </c>
      <c r="F884" s="12">
        <v>20</v>
      </c>
      <c r="G884" s="12">
        <v>3.8</v>
      </c>
      <c r="H884" s="12">
        <v>2.0030637254901964</v>
      </c>
      <c r="I884" s="12" t="s">
        <v>95</v>
      </c>
      <c r="J884" s="6">
        <v>46304</v>
      </c>
      <c r="K884">
        <v>46304</v>
      </c>
      <c r="L884">
        <v>1.0181914208389662</v>
      </c>
      <c r="M884">
        <v>1.0181914208389662</v>
      </c>
      <c r="N884">
        <v>0.53671113175996221</v>
      </c>
      <c r="O884">
        <v>0.98213359446303627</v>
      </c>
      <c r="P884">
        <v>0.98213359446303627</v>
      </c>
      <c r="Q884">
        <v>0.52712203302373595</v>
      </c>
      <c r="R884">
        <v>1.897093912511471</v>
      </c>
      <c r="S884">
        <v>1.897093912511471</v>
      </c>
      <c r="T884">
        <v>1.8631996633288359</v>
      </c>
    </row>
    <row r="885" spans="1:20" x14ac:dyDescent="0.25">
      <c r="A885" s="12" t="s">
        <v>59</v>
      </c>
      <c r="B885" s="12" t="s">
        <v>38</v>
      </c>
      <c r="C885" s="12" t="s">
        <v>15</v>
      </c>
      <c r="D885" s="12">
        <v>2.7622674373795766</v>
      </c>
      <c r="E885" s="12">
        <v>3.8</v>
      </c>
      <c r="F885" s="12">
        <v>20</v>
      </c>
      <c r="G885" s="12">
        <v>3.8</v>
      </c>
      <c r="H885" s="12">
        <v>2.0078431372549019</v>
      </c>
      <c r="I885" s="12" t="s">
        <v>96</v>
      </c>
      <c r="J885" s="6">
        <v>46304</v>
      </c>
      <c r="K885">
        <v>46304</v>
      </c>
      <c r="L885">
        <v>1.3756814233761767</v>
      </c>
      <c r="M885">
        <v>1.3756814233761767</v>
      </c>
      <c r="N885">
        <v>0.72688223815129249</v>
      </c>
      <c r="O885">
        <v>0.72691248352094129</v>
      </c>
      <c r="P885">
        <v>0.72691248352094129</v>
      </c>
      <c r="Q885">
        <v>0.52837977296181637</v>
      </c>
      <c r="R885">
        <v>1.892578125</v>
      </c>
      <c r="S885">
        <v>1.892578125</v>
      </c>
      <c r="T885">
        <v>1.3757386651011563</v>
      </c>
    </row>
    <row r="886" spans="1:20" x14ac:dyDescent="0.25">
      <c r="A886" s="12" t="s">
        <v>59</v>
      </c>
      <c r="B886" s="12" t="s">
        <v>38</v>
      </c>
      <c r="C886" s="12" t="s">
        <v>14</v>
      </c>
      <c r="D886" s="12">
        <v>2.4372947976878616</v>
      </c>
      <c r="E886" s="12">
        <v>3.8</v>
      </c>
      <c r="F886" s="12">
        <v>20</v>
      </c>
      <c r="G886" s="12">
        <v>3.8</v>
      </c>
      <c r="H886" s="12">
        <v>2.0490196078431375</v>
      </c>
      <c r="I886" s="12" t="s">
        <v>94</v>
      </c>
      <c r="J886" s="6">
        <v>46304</v>
      </c>
      <c r="K886">
        <v>46304</v>
      </c>
      <c r="L886">
        <v>1.559105613159667</v>
      </c>
      <c r="M886">
        <v>1.559105613159667</v>
      </c>
      <c r="N886">
        <v>0.8406942031743303</v>
      </c>
      <c r="O886">
        <v>0.64139336781259515</v>
      </c>
      <c r="P886">
        <v>0.64139336781259515</v>
      </c>
      <c r="Q886">
        <v>0.53921568627450989</v>
      </c>
      <c r="R886">
        <v>1.8545454545454543</v>
      </c>
      <c r="S886">
        <v>1.8545454545454543</v>
      </c>
      <c r="T886">
        <v>1.189493154852449</v>
      </c>
    </row>
    <row r="887" spans="1:20" x14ac:dyDescent="0.25">
      <c r="A887" s="12" t="s">
        <v>59</v>
      </c>
      <c r="B887" s="12" t="s">
        <v>38</v>
      </c>
      <c r="C887" s="12" t="s">
        <v>15</v>
      </c>
      <c r="D887" s="12">
        <v>2.5997811175337189</v>
      </c>
      <c r="E887" s="12">
        <v>3.8</v>
      </c>
      <c r="F887" s="12">
        <v>20</v>
      </c>
      <c r="G887" s="12">
        <v>3.8</v>
      </c>
      <c r="H887" s="12">
        <v>2.0078431372549019</v>
      </c>
      <c r="I887" s="12" t="s">
        <v>99</v>
      </c>
      <c r="J887" s="6">
        <v>46305</v>
      </c>
      <c r="K887">
        <v>46305</v>
      </c>
      <c r="L887">
        <v>1.4616615123371879</v>
      </c>
      <c r="M887">
        <v>1.4616615123371879</v>
      </c>
      <c r="N887">
        <v>0.77231237803574837</v>
      </c>
      <c r="O887">
        <v>0.68415292566676811</v>
      </c>
      <c r="P887">
        <v>0.68415292566676811</v>
      </c>
      <c r="Q887">
        <v>0.52837977296181637</v>
      </c>
      <c r="R887">
        <v>1.892578125</v>
      </c>
      <c r="S887">
        <v>1.892578125</v>
      </c>
      <c r="T887">
        <v>1.2948128612716765</v>
      </c>
    </row>
    <row r="888" spans="1:20" x14ac:dyDescent="0.25">
      <c r="A888" s="12" t="s">
        <v>59</v>
      </c>
      <c r="B888" s="12" t="s">
        <v>38</v>
      </c>
      <c r="C888" s="12" t="s">
        <v>13</v>
      </c>
      <c r="D888" s="12">
        <v>0</v>
      </c>
      <c r="E888" s="12">
        <v>1.9</v>
      </c>
      <c r="F888" s="12">
        <v>20</v>
      </c>
      <c r="G888" s="12">
        <v>1.9</v>
      </c>
      <c r="H888" s="12">
        <v>0.23529411764705879</v>
      </c>
      <c r="I888" s="12" t="s">
        <v>98</v>
      </c>
      <c r="J888" s="6">
        <v>46305</v>
      </c>
      <c r="K888">
        <v>46305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0.12383900928792568</v>
      </c>
      <c r="R888">
        <v>8.0750000000000011</v>
      </c>
      <c r="S888">
        <v>8.0750000000000011</v>
      </c>
      <c r="T888">
        <v>0</v>
      </c>
    </row>
    <row r="889" spans="1:20" x14ac:dyDescent="0.25">
      <c r="A889" s="12" t="s">
        <v>59</v>
      </c>
      <c r="B889" s="12" t="s">
        <v>38</v>
      </c>
      <c r="C889" s="12" t="s">
        <v>14</v>
      </c>
      <c r="D889" s="12">
        <v>2.4372947976878616</v>
      </c>
      <c r="E889" s="12">
        <v>1.9</v>
      </c>
      <c r="F889" s="12">
        <v>20</v>
      </c>
      <c r="G889" s="12">
        <v>1.9</v>
      </c>
      <c r="H889" s="12">
        <v>1.7716262975778552</v>
      </c>
      <c r="I889" s="12" t="s">
        <v>97</v>
      </c>
      <c r="J889" s="6">
        <v>46305</v>
      </c>
      <c r="K889">
        <v>46305</v>
      </c>
      <c r="L889">
        <v>0.7795528065798335</v>
      </c>
      <c r="M889">
        <v>0.7795528065798335</v>
      </c>
      <c r="N889">
        <v>0.72688223815129283</v>
      </c>
      <c r="O889">
        <v>1.2827867356251903</v>
      </c>
      <c r="P889">
        <v>1.2827867356251903</v>
      </c>
      <c r="Q889">
        <v>0.93243489346202912</v>
      </c>
      <c r="R889">
        <v>1.0724609374999996</v>
      </c>
      <c r="S889">
        <v>1.0724609374999996</v>
      </c>
      <c r="T889">
        <v>1.3757386651011558</v>
      </c>
    </row>
    <row r="890" spans="1:20" x14ac:dyDescent="0.25">
      <c r="A890" s="12" t="s">
        <v>59</v>
      </c>
      <c r="B890" s="12" t="s">
        <v>38</v>
      </c>
      <c r="C890" s="12" t="s">
        <v>15</v>
      </c>
      <c r="D890" s="12">
        <v>2.7622674373795766</v>
      </c>
      <c r="E890" s="12">
        <v>3.8</v>
      </c>
      <c r="F890" s="12">
        <v>20</v>
      </c>
      <c r="G890" s="12">
        <v>3.8</v>
      </c>
      <c r="H890" s="12">
        <v>2.0078431372549019</v>
      </c>
      <c r="I890" s="12" t="s">
        <v>101</v>
      </c>
      <c r="J890" s="6">
        <v>46306</v>
      </c>
      <c r="K890">
        <v>46306</v>
      </c>
      <c r="L890">
        <v>1.3756814233761767</v>
      </c>
      <c r="M890">
        <v>1.3756814233761767</v>
      </c>
      <c r="N890">
        <v>0.72688223815129249</v>
      </c>
      <c r="O890">
        <v>0.72691248352094129</v>
      </c>
      <c r="P890">
        <v>0.72691248352094129</v>
      </c>
      <c r="Q890">
        <v>0.52837977296181637</v>
      </c>
      <c r="R890">
        <v>1.892578125</v>
      </c>
      <c r="S890">
        <v>1.892578125</v>
      </c>
      <c r="T890">
        <v>1.3757386651011563</v>
      </c>
    </row>
    <row r="891" spans="1:20" x14ac:dyDescent="0.25">
      <c r="A891" s="12" t="s">
        <v>59</v>
      </c>
      <c r="B891" s="12" t="s">
        <v>38</v>
      </c>
      <c r="C891" s="12" t="s">
        <v>14</v>
      </c>
      <c r="D891" s="12">
        <v>2.4372947976878616</v>
      </c>
      <c r="E891" s="12">
        <v>1.9</v>
      </c>
      <c r="F891" s="12">
        <v>20</v>
      </c>
      <c r="G891" s="12">
        <v>1.9</v>
      </c>
      <c r="H891" s="12">
        <v>1.7716262975778552</v>
      </c>
      <c r="I891" s="12" t="s">
        <v>100</v>
      </c>
      <c r="J891" s="6">
        <v>46306</v>
      </c>
      <c r="K891">
        <v>46306</v>
      </c>
      <c r="L891">
        <v>0.7795528065798335</v>
      </c>
      <c r="M891">
        <v>0.7795528065798335</v>
      </c>
      <c r="N891">
        <v>0.72688223815129283</v>
      </c>
      <c r="O891">
        <v>1.2827867356251903</v>
      </c>
      <c r="P891">
        <v>1.2827867356251903</v>
      </c>
      <c r="Q891">
        <v>0.93243489346202912</v>
      </c>
      <c r="R891">
        <v>1.0724609374999996</v>
      </c>
      <c r="S891">
        <v>1.0724609374999996</v>
      </c>
      <c r="T891">
        <v>1.3757386651011558</v>
      </c>
    </row>
    <row r="892" spans="1:20" x14ac:dyDescent="0.25">
      <c r="A892" s="12" t="s">
        <v>59</v>
      </c>
      <c r="B892" s="12" t="s">
        <v>38</v>
      </c>
      <c r="C892" s="12" t="s">
        <v>13</v>
      </c>
      <c r="D892" s="12">
        <v>0</v>
      </c>
      <c r="E892" s="12">
        <v>1.9</v>
      </c>
      <c r="F892" s="12">
        <v>20</v>
      </c>
      <c r="G892" s="12">
        <v>1.9</v>
      </c>
      <c r="H892" s="12">
        <v>0.23529411764705879</v>
      </c>
      <c r="I892" s="12" t="s">
        <v>102</v>
      </c>
      <c r="J892" s="6">
        <v>46306</v>
      </c>
      <c r="K892">
        <v>46306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0.12383900928792568</v>
      </c>
      <c r="R892">
        <v>8.0750000000000011</v>
      </c>
      <c r="S892">
        <v>8.0750000000000011</v>
      </c>
      <c r="T892">
        <v>0</v>
      </c>
    </row>
    <row r="893" spans="1:20" x14ac:dyDescent="0.25">
      <c r="A893" s="12" t="s">
        <v>59</v>
      </c>
      <c r="B893" s="12" t="s">
        <v>38</v>
      </c>
      <c r="C893" s="12" t="s">
        <v>14</v>
      </c>
      <c r="D893" s="12">
        <v>2.4372947976878616</v>
      </c>
      <c r="E893" s="12">
        <v>3.8</v>
      </c>
      <c r="F893" s="12">
        <v>20</v>
      </c>
      <c r="G893" s="12">
        <v>3.8</v>
      </c>
      <c r="H893" s="12">
        <v>2.0490196078431371</v>
      </c>
      <c r="I893" s="12" t="s">
        <v>103</v>
      </c>
      <c r="J893" s="6">
        <v>46307</v>
      </c>
      <c r="K893">
        <v>46307</v>
      </c>
      <c r="L893">
        <v>1.559105613159667</v>
      </c>
      <c r="M893">
        <v>1.559105613159667</v>
      </c>
      <c r="N893">
        <v>0.84069420317433019</v>
      </c>
      <c r="O893">
        <v>0.64139336781259515</v>
      </c>
      <c r="P893">
        <v>0.64139336781259515</v>
      </c>
      <c r="Q893">
        <v>0.53921568627450978</v>
      </c>
      <c r="R893">
        <v>1.8545454545454547</v>
      </c>
      <c r="S893">
        <v>1.8545454545454547</v>
      </c>
      <c r="T893">
        <v>1.1894931548524492</v>
      </c>
    </row>
    <row r="894" spans="1:20" x14ac:dyDescent="0.25">
      <c r="A894" s="12" t="s">
        <v>59</v>
      </c>
      <c r="B894" s="12" t="s">
        <v>38</v>
      </c>
      <c r="C894" s="12" t="s">
        <v>15</v>
      </c>
      <c r="D894" s="12">
        <v>2.7622674373795766</v>
      </c>
      <c r="E894" s="12">
        <v>3.8</v>
      </c>
      <c r="F894" s="12">
        <v>20</v>
      </c>
      <c r="G894" s="12">
        <v>3.8</v>
      </c>
      <c r="H894" s="12">
        <v>2.0078431372549019</v>
      </c>
      <c r="I894" s="12" t="s">
        <v>104</v>
      </c>
      <c r="J894" s="6">
        <v>46307</v>
      </c>
      <c r="K894">
        <v>46307</v>
      </c>
      <c r="L894">
        <v>1.3756814233761767</v>
      </c>
      <c r="M894">
        <v>1.3756814233761767</v>
      </c>
      <c r="N894">
        <v>0.72688223815129249</v>
      </c>
      <c r="O894">
        <v>0.72691248352094129</v>
      </c>
      <c r="P894">
        <v>0.72691248352094129</v>
      </c>
      <c r="Q894">
        <v>0.52837977296181637</v>
      </c>
      <c r="R894">
        <v>1.892578125</v>
      </c>
      <c r="S894">
        <v>1.892578125</v>
      </c>
      <c r="T894">
        <v>1.3757386651011563</v>
      </c>
    </row>
    <row r="895" spans="1:20" x14ac:dyDescent="0.25">
      <c r="A895" s="12" t="s">
        <v>59</v>
      </c>
      <c r="B895" s="12" t="s">
        <v>38</v>
      </c>
      <c r="C895" s="12" t="s">
        <v>13</v>
      </c>
      <c r="D895" s="12">
        <v>2.5896257225433525</v>
      </c>
      <c r="E895" s="12">
        <v>3.8</v>
      </c>
      <c r="F895" s="12">
        <v>20</v>
      </c>
      <c r="G895" s="12">
        <v>3.8</v>
      </c>
      <c r="H895" s="12">
        <v>2.0030637254901964</v>
      </c>
      <c r="I895" s="12" t="s">
        <v>105</v>
      </c>
      <c r="J895" s="6">
        <v>46307</v>
      </c>
      <c r="K895">
        <v>46307</v>
      </c>
      <c r="L895">
        <v>1.4673935182679221</v>
      </c>
      <c r="M895">
        <v>1.4673935182679221</v>
      </c>
      <c r="N895">
        <v>0.77349545459523961</v>
      </c>
      <c r="O895">
        <v>0.68148045330088225</v>
      </c>
      <c r="P895">
        <v>0.68148045330088225</v>
      </c>
      <c r="Q895">
        <v>0.52712203302373595</v>
      </c>
      <c r="R895">
        <v>1.897093912511471</v>
      </c>
      <c r="S895">
        <v>1.897093912511471</v>
      </c>
      <c r="T895">
        <v>1.2928324194526615</v>
      </c>
    </row>
    <row r="896" spans="1:20" x14ac:dyDescent="0.25">
      <c r="A896" s="12" t="s">
        <v>59</v>
      </c>
      <c r="B896" s="12" t="s">
        <v>38</v>
      </c>
      <c r="C896" s="12" t="s">
        <v>14</v>
      </c>
      <c r="D896" s="12">
        <v>2.4372947976878616</v>
      </c>
      <c r="E896" s="12">
        <v>3.8</v>
      </c>
      <c r="F896" s="12">
        <v>20</v>
      </c>
      <c r="G896" s="12">
        <v>3.8</v>
      </c>
      <c r="H896" s="12">
        <v>2.0490196078431371</v>
      </c>
      <c r="I896" s="12" t="s">
        <v>107</v>
      </c>
      <c r="J896" s="6">
        <v>46308</v>
      </c>
      <c r="K896">
        <v>46308</v>
      </c>
      <c r="L896">
        <v>1.559105613159667</v>
      </c>
      <c r="M896">
        <v>1.559105613159667</v>
      </c>
      <c r="N896">
        <v>0.84069420317433019</v>
      </c>
      <c r="O896">
        <v>0.64139336781259515</v>
      </c>
      <c r="P896">
        <v>0.64139336781259515</v>
      </c>
      <c r="Q896">
        <v>0.53921568627450978</v>
      </c>
      <c r="R896">
        <v>1.8545454545454547</v>
      </c>
      <c r="S896">
        <v>1.8545454545454547</v>
      </c>
      <c r="T896">
        <v>1.1894931548524492</v>
      </c>
    </row>
    <row r="897" spans="1:20" x14ac:dyDescent="0.25">
      <c r="A897" s="12" t="s">
        <v>59</v>
      </c>
      <c r="B897" s="12" t="s">
        <v>38</v>
      </c>
      <c r="C897" s="12" t="s">
        <v>15</v>
      </c>
      <c r="D897" s="12">
        <v>2.7622674373795766</v>
      </c>
      <c r="E897" s="12">
        <v>3.8</v>
      </c>
      <c r="F897" s="12">
        <v>20</v>
      </c>
      <c r="G897" s="12">
        <v>3.8</v>
      </c>
      <c r="H897" s="12">
        <v>2.0078431372549019</v>
      </c>
      <c r="I897" s="12" t="s">
        <v>106</v>
      </c>
      <c r="J897" s="6">
        <v>46308</v>
      </c>
      <c r="K897">
        <v>46308</v>
      </c>
      <c r="L897">
        <v>1.3756814233761767</v>
      </c>
      <c r="M897">
        <v>1.3756814233761767</v>
      </c>
      <c r="N897">
        <v>0.72688223815129249</v>
      </c>
      <c r="O897">
        <v>0.72691248352094129</v>
      </c>
      <c r="P897">
        <v>0.72691248352094129</v>
      </c>
      <c r="Q897">
        <v>0.52837977296181637</v>
      </c>
      <c r="R897">
        <v>1.892578125</v>
      </c>
      <c r="S897">
        <v>1.892578125</v>
      </c>
      <c r="T897">
        <v>1.3757386651011563</v>
      </c>
    </row>
    <row r="898" spans="1:20" x14ac:dyDescent="0.25">
      <c r="A898" s="12" t="s">
        <v>59</v>
      </c>
      <c r="B898" s="12" t="s">
        <v>38</v>
      </c>
      <c r="C898" s="12" t="s">
        <v>13</v>
      </c>
      <c r="D898" s="12">
        <v>3.7321076589595377</v>
      </c>
      <c r="E898" s="12">
        <v>3.8</v>
      </c>
      <c r="F898" s="12">
        <v>20</v>
      </c>
      <c r="G898" s="12">
        <v>3.8</v>
      </c>
      <c r="H898" s="12">
        <v>2.0030637254901964</v>
      </c>
      <c r="I898" s="12" t="s">
        <v>108</v>
      </c>
      <c r="J898" s="6">
        <v>46308</v>
      </c>
      <c r="K898">
        <v>46308</v>
      </c>
      <c r="L898">
        <v>1.0181914208389662</v>
      </c>
      <c r="M898">
        <v>1.0181914208389662</v>
      </c>
      <c r="N898">
        <v>0.53671113175996221</v>
      </c>
      <c r="O898">
        <v>0.98213359446303627</v>
      </c>
      <c r="P898">
        <v>0.98213359446303627</v>
      </c>
      <c r="Q898">
        <v>0.52712203302373595</v>
      </c>
      <c r="R898">
        <v>1.897093912511471</v>
      </c>
      <c r="S898">
        <v>1.897093912511471</v>
      </c>
      <c r="T898">
        <v>1.8631996633288359</v>
      </c>
    </row>
    <row r="899" spans="1:20" x14ac:dyDescent="0.25">
      <c r="A899" s="12" t="s">
        <v>59</v>
      </c>
      <c r="B899" s="12" t="s">
        <v>38</v>
      </c>
      <c r="C899" s="12" t="s">
        <v>14</v>
      </c>
      <c r="D899" s="12">
        <v>2.4372947976878616</v>
      </c>
      <c r="E899" s="12">
        <v>3.8</v>
      </c>
      <c r="F899" s="12">
        <v>20</v>
      </c>
      <c r="G899" s="12">
        <v>3.8</v>
      </c>
      <c r="H899" s="12">
        <v>2.0490196078431371</v>
      </c>
      <c r="I899" s="12" t="s">
        <v>110</v>
      </c>
      <c r="J899" s="6">
        <v>46309</v>
      </c>
      <c r="K899">
        <v>46309</v>
      </c>
      <c r="L899">
        <v>1.559105613159667</v>
      </c>
      <c r="M899">
        <v>1.559105613159667</v>
      </c>
      <c r="N899">
        <v>0.84069420317433019</v>
      </c>
      <c r="O899">
        <v>0.64139336781259515</v>
      </c>
      <c r="P899">
        <v>0.64139336781259515</v>
      </c>
      <c r="Q899">
        <v>0.53921568627450978</v>
      </c>
      <c r="R899">
        <v>1.8545454545454547</v>
      </c>
      <c r="S899">
        <v>1.8545454545454547</v>
      </c>
      <c r="T899">
        <v>1.1894931548524492</v>
      </c>
    </row>
    <row r="900" spans="1:20" x14ac:dyDescent="0.25">
      <c r="A900" s="12" t="s">
        <v>59</v>
      </c>
      <c r="B900" s="12" t="s">
        <v>38</v>
      </c>
      <c r="C900" s="12" t="s">
        <v>13</v>
      </c>
      <c r="D900" s="12">
        <v>2.5134602601156062</v>
      </c>
      <c r="E900" s="12">
        <v>3.8</v>
      </c>
      <c r="F900" s="12">
        <v>20</v>
      </c>
      <c r="G900" s="12">
        <v>3.8</v>
      </c>
      <c r="H900" s="12">
        <v>2.0030637254901964</v>
      </c>
      <c r="I900" s="12" t="s">
        <v>111</v>
      </c>
      <c r="J900" s="6">
        <v>46309</v>
      </c>
      <c r="K900">
        <v>46309</v>
      </c>
      <c r="L900">
        <v>1.5118599885184656</v>
      </c>
      <c r="M900">
        <v>1.5118599885184656</v>
      </c>
      <c r="N900">
        <v>0.79693471079509559</v>
      </c>
      <c r="O900">
        <v>0.66143691055673848</v>
      </c>
      <c r="P900">
        <v>0.66143691055673848</v>
      </c>
      <c r="Q900">
        <v>0.52712203302373595</v>
      </c>
      <c r="R900">
        <v>1.897093912511471</v>
      </c>
      <c r="S900">
        <v>1.897093912511471</v>
      </c>
      <c r="T900">
        <v>1.254807936527583</v>
      </c>
    </row>
    <row r="901" spans="1:20" x14ac:dyDescent="0.25">
      <c r="A901" s="12" t="s">
        <v>59</v>
      </c>
      <c r="B901" s="12" t="s">
        <v>38</v>
      </c>
      <c r="C901" s="12" t="s">
        <v>15</v>
      </c>
      <c r="D901" s="12">
        <v>2.7622674373795766</v>
      </c>
      <c r="E901" s="12">
        <v>3.8</v>
      </c>
      <c r="F901" s="12">
        <v>20</v>
      </c>
      <c r="G901" s="12">
        <v>3.8</v>
      </c>
      <c r="H901" s="12">
        <v>2.0078431372549019</v>
      </c>
      <c r="I901" s="12" t="s">
        <v>109</v>
      </c>
      <c r="J901" s="6">
        <v>46309</v>
      </c>
      <c r="K901">
        <v>46309</v>
      </c>
      <c r="L901">
        <v>1.3756814233761767</v>
      </c>
      <c r="M901">
        <v>1.3756814233761767</v>
      </c>
      <c r="N901">
        <v>0.72688223815129249</v>
      </c>
      <c r="O901">
        <v>0.72691248352094129</v>
      </c>
      <c r="P901">
        <v>0.72691248352094129</v>
      </c>
      <c r="Q901">
        <v>0.52837977296181637</v>
      </c>
      <c r="R901">
        <v>1.892578125</v>
      </c>
      <c r="S901">
        <v>1.892578125</v>
      </c>
      <c r="T901">
        <v>1.3757386651011563</v>
      </c>
    </row>
    <row r="902" spans="1:20" x14ac:dyDescent="0.25">
      <c r="A902" s="12" t="s">
        <v>59</v>
      </c>
      <c r="B902" s="12" t="s">
        <v>38</v>
      </c>
      <c r="C902" s="12" t="s">
        <v>14</v>
      </c>
      <c r="D902" s="12">
        <v>2.4372947976878616</v>
      </c>
      <c r="E902" s="12">
        <v>3.8</v>
      </c>
      <c r="F902" s="12">
        <v>20</v>
      </c>
      <c r="G902" s="12">
        <v>3.8</v>
      </c>
      <c r="H902" s="12">
        <v>2.1049596309111882</v>
      </c>
      <c r="I902" s="12" t="s">
        <v>113</v>
      </c>
      <c r="J902" s="6">
        <v>46310</v>
      </c>
      <c r="K902">
        <v>46310</v>
      </c>
      <c r="L902">
        <v>1.559105613159667</v>
      </c>
      <c r="M902">
        <v>1.559105613159667</v>
      </c>
      <c r="N902">
        <v>0.86364588842845647</v>
      </c>
      <c r="O902">
        <v>0.64139336781259515</v>
      </c>
      <c r="P902">
        <v>0.64139336781259515</v>
      </c>
      <c r="Q902">
        <v>0.55393674497662848</v>
      </c>
      <c r="R902">
        <v>1.8052602739726025</v>
      </c>
      <c r="S902">
        <v>1.8052602739726025</v>
      </c>
      <c r="T902">
        <v>1.1578819669015759</v>
      </c>
    </row>
    <row r="903" spans="1:20" x14ac:dyDescent="0.25">
      <c r="A903" s="12" t="s">
        <v>59</v>
      </c>
      <c r="B903" s="12" t="s">
        <v>38</v>
      </c>
      <c r="C903" s="12" t="s">
        <v>15</v>
      </c>
      <c r="D903" s="12">
        <v>2.7622674373795766</v>
      </c>
      <c r="E903" s="12">
        <v>3.8</v>
      </c>
      <c r="F903" s="12">
        <v>20</v>
      </c>
      <c r="G903" s="12">
        <v>3.8</v>
      </c>
      <c r="H903" s="12">
        <v>2.0078431372549019</v>
      </c>
      <c r="I903" s="12" t="s">
        <v>112</v>
      </c>
      <c r="J903" s="6">
        <v>46310</v>
      </c>
      <c r="K903">
        <v>46310</v>
      </c>
      <c r="L903">
        <v>1.3756814233761767</v>
      </c>
      <c r="M903">
        <v>1.3756814233761767</v>
      </c>
      <c r="N903">
        <v>0.72688223815129249</v>
      </c>
      <c r="O903">
        <v>0.72691248352094129</v>
      </c>
      <c r="P903">
        <v>0.72691248352094129</v>
      </c>
      <c r="Q903">
        <v>0.52837977296181637</v>
      </c>
      <c r="R903">
        <v>1.892578125</v>
      </c>
      <c r="S903">
        <v>1.892578125</v>
      </c>
      <c r="T903">
        <v>1.3757386651011563</v>
      </c>
    </row>
    <row r="904" spans="1:20" x14ac:dyDescent="0.25">
      <c r="A904" s="12" t="s">
        <v>59</v>
      </c>
      <c r="B904" s="12" t="s">
        <v>38</v>
      </c>
      <c r="C904" s="12" t="s">
        <v>13</v>
      </c>
      <c r="D904" s="12">
        <v>3.884438583815029</v>
      </c>
      <c r="E904" s="12">
        <v>2.8499999999999996</v>
      </c>
      <c r="F904" s="12">
        <v>20</v>
      </c>
      <c r="G904" s="12">
        <v>2.8499999999999996</v>
      </c>
      <c r="H904" s="12">
        <v>2.0061274509803924</v>
      </c>
      <c r="I904" s="12" t="s">
        <v>114</v>
      </c>
      <c r="J904" s="6">
        <v>46310</v>
      </c>
      <c r="K904">
        <v>46310</v>
      </c>
      <c r="L904">
        <v>0.73369675913396093</v>
      </c>
      <c r="M904">
        <v>0.73369675913396093</v>
      </c>
      <c r="N904">
        <v>0.51645235410315371</v>
      </c>
      <c r="O904">
        <v>1.3629609066017647</v>
      </c>
      <c r="P904">
        <v>1.3629609066017647</v>
      </c>
      <c r="Q904">
        <v>0.70390436876505003</v>
      </c>
      <c r="R904">
        <v>1.4206475259621256</v>
      </c>
      <c r="S904">
        <v>1.4206475259621256</v>
      </c>
      <c r="T904">
        <v>1.9362870399468928</v>
      </c>
    </row>
    <row r="905" spans="1:20" x14ac:dyDescent="0.25">
      <c r="A905" s="12" t="s">
        <v>59</v>
      </c>
      <c r="B905" s="12" t="s">
        <v>38</v>
      </c>
      <c r="C905" s="12" t="s">
        <v>14</v>
      </c>
      <c r="D905" s="12">
        <v>2.4372947976878616</v>
      </c>
      <c r="E905" s="12">
        <v>3.8</v>
      </c>
      <c r="F905" s="12">
        <v>20</v>
      </c>
      <c r="G905" s="12">
        <v>3.8</v>
      </c>
      <c r="H905" s="12">
        <v>2.1049596309111882</v>
      </c>
      <c r="I905" s="12" t="s">
        <v>116</v>
      </c>
      <c r="J905" s="6">
        <v>46311</v>
      </c>
      <c r="K905">
        <v>46311</v>
      </c>
      <c r="L905">
        <v>1.559105613159667</v>
      </c>
      <c r="M905">
        <v>1.559105613159667</v>
      </c>
      <c r="N905">
        <v>0.86364588842845647</v>
      </c>
      <c r="O905">
        <v>0.64139336781259515</v>
      </c>
      <c r="P905">
        <v>0.64139336781259515</v>
      </c>
      <c r="Q905">
        <v>0.55393674497662848</v>
      </c>
      <c r="R905">
        <v>1.8052602739726025</v>
      </c>
      <c r="S905">
        <v>1.8052602739726025</v>
      </c>
      <c r="T905">
        <v>1.1578819669015759</v>
      </c>
    </row>
    <row r="906" spans="1:20" x14ac:dyDescent="0.25">
      <c r="A906" s="12" t="s">
        <v>59</v>
      </c>
      <c r="B906" s="12" t="s">
        <v>38</v>
      </c>
      <c r="C906" s="12" t="s">
        <v>15</v>
      </c>
      <c r="D906" s="12">
        <v>2.7622674373795766</v>
      </c>
      <c r="E906" s="12">
        <v>3.8</v>
      </c>
      <c r="F906" s="12">
        <v>20</v>
      </c>
      <c r="G906" s="12">
        <v>3.8</v>
      </c>
      <c r="H906" s="12">
        <v>2.0078431372549019</v>
      </c>
      <c r="I906" s="12" t="s">
        <v>117</v>
      </c>
      <c r="J906" s="6">
        <v>46311</v>
      </c>
      <c r="K906">
        <v>46311</v>
      </c>
      <c r="L906">
        <v>1.3756814233761767</v>
      </c>
      <c r="M906">
        <v>1.3756814233761767</v>
      </c>
      <c r="N906">
        <v>0.72688223815129249</v>
      </c>
      <c r="O906">
        <v>0.72691248352094129</v>
      </c>
      <c r="P906">
        <v>0.72691248352094129</v>
      </c>
      <c r="Q906">
        <v>0.52837977296181637</v>
      </c>
      <c r="R906">
        <v>1.892578125</v>
      </c>
      <c r="S906">
        <v>1.892578125</v>
      </c>
      <c r="T906">
        <v>1.3757386651011563</v>
      </c>
    </row>
    <row r="907" spans="1:20" x14ac:dyDescent="0.25">
      <c r="A907" s="12" t="s">
        <v>59</v>
      </c>
      <c r="B907" s="12" t="s">
        <v>38</v>
      </c>
      <c r="C907" s="12" t="s">
        <v>13</v>
      </c>
      <c r="D907" s="12">
        <v>3.8082731213872831</v>
      </c>
      <c r="E907" s="12">
        <v>3.8</v>
      </c>
      <c r="F907" s="12">
        <v>20</v>
      </c>
      <c r="G907" s="12">
        <v>3.8</v>
      </c>
      <c r="H907" s="12">
        <v>2.0061274509803924</v>
      </c>
      <c r="I907" s="12" t="s">
        <v>115</v>
      </c>
      <c r="J907" s="6">
        <v>46311</v>
      </c>
      <c r="K907">
        <v>46311</v>
      </c>
      <c r="L907">
        <v>0.99782759242218699</v>
      </c>
      <c r="M907">
        <v>0.99782759242218699</v>
      </c>
      <c r="N907">
        <v>0.52678140118521688</v>
      </c>
      <c r="O907">
        <v>1.0021771372071797</v>
      </c>
      <c r="P907">
        <v>1.0021771372071797</v>
      </c>
      <c r="Q907">
        <v>0.52792827657378749</v>
      </c>
      <c r="R907">
        <v>1.8941967012828342</v>
      </c>
      <c r="S907">
        <v>1.8941967012828342</v>
      </c>
      <c r="T907">
        <v>1.8983206273989144</v>
      </c>
    </row>
    <row r="908" spans="1:20" x14ac:dyDescent="0.25">
      <c r="A908" s="12" t="s">
        <v>59</v>
      </c>
      <c r="B908" s="12" t="s">
        <v>38</v>
      </c>
      <c r="C908" s="12" t="s">
        <v>14</v>
      </c>
      <c r="D908" s="12">
        <v>2.4372947976878616</v>
      </c>
      <c r="E908" s="12">
        <v>2.8499999999999996</v>
      </c>
      <c r="F908" s="12">
        <v>20</v>
      </c>
      <c r="G908" s="12">
        <v>2.8499999999999996</v>
      </c>
      <c r="H908" s="12">
        <v>1.8823529411764703</v>
      </c>
      <c r="I908" s="12" t="s">
        <v>118</v>
      </c>
      <c r="J908" s="6">
        <v>46312</v>
      </c>
      <c r="K908">
        <v>46312</v>
      </c>
      <c r="L908">
        <v>1.1693292098697501</v>
      </c>
      <c r="M908">
        <v>1.1693292098697501</v>
      </c>
      <c r="N908">
        <v>0.77231237803574826</v>
      </c>
      <c r="O908">
        <v>0.85519115708346027</v>
      </c>
      <c r="P908">
        <v>0.85519115708346027</v>
      </c>
      <c r="Q908">
        <v>0.66047471620227038</v>
      </c>
      <c r="R908">
        <v>1.5140625000000001</v>
      </c>
      <c r="S908">
        <v>1.5140625000000001</v>
      </c>
      <c r="T908">
        <v>1.2948128612716767</v>
      </c>
    </row>
    <row r="909" spans="1:20" x14ac:dyDescent="0.25">
      <c r="A909" s="12" t="s">
        <v>59</v>
      </c>
      <c r="B909" s="12" t="s">
        <v>38</v>
      </c>
      <c r="C909" s="12" t="s">
        <v>15</v>
      </c>
      <c r="D909" s="12">
        <v>2.7622674373795766</v>
      </c>
      <c r="E909" s="12">
        <v>3.8</v>
      </c>
      <c r="F909" s="12">
        <v>20</v>
      </c>
      <c r="G909" s="12">
        <v>3.8</v>
      </c>
      <c r="H909" s="12">
        <v>2.0078431372549019</v>
      </c>
      <c r="I909" s="12" t="s">
        <v>120</v>
      </c>
      <c r="J909" s="6">
        <v>46312</v>
      </c>
      <c r="K909">
        <v>46312</v>
      </c>
      <c r="L909">
        <v>1.3756814233761767</v>
      </c>
      <c r="M909">
        <v>1.3756814233761767</v>
      </c>
      <c r="N909">
        <v>0.72688223815129249</v>
      </c>
      <c r="O909">
        <v>0.72691248352094129</v>
      </c>
      <c r="P909">
        <v>0.72691248352094129</v>
      </c>
      <c r="Q909">
        <v>0.52837977296181637</v>
      </c>
      <c r="R909">
        <v>1.892578125</v>
      </c>
      <c r="S909">
        <v>1.892578125</v>
      </c>
      <c r="T909">
        <v>1.3757386651011563</v>
      </c>
    </row>
    <row r="910" spans="1:20" x14ac:dyDescent="0.25">
      <c r="A910" s="12" t="s">
        <v>59</v>
      </c>
      <c r="B910" s="12" t="s">
        <v>38</v>
      </c>
      <c r="C910" s="12" t="s">
        <v>13</v>
      </c>
      <c r="D910" s="12">
        <v>0</v>
      </c>
      <c r="E910" s="12">
        <v>2.8499999999999996</v>
      </c>
      <c r="F910" s="12">
        <v>20</v>
      </c>
      <c r="G910" s="12">
        <v>2.8499999999999996</v>
      </c>
      <c r="H910" s="12">
        <v>1.1176470588235294</v>
      </c>
      <c r="I910" s="12" t="s">
        <v>119</v>
      </c>
      <c r="J910" s="6">
        <v>46312</v>
      </c>
      <c r="K910">
        <v>46312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0.39215686274509809</v>
      </c>
      <c r="R910">
        <v>2.5499999999999998</v>
      </c>
      <c r="S910">
        <v>2.5499999999999998</v>
      </c>
      <c r="T910">
        <v>0</v>
      </c>
    </row>
    <row r="911" spans="1:20" x14ac:dyDescent="0.25">
      <c r="A911" s="12" t="s">
        <v>59</v>
      </c>
      <c r="B911" s="12" t="s">
        <v>38</v>
      </c>
      <c r="C911" s="12" t="s">
        <v>13</v>
      </c>
      <c r="D911" s="12">
        <v>0</v>
      </c>
      <c r="E911" s="12">
        <v>2.8499999999999996</v>
      </c>
      <c r="F911" s="12">
        <v>20</v>
      </c>
      <c r="G911" s="12">
        <v>2.8499999999999996</v>
      </c>
      <c r="H911" s="12">
        <v>1.1176470588235294</v>
      </c>
      <c r="I911" s="12" t="s">
        <v>121</v>
      </c>
      <c r="J911" s="6">
        <v>46313</v>
      </c>
      <c r="K911">
        <v>46313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0.39215686274509809</v>
      </c>
      <c r="R911">
        <v>2.5499999999999998</v>
      </c>
      <c r="S911">
        <v>2.5499999999999998</v>
      </c>
      <c r="T911">
        <v>0</v>
      </c>
    </row>
    <row r="912" spans="1:20" x14ac:dyDescent="0.25">
      <c r="A912" s="12" t="s">
        <v>59</v>
      </c>
      <c r="B912" s="12" t="s">
        <v>38</v>
      </c>
      <c r="C912" s="12" t="s">
        <v>15</v>
      </c>
      <c r="D912" s="12">
        <v>2.7622674373795766</v>
      </c>
      <c r="E912" s="12">
        <v>3.8</v>
      </c>
      <c r="F912" s="12">
        <v>20</v>
      </c>
      <c r="G912" s="12">
        <v>3.8</v>
      </c>
      <c r="H912" s="12">
        <v>2.0078431372549019</v>
      </c>
      <c r="I912" s="12" t="s">
        <v>122</v>
      </c>
      <c r="J912" s="6">
        <v>46313</v>
      </c>
      <c r="K912">
        <v>46313</v>
      </c>
      <c r="L912">
        <v>1.3756814233761767</v>
      </c>
      <c r="M912">
        <v>1.3756814233761767</v>
      </c>
      <c r="N912">
        <v>0.72688223815129249</v>
      </c>
      <c r="O912">
        <v>0.72691248352094129</v>
      </c>
      <c r="P912">
        <v>0.72691248352094129</v>
      </c>
      <c r="Q912">
        <v>0.52837977296181637</v>
      </c>
      <c r="R912">
        <v>1.892578125</v>
      </c>
      <c r="S912">
        <v>1.892578125</v>
      </c>
      <c r="T912">
        <v>1.3757386651011563</v>
      </c>
    </row>
    <row r="913" spans="1:20" x14ac:dyDescent="0.25">
      <c r="A913" s="12" t="s">
        <v>59</v>
      </c>
      <c r="B913" s="12" t="s">
        <v>38</v>
      </c>
      <c r="C913" s="12" t="s">
        <v>14</v>
      </c>
      <c r="D913" s="12">
        <v>2.4372947976878616</v>
      </c>
      <c r="E913" s="12">
        <v>2.8499999999999996</v>
      </c>
      <c r="F913" s="12">
        <v>20</v>
      </c>
      <c r="G913" s="12">
        <v>2.8499999999999996</v>
      </c>
      <c r="H913" s="12">
        <v>1.8823529411764703</v>
      </c>
      <c r="I913" s="12" t="s">
        <v>123</v>
      </c>
      <c r="J913" s="6">
        <v>46313</v>
      </c>
      <c r="K913">
        <v>46313</v>
      </c>
      <c r="L913">
        <v>1.1693292098697501</v>
      </c>
      <c r="M913">
        <v>1.1693292098697501</v>
      </c>
      <c r="N913">
        <v>0.77231237803574826</v>
      </c>
      <c r="O913">
        <v>0.85519115708346027</v>
      </c>
      <c r="P913">
        <v>0.85519115708346027</v>
      </c>
      <c r="Q913">
        <v>0.66047471620227038</v>
      </c>
      <c r="R913">
        <v>1.5140625000000001</v>
      </c>
      <c r="S913">
        <v>1.5140625000000001</v>
      </c>
      <c r="T913">
        <v>1.2948128612716767</v>
      </c>
    </row>
    <row r="914" spans="1:20" x14ac:dyDescent="0.25">
      <c r="A914" s="12" t="s">
        <v>59</v>
      </c>
      <c r="B914" s="12" t="s">
        <v>38</v>
      </c>
      <c r="C914" s="12" t="s">
        <v>14</v>
      </c>
      <c r="D914" s="12">
        <v>2.5089799387963283</v>
      </c>
      <c r="E914" s="12">
        <v>4.75</v>
      </c>
      <c r="F914" s="12">
        <v>20</v>
      </c>
      <c r="G914" s="12">
        <v>4.75</v>
      </c>
      <c r="H914" s="12">
        <v>2.1024955436720143</v>
      </c>
      <c r="I914" s="12" t="s">
        <v>124</v>
      </c>
      <c r="J914" s="6">
        <v>46314</v>
      </c>
      <c r="K914">
        <v>46314</v>
      </c>
      <c r="L914">
        <v>1.8931996731224527</v>
      </c>
      <c r="M914">
        <v>1.8931996731224527</v>
      </c>
      <c r="N914">
        <v>0.83798818442553069</v>
      </c>
      <c r="O914">
        <v>0.52820630290449022</v>
      </c>
      <c r="P914">
        <v>0.52820630290449022</v>
      </c>
      <c r="Q914">
        <v>0.44263064077305564</v>
      </c>
      <c r="R914">
        <v>2.2592200084781688</v>
      </c>
      <c r="S914">
        <v>2.2592200084781688</v>
      </c>
      <c r="T914">
        <v>1.1933342481261044</v>
      </c>
    </row>
    <row r="915" spans="1:20" x14ac:dyDescent="0.25">
      <c r="A915" s="12" t="s">
        <v>59</v>
      </c>
      <c r="B915" s="12" t="s">
        <v>38</v>
      </c>
      <c r="C915" s="12" t="s">
        <v>13</v>
      </c>
      <c r="D915" s="12">
        <v>2.5134602601156062</v>
      </c>
      <c r="E915" s="12">
        <v>4.75</v>
      </c>
      <c r="F915" s="12">
        <v>20</v>
      </c>
      <c r="G915" s="12">
        <v>4.75</v>
      </c>
      <c r="H915" s="12">
        <v>2.5712455436720147</v>
      </c>
      <c r="I915" s="12" t="s">
        <v>126</v>
      </c>
      <c r="J915" s="6">
        <v>46314</v>
      </c>
      <c r="K915">
        <v>46314</v>
      </c>
      <c r="L915">
        <v>1.889824985648082</v>
      </c>
      <c r="M915">
        <v>1.889824985648082</v>
      </c>
      <c r="N915">
        <v>1.0229903310879285</v>
      </c>
      <c r="O915">
        <v>0.52914952844539076</v>
      </c>
      <c r="P915">
        <v>0.52914952844539076</v>
      </c>
      <c r="Q915">
        <v>0.54131485129937151</v>
      </c>
      <c r="R915">
        <v>1.8473537121688075</v>
      </c>
      <c r="S915">
        <v>1.8473537121688075</v>
      </c>
      <c r="T915">
        <v>0.97752634566596663</v>
      </c>
    </row>
    <row r="916" spans="1:20" x14ac:dyDescent="0.25">
      <c r="A916" s="12" t="s">
        <v>59</v>
      </c>
      <c r="B916" s="12" t="s">
        <v>38</v>
      </c>
      <c r="C916" s="12" t="s">
        <v>15</v>
      </c>
      <c r="D916" s="12">
        <v>2.7622674373795766</v>
      </c>
      <c r="E916" s="12">
        <v>3.8</v>
      </c>
      <c r="F916" s="12">
        <v>20</v>
      </c>
      <c r="G916" s="12">
        <v>3.8</v>
      </c>
      <c r="H916" s="12">
        <v>2.0078431372549019</v>
      </c>
      <c r="I916" s="12" t="s">
        <v>125</v>
      </c>
      <c r="J916" s="6">
        <v>46314</v>
      </c>
      <c r="K916">
        <v>46314</v>
      </c>
      <c r="L916">
        <v>1.3756814233761767</v>
      </c>
      <c r="M916">
        <v>1.3756814233761767</v>
      </c>
      <c r="N916">
        <v>0.72688223815129249</v>
      </c>
      <c r="O916">
        <v>0.72691248352094129</v>
      </c>
      <c r="P916">
        <v>0.72691248352094129</v>
      </c>
      <c r="Q916">
        <v>0.52837977296181637</v>
      </c>
      <c r="R916">
        <v>1.892578125</v>
      </c>
      <c r="S916">
        <v>1.892578125</v>
      </c>
      <c r="T916">
        <v>1.3757386651011563</v>
      </c>
    </row>
    <row r="917" spans="1:20" x14ac:dyDescent="0.25">
      <c r="A917" s="12" t="s">
        <v>59</v>
      </c>
      <c r="B917" s="12" t="s">
        <v>38</v>
      </c>
      <c r="C917" s="12" t="s">
        <v>13</v>
      </c>
      <c r="D917" s="12">
        <v>3.8082731213872831</v>
      </c>
      <c r="E917" s="12">
        <v>3.8</v>
      </c>
      <c r="F917" s="12">
        <v>20</v>
      </c>
      <c r="G917" s="12">
        <v>3.8</v>
      </c>
      <c r="H917" s="12">
        <v>1.9999999999999996</v>
      </c>
      <c r="I917" s="12" t="s">
        <v>127</v>
      </c>
      <c r="J917" s="6">
        <v>46315</v>
      </c>
      <c r="K917">
        <v>46315</v>
      </c>
      <c r="L917">
        <v>0.99782759242218699</v>
      </c>
      <c r="M917">
        <v>0.99782759242218699</v>
      </c>
      <c r="N917">
        <v>0.52517241706430884</v>
      </c>
      <c r="O917">
        <v>1.0021771372071797</v>
      </c>
      <c r="P917">
        <v>1.0021771372071797</v>
      </c>
      <c r="Q917">
        <v>0.52631578947368407</v>
      </c>
      <c r="R917">
        <v>1.9000000000000004</v>
      </c>
      <c r="S917">
        <v>1.9000000000000004</v>
      </c>
      <c r="T917">
        <v>1.904136560693642</v>
      </c>
    </row>
    <row r="918" spans="1:20" x14ac:dyDescent="0.25">
      <c r="A918" s="12" t="s">
        <v>59</v>
      </c>
      <c r="B918" s="12" t="s">
        <v>38</v>
      </c>
      <c r="C918" s="12" t="s">
        <v>15</v>
      </c>
      <c r="D918" s="12">
        <v>2.7622674373795766</v>
      </c>
      <c r="E918" s="12">
        <v>3.8</v>
      </c>
      <c r="F918" s="12">
        <v>20</v>
      </c>
      <c r="G918" s="12">
        <v>3.8</v>
      </c>
      <c r="H918" s="12">
        <v>2.0078431372549019</v>
      </c>
      <c r="I918" s="12" t="s">
        <v>128</v>
      </c>
      <c r="J918" s="6">
        <v>46315</v>
      </c>
      <c r="K918">
        <v>46315</v>
      </c>
      <c r="L918">
        <v>1.3756814233761767</v>
      </c>
      <c r="M918">
        <v>1.3756814233761767</v>
      </c>
      <c r="N918">
        <v>0.72688223815129249</v>
      </c>
      <c r="O918">
        <v>0.72691248352094129</v>
      </c>
      <c r="P918">
        <v>0.72691248352094129</v>
      </c>
      <c r="Q918">
        <v>0.52837977296181637</v>
      </c>
      <c r="R918">
        <v>1.892578125</v>
      </c>
      <c r="S918">
        <v>1.892578125</v>
      </c>
      <c r="T918">
        <v>1.3757386651011563</v>
      </c>
    </row>
    <row r="919" spans="1:20" x14ac:dyDescent="0.25">
      <c r="A919" s="12" t="s">
        <v>59</v>
      </c>
      <c r="B919" s="12" t="s">
        <v>38</v>
      </c>
      <c r="C919" s="12" t="s">
        <v>14</v>
      </c>
      <c r="D919" s="12">
        <v>2.4372947976878616</v>
      </c>
      <c r="E919" s="12">
        <v>3.8</v>
      </c>
      <c r="F919" s="12">
        <v>20</v>
      </c>
      <c r="G919" s="12">
        <v>3.8</v>
      </c>
      <c r="H919" s="12">
        <v>1.9930795847750864</v>
      </c>
      <c r="I919" s="12" t="s">
        <v>129</v>
      </c>
      <c r="J919" s="6">
        <v>46315</v>
      </c>
      <c r="K919">
        <v>46315</v>
      </c>
      <c r="L919">
        <v>1.559105613159667</v>
      </c>
      <c r="M919">
        <v>1.559105613159667</v>
      </c>
      <c r="N919">
        <v>0.81774251792020414</v>
      </c>
      <c r="O919">
        <v>0.64139336781259515</v>
      </c>
      <c r="P919">
        <v>0.64139336781259515</v>
      </c>
      <c r="Q919">
        <v>0.52449462757239118</v>
      </c>
      <c r="R919">
        <v>1.9065972222222223</v>
      </c>
      <c r="S919">
        <v>1.9065972222222223</v>
      </c>
      <c r="T919">
        <v>1.22287881342325</v>
      </c>
    </row>
    <row r="920" spans="1:20" x14ac:dyDescent="0.25">
      <c r="A920" s="12" t="s">
        <v>59</v>
      </c>
      <c r="B920" s="12" t="s">
        <v>38</v>
      </c>
      <c r="C920" s="12" t="s">
        <v>14</v>
      </c>
      <c r="D920" s="12">
        <v>2.4372947976878616</v>
      </c>
      <c r="E920" s="12">
        <v>3.8</v>
      </c>
      <c r="F920" s="12">
        <v>20</v>
      </c>
      <c r="G920" s="12">
        <v>3.8</v>
      </c>
      <c r="H920" s="12">
        <v>2.0490196078431371</v>
      </c>
      <c r="I920" s="12" t="s">
        <v>130</v>
      </c>
      <c r="J920" s="6">
        <v>46316</v>
      </c>
      <c r="K920">
        <v>46316</v>
      </c>
      <c r="L920">
        <v>1.559105613159667</v>
      </c>
      <c r="M920">
        <v>1.559105613159667</v>
      </c>
      <c r="N920">
        <v>0.84069420317433019</v>
      </c>
      <c r="O920">
        <v>0.64139336781259515</v>
      </c>
      <c r="P920">
        <v>0.64139336781259515</v>
      </c>
      <c r="Q920">
        <v>0.53921568627450978</v>
      </c>
      <c r="R920">
        <v>1.8545454545454547</v>
      </c>
      <c r="S920">
        <v>1.8545454545454547</v>
      </c>
      <c r="T920">
        <v>1.1894931548524492</v>
      </c>
    </row>
    <row r="921" spans="1:20" x14ac:dyDescent="0.25">
      <c r="A921" s="12" t="s">
        <v>59</v>
      </c>
      <c r="B921" s="12" t="s">
        <v>38</v>
      </c>
      <c r="C921" s="12" t="s">
        <v>15</v>
      </c>
      <c r="D921" s="12">
        <v>2.7622674373795766</v>
      </c>
      <c r="E921" s="12">
        <v>3.8</v>
      </c>
      <c r="F921" s="12">
        <v>20</v>
      </c>
      <c r="G921" s="12">
        <v>3.8</v>
      </c>
      <c r="H921" s="12">
        <v>2.0078431372549019</v>
      </c>
      <c r="I921" s="12" t="s">
        <v>131</v>
      </c>
      <c r="J921" s="6">
        <v>46316</v>
      </c>
      <c r="K921">
        <v>46316</v>
      </c>
      <c r="L921">
        <v>1.3756814233761767</v>
      </c>
      <c r="M921">
        <v>1.3756814233761767</v>
      </c>
      <c r="N921">
        <v>0.72688223815129249</v>
      </c>
      <c r="O921">
        <v>0.72691248352094129</v>
      </c>
      <c r="P921">
        <v>0.72691248352094129</v>
      </c>
      <c r="Q921">
        <v>0.52837977296181637</v>
      </c>
      <c r="R921">
        <v>1.892578125</v>
      </c>
      <c r="S921">
        <v>1.892578125</v>
      </c>
      <c r="T921">
        <v>1.3757386651011563</v>
      </c>
    </row>
    <row r="922" spans="1:20" x14ac:dyDescent="0.25">
      <c r="A922" s="12" t="s">
        <v>59</v>
      </c>
      <c r="B922" s="12" t="s">
        <v>38</v>
      </c>
      <c r="C922" s="12" t="s">
        <v>13</v>
      </c>
      <c r="D922" s="12">
        <v>3.884438583815029</v>
      </c>
      <c r="E922" s="12">
        <v>3.8</v>
      </c>
      <c r="F922" s="12">
        <v>20</v>
      </c>
      <c r="G922" s="12">
        <v>3.8</v>
      </c>
      <c r="H922" s="12">
        <v>2.0030637254901964</v>
      </c>
      <c r="I922" s="12" t="s">
        <v>132</v>
      </c>
      <c r="J922" s="6">
        <v>46316</v>
      </c>
      <c r="K922">
        <v>46316</v>
      </c>
      <c r="L922">
        <v>0.97826234551194802</v>
      </c>
      <c r="M922">
        <v>0.97826234551194802</v>
      </c>
      <c r="N922">
        <v>0.51566363639682644</v>
      </c>
      <c r="O922">
        <v>1.0222206799513234</v>
      </c>
      <c r="P922">
        <v>1.0222206799513234</v>
      </c>
      <c r="Q922">
        <v>0.52712203302373595</v>
      </c>
      <c r="R922">
        <v>1.897093912511471</v>
      </c>
      <c r="S922">
        <v>1.897093912511471</v>
      </c>
      <c r="T922">
        <v>1.9392486291789925</v>
      </c>
    </row>
    <row r="923" spans="1:20" x14ac:dyDescent="0.25">
      <c r="A923" s="12" t="s">
        <v>59</v>
      </c>
      <c r="B923" s="12" t="s">
        <v>38</v>
      </c>
      <c r="C923" s="12" t="s">
        <v>14</v>
      </c>
      <c r="D923" s="12">
        <v>2.4372947976878616</v>
      </c>
      <c r="E923" s="12">
        <v>3.8</v>
      </c>
      <c r="F923" s="12">
        <v>20</v>
      </c>
      <c r="G923" s="12">
        <v>3.8</v>
      </c>
      <c r="H923" s="12">
        <v>2.1049596309111882</v>
      </c>
      <c r="I923" s="12" t="s">
        <v>135</v>
      </c>
      <c r="J923" s="6">
        <v>46317</v>
      </c>
      <c r="K923">
        <v>46317</v>
      </c>
      <c r="L923">
        <v>1.559105613159667</v>
      </c>
      <c r="M923">
        <v>1.559105613159667</v>
      </c>
      <c r="N923">
        <v>0.86364588842845647</v>
      </c>
      <c r="O923">
        <v>0.64139336781259515</v>
      </c>
      <c r="P923">
        <v>0.64139336781259515</v>
      </c>
      <c r="Q923">
        <v>0.55393674497662848</v>
      </c>
      <c r="R923">
        <v>1.8052602739726025</v>
      </c>
      <c r="S923">
        <v>1.8052602739726025</v>
      </c>
      <c r="T923">
        <v>1.1578819669015759</v>
      </c>
    </row>
    <row r="924" spans="1:20" x14ac:dyDescent="0.25">
      <c r="A924" s="12" t="s">
        <v>59</v>
      </c>
      <c r="B924" s="12" t="s">
        <v>38</v>
      </c>
      <c r="C924" s="12" t="s">
        <v>13</v>
      </c>
      <c r="D924" s="12">
        <v>2.5134602601156062</v>
      </c>
      <c r="E924" s="12">
        <v>2.8499999999999996</v>
      </c>
      <c r="F924" s="12">
        <v>20</v>
      </c>
      <c r="G924" s="12">
        <v>2.8499999999999996</v>
      </c>
      <c r="H924" s="12">
        <v>2.0061274509803924</v>
      </c>
      <c r="I924" s="12" t="s">
        <v>133</v>
      </c>
      <c r="J924" s="6">
        <v>46317</v>
      </c>
      <c r="K924">
        <v>46317</v>
      </c>
      <c r="L924">
        <v>1.133894991388849</v>
      </c>
      <c r="M924">
        <v>1.133894991388849</v>
      </c>
      <c r="N924">
        <v>0.79815363815941964</v>
      </c>
      <c r="O924">
        <v>0.88191588074231808</v>
      </c>
      <c r="P924">
        <v>0.88191588074231808</v>
      </c>
      <c r="Q924">
        <v>0.70390436876505003</v>
      </c>
      <c r="R924">
        <v>1.4206475259621256</v>
      </c>
      <c r="S924">
        <v>1.4206475259621256</v>
      </c>
      <c r="T924">
        <v>1.2528916140832831</v>
      </c>
    </row>
    <row r="925" spans="1:20" x14ac:dyDescent="0.25">
      <c r="A925" s="12" t="s">
        <v>59</v>
      </c>
      <c r="B925" s="12" t="s">
        <v>38</v>
      </c>
      <c r="C925" s="12" t="s">
        <v>15</v>
      </c>
      <c r="D925" s="12">
        <v>2.7622674373795766</v>
      </c>
      <c r="E925" s="12">
        <v>3.8</v>
      </c>
      <c r="F925" s="12">
        <v>20</v>
      </c>
      <c r="G925" s="12">
        <v>3.8</v>
      </c>
      <c r="H925" s="12">
        <v>2.0078431372549019</v>
      </c>
      <c r="I925" s="12" t="s">
        <v>134</v>
      </c>
      <c r="J925" s="6">
        <v>46317</v>
      </c>
      <c r="K925">
        <v>46317</v>
      </c>
      <c r="L925">
        <v>1.3756814233761767</v>
      </c>
      <c r="M925">
        <v>1.3756814233761767</v>
      </c>
      <c r="N925">
        <v>0.72688223815129249</v>
      </c>
      <c r="O925">
        <v>0.72691248352094129</v>
      </c>
      <c r="P925">
        <v>0.72691248352094129</v>
      </c>
      <c r="Q925">
        <v>0.52837977296181637</v>
      </c>
      <c r="R925">
        <v>1.892578125</v>
      </c>
      <c r="S925">
        <v>1.892578125</v>
      </c>
      <c r="T925">
        <v>1.3757386651011563</v>
      </c>
    </row>
    <row r="926" spans="1:20" x14ac:dyDescent="0.25">
      <c r="A926" s="12" t="s">
        <v>59</v>
      </c>
      <c r="B926" s="12" t="s">
        <v>38</v>
      </c>
      <c r="C926" s="12" t="s">
        <v>13</v>
      </c>
      <c r="D926" s="12">
        <v>3.7321076589595377</v>
      </c>
      <c r="E926" s="12">
        <v>4.75</v>
      </c>
      <c r="F926" s="12">
        <v>20</v>
      </c>
      <c r="G926" s="12">
        <v>4.75</v>
      </c>
      <c r="H926" s="12">
        <v>2.628063725490196</v>
      </c>
      <c r="I926" s="12" t="s">
        <v>136</v>
      </c>
      <c r="J926" s="6">
        <v>46318</v>
      </c>
      <c r="K926">
        <v>46318</v>
      </c>
      <c r="L926">
        <v>1.272739276048708</v>
      </c>
      <c r="M926">
        <v>1.272739276048708</v>
      </c>
      <c r="N926">
        <v>0.70417682597689735</v>
      </c>
      <c r="O926">
        <v>0.78570687557042895</v>
      </c>
      <c r="P926">
        <v>0.78570687557042895</v>
      </c>
      <c r="Q926">
        <v>0.55327657378740969</v>
      </c>
      <c r="R926">
        <v>1.8074143156913034</v>
      </c>
      <c r="S926">
        <v>1.8074143156913034</v>
      </c>
      <c r="T926">
        <v>1.4200978548430789</v>
      </c>
    </row>
    <row r="927" spans="1:20" x14ac:dyDescent="0.25">
      <c r="A927" s="12" t="s">
        <v>59</v>
      </c>
      <c r="B927" s="12" t="s">
        <v>38</v>
      </c>
      <c r="C927" s="12" t="s">
        <v>15</v>
      </c>
      <c r="D927" s="12">
        <v>2.7622674373795766</v>
      </c>
      <c r="E927" s="12">
        <v>3.8</v>
      </c>
      <c r="F927" s="12">
        <v>20</v>
      </c>
      <c r="G927" s="12">
        <v>3.8</v>
      </c>
      <c r="H927" s="12">
        <v>2.0078431372549019</v>
      </c>
      <c r="I927" s="12" t="s">
        <v>137</v>
      </c>
      <c r="J927" s="6">
        <v>46318</v>
      </c>
      <c r="K927">
        <v>46318</v>
      </c>
      <c r="L927">
        <v>1.3756814233761767</v>
      </c>
      <c r="M927">
        <v>1.3756814233761767</v>
      </c>
      <c r="N927">
        <v>0.72688223815129249</v>
      </c>
      <c r="O927">
        <v>0.72691248352094129</v>
      </c>
      <c r="P927">
        <v>0.72691248352094129</v>
      </c>
      <c r="Q927">
        <v>0.52837977296181637</v>
      </c>
      <c r="R927">
        <v>1.892578125</v>
      </c>
      <c r="S927">
        <v>1.892578125</v>
      </c>
      <c r="T927">
        <v>1.3757386651011563</v>
      </c>
    </row>
    <row r="928" spans="1:20" x14ac:dyDescent="0.25">
      <c r="A928" s="12" t="s">
        <v>59</v>
      </c>
      <c r="B928" s="12" t="s">
        <v>38</v>
      </c>
      <c r="C928" s="12" t="s">
        <v>14</v>
      </c>
      <c r="D928" s="12">
        <v>2.4372947976878616</v>
      </c>
      <c r="E928" s="12">
        <v>3.8</v>
      </c>
      <c r="F928" s="12">
        <v>20</v>
      </c>
      <c r="G928" s="12">
        <v>3.8</v>
      </c>
      <c r="H928" s="12">
        <v>2.0490196078431375</v>
      </c>
      <c r="I928" s="12" t="s">
        <v>138</v>
      </c>
      <c r="J928" s="6">
        <v>46318</v>
      </c>
      <c r="K928">
        <v>46318</v>
      </c>
      <c r="L928">
        <v>1.559105613159667</v>
      </c>
      <c r="M928">
        <v>1.559105613159667</v>
      </c>
      <c r="N928">
        <v>0.8406942031743303</v>
      </c>
      <c r="O928">
        <v>0.64139336781259515</v>
      </c>
      <c r="P928">
        <v>0.64139336781259515</v>
      </c>
      <c r="Q928">
        <v>0.53921568627450989</v>
      </c>
      <c r="R928">
        <v>1.8545454545454543</v>
      </c>
      <c r="S928">
        <v>1.8545454545454543</v>
      </c>
      <c r="T928">
        <v>1.189493154852449</v>
      </c>
    </row>
    <row r="929" spans="1:20" x14ac:dyDescent="0.25">
      <c r="A929" s="12" t="s">
        <v>59</v>
      </c>
      <c r="B929" s="12" t="s">
        <v>38</v>
      </c>
      <c r="C929" s="12" t="s">
        <v>14</v>
      </c>
      <c r="D929" s="12">
        <v>2.4372947976878612</v>
      </c>
      <c r="E929" s="12">
        <v>2.8499999999999996</v>
      </c>
      <c r="F929" s="12">
        <v>20</v>
      </c>
      <c r="G929" s="12">
        <v>2.8499999999999996</v>
      </c>
      <c r="H929" s="12">
        <v>1.8823529411764699</v>
      </c>
      <c r="I929" s="12" t="s">
        <v>140</v>
      </c>
      <c r="J929" s="6">
        <v>46319</v>
      </c>
      <c r="K929">
        <v>46319</v>
      </c>
      <c r="L929">
        <v>1.1693292098697503</v>
      </c>
      <c r="M929">
        <v>1.1693292098697503</v>
      </c>
      <c r="N929">
        <v>0.77231237803574826</v>
      </c>
      <c r="O929">
        <v>0.85519115708346016</v>
      </c>
      <c r="P929">
        <v>0.85519115708346016</v>
      </c>
      <c r="Q929">
        <v>0.66047471620227027</v>
      </c>
      <c r="R929">
        <v>1.5140625000000003</v>
      </c>
      <c r="S929">
        <v>1.5140625000000003</v>
      </c>
      <c r="T929">
        <v>1.2948128612716767</v>
      </c>
    </row>
    <row r="930" spans="1:20" x14ac:dyDescent="0.25">
      <c r="A930" s="12" t="s">
        <v>59</v>
      </c>
      <c r="B930" s="12" t="s">
        <v>38</v>
      </c>
      <c r="C930" s="12" t="s">
        <v>15</v>
      </c>
      <c r="D930" s="12">
        <v>2.5997811175337189</v>
      </c>
      <c r="E930" s="12">
        <v>3.8</v>
      </c>
      <c r="F930" s="12">
        <v>20</v>
      </c>
      <c r="G930" s="12">
        <v>3.8</v>
      </c>
      <c r="H930" s="12">
        <v>2.0078431372549019</v>
      </c>
      <c r="I930" s="12" t="s">
        <v>139</v>
      </c>
      <c r="J930" s="6">
        <v>46319</v>
      </c>
      <c r="K930">
        <v>46319</v>
      </c>
      <c r="L930">
        <v>1.4616615123371879</v>
      </c>
      <c r="M930">
        <v>1.4616615123371879</v>
      </c>
      <c r="N930">
        <v>0.77231237803574837</v>
      </c>
      <c r="O930">
        <v>0.68415292566676811</v>
      </c>
      <c r="P930">
        <v>0.68415292566676811</v>
      </c>
      <c r="Q930">
        <v>0.52837977296181637</v>
      </c>
      <c r="R930">
        <v>1.892578125</v>
      </c>
      <c r="S930">
        <v>1.892578125</v>
      </c>
      <c r="T930">
        <v>1.2948128612716765</v>
      </c>
    </row>
    <row r="931" spans="1:20" x14ac:dyDescent="0.25">
      <c r="A931" s="12" t="s">
        <v>59</v>
      </c>
      <c r="B931" s="12" t="s">
        <v>38</v>
      </c>
      <c r="C931" s="12" t="s">
        <v>13</v>
      </c>
      <c r="D931" s="12">
        <v>0</v>
      </c>
      <c r="E931" s="12">
        <v>2.8499999999999996</v>
      </c>
      <c r="F931" s="12">
        <v>20</v>
      </c>
      <c r="G931" s="12">
        <v>2.8499999999999996</v>
      </c>
      <c r="H931" s="12">
        <v>1.1176470588235294</v>
      </c>
      <c r="I931" s="12" t="s">
        <v>141</v>
      </c>
      <c r="J931" s="6">
        <v>46319</v>
      </c>
      <c r="K931">
        <v>46319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0.39215686274509809</v>
      </c>
      <c r="R931">
        <v>2.5499999999999998</v>
      </c>
      <c r="S931">
        <v>2.5499999999999998</v>
      </c>
      <c r="T931">
        <v>0</v>
      </c>
    </row>
    <row r="932" spans="1:20" x14ac:dyDescent="0.25">
      <c r="A932" s="12" t="s">
        <v>59</v>
      </c>
      <c r="B932" s="12" t="s">
        <v>38</v>
      </c>
      <c r="C932" s="12" t="s">
        <v>14</v>
      </c>
      <c r="D932" s="12">
        <v>2.4372947976878616</v>
      </c>
      <c r="E932" s="12">
        <v>2.8499999999999996</v>
      </c>
      <c r="F932" s="12">
        <v>20</v>
      </c>
      <c r="G932" s="12">
        <v>2.8499999999999996</v>
      </c>
      <c r="H932" s="12">
        <v>1.8823529411764703</v>
      </c>
      <c r="I932" s="12" t="s">
        <v>143</v>
      </c>
      <c r="J932" s="6">
        <v>46320</v>
      </c>
      <c r="K932">
        <v>46320</v>
      </c>
      <c r="L932">
        <v>1.1693292098697501</v>
      </c>
      <c r="M932">
        <v>1.1693292098697501</v>
      </c>
      <c r="N932">
        <v>0.77231237803574826</v>
      </c>
      <c r="O932">
        <v>0.85519115708346027</v>
      </c>
      <c r="P932">
        <v>0.85519115708346027</v>
      </c>
      <c r="Q932">
        <v>0.66047471620227038</v>
      </c>
      <c r="R932">
        <v>1.5140625000000001</v>
      </c>
      <c r="S932">
        <v>1.5140625000000001</v>
      </c>
      <c r="T932">
        <v>1.2948128612716767</v>
      </c>
    </row>
    <row r="933" spans="1:20" x14ac:dyDescent="0.25">
      <c r="A933" s="12" t="s">
        <v>59</v>
      </c>
      <c r="B933" s="12" t="s">
        <v>38</v>
      </c>
      <c r="C933" s="12" t="s">
        <v>13</v>
      </c>
      <c r="D933" s="12">
        <v>0</v>
      </c>
      <c r="E933" s="12">
        <v>2.8499999999999996</v>
      </c>
      <c r="F933" s="12">
        <v>20</v>
      </c>
      <c r="G933" s="12">
        <v>2.8499999999999996</v>
      </c>
      <c r="H933" s="12">
        <v>1.1176470588235294</v>
      </c>
      <c r="I933" s="12" t="s">
        <v>144</v>
      </c>
      <c r="J933" s="6">
        <v>46320</v>
      </c>
      <c r="K933">
        <v>46320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0.39215686274509809</v>
      </c>
      <c r="R933">
        <v>2.5499999999999998</v>
      </c>
      <c r="S933">
        <v>2.5499999999999998</v>
      </c>
      <c r="T933">
        <v>0</v>
      </c>
    </row>
    <row r="934" spans="1:20" x14ac:dyDescent="0.25">
      <c r="A934" s="12" t="s">
        <v>59</v>
      </c>
      <c r="B934" s="12" t="s">
        <v>38</v>
      </c>
      <c r="C934" s="12" t="s">
        <v>15</v>
      </c>
      <c r="D934" s="12">
        <v>2.7622674373795766</v>
      </c>
      <c r="E934" s="12">
        <v>3.8</v>
      </c>
      <c r="F934" s="12">
        <v>20</v>
      </c>
      <c r="G934" s="12">
        <v>3.8</v>
      </c>
      <c r="H934" s="12">
        <v>2.0078431372549019</v>
      </c>
      <c r="I934" s="12" t="s">
        <v>142</v>
      </c>
      <c r="J934" s="6">
        <v>46320</v>
      </c>
      <c r="K934">
        <v>46320</v>
      </c>
      <c r="L934">
        <v>1.3756814233761767</v>
      </c>
      <c r="M934">
        <v>1.3756814233761767</v>
      </c>
      <c r="N934">
        <v>0.72688223815129249</v>
      </c>
      <c r="O934">
        <v>0.72691248352094129</v>
      </c>
      <c r="P934">
        <v>0.72691248352094129</v>
      </c>
      <c r="Q934">
        <v>0.52837977296181637</v>
      </c>
      <c r="R934">
        <v>1.892578125</v>
      </c>
      <c r="S934">
        <v>1.892578125</v>
      </c>
      <c r="T934">
        <v>1.3757386651011563</v>
      </c>
    </row>
    <row r="935" spans="1:20" x14ac:dyDescent="0.25">
      <c r="A935" s="12" t="s">
        <v>59</v>
      </c>
      <c r="B935" s="12" t="s">
        <v>38</v>
      </c>
      <c r="C935" s="12" t="s">
        <v>14</v>
      </c>
      <c r="D935" s="12">
        <v>2.4372947976878616</v>
      </c>
      <c r="E935" s="12">
        <v>3.8</v>
      </c>
      <c r="F935" s="12">
        <v>20</v>
      </c>
      <c r="G935" s="12">
        <v>3.8</v>
      </c>
      <c r="H935" s="12">
        <v>2.1049596309111882</v>
      </c>
      <c r="I935" s="12" t="s">
        <v>145</v>
      </c>
      <c r="J935" s="6">
        <v>46321</v>
      </c>
      <c r="K935">
        <v>46321</v>
      </c>
      <c r="L935">
        <v>1.559105613159667</v>
      </c>
      <c r="M935">
        <v>1.559105613159667</v>
      </c>
      <c r="N935">
        <v>0.86364588842845647</v>
      </c>
      <c r="O935">
        <v>0.64139336781259515</v>
      </c>
      <c r="P935">
        <v>0.64139336781259515</v>
      </c>
      <c r="Q935">
        <v>0.55393674497662848</v>
      </c>
      <c r="R935">
        <v>1.8052602739726025</v>
      </c>
      <c r="S935">
        <v>1.8052602739726025</v>
      </c>
      <c r="T935">
        <v>1.1578819669015759</v>
      </c>
    </row>
    <row r="936" spans="1:20" x14ac:dyDescent="0.25">
      <c r="A936" s="12" t="s">
        <v>59</v>
      </c>
      <c r="B936" s="12" t="s">
        <v>38</v>
      </c>
      <c r="C936" s="12" t="s">
        <v>15</v>
      </c>
      <c r="D936" s="12">
        <v>2.7622674373795766</v>
      </c>
      <c r="E936" s="12">
        <v>3.8</v>
      </c>
      <c r="F936" s="12">
        <v>20</v>
      </c>
      <c r="G936" s="12">
        <v>3.8</v>
      </c>
      <c r="H936" s="12">
        <v>2.0078431372549019</v>
      </c>
      <c r="I936" s="12" t="s">
        <v>147</v>
      </c>
      <c r="J936" s="6">
        <v>46321</v>
      </c>
      <c r="K936">
        <v>46321</v>
      </c>
      <c r="L936">
        <v>1.3756814233761767</v>
      </c>
      <c r="M936">
        <v>1.3756814233761767</v>
      </c>
      <c r="N936">
        <v>0.72688223815129249</v>
      </c>
      <c r="O936">
        <v>0.72691248352094129</v>
      </c>
      <c r="P936">
        <v>0.72691248352094129</v>
      </c>
      <c r="Q936">
        <v>0.52837977296181637</v>
      </c>
      <c r="R936">
        <v>1.892578125</v>
      </c>
      <c r="S936">
        <v>1.892578125</v>
      </c>
      <c r="T936">
        <v>1.3757386651011563</v>
      </c>
    </row>
    <row r="937" spans="1:20" x14ac:dyDescent="0.25">
      <c r="A937" s="12" t="s">
        <v>59</v>
      </c>
      <c r="B937" s="12" t="s">
        <v>38</v>
      </c>
      <c r="C937" s="12" t="s">
        <v>13</v>
      </c>
      <c r="D937" s="12">
        <v>2.5896257225433525</v>
      </c>
      <c r="E937" s="12">
        <v>3.8</v>
      </c>
      <c r="F937" s="12">
        <v>20</v>
      </c>
      <c r="G937" s="12">
        <v>3.8</v>
      </c>
      <c r="H937" s="12">
        <v>2.0061274509803924</v>
      </c>
      <c r="I937" s="12" t="s">
        <v>146</v>
      </c>
      <c r="J937" s="6">
        <v>46321</v>
      </c>
      <c r="K937">
        <v>46321</v>
      </c>
      <c r="L937">
        <v>1.4673935182679221</v>
      </c>
      <c r="M937">
        <v>1.4673935182679221</v>
      </c>
      <c r="N937">
        <v>0.77467853115473062</v>
      </c>
      <c r="O937">
        <v>0.68148045330088225</v>
      </c>
      <c r="P937">
        <v>0.68148045330088225</v>
      </c>
      <c r="Q937">
        <v>0.52792827657378749</v>
      </c>
      <c r="R937">
        <v>1.8941967012828342</v>
      </c>
      <c r="S937">
        <v>1.8941967012828342</v>
      </c>
      <c r="T937">
        <v>1.2908580266312617</v>
      </c>
    </row>
    <row r="938" spans="1:20" x14ac:dyDescent="0.25">
      <c r="A938" s="12" t="s">
        <v>60</v>
      </c>
      <c r="B938" s="12" t="s">
        <v>38</v>
      </c>
      <c r="C938" s="12" t="s">
        <v>13</v>
      </c>
      <c r="D938" s="12">
        <v>1.3483146067415732</v>
      </c>
      <c r="E938" s="12">
        <v>1.9</v>
      </c>
      <c r="F938" s="12">
        <v>20</v>
      </c>
      <c r="G938" s="12">
        <v>1.9</v>
      </c>
      <c r="H938" s="12">
        <v>1.6963742393509127</v>
      </c>
      <c r="I938" s="12" t="s">
        <v>63</v>
      </c>
      <c r="J938" s="6">
        <v>46293</v>
      </c>
      <c r="K938">
        <v>46293</v>
      </c>
      <c r="L938">
        <v>1.4091666666666665</v>
      </c>
      <c r="M938">
        <v>1.4091666666666665</v>
      </c>
      <c r="N938">
        <v>1.2581442275185934</v>
      </c>
      <c r="O938">
        <v>0.70963926670609123</v>
      </c>
      <c r="P938">
        <v>0.70963926670609123</v>
      </c>
      <c r="Q938">
        <v>0.89282854702679615</v>
      </c>
      <c r="R938">
        <v>1.1200358717584635</v>
      </c>
      <c r="S938">
        <v>1.1200358717584635</v>
      </c>
      <c r="T938">
        <v>0.79482143471919364</v>
      </c>
    </row>
    <row r="939" spans="1:20" x14ac:dyDescent="0.25">
      <c r="A939" s="12" t="s">
        <v>60</v>
      </c>
      <c r="B939" s="12" t="s">
        <v>38</v>
      </c>
      <c r="C939" s="12" t="s">
        <v>14</v>
      </c>
      <c r="D939" s="12">
        <v>2.2207534699272973</v>
      </c>
      <c r="E939" s="12">
        <v>3.8</v>
      </c>
      <c r="F939" s="12">
        <v>20</v>
      </c>
      <c r="G939" s="12">
        <v>3.8</v>
      </c>
      <c r="H939" s="12">
        <v>2.0131100107385755</v>
      </c>
      <c r="I939" s="12" t="s">
        <v>62</v>
      </c>
      <c r="J939" s="6">
        <v>46293</v>
      </c>
      <c r="K939">
        <v>46293</v>
      </c>
      <c r="L939">
        <v>1.7111309523809519</v>
      </c>
      <c r="M939">
        <v>1.7111309523809519</v>
      </c>
      <c r="N939">
        <v>0.90649864471650721</v>
      </c>
      <c r="O939">
        <v>0.58440880787560456</v>
      </c>
      <c r="P939">
        <v>0.58440880787560456</v>
      </c>
      <c r="Q939">
        <v>0.52976579229962517</v>
      </c>
      <c r="R939">
        <v>1.8876265975180586</v>
      </c>
      <c r="S939">
        <v>1.8876265975180586</v>
      </c>
      <c r="T939">
        <v>1.1031456095698122</v>
      </c>
    </row>
    <row r="940" spans="1:20" x14ac:dyDescent="0.25">
      <c r="A940" s="12" t="s">
        <v>60</v>
      </c>
      <c r="B940" s="12" t="s">
        <v>38</v>
      </c>
      <c r="C940" s="12" t="s">
        <v>15</v>
      </c>
      <c r="D940" s="12">
        <v>1.7977528089887642</v>
      </c>
      <c r="E940" s="12">
        <v>1.9</v>
      </c>
      <c r="F940" s="12">
        <v>20</v>
      </c>
      <c r="G940" s="12">
        <v>1.9</v>
      </c>
      <c r="H940" s="12">
        <v>1.0127450980392154</v>
      </c>
      <c r="I940" s="12" t="s">
        <v>61</v>
      </c>
      <c r="J940" s="6">
        <v>46293</v>
      </c>
      <c r="K940">
        <v>46293</v>
      </c>
      <c r="L940">
        <v>1.0568749999999998</v>
      </c>
      <c r="M940">
        <v>1.0568749999999998</v>
      </c>
      <c r="N940">
        <v>0.56333946078431352</v>
      </c>
      <c r="O940">
        <v>0.94618568894145494</v>
      </c>
      <c r="P940">
        <v>0.94618568894145494</v>
      </c>
      <c r="Q940">
        <v>0.53302373581011342</v>
      </c>
      <c r="R940">
        <v>1.8760890609874157</v>
      </c>
      <c r="S940">
        <v>1.8760890609874157</v>
      </c>
      <c r="T940">
        <v>1.7751286206859052</v>
      </c>
    </row>
    <row r="941" spans="1:20" x14ac:dyDescent="0.25">
      <c r="A941" s="12" t="s">
        <v>60</v>
      </c>
      <c r="B941" s="12" t="s">
        <v>38</v>
      </c>
      <c r="C941" s="12" t="s">
        <v>13</v>
      </c>
      <c r="D941" s="12">
        <v>2.6966292134831464</v>
      </c>
      <c r="E941" s="12">
        <v>2.8499999999999996</v>
      </c>
      <c r="F941" s="12">
        <v>20</v>
      </c>
      <c r="G941" s="12">
        <v>2.8499999999999996</v>
      </c>
      <c r="H941" s="12">
        <v>1.7954963235294119</v>
      </c>
      <c r="I941" s="12" t="s">
        <v>64</v>
      </c>
      <c r="J941" s="6">
        <v>46294</v>
      </c>
      <c r="K941">
        <v>46294</v>
      </c>
      <c r="L941">
        <v>1.0568749999999998</v>
      </c>
      <c r="M941">
        <v>1.0568749999999998</v>
      </c>
      <c r="N941">
        <v>0.66582988664215681</v>
      </c>
      <c r="O941">
        <v>0.94618568894145505</v>
      </c>
      <c r="P941">
        <v>0.94618568894145505</v>
      </c>
      <c r="Q941">
        <v>0.62999871001032004</v>
      </c>
      <c r="R941">
        <v>1.5873048374712051</v>
      </c>
      <c r="S941">
        <v>1.5873048374712051</v>
      </c>
      <c r="T941">
        <v>1.5018851212027966</v>
      </c>
    </row>
    <row r="942" spans="1:20" x14ac:dyDescent="0.25">
      <c r="A942" s="12" t="s">
        <v>60</v>
      </c>
      <c r="B942" s="12" t="s">
        <v>38</v>
      </c>
      <c r="C942" s="12" t="s">
        <v>15</v>
      </c>
      <c r="D942" s="12">
        <v>1.7977528089887642</v>
      </c>
      <c r="E942" s="12">
        <v>1.9</v>
      </c>
      <c r="F942" s="12">
        <v>20</v>
      </c>
      <c r="G942" s="12">
        <v>1.9</v>
      </c>
      <c r="H942" s="12">
        <v>1.0127450980392154</v>
      </c>
      <c r="I942" s="12" t="s">
        <v>65</v>
      </c>
      <c r="J942" s="6">
        <v>46294</v>
      </c>
      <c r="K942">
        <v>46294</v>
      </c>
      <c r="L942">
        <v>1.0568749999999998</v>
      </c>
      <c r="M942">
        <v>1.0568749999999998</v>
      </c>
      <c r="N942">
        <v>0.56333946078431352</v>
      </c>
      <c r="O942">
        <v>0.94618568894145494</v>
      </c>
      <c r="P942">
        <v>0.94618568894145494</v>
      </c>
      <c r="Q942">
        <v>0.53302373581011342</v>
      </c>
      <c r="R942">
        <v>1.8760890609874157</v>
      </c>
      <c r="S942">
        <v>1.8760890609874157</v>
      </c>
      <c r="T942">
        <v>1.7751286206859052</v>
      </c>
    </row>
    <row r="943" spans="1:20" x14ac:dyDescent="0.25">
      <c r="A943" s="12" t="s">
        <v>60</v>
      </c>
      <c r="B943" s="12" t="s">
        <v>38</v>
      </c>
      <c r="C943" s="12" t="s">
        <v>14</v>
      </c>
      <c r="D943" s="12">
        <v>2.2207534699272973</v>
      </c>
      <c r="E943" s="12">
        <v>4.75</v>
      </c>
      <c r="F943" s="12">
        <v>20</v>
      </c>
      <c r="G943" s="12">
        <v>4.75</v>
      </c>
      <c r="H943" s="12">
        <v>2.0635813148788924</v>
      </c>
      <c r="I943" s="12" t="s">
        <v>66</v>
      </c>
      <c r="J943" s="6">
        <v>46294</v>
      </c>
      <c r="K943">
        <v>46294</v>
      </c>
      <c r="L943">
        <v>2.1389136904761901</v>
      </c>
      <c r="M943">
        <v>2.1389136904761901</v>
      </c>
      <c r="N943">
        <v>0.92922575280112008</v>
      </c>
      <c r="O943">
        <v>0.46752704630048364</v>
      </c>
      <c r="P943">
        <v>0.46752704630048364</v>
      </c>
      <c r="Q943">
        <v>0.43443817155345105</v>
      </c>
      <c r="R943">
        <v>2.3018235170823731</v>
      </c>
      <c r="S943">
        <v>2.3018235170823731</v>
      </c>
      <c r="T943">
        <v>1.0761647500465128</v>
      </c>
    </row>
    <row r="944" spans="1:20" x14ac:dyDescent="0.25">
      <c r="A944" s="12" t="s">
        <v>60</v>
      </c>
      <c r="B944" s="12" t="s">
        <v>38</v>
      </c>
      <c r="C944" s="12" t="s">
        <v>13</v>
      </c>
      <c r="D944" s="12">
        <v>2.6966292134831469</v>
      </c>
      <c r="E944" s="12">
        <v>4.75</v>
      </c>
      <c r="F944" s="12">
        <v>20</v>
      </c>
      <c r="G944" s="12">
        <v>4.75</v>
      </c>
      <c r="H944" s="12">
        <v>1.9131433823529416</v>
      </c>
      <c r="I944" s="12" t="s">
        <v>67</v>
      </c>
      <c r="J944" s="6">
        <v>46295</v>
      </c>
      <c r="K944">
        <v>46295</v>
      </c>
      <c r="L944">
        <v>1.7614583333333329</v>
      </c>
      <c r="M944">
        <v>1.7614583333333329</v>
      </c>
      <c r="N944">
        <v>0.70945733762254892</v>
      </c>
      <c r="O944">
        <v>0.56771141336487307</v>
      </c>
      <c r="P944">
        <v>0.56771141336487307</v>
      </c>
      <c r="Q944">
        <v>0.40276702786377716</v>
      </c>
      <c r="R944">
        <v>2.4828248858995909</v>
      </c>
      <c r="S944">
        <v>2.4828248858995909</v>
      </c>
      <c r="T944">
        <v>1.4095280251115365</v>
      </c>
    </row>
    <row r="945" spans="1:20" x14ac:dyDescent="0.25">
      <c r="A945" s="12" t="s">
        <v>60</v>
      </c>
      <c r="B945" s="12" t="s">
        <v>38</v>
      </c>
      <c r="C945" s="12" t="s">
        <v>14</v>
      </c>
      <c r="D945" s="12">
        <v>2.5380039656311961</v>
      </c>
      <c r="E945" s="12">
        <v>3.8</v>
      </c>
      <c r="F945" s="12">
        <v>20</v>
      </c>
      <c r="G945" s="12">
        <v>3.8</v>
      </c>
      <c r="H945" s="12">
        <v>2.0484429065743948</v>
      </c>
      <c r="I945" s="12" t="s">
        <v>69</v>
      </c>
      <c r="J945" s="6">
        <v>46295</v>
      </c>
      <c r="K945">
        <v>46295</v>
      </c>
      <c r="L945">
        <v>1.4972395833333334</v>
      </c>
      <c r="M945">
        <v>1.4972395833333334</v>
      </c>
      <c r="N945">
        <v>0.80710784313725503</v>
      </c>
      <c r="O945">
        <v>0.66789578042926212</v>
      </c>
      <c r="P945">
        <v>0.66789578042926212</v>
      </c>
      <c r="Q945">
        <v>0.53906392278273552</v>
      </c>
      <c r="R945">
        <v>1.8550675675675672</v>
      </c>
      <c r="S945">
        <v>1.8550675675675672</v>
      </c>
      <c r="T945">
        <v>1.2389918007895533</v>
      </c>
    </row>
    <row r="946" spans="1:20" x14ac:dyDescent="0.25">
      <c r="A946" s="12" t="s">
        <v>60</v>
      </c>
      <c r="B946" s="12" t="s">
        <v>38</v>
      </c>
      <c r="C946" s="12" t="s">
        <v>15</v>
      </c>
      <c r="D946" s="12">
        <v>1.7977528089887642</v>
      </c>
      <c r="E946" s="12">
        <v>0.95</v>
      </c>
      <c r="F946" s="12">
        <v>20</v>
      </c>
      <c r="G946" s="12">
        <v>0.95</v>
      </c>
      <c r="H946" s="12">
        <v>6.2745098039215685E-2</v>
      </c>
      <c r="I946" s="12" t="s">
        <v>68</v>
      </c>
      <c r="J946" s="6">
        <v>46295</v>
      </c>
      <c r="K946">
        <v>46295</v>
      </c>
      <c r="L946">
        <v>0.52843749999999989</v>
      </c>
      <c r="M946">
        <v>0.52843749999999989</v>
      </c>
      <c r="N946">
        <v>3.4901960784313721E-2</v>
      </c>
      <c r="O946">
        <v>1.8923713778829099</v>
      </c>
      <c r="P946">
        <v>1.8923713778829099</v>
      </c>
      <c r="Q946">
        <v>6.6047471620227047E-2</v>
      </c>
      <c r="R946">
        <v>15.140625</v>
      </c>
      <c r="S946">
        <v>15.140625</v>
      </c>
      <c r="T946">
        <v>28.651685393258429</v>
      </c>
    </row>
    <row r="947" spans="1:20" x14ac:dyDescent="0.25">
      <c r="A947" s="12" t="s">
        <v>60</v>
      </c>
      <c r="B947" s="12" t="s">
        <v>38</v>
      </c>
      <c r="C947" s="12" t="s">
        <v>13</v>
      </c>
      <c r="D947" s="12">
        <v>2.6966292134831469</v>
      </c>
      <c r="E947" s="12">
        <v>3.8</v>
      </c>
      <c r="F947" s="12">
        <v>20</v>
      </c>
      <c r="G947" s="12">
        <v>3.8</v>
      </c>
      <c r="H947" s="12">
        <v>1.7647058823529416</v>
      </c>
      <c r="I947" s="12" t="s">
        <v>70</v>
      </c>
      <c r="J947" s="6">
        <v>46296</v>
      </c>
      <c r="K947">
        <v>46296</v>
      </c>
      <c r="L947">
        <v>1.4091666666666662</v>
      </c>
      <c r="M947">
        <v>1.4091666666666662</v>
      </c>
      <c r="N947">
        <v>0.65441176470588225</v>
      </c>
      <c r="O947">
        <v>0.70963926670609134</v>
      </c>
      <c r="P947">
        <v>0.70963926670609134</v>
      </c>
      <c r="Q947">
        <v>0.46439628482972151</v>
      </c>
      <c r="R947">
        <v>2.1533333333333329</v>
      </c>
      <c r="S947">
        <v>2.1533333333333329</v>
      </c>
      <c r="T947">
        <v>1.5280898876404496</v>
      </c>
    </row>
    <row r="948" spans="1:20" x14ac:dyDescent="0.25">
      <c r="A948" s="12" t="s">
        <v>60</v>
      </c>
      <c r="B948" s="12" t="s">
        <v>38</v>
      </c>
      <c r="C948" s="12" t="s">
        <v>15</v>
      </c>
      <c r="D948" s="12">
        <v>1.7977528089887642</v>
      </c>
      <c r="E948" s="12">
        <v>0.95</v>
      </c>
      <c r="F948" s="12">
        <v>20</v>
      </c>
      <c r="G948" s="12">
        <v>0.95</v>
      </c>
      <c r="H948" s="12">
        <v>6.2745098039215685E-2</v>
      </c>
      <c r="I948" s="12" t="s">
        <v>72</v>
      </c>
      <c r="J948" s="6">
        <v>46296</v>
      </c>
      <c r="K948">
        <v>46296</v>
      </c>
      <c r="L948">
        <v>0.52843749999999989</v>
      </c>
      <c r="M948">
        <v>0.52843749999999989</v>
      </c>
      <c r="N948">
        <v>3.4901960784313721E-2</v>
      </c>
      <c r="O948">
        <v>1.8923713778829099</v>
      </c>
      <c r="P948">
        <v>1.8923713778829099</v>
      </c>
      <c r="Q948">
        <v>6.6047471620227047E-2</v>
      </c>
      <c r="R948">
        <v>15.140625</v>
      </c>
      <c r="S948">
        <v>15.140625</v>
      </c>
      <c r="T948">
        <v>28.651685393258429</v>
      </c>
    </row>
    <row r="949" spans="1:20" x14ac:dyDescent="0.25">
      <c r="A949" s="12" t="s">
        <v>60</v>
      </c>
      <c r="B949" s="12" t="s">
        <v>38</v>
      </c>
      <c r="C949" s="12" t="s">
        <v>14</v>
      </c>
      <c r="D949" s="12">
        <v>2.5380039656311961</v>
      </c>
      <c r="E949" s="12">
        <v>3.8</v>
      </c>
      <c r="F949" s="12">
        <v>20</v>
      </c>
      <c r="G949" s="12">
        <v>3.8</v>
      </c>
      <c r="H949" s="12">
        <v>2.0484429065743948</v>
      </c>
      <c r="I949" s="12" t="s">
        <v>71</v>
      </c>
      <c r="J949" s="6">
        <v>46296</v>
      </c>
      <c r="K949">
        <v>46296</v>
      </c>
      <c r="L949">
        <v>1.4972395833333334</v>
      </c>
      <c r="M949">
        <v>1.4972395833333334</v>
      </c>
      <c r="N949">
        <v>0.80710784313725503</v>
      </c>
      <c r="O949">
        <v>0.66789578042926212</v>
      </c>
      <c r="P949">
        <v>0.66789578042926212</v>
      </c>
      <c r="Q949">
        <v>0.53906392278273552</v>
      </c>
      <c r="R949">
        <v>1.8550675675675672</v>
      </c>
      <c r="S949">
        <v>1.8550675675675672</v>
      </c>
      <c r="T949">
        <v>1.2389918007895533</v>
      </c>
    </row>
    <row r="950" spans="1:20" x14ac:dyDescent="0.25">
      <c r="A950" s="12" t="s">
        <v>60</v>
      </c>
      <c r="B950" s="12" t="s">
        <v>38</v>
      </c>
      <c r="C950" s="12" t="s">
        <v>13</v>
      </c>
      <c r="D950" s="12">
        <v>2.3595505617977532</v>
      </c>
      <c r="E950" s="12">
        <v>2.8499999999999996</v>
      </c>
      <c r="F950" s="12">
        <v>20</v>
      </c>
      <c r="G950" s="12">
        <v>2.8499999999999996</v>
      </c>
      <c r="H950" s="12">
        <v>1.6911764705882355</v>
      </c>
      <c r="I950" s="12" t="s">
        <v>73</v>
      </c>
      <c r="J950" s="6">
        <v>46297</v>
      </c>
      <c r="K950">
        <v>46297</v>
      </c>
      <c r="L950">
        <v>1.2078571428571425</v>
      </c>
      <c r="M950">
        <v>1.2078571428571425</v>
      </c>
      <c r="N950">
        <v>0.71673669467787116</v>
      </c>
      <c r="O950">
        <v>0.8279124778237732</v>
      </c>
      <c r="P950">
        <v>0.8279124778237732</v>
      </c>
      <c r="Q950">
        <v>0.59339525283797745</v>
      </c>
      <c r="R950">
        <v>1.6852173913043473</v>
      </c>
      <c r="S950">
        <v>1.6852173913043473</v>
      </c>
      <c r="T950">
        <v>1.3952125061064975</v>
      </c>
    </row>
    <row r="951" spans="1:20" x14ac:dyDescent="0.25">
      <c r="A951" s="12" t="s">
        <v>60</v>
      </c>
      <c r="B951" s="12" t="s">
        <v>38</v>
      </c>
      <c r="C951" s="12" t="s">
        <v>15</v>
      </c>
      <c r="D951" s="12">
        <v>1.7977528089887642</v>
      </c>
      <c r="E951" s="12">
        <v>1.9</v>
      </c>
      <c r="F951" s="12">
        <v>20</v>
      </c>
      <c r="G951" s="12">
        <v>1.9</v>
      </c>
      <c r="H951" s="12">
        <v>1.0127450980392154</v>
      </c>
      <c r="I951" s="12" t="s">
        <v>74</v>
      </c>
      <c r="J951" s="6">
        <v>46297</v>
      </c>
      <c r="K951">
        <v>46297</v>
      </c>
      <c r="L951">
        <v>1.0568749999999998</v>
      </c>
      <c r="M951">
        <v>1.0568749999999998</v>
      </c>
      <c r="N951">
        <v>0.56333946078431352</v>
      </c>
      <c r="O951">
        <v>0.94618568894145494</v>
      </c>
      <c r="P951">
        <v>0.94618568894145494</v>
      </c>
      <c r="Q951">
        <v>0.53302373581011342</v>
      </c>
      <c r="R951">
        <v>1.8760890609874157</v>
      </c>
      <c r="S951">
        <v>1.8760890609874157</v>
      </c>
      <c r="T951">
        <v>1.7751286206859052</v>
      </c>
    </row>
    <row r="952" spans="1:20" x14ac:dyDescent="0.25">
      <c r="A952" s="12" t="s">
        <v>60</v>
      </c>
      <c r="B952" s="12" t="s">
        <v>38</v>
      </c>
      <c r="C952" s="12" t="s">
        <v>14</v>
      </c>
      <c r="D952" s="12">
        <v>2.5380039656311961</v>
      </c>
      <c r="E952" s="12">
        <v>3.8</v>
      </c>
      <c r="F952" s="12">
        <v>20</v>
      </c>
      <c r="G952" s="12">
        <v>3.8</v>
      </c>
      <c r="H952" s="12">
        <v>2.0220588235294117</v>
      </c>
      <c r="I952" s="12" t="s">
        <v>75</v>
      </c>
      <c r="J952" s="6">
        <v>46297</v>
      </c>
      <c r="K952">
        <v>46297</v>
      </c>
      <c r="L952">
        <v>1.4972395833333334</v>
      </c>
      <c r="M952">
        <v>1.4972395833333334</v>
      </c>
      <c r="N952">
        <v>0.79671223958333337</v>
      </c>
      <c r="O952">
        <v>0.66789578042926212</v>
      </c>
      <c r="P952">
        <v>0.66789578042926212</v>
      </c>
      <c r="Q952">
        <v>0.53212074303405577</v>
      </c>
      <c r="R952">
        <v>1.8792727272727272</v>
      </c>
      <c r="S952">
        <v>1.8792727272727272</v>
      </c>
      <c r="T952">
        <v>1.2551583248212461</v>
      </c>
    </row>
    <row r="953" spans="1:20" x14ac:dyDescent="0.25">
      <c r="A953" s="12" t="s">
        <v>60</v>
      </c>
      <c r="B953" s="12" t="s">
        <v>38</v>
      </c>
      <c r="C953" s="12" t="s">
        <v>15</v>
      </c>
      <c r="D953" s="12">
        <v>1.7977528089887642</v>
      </c>
      <c r="E953" s="12">
        <v>0.95</v>
      </c>
      <c r="F953" s="12">
        <v>20</v>
      </c>
      <c r="G953" s="12">
        <v>0.95</v>
      </c>
      <c r="H953" s="12">
        <v>6.2745098039215685E-2</v>
      </c>
      <c r="I953" s="12" t="s">
        <v>76</v>
      </c>
      <c r="J953" s="6">
        <v>46298</v>
      </c>
      <c r="K953">
        <v>46298</v>
      </c>
      <c r="L953">
        <v>0.52843749999999989</v>
      </c>
      <c r="M953">
        <v>0.52843749999999989</v>
      </c>
      <c r="N953">
        <v>3.4901960784313721E-2</v>
      </c>
      <c r="O953">
        <v>1.8923713778829099</v>
      </c>
      <c r="P953">
        <v>1.8923713778829099</v>
      </c>
      <c r="Q953">
        <v>6.6047471620227047E-2</v>
      </c>
      <c r="R953">
        <v>15.140625</v>
      </c>
      <c r="S953">
        <v>15.140625</v>
      </c>
      <c r="T953">
        <v>28.651685393258429</v>
      </c>
    </row>
    <row r="954" spans="1:20" x14ac:dyDescent="0.25">
      <c r="A954" s="12" t="s">
        <v>60</v>
      </c>
      <c r="B954" s="12" t="s">
        <v>38</v>
      </c>
      <c r="C954" s="12" t="s">
        <v>14</v>
      </c>
      <c r="D954" s="12">
        <v>2.538003965631197</v>
      </c>
      <c r="E954" s="12">
        <v>2.8499999999999996</v>
      </c>
      <c r="F954" s="12">
        <v>20</v>
      </c>
      <c r="G954" s="12">
        <v>2.8499999999999996</v>
      </c>
      <c r="H954" s="12">
        <v>1.882352941176471</v>
      </c>
      <c r="I954" s="12" t="s">
        <v>78</v>
      </c>
      <c r="J954" s="6">
        <v>46298</v>
      </c>
      <c r="K954">
        <v>46298</v>
      </c>
      <c r="L954">
        <v>1.1229296874999994</v>
      </c>
      <c r="M954">
        <v>1.1229296874999994</v>
      </c>
      <c r="N954">
        <v>0.74166666666666659</v>
      </c>
      <c r="O954">
        <v>0.89052770723901664</v>
      </c>
      <c r="P954">
        <v>0.89052770723901664</v>
      </c>
      <c r="Q954">
        <v>0.66047471620227061</v>
      </c>
      <c r="R954">
        <v>1.5140624999999994</v>
      </c>
      <c r="S954">
        <v>1.5140624999999994</v>
      </c>
      <c r="T954">
        <v>1.3483146067415732</v>
      </c>
    </row>
    <row r="955" spans="1:20" x14ac:dyDescent="0.25">
      <c r="A955" s="12" t="s">
        <v>60</v>
      </c>
      <c r="B955" s="12" t="s">
        <v>38</v>
      </c>
      <c r="C955" s="12" t="s">
        <v>13</v>
      </c>
      <c r="D955" s="12">
        <v>1.3483146067415734</v>
      </c>
      <c r="E955" s="12">
        <v>3.8</v>
      </c>
      <c r="F955" s="12">
        <v>20</v>
      </c>
      <c r="G955" s="12">
        <v>3.8</v>
      </c>
      <c r="H955" s="12">
        <v>1.8396139705882359</v>
      </c>
      <c r="I955" s="12" t="s">
        <v>77</v>
      </c>
      <c r="J955" s="6">
        <v>46298</v>
      </c>
      <c r="K955">
        <v>46298</v>
      </c>
      <c r="L955">
        <v>2.8183333333333325</v>
      </c>
      <c r="M955">
        <v>2.8183333333333325</v>
      </c>
      <c r="N955">
        <v>1.364380361519608</v>
      </c>
      <c r="O955">
        <v>0.35481963335304567</v>
      </c>
      <c r="P955">
        <v>0.35481963335304567</v>
      </c>
      <c r="Q955">
        <v>0.48410893962848317</v>
      </c>
      <c r="R955">
        <v>2.0656507619285529</v>
      </c>
      <c r="S955">
        <v>2.0656507619285529</v>
      </c>
      <c r="T955">
        <v>0.73293344598292853</v>
      </c>
    </row>
    <row r="956" spans="1:20" x14ac:dyDescent="0.25">
      <c r="A956" s="12" t="s">
        <v>60</v>
      </c>
      <c r="B956" s="12" t="s">
        <v>38</v>
      </c>
      <c r="C956" s="12" t="s">
        <v>13</v>
      </c>
      <c r="D956" s="12">
        <v>1.3483146067415734</v>
      </c>
      <c r="E956" s="12">
        <v>2.8499999999999996</v>
      </c>
      <c r="F956" s="12">
        <v>20</v>
      </c>
      <c r="G956" s="12">
        <v>2.8499999999999996</v>
      </c>
      <c r="H956" s="12">
        <v>1.6911764705882355</v>
      </c>
      <c r="I956" s="12" t="s">
        <v>79</v>
      </c>
      <c r="J956" s="6">
        <v>46299</v>
      </c>
      <c r="K956">
        <v>46299</v>
      </c>
      <c r="L956">
        <v>2.1137499999999991</v>
      </c>
      <c r="M956">
        <v>2.1137499999999991</v>
      </c>
      <c r="N956">
        <v>1.2542892156862744</v>
      </c>
      <c r="O956">
        <v>0.47309284447072758</v>
      </c>
      <c r="P956">
        <v>0.47309284447072758</v>
      </c>
      <c r="Q956">
        <v>0.59339525283797745</v>
      </c>
      <c r="R956">
        <v>1.6852173913043473</v>
      </c>
      <c r="S956">
        <v>1.6852173913043473</v>
      </c>
      <c r="T956">
        <v>0.79726428920371284</v>
      </c>
    </row>
    <row r="957" spans="1:20" x14ac:dyDescent="0.25">
      <c r="A957" s="12" t="s">
        <v>60</v>
      </c>
      <c r="B957" s="12" t="s">
        <v>38</v>
      </c>
      <c r="C957" s="12" t="s">
        <v>15</v>
      </c>
      <c r="D957" s="12">
        <v>1.7977528089887642</v>
      </c>
      <c r="E957" s="12">
        <v>1.9</v>
      </c>
      <c r="F957" s="12">
        <v>20</v>
      </c>
      <c r="G957" s="12">
        <v>1.9</v>
      </c>
      <c r="H957" s="12">
        <v>1.0127450980392154</v>
      </c>
      <c r="I957" s="12" t="s">
        <v>81</v>
      </c>
      <c r="J957" s="6">
        <v>46299</v>
      </c>
      <c r="K957">
        <v>46299</v>
      </c>
      <c r="L957">
        <v>1.0568749999999998</v>
      </c>
      <c r="M957">
        <v>1.0568749999999998</v>
      </c>
      <c r="N957">
        <v>0.56333946078431352</v>
      </c>
      <c r="O957">
        <v>0.94618568894145494</v>
      </c>
      <c r="P957">
        <v>0.94618568894145494</v>
      </c>
      <c r="Q957">
        <v>0.53302373581011342</v>
      </c>
      <c r="R957">
        <v>1.8760890609874157</v>
      </c>
      <c r="S957">
        <v>1.8760890609874157</v>
      </c>
      <c r="T957">
        <v>1.7751286206859052</v>
      </c>
    </row>
    <row r="958" spans="1:20" x14ac:dyDescent="0.25">
      <c r="A958" s="12" t="s">
        <v>60</v>
      </c>
      <c r="B958" s="12" t="s">
        <v>38</v>
      </c>
      <c r="C958" s="12" t="s">
        <v>14</v>
      </c>
      <c r="D958" s="12">
        <v>2.5380039656311961</v>
      </c>
      <c r="E958" s="12">
        <v>3.8</v>
      </c>
      <c r="F958" s="12">
        <v>20</v>
      </c>
      <c r="G958" s="12">
        <v>3.8</v>
      </c>
      <c r="H958" s="12">
        <v>2.0220588235294117</v>
      </c>
      <c r="I958" s="12" t="s">
        <v>80</v>
      </c>
      <c r="J958" s="6">
        <v>46299</v>
      </c>
      <c r="K958">
        <v>46299</v>
      </c>
      <c r="L958">
        <v>1.4972395833333334</v>
      </c>
      <c r="M958">
        <v>1.4972395833333334</v>
      </c>
      <c r="N958">
        <v>0.79671223958333337</v>
      </c>
      <c r="O958">
        <v>0.66789578042926212</v>
      </c>
      <c r="P958">
        <v>0.66789578042926212</v>
      </c>
      <c r="Q958">
        <v>0.53212074303405577</v>
      </c>
      <c r="R958">
        <v>1.8792727272727272</v>
      </c>
      <c r="S958">
        <v>1.8792727272727272</v>
      </c>
      <c r="T958">
        <v>1.2551583248212461</v>
      </c>
    </row>
    <row r="959" spans="1:20" x14ac:dyDescent="0.25">
      <c r="A959" s="12" t="s">
        <v>60</v>
      </c>
      <c r="B959" s="12" t="s">
        <v>38</v>
      </c>
      <c r="C959" s="12" t="s">
        <v>15</v>
      </c>
      <c r="D959" s="12">
        <v>1.7977528089887642</v>
      </c>
      <c r="E959" s="12">
        <v>1.9</v>
      </c>
      <c r="F959" s="12">
        <v>20</v>
      </c>
      <c r="G959" s="12">
        <v>1.9</v>
      </c>
      <c r="H959" s="12">
        <v>1.0127450980392154</v>
      </c>
      <c r="I959" s="12" t="s">
        <v>82</v>
      </c>
      <c r="J959" s="6">
        <v>46300</v>
      </c>
      <c r="K959">
        <v>46300</v>
      </c>
      <c r="L959">
        <v>1.0568749999999998</v>
      </c>
      <c r="M959">
        <v>1.0568749999999998</v>
      </c>
      <c r="N959">
        <v>0.56333946078431352</v>
      </c>
      <c r="O959">
        <v>0.94618568894145494</v>
      </c>
      <c r="P959">
        <v>0.94618568894145494</v>
      </c>
      <c r="Q959">
        <v>0.53302373581011342</v>
      </c>
      <c r="R959">
        <v>1.8760890609874157</v>
      </c>
      <c r="S959">
        <v>1.8760890609874157</v>
      </c>
      <c r="T959">
        <v>1.7751286206859052</v>
      </c>
    </row>
    <row r="960" spans="1:20" x14ac:dyDescent="0.25">
      <c r="A960" s="12" t="s">
        <v>60</v>
      </c>
      <c r="B960" s="12" t="s">
        <v>38</v>
      </c>
      <c r="C960" s="12" t="s">
        <v>13</v>
      </c>
      <c r="D960" s="12">
        <v>2.3595505617977532</v>
      </c>
      <c r="E960" s="12">
        <v>3.8</v>
      </c>
      <c r="F960" s="12">
        <v>20</v>
      </c>
      <c r="G960" s="12">
        <v>3.8</v>
      </c>
      <c r="H960" s="12">
        <v>1.7954963235294119</v>
      </c>
      <c r="I960" s="12" t="s">
        <v>84</v>
      </c>
      <c r="J960" s="6">
        <v>46300</v>
      </c>
      <c r="K960">
        <v>46300</v>
      </c>
      <c r="L960">
        <v>1.6104761904761902</v>
      </c>
      <c r="M960">
        <v>1.6104761904761902</v>
      </c>
      <c r="N960">
        <v>0.76094844187675059</v>
      </c>
      <c r="O960">
        <v>0.62093435836782984</v>
      </c>
      <c r="P960">
        <v>0.62093435836782984</v>
      </c>
      <c r="Q960">
        <v>0.47249903250774</v>
      </c>
      <c r="R960">
        <v>2.1164064499616071</v>
      </c>
      <c r="S960">
        <v>2.1164064499616071</v>
      </c>
      <c r="T960">
        <v>1.314149481052447</v>
      </c>
    </row>
    <row r="961" spans="1:20" x14ac:dyDescent="0.25">
      <c r="A961" s="12" t="s">
        <v>60</v>
      </c>
      <c r="B961" s="12" t="s">
        <v>38</v>
      </c>
      <c r="C961" s="12" t="s">
        <v>14</v>
      </c>
      <c r="D961" s="12">
        <v>2.5380039656311961</v>
      </c>
      <c r="E961" s="12">
        <v>4.75</v>
      </c>
      <c r="F961" s="12">
        <v>20</v>
      </c>
      <c r="G961" s="12">
        <v>4.75</v>
      </c>
      <c r="H961" s="12">
        <v>2.0635813148788924</v>
      </c>
      <c r="I961" s="12" t="s">
        <v>83</v>
      </c>
      <c r="J961" s="6">
        <v>46300</v>
      </c>
      <c r="K961">
        <v>46300</v>
      </c>
      <c r="L961">
        <v>1.8715494791666667</v>
      </c>
      <c r="M961">
        <v>1.8715494791666667</v>
      </c>
      <c r="N961">
        <v>0.81307253370098032</v>
      </c>
      <c r="O961">
        <v>0.53431662434340976</v>
      </c>
      <c r="P961">
        <v>0.53431662434340976</v>
      </c>
      <c r="Q961">
        <v>0.43443817155345105</v>
      </c>
      <c r="R961">
        <v>2.3018235170823731</v>
      </c>
      <c r="S961">
        <v>2.3018235170823731</v>
      </c>
      <c r="T961">
        <v>1.2299025714817284</v>
      </c>
    </row>
    <row r="962" spans="1:20" x14ac:dyDescent="0.25">
      <c r="A962" s="12" t="s">
        <v>60</v>
      </c>
      <c r="B962" s="12" t="s">
        <v>38</v>
      </c>
      <c r="C962" s="12" t="s">
        <v>14</v>
      </c>
      <c r="D962" s="12">
        <v>2.5380039656311961</v>
      </c>
      <c r="E962" s="12">
        <v>3.8</v>
      </c>
      <c r="F962" s="12">
        <v>20</v>
      </c>
      <c r="G962" s="12">
        <v>3.8</v>
      </c>
      <c r="H962" s="12">
        <v>2.0484429065743948</v>
      </c>
      <c r="I962" s="12" t="s">
        <v>85</v>
      </c>
      <c r="J962" s="6">
        <v>46301</v>
      </c>
      <c r="K962">
        <v>46301</v>
      </c>
      <c r="L962">
        <v>1.4972395833333334</v>
      </c>
      <c r="M962">
        <v>1.4972395833333334</v>
      </c>
      <c r="N962">
        <v>0.80710784313725503</v>
      </c>
      <c r="O962">
        <v>0.66789578042926212</v>
      </c>
      <c r="P962">
        <v>0.66789578042926212</v>
      </c>
      <c r="Q962">
        <v>0.53906392278273552</v>
      </c>
      <c r="R962">
        <v>1.8550675675675672</v>
      </c>
      <c r="S962">
        <v>1.8550675675675672</v>
      </c>
      <c r="T962">
        <v>1.2389918007895533</v>
      </c>
    </row>
    <row r="963" spans="1:20" x14ac:dyDescent="0.25">
      <c r="A963" s="12" t="s">
        <v>60</v>
      </c>
      <c r="B963" s="12" t="s">
        <v>38</v>
      </c>
      <c r="C963" s="12" t="s">
        <v>13</v>
      </c>
      <c r="D963" s="12">
        <v>2.3595505617977532</v>
      </c>
      <c r="E963" s="12">
        <v>5.6999999999999993</v>
      </c>
      <c r="F963" s="12">
        <v>20</v>
      </c>
      <c r="G963" s="12">
        <v>5.6999999999999993</v>
      </c>
      <c r="H963" s="12">
        <v>1.9131433823529416</v>
      </c>
      <c r="I963" s="12" t="s">
        <v>87</v>
      </c>
      <c r="J963" s="6">
        <v>46301</v>
      </c>
      <c r="K963">
        <v>46301</v>
      </c>
      <c r="L963">
        <v>2.415714285714285</v>
      </c>
      <c r="M963">
        <v>2.415714285714285</v>
      </c>
      <c r="N963">
        <v>0.81080838585434178</v>
      </c>
      <c r="O963">
        <v>0.4139562389118866</v>
      </c>
      <c r="P963">
        <v>0.4139562389118866</v>
      </c>
      <c r="Q963">
        <v>0.335639189886481</v>
      </c>
      <c r="R963">
        <v>2.979389863079509</v>
      </c>
      <c r="S963">
        <v>2.979389863079509</v>
      </c>
      <c r="T963">
        <v>1.2333370219725943</v>
      </c>
    </row>
    <row r="964" spans="1:20" x14ac:dyDescent="0.25">
      <c r="A964" s="12" t="s">
        <v>60</v>
      </c>
      <c r="B964" s="12" t="s">
        <v>38</v>
      </c>
      <c r="C964" s="12" t="s">
        <v>15</v>
      </c>
      <c r="D964" s="12">
        <v>1.7977528089887642</v>
      </c>
      <c r="E964" s="12">
        <v>0.95</v>
      </c>
      <c r="F964" s="12">
        <v>20</v>
      </c>
      <c r="G964" s="12">
        <v>0.95</v>
      </c>
      <c r="H964" s="12">
        <v>6.2745098039215685E-2</v>
      </c>
      <c r="I964" s="12" t="s">
        <v>86</v>
      </c>
      <c r="J964" s="6">
        <v>46301</v>
      </c>
      <c r="K964">
        <v>46301</v>
      </c>
      <c r="L964">
        <v>0.52843749999999989</v>
      </c>
      <c r="M964">
        <v>0.52843749999999989</v>
      </c>
      <c r="N964">
        <v>3.4901960784313721E-2</v>
      </c>
      <c r="O964">
        <v>1.8923713778829099</v>
      </c>
      <c r="P964">
        <v>1.8923713778829099</v>
      </c>
      <c r="Q964">
        <v>6.6047471620227047E-2</v>
      </c>
      <c r="R964">
        <v>15.140625</v>
      </c>
      <c r="S964">
        <v>15.140625</v>
      </c>
      <c r="T964">
        <v>28.651685393258429</v>
      </c>
    </row>
    <row r="965" spans="1:20" x14ac:dyDescent="0.25">
      <c r="A965" s="12" t="s">
        <v>60</v>
      </c>
      <c r="B965" s="12" t="s">
        <v>38</v>
      </c>
      <c r="C965" s="12" t="s">
        <v>14</v>
      </c>
      <c r="D965" s="12">
        <v>2.5380039656311961</v>
      </c>
      <c r="E965" s="12">
        <v>2.8499999999999996</v>
      </c>
      <c r="F965" s="12">
        <v>20</v>
      </c>
      <c r="G965" s="12">
        <v>2.8499999999999996</v>
      </c>
      <c r="H965" s="12">
        <v>1.8823529411764703</v>
      </c>
      <c r="I965" s="12" t="s">
        <v>88</v>
      </c>
      <c r="J965" s="6">
        <v>46302</v>
      </c>
      <c r="K965">
        <v>46302</v>
      </c>
      <c r="L965">
        <v>1.1229296874999999</v>
      </c>
      <c r="M965">
        <v>1.1229296874999999</v>
      </c>
      <c r="N965">
        <v>0.74166666666666659</v>
      </c>
      <c r="O965">
        <v>0.89052770723901631</v>
      </c>
      <c r="P965">
        <v>0.89052770723901631</v>
      </c>
      <c r="Q965">
        <v>0.66047471620227038</v>
      </c>
      <c r="R965">
        <v>1.5140625000000001</v>
      </c>
      <c r="S965">
        <v>1.5140625000000001</v>
      </c>
      <c r="T965">
        <v>1.3483146067415732</v>
      </c>
    </row>
    <row r="966" spans="1:20" x14ac:dyDescent="0.25">
      <c r="A966" s="12" t="s">
        <v>60</v>
      </c>
      <c r="B966" s="12" t="s">
        <v>38</v>
      </c>
      <c r="C966" s="12" t="s">
        <v>15</v>
      </c>
      <c r="D966" s="12">
        <v>1.7977528089887642</v>
      </c>
      <c r="E966" s="12">
        <v>0.95</v>
      </c>
      <c r="F966" s="12">
        <v>20</v>
      </c>
      <c r="G966" s="12">
        <v>0.95</v>
      </c>
      <c r="H966" s="12">
        <v>6.2745098039215685E-2</v>
      </c>
      <c r="I966" s="12" t="s">
        <v>89</v>
      </c>
      <c r="J966" s="6">
        <v>46302</v>
      </c>
      <c r="K966">
        <v>46302</v>
      </c>
      <c r="L966">
        <v>0.52843749999999989</v>
      </c>
      <c r="M966">
        <v>0.52843749999999989</v>
      </c>
      <c r="N966">
        <v>3.4901960784313721E-2</v>
      </c>
      <c r="O966">
        <v>1.8923713778829099</v>
      </c>
      <c r="P966">
        <v>1.8923713778829099</v>
      </c>
      <c r="Q966">
        <v>6.6047471620227047E-2</v>
      </c>
      <c r="R966">
        <v>15.140625</v>
      </c>
      <c r="S966">
        <v>15.140625</v>
      </c>
      <c r="T966">
        <v>28.651685393258429</v>
      </c>
    </row>
    <row r="967" spans="1:20" x14ac:dyDescent="0.25">
      <c r="A967" s="12" t="s">
        <v>60</v>
      </c>
      <c r="B967" s="12" t="s">
        <v>38</v>
      </c>
      <c r="C967" s="12" t="s">
        <v>13</v>
      </c>
      <c r="D967" s="12">
        <v>2.6966292134831469</v>
      </c>
      <c r="E967" s="12">
        <v>3.8</v>
      </c>
      <c r="F967" s="12">
        <v>20</v>
      </c>
      <c r="G967" s="12">
        <v>3.8</v>
      </c>
      <c r="H967" s="12">
        <v>1.6911764705882355</v>
      </c>
      <c r="I967" s="12" t="s">
        <v>90</v>
      </c>
      <c r="J967" s="6">
        <v>46302</v>
      </c>
      <c r="K967">
        <v>46302</v>
      </c>
      <c r="L967">
        <v>1.4091666666666662</v>
      </c>
      <c r="M967">
        <v>1.4091666666666662</v>
      </c>
      <c r="N967">
        <v>0.62714460784313719</v>
      </c>
      <c r="O967">
        <v>0.70963926670609134</v>
      </c>
      <c r="P967">
        <v>0.70963926670609134</v>
      </c>
      <c r="Q967">
        <v>0.44504643962848306</v>
      </c>
      <c r="R967">
        <v>2.2469565217391301</v>
      </c>
      <c r="S967">
        <v>2.2469565217391301</v>
      </c>
      <c r="T967">
        <v>1.5945285784074257</v>
      </c>
    </row>
    <row r="968" spans="1:20" x14ac:dyDescent="0.25">
      <c r="A968" s="12" t="s">
        <v>60</v>
      </c>
      <c r="B968" s="12" t="s">
        <v>38</v>
      </c>
      <c r="C968" s="12" t="s">
        <v>14</v>
      </c>
      <c r="D968" s="12">
        <v>2.5380039656311961</v>
      </c>
      <c r="E968" s="12">
        <v>3.8</v>
      </c>
      <c r="F968" s="12">
        <v>20</v>
      </c>
      <c r="G968" s="12">
        <v>3.8</v>
      </c>
      <c r="H968" s="12">
        <v>2.0220588235294117</v>
      </c>
      <c r="I968" s="12" t="s">
        <v>91</v>
      </c>
      <c r="J968" s="6">
        <v>46303</v>
      </c>
      <c r="K968">
        <v>46303</v>
      </c>
      <c r="L968">
        <v>1.4972395833333334</v>
      </c>
      <c r="M968">
        <v>1.4972395833333334</v>
      </c>
      <c r="N968">
        <v>0.79671223958333337</v>
      </c>
      <c r="O968">
        <v>0.66789578042926212</v>
      </c>
      <c r="P968">
        <v>0.66789578042926212</v>
      </c>
      <c r="Q968">
        <v>0.53212074303405577</v>
      </c>
      <c r="R968">
        <v>1.8792727272727272</v>
      </c>
      <c r="S968">
        <v>1.8792727272727272</v>
      </c>
      <c r="T968">
        <v>1.2551583248212461</v>
      </c>
    </row>
    <row r="969" spans="1:20" x14ac:dyDescent="0.25">
      <c r="A969" s="12" t="s">
        <v>60</v>
      </c>
      <c r="B969" s="12" t="s">
        <v>38</v>
      </c>
      <c r="C969" s="12" t="s">
        <v>13</v>
      </c>
      <c r="D969" s="12">
        <v>2.3595505617977532</v>
      </c>
      <c r="E969" s="12">
        <v>2.8499999999999996</v>
      </c>
      <c r="F969" s="12">
        <v>20</v>
      </c>
      <c r="G969" s="12">
        <v>2.8499999999999996</v>
      </c>
      <c r="H969" s="12">
        <v>1.6911764705882355</v>
      </c>
      <c r="I969" s="12" t="s">
        <v>93</v>
      </c>
      <c r="J969" s="6">
        <v>46303</v>
      </c>
      <c r="K969">
        <v>46303</v>
      </c>
      <c r="L969">
        <v>1.2078571428571425</v>
      </c>
      <c r="M969">
        <v>1.2078571428571425</v>
      </c>
      <c r="N969">
        <v>0.71673669467787116</v>
      </c>
      <c r="O969">
        <v>0.8279124778237732</v>
      </c>
      <c r="P969">
        <v>0.8279124778237732</v>
      </c>
      <c r="Q969">
        <v>0.59339525283797745</v>
      </c>
      <c r="R969">
        <v>1.6852173913043473</v>
      </c>
      <c r="S969">
        <v>1.6852173913043473</v>
      </c>
      <c r="T969">
        <v>1.3952125061064975</v>
      </c>
    </row>
    <row r="970" spans="1:20" x14ac:dyDescent="0.25">
      <c r="A970" s="12" t="s">
        <v>60</v>
      </c>
      <c r="B970" s="12" t="s">
        <v>38</v>
      </c>
      <c r="C970" s="12" t="s">
        <v>15</v>
      </c>
      <c r="D970" s="12">
        <v>1.7977528089887642</v>
      </c>
      <c r="E970" s="12">
        <v>1.9</v>
      </c>
      <c r="F970" s="12">
        <v>20</v>
      </c>
      <c r="G970" s="12">
        <v>1.9</v>
      </c>
      <c r="H970" s="12">
        <v>1.0127450980392154</v>
      </c>
      <c r="I970" s="12" t="s">
        <v>92</v>
      </c>
      <c r="J970" s="6">
        <v>46303</v>
      </c>
      <c r="K970">
        <v>46303</v>
      </c>
      <c r="L970">
        <v>1.0568749999999998</v>
      </c>
      <c r="M970">
        <v>1.0568749999999998</v>
      </c>
      <c r="N970">
        <v>0.56333946078431352</v>
      </c>
      <c r="O970">
        <v>0.94618568894145494</v>
      </c>
      <c r="P970">
        <v>0.94618568894145494</v>
      </c>
      <c r="Q970">
        <v>0.53302373581011342</v>
      </c>
      <c r="R970">
        <v>1.8760890609874157</v>
      </c>
      <c r="S970">
        <v>1.8760890609874157</v>
      </c>
      <c r="T970">
        <v>1.7751286206859052</v>
      </c>
    </row>
    <row r="971" spans="1:20" x14ac:dyDescent="0.25">
      <c r="A971" s="12" t="s">
        <v>60</v>
      </c>
      <c r="B971" s="12" t="s">
        <v>38</v>
      </c>
      <c r="C971" s="12" t="s">
        <v>13</v>
      </c>
      <c r="D971" s="12">
        <v>2.3595505617977532</v>
      </c>
      <c r="E971" s="12">
        <v>3.8</v>
      </c>
      <c r="F971" s="12">
        <v>20</v>
      </c>
      <c r="G971" s="12">
        <v>3.8</v>
      </c>
      <c r="H971" s="12">
        <v>1.8396139705882359</v>
      </c>
      <c r="I971" s="12" t="s">
        <v>95</v>
      </c>
      <c r="J971" s="6">
        <v>46304</v>
      </c>
      <c r="K971">
        <v>46304</v>
      </c>
      <c r="L971">
        <v>1.6104761904761902</v>
      </c>
      <c r="M971">
        <v>1.6104761904761902</v>
      </c>
      <c r="N971">
        <v>0.7796459208683475</v>
      </c>
      <c r="O971">
        <v>0.62093435836782984</v>
      </c>
      <c r="P971">
        <v>0.62093435836782984</v>
      </c>
      <c r="Q971">
        <v>0.48410893962848317</v>
      </c>
      <c r="R971">
        <v>2.0656507619285529</v>
      </c>
      <c r="S971">
        <v>2.0656507619285529</v>
      </c>
      <c r="T971">
        <v>1.2826335304701246</v>
      </c>
    </row>
    <row r="972" spans="1:20" x14ac:dyDescent="0.25">
      <c r="A972" s="12" t="s">
        <v>60</v>
      </c>
      <c r="B972" s="12" t="s">
        <v>38</v>
      </c>
      <c r="C972" s="12" t="s">
        <v>15</v>
      </c>
      <c r="D972" s="12">
        <v>1.7977528089887642</v>
      </c>
      <c r="E972" s="12">
        <v>1.9</v>
      </c>
      <c r="F972" s="12">
        <v>20</v>
      </c>
      <c r="G972" s="12">
        <v>1.9</v>
      </c>
      <c r="H972" s="12">
        <v>1.0127450980392154</v>
      </c>
      <c r="I972" s="12" t="s">
        <v>96</v>
      </c>
      <c r="J972" s="6">
        <v>46304</v>
      </c>
      <c r="K972">
        <v>46304</v>
      </c>
      <c r="L972">
        <v>1.0568749999999998</v>
      </c>
      <c r="M972">
        <v>1.0568749999999998</v>
      </c>
      <c r="N972">
        <v>0.56333946078431352</v>
      </c>
      <c r="O972">
        <v>0.94618568894145494</v>
      </c>
      <c r="P972">
        <v>0.94618568894145494</v>
      </c>
      <c r="Q972">
        <v>0.53302373581011342</v>
      </c>
      <c r="R972">
        <v>1.8760890609874157</v>
      </c>
      <c r="S972">
        <v>1.8760890609874157</v>
      </c>
      <c r="T972">
        <v>1.7751286206859052</v>
      </c>
    </row>
    <row r="973" spans="1:20" x14ac:dyDescent="0.25">
      <c r="A973" s="12" t="s">
        <v>60</v>
      </c>
      <c r="B973" s="12" t="s">
        <v>38</v>
      </c>
      <c r="C973" s="12" t="s">
        <v>14</v>
      </c>
      <c r="D973" s="12">
        <v>2.5380039656311961</v>
      </c>
      <c r="E973" s="12">
        <v>3.8</v>
      </c>
      <c r="F973" s="12">
        <v>20</v>
      </c>
      <c r="G973" s="12">
        <v>3.8</v>
      </c>
      <c r="H973" s="12">
        <v>2.0220588235294117</v>
      </c>
      <c r="I973" s="12" t="s">
        <v>94</v>
      </c>
      <c r="J973" s="6">
        <v>46304</v>
      </c>
      <c r="K973">
        <v>46304</v>
      </c>
      <c r="L973">
        <v>1.4972395833333334</v>
      </c>
      <c r="M973">
        <v>1.4972395833333334</v>
      </c>
      <c r="N973">
        <v>0.79671223958333337</v>
      </c>
      <c r="O973">
        <v>0.66789578042926212</v>
      </c>
      <c r="P973">
        <v>0.66789578042926212</v>
      </c>
      <c r="Q973">
        <v>0.53212074303405577</v>
      </c>
      <c r="R973">
        <v>1.8792727272727272</v>
      </c>
      <c r="S973">
        <v>1.8792727272727272</v>
      </c>
      <c r="T973">
        <v>1.2551583248212461</v>
      </c>
    </row>
    <row r="974" spans="1:20" x14ac:dyDescent="0.25">
      <c r="A974" s="12" t="s">
        <v>60</v>
      </c>
      <c r="B974" s="12" t="s">
        <v>38</v>
      </c>
      <c r="C974" s="12" t="s">
        <v>14</v>
      </c>
      <c r="D974" s="12">
        <v>2.5380039656311961</v>
      </c>
      <c r="E974" s="12">
        <v>4.75</v>
      </c>
      <c r="F974" s="12">
        <v>20</v>
      </c>
      <c r="G974" s="12">
        <v>4.75</v>
      </c>
      <c r="H974" s="12">
        <v>2.1881487889273359</v>
      </c>
      <c r="I974" s="12" t="s">
        <v>97</v>
      </c>
      <c r="J974" s="6">
        <v>46305</v>
      </c>
      <c r="K974">
        <v>46305</v>
      </c>
      <c r="L974">
        <v>1.8715494791666667</v>
      </c>
      <c r="M974">
        <v>1.8715494791666667</v>
      </c>
      <c r="N974">
        <v>0.86215341605392171</v>
      </c>
      <c r="O974">
        <v>0.53431662434340976</v>
      </c>
      <c r="P974">
        <v>0.53431662434340976</v>
      </c>
      <c r="Q974">
        <v>0.46066290293207074</v>
      </c>
      <c r="R974">
        <v>2.1707847400672069</v>
      </c>
      <c r="S974">
        <v>2.1707847400672069</v>
      </c>
      <c r="T974">
        <v>1.1598863744888961</v>
      </c>
    </row>
    <row r="975" spans="1:20" x14ac:dyDescent="0.25">
      <c r="A975" s="12" t="s">
        <v>60</v>
      </c>
      <c r="B975" s="12" t="s">
        <v>38</v>
      </c>
      <c r="C975" s="12" t="s">
        <v>15</v>
      </c>
      <c r="D975" s="12">
        <v>1.7977528089887642</v>
      </c>
      <c r="E975" s="12">
        <v>1.9</v>
      </c>
      <c r="F975" s="12">
        <v>20</v>
      </c>
      <c r="G975" s="12">
        <v>1.9</v>
      </c>
      <c r="H975" s="12">
        <v>1.0127450980392154</v>
      </c>
      <c r="I975" s="12" t="s">
        <v>99</v>
      </c>
      <c r="J975" s="6">
        <v>46305</v>
      </c>
      <c r="K975">
        <v>46305</v>
      </c>
      <c r="L975">
        <v>1.0568749999999998</v>
      </c>
      <c r="M975">
        <v>1.0568749999999998</v>
      </c>
      <c r="N975">
        <v>0.56333946078431352</v>
      </c>
      <c r="O975">
        <v>0.94618568894145494</v>
      </c>
      <c r="P975">
        <v>0.94618568894145494</v>
      </c>
      <c r="Q975">
        <v>0.53302373581011342</v>
      </c>
      <c r="R975">
        <v>1.8760890609874157</v>
      </c>
      <c r="S975">
        <v>1.8760890609874157</v>
      </c>
      <c r="T975">
        <v>1.7751286206859052</v>
      </c>
    </row>
    <row r="976" spans="1:20" x14ac:dyDescent="0.25">
      <c r="A976" s="12" t="s">
        <v>60</v>
      </c>
      <c r="B976" s="12" t="s">
        <v>38</v>
      </c>
      <c r="C976" s="12" t="s">
        <v>13</v>
      </c>
      <c r="D976" s="12">
        <v>1.3483146067415734</v>
      </c>
      <c r="E976" s="12">
        <v>3.8</v>
      </c>
      <c r="F976" s="12">
        <v>20</v>
      </c>
      <c r="G976" s="12">
        <v>3.8</v>
      </c>
      <c r="H976" s="12">
        <v>1.9131433823529416</v>
      </c>
      <c r="I976" s="12" t="s">
        <v>98</v>
      </c>
      <c r="J976" s="6">
        <v>46305</v>
      </c>
      <c r="K976">
        <v>46305</v>
      </c>
      <c r="L976">
        <v>2.8183333333333325</v>
      </c>
      <c r="M976">
        <v>2.8183333333333325</v>
      </c>
      <c r="N976">
        <v>1.4189146752450978</v>
      </c>
      <c r="O976">
        <v>0.35481963335304567</v>
      </c>
      <c r="P976">
        <v>0.35481963335304567</v>
      </c>
      <c r="Q976">
        <v>0.50345878482972151</v>
      </c>
      <c r="R976">
        <v>1.9862599087196728</v>
      </c>
      <c r="S976">
        <v>1.9862599087196728</v>
      </c>
      <c r="T976">
        <v>0.70476401255576826</v>
      </c>
    </row>
    <row r="977" spans="1:20" x14ac:dyDescent="0.25">
      <c r="A977" s="12" t="s">
        <v>60</v>
      </c>
      <c r="B977" s="12" t="s">
        <v>38</v>
      </c>
      <c r="C977" s="12" t="s">
        <v>14</v>
      </c>
      <c r="D977" s="12">
        <v>2.5380039656311961</v>
      </c>
      <c r="E977" s="12">
        <v>4.75</v>
      </c>
      <c r="F977" s="12">
        <v>20</v>
      </c>
      <c r="G977" s="12">
        <v>4.75</v>
      </c>
      <c r="H977" s="12">
        <v>2.1881487889273359</v>
      </c>
      <c r="I977" s="12" t="s">
        <v>100</v>
      </c>
      <c r="J977" s="6">
        <v>46306</v>
      </c>
      <c r="K977">
        <v>46306</v>
      </c>
      <c r="L977">
        <v>1.8715494791666667</v>
      </c>
      <c r="M977">
        <v>1.8715494791666667</v>
      </c>
      <c r="N977">
        <v>0.86215341605392171</v>
      </c>
      <c r="O977">
        <v>0.53431662434340976</v>
      </c>
      <c r="P977">
        <v>0.53431662434340976</v>
      </c>
      <c r="Q977">
        <v>0.46066290293207074</v>
      </c>
      <c r="R977">
        <v>2.1707847400672069</v>
      </c>
      <c r="S977">
        <v>2.1707847400672069</v>
      </c>
      <c r="T977">
        <v>1.1598863744888961</v>
      </c>
    </row>
    <row r="978" spans="1:20" x14ac:dyDescent="0.25">
      <c r="A978" s="12" t="s">
        <v>60</v>
      </c>
      <c r="B978" s="12" t="s">
        <v>38</v>
      </c>
      <c r="C978" s="12" t="s">
        <v>13</v>
      </c>
      <c r="D978" s="12">
        <v>1.3483146067415734</v>
      </c>
      <c r="E978" s="12">
        <v>3.8</v>
      </c>
      <c r="F978" s="12">
        <v>20</v>
      </c>
      <c r="G978" s="12">
        <v>3.8</v>
      </c>
      <c r="H978" s="12">
        <v>1.9131433823529416</v>
      </c>
      <c r="I978" s="12" t="s">
        <v>102</v>
      </c>
      <c r="J978" s="6">
        <v>46306</v>
      </c>
      <c r="K978">
        <v>46306</v>
      </c>
      <c r="L978">
        <v>2.8183333333333325</v>
      </c>
      <c r="M978">
        <v>2.8183333333333325</v>
      </c>
      <c r="N978">
        <v>1.4189146752450978</v>
      </c>
      <c r="O978">
        <v>0.35481963335304567</v>
      </c>
      <c r="P978">
        <v>0.35481963335304567</v>
      </c>
      <c r="Q978">
        <v>0.50345878482972151</v>
      </c>
      <c r="R978">
        <v>1.9862599087196728</v>
      </c>
      <c r="S978">
        <v>1.9862599087196728</v>
      </c>
      <c r="T978">
        <v>0.70476401255576826</v>
      </c>
    </row>
    <row r="979" spans="1:20" x14ac:dyDescent="0.25">
      <c r="A979" s="12" t="s">
        <v>60</v>
      </c>
      <c r="B979" s="12" t="s">
        <v>38</v>
      </c>
      <c r="C979" s="12" t="s">
        <v>15</v>
      </c>
      <c r="D979" s="12">
        <v>1.7977528089887642</v>
      </c>
      <c r="E979" s="12">
        <v>1.9</v>
      </c>
      <c r="F979" s="12">
        <v>20</v>
      </c>
      <c r="G979" s="12">
        <v>1.9</v>
      </c>
      <c r="H979" s="12">
        <v>1.0127450980392154</v>
      </c>
      <c r="I979" s="12" t="s">
        <v>101</v>
      </c>
      <c r="J979" s="6">
        <v>46306</v>
      </c>
      <c r="K979">
        <v>46306</v>
      </c>
      <c r="L979">
        <v>1.0568749999999998</v>
      </c>
      <c r="M979">
        <v>1.0568749999999998</v>
      </c>
      <c r="N979">
        <v>0.56333946078431352</v>
      </c>
      <c r="O979">
        <v>0.94618568894145494</v>
      </c>
      <c r="P979">
        <v>0.94618568894145494</v>
      </c>
      <c r="Q979">
        <v>0.53302373581011342</v>
      </c>
      <c r="R979">
        <v>1.8760890609874157</v>
      </c>
      <c r="S979">
        <v>1.8760890609874157</v>
      </c>
      <c r="T979">
        <v>1.7751286206859052</v>
      </c>
    </row>
    <row r="980" spans="1:20" x14ac:dyDescent="0.25">
      <c r="A980" s="12" t="s">
        <v>60</v>
      </c>
      <c r="B980" s="12" t="s">
        <v>38</v>
      </c>
      <c r="C980" s="12" t="s">
        <v>14</v>
      </c>
      <c r="D980" s="12">
        <v>2.2207534699272973</v>
      </c>
      <c r="E980" s="12">
        <v>2.8499999999999996</v>
      </c>
      <c r="F980" s="12">
        <v>20</v>
      </c>
      <c r="G980" s="12">
        <v>2.8499999999999996</v>
      </c>
      <c r="H980" s="12">
        <v>1.7577854671280275</v>
      </c>
      <c r="I980" s="12" t="s">
        <v>103</v>
      </c>
      <c r="J980" s="6">
        <v>46307</v>
      </c>
      <c r="K980">
        <v>46307</v>
      </c>
      <c r="L980">
        <v>1.2833482142857138</v>
      </c>
      <c r="M980">
        <v>1.2833482142857138</v>
      </c>
      <c r="N980">
        <v>0.79152661064425744</v>
      </c>
      <c r="O980">
        <v>0.77921174383413949</v>
      </c>
      <c r="P980">
        <v>0.77921174383413949</v>
      </c>
      <c r="Q980">
        <v>0.61676683057123782</v>
      </c>
      <c r="R980">
        <v>1.6213582677165355</v>
      </c>
      <c r="S980">
        <v>1.6213582677165355</v>
      </c>
      <c r="T980">
        <v>1.2633814031673012</v>
      </c>
    </row>
    <row r="981" spans="1:20" x14ac:dyDescent="0.25">
      <c r="A981" s="12" t="s">
        <v>60</v>
      </c>
      <c r="B981" s="12" t="s">
        <v>38</v>
      </c>
      <c r="C981" s="12" t="s">
        <v>15</v>
      </c>
      <c r="D981" s="12">
        <v>1.7977528089887642</v>
      </c>
      <c r="E981" s="12">
        <v>0.95</v>
      </c>
      <c r="F981" s="12">
        <v>20</v>
      </c>
      <c r="G981" s="12">
        <v>0.95</v>
      </c>
      <c r="H981" s="12">
        <v>6.2745098039215685E-2</v>
      </c>
      <c r="I981" s="12" t="s">
        <v>104</v>
      </c>
      <c r="J981" s="6">
        <v>46307</v>
      </c>
      <c r="K981">
        <v>46307</v>
      </c>
      <c r="L981">
        <v>0.52843749999999989</v>
      </c>
      <c r="M981">
        <v>0.52843749999999989</v>
      </c>
      <c r="N981">
        <v>3.4901960784313721E-2</v>
      </c>
      <c r="O981">
        <v>1.8923713778829099</v>
      </c>
      <c r="P981">
        <v>1.8923713778829099</v>
      </c>
      <c r="Q981">
        <v>6.6047471620227047E-2</v>
      </c>
      <c r="R981">
        <v>15.140625</v>
      </c>
      <c r="S981">
        <v>15.140625</v>
      </c>
      <c r="T981">
        <v>28.651685393258429</v>
      </c>
    </row>
    <row r="982" spans="1:20" x14ac:dyDescent="0.25">
      <c r="A982" s="12" t="s">
        <v>60</v>
      </c>
      <c r="B982" s="12" t="s">
        <v>38</v>
      </c>
      <c r="C982" s="12" t="s">
        <v>13</v>
      </c>
      <c r="D982" s="12">
        <v>1.3483146067415734</v>
      </c>
      <c r="E982" s="12">
        <v>1.9</v>
      </c>
      <c r="F982" s="12">
        <v>20</v>
      </c>
      <c r="G982" s="12">
        <v>1.9</v>
      </c>
      <c r="H982" s="12">
        <v>0.97196691176470595</v>
      </c>
      <c r="I982" s="12" t="s">
        <v>105</v>
      </c>
      <c r="J982" s="6">
        <v>46307</v>
      </c>
      <c r="K982">
        <v>46307</v>
      </c>
      <c r="L982">
        <v>1.4091666666666662</v>
      </c>
      <c r="M982">
        <v>1.4091666666666662</v>
      </c>
      <c r="N982">
        <v>0.72087545955882337</v>
      </c>
      <c r="O982">
        <v>0.70963926670609134</v>
      </c>
      <c r="P982">
        <v>0.70963926670609134</v>
      </c>
      <c r="Q982">
        <v>0.51156153250773995</v>
      </c>
      <c r="R982">
        <v>1.9547990543735223</v>
      </c>
      <c r="S982">
        <v>1.9547990543735223</v>
      </c>
      <c r="T982">
        <v>1.387202167503387</v>
      </c>
    </row>
    <row r="983" spans="1:20" x14ac:dyDescent="0.25">
      <c r="A983" s="12" t="s">
        <v>60</v>
      </c>
      <c r="B983" s="12" t="s">
        <v>38</v>
      </c>
      <c r="C983" s="12" t="s">
        <v>15</v>
      </c>
      <c r="D983" s="12">
        <v>1.7977528089887642</v>
      </c>
      <c r="E983" s="12">
        <v>0.95</v>
      </c>
      <c r="F983" s="12">
        <v>20</v>
      </c>
      <c r="G983" s="12">
        <v>0.95</v>
      </c>
      <c r="H983" s="12">
        <v>6.2745098039215685E-2</v>
      </c>
      <c r="I983" s="12" t="s">
        <v>106</v>
      </c>
      <c r="J983" s="6">
        <v>46308</v>
      </c>
      <c r="K983">
        <v>46308</v>
      </c>
      <c r="L983">
        <v>0.52843749999999989</v>
      </c>
      <c r="M983">
        <v>0.52843749999999989</v>
      </c>
      <c r="N983">
        <v>3.4901960784313721E-2</v>
      </c>
      <c r="O983">
        <v>1.8923713778829099</v>
      </c>
      <c r="P983">
        <v>1.8923713778829099</v>
      </c>
      <c r="Q983">
        <v>6.6047471620227047E-2</v>
      </c>
      <c r="R983">
        <v>15.140625</v>
      </c>
      <c r="S983">
        <v>15.140625</v>
      </c>
      <c r="T983">
        <v>28.651685393258429</v>
      </c>
    </row>
    <row r="984" spans="1:20" x14ac:dyDescent="0.25">
      <c r="A984" s="12" t="s">
        <v>60</v>
      </c>
      <c r="B984" s="12" t="s">
        <v>38</v>
      </c>
      <c r="C984" s="12" t="s">
        <v>14</v>
      </c>
      <c r="D984" s="12">
        <v>2.2207534699272973</v>
      </c>
      <c r="E984" s="12">
        <v>3.8</v>
      </c>
      <c r="F984" s="12">
        <v>20</v>
      </c>
      <c r="G984" s="12">
        <v>3.8</v>
      </c>
      <c r="H984" s="12">
        <v>1.9238754325259515</v>
      </c>
      <c r="I984" s="12" t="s">
        <v>107</v>
      </c>
      <c r="J984" s="6">
        <v>46308</v>
      </c>
      <c r="K984">
        <v>46308</v>
      </c>
      <c r="L984">
        <v>1.7111309523809519</v>
      </c>
      <c r="M984">
        <v>1.7111309523809519</v>
      </c>
      <c r="N984">
        <v>0.86631652661064407</v>
      </c>
      <c r="O984">
        <v>0.58440880787560456</v>
      </c>
      <c r="P984">
        <v>0.58440880787560456</v>
      </c>
      <c r="Q984">
        <v>0.50628300855946096</v>
      </c>
      <c r="R984">
        <v>1.9751798561151079</v>
      </c>
      <c r="S984">
        <v>1.9751798561151079</v>
      </c>
      <c r="T984">
        <v>1.1543125050521383</v>
      </c>
    </row>
    <row r="985" spans="1:20" x14ac:dyDescent="0.25">
      <c r="A985" s="12" t="s">
        <v>60</v>
      </c>
      <c r="B985" s="12" t="s">
        <v>38</v>
      </c>
      <c r="C985" s="12" t="s">
        <v>13</v>
      </c>
      <c r="D985" s="12">
        <v>2.6966292134831464</v>
      </c>
      <c r="E985" s="12">
        <v>2.8499999999999996</v>
      </c>
      <c r="F985" s="12">
        <v>20</v>
      </c>
      <c r="G985" s="12">
        <v>2.8499999999999996</v>
      </c>
      <c r="H985" s="12">
        <v>1.6470588235294119</v>
      </c>
      <c r="I985" s="12" t="s">
        <v>108</v>
      </c>
      <c r="J985" s="6">
        <v>46308</v>
      </c>
      <c r="K985">
        <v>46308</v>
      </c>
      <c r="L985">
        <v>1.0568749999999998</v>
      </c>
      <c r="M985">
        <v>1.0568749999999998</v>
      </c>
      <c r="N985">
        <v>0.61078431372549014</v>
      </c>
      <c r="O985">
        <v>0.94618568894145505</v>
      </c>
      <c r="P985">
        <v>0.94618568894145505</v>
      </c>
      <c r="Q985">
        <v>0.57791537667698667</v>
      </c>
      <c r="R985">
        <v>1.7303571428571425</v>
      </c>
      <c r="S985">
        <v>1.7303571428571425</v>
      </c>
      <c r="T985">
        <v>1.637239165329053</v>
      </c>
    </row>
    <row r="986" spans="1:20" x14ac:dyDescent="0.25">
      <c r="A986" s="12" t="s">
        <v>60</v>
      </c>
      <c r="B986" s="12" t="s">
        <v>38</v>
      </c>
      <c r="C986" s="12" t="s">
        <v>14</v>
      </c>
      <c r="D986" s="12">
        <v>2.538003965631197</v>
      </c>
      <c r="E986" s="12">
        <v>4.75</v>
      </c>
      <c r="F986" s="12">
        <v>20</v>
      </c>
      <c r="G986" s="12">
        <v>4.75</v>
      </c>
      <c r="H986" s="12">
        <v>2.188148788927335</v>
      </c>
      <c r="I986" s="12" t="s">
        <v>110</v>
      </c>
      <c r="J986" s="6">
        <v>46309</v>
      </c>
      <c r="K986">
        <v>46309</v>
      </c>
      <c r="L986">
        <v>1.871549479166666</v>
      </c>
      <c r="M986">
        <v>1.871549479166666</v>
      </c>
      <c r="N986">
        <v>0.86215341605392104</v>
      </c>
      <c r="O986">
        <v>0.53431662434340987</v>
      </c>
      <c r="P986">
        <v>0.53431662434340987</v>
      </c>
      <c r="Q986">
        <v>0.46066290293207052</v>
      </c>
      <c r="R986">
        <v>2.1707847400672078</v>
      </c>
      <c r="S986">
        <v>2.1707847400672078</v>
      </c>
      <c r="T986">
        <v>1.1598863744888968</v>
      </c>
    </row>
    <row r="987" spans="1:20" x14ac:dyDescent="0.25">
      <c r="A987" s="12" t="s">
        <v>60</v>
      </c>
      <c r="B987" s="12" t="s">
        <v>38</v>
      </c>
      <c r="C987" s="12" t="s">
        <v>13</v>
      </c>
      <c r="D987" s="12">
        <v>2.6966292134831469</v>
      </c>
      <c r="E987" s="12">
        <v>3.8</v>
      </c>
      <c r="F987" s="12">
        <v>20</v>
      </c>
      <c r="G987" s="12">
        <v>3.8</v>
      </c>
      <c r="H987" s="12">
        <v>1.7647058823529416</v>
      </c>
      <c r="I987" s="12" t="s">
        <v>111</v>
      </c>
      <c r="J987" s="6">
        <v>46309</v>
      </c>
      <c r="K987">
        <v>46309</v>
      </c>
      <c r="L987">
        <v>1.4091666666666662</v>
      </c>
      <c r="M987">
        <v>1.4091666666666662</v>
      </c>
      <c r="N987">
        <v>0.65441176470588225</v>
      </c>
      <c r="O987">
        <v>0.70963926670609134</v>
      </c>
      <c r="P987">
        <v>0.70963926670609134</v>
      </c>
      <c r="Q987">
        <v>0.46439628482972151</v>
      </c>
      <c r="R987">
        <v>2.1533333333333329</v>
      </c>
      <c r="S987">
        <v>2.1533333333333329</v>
      </c>
      <c r="T987">
        <v>1.5280898876404496</v>
      </c>
    </row>
    <row r="988" spans="1:20" x14ac:dyDescent="0.25">
      <c r="A988" s="12" t="s">
        <v>60</v>
      </c>
      <c r="B988" s="12" t="s">
        <v>38</v>
      </c>
      <c r="C988" s="12" t="s">
        <v>15</v>
      </c>
      <c r="D988" s="12">
        <v>1.7977528089887642</v>
      </c>
      <c r="E988" s="12">
        <v>1.9</v>
      </c>
      <c r="F988" s="12">
        <v>20</v>
      </c>
      <c r="G988" s="12">
        <v>1.9</v>
      </c>
      <c r="H988" s="12">
        <v>1.0127450980392154</v>
      </c>
      <c r="I988" s="12" t="s">
        <v>109</v>
      </c>
      <c r="J988" s="6">
        <v>46309</v>
      </c>
      <c r="K988">
        <v>46309</v>
      </c>
      <c r="L988">
        <v>1.0568749999999998</v>
      </c>
      <c r="M988">
        <v>1.0568749999999998</v>
      </c>
      <c r="N988">
        <v>0.56333946078431352</v>
      </c>
      <c r="O988">
        <v>0.94618568894145494</v>
      </c>
      <c r="P988">
        <v>0.94618568894145494</v>
      </c>
      <c r="Q988">
        <v>0.53302373581011342</v>
      </c>
      <c r="R988">
        <v>1.8760890609874157</v>
      </c>
      <c r="S988">
        <v>1.8760890609874157</v>
      </c>
      <c r="T988">
        <v>1.7751286206859052</v>
      </c>
    </row>
    <row r="989" spans="1:20" x14ac:dyDescent="0.25">
      <c r="A989" s="12" t="s">
        <v>60</v>
      </c>
      <c r="B989" s="12" t="s">
        <v>38</v>
      </c>
      <c r="C989" s="12" t="s">
        <v>15</v>
      </c>
      <c r="D989" s="12">
        <v>1.7977528089887642</v>
      </c>
      <c r="E989" s="12">
        <v>1.9</v>
      </c>
      <c r="F989" s="12">
        <v>20</v>
      </c>
      <c r="G989" s="12">
        <v>1.9</v>
      </c>
      <c r="H989" s="12">
        <v>1.0127450980392154</v>
      </c>
      <c r="I989" s="12" t="s">
        <v>112</v>
      </c>
      <c r="J989" s="6">
        <v>46310</v>
      </c>
      <c r="K989">
        <v>46310</v>
      </c>
      <c r="L989">
        <v>1.0568749999999998</v>
      </c>
      <c r="M989">
        <v>1.0568749999999998</v>
      </c>
      <c r="N989">
        <v>0.56333946078431352</v>
      </c>
      <c r="O989">
        <v>0.94618568894145494</v>
      </c>
      <c r="P989">
        <v>0.94618568894145494</v>
      </c>
      <c r="Q989">
        <v>0.53302373581011342</v>
      </c>
      <c r="R989">
        <v>1.8760890609874157</v>
      </c>
      <c r="S989">
        <v>1.8760890609874157</v>
      </c>
      <c r="T989">
        <v>1.7751286206859052</v>
      </c>
    </row>
    <row r="990" spans="1:20" x14ac:dyDescent="0.25">
      <c r="A990" s="12" t="s">
        <v>60</v>
      </c>
      <c r="B990" s="12" t="s">
        <v>38</v>
      </c>
      <c r="C990" s="12" t="s">
        <v>14</v>
      </c>
      <c r="D990" s="12">
        <v>2.538003965631197</v>
      </c>
      <c r="E990" s="12">
        <v>4.75</v>
      </c>
      <c r="F990" s="12">
        <v>20</v>
      </c>
      <c r="G990" s="12">
        <v>4.75</v>
      </c>
      <c r="H990" s="12">
        <v>2.188148788927335</v>
      </c>
      <c r="I990" s="12" t="s">
        <v>113</v>
      </c>
      <c r="J990" s="6">
        <v>46310</v>
      </c>
      <c r="K990">
        <v>46310</v>
      </c>
      <c r="L990">
        <v>1.871549479166666</v>
      </c>
      <c r="M990">
        <v>1.871549479166666</v>
      </c>
      <c r="N990">
        <v>0.86215341605392104</v>
      </c>
      <c r="O990">
        <v>0.53431662434340987</v>
      </c>
      <c r="P990">
        <v>0.53431662434340987</v>
      </c>
      <c r="Q990">
        <v>0.46066290293207052</v>
      </c>
      <c r="R990">
        <v>2.1707847400672078</v>
      </c>
      <c r="S990">
        <v>2.1707847400672078</v>
      </c>
      <c r="T990">
        <v>1.1598863744888968</v>
      </c>
    </row>
    <row r="991" spans="1:20" x14ac:dyDescent="0.25">
      <c r="A991" s="12" t="s">
        <v>60</v>
      </c>
      <c r="B991" s="12" t="s">
        <v>38</v>
      </c>
      <c r="C991" s="12" t="s">
        <v>13</v>
      </c>
      <c r="D991" s="12">
        <v>2.6966292134831469</v>
      </c>
      <c r="E991" s="12">
        <v>3.8</v>
      </c>
      <c r="F991" s="12">
        <v>20</v>
      </c>
      <c r="G991" s="12">
        <v>3.8</v>
      </c>
      <c r="H991" s="12">
        <v>1.9131433823529416</v>
      </c>
      <c r="I991" s="12" t="s">
        <v>114</v>
      </c>
      <c r="J991" s="6">
        <v>46310</v>
      </c>
      <c r="K991">
        <v>46310</v>
      </c>
      <c r="L991">
        <v>1.4091666666666662</v>
      </c>
      <c r="M991">
        <v>1.4091666666666662</v>
      </c>
      <c r="N991">
        <v>0.70945733762254892</v>
      </c>
      <c r="O991">
        <v>0.70963926670609134</v>
      </c>
      <c r="P991">
        <v>0.70963926670609134</v>
      </c>
      <c r="Q991">
        <v>0.50345878482972151</v>
      </c>
      <c r="R991">
        <v>1.9862599087196728</v>
      </c>
      <c r="S991">
        <v>1.9862599087196728</v>
      </c>
      <c r="T991">
        <v>1.4095280251115365</v>
      </c>
    </row>
    <row r="992" spans="1:20" x14ac:dyDescent="0.25">
      <c r="A992" s="12" t="s">
        <v>60</v>
      </c>
      <c r="B992" s="12" t="s">
        <v>38</v>
      </c>
      <c r="C992" s="12" t="s">
        <v>14</v>
      </c>
      <c r="D992" s="12">
        <v>2.538003965631197</v>
      </c>
      <c r="E992" s="12">
        <v>3.8</v>
      </c>
      <c r="F992" s="12">
        <v>20</v>
      </c>
      <c r="G992" s="12">
        <v>3.8</v>
      </c>
      <c r="H992" s="12">
        <v>2.0220588235294117</v>
      </c>
      <c r="I992" s="12" t="s">
        <v>116</v>
      </c>
      <c r="J992" s="6">
        <v>46311</v>
      </c>
      <c r="K992">
        <v>46311</v>
      </c>
      <c r="L992">
        <v>1.4972395833333327</v>
      </c>
      <c r="M992">
        <v>1.4972395833333327</v>
      </c>
      <c r="N992">
        <v>0.79671223958333304</v>
      </c>
      <c r="O992">
        <v>0.66789578042926245</v>
      </c>
      <c r="P992">
        <v>0.66789578042926245</v>
      </c>
      <c r="Q992">
        <v>0.53212074303405577</v>
      </c>
      <c r="R992">
        <v>1.8792727272727272</v>
      </c>
      <c r="S992">
        <v>1.8792727272727272</v>
      </c>
      <c r="T992">
        <v>1.2551583248212466</v>
      </c>
    </row>
    <row r="993" spans="1:20" x14ac:dyDescent="0.25">
      <c r="A993" s="12" t="s">
        <v>60</v>
      </c>
      <c r="B993" s="12" t="s">
        <v>38</v>
      </c>
      <c r="C993" s="12" t="s">
        <v>15</v>
      </c>
      <c r="D993" s="12">
        <v>1.7977528089887642</v>
      </c>
      <c r="E993" s="12">
        <v>1.9</v>
      </c>
      <c r="F993" s="12">
        <v>20</v>
      </c>
      <c r="G993" s="12">
        <v>1.9</v>
      </c>
      <c r="H993" s="12">
        <v>1.0127450980392154</v>
      </c>
      <c r="I993" s="12" t="s">
        <v>117</v>
      </c>
      <c r="J993" s="6">
        <v>46311</v>
      </c>
      <c r="K993">
        <v>46311</v>
      </c>
      <c r="L993">
        <v>1.0568749999999998</v>
      </c>
      <c r="M993">
        <v>1.0568749999999998</v>
      </c>
      <c r="N993">
        <v>0.56333946078431352</v>
      </c>
      <c r="O993">
        <v>0.94618568894145494</v>
      </c>
      <c r="P993">
        <v>0.94618568894145494</v>
      </c>
      <c r="Q993">
        <v>0.53302373581011342</v>
      </c>
      <c r="R993">
        <v>1.8760890609874157</v>
      </c>
      <c r="S993">
        <v>1.8760890609874157</v>
      </c>
      <c r="T993">
        <v>1.7751286206859052</v>
      </c>
    </row>
    <row r="994" spans="1:20" x14ac:dyDescent="0.25">
      <c r="A994" s="12" t="s">
        <v>60</v>
      </c>
      <c r="B994" s="12" t="s">
        <v>38</v>
      </c>
      <c r="C994" s="12" t="s">
        <v>13</v>
      </c>
      <c r="D994" s="12">
        <v>2.3595505617977532</v>
      </c>
      <c r="E994" s="12">
        <v>3.8</v>
      </c>
      <c r="F994" s="12">
        <v>20</v>
      </c>
      <c r="G994" s="12">
        <v>3.8</v>
      </c>
      <c r="H994" s="12">
        <v>1.8396139705882359</v>
      </c>
      <c r="I994" s="12" t="s">
        <v>115</v>
      </c>
      <c r="J994" s="6">
        <v>46311</v>
      </c>
      <c r="K994">
        <v>46311</v>
      </c>
      <c r="L994">
        <v>1.6104761904761902</v>
      </c>
      <c r="M994">
        <v>1.6104761904761902</v>
      </c>
      <c r="N994">
        <v>0.7796459208683475</v>
      </c>
      <c r="O994">
        <v>0.62093435836782984</v>
      </c>
      <c r="P994">
        <v>0.62093435836782984</v>
      </c>
      <c r="Q994">
        <v>0.48410893962848317</v>
      </c>
      <c r="R994">
        <v>2.0656507619285529</v>
      </c>
      <c r="S994">
        <v>2.0656507619285529</v>
      </c>
      <c r="T994">
        <v>1.2826335304701246</v>
      </c>
    </row>
    <row r="995" spans="1:20" x14ac:dyDescent="0.25">
      <c r="A995" s="12" t="s">
        <v>60</v>
      </c>
      <c r="B995" s="12" t="s">
        <v>38</v>
      </c>
      <c r="C995" s="12" t="s">
        <v>15</v>
      </c>
      <c r="D995" s="12">
        <v>1.7977528089887642</v>
      </c>
      <c r="E995" s="12">
        <v>1.9</v>
      </c>
      <c r="F995" s="12">
        <v>20</v>
      </c>
      <c r="G995" s="12">
        <v>1.9</v>
      </c>
      <c r="H995" s="12">
        <v>1.0127450980392154</v>
      </c>
      <c r="I995" s="12" t="s">
        <v>120</v>
      </c>
      <c r="J995" s="6">
        <v>46312</v>
      </c>
      <c r="K995">
        <v>46312</v>
      </c>
      <c r="L995">
        <v>1.0568749999999998</v>
      </c>
      <c r="M995">
        <v>1.0568749999999998</v>
      </c>
      <c r="N995">
        <v>0.56333946078431352</v>
      </c>
      <c r="O995">
        <v>0.94618568894145494</v>
      </c>
      <c r="P995">
        <v>0.94618568894145494</v>
      </c>
      <c r="Q995">
        <v>0.53302373581011342</v>
      </c>
      <c r="R995">
        <v>1.8760890609874157</v>
      </c>
      <c r="S995">
        <v>1.8760890609874157</v>
      </c>
      <c r="T995">
        <v>1.7751286206859052</v>
      </c>
    </row>
    <row r="996" spans="1:20" x14ac:dyDescent="0.25">
      <c r="A996" s="12" t="s">
        <v>60</v>
      </c>
      <c r="B996" s="12" t="s">
        <v>38</v>
      </c>
      <c r="C996" s="12" t="s">
        <v>14</v>
      </c>
      <c r="D996" s="12">
        <v>2.5380039656311961</v>
      </c>
      <c r="E996" s="12">
        <v>5.6999999999999993</v>
      </c>
      <c r="F996" s="12">
        <v>20</v>
      </c>
      <c r="G996" s="12">
        <v>5.6999999999999993</v>
      </c>
      <c r="H996" s="12">
        <v>2.1881487889273359</v>
      </c>
      <c r="I996" s="12" t="s">
        <v>118</v>
      </c>
      <c r="J996" s="6">
        <v>46312</v>
      </c>
      <c r="K996">
        <v>46312</v>
      </c>
      <c r="L996">
        <v>2.2458593749999998</v>
      </c>
      <c r="M996">
        <v>2.2458593749999998</v>
      </c>
      <c r="N996">
        <v>0.86215341605392171</v>
      </c>
      <c r="O996">
        <v>0.44526385361950815</v>
      </c>
      <c r="P996">
        <v>0.44526385361950815</v>
      </c>
      <c r="Q996">
        <v>0.38388575244339229</v>
      </c>
      <c r="R996">
        <v>2.6049416880806477</v>
      </c>
      <c r="S996">
        <v>2.6049416880806477</v>
      </c>
      <c r="T996">
        <v>1.1598863744888961</v>
      </c>
    </row>
    <row r="997" spans="1:20" x14ac:dyDescent="0.25">
      <c r="A997" s="12" t="s">
        <v>60</v>
      </c>
      <c r="B997" s="12" t="s">
        <v>38</v>
      </c>
      <c r="C997" s="12" t="s">
        <v>13</v>
      </c>
      <c r="D997" s="12">
        <v>1.3483146067415734</v>
      </c>
      <c r="E997" s="12">
        <v>3.8</v>
      </c>
      <c r="F997" s="12">
        <v>20</v>
      </c>
      <c r="G997" s="12">
        <v>3.8</v>
      </c>
      <c r="H997" s="12">
        <v>1.9131433823529416</v>
      </c>
      <c r="I997" s="12" t="s">
        <v>119</v>
      </c>
      <c r="J997" s="6">
        <v>46312</v>
      </c>
      <c r="K997">
        <v>46312</v>
      </c>
      <c r="L997">
        <v>2.8183333333333325</v>
      </c>
      <c r="M997">
        <v>2.8183333333333325</v>
      </c>
      <c r="N997">
        <v>1.4189146752450978</v>
      </c>
      <c r="O997">
        <v>0.35481963335304567</v>
      </c>
      <c r="P997">
        <v>0.35481963335304567</v>
      </c>
      <c r="Q997">
        <v>0.50345878482972151</v>
      </c>
      <c r="R997">
        <v>1.9862599087196728</v>
      </c>
      <c r="S997">
        <v>1.9862599087196728</v>
      </c>
      <c r="T997">
        <v>0.70476401255576826</v>
      </c>
    </row>
    <row r="998" spans="1:20" x14ac:dyDescent="0.25">
      <c r="A998" s="12" t="s">
        <v>60</v>
      </c>
      <c r="B998" s="12" t="s">
        <v>38</v>
      </c>
      <c r="C998" s="12" t="s">
        <v>13</v>
      </c>
      <c r="D998" s="12">
        <v>1.3483146067415734</v>
      </c>
      <c r="E998" s="12">
        <v>3.8</v>
      </c>
      <c r="F998" s="12">
        <v>20</v>
      </c>
      <c r="G998" s="12">
        <v>3.8</v>
      </c>
      <c r="H998" s="12">
        <v>1.8396139705882359</v>
      </c>
      <c r="I998" s="12" t="s">
        <v>121</v>
      </c>
      <c r="J998" s="6">
        <v>46313</v>
      </c>
      <c r="K998">
        <v>46313</v>
      </c>
      <c r="L998">
        <v>2.8183333333333325</v>
      </c>
      <c r="M998">
        <v>2.8183333333333325</v>
      </c>
      <c r="N998">
        <v>1.364380361519608</v>
      </c>
      <c r="O998">
        <v>0.35481963335304567</v>
      </c>
      <c r="P998">
        <v>0.35481963335304567</v>
      </c>
      <c r="Q998">
        <v>0.48410893962848317</v>
      </c>
      <c r="R998">
        <v>2.0656507619285529</v>
      </c>
      <c r="S998">
        <v>2.0656507619285529</v>
      </c>
      <c r="T998">
        <v>0.73293344598292853</v>
      </c>
    </row>
    <row r="999" spans="1:20" x14ac:dyDescent="0.25">
      <c r="A999" s="12" t="s">
        <v>60</v>
      </c>
      <c r="B999" s="12" t="s">
        <v>38</v>
      </c>
      <c r="C999" s="12" t="s">
        <v>14</v>
      </c>
      <c r="D999" s="12">
        <v>2.538003965631197</v>
      </c>
      <c r="E999" s="12">
        <v>3.8</v>
      </c>
      <c r="F999" s="12">
        <v>20</v>
      </c>
      <c r="G999" s="12">
        <v>3.8</v>
      </c>
      <c r="H999" s="12">
        <v>2.0220588235294117</v>
      </c>
      <c r="I999" s="12" t="s">
        <v>123</v>
      </c>
      <c r="J999" s="6">
        <v>46313</v>
      </c>
      <c r="K999">
        <v>46313</v>
      </c>
      <c r="L999">
        <v>1.4972395833333327</v>
      </c>
      <c r="M999">
        <v>1.4972395833333327</v>
      </c>
      <c r="N999">
        <v>0.79671223958333304</v>
      </c>
      <c r="O999">
        <v>0.66789578042926245</v>
      </c>
      <c r="P999">
        <v>0.66789578042926245</v>
      </c>
      <c r="Q999">
        <v>0.53212074303405577</v>
      </c>
      <c r="R999">
        <v>1.8792727272727272</v>
      </c>
      <c r="S999">
        <v>1.8792727272727272</v>
      </c>
      <c r="T999">
        <v>1.2551583248212466</v>
      </c>
    </row>
    <row r="1000" spans="1:20" x14ac:dyDescent="0.25">
      <c r="A1000" s="12" t="s">
        <v>60</v>
      </c>
      <c r="B1000" s="12" t="s">
        <v>38</v>
      </c>
      <c r="C1000" s="12" t="s">
        <v>15</v>
      </c>
      <c r="D1000" s="12">
        <v>1.7977528089887642</v>
      </c>
      <c r="E1000" s="12">
        <v>1.9</v>
      </c>
      <c r="F1000" s="12">
        <v>20</v>
      </c>
      <c r="G1000" s="12">
        <v>1.9</v>
      </c>
      <c r="H1000" s="12">
        <v>1.0127450980392154</v>
      </c>
      <c r="I1000" s="12" t="s">
        <v>122</v>
      </c>
      <c r="J1000" s="6">
        <v>46313</v>
      </c>
      <c r="K1000">
        <v>46313</v>
      </c>
      <c r="L1000">
        <v>1.0568749999999998</v>
      </c>
      <c r="M1000">
        <v>1.0568749999999998</v>
      </c>
      <c r="N1000">
        <v>0.56333946078431352</v>
      </c>
      <c r="O1000">
        <v>0.94618568894145494</v>
      </c>
      <c r="P1000">
        <v>0.94618568894145494</v>
      </c>
      <c r="Q1000">
        <v>0.53302373581011342</v>
      </c>
      <c r="R1000">
        <v>1.8760890609874157</v>
      </c>
      <c r="S1000">
        <v>1.8760890609874157</v>
      </c>
      <c r="T1000">
        <v>1.7751286206859052</v>
      </c>
    </row>
    <row r="1001" spans="1:20" x14ac:dyDescent="0.25">
      <c r="A1001" s="12" t="s">
        <v>60</v>
      </c>
      <c r="B1001" s="12" t="s">
        <v>38</v>
      </c>
      <c r="C1001" s="12" t="s">
        <v>14</v>
      </c>
      <c r="D1001" s="12">
        <v>2.538003965631197</v>
      </c>
      <c r="E1001" s="12">
        <v>2.8499999999999996</v>
      </c>
      <c r="F1001" s="12">
        <v>20</v>
      </c>
      <c r="G1001" s="12">
        <v>2.8499999999999996</v>
      </c>
      <c r="H1001" s="12">
        <v>1.8823529411764703</v>
      </c>
      <c r="I1001" s="12" t="s">
        <v>124</v>
      </c>
      <c r="J1001" s="6">
        <v>46314</v>
      </c>
      <c r="K1001">
        <v>46314</v>
      </c>
      <c r="L1001">
        <v>1.1229296874999994</v>
      </c>
      <c r="M1001">
        <v>1.1229296874999994</v>
      </c>
      <c r="N1001">
        <v>0.74166666666666636</v>
      </c>
      <c r="O1001">
        <v>0.89052770723901664</v>
      </c>
      <c r="P1001">
        <v>0.89052770723901664</v>
      </c>
      <c r="Q1001">
        <v>0.66047471620227038</v>
      </c>
      <c r="R1001">
        <v>1.5140625000000001</v>
      </c>
      <c r="S1001">
        <v>1.5140625000000001</v>
      </c>
      <c r="T1001">
        <v>1.3483146067415737</v>
      </c>
    </row>
    <row r="1002" spans="1:20" x14ac:dyDescent="0.25">
      <c r="A1002" s="12" t="s">
        <v>60</v>
      </c>
      <c r="B1002" s="12" t="s">
        <v>38</v>
      </c>
      <c r="C1002" s="12" t="s">
        <v>13</v>
      </c>
      <c r="D1002" s="12">
        <v>2.3595505617977532</v>
      </c>
      <c r="E1002" s="12">
        <v>3.8</v>
      </c>
      <c r="F1002" s="12">
        <v>20</v>
      </c>
      <c r="G1002" s="12">
        <v>3.8</v>
      </c>
      <c r="H1002" s="12">
        <v>1.8396139705882359</v>
      </c>
      <c r="I1002" s="12" t="s">
        <v>126</v>
      </c>
      <c r="J1002" s="6">
        <v>46314</v>
      </c>
      <c r="K1002">
        <v>46314</v>
      </c>
      <c r="L1002">
        <v>1.6104761904761902</v>
      </c>
      <c r="M1002">
        <v>1.6104761904761902</v>
      </c>
      <c r="N1002">
        <v>0.7796459208683475</v>
      </c>
      <c r="O1002">
        <v>0.62093435836782984</v>
      </c>
      <c r="P1002">
        <v>0.62093435836782984</v>
      </c>
      <c r="Q1002">
        <v>0.48410893962848317</v>
      </c>
      <c r="R1002">
        <v>2.0656507619285529</v>
      </c>
      <c r="S1002">
        <v>2.0656507619285529</v>
      </c>
      <c r="T1002">
        <v>1.2826335304701246</v>
      </c>
    </row>
    <row r="1003" spans="1:20" x14ac:dyDescent="0.25">
      <c r="A1003" s="12" t="s">
        <v>60</v>
      </c>
      <c r="B1003" s="12" t="s">
        <v>38</v>
      </c>
      <c r="C1003" s="12" t="s">
        <v>15</v>
      </c>
      <c r="D1003" s="12">
        <v>1.7977528089887642</v>
      </c>
      <c r="E1003" s="12">
        <v>0.95</v>
      </c>
      <c r="F1003" s="12">
        <v>20</v>
      </c>
      <c r="G1003" s="12">
        <v>0.95</v>
      </c>
      <c r="H1003" s="12">
        <v>6.2745098039215685E-2</v>
      </c>
      <c r="I1003" s="12" t="s">
        <v>125</v>
      </c>
      <c r="J1003" s="6">
        <v>46314</v>
      </c>
      <c r="K1003">
        <v>46314</v>
      </c>
      <c r="L1003">
        <v>0.52843749999999989</v>
      </c>
      <c r="M1003">
        <v>0.52843749999999989</v>
      </c>
      <c r="N1003">
        <v>3.4901960784313721E-2</v>
      </c>
      <c r="O1003">
        <v>1.8923713778829099</v>
      </c>
      <c r="P1003">
        <v>1.8923713778829099</v>
      </c>
      <c r="Q1003">
        <v>6.6047471620227047E-2</v>
      </c>
      <c r="R1003">
        <v>15.140625</v>
      </c>
      <c r="S1003">
        <v>15.140625</v>
      </c>
      <c r="T1003">
        <v>28.651685393258429</v>
      </c>
    </row>
    <row r="1004" spans="1:20" x14ac:dyDescent="0.25">
      <c r="A1004" s="12" t="s">
        <v>60</v>
      </c>
      <c r="B1004" s="12" t="s">
        <v>38</v>
      </c>
      <c r="C1004" s="12" t="s">
        <v>13</v>
      </c>
      <c r="D1004" s="12">
        <v>2.3595505617977532</v>
      </c>
      <c r="E1004" s="12">
        <v>2.8499999999999996</v>
      </c>
      <c r="F1004" s="12">
        <v>20</v>
      </c>
      <c r="G1004" s="12">
        <v>2.8499999999999996</v>
      </c>
      <c r="H1004" s="12">
        <v>1.6911764705882355</v>
      </c>
      <c r="I1004" s="12" t="s">
        <v>127</v>
      </c>
      <c r="J1004" s="6">
        <v>46315</v>
      </c>
      <c r="K1004">
        <v>46315</v>
      </c>
      <c r="L1004">
        <v>1.2078571428571425</v>
      </c>
      <c r="M1004">
        <v>1.2078571428571425</v>
      </c>
      <c r="N1004">
        <v>0.71673669467787116</v>
      </c>
      <c r="O1004">
        <v>0.8279124778237732</v>
      </c>
      <c r="P1004">
        <v>0.8279124778237732</v>
      </c>
      <c r="Q1004">
        <v>0.59339525283797745</v>
      </c>
      <c r="R1004">
        <v>1.6852173913043473</v>
      </c>
      <c r="S1004">
        <v>1.6852173913043473</v>
      </c>
      <c r="T1004">
        <v>1.3952125061064975</v>
      </c>
    </row>
    <row r="1005" spans="1:20" x14ac:dyDescent="0.25">
      <c r="A1005" s="12" t="s">
        <v>60</v>
      </c>
      <c r="B1005" s="12" t="s">
        <v>38</v>
      </c>
      <c r="C1005" s="12" t="s">
        <v>15</v>
      </c>
      <c r="D1005" s="12">
        <v>1.7977528089887642</v>
      </c>
      <c r="E1005" s="12">
        <v>1.9</v>
      </c>
      <c r="F1005" s="12">
        <v>20</v>
      </c>
      <c r="G1005" s="12">
        <v>1.9</v>
      </c>
      <c r="H1005" s="12">
        <v>1.0127450980392154</v>
      </c>
      <c r="I1005" s="12" t="s">
        <v>128</v>
      </c>
      <c r="J1005" s="6">
        <v>46315</v>
      </c>
      <c r="K1005">
        <v>46315</v>
      </c>
      <c r="L1005">
        <v>1.0568749999999998</v>
      </c>
      <c r="M1005">
        <v>1.0568749999999998</v>
      </c>
      <c r="N1005">
        <v>0.56333946078431352</v>
      </c>
      <c r="O1005">
        <v>0.94618568894145494</v>
      </c>
      <c r="P1005">
        <v>0.94618568894145494</v>
      </c>
      <c r="Q1005">
        <v>0.53302373581011342</v>
      </c>
      <c r="R1005">
        <v>1.8760890609874157</v>
      </c>
      <c r="S1005">
        <v>1.8760890609874157</v>
      </c>
      <c r="T1005">
        <v>1.7751286206859052</v>
      </c>
    </row>
    <row r="1006" spans="1:20" x14ac:dyDescent="0.25">
      <c r="A1006" s="12" t="s">
        <v>60</v>
      </c>
      <c r="B1006" s="12" t="s">
        <v>38</v>
      </c>
      <c r="C1006" s="12" t="s">
        <v>14</v>
      </c>
      <c r="D1006" s="12">
        <v>2.538003965631197</v>
      </c>
      <c r="E1006" s="12">
        <v>4.75</v>
      </c>
      <c r="F1006" s="12">
        <v>20</v>
      </c>
      <c r="G1006" s="12">
        <v>4.75</v>
      </c>
      <c r="H1006" s="12">
        <v>2.0220588235294117</v>
      </c>
      <c r="I1006" s="12" t="s">
        <v>129</v>
      </c>
      <c r="J1006" s="6">
        <v>46315</v>
      </c>
      <c r="K1006">
        <v>46315</v>
      </c>
      <c r="L1006">
        <v>1.871549479166666</v>
      </c>
      <c r="M1006">
        <v>1.871549479166666</v>
      </c>
      <c r="N1006">
        <v>0.79671223958333304</v>
      </c>
      <c r="O1006">
        <v>0.53431662434340987</v>
      </c>
      <c r="P1006">
        <v>0.53431662434340987</v>
      </c>
      <c r="Q1006">
        <v>0.42569659442724456</v>
      </c>
      <c r="R1006">
        <v>2.3490909090909091</v>
      </c>
      <c r="S1006">
        <v>2.3490909090909091</v>
      </c>
      <c r="T1006">
        <v>1.2551583248212466</v>
      </c>
    </row>
    <row r="1007" spans="1:20" x14ac:dyDescent="0.25">
      <c r="A1007" s="12" t="s">
        <v>60</v>
      </c>
      <c r="B1007" s="12" t="s">
        <v>38</v>
      </c>
      <c r="C1007" s="12" t="s">
        <v>14</v>
      </c>
      <c r="D1007" s="12">
        <v>2.538003965631197</v>
      </c>
      <c r="E1007" s="12">
        <v>3.8</v>
      </c>
      <c r="F1007" s="12">
        <v>20</v>
      </c>
      <c r="G1007" s="12">
        <v>3.8</v>
      </c>
      <c r="H1007" s="12">
        <v>2.0484429065743939</v>
      </c>
      <c r="I1007" s="12" t="s">
        <v>130</v>
      </c>
      <c r="J1007" s="6">
        <v>46316</v>
      </c>
      <c r="K1007">
        <v>46316</v>
      </c>
      <c r="L1007">
        <v>1.4972395833333327</v>
      </c>
      <c r="M1007">
        <v>1.4972395833333327</v>
      </c>
      <c r="N1007">
        <v>0.80710784313725448</v>
      </c>
      <c r="O1007">
        <v>0.66789578042926245</v>
      </c>
      <c r="P1007">
        <v>0.66789578042926245</v>
      </c>
      <c r="Q1007">
        <v>0.53906392278273529</v>
      </c>
      <c r="R1007">
        <v>1.8550675675675681</v>
      </c>
      <c r="S1007">
        <v>1.8550675675675681</v>
      </c>
      <c r="T1007">
        <v>1.2389918007895544</v>
      </c>
    </row>
    <row r="1008" spans="1:20" x14ac:dyDescent="0.25">
      <c r="A1008" s="12" t="s">
        <v>60</v>
      </c>
      <c r="B1008" s="12" t="s">
        <v>38</v>
      </c>
      <c r="C1008" s="12" t="s">
        <v>15</v>
      </c>
      <c r="D1008" s="12">
        <v>1.7977528089887642</v>
      </c>
      <c r="E1008" s="12">
        <v>0.95</v>
      </c>
      <c r="F1008" s="12">
        <v>20</v>
      </c>
      <c r="G1008" s="12">
        <v>0.95</v>
      </c>
      <c r="H1008" s="12">
        <v>6.2745098039215685E-2</v>
      </c>
      <c r="I1008" s="12" t="s">
        <v>131</v>
      </c>
      <c r="J1008" s="6">
        <v>46316</v>
      </c>
      <c r="K1008">
        <v>46316</v>
      </c>
      <c r="L1008">
        <v>0.52843749999999989</v>
      </c>
      <c r="M1008">
        <v>0.52843749999999989</v>
      </c>
      <c r="N1008">
        <v>3.4901960784313721E-2</v>
      </c>
      <c r="O1008">
        <v>1.8923713778829099</v>
      </c>
      <c r="P1008">
        <v>1.8923713778829099</v>
      </c>
      <c r="Q1008">
        <v>6.6047471620227047E-2</v>
      </c>
      <c r="R1008">
        <v>15.140625</v>
      </c>
      <c r="S1008">
        <v>15.140625</v>
      </c>
      <c r="T1008">
        <v>28.651685393258429</v>
      </c>
    </row>
    <row r="1009" spans="1:20" x14ac:dyDescent="0.25">
      <c r="A1009" s="12" t="s">
        <v>60</v>
      </c>
      <c r="B1009" s="12" t="s">
        <v>38</v>
      </c>
      <c r="C1009" s="12" t="s">
        <v>13</v>
      </c>
      <c r="D1009" s="12">
        <v>2.6966292134831469</v>
      </c>
      <c r="E1009" s="12">
        <v>4.75</v>
      </c>
      <c r="F1009" s="12">
        <v>20</v>
      </c>
      <c r="G1009" s="12">
        <v>4.75</v>
      </c>
      <c r="H1009" s="12">
        <v>1.9131433823529416</v>
      </c>
      <c r="I1009" s="12" t="s">
        <v>132</v>
      </c>
      <c r="J1009" s="6">
        <v>46316</v>
      </c>
      <c r="K1009">
        <v>46316</v>
      </c>
      <c r="L1009">
        <v>1.7614583333333329</v>
      </c>
      <c r="M1009">
        <v>1.7614583333333329</v>
      </c>
      <c r="N1009">
        <v>0.70945733762254892</v>
      </c>
      <c r="O1009">
        <v>0.56771141336487307</v>
      </c>
      <c r="P1009">
        <v>0.56771141336487307</v>
      </c>
      <c r="Q1009">
        <v>0.40276702786377716</v>
      </c>
      <c r="R1009">
        <v>2.4828248858995909</v>
      </c>
      <c r="S1009">
        <v>2.4828248858995909</v>
      </c>
      <c r="T1009">
        <v>1.4095280251115365</v>
      </c>
    </row>
    <row r="1010" spans="1:20" x14ac:dyDescent="0.25">
      <c r="A1010" s="12" t="s">
        <v>60</v>
      </c>
      <c r="B1010" s="12" t="s">
        <v>38</v>
      </c>
      <c r="C1010" s="12" t="s">
        <v>13</v>
      </c>
      <c r="D1010" s="12">
        <v>2.3595505617977532</v>
      </c>
      <c r="E1010" s="12">
        <v>2.8499999999999996</v>
      </c>
      <c r="F1010" s="12">
        <v>20</v>
      </c>
      <c r="G1010" s="12">
        <v>2.8499999999999996</v>
      </c>
      <c r="H1010" s="12">
        <v>1.6911764705882355</v>
      </c>
      <c r="I1010" s="12" t="s">
        <v>133</v>
      </c>
      <c r="J1010" s="6">
        <v>46317</v>
      </c>
      <c r="K1010">
        <v>46317</v>
      </c>
      <c r="L1010">
        <v>1.2078571428571425</v>
      </c>
      <c r="M1010">
        <v>1.2078571428571425</v>
      </c>
      <c r="N1010">
        <v>0.71673669467787116</v>
      </c>
      <c r="O1010">
        <v>0.8279124778237732</v>
      </c>
      <c r="P1010">
        <v>0.8279124778237732</v>
      </c>
      <c r="Q1010">
        <v>0.59339525283797745</v>
      </c>
      <c r="R1010">
        <v>1.6852173913043473</v>
      </c>
      <c r="S1010">
        <v>1.6852173913043473</v>
      </c>
      <c r="T1010">
        <v>1.3952125061064975</v>
      </c>
    </row>
    <row r="1011" spans="1:20" x14ac:dyDescent="0.25">
      <c r="A1011" s="12" t="s">
        <v>60</v>
      </c>
      <c r="B1011" s="12" t="s">
        <v>38</v>
      </c>
      <c r="C1011" s="12" t="s">
        <v>15</v>
      </c>
      <c r="D1011" s="12">
        <v>1.7977528089887642</v>
      </c>
      <c r="E1011" s="12">
        <v>1.9</v>
      </c>
      <c r="F1011" s="12">
        <v>20</v>
      </c>
      <c r="G1011" s="12">
        <v>1.9</v>
      </c>
      <c r="H1011" s="12">
        <v>1.0127450980392154</v>
      </c>
      <c r="I1011" s="12" t="s">
        <v>134</v>
      </c>
      <c r="J1011" s="6">
        <v>46317</v>
      </c>
      <c r="K1011">
        <v>46317</v>
      </c>
      <c r="L1011">
        <v>1.0568749999999998</v>
      </c>
      <c r="M1011">
        <v>1.0568749999999998</v>
      </c>
      <c r="N1011">
        <v>0.56333946078431352</v>
      </c>
      <c r="O1011">
        <v>0.94618568894145494</v>
      </c>
      <c r="P1011">
        <v>0.94618568894145494</v>
      </c>
      <c r="Q1011">
        <v>0.53302373581011342</v>
      </c>
      <c r="R1011">
        <v>1.8760890609874157</v>
      </c>
      <c r="S1011">
        <v>1.8760890609874157</v>
      </c>
      <c r="T1011">
        <v>1.7751286206859052</v>
      </c>
    </row>
    <row r="1012" spans="1:20" x14ac:dyDescent="0.25">
      <c r="A1012" s="12" t="s">
        <v>60</v>
      </c>
      <c r="B1012" s="12" t="s">
        <v>38</v>
      </c>
      <c r="C1012" s="12" t="s">
        <v>14</v>
      </c>
      <c r="D1012" s="12">
        <v>2.538003965631197</v>
      </c>
      <c r="E1012" s="12">
        <v>3.8</v>
      </c>
      <c r="F1012" s="12">
        <v>20</v>
      </c>
      <c r="G1012" s="12">
        <v>3.8</v>
      </c>
      <c r="H1012" s="12">
        <v>2.0220588235294117</v>
      </c>
      <c r="I1012" s="12" t="s">
        <v>135</v>
      </c>
      <c r="J1012" s="6">
        <v>46317</v>
      </c>
      <c r="K1012">
        <v>46317</v>
      </c>
      <c r="L1012">
        <v>1.4972395833333327</v>
      </c>
      <c r="M1012">
        <v>1.4972395833333327</v>
      </c>
      <c r="N1012">
        <v>0.79671223958333304</v>
      </c>
      <c r="O1012">
        <v>0.66789578042926245</v>
      </c>
      <c r="P1012">
        <v>0.66789578042926245</v>
      </c>
      <c r="Q1012">
        <v>0.53212074303405577</v>
      </c>
      <c r="R1012">
        <v>1.8792727272727272</v>
      </c>
      <c r="S1012">
        <v>1.8792727272727272</v>
      </c>
      <c r="T1012">
        <v>1.2551583248212466</v>
      </c>
    </row>
    <row r="1013" spans="1:20" x14ac:dyDescent="0.25">
      <c r="A1013" s="12" t="s">
        <v>60</v>
      </c>
      <c r="B1013" s="12" t="s">
        <v>38</v>
      </c>
      <c r="C1013" s="12" t="s">
        <v>14</v>
      </c>
      <c r="D1013" s="12">
        <v>2.538003965631197</v>
      </c>
      <c r="E1013" s="12">
        <v>3.8</v>
      </c>
      <c r="F1013" s="12">
        <v>20</v>
      </c>
      <c r="G1013" s="12">
        <v>3.8</v>
      </c>
      <c r="H1013" s="12">
        <v>2.0220588235294117</v>
      </c>
      <c r="I1013" s="12" t="s">
        <v>138</v>
      </c>
      <c r="J1013" s="6">
        <v>46318</v>
      </c>
      <c r="K1013">
        <v>46318</v>
      </c>
      <c r="L1013">
        <v>1.4972395833333327</v>
      </c>
      <c r="M1013">
        <v>1.4972395833333327</v>
      </c>
      <c r="N1013">
        <v>0.79671223958333304</v>
      </c>
      <c r="O1013">
        <v>0.66789578042926245</v>
      </c>
      <c r="P1013">
        <v>0.66789578042926245</v>
      </c>
      <c r="Q1013">
        <v>0.53212074303405577</v>
      </c>
      <c r="R1013">
        <v>1.8792727272727272</v>
      </c>
      <c r="S1013">
        <v>1.8792727272727272</v>
      </c>
      <c r="T1013">
        <v>1.2551583248212466</v>
      </c>
    </row>
    <row r="1014" spans="1:20" x14ac:dyDescent="0.25">
      <c r="A1014" s="12" t="s">
        <v>60</v>
      </c>
      <c r="B1014" s="12" t="s">
        <v>38</v>
      </c>
      <c r="C1014" s="12" t="s">
        <v>13</v>
      </c>
      <c r="D1014" s="12">
        <v>2.3595505617977532</v>
      </c>
      <c r="E1014" s="12">
        <v>3.8</v>
      </c>
      <c r="F1014" s="12">
        <v>20</v>
      </c>
      <c r="G1014" s="12">
        <v>3.8</v>
      </c>
      <c r="H1014" s="12">
        <v>1.8396139705882359</v>
      </c>
      <c r="I1014" s="12" t="s">
        <v>136</v>
      </c>
      <c r="J1014" s="6">
        <v>46318</v>
      </c>
      <c r="K1014">
        <v>46318</v>
      </c>
      <c r="L1014">
        <v>1.6104761904761902</v>
      </c>
      <c r="M1014">
        <v>1.6104761904761902</v>
      </c>
      <c r="N1014">
        <v>0.7796459208683475</v>
      </c>
      <c r="O1014">
        <v>0.62093435836782984</v>
      </c>
      <c r="P1014">
        <v>0.62093435836782984</v>
      </c>
      <c r="Q1014">
        <v>0.48410893962848317</v>
      </c>
      <c r="R1014">
        <v>2.0656507619285529</v>
      </c>
      <c r="S1014">
        <v>2.0656507619285529</v>
      </c>
      <c r="T1014">
        <v>1.2826335304701246</v>
      </c>
    </row>
    <row r="1015" spans="1:20" x14ac:dyDescent="0.25">
      <c r="A1015" s="12" t="s">
        <v>60</v>
      </c>
      <c r="B1015" s="12" t="s">
        <v>38</v>
      </c>
      <c r="C1015" s="12" t="s">
        <v>15</v>
      </c>
      <c r="D1015" s="12">
        <v>1.7977528089887642</v>
      </c>
      <c r="E1015" s="12">
        <v>1.9</v>
      </c>
      <c r="F1015" s="12">
        <v>20</v>
      </c>
      <c r="G1015" s="12">
        <v>1.9</v>
      </c>
      <c r="H1015" s="12">
        <v>1.0127450980392154</v>
      </c>
      <c r="I1015" s="12" t="s">
        <v>137</v>
      </c>
      <c r="J1015" s="6">
        <v>46318</v>
      </c>
      <c r="K1015">
        <v>46318</v>
      </c>
      <c r="L1015">
        <v>1.0568749999999998</v>
      </c>
      <c r="M1015">
        <v>1.0568749999999998</v>
      </c>
      <c r="N1015">
        <v>0.56333946078431352</v>
      </c>
      <c r="O1015">
        <v>0.94618568894145494</v>
      </c>
      <c r="P1015">
        <v>0.94618568894145494</v>
      </c>
      <c r="Q1015">
        <v>0.53302373581011342</v>
      </c>
      <c r="R1015">
        <v>1.8760890609874157</v>
      </c>
      <c r="S1015">
        <v>1.8760890609874157</v>
      </c>
      <c r="T1015">
        <v>1.7751286206859052</v>
      </c>
    </row>
    <row r="1016" spans="1:20" x14ac:dyDescent="0.25">
      <c r="A1016" s="12" t="s">
        <v>60</v>
      </c>
      <c r="B1016" s="12" t="s">
        <v>38</v>
      </c>
      <c r="C1016" s="12" t="s">
        <v>15</v>
      </c>
      <c r="D1016" s="12">
        <v>1.7977528089887642</v>
      </c>
      <c r="E1016" s="12">
        <v>1.9</v>
      </c>
      <c r="F1016" s="12">
        <v>20</v>
      </c>
      <c r="G1016" s="12">
        <v>1.9</v>
      </c>
      <c r="H1016" s="12">
        <v>1.0127450980392154</v>
      </c>
      <c r="I1016" s="12" t="s">
        <v>139</v>
      </c>
      <c r="J1016" s="6">
        <v>46319</v>
      </c>
      <c r="K1016">
        <v>46319</v>
      </c>
      <c r="L1016">
        <v>1.0568749999999998</v>
      </c>
      <c r="M1016">
        <v>1.0568749999999998</v>
      </c>
      <c r="N1016">
        <v>0.56333946078431352</v>
      </c>
      <c r="O1016">
        <v>0.94618568894145494</v>
      </c>
      <c r="P1016">
        <v>0.94618568894145494</v>
      </c>
      <c r="Q1016">
        <v>0.53302373581011342</v>
      </c>
      <c r="R1016">
        <v>1.8760890609874157</v>
      </c>
      <c r="S1016">
        <v>1.8760890609874157</v>
      </c>
      <c r="T1016">
        <v>1.7751286206859052</v>
      </c>
    </row>
    <row r="1017" spans="1:20" x14ac:dyDescent="0.25">
      <c r="A1017" s="12" t="s">
        <v>60</v>
      </c>
      <c r="B1017" s="12" t="s">
        <v>38</v>
      </c>
      <c r="C1017" s="12" t="s">
        <v>14</v>
      </c>
      <c r="D1017" s="12">
        <v>2.538003965631197</v>
      </c>
      <c r="E1017" s="12">
        <v>4.75</v>
      </c>
      <c r="F1017" s="12">
        <v>20</v>
      </c>
      <c r="G1017" s="12">
        <v>4.75</v>
      </c>
      <c r="H1017" s="12">
        <v>2.188148788927335</v>
      </c>
      <c r="I1017" s="12" t="s">
        <v>140</v>
      </c>
      <c r="J1017" s="6">
        <v>46319</v>
      </c>
      <c r="K1017">
        <v>46319</v>
      </c>
      <c r="L1017">
        <v>1.871549479166666</v>
      </c>
      <c r="M1017">
        <v>1.871549479166666</v>
      </c>
      <c r="N1017">
        <v>0.86215341605392104</v>
      </c>
      <c r="O1017">
        <v>0.53431662434340987</v>
      </c>
      <c r="P1017">
        <v>0.53431662434340987</v>
      </c>
      <c r="Q1017">
        <v>0.46066290293207052</v>
      </c>
      <c r="R1017">
        <v>2.1707847400672078</v>
      </c>
      <c r="S1017">
        <v>2.1707847400672078</v>
      </c>
      <c r="T1017">
        <v>1.1598863744888968</v>
      </c>
    </row>
    <row r="1018" spans="1:20" x14ac:dyDescent="0.25">
      <c r="A1018" s="12" t="s">
        <v>60</v>
      </c>
      <c r="B1018" s="12" t="s">
        <v>38</v>
      </c>
      <c r="C1018" s="12" t="s">
        <v>13</v>
      </c>
      <c r="D1018" s="12">
        <v>1.3483146067415734</v>
      </c>
      <c r="E1018" s="12">
        <v>3.8</v>
      </c>
      <c r="F1018" s="12">
        <v>20</v>
      </c>
      <c r="G1018" s="12">
        <v>3.8</v>
      </c>
      <c r="H1018" s="12">
        <v>1.9131433823529416</v>
      </c>
      <c r="I1018" s="12" t="s">
        <v>141</v>
      </c>
      <c r="J1018" s="6">
        <v>46319</v>
      </c>
      <c r="K1018">
        <v>46319</v>
      </c>
      <c r="L1018">
        <v>2.8183333333333325</v>
      </c>
      <c r="M1018">
        <v>2.8183333333333325</v>
      </c>
      <c r="N1018">
        <v>1.4189146752450978</v>
      </c>
      <c r="O1018">
        <v>0.35481963335304567</v>
      </c>
      <c r="P1018">
        <v>0.35481963335304567</v>
      </c>
      <c r="Q1018">
        <v>0.50345878482972151</v>
      </c>
      <c r="R1018">
        <v>1.9862599087196728</v>
      </c>
      <c r="S1018">
        <v>1.9862599087196728</v>
      </c>
      <c r="T1018">
        <v>0.70476401255576826</v>
      </c>
    </row>
    <row r="1019" spans="1:20" x14ac:dyDescent="0.25">
      <c r="A1019" s="12" t="s">
        <v>60</v>
      </c>
      <c r="B1019" s="12" t="s">
        <v>38</v>
      </c>
      <c r="C1019" s="12" t="s">
        <v>15</v>
      </c>
      <c r="D1019" s="12">
        <v>1.7977528089887642</v>
      </c>
      <c r="E1019" s="12">
        <v>1.9</v>
      </c>
      <c r="F1019" s="12">
        <v>20</v>
      </c>
      <c r="G1019" s="12">
        <v>1.9</v>
      </c>
      <c r="H1019" s="12">
        <v>1.0127450980392154</v>
      </c>
      <c r="I1019" s="12" t="s">
        <v>142</v>
      </c>
      <c r="J1019" s="6">
        <v>46320</v>
      </c>
      <c r="K1019">
        <v>46320</v>
      </c>
      <c r="L1019">
        <v>1.0568749999999998</v>
      </c>
      <c r="M1019">
        <v>1.0568749999999998</v>
      </c>
      <c r="N1019">
        <v>0.56333946078431352</v>
      </c>
      <c r="O1019">
        <v>0.94618568894145494</v>
      </c>
      <c r="P1019">
        <v>0.94618568894145494</v>
      </c>
      <c r="Q1019">
        <v>0.53302373581011342</v>
      </c>
      <c r="R1019">
        <v>1.8760890609874157</v>
      </c>
      <c r="S1019">
        <v>1.8760890609874157</v>
      </c>
      <c r="T1019">
        <v>1.7751286206859052</v>
      </c>
    </row>
    <row r="1020" spans="1:20" x14ac:dyDescent="0.25">
      <c r="A1020" s="12" t="s">
        <v>60</v>
      </c>
      <c r="B1020" s="12" t="s">
        <v>38</v>
      </c>
      <c r="C1020" s="12" t="s">
        <v>13</v>
      </c>
      <c r="D1020" s="12">
        <v>1.3483146067415734</v>
      </c>
      <c r="E1020" s="12">
        <v>3.8</v>
      </c>
      <c r="F1020" s="12">
        <v>20</v>
      </c>
      <c r="G1020" s="12">
        <v>3.8</v>
      </c>
      <c r="H1020" s="12">
        <v>1.9131433823529416</v>
      </c>
      <c r="I1020" s="12" t="s">
        <v>144</v>
      </c>
      <c r="J1020" s="6">
        <v>46320</v>
      </c>
      <c r="K1020">
        <v>46320</v>
      </c>
      <c r="L1020">
        <v>2.8183333333333325</v>
      </c>
      <c r="M1020">
        <v>2.8183333333333325</v>
      </c>
      <c r="N1020">
        <v>1.4189146752450978</v>
      </c>
      <c r="O1020">
        <v>0.35481963335304567</v>
      </c>
      <c r="P1020">
        <v>0.35481963335304567</v>
      </c>
      <c r="Q1020">
        <v>0.50345878482972151</v>
      </c>
      <c r="R1020">
        <v>1.9862599087196728</v>
      </c>
      <c r="S1020">
        <v>1.9862599087196728</v>
      </c>
      <c r="T1020">
        <v>0.70476401255576826</v>
      </c>
    </row>
    <row r="1021" spans="1:20" x14ac:dyDescent="0.25">
      <c r="A1021" s="12" t="s">
        <v>60</v>
      </c>
      <c r="B1021" s="12" t="s">
        <v>38</v>
      </c>
      <c r="C1021" s="12" t="s">
        <v>14</v>
      </c>
      <c r="D1021" s="12">
        <v>2.538003965631197</v>
      </c>
      <c r="E1021" s="12">
        <v>4.75</v>
      </c>
      <c r="F1021" s="12">
        <v>20</v>
      </c>
      <c r="G1021" s="12">
        <v>4.75</v>
      </c>
      <c r="H1021" s="12">
        <v>2.188148788927335</v>
      </c>
      <c r="I1021" s="12" t="s">
        <v>143</v>
      </c>
      <c r="J1021" s="6">
        <v>46320</v>
      </c>
      <c r="K1021">
        <v>46320</v>
      </c>
      <c r="L1021">
        <v>1.871549479166666</v>
      </c>
      <c r="M1021">
        <v>1.871549479166666</v>
      </c>
      <c r="N1021">
        <v>0.86215341605392104</v>
      </c>
      <c r="O1021">
        <v>0.53431662434340987</v>
      </c>
      <c r="P1021">
        <v>0.53431662434340987</v>
      </c>
      <c r="Q1021">
        <v>0.46066290293207052</v>
      </c>
      <c r="R1021">
        <v>2.1707847400672078</v>
      </c>
      <c r="S1021">
        <v>2.1707847400672078</v>
      </c>
      <c r="T1021">
        <v>1.1598863744888968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3C88C89-B8CA-48EA-A9D7-D701F75D98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1E1201-6DCC-4497-B063-0FAA807B9659}">
  <ds:schemaRefs>
    <ds:schemaRef ds:uri="http://schemas.microsoft.com/office/2006/metadata/properties"/>
    <ds:schemaRef ds:uri="http://schemas.microsoft.com/office/infopath/2007/PartnerControls"/>
    <ds:schemaRef ds:uri="df8b3e38-a5d6-4e8d-975c-a58e96566942"/>
    <ds:schemaRef ds:uri="7443686a-e97d-4b95-924d-9b4d820cf878"/>
    <ds:schemaRef ds:uri="cb0fa578-f870-47d6-b0d9-5a423e2a9cfb"/>
    <ds:schemaRef ds:uri="b568fc2f-4d2a-4f1a-a92d-be6ea9d479bf"/>
    <ds:schemaRef ds:uri="3be0b85a-8471-4f10-b038-505fde09e598"/>
    <ds:schemaRef ds:uri="f82d1b6b-c0e6-44b0-99a2-d357b2d50896"/>
    <ds:schemaRef ds:uri="a6ef9c2c-1ad1-4c09-9d1c-8c71a768c11f"/>
    <ds:schemaRef ds:uri="f574b478-68e4-495d-9b17-0f93d51a8ef7"/>
  </ds:schemaRefs>
</ds:datastoreItem>
</file>

<file path=customXml/itemProps3.xml><?xml version="1.0" encoding="utf-8"?>
<ds:datastoreItem xmlns:ds="http://schemas.openxmlformats.org/officeDocument/2006/customXml" ds:itemID="{EE0E2409-7D3F-4591-957E-C6595A83DD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5C8C21B-1234-41FE-A06A-AE7B112E17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Unit1Path</vt:lpstr>
      <vt:lpstr>FILEPATH-EffortALL</vt:lpstr>
      <vt:lpstr>Table_EffortAllMatrixAG1_1D</vt:lpstr>
      <vt:lpstr>EffortOutcomesAG1-1DayShift</vt:lpstr>
      <vt:lpstr>'FILEPATH-EffortALL'!Client</vt:lpstr>
      <vt:lpstr>Unit1Path!Client</vt:lpstr>
      <vt:lpstr>FilePathUrl</vt:lpstr>
      <vt:lpstr>'FILEPATH-EffortALL'!Location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2022-12-21T04:59:52Z</dcterms:created>
  <dcterms:modified xsi:type="dcterms:W3CDTF">2026-10-26T06:21:35Z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