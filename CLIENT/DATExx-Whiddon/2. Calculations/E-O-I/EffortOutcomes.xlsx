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2. Calculations\E-O-I\"/>
    </mc:Choice>
  </mc:AlternateContent>
  <xr:revisionPtr revIDLastSave="0" documentId="13_ncr:1_{A049985E-CA16-4A5F-8E3A-EEBAEB7DDA05}" xr6:coauthVersionLast="47" xr6:coauthVersionMax="47" xr10:uidLastSave="{00000000-0000-0000-0000-000000000000}"/>
  <bookViews>
    <workbookView xWindow="-120" yWindow="-120" windowWidth="38640" windowHeight="21120" activeTab="2" xr2:uid="{54BCF897-9282-43A6-91D7-49C181E3DA9F}"/>
  </bookViews>
  <sheets>
    <sheet name="Unit1Path" sheetId="12" r:id="rId1"/>
    <sheet name="FILEPATH-EffortALL" sheetId="11" r:id="rId2"/>
    <sheet name="Table_EffortAllMatrixAG1_1D" sheetId="8" r:id="rId3"/>
    <sheet name="EffortOutcomesAG1-1DayShift" sheetId="3" r:id="rId4"/>
  </sheets>
  <externalReferences>
    <externalReference r:id="rId5"/>
    <externalReference r:id="rId6"/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1">'FILEPATH-EffortALL'!$B$14</definedName>
    <definedName name="Client" localSheetId="0">Unit1Path!$B$21</definedName>
    <definedName name="Client">#REF!</definedName>
    <definedName name="Contractor_Margin" localSheetId="0">#REF!</definedName>
    <definedName name="Contractor_Margin">#REF!</definedName>
    <definedName name="Date" localSheetId="1">[1]FILEPATH!$B$21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Unit1Path!$A$3:$B$12</definedName>
    <definedName name="ExternalData_2" localSheetId="3" hidden="1">'EffortOutcomesAG1-1DayShift'!$A$1:$U$505</definedName>
    <definedName name="ExternalData_3" localSheetId="2" hidden="1">Table_EffortAllMatrixAG1_1D!$A$1:$L$505</definedName>
    <definedName name="Facility" localSheetId="0">#REF!</definedName>
    <definedName name="Facility">#REF!</definedName>
    <definedName name="FilePathUrl">Unit1Path!$B$1</definedName>
    <definedName name="FTE" localSheetId="1">#REF!</definedName>
    <definedName name="FTE">#REF!</definedName>
    <definedName name="HRS" localSheetId="1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'FILEPATH-EffortALL'!$B$18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[2]RN!$P$2</definedName>
    <definedName name="Max_HRS">#REF!</definedName>
    <definedName name="MaxCapacityFactor">[3]MaxCapacity!$A$2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Unit1Path!$B$42</definedName>
    <definedName name="Role">#REF!</definedName>
    <definedName name="ROLE_TITLE">#REF!</definedName>
    <definedName name="Type" localSheetId="1">[1]FILEPATH!$B$19</definedName>
    <definedName name="Type">#REF!</definedName>
    <definedName name="UNIT" localSheetId="1">[2]RN!$M$2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2" l="1" a="1"/>
  <c r="B1" i="12" s="1"/>
  <c r="C19" i="11"/>
  <c r="B14" i="11" a="1"/>
  <c r="B14" i="11" s="1"/>
  <c r="B18" i="11" s="1"/>
  <c r="B9" i="11" a="1"/>
  <c r="B9" i="11" s="1"/>
  <c r="O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2" i="8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2" i="8"/>
  <c r="B15" i="11" l="1" a="1"/>
  <c r="B15" i="11" s="1"/>
  <c r="C15" i="11" s="1"/>
  <c r="C20" i="11" s="1"/>
  <c r="B27" i="11"/>
  <c r="C18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C4FC707-12E7-4DF1-9C1C-024B1E387620}" keepAlive="1" name="Query - EffortOutcomesAG1-1DayShift" description="Connection to the 'EffortOutcomesAG1-1DayShift' query in the workbook." type="5" refreshedVersion="8" background="1" saveData="1">
    <dbPr connection="Provider=Microsoft.Mashup.OleDb.1;Data Source=$Workbook$;Location=EffortOutcomesAG1-1DayShift;Extended Properties=&quot;&quot;" command="SELECT * FROM [EffortOutcomesAG1-1DayShift]"/>
  </connection>
  <connection id="2" xr16:uid="{11521046-7509-4E0F-B479-EC31FD44D76F}" keepAlive="1" name="Query - Folder !!" description="Connection to the 'Folder !!' query in the workbook." type="5" refreshedVersion="0" background="1" saveData="1">
    <dbPr connection="Provider=Microsoft.Mashup.OleDb.1;Data Source=$Workbook$;Location=&quot;Folder !!&quot;;Extended Properties=&quot;&quot;" command="SELECT * FROM [Folder !!]"/>
  </connection>
  <connection id="3" xr16:uid="{DAB46E10-74AE-451A-92EE-4B269117B419}" keepAlive="1" name="Query - IMPORT Table_EffortAllMatrixAG1_1D !!" description="Connection to the 'IMPORT Table_EffortAllMatrixAG1_1D !!' query in the workbook." type="5" refreshedVersion="8" background="1" saveData="1">
    <dbPr connection="Provider=Microsoft.Mashup.OleDb.1;Data Source=$Workbook$;Location=&quot;IMPORT Table_EffortAllMatrixAG1_1D !!&quot;;Extended Properties=&quot;&quot;" command="SELECT * FROM [IMPORT Table_EffortAllMatrixAG1_1D !!]"/>
  </connection>
  <connection id="4" xr16:uid="{6EABCF84-B0AC-40DE-A79E-656E0603A84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<sst xmlns="http://schemas.openxmlformats.org/spreadsheetml/2006/main" count="4102" uniqueCount="145">
  <si>
    <t>Date</t>
  </si>
  <si>
    <t>Role</t>
  </si>
  <si>
    <t>Allocation</t>
  </si>
  <si>
    <t>Demand</t>
  </si>
  <si>
    <t>Capacity</t>
  </si>
  <si>
    <t>CapacityX</t>
  </si>
  <si>
    <t>Apn</t>
  </si>
  <si>
    <t>Apx</t>
  </si>
  <si>
    <t>Ai</t>
  </si>
  <si>
    <t>Epn</t>
  </si>
  <si>
    <t>EpX</t>
  </si>
  <si>
    <t>Ein</t>
  </si>
  <si>
    <t>Ipx</t>
  </si>
  <si>
    <t>AM</t>
  </si>
  <si>
    <t>PM</t>
  </si>
  <si>
    <t>NIGHT</t>
  </si>
  <si>
    <t>Iin</t>
  </si>
  <si>
    <t>Ipn</t>
  </si>
  <si>
    <t>Folder</t>
  </si>
  <si>
    <t>CapacityMaxHC</t>
  </si>
  <si>
    <t>DATESHIFT</t>
  </si>
  <si>
    <t>Shift</t>
  </si>
  <si>
    <t>Facility</t>
  </si>
  <si>
    <t>SharedPath</t>
  </si>
  <si>
    <t>Client</t>
  </si>
  <si>
    <t>Type</t>
  </si>
  <si>
    <t>04 Analysis</t>
  </si>
  <si>
    <t>Location</t>
  </si>
  <si>
    <t>ShiftDurations.ShiftDuration</t>
  </si>
  <si>
    <t>ASHB</t>
  </si>
  <si>
    <t>COUR</t>
  </si>
  <si>
    <t>From Computerpath</t>
  </si>
  <si>
    <t>CommonSharedPath</t>
  </si>
  <si>
    <t>Manual Entry</t>
  </si>
  <si>
    <t>Calcualted</t>
  </si>
  <si>
    <t>Facility1</t>
  </si>
  <si>
    <t>Facility2</t>
  </si>
  <si>
    <t>DateAlignment</t>
  </si>
  <si>
    <t>AIN</t>
  </si>
  <si>
    <t>RN</t>
  </si>
  <si>
    <t>AINC4</t>
  </si>
  <si>
    <t>DateX</t>
  </si>
  <si>
    <t>Variable Name</t>
  </si>
  <si>
    <t>Value</t>
  </si>
  <si>
    <t>UserName</t>
  </si>
  <si>
    <t>Root Path</t>
  </si>
  <si>
    <t>FilePathUrl</t>
  </si>
  <si>
    <t>Unit</t>
  </si>
  <si>
    <t>FileName</t>
  </si>
  <si>
    <t>EffortOutcomes.xlsx</t>
  </si>
  <si>
    <t>C:\Users\Alex\CentriNOTSYNC\ResidentialCare\CLIENT\DATExx-Whiddon\2. Calculations\E-O-I\[EffortOutcomes.xlsx]Unit1Path</t>
  </si>
  <si>
    <t>Alex</t>
  </si>
  <si>
    <t>C:\Users\Alex\CentriNOTSYNC\ResidentialCare\CLIENT\DATExx-Whiddon\2. Calculations\E-O-I</t>
  </si>
  <si>
    <t>CLIENT</t>
  </si>
  <si>
    <t>DATExx-Whiddon</t>
  </si>
  <si>
    <t>Client Path</t>
  </si>
  <si>
    <t>C:\Users\Alex\CentriNOTSYNC\ResidentialCare\CLIENT\DATExx-Whiddon</t>
  </si>
  <si>
    <t>Units Path</t>
  </si>
  <si>
    <t>C:\Users\Alex\CentriNOTSYNC\ResidentialCare\CLIENT\DATExx-Whiddon\UNITS</t>
  </si>
  <si>
    <t>Unit1</t>
  </si>
  <si>
    <t>20/07/2026NIGHT</t>
  </si>
  <si>
    <t>20/07/2026PM</t>
  </si>
  <si>
    <t>20/07/2026AM</t>
  </si>
  <si>
    <t>Unit2</t>
  </si>
  <si>
    <t>21/07/2026NIGHT</t>
  </si>
  <si>
    <t>21/07/2026AM</t>
  </si>
  <si>
    <t>21/07/2026PM</t>
  </si>
  <si>
    <t>22/07/2026AM</t>
  </si>
  <si>
    <t>22/07/2026PM</t>
  </si>
  <si>
    <t>22/07/2026NIGHT</t>
  </si>
  <si>
    <t>23/07/2026PM</t>
  </si>
  <si>
    <t>23/07/2026AM</t>
  </si>
  <si>
    <t>23/07/2026NIGHT</t>
  </si>
  <si>
    <t>24/07/2026AM</t>
  </si>
  <si>
    <t>24/07/2026NIGHT</t>
  </si>
  <si>
    <t>24/07/2026PM</t>
  </si>
  <si>
    <t>25/07/2026AM</t>
  </si>
  <si>
    <t>25/07/2026NIGHT</t>
  </si>
  <si>
    <t>25/07/2026PM</t>
  </si>
  <si>
    <t>26/07/2026NIGHT</t>
  </si>
  <si>
    <t>26/07/2026PM</t>
  </si>
  <si>
    <t>26/07/2026AM</t>
  </si>
  <si>
    <t>27/07/2026PM</t>
  </si>
  <si>
    <t>27/07/2026AM</t>
  </si>
  <si>
    <t>27/07/2026NIGHT</t>
  </si>
  <si>
    <t>28/07/2026PM</t>
  </si>
  <si>
    <t>28/07/2026NIGHT</t>
  </si>
  <si>
    <t>28/07/2026AM</t>
  </si>
  <si>
    <t>29/07/2026NIGHT</t>
  </si>
  <si>
    <t>29/07/2026PM</t>
  </si>
  <si>
    <t>29/07/2026AM</t>
  </si>
  <si>
    <t>30/07/2026PM</t>
  </si>
  <si>
    <t>30/07/2026AM</t>
  </si>
  <si>
    <t>30/07/2026NIGHT</t>
  </si>
  <si>
    <t>31/07/2026AM</t>
  </si>
  <si>
    <t>31/07/2026NIGHT</t>
  </si>
  <si>
    <t>31/07/2026PM</t>
  </si>
  <si>
    <t>1/08/2026AM</t>
  </si>
  <si>
    <t>1/08/2026PM</t>
  </si>
  <si>
    <t>1/08/2026NIGHT</t>
  </si>
  <si>
    <t>2/08/2026PM</t>
  </si>
  <si>
    <t>2/08/2026NIGHT</t>
  </si>
  <si>
    <t>2/08/2026AM</t>
  </si>
  <si>
    <t>3/08/2026AM</t>
  </si>
  <si>
    <t>3/08/2026NIGHT</t>
  </si>
  <si>
    <t>3/08/2026PM</t>
  </si>
  <si>
    <t>4/08/2026PM</t>
  </si>
  <si>
    <t>4/08/2026NIGHT</t>
  </si>
  <si>
    <t>4/08/2026AM</t>
  </si>
  <si>
    <t>5/08/2026NIGHT</t>
  </si>
  <si>
    <t>5/08/2026PM</t>
  </si>
  <si>
    <t>5/08/2026AM</t>
  </si>
  <si>
    <t>6/08/2026NIGHT</t>
  </si>
  <si>
    <t>6/08/2026AM</t>
  </si>
  <si>
    <t>6/08/2026PM</t>
  </si>
  <si>
    <t>7/08/2026PM</t>
  </si>
  <si>
    <t>7/08/2026NIGHT</t>
  </si>
  <si>
    <t>7/08/2026AM</t>
  </si>
  <si>
    <t>8/08/2026PM</t>
  </si>
  <si>
    <t>8/08/2026AM</t>
  </si>
  <si>
    <t>8/08/2026NIGHT</t>
  </si>
  <si>
    <t>9/08/2026PM</t>
  </si>
  <si>
    <t>9/08/2026AM</t>
  </si>
  <si>
    <t>9/08/2026NIGHT</t>
  </si>
  <si>
    <t>10/08/2026AM</t>
  </si>
  <si>
    <t>10/08/2026NIGHT</t>
  </si>
  <si>
    <t>10/08/2026PM</t>
  </si>
  <si>
    <t>11/08/2026PM</t>
  </si>
  <si>
    <t>11/08/2026AM</t>
  </si>
  <si>
    <t>11/08/2026NIGHT</t>
  </si>
  <si>
    <t>12/08/2026AM</t>
  </si>
  <si>
    <t>12/08/2026NIGHT</t>
  </si>
  <si>
    <t>12/08/2026PM</t>
  </si>
  <si>
    <t>13/08/2026PM</t>
  </si>
  <si>
    <t>13/08/2026NIGHT</t>
  </si>
  <si>
    <t>13/08/2026AM</t>
  </si>
  <si>
    <t>14/08/2026PM</t>
  </si>
  <si>
    <t>14/08/2026NIGHT</t>
  </si>
  <si>
    <t>14/08/2026AM</t>
  </si>
  <si>
    <t>15/08/2026PM</t>
  </si>
  <si>
    <t>15/08/2026NIGHT</t>
  </si>
  <si>
    <t>15/08/2026AM</t>
  </si>
  <si>
    <t>16/08/2026AM</t>
  </si>
  <si>
    <t>16/08/2026NIGHT</t>
  </si>
  <si>
    <t>16/08/2026PM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</si>
</sst>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2" fillId="2" borderId="0" xfId="1" applyFill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6F165663-C337-4181-9B50-027A78909AC2}"/>
  </cellStyles>
  <dxfs count="35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COMPUTERPAT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mputerpath"/>
    </sheetNames>
    <definedNames>
      <definedName name="Computerpath" refersTo="='Computerpath'!$B$15"/>
    </definedNames>
    <sheetDataSet>
      <sheetData sheetId="0">
        <row r="15">
          <cell r="B15" t="str">
            <v>C:\Users\Alex\Centri\4. Production - Documents\WFEffectiveness\4.1.1 AGED CARE\01 Christadelphian Aged Care\240715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F643977-ABBE-4A4B-8317-D8901169DCA3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4D645556-DFD2-4F1F-8A58-AA844C389480}" autoFormatId="16" applyNumberFormats="0" applyBorderFormats="0" applyFontFormats="0" applyPatternFormats="0" applyAlignmentFormats="0" applyWidthHeightFormats="0">
  <queryTableRefresh nextId="25">
    <queryTableFields count="12">
      <queryTableField id="1" name="Facility" tableColumnId="1"/>
      <queryTableField id="2" name="Role" tableColumnId="2"/>
      <queryTableField id="4" name="Shift" tableColumnId="4"/>
      <queryTableField id="5" name="Demand" tableColumnId="5"/>
      <queryTableField id="6" name="Capacity" tableColumnId="6"/>
      <queryTableField id="8" name="CapacityMaxHC" tableColumnId="8"/>
      <queryTableField id="7" name="CapacityX" tableColumnId="7"/>
      <queryTableField id="9" name="Allocation" tableColumnId="9"/>
      <queryTableField id="10" name="DATESHIFT" tableColumnId="10"/>
      <queryTableField id="13" name="ShiftDurations.ShiftDuration" tableColumnId="11"/>
      <queryTableField id="3" name="Date" tableColumnId="3"/>
      <queryTableField id="24" name="DateX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FFBC0DCC-878B-41B2-8DE6-BA1C24BAFC00}" autoFormatId="16" applyNumberFormats="0" applyBorderFormats="0" applyFontFormats="0" applyPatternFormats="0" applyAlignmentFormats="0" applyWidthHeightFormats="0">
  <queryTableRefresh nextId="59">
    <queryTableFields count="21">
      <queryTableField id="39" name="Facility" tableColumnId="19"/>
      <queryTableField id="28" name="Role" tableColumnId="3"/>
      <queryTableField id="37" name="Shift" tableColumnId="2"/>
      <queryTableField id="15" name="Demand" tableColumnId="4"/>
      <queryTableField id="16" name="Capacity" tableColumnId="5"/>
      <queryTableField id="25" name="CapacityMaxHC" tableColumnId="17"/>
      <queryTableField id="17" name="CapacityX" tableColumnId="15"/>
      <queryTableField id="18" name="Allocation" tableColumnId="16"/>
      <queryTableField id="33" name="DATESHIFT" tableColumnId="18"/>
      <queryTableField id="45" name="ShiftDurations.ShiftDuration" tableColumnId="20"/>
      <queryTableField id="1" name="Date" tableColumnId="1"/>
      <queryTableField id="57" name="DateX" tableColumnId="21"/>
      <queryTableField id="6" name="Apn" tableColumnId="6"/>
      <queryTableField id="7" name="Apx" tableColumnId="7"/>
      <queryTableField id="8" name="Ai" tableColumnId="8"/>
      <queryTableField id="9" name="Epn" tableColumnId="9"/>
      <queryTableField id="10" name="EpX" tableColumnId="10"/>
      <queryTableField id="11" name="Ein" tableColumnId="11"/>
      <queryTableField id="12" name="Ipn" tableColumnId="12"/>
      <queryTableField id="13" name="Ipx" tableColumnId="13"/>
      <queryTableField id="14" name="Ii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104006F-C315-44B8-B708-A510B47AD846}" name="UnitL1PathTABLE" displayName="UnitL1PathTABLE" ref="A3:B12" tableType="queryTable" totalsRowShown="0" headerRowDxfId="34" dataDxfId="33" headerRowCellStyle="Normal 2" dataCellStyle="Normal 2">
  <autoFilter ref="A3:B12" xr:uid="{1104006F-C315-44B8-B708-A510B47AD846}"/>
  <tableColumns count="2">
    <tableColumn id="1" xr3:uid="{2954DAA6-D857-4943-B2CF-738AB5C62B5B}" uniqueName="1" name="Variable Name" queryTableFieldId="1" dataDxfId="23" dataCellStyle="Normal 2"/>
    <tableColumn id="2" xr3:uid="{CF38F2D9-B626-448B-A35F-C8FFE697D17F}" uniqueName="2" name="Value" queryTableFieldId="2" dataDxfId="2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FA4E-52D9-411B-AE34-E59962F06D81}" name="Folder" displayName="Folder" ref="B26:B27" totalsRowShown="0" dataDxfId="32">
  <autoFilter ref="B26:B27" xr:uid="{336E7093-3530-42C5-AF8A-E29B36BB2C09}"/>
  <tableColumns count="1">
    <tableColumn id="1" xr3:uid="{2CCD0D41-6FD7-4F30-95DA-EC20844C2BB8}" name="Folder" dataDxfId="31">
      <calculatedColumnFormula>$B$18&amp;"\"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B3B224-E874-4BA3-93F4-A9F2726049CA}" name="Table3" displayName="Table3" ref="B33:C34" totalsRowShown="0" headerRowDxfId="30" dataDxfId="29" headerRowCellStyle="Normal 2" dataCellStyle="Normal 2">
  <autoFilter ref="B33:C34" xr:uid="{0255D31D-F9FA-4374-B7C7-436518B79140}"/>
  <tableColumns count="2">
    <tableColumn id="1" xr3:uid="{8CF1EED3-B2A1-40E8-8F99-5C2778EBD9A7}" name="Facility1" dataDxfId="28" dataCellStyle="Normal 2"/>
    <tableColumn id="2" xr3:uid="{69F7B9D1-DE25-494D-8AC7-55E765FFE61A}" name="Facility2" dataDxfId="27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CF829B-D223-4A25-B1E1-D5B352A7DA91}" name="DateAlignment" displayName="DateAlignment" ref="B38:B39" totalsRowShown="0" headerRowDxfId="26" dataDxfId="25" headerRowCellStyle="Normal 2" dataCellStyle="Normal 2">
  <autoFilter ref="B38:B39" xr:uid="{12E4D58C-491D-408F-AF2D-91CA83457DA4}"/>
  <tableColumns count="1">
    <tableColumn id="1" xr3:uid="{4E6EB875-3551-4CD4-8926-AC272C326060}" name="DateAlignment" dataDxfId="24" dataCellStyle="Normal 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B66B24-70C9-412B-9583-00B29438E74B}" name="IMPORT_Table_EffortAllMatrixAG1_1D" displayName="IMPORT_Table_EffortAllMatrixAG1_1D" ref="A1:L505" tableType="queryTable" totalsRowShown="0">
  <autoFilter ref="A1:L505" xr:uid="{D4B66B24-70C9-412B-9583-00B29438E74B}"/>
  <tableColumns count="12">
    <tableColumn id="1" xr3:uid="{F54DB5C9-E66C-425B-BAC5-6E27768F910D}" uniqueName="1" name="Facility" queryTableFieldId="1" dataDxfId="21"/>
    <tableColumn id="2" xr3:uid="{70F7E8C8-DA08-47AB-B417-D195F12B849B}" uniqueName="2" name="Role" queryTableFieldId="2" dataDxfId="20"/>
    <tableColumn id="4" xr3:uid="{891A5E37-5B48-408B-A4A4-B9F4D015DB77}" uniqueName="4" name="Shift" queryTableFieldId="4" dataDxfId="19"/>
    <tableColumn id="5" xr3:uid="{13C65675-28F5-4DB0-9DE5-7145D948148D}" uniqueName="5" name="Demand" queryTableFieldId="5" dataDxfId="18"/>
    <tableColumn id="6" xr3:uid="{E11B5A6C-C75B-4505-865F-56F3444CCE22}" uniqueName="6" name="Capacity" queryTableFieldId="6" dataDxfId="17"/>
    <tableColumn id="8" xr3:uid="{95A6631E-327F-4674-B4BA-D8E27A6B090F}" uniqueName="8" name="CapacityMaxHC" queryTableFieldId="8" dataDxfId="16"/>
    <tableColumn id="7" xr3:uid="{5852A6A5-A42C-4A09-8E6D-74290DD7DEC9}" uniqueName="7" name="CapacityX" queryTableFieldId="7" dataDxfId="15"/>
    <tableColumn id="9" xr3:uid="{6D8F2553-D59B-4DA6-B0CC-6FE4A9CD4CA1}" uniqueName="9" name="Allocation" queryTableFieldId="9" dataDxfId="14"/>
    <tableColumn id="10" xr3:uid="{055E6D43-F663-443E-A716-0F23B7BDE76B}" uniqueName="10" name="DATESHIFT" queryTableFieldId="10" dataDxfId="13"/>
    <tableColumn id="11" xr3:uid="{D57E9166-3D6B-4922-9B21-74C5D4296EBF}" uniqueName="11" name="ShiftDurations.ShiftDuration" queryTableFieldId="13"/>
    <tableColumn id="3" xr3:uid="{3DF1070A-67BF-428F-96A8-F6E4CC65BE8E}" uniqueName="3" name="Date" queryTableFieldId="3" dataDxfId="12"/>
    <tableColumn id="12" xr3:uid="{25EC1B9B-0218-4C4D-BAA4-F52824684807}" uniqueName="12" name="DateX" queryTableFieldId="2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76CDA7-A02B-4EB3-8987-D41E4FFB68E8}" name="EffortOutcomesAG1_1DayShift" displayName="EffortOutcomesAG1_1DayShift" ref="A1:U505" tableType="queryTable" totalsRowShown="0">
  <autoFilter ref="A1:U505" xr:uid="{E376CDA7-A02B-4EB3-8987-D41E4FFB68E8}"/>
  <sortState xmlns:xlrd2="http://schemas.microsoft.com/office/spreadsheetml/2017/richdata2" ref="A2:U505">
    <sortCondition ref="B1:B505"/>
  </sortState>
  <tableColumns count="21">
    <tableColumn id="19" xr3:uid="{57F01AFC-5859-4698-B903-9CE05E83E71D}" uniqueName="19" name="Facility" queryTableFieldId="39" dataDxfId="9"/>
    <tableColumn id="3" xr3:uid="{7E32F82B-F732-4D74-B9CB-DAC36EA21A23}" uniqueName="3" name="Role" queryTableFieldId="28" dataDxfId="8"/>
    <tableColumn id="2" xr3:uid="{6768E303-C1F9-431F-B122-A3D32916BF6F}" uniqueName="2" name="Shift" queryTableFieldId="37" dataDxfId="7"/>
    <tableColumn id="4" xr3:uid="{6C571069-025F-42BC-BBEE-D63EF56FB509}" uniqueName="4" name="Demand" queryTableFieldId="15" dataDxfId="6"/>
    <tableColumn id="5" xr3:uid="{8515A77B-BF20-4B1A-81C1-F81F740275A6}" uniqueName="5" name="Capacity" queryTableFieldId="16" dataDxfId="5"/>
    <tableColumn id="17" xr3:uid="{FBACAB40-A0D2-42EC-8B2D-7DAABE4DCBD8}" uniqueName="17" name="CapacityMaxHC" queryTableFieldId="25" dataDxfId="4"/>
    <tableColumn id="15" xr3:uid="{7A0CF3CF-31BE-499E-B5F9-1F9B01E54E3B}" uniqueName="15" name="CapacityX" queryTableFieldId="17" dataDxfId="3"/>
    <tableColumn id="16" xr3:uid="{6E3E4728-5A69-4410-9D54-62CB9720905C}" uniqueName="16" name="Allocation" queryTableFieldId="18" dataDxfId="2"/>
    <tableColumn id="18" xr3:uid="{34799610-D03A-4FCE-987A-356C335FB23E}" uniqueName="18" name="DATESHIFT" queryTableFieldId="33" dataDxfId="1"/>
    <tableColumn id="20" xr3:uid="{07AA019D-912D-4CDF-AEAB-91FEE2AA5776}" uniqueName="20" name="ShiftDurations.ShiftDuration" queryTableFieldId="45"/>
    <tableColumn id="1" xr3:uid="{BF6A5ED0-C159-40D2-B185-7FD90016ED97}" uniqueName="1" name="Date" queryTableFieldId="1" dataDxfId="0"/>
    <tableColumn id="21" xr3:uid="{95119627-9DF9-4D39-8F9B-109D1E23BAB7}" uniqueName="21" name="DateX" queryTableFieldId="57"/>
    <tableColumn id="6" xr3:uid="{EC4EB5DE-04F5-46BC-93AE-847142925712}" uniqueName="6" name="Apn" queryTableFieldId="6"/>
    <tableColumn id="7" xr3:uid="{38509A44-BBF3-4508-9629-A8F0069A9DC0}" uniqueName="7" name="Apx" queryTableFieldId="7"/>
    <tableColumn id="8" xr3:uid="{9AC23104-623B-4022-8CA5-7BEEEEBDF625}" uniqueName="8" name="Ai" queryTableFieldId="8"/>
    <tableColumn id="9" xr3:uid="{C4ECCD0F-1A8E-4265-880A-834099C57DAA}" uniqueName="9" name="Epn" queryTableFieldId="9"/>
    <tableColumn id="10" xr3:uid="{01B9638D-492A-4274-B41C-25221218AEA8}" uniqueName="10" name="EpX" queryTableFieldId="10"/>
    <tableColumn id="11" xr3:uid="{53DE65C2-5FC3-47C6-BF3A-0E1CABE379A2}" uniqueName="11" name="Ein" queryTableFieldId="11"/>
    <tableColumn id="12" xr3:uid="{E7027AC6-0A11-4D35-8427-B0AEBC3F25D2}" uniqueName="12" name="Ipn" queryTableFieldId="12"/>
    <tableColumn id="13" xr3:uid="{DC281649-415E-4313-BB1C-B0140D9E737C}" uniqueName="13" name="Ipx" queryTableFieldId="13"/>
    <tableColumn id="14" xr3:uid="{C8AD6387-D9FB-4835-871D-B3D2B94FFEE0}" uniqueName="14" name="Iin" queryTableField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7A3B-AF81-4D04-A8CC-F817BA01750A}">
  <sheetPr>
    <tabColor rgb="FFFFFF00"/>
  </sheetPr>
  <dimension ref="A1:D33"/>
  <sheetViews>
    <sheetView workbookViewId="0">
      <selection activeCell="B14" sqref="B14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1" t="s">
        <v>23</v>
      </c>
      <c r="B1" s="11" t="str" cm="1">
        <f t="array" aca="1" ref="B1" ca="1">CELL("filename")</f>
        <v>C:\Users\Alex\CentriNOTSYNC\ResidentialCare\CLIENT\DATExx-Whiddon\2. Calculations\E-O-I\[EffortOutcomes.xlsx]EffortOutcomesAG1-1DayShift</v>
      </c>
    </row>
    <row r="2" spans="1:4" x14ac:dyDescent="0.25">
      <c r="A2" s="3"/>
      <c r="B2" s="3"/>
    </row>
    <row r="3" spans="1:4" x14ac:dyDescent="0.25">
      <c r="A3" s="2" t="s">
        <v>42</v>
      </c>
      <c r="B3" s="2" t="s">
        <v>43</v>
      </c>
    </row>
    <row r="4" spans="1:4" ht="15" x14ac:dyDescent="0.25">
      <c r="A4" s="12" t="s">
        <v>44</v>
      </c>
      <c r="B4" s="12" t="s">
        <v>51</v>
      </c>
    </row>
    <row r="5" spans="1:4" ht="15" x14ac:dyDescent="0.25">
      <c r="A5" s="12" t="s">
        <v>45</v>
      </c>
      <c r="B5" s="12" t="s">
        <v>52</v>
      </c>
    </row>
    <row r="6" spans="1:4" ht="15" x14ac:dyDescent="0.25">
      <c r="A6" s="12" t="s">
        <v>46</v>
      </c>
      <c r="B6" s="12" t="s">
        <v>50</v>
      </c>
    </row>
    <row r="7" spans="1:4" ht="15" x14ac:dyDescent="0.25">
      <c r="A7" s="12" t="s">
        <v>24</v>
      </c>
      <c r="B7" s="12" t="s">
        <v>53</v>
      </c>
    </row>
    <row r="8" spans="1:4" ht="15" x14ac:dyDescent="0.25">
      <c r="A8" s="12" t="s">
        <v>0</v>
      </c>
      <c r="B8" s="12" t="s">
        <v>54</v>
      </c>
    </row>
    <row r="9" spans="1:4" ht="15" x14ac:dyDescent="0.25">
      <c r="A9" s="12" t="s">
        <v>47</v>
      </c>
      <c r="B9" s="12"/>
    </row>
    <row r="10" spans="1:4" ht="15" x14ac:dyDescent="0.25">
      <c r="A10" s="12" t="s">
        <v>48</v>
      </c>
      <c r="B10" s="12" t="s">
        <v>49</v>
      </c>
    </row>
    <row r="11" spans="1:4" ht="15" x14ac:dyDescent="0.25">
      <c r="A11" s="12" t="s">
        <v>55</v>
      </c>
      <c r="B11" s="12" t="s">
        <v>56</v>
      </c>
    </row>
    <row r="12" spans="1:4" ht="15" x14ac:dyDescent="0.25">
      <c r="A12" s="12" t="s">
        <v>57</v>
      </c>
      <c r="B12" s="12" t="s">
        <v>58</v>
      </c>
      <c r="D12" s="1"/>
    </row>
    <row r="14" spans="1:4" x14ac:dyDescent="0.25">
      <c r="B14" s="1"/>
    </row>
    <row r="17" spans="1:3" x14ac:dyDescent="0.25">
      <c r="A17" s="3"/>
      <c r="B17" s="3"/>
    </row>
    <row r="18" spans="1:3" x14ac:dyDescent="0.25">
      <c r="A18" s="7"/>
      <c r="B18" s="3"/>
    </row>
    <row r="19" spans="1:3" x14ac:dyDescent="0.25">
      <c r="A19" s="3"/>
      <c r="B19" s="3"/>
    </row>
    <row r="20" spans="1:3" x14ac:dyDescent="0.25">
      <c r="A20" s="3"/>
      <c r="B20" s="3"/>
      <c r="C20" s="8"/>
    </row>
    <row r="21" spans="1:3" ht="15" x14ac:dyDescent="0.25">
      <c r="A21" s="4"/>
      <c r="B21"/>
      <c r="C21" s="8"/>
    </row>
    <row r="22" spans="1:3" x14ac:dyDescent="0.25">
      <c r="A22" s="3"/>
      <c r="B22" s="3"/>
      <c r="C22" s="8"/>
    </row>
    <row r="23" spans="1:3" x14ac:dyDescent="0.25">
      <c r="C23" s="8"/>
    </row>
    <row r="24" spans="1:3" x14ac:dyDescent="0.25">
      <c r="C24" s="9"/>
    </row>
    <row r="25" spans="1:3" x14ac:dyDescent="0.25">
      <c r="C25" s="8"/>
    </row>
    <row r="26" spans="1:3" x14ac:dyDescent="0.25">
      <c r="A26" s="1"/>
      <c r="B26" s="1"/>
      <c r="C26" s="8"/>
    </row>
    <row r="27" spans="1:3" x14ac:dyDescent="0.25">
      <c r="C27" s="8"/>
    </row>
    <row r="28" spans="1:3" x14ac:dyDescent="0.25">
      <c r="A28" s="8"/>
      <c r="B28" s="8"/>
    </row>
    <row r="29" spans="1:3" x14ac:dyDescent="0.25">
      <c r="A29" s="8"/>
      <c r="B29" s="8"/>
    </row>
    <row r="33" spans="2:2" x14ac:dyDescent="0.25">
      <c r="B33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5853-AF8B-47EB-B45B-660264DFB90A}">
  <dimension ref="A7:D39"/>
  <sheetViews>
    <sheetView workbookViewId="0">
      <selection activeCell="B19" sqref="B19"/>
    </sheetView>
  </sheetViews>
  <sheetFormatPr defaultColWidth="8" defaultRowHeight="12.75" x14ac:dyDescent="0.25"/>
  <cols>
    <col min="1" max="1" width="23.140625" style="2" customWidth="1"/>
    <col min="2" max="2" width="131.42578125" style="2" customWidth="1"/>
    <col min="3" max="3" width="12.140625" style="2" customWidth="1"/>
    <col min="4" max="16384" width="8" style="2"/>
  </cols>
  <sheetData>
    <row r="7" spans="1:4" x14ac:dyDescent="0.25">
      <c r="A7" s="1"/>
      <c r="B7" s="1"/>
      <c r="C7" s="1"/>
      <c r="D7" s="1"/>
    </row>
    <row r="9" spans="1:4" x14ac:dyDescent="0.25">
      <c r="A9" s="3" t="s">
        <v>23</v>
      </c>
      <c r="B9" s="3" t="str" cm="1">
        <f t="array" aca="1" ref="B9" ca="1">CELL("filename",E16)</f>
        <v>C:\Users\Alex\CentriNOTSYNC\ResidentialCare\CLIENT\DATExx-Whiddon\2. Calculations\E-O-I\[EffortOutcomes.xlsx]FILEPATH-EffortALL</v>
      </c>
    </row>
    <row r="10" spans="1:4" x14ac:dyDescent="0.25">
      <c r="A10" s="3"/>
      <c r="B10" s="3"/>
    </row>
    <row r="11" spans="1:4" x14ac:dyDescent="0.25">
      <c r="A11" s="7"/>
      <c r="B11" s="3"/>
    </row>
    <row r="12" spans="1:4" x14ac:dyDescent="0.25">
      <c r="A12" s="3"/>
      <c r="B12" s="3"/>
    </row>
    <row r="13" spans="1:4" x14ac:dyDescent="0.25">
      <c r="A13" s="3"/>
      <c r="B13" s="3"/>
    </row>
    <row r="14" spans="1:4" x14ac:dyDescent="0.25">
      <c r="A14" s="4" t="s">
        <v>24</v>
      </c>
      <c r="B14" s="4" t="str" cm="1">
        <f t="array" ref="B14">[4]!Computerpath</f>
        <v>C:\Users\Alex\Centri\4. Production - Documents\WFEffectiveness\4.1.1 AGED CARE\01 Christadelphian Aged Care\240715</v>
      </c>
      <c r="D14" s="2" t="s">
        <v>31</v>
      </c>
    </row>
    <row r="15" spans="1:4" x14ac:dyDescent="0.25">
      <c r="A15" s="3" t="s">
        <v>32</v>
      </c>
      <c r="B15" s="3" t="e" cm="1">
        <f t="array" aca="1" ref="B15" ca="1">LEFT(CELL("filename",B9),FIND(Client,CELL("filename",B9),1)-1)</f>
        <v>#VALUE!</v>
      </c>
      <c r="C15" s="8" t="e">
        <f ca="1">LEN(B15)</f>
        <v>#VALUE!</v>
      </c>
    </row>
    <row r="16" spans="1:4" x14ac:dyDescent="0.25">
      <c r="C16" s="8"/>
    </row>
    <row r="17" spans="1:4" x14ac:dyDescent="0.25">
      <c r="C17" s="8"/>
    </row>
    <row r="18" spans="1:4" x14ac:dyDescent="0.25">
      <c r="A18" s="4" t="s">
        <v>27</v>
      </c>
      <c r="B18" s="4" t="str">
        <f>Client</f>
        <v>C:\Users\Alex\Centri\4. Production - Documents\WFEffectiveness\4.1.1 AGED CARE\01 Christadelphian Aged Care\240715</v>
      </c>
      <c r="C18" s="8">
        <f>LEN(B14)</f>
        <v>114</v>
      </c>
      <c r="D18" s="2" t="s">
        <v>31</v>
      </c>
    </row>
    <row r="19" spans="1:4" x14ac:dyDescent="0.25">
      <c r="A19" s="1" t="s">
        <v>25</v>
      </c>
      <c r="B19" s="1" t="s">
        <v>26</v>
      </c>
      <c r="C19" s="9">
        <f>LEN(B19)</f>
        <v>11</v>
      </c>
      <c r="D19" s="2" t="s">
        <v>33</v>
      </c>
    </row>
    <row r="20" spans="1:4" x14ac:dyDescent="0.25">
      <c r="C20" s="8" t="e">
        <f ca="1">SUM(C15:C19)</f>
        <v>#VALUE!</v>
      </c>
    </row>
    <row r="21" spans="1:4" x14ac:dyDescent="0.25">
      <c r="C21" s="8"/>
    </row>
    <row r="22" spans="1:4" x14ac:dyDescent="0.25">
      <c r="C22" s="8"/>
    </row>
    <row r="23" spans="1:4" x14ac:dyDescent="0.25">
      <c r="A23" s="2" t="s">
        <v>0</v>
      </c>
      <c r="B23" s="5"/>
      <c r="C23" s="8"/>
    </row>
    <row r="24" spans="1:4" x14ac:dyDescent="0.25">
      <c r="D24" s="2" t="s">
        <v>34</v>
      </c>
    </row>
    <row r="26" spans="1:4" x14ac:dyDescent="0.25">
      <c r="B26" s="2" t="s">
        <v>18</v>
      </c>
    </row>
    <row r="27" spans="1:4" x14ac:dyDescent="0.25">
      <c r="B27" s="5" t="str">
        <f>$B$18&amp;"\"</f>
        <v>C:\Users\Alex\Centri\4. Production - Documents\WFEffectiveness\4.1.1 AGED CARE\01 Christadelphian Aged Care\240715\</v>
      </c>
    </row>
    <row r="29" spans="1:4" x14ac:dyDescent="0.25">
      <c r="B29" s="10"/>
    </row>
    <row r="33" spans="2:3" x14ac:dyDescent="0.25">
      <c r="B33" s="2" t="s">
        <v>35</v>
      </c>
      <c r="C33" s="2" t="s">
        <v>36</v>
      </c>
    </row>
    <row r="34" spans="2:3" x14ac:dyDescent="0.25">
      <c r="B34" s="2" t="s">
        <v>30</v>
      </c>
      <c r="C34" s="2" t="s">
        <v>29</v>
      </c>
    </row>
    <row r="38" spans="2:3" x14ac:dyDescent="0.25">
      <c r="B38" s="2" t="s">
        <v>37</v>
      </c>
    </row>
    <row r="39" spans="2:3" x14ac:dyDescent="0.25">
      <c r="B39" s="2">
        <v>0</v>
      </c>
    </row>
  </sheetData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CC842-69EA-4A95-AF74-1E12A4EC71DC}">
  <dimension ref="A1:P505"/>
  <sheetViews>
    <sheetView tabSelected="1" workbookViewId="0">
      <selection activeCell="K14" sqref="K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7.42578125" bestFit="1" customWidth="1"/>
    <col min="12" max="12" width="8.5703125" bestFit="1" customWidth="1"/>
    <col min="13" max="13" width="7.42578125" bestFit="1" customWidth="1"/>
    <col min="14" max="14" width="16.7109375" bestFit="1" customWidth="1"/>
  </cols>
  <sheetData>
    <row r="1" spans="1:16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</row>
    <row r="2" spans="1:16" x14ac:dyDescent="0.25">
      <c r="A2" s="12" t="s">
        <v>59</v>
      </c>
      <c r="B2" s="12" t="s">
        <v>38</v>
      </c>
      <c r="C2" s="12" t="s">
        <v>15</v>
      </c>
      <c r="D2" s="12">
        <v>4.2207252494765797</v>
      </c>
      <c r="E2" s="12">
        <v>0</v>
      </c>
      <c r="F2" s="12">
        <v>10</v>
      </c>
      <c r="G2" s="12">
        <v>0</v>
      </c>
      <c r="H2" s="12">
        <v>4.6875</v>
      </c>
      <c r="I2" s="12" t="s">
        <v>60</v>
      </c>
      <c r="K2" s="12">
        <v>46223</v>
      </c>
      <c r="L2">
        <v>46223</v>
      </c>
      <c r="O2">
        <f t="shared" ref="O2:O42" si="0">H2-D2</f>
        <v>0.46677475052342032</v>
      </c>
      <c r="P2">
        <f t="shared" ref="P2:P42" si="1">E2-D2</f>
        <v>-4.2207252494765797</v>
      </c>
    </row>
    <row r="3" spans="1:16" x14ac:dyDescent="0.25">
      <c r="A3" s="12" t="s">
        <v>59</v>
      </c>
      <c r="B3" s="12" t="s">
        <v>38</v>
      </c>
      <c r="C3" s="12" t="s">
        <v>14</v>
      </c>
      <c r="D3" s="12">
        <v>10.973885648639106</v>
      </c>
      <c r="E3" s="12">
        <v>0.95</v>
      </c>
      <c r="F3" s="12">
        <v>10</v>
      </c>
      <c r="G3" s="12">
        <v>0.95</v>
      </c>
      <c r="H3" s="12">
        <v>10.234375</v>
      </c>
      <c r="I3" s="12" t="s">
        <v>61</v>
      </c>
      <c r="K3" s="12">
        <v>46223</v>
      </c>
      <c r="L3">
        <v>46223</v>
      </c>
      <c r="O3">
        <f t="shared" si="0"/>
        <v>-0.73951064863910609</v>
      </c>
      <c r="P3">
        <f t="shared" si="1"/>
        <v>-10.023885648639107</v>
      </c>
    </row>
    <row r="4" spans="1:16" x14ac:dyDescent="0.25">
      <c r="A4" s="12" t="s">
        <v>59</v>
      </c>
      <c r="B4" s="12" t="s">
        <v>38</v>
      </c>
      <c r="C4" s="12" t="s">
        <v>13</v>
      </c>
      <c r="D4" s="12">
        <v>11.87078976415288</v>
      </c>
      <c r="E4" s="12">
        <v>3.8</v>
      </c>
      <c r="F4" s="12">
        <v>10</v>
      </c>
      <c r="G4" s="12">
        <v>3.8</v>
      </c>
      <c r="H4" s="12">
        <v>10.447916666666666</v>
      </c>
      <c r="I4" s="12" t="s">
        <v>62</v>
      </c>
      <c r="K4" s="12">
        <v>46223</v>
      </c>
      <c r="L4">
        <v>46223</v>
      </c>
      <c r="O4">
        <f t="shared" si="0"/>
        <v>-1.4228730974862138</v>
      </c>
      <c r="P4">
        <f t="shared" si="1"/>
        <v>-8.070789764152881</v>
      </c>
    </row>
    <row r="5" spans="1:16" x14ac:dyDescent="0.25">
      <c r="A5" s="12" t="s">
        <v>63</v>
      </c>
      <c r="B5" s="12" t="s">
        <v>38</v>
      </c>
      <c r="C5" s="12" t="s">
        <v>15</v>
      </c>
      <c r="D5" s="12">
        <v>4.2207252494765797</v>
      </c>
      <c r="E5" s="12">
        <v>0</v>
      </c>
      <c r="F5" s="12">
        <v>10</v>
      </c>
      <c r="G5" s="12">
        <v>0</v>
      </c>
      <c r="H5" s="12">
        <v>4.6875</v>
      </c>
      <c r="I5" s="12" t="s">
        <v>60</v>
      </c>
      <c r="J5">
        <v>1</v>
      </c>
      <c r="K5" s="12">
        <v>46223</v>
      </c>
      <c r="L5">
        <v>46223</v>
      </c>
      <c r="O5">
        <f t="shared" si="0"/>
        <v>0.46677475052342032</v>
      </c>
      <c r="P5">
        <f t="shared" si="1"/>
        <v>-4.2207252494765797</v>
      </c>
    </row>
    <row r="6" spans="1:16" x14ac:dyDescent="0.25">
      <c r="A6" s="12" t="s">
        <v>63</v>
      </c>
      <c r="B6" s="12" t="s">
        <v>38</v>
      </c>
      <c r="C6" s="12" t="s">
        <v>14</v>
      </c>
      <c r="D6" s="12">
        <v>10.973885648639106</v>
      </c>
      <c r="E6" s="12">
        <v>0.95</v>
      </c>
      <c r="F6" s="12">
        <v>10</v>
      </c>
      <c r="G6" s="12">
        <v>0.95</v>
      </c>
      <c r="H6" s="12">
        <v>10.234375</v>
      </c>
      <c r="I6" s="12" t="s">
        <v>61</v>
      </c>
      <c r="J6">
        <v>1</v>
      </c>
      <c r="K6" s="12">
        <v>46223</v>
      </c>
      <c r="L6">
        <v>46223</v>
      </c>
      <c r="O6">
        <f t="shared" si="0"/>
        <v>-0.73951064863910609</v>
      </c>
      <c r="P6">
        <f t="shared" si="1"/>
        <v>-10.023885648639107</v>
      </c>
    </row>
    <row r="7" spans="1:16" x14ac:dyDescent="0.25">
      <c r="A7" s="12" t="s">
        <v>63</v>
      </c>
      <c r="B7" s="12" t="s">
        <v>38</v>
      </c>
      <c r="C7" s="12" t="s">
        <v>13</v>
      </c>
      <c r="D7" s="12">
        <v>11.87078976415288</v>
      </c>
      <c r="E7" s="12">
        <v>3.8</v>
      </c>
      <c r="F7" s="12">
        <v>10</v>
      </c>
      <c r="G7" s="12">
        <v>3.8</v>
      </c>
      <c r="H7" s="12">
        <v>10.447916666666666</v>
      </c>
      <c r="I7" s="12" t="s">
        <v>62</v>
      </c>
      <c r="J7">
        <v>1</v>
      </c>
      <c r="K7" s="12">
        <v>46223</v>
      </c>
      <c r="L7">
        <v>46223</v>
      </c>
      <c r="O7">
        <f t="shared" si="0"/>
        <v>-1.4228730974862138</v>
      </c>
      <c r="P7">
        <f t="shared" si="1"/>
        <v>-8.070789764152881</v>
      </c>
    </row>
    <row r="8" spans="1:16" x14ac:dyDescent="0.25">
      <c r="A8" s="12" t="s">
        <v>59</v>
      </c>
      <c r="B8" s="12" t="s">
        <v>40</v>
      </c>
      <c r="C8" s="12" t="s">
        <v>14</v>
      </c>
      <c r="D8" s="12">
        <v>3.1779578349000128</v>
      </c>
      <c r="E8" s="12">
        <v>2.8499999999999996</v>
      </c>
      <c r="F8" s="12">
        <v>10</v>
      </c>
      <c r="G8" s="12">
        <v>2.8499999999999996</v>
      </c>
      <c r="H8" s="12">
        <v>2.8685121107266438</v>
      </c>
      <c r="I8" s="12" t="s">
        <v>61</v>
      </c>
      <c r="K8" s="12">
        <v>46223</v>
      </c>
      <c r="L8">
        <v>46223</v>
      </c>
      <c r="O8">
        <f t="shared" si="0"/>
        <v>-0.30944572417336902</v>
      </c>
      <c r="P8">
        <f t="shared" si="1"/>
        <v>-0.32795783490001318</v>
      </c>
    </row>
    <row r="9" spans="1:16" x14ac:dyDescent="0.25">
      <c r="A9" s="12" t="s">
        <v>59</v>
      </c>
      <c r="B9" s="12" t="s">
        <v>40</v>
      </c>
      <c r="C9" s="12" t="s">
        <v>13</v>
      </c>
      <c r="D9" s="12">
        <v>3.5876164620550925</v>
      </c>
      <c r="E9" s="12">
        <v>6.6499999999999995</v>
      </c>
      <c r="F9" s="12">
        <v>10</v>
      </c>
      <c r="G9" s="12">
        <v>6.6499999999999995</v>
      </c>
      <c r="H9" s="12">
        <v>3.764705882352942</v>
      </c>
      <c r="I9" s="12" t="s">
        <v>62</v>
      </c>
      <c r="K9" s="12">
        <v>46223</v>
      </c>
      <c r="L9">
        <v>46223</v>
      </c>
      <c r="O9">
        <f t="shared" si="0"/>
        <v>0.17708942029784946</v>
      </c>
      <c r="P9">
        <f t="shared" si="1"/>
        <v>3.0623835379449069</v>
      </c>
    </row>
    <row r="10" spans="1:16" x14ac:dyDescent="0.25">
      <c r="A10" s="12" t="s">
        <v>59</v>
      </c>
      <c r="B10" s="12" t="s">
        <v>40</v>
      </c>
      <c r="C10" s="12" t="s">
        <v>15</v>
      </c>
      <c r="D10" s="12">
        <v>0</v>
      </c>
      <c r="E10" s="12">
        <v>0</v>
      </c>
      <c r="F10" s="12">
        <v>10</v>
      </c>
      <c r="G10" s="12">
        <v>0</v>
      </c>
      <c r="H10" s="12">
        <v>0</v>
      </c>
      <c r="I10" s="12" t="s">
        <v>60</v>
      </c>
      <c r="K10" s="12">
        <v>46223</v>
      </c>
      <c r="L10">
        <v>46223</v>
      </c>
      <c r="O10">
        <f t="shared" si="0"/>
        <v>0</v>
      </c>
      <c r="P10">
        <f t="shared" si="1"/>
        <v>0</v>
      </c>
    </row>
    <row r="11" spans="1:16" x14ac:dyDescent="0.25">
      <c r="A11" s="12" t="s">
        <v>63</v>
      </c>
      <c r="B11" s="12" t="s">
        <v>40</v>
      </c>
      <c r="C11" s="12" t="s">
        <v>14</v>
      </c>
      <c r="D11" s="12">
        <v>3.1779578349000128</v>
      </c>
      <c r="E11" s="12">
        <v>2.8499999999999996</v>
      </c>
      <c r="F11" s="12">
        <v>10</v>
      </c>
      <c r="G11" s="12">
        <v>2.8499999999999996</v>
      </c>
      <c r="H11" s="12">
        <v>2.8685121107266438</v>
      </c>
      <c r="I11" s="12" t="s">
        <v>61</v>
      </c>
      <c r="J11">
        <v>1</v>
      </c>
      <c r="K11" s="12">
        <v>46223</v>
      </c>
      <c r="L11">
        <v>46223</v>
      </c>
      <c r="O11">
        <f t="shared" si="0"/>
        <v>-0.30944572417336902</v>
      </c>
      <c r="P11">
        <f t="shared" si="1"/>
        <v>-0.32795783490001318</v>
      </c>
    </row>
    <row r="12" spans="1:16" x14ac:dyDescent="0.25">
      <c r="A12" s="12" t="s">
        <v>63</v>
      </c>
      <c r="B12" s="12" t="s">
        <v>40</v>
      </c>
      <c r="C12" s="12" t="s">
        <v>13</v>
      </c>
      <c r="D12" s="12">
        <v>3.5876164620550925</v>
      </c>
      <c r="E12" s="12">
        <v>6.6499999999999995</v>
      </c>
      <c r="F12" s="12">
        <v>10</v>
      </c>
      <c r="G12" s="12">
        <v>6.6499999999999995</v>
      </c>
      <c r="H12" s="12">
        <v>3.764705882352942</v>
      </c>
      <c r="I12" s="12" t="s">
        <v>62</v>
      </c>
      <c r="J12">
        <v>1</v>
      </c>
      <c r="K12" s="12">
        <v>46223</v>
      </c>
      <c r="L12">
        <v>46223</v>
      </c>
      <c r="O12">
        <f t="shared" si="0"/>
        <v>0.17708942029784946</v>
      </c>
      <c r="P12">
        <f t="shared" si="1"/>
        <v>3.0623835379449069</v>
      </c>
    </row>
    <row r="13" spans="1:16" x14ac:dyDescent="0.25">
      <c r="A13" s="12" t="s">
        <v>63</v>
      </c>
      <c r="B13" s="12" t="s">
        <v>40</v>
      </c>
      <c r="C13" s="12" t="s">
        <v>15</v>
      </c>
      <c r="D13" s="12">
        <v>0</v>
      </c>
      <c r="E13" s="12">
        <v>0</v>
      </c>
      <c r="F13" s="12">
        <v>10</v>
      </c>
      <c r="G13" s="12">
        <v>0</v>
      </c>
      <c r="H13" s="12">
        <v>0</v>
      </c>
      <c r="I13" s="12" t="s">
        <v>60</v>
      </c>
      <c r="J13">
        <v>1</v>
      </c>
      <c r="K13" s="12">
        <v>46223</v>
      </c>
      <c r="L13">
        <v>46223</v>
      </c>
      <c r="O13">
        <f t="shared" si="0"/>
        <v>0</v>
      </c>
      <c r="P13">
        <f t="shared" si="1"/>
        <v>0</v>
      </c>
    </row>
    <row r="14" spans="1:16" x14ac:dyDescent="0.25">
      <c r="A14" s="12" t="s">
        <v>59</v>
      </c>
      <c r="B14" s="12" t="s">
        <v>39</v>
      </c>
      <c r="C14" s="12" t="s">
        <v>15</v>
      </c>
      <c r="D14" s="12">
        <v>1.2742252699784016</v>
      </c>
      <c r="E14" s="12">
        <v>0</v>
      </c>
      <c r="F14" s="12">
        <v>10</v>
      </c>
      <c r="G14" s="12">
        <v>0</v>
      </c>
      <c r="H14" s="12">
        <v>0.94117647058823517</v>
      </c>
      <c r="I14" s="12" t="s">
        <v>60</v>
      </c>
      <c r="K14" s="12">
        <v>46223</v>
      </c>
      <c r="L14">
        <v>46223</v>
      </c>
      <c r="O14">
        <f t="shared" si="0"/>
        <v>-0.33304879939016641</v>
      </c>
      <c r="P14">
        <f t="shared" si="1"/>
        <v>-1.2742252699784016</v>
      </c>
    </row>
    <row r="15" spans="1:16" x14ac:dyDescent="0.25">
      <c r="A15" s="12" t="s">
        <v>59</v>
      </c>
      <c r="B15" s="12" t="s">
        <v>39</v>
      </c>
      <c r="C15" s="12" t="s">
        <v>14</v>
      </c>
      <c r="D15" s="12">
        <v>3.3729492440604751</v>
      </c>
      <c r="E15" s="12">
        <v>2.8499999999999996</v>
      </c>
      <c r="F15" s="12">
        <v>10</v>
      </c>
      <c r="G15" s="12">
        <v>2.8499999999999996</v>
      </c>
      <c r="H15" s="12">
        <v>4.4273356401384074</v>
      </c>
      <c r="I15" s="12" t="s">
        <v>61</v>
      </c>
      <c r="K15" s="12">
        <v>46223</v>
      </c>
      <c r="L15">
        <v>46223</v>
      </c>
      <c r="O15">
        <f t="shared" si="0"/>
        <v>1.0543863960779323</v>
      </c>
      <c r="P15">
        <f t="shared" si="1"/>
        <v>-0.52294924406047549</v>
      </c>
    </row>
    <row r="16" spans="1:16" x14ac:dyDescent="0.25">
      <c r="A16" s="12" t="s">
        <v>59</v>
      </c>
      <c r="B16" s="12" t="s">
        <v>39</v>
      </c>
      <c r="C16" s="12" t="s">
        <v>13</v>
      </c>
      <c r="D16" s="12">
        <v>5.8323914011879046</v>
      </c>
      <c r="E16" s="12">
        <v>5.6999999999999993</v>
      </c>
      <c r="F16" s="12">
        <v>10</v>
      </c>
      <c r="G16" s="12">
        <v>5.6999999999999993</v>
      </c>
      <c r="H16" s="12">
        <v>4.2297794117647056</v>
      </c>
      <c r="I16" s="12" t="s">
        <v>62</v>
      </c>
      <c r="K16" s="12">
        <v>46223</v>
      </c>
      <c r="L16">
        <v>46223</v>
      </c>
      <c r="O16">
        <f t="shared" si="0"/>
        <v>-1.6026119894231989</v>
      </c>
      <c r="P16">
        <f t="shared" si="1"/>
        <v>-0.13239140118790527</v>
      </c>
    </row>
    <row r="17" spans="1:16" x14ac:dyDescent="0.25">
      <c r="A17" s="12" t="s">
        <v>63</v>
      </c>
      <c r="B17" s="12" t="s">
        <v>39</v>
      </c>
      <c r="C17" s="12" t="s">
        <v>15</v>
      </c>
      <c r="D17" s="12">
        <v>1.2742252699784016</v>
      </c>
      <c r="E17" s="12">
        <v>0</v>
      </c>
      <c r="F17" s="12">
        <v>10</v>
      </c>
      <c r="G17" s="12">
        <v>0</v>
      </c>
      <c r="H17" s="12">
        <v>0.94117647058823517</v>
      </c>
      <c r="I17" s="12" t="s">
        <v>60</v>
      </c>
      <c r="J17">
        <v>1</v>
      </c>
      <c r="K17" s="12">
        <v>46223</v>
      </c>
      <c r="L17">
        <v>46223</v>
      </c>
      <c r="O17">
        <f t="shared" si="0"/>
        <v>-0.33304879939016641</v>
      </c>
      <c r="P17">
        <f t="shared" si="1"/>
        <v>-1.2742252699784016</v>
      </c>
    </row>
    <row r="18" spans="1:16" x14ac:dyDescent="0.25">
      <c r="A18" s="12" t="s">
        <v>63</v>
      </c>
      <c r="B18" s="12" t="s">
        <v>39</v>
      </c>
      <c r="C18" s="12" t="s">
        <v>14</v>
      </c>
      <c r="D18" s="12">
        <v>3.3729492440604751</v>
      </c>
      <c r="E18" s="12">
        <v>2.8499999999999996</v>
      </c>
      <c r="F18" s="12">
        <v>10</v>
      </c>
      <c r="G18" s="12">
        <v>2.8499999999999996</v>
      </c>
      <c r="H18" s="12">
        <v>4.4273356401384074</v>
      </c>
      <c r="I18" s="12" t="s">
        <v>61</v>
      </c>
      <c r="J18">
        <v>1</v>
      </c>
      <c r="K18" s="12">
        <v>46223</v>
      </c>
      <c r="L18">
        <v>46223</v>
      </c>
      <c r="O18">
        <f t="shared" si="0"/>
        <v>1.0543863960779323</v>
      </c>
      <c r="P18">
        <f t="shared" si="1"/>
        <v>-0.52294924406047549</v>
      </c>
    </row>
    <row r="19" spans="1:16" x14ac:dyDescent="0.25">
      <c r="A19" s="12" t="s">
        <v>63</v>
      </c>
      <c r="B19" s="12" t="s">
        <v>39</v>
      </c>
      <c r="C19" s="12" t="s">
        <v>13</v>
      </c>
      <c r="D19" s="12">
        <v>5.8323914011879046</v>
      </c>
      <c r="E19" s="12">
        <v>5.6999999999999993</v>
      </c>
      <c r="F19" s="12">
        <v>10</v>
      </c>
      <c r="G19" s="12">
        <v>5.6999999999999993</v>
      </c>
      <c r="H19" s="12">
        <v>4.2297794117647056</v>
      </c>
      <c r="I19" s="12" t="s">
        <v>62</v>
      </c>
      <c r="J19">
        <v>1</v>
      </c>
      <c r="K19" s="12">
        <v>46223</v>
      </c>
      <c r="L19">
        <v>46223</v>
      </c>
      <c r="O19">
        <f t="shared" si="0"/>
        <v>-1.6026119894231989</v>
      </c>
      <c r="P19">
        <f t="shared" si="1"/>
        <v>-0.13239140118790527</v>
      </c>
    </row>
    <row r="20" spans="1:16" x14ac:dyDescent="0.25">
      <c r="A20" s="12" t="s">
        <v>59</v>
      </c>
      <c r="B20" s="12" t="s">
        <v>38</v>
      </c>
      <c r="C20" s="12" t="s">
        <v>15</v>
      </c>
      <c r="D20" s="12">
        <v>4.2207252494765797</v>
      </c>
      <c r="E20" s="12">
        <v>0</v>
      </c>
      <c r="F20" s="12">
        <v>10</v>
      </c>
      <c r="G20" s="12">
        <v>0</v>
      </c>
      <c r="H20" s="12">
        <v>4.6875</v>
      </c>
      <c r="I20" s="12" t="s">
        <v>64</v>
      </c>
      <c r="K20" s="12">
        <v>46224</v>
      </c>
      <c r="L20">
        <v>46224</v>
      </c>
      <c r="O20">
        <f t="shared" si="0"/>
        <v>0.46677475052342032</v>
      </c>
      <c r="P20">
        <f t="shared" si="1"/>
        <v>-4.2207252494765797</v>
      </c>
    </row>
    <row r="21" spans="1:16" x14ac:dyDescent="0.25">
      <c r="A21" s="12" t="s">
        <v>59</v>
      </c>
      <c r="B21" s="12" t="s">
        <v>38</v>
      </c>
      <c r="C21" s="12" t="s">
        <v>13</v>
      </c>
      <c r="D21" s="12">
        <v>13.005109674949711</v>
      </c>
      <c r="E21" s="12">
        <v>1.9</v>
      </c>
      <c r="F21" s="12">
        <v>10</v>
      </c>
      <c r="G21" s="12">
        <v>1.9</v>
      </c>
      <c r="H21" s="12">
        <v>11.6875</v>
      </c>
      <c r="I21" s="12" t="s">
        <v>65</v>
      </c>
      <c r="K21" s="12">
        <v>46224</v>
      </c>
      <c r="L21">
        <v>46224</v>
      </c>
      <c r="O21">
        <f t="shared" si="0"/>
        <v>-1.3176096749497113</v>
      </c>
      <c r="P21">
        <f t="shared" si="1"/>
        <v>-11.105109674949711</v>
      </c>
    </row>
    <row r="22" spans="1:16" x14ac:dyDescent="0.25">
      <c r="A22" s="12" t="s">
        <v>59</v>
      </c>
      <c r="B22" s="12" t="s">
        <v>38</v>
      </c>
      <c r="C22" s="12" t="s">
        <v>14</v>
      </c>
      <c r="D22" s="12">
        <v>10.973885648639106</v>
      </c>
      <c r="E22" s="12">
        <v>2.8499999999999996</v>
      </c>
      <c r="F22" s="12">
        <v>10</v>
      </c>
      <c r="G22" s="12">
        <v>2.8499999999999996</v>
      </c>
      <c r="H22" s="12">
        <v>11.25</v>
      </c>
      <c r="I22" s="12" t="s">
        <v>66</v>
      </c>
      <c r="K22" s="12">
        <v>46224</v>
      </c>
      <c r="L22">
        <v>46224</v>
      </c>
      <c r="O22">
        <f t="shared" si="0"/>
        <v>0.27611435136089391</v>
      </c>
      <c r="P22">
        <f t="shared" si="1"/>
        <v>-8.1238856486391064</v>
      </c>
    </row>
    <row r="23" spans="1:16" x14ac:dyDescent="0.25">
      <c r="A23" s="12" t="s">
        <v>63</v>
      </c>
      <c r="B23" s="12" t="s">
        <v>38</v>
      </c>
      <c r="C23" s="12" t="s">
        <v>15</v>
      </c>
      <c r="D23" s="12">
        <v>4.2207252494765797</v>
      </c>
      <c r="E23" s="12">
        <v>0</v>
      </c>
      <c r="F23" s="12">
        <v>10</v>
      </c>
      <c r="G23" s="12">
        <v>0</v>
      </c>
      <c r="H23" s="12">
        <v>4.6875</v>
      </c>
      <c r="I23" s="12" t="s">
        <v>64</v>
      </c>
      <c r="J23">
        <v>1</v>
      </c>
      <c r="K23" s="12">
        <v>46224</v>
      </c>
      <c r="L23">
        <v>46224</v>
      </c>
      <c r="O23">
        <f t="shared" si="0"/>
        <v>0.46677475052342032</v>
      </c>
      <c r="P23">
        <f t="shared" si="1"/>
        <v>-4.2207252494765797</v>
      </c>
    </row>
    <row r="24" spans="1:16" x14ac:dyDescent="0.25">
      <c r="A24" s="12" t="s">
        <v>63</v>
      </c>
      <c r="B24" s="12" t="s">
        <v>38</v>
      </c>
      <c r="C24" s="12" t="s">
        <v>13</v>
      </c>
      <c r="D24" s="12">
        <v>13.005109674949711</v>
      </c>
      <c r="E24" s="12">
        <v>1.9</v>
      </c>
      <c r="F24" s="12">
        <v>10</v>
      </c>
      <c r="G24" s="12">
        <v>1.9</v>
      </c>
      <c r="H24" s="12">
        <v>11.6875</v>
      </c>
      <c r="I24" s="12" t="s">
        <v>65</v>
      </c>
      <c r="J24">
        <v>1</v>
      </c>
      <c r="K24" s="12">
        <v>46224</v>
      </c>
      <c r="L24">
        <v>46224</v>
      </c>
      <c r="O24">
        <f t="shared" si="0"/>
        <v>-1.3176096749497113</v>
      </c>
      <c r="P24">
        <f t="shared" si="1"/>
        <v>-11.105109674949711</v>
      </c>
    </row>
    <row r="25" spans="1:16" x14ac:dyDescent="0.25">
      <c r="A25" s="12" t="s">
        <v>63</v>
      </c>
      <c r="B25" s="12" t="s">
        <v>38</v>
      </c>
      <c r="C25" s="12" t="s">
        <v>14</v>
      </c>
      <c r="D25" s="12">
        <v>10.973885648639106</v>
      </c>
      <c r="E25" s="12">
        <v>2.8499999999999996</v>
      </c>
      <c r="F25" s="12">
        <v>10</v>
      </c>
      <c r="G25" s="12">
        <v>2.8499999999999996</v>
      </c>
      <c r="H25" s="12">
        <v>11.25</v>
      </c>
      <c r="I25" s="12" t="s">
        <v>66</v>
      </c>
      <c r="J25">
        <v>1</v>
      </c>
      <c r="K25" s="12">
        <v>46224</v>
      </c>
      <c r="L25">
        <v>46224</v>
      </c>
      <c r="O25">
        <f t="shared" si="0"/>
        <v>0.27611435136089391</v>
      </c>
      <c r="P25">
        <f t="shared" si="1"/>
        <v>-8.1238856486391064</v>
      </c>
    </row>
    <row r="26" spans="1:16" x14ac:dyDescent="0.25">
      <c r="A26" s="12" t="s">
        <v>59</v>
      </c>
      <c r="B26" s="12" t="s">
        <v>40</v>
      </c>
      <c r="C26" s="12" t="s">
        <v>14</v>
      </c>
      <c r="D26" s="12">
        <v>3.2276134260703255</v>
      </c>
      <c r="E26" s="12">
        <v>3.8</v>
      </c>
      <c r="F26" s="12">
        <v>10</v>
      </c>
      <c r="G26" s="12">
        <v>3.8</v>
      </c>
      <c r="H26" s="12">
        <v>4.4063272367770638</v>
      </c>
      <c r="I26" s="12" t="s">
        <v>66</v>
      </c>
      <c r="K26" s="12">
        <v>46224</v>
      </c>
      <c r="L26">
        <v>46224</v>
      </c>
      <c r="O26">
        <f t="shared" si="0"/>
        <v>1.1787138107067383</v>
      </c>
      <c r="P26">
        <f t="shared" si="1"/>
        <v>0.57238657392967429</v>
      </c>
    </row>
    <row r="27" spans="1:16" x14ac:dyDescent="0.25">
      <c r="A27" s="12" t="s">
        <v>59</v>
      </c>
      <c r="B27" s="12" t="s">
        <v>40</v>
      </c>
      <c r="C27" s="12" t="s">
        <v>15</v>
      </c>
      <c r="D27" s="12">
        <v>0</v>
      </c>
      <c r="E27" s="12">
        <v>0.95</v>
      </c>
      <c r="F27" s="12">
        <v>10</v>
      </c>
      <c r="G27" s="12">
        <v>0.95</v>
      </c>
      <c r="H27" s="12">
        <v>0</v>
      </c>
      <c r="I27" s="12" t="s">
        <v>64</v>
      </c>
      <c r="K27" s="12">
        <v>46224</v>
      </c>
      <c r="L27">
        <v>46224</v>
      </c>
      <c r="O27">
        <f t="shared" si="0"/>
        <v>0</v>
      </c>
      <c r="P27">
        <f t="shared" si="1"/>
        <v>0.95</v>
      </c>
    </row>
    <row r="28" spans="1:16" x14ac:dyDescent="0.25">
      <c r="A28" s="12" t="s">
        <v>59</v>
      </c>
      <c r="B28" s="12" t="s">
        <v>40</v>
      </c>
      <c r="C28" s="12" t="s">
        <v>13</v>
      </c>
      <c r="D28" s="12">
        <v>3.587616462055093</v>
      </c>
      <c r="E28" s="12">
        <v>4.75</v>
      </c>
      <c r="F28" s="12">
        <v>10</v>
      </c>
      <c r="G28" s="12">
        <v>4.75</v>
      </c>
      <c r="H28" s="12">
        <v>4.8182773109243673</v>
      </c>
      <c r="I28" s="12" t="s">
        <v>65</v>
      </c>
      <c r="K28" s="12">
        <v>46224</v>
      </c>
      <c r="L28">
        <v>46224</v>
      </c>
      <c r="O28">
        <f t="shared" si="0"/>
        <v>1.2306608488692743</v>
      </c>
      <c r="P28">
        <f t="shared" si="1"/>
        <v>1.162383537944907</v>
      </c>
    </row>
    <row r="29" spans="1:16" x14ac:dyDescent="0.25">
      <c r="A29" s="12" t="s">
        <v>63</v>
      </c>
      <c r="B29" s="12" t="s">
        <v>40</v>
      </c>
      <c r="C29" s="12" t="s">
        <v>14</v>
      </c>
      <c r="D29" s="12">
        <v>3.2276134260703255</v>
      </c>
      <c r="E29" s="12">
        <v>3.8</v>
      </c>
      <c r="F29" s="12">
        <v>10</v>
      </c>
      <c r="G29" s="12">
        <v>3.8</v>
      </c>
      <c r="H29" s="12">
        <v>4.4063272367770638</v>
      </c>
      <c r="I29" s="12" t="s">
        <v>66</v>
      </c>
      <c r="J29">
        <v>1</v>
      </c>
      <c r="K29" s="12">
        <v>46224</v>
      </c>
      <c r="L29">
        <v>46224</v>
      </c>
      <c r="O29">
        <f t="shared" si="0"/>
        <v>1.1787138107067383</v>
      </c>
      <c r="P29">
        <f t="shared" si="1"/>
        <v>0.57238657392967429</v>
      </c>
    </row>
    <row r="30" spans="1:16" x14ac:dyDescent="0.25">
      <c r="A30" s="12" t="s">
        <v>63</v>
      </c>
      <c r="B30" s="12" t="s">
        <v>40</v>
      </c>
      <c r="C30" s="12" t="s">
        <v>15</v>
      </c>
      <c r="D30" s="12">
        <v>0</v>
      </c>
      <c r="E30" s="12">
        <v>0.95</v>
      </c>
      <c r="F30" s="12">
        <v>10</v>
      </c>
      <c r="G30" s="12">
        <v>0.95</v>
      </c>
      <c r="H30" s="12">
        <v>0</v>
      </c>
      <c r="I30" s="12" t="s">
        <v>64</v>
      </c>
      <c r="J30">
        <v>1</v>
      </c>
      <c r="K30" s="12">
        <v>46224</v>
      </c>
      <c r="L30">
        <v>46224</v>
      </c>
      <c r="O30">
        <f t="shared" si="0"/>
        <v>0</v>
      </c>
      <c r="P30">
        <f t="shared" si="1"/>
        <v>0.95</v>
      </c>
    </row>
    <row r="31" spans="1:16" x14ac:dyDescent="0.25">
      <c r="A31" s="12" t="s">
        <v>63</v>
      </c>
      <c r="B31" s="12" t="s">
        <v>40</v>
      </c>
      <c r="C31" s="12" t="s">
        <v>13</v>
      </c>
      <c r="D31" s="12">
        <v>3.587616462055093</v>
      </c>
      <c r="E31" s="12">
        <v>4.75</v>
      </c>
      <c r="F31" s="12">
        <v>10</v>
      </c>
      <c r="G31" s="12">
        <v>4.75</v>
      </c>
      <c r="H31" s="12">
        <v>4.8182773109243673</v>
      </c>
      <c r="I31" s="12" t="s">
        <v>65</v>
      </c>
      <c r="J31">
        <v>1</v>
      </c>
      <c r="K31" s="12">
        <v>46224</v>
      </c>
      <c r="L31">
        <v>46224</v>
      </c>
      <c r="O31">
        <f t="shared" si="0"/>
        <v>1.2306608488692743</v>
      </c>
      <c r="P31">
        <f t="shared" si="1"/>
        <v>1.162383537944907</v>
      </c>
    </row>
    <row r="32" spans="1:16" x14ac:dyDescent="0.25">
      <c r="A32" s="12" t="s">
        <v>59</v>
      </c>
      <c r="B32" s="12" t="s">
        <v>39</v>
      </c>
      <c r="C32" s="12" t="s">
        <v>13</v>
      </c>
      <c r="D32" s="12">
        <v>5.8323914011879054</v>
      </c>
      <c r="E32" s="12">
        <v>5.6999999999999993</v>
      </c>
      <c r="F32" s="12">
        <v>10</v>
      </c>
      <c r="G32" s="12">
        <v>5.6999999999999993</v>
      </c>
      <c r="H32" s="12">
        <v>4.2886029411764692</v>
      </c>
      <c r="I32" s="12" t="s">
        <v>65</v>
      </c>
      <c r="K32" s="12">
        <v>46224</v>
      </c>
      <c r="L32">
        <v>46224</v>
      </c>
      <c r="O32">
        <f t="shared" si="0"/>
        <v>-1.5437884600114362</v>
      </c>
      <c r="P32">
        <f t="shared" si="1"/>
        <v>-0.13239140118790615</v>
      </c>
    </row>
    <row r="33" spans="1:16" x14ac:dyDescent="0.25">
      <c r="A33" s="12" t="s">
        <v>59</v>
      </c>
      <c r="B33" s="12" t="s">
        <v>39</v>
      </c>
      <c r="C33" s="12" t="s">
        <v>14</v>
      </c>
      <c r="D33" s="12">
        <v>3.3729492440604751</v>
      </c>
      <c r="E33" s="12">
        <v>0.95</v>
      </c>
      <c r="F33" s="12">
        <v>10</v>
      </c>
      <c r="G33" s="12">
        <v>0.95</v>
      </c>
      <c r="H33" s="12">
        <v>3.4861591695501715</v>
      </c>
      <c r="I33" s="12" t="s">
        <v>66</v>
      </c>
      <c r="K33" s="12">
        <v>46224</v>
      </c>
      <c r="L33">
        <v>46224</v>
      </c>
      <c r="O33">
        <f t="shared" si="0"/>
        <v>0.11320992548969633</v>
      </c>
      <c r="P33">
        <f t="shared" si="1"/>
        <v>-2.422949244060475</v>
      </c>
    </row>
    <row r="34" spans="1:16" x14ac:dyDescent="0.25">
      <c r="A34" s="12" t="s">
        <v>59</v>
      </c>
      <c r="B34" s="12" t="s">
        <v>39</v>
      </c>
      <c r="C34" s="12" t="s">
        <v>15</v>
      </c>
      <c r="D34" s="12">
        <v>1.2742252699784016</v>
      </c>
      <c r="E34" s="12">
        <v>0</v>
      </c>
      <c r="F34" s="12">
        <v>10</v>
      </c>
      <c r="G34" s="12">
        <v>0</v>
      </c>
      <c r="H34" s="12">
        <v>0.94117647058823517</v>
      </c>
      <c r="I34" s="12" t="s">
        <v>64</v>
      </c>
      <c r="K34" s="12">
        <v>46224</v>
      </c>
      <c r="L34">
        <v>46224</v>
      </c>
      <c r="O34">
        <f t="shared" si="0"/>
        <v>-0.33304879939016641</v>
      </c>
      <c r="P34">
        <f t="shared" si="1"/>
        <v>-1.2742252699784016</v>
      </c>
    </row>
    <row r="35" spans="1:16" x14ac:dyDescent="0.25">
      <c r="A35" s="12" t="s">
        <v>63</v>
      </c>
      <c r="B35" s="12" t="s">
        <v>39</v>
      </c>
      <c r="C35" s="12" t="s">
        <v>13</v>
      </c>
      <c r="D35" s="12">
        <v>5.8323914011879054</v>
      </c>
      <c r="E35" s="12">
        <v>5.6999999999999993</v>
      </c>
      <c r="F35" s="12">
        <v>10</v>
      </c>
      <c r="G35" s="12">
        <v>5.6999999999999993</v>
      </c>
      <c r="H35" s="12">
        <v>4.2886029411764692</v>
      </c>
      <c r="I35" s="12" t="s">
        <v>65</v>
      </c>
      <c r="J35">
        <v>1</v>
      </c>
      <c r="K35" s="12">
        <v>46224</v>
      </c>
      <c r="L35">
        <v>46224</v>
      </c>
      <c r="O35">
        <f t="shared" si="0"/>
        <v>-1.5437884600114362</v>
      </c>
      <c r="P35">
        <f t="shared" si="1"/>
        <v>-0.13239140118790615</v>
      </c>
    </row>
    <row r="36" spans="1:16" x14ac:dyDescent="0.25">
      <c r="A36" s="12" t="s">
        <v>63</v>
      </c>
      <c r="B36" s="12" t="s">
        <v>39</v>
      </c>
      <c r="C36" s="12" t="s">
        <v>14</v>
      </c>
      <c r="D36" s="12">
        <v>3.3729492440604751</v>
      </c>
      <c r="E36" s="12">
        <v>0.95</v>
      </c>
      <c r="F36" s="12">
        <v>10</v>
      </c>
      <c r="G36" s="12">
        <v>0.95</v>
      </c>
      <c r="H36" s="12">
        <v>3.4861591695501715</v>
      </c>
      <c r="I36" s="12" t="s">
        <v>66</v>
      </c>
      <c r="J36">
        <v>1</v>
      </c>
      <c r="K36" s="12">
        <v>46224</v>
      </c>
      <c r="L36">
        <v>46224</v>
      </c>
      <c r="O36">
        <f t="shared" si="0"/>
        <v>0.11320992548969633</v>
      </c>
      <c r="P36">
        <f t="shared" si="1"/>
        <v>-2.422949244060475</v>
      </c>
    </row>
    <row r="37" spans="1:16" x14ac:dyDescent="0.25">
      <c r="A37" s="12" t="s">
        <v>63</v>
      </c>
      <c r="B37" s="12" t="s">
        <v>39</v>
      </c>
      <c r="C37" s="12" t="s">
        <v>15</v>
      </c>
      <c r="D37" s="12">
        <v>1.2742252699784016</v>
      </c>
      <c r="E37" s="12">
        <v>0</v>
      </c>
      <c r="F37" s="12">
        <v>10</v>
      </c>
      <c r="G37" s="12">
        <v>0</v>
      </c>
      <c r="H37" s="12">
        <v>0.94117647058823517</v>
      </c>
      <c r="I37" s="12" t="s">
        <v>64</v>
      </c>
      <c r="J37">
        <v>1</v>
      </c>
      <c r="K37" s="12">
        <v>46224</v>
      </c>
      <c r="L37">
        <v>46224</v>
      </c>
      <c r="O37">
        <f t="shared" si="0"/>
        <v>-0.33304879939016641</v>
      </c>
      <c r="P37">
        <f t="shared" si="1"/>
        <v>-1.2742252699784016</v>
      </c>
    </row>
    <row r="38" spans="1:16" x14ac:dyDescent="0.25">
      <c r="A38" s="12" t="s">
        <v>59</v>
      </c>
      <c r="B38" s="12" t="s">
        <v>38</v>
      </c>
      <c r="C38" s="12" t="s">
        <v>13</v>
      </c>
      <c r="D38" s="12">
        <v>12.583037150002054</v>
      </c>
      <c r="E38" s="12">
        <v>2.8499999999999996</v>
      </c>
      <c r="F38" s="12">
        <v>10</v>
      </c>
      <c r="G38" s="12">
        <v>2.8499999999999996</v>
      </c>
      <c r="H38" s="12">
        <v>11.496323529411764</v>
      </c>
      <c r="I38" s="12" t="s">
        <v>67</v>
      </c>
      <c r="K38" s="12">
        <v>46225</v>
      </c>
      <c r="L38">
        <v>46225</v>
      </c>
      <c r="O38">
        <f t="shared" si="0"/>
        <v>-1.0867136205902899</v>
      </c>
      <c r="P38">
        <f t="shared" si="1"/>
        <v>-9.7330371500020547</v>
      </c>
    </row>
    <row r="39" spans="1:16" x14ac:dyDescent="0.25">
      <c r="A39" s="12" t="s">
        <v>59</v>
      </c>
      <c r="B39" s="12" t="s">
        <v>38</v>
      </c>
      <c r="C39" s="12" t="s">
        <v>14</v>
      </c>
      <c r="D39" s="12">
        <v>10.815608451783737</v>
      </c>
      <c r="E39" s="12">
        <v>0.95</v>
      </c>
      <c r="F39" s="12">
        <v>10</v>
      </c>
      <c r="G39" s="12">
        <v>0.95</v>
      </c>
      <c r="H39" s="12">
        <v>11.244747899159664</v>
      </c>
      <c r="I39" s="12" t="s">
        <v>68</v>
      </c>
      <c r="K39" s="12">
        <v>46225</v>
      </c>
      <c r="L39">
        <v>46225</v>
      </c>
      <c r="O39">
        <f t="shared" si="0"/>
        <v>0.42913944737592757</v>
      </c>
      <c r="P39">
        <f t="shared" si="1"/>
        <v>-9.8656084517837375</v>
      </c>
    </row>
    <row r="40" spans="1:16" x14ac:dyDescent="0.25">
      <c r="A40" s="12" t="s">
        <v>59</v>
      </c>
      <c r="B40" s="12" t="s">
        <v>38</v>
      </c>
      <c r="C40" s="12" t="s">
        <v>15</v>
      </c>
      <c r="D40" s="12">
        <v>4.2207252494765788</v>
      </c>
      <c r="E40" s="12">
        <v>2.8499999999999996</v>
      </c>
      <c r="F40" s="12">
        <v>10</v>
      </c>
      <c r="G40" s="12">
        <v>2.8499999999999996</v>
      </c>
      <c r="H40" s="12">
        <v>4.5044642857142865</v>
      </c>
      <c r="I40" s="12" t="s">
        <v>69</v>
      </c>
      <c r="K40" s="12">
        <v>46225</v>
      </c>
      <c r="L40">
        <v>46225</v>
      </c>
      <c r="O40">
        <f t="shared" si="0"/>
        <v>0.28373903623770769</v>
      </c>
      <c r="P40">
        <f t="shared" si="1"/>
        <v>-1.3707252494765791</v>
      </c>
    </row>
    <row r="41" spans="1:16" x14ac:dyDescent="0.25">
      <c r="A41" s="12" t="s">
        <v>63</v>
      </c>
      <c r="B41" s="12" t="s">
        <v>38</v>
      </c>
      <c r="C41" s="12" t="s">
        <v>13</v>
      </c>
      <c r="D41" s="12">
        <v>12.583037150002054</v>
      </c>
      <c r="E41" s="12">
        <v>2.8499999999999996</v>
      </c>
      <c r="F41" s="12">
        <v>10</v>
      </c>
      <c r="G41" s="12">
        <v>2.8499999999999996</v>
      </c>
      <c r="H41" s="12">
        <v>11.496323529411764</v>
      </c>
      <c r="I41" s="12" t="s">
        <v>67</v>
      </c>
      <c r="J41">
        <v>1</v>
      </c>
      <c r="K41" s="12">
        <v>46225</v>
      </c>
      <c r="L41">
        <v>46225</v>
      </c>
      <c r="O41">
        <f t="shared" si="0"/>
        <v>-1.0867136205902899</v>
      </c>
      <c r="P41">
        <f t="shared" si="1"/>
        <v>-9.7330371500020547</v>
      </c>
    </row>
    <row r="42" spans="1:16" x14ac:dyDescent="0.25">
      <c r="A42" s="12" t="s">
        <v>63</v>
      </c>
      <c r="B42" s="12" t="s">
        <v>38</v>
      </c>
      <c r="C42" s="12" t="s">
        <v>14</v>
      </c>
      <c r="D42" s="12">
        <v>10.815608451783737</v>
      </c>
      <c r="E42" s="12">
        <v>0.95</v>
      </c>
      <c r="F42" s="12">
        <v>10</v>
      </c>
      <c r="G42" s="12">
        <v>0.95</v>
      </c>
      <c r="H42" s="12">
        <v>11.244747899159664</v>
      </c>
      <c r="I42" s="12" t="s">
        <v>68</v>
      </c>
      <c r="J42">
        <v>1</v>
      </c>
      <c r="K42" s="12">
        <v>46225</v>
      </c>
      <c r="L42">
        <v>46225</v>
      </c>
      <c r="O42">
        <f t="shared" si="0"/>
        <v>0.42913944737592757</v>
      </c>
      <c r="P42">
        <f t="shared" si="1"/>
        <v>-9.8656084517837375</v>
      </c>
    </row>
    <row r="43" spans="1:16" x14ac:dyDescent="0.25">
      <c r="A43" s="12" t="s">
        <v>63</v>
      </c>
      <c r="B43" s="12" t="s">
        <v>38</v>
      </c>
      <c r="C43" s="12" t="s">
        <v>15</v>
      </c>
      <c r="D43" s="12">
        <v>4.2207252494765788</v>
      </c>
      <c r="E43" s="12">
        <v>2.8499999999999996</v>
      </c>
      <c r="F43" s="12">
        <v>10</v>
      </c>
      <c r="G43" s="12">
        <v>2.8499999999999996</v>
      </c>
      <c r="H43" s="12">
        <v>4.5044642857142865</v>
      </c>
      <c r="I43" s="12" t="s">
        <v>69</v>
      </c>
      <c r="J43">
        <v>1</v>
      </c>
      <c r="K43" s="12">
        <v>46225</v>
      </c>
      <c r="L43">
        <v>46225</v>
      </c>
      <c r="O43" t="e">
        <f>#REF!-#REF!</f>
        <v>#REF!</v>
      </c>
      <c r="P43" t="e">
        <f>#REF!-#REF!</f>
        <v>#REF!</v>
      </c>
    </row>
    <row r="44" spans="1:16" x14ac:dyDescent="0.25">
      <c r="A44" s="12" t="s">
        <v>59</v>
      </c>
      <c r="B44" s="12" t="s">
        <v>40</v>
      </c>
      <c r="C44" s="12" t="s">
        <v>13</v>
      </c>
      <c r="D44" s="12">
        <v>3.587616462055093</v>
      </c>
      <c r="E44" s="12">
        <v>3.8</v>
      </c>
      <c r="F44" s="12">
        <v>10</v>
      </c>
      <c r="G44" s="12">
        <v>3.8</v>
      </c>
      <c r="H44" s="12">
        <v>4.7022058823529402</v>
      </c>
      <c r="I44" s="12" t="s">
        <v>67</v>
      </c>
      <c r="K44" s="12">
        <v>46225</v>
      </c>
      <c r="L44">
        <v>46225</v>
      </c>
      <c r="O44">
        <f>H505-D505</f>
        <v>-0.57231232530809262</v>
      </c>
      <c r="P44">
        <f>E505-D505</f>
        <v>-3.5134887958963272</v>
      </c>
    </row>
    <row r="45" spans="1:16" x14ac:dyDescent="0.25">
      <c r="A45" s="12" t="s">
        <v>59</v>
      </c>
      <c r="B45" s="12" t="s">
        <v>40</v>
      </c>
      <c r="C45" s="12" t="s">
        <v>15</v>
      </c>
      <c r="D45" s="12">
        <v>0</v>
      </c>
      <c r="E45" s="12">
        <v>0</v>
      </c>
      <c r="F45" s="12">
        <v>10</v>
      </c>
      <c r="G45" s="12">
        <v>0</v>
      </c>
      <c r="H45" s="12">
        <v>0</v>
      </c>
      <c r="I45" s="12" t="s">
        <v>69</v>
      </c>
      <c r="K45" s="12">
        <v>46225</v>
      </c>
      <c r="L45">
        <v>46225</v>
      </c>
    </row>
    <row r="46" spans="1:16" x14ac:dyDescent="0.25">
      <c r="A46" s="12" t="s">
        <v>59</v>
      </c>
      <c r="B46" s="12" t="s">
        <v>40</v>
      </c>
      <c r="C46" s="12" t="s">
        <v>14</v>
      </c>
      <c r="D46" s="12">
        <v>3.1779578349000128</v>
      </c>
      <c r="E46" s="12">
        <v>2.8499999999999996</v>
      </c>
      <c r="F46" s="12">
        <v>10</v>
      </c>
      <c r="G46" s="12">
        <v>2.8499999999999996</v>
      </c>
      <c r="H46" s="12">
        <v>4.6332179930795849</v>
      </c>
      <c r="I46" s="12" t="s">
        <v>68</v>
      </c>
      <c r="K46" s="12">
        <v>46225</v>
      </c>
      <c r="L46">
        <v>46225</v>
      </c>
    </row>
    <row r="47" spans="1:16" x14ac:dyDescent="0.25">
      <c r="A47" s="12" t="s">
        <v>63</v>
      </c>
      <c r="B47" s="12" t="s">
        <v>40</v>
      </c>
      <c r="C47" s="12" t="s">
        <v>13</v>
      </c>
      <c r="D47" s="12">
        <v>3.587616462055093</v>
      </c>
      <c r="E47" s="12">
        <v>3.8</v>
      </c>
      <c r="F47" s="12">
        <v>10</v>
      </c>
      <c r="G47" s="12">
        <v>3.8</v>
      </c>
      <c r="H47" s="12">
        <v>4.7022058823529402</v>
      </c>
      <c r="I47" s="12" t="s">
        <v>67</v>
      </c>
      <c r="J47">
        <v>1</v>
      </c>
      <c r="K47" s="12">
        <v>46225</v>
      </c>
      <c r="L47">
        <v>46225</v>
      </c>
    </row>
    <row r="48" spans="1:16" x14ac:dyDescent="0.25">
      <c r="A48" s="12" t="s">
        <v>63</v>
      </c>
      <c r="B48" s="12" t="s">
        <v>40</v>
      </c>
      <c r="C48" s="12" t="s">
        <v>15</v>
      </c>
      <c r="D48" s="12">
        <v>0</v>
      </c>
      <c r="E48" s="12">
        <v>0</v>
      </c>
      <c r="F48" s="12">
        <v>10</v>
      </c>
      <c r="G48" s="12">
        <v>0</v>
      </c>
      <c r="H48" s="12">
        <v>0</v>
      </c>
      <c r="I48" s="12" t="s">
        <v>69</v>
      </c>
      <c r="J48">
        <v>1</v>
      </c>
      <c r="K48" s="12">
        <v>46225</v>
      </c>
      <c r="L48">
        <v>46225</v>
      </c>
    </row>
    <row r="49" spans="1:12" x14ac:dyDescent="0.25">
      <c r="A49" s="12" t="s">
        <v>63</v>
      </c>
      <c r="B49" s="12" t="s">
        <v>40</v>
      </c>
      <c r="C49" s="12" t="s">
        <v>14</v>
      </c>
      <c r="D49" s="12">
        <v>3.1779578349000128</v>
      </c>
      <c r="E49" s="12">
        <v>2.8499999999999996</v>
      </c>
      <c r="F49" s="12">
        <v>10</v>
      </c>
      <c r="G49" s="12">
        <v>2.8499999999999996</v>
      </c>
      <c r="H49" s="12">
        <v>4.6332179930795849</v>
      </c>
      <c r="I49" s="12" t="s">
        <v>68</v>
      </c>
      <c r="J49">
        <v>1</v>
      </c>
      <c r="K49" s="12">
        <v>46225</v>
      </c>
      <c r="L49">
        <v>46225</v>
      </c>
    </row>
    <row r="50" spans="1:12" x14ac:dyDescent="0.25">
      <c r="A50" s="12" t="s">
        <v>59</v>
      </c>
      <c r="B50" s="12" t="s">
        <v>39</v>
      </c>
      <c r="C50" s="12" t="s">
        <v>14</v>
      </c>
      <c r="D50" s="12">
        <v>3.902039321560157</v>
      </c>
      <c r="E50" s="12">
        <v>4.75</v>
      </c>
      <c r="F50" s="12">
        <v>10</v>
      </c>
      <c r="G50" s="12">
        <v>4.75</v>
      </c>
      <c r="H50" s="12">
        <v>3.8019031141868487</v>
      </c>
      <c r="I50" s="12" t="s">
        <v>68</v>
      </c>
      <c r="K50" s="12">
        <v>46225</v>
      </c>
      <c r="L50">
        <v>46225</v>
      </c>
    </row>
    <row r="51" spans="1:12" x14ac:dyDescent="0.25">
      <c r="A51" s="12" t="s">
        <v>59</v>
      </c>
      <c r="B51" s="12" t="s">
        <v>39</v>
      </c>
      <c r="C51" s="12" t="s">
        <v>15</v>
      </c>
      <c r="D51" s="12">
        <v>1.2742252699784016</v>
      </c>
      <c r="E51" s="12">
        <v>0</v>
      </c>
      <c r="F51" s="12">
        <v>10</v>
      </c>
      <c r="G51" s="12">
        <v>0</v>
      </c>
      <c r="H51" s="12">
        <v>0.94117647058823517</v>
      </c>
      <c r="I51" s="12" t="s">
        <v>69</v>
      </c>
      <c r="K51" s="12">
        <v>46225</v>
      </c>
      <c r="L51">
        <v>46225</v>
      </c>
    </row>
    <row r="52" spans="1:12" x14ac:dyDescent="0.25">
      <c r="A52" s="12" t="s">
        <v>59</v>
      </c>
      <c r="B52" s="12" t="s">
        <v>39</v>
      </c>
      <c r="C52" s="12" t="s">
        <v>13</v>
      </c>
      <c r="D52" s="12">
        <v>4.6378052105831538</v>
      </c>
      <c r="E52" s="12">
        <v>3.8</v>
      </c>
      <c r="F52" s="12">
        <v>10</v>
      </c>
      <c r="G52" s="12">
        <v>3.8</v>
      </c>
      <c r="H52" s="12">
        <v>2.7656250000000009</v>
      </c>
      <c r="I52" s="12" t="s">
        <v>67</v>
      </c>
      <c r="K52" s="12">
        <v>46225</v>
      </c>
      <c r="L52">
        <v>46225</v>
      </c>
    </row>
    <row r="53" spans="1:12" x14ac:dyDescent="0.25">
      <c r="A53" s="12" t="s">
        <v>63</v>
      </c>
      <c r="B53" s="12" t="s">
        <v>39</v>
      </c>
      <c r="C53" s="12" t="s">
        <v>14</v>
      </c>
      <c r="D53" s="12">
        <v>3.902039321560157</v>
      </c>
      <c r="E53" s="12">
        <v>4.75</v>
      </c>
      <c r="F53" s="12">
        <v>10</v>
      </c>
      <c r="G53" s="12">
        <v>4.75</v>
      </c>
      <c r="H53" s="12">
        <v>3.8019031141868487</v>
      </c>
      <c r="I53" s="12" t="s">
        <v>68</v>
      </c>
      <c r="J53">
        <v>1</v>
      </c>
      <c r="K53" s="12">
        <v>46225</v>
      </c>
      <c r="L53">
        <v>46225</v>
      </c>
    </row>
    <row r="54" spans="1:12" x14ac:dyDescent="0.25">
      <c r="A54" s="12" t="s">
        <v>63</v>
      </c>
      <c r="B54" s="12" t="s">
        <v>39</v>
      </c>
      <c r="C54" s="12" t="s">
        <v>15</v>
      </c>
      <c r="D54" s="12">
        <v>1.2742252699784016</v>
      </c>
      <c r="E54" s="12">
        <v>0</v>
      </c>
      <c r="F54" s="12">
        <v>10</v>
      </c>
      <c r="G54" s="12">
        <v>0</v>
      </c>
      <c r="H54" s="12">
        <v>0.94117647058823517</v>
      </c>
      <c r="I54" s="12" t="s">
        <v>69</v>
      </c>
      <c r="J54">
        <v>1</v>
      </c>
      <c r="K54" s="12">
        <v>46225</v>
      </c>
      <c r="L54">
        <v>46225</v>
      </c>
    </row>
    <row r="55" spans="1:12" x14ac:dyDescent="0.25">
      <c r="A55" s="12" t="s">
        <v>63</v>
      </c>
      <c r="B55" s="12" t="s">
        <v>39</v>
      </c>
      <c r="C55" s="12" t="s">
        <v>13</v>
      </c>
      <c r="D55" s="12">
        <v>4.6378052105831538</v>
      </c>
      <c r="E55" s="12">
        <v>3.8</v>
      </c>
      <c r="F55" s="12">
        <v>10</v>
      </c>
      <c r="G55" s="12">
        <v>3.8</v>
      </c>
      <c r="H55" s="12">
        <v>2.7656250000000009</v>
      </c>
      <c r="I55" s="12" t="s">
        <v>67</v>
      </c>
      <c r="J55">
        <v>1</v>
      </c>
      <c r="K55" s="12">
        <v>46225</v>
      </c>
      <c r="L55">
        <v>46225</v>
      </c>
    </row>
    <row r="56" spans="1:12" x14ac:dyDescent="0.25">
      <c r="A56" s="12" t="s">
        <v>59</v>
      </c>
      <c r="B56" s="12" t="s">
        <v>38</v>
      </c>
      <c r="C56" s="12" t="s">
        <v>14</v>
      </c>
      <c r="D56" s="12">
        <v>10.973885648639106</v>
      </c>
      <c r="E56" s="12">
        <v>0</v>
      </c>
      <c r="F56" s="12">
        <v>10</v>
      </c>
      <c r="G56" s="12">
        <v>0</v>
      </c>
      <c r="H56" s="12">
        <v>10.3125</v>
      </c>
      <c r="I56" s="12" t="s">
        <v>70</v>
      </c>
      <c r="K56" s="12">
        <v>46226</v>
      </c>
      <c r="L56">
        <v>46226</v>
      </c>
    </row>
    <row r="57" spans="1:12" x14ac:dyDescent="0.25">
      <c r="A57" s="12" t="s">
        <v>59</v>
      </c>
      <c r="B57" s="12" t="s">
        <v>38</v>
      </c>
      <c r="C57" s="12" t="s">
        <v>13</v>
      </c>
      <c r="D57" s="12">
        <v>11.738892100106735</v>
      </c>
      <c r="E57" s="12">
        <v>5.6999999999999993</v>
      </c>
      <c r="F57" s="12">
        <v>10</v>
      </c>
      <c r="G57" s="12">
        <v>5.6999999999999993</v>
      </c>
      <c r="H57" s="12">
        <v>10.59375</v>
      </c>
      <c r="I57" s="12" t="s">
        <v>71</v>
      </c>
      <c r="K57" s="12">
        <v>46226</v>
      </c>
      <c r="L57">
        <v>46226</v>
      </c>
    </row>
    <row r="58" spans="1:12" x14ac:dyDescent="0.25">
      <c r="A58" s="12" t="s">
        <v>59</v>
      </c>
      <c r="B58" s="12" t="s">
        <v>38</v>
      </c>
      <c r="C58" s="12" t="s">
        <v>15</v>
      </c>
      <c r="D58" s="12">
        <v>4.2207252494765797</v>
      </c>
      <c r="E58" s="12">
        <v>0.95</v>
      </c>
      <c r="F58" s="12">
        <v>10</v>
      </c>
      <c r="G58" s="12">
        <v>0.95</v>
      </c>
      <c r="H58" s="12">
        <v>2.8125</v>
      </c>
      <c r="I58" s="12" t="s">
        <v>72</v>
      </c>
      <c r="K58" s="12">
        <v>46226</v>
      </c>
      <c r="L58">
        <v>46226</v>
      </c>
    </row>
    <row r="59" spans="1:12" x14ac:dyDescent="0.25">
      <c r="A59" s="12" t="s">
        <v>63</v>
      </c>
      <c r="B59" s="12" t="s">
        <v>38</v>
      </c>
      <c r="C59" s="12" t="s">
        <v>14</v>
      </c>
      <c r="D59" s="12">
        <v>10.973885648639106</v>
      </c>
      <c r="E59" s="12">
        <v>0</v>
      </c>
      <c r="F59" s="12">
        <v>10</v>
      </c>
      <c r="G59" s="12">
        <v>0</v>
      </c>
      <c r="H59" s="12">
        <v>10.3125</v>
      </c>
      <c r="I59" s="12" t="s">
        <v>70</v>
      </c>
      <c r="J59">
        <v>1</v>
      </c>
      <c r="K59" s="12">
        <v>46226</v>
      </c>
      <c r="L59">
        <v>46226</v>
      </c>
    </row>
    <row r="60" spans="1:12" x14ac:dyDescent="0.25">
      <c r="A60" s="12" t="s">
        <v>63</v>
      </c>
      <c r="B60" s="12" t="s">
        <v>38</v>
      </c>
      <c r="C60" s="12" t="s">
        <v>13</v>
      </c>
      <c r="D60" s="12">
        <v>11.738892100106735</v>
      </c>
      <c r="E60" s="12">
        <v>5.6999999999999993</v>
      </c>
      <c r="F60" s="12">
        <v>10</v>
      </c>
      <c r="G60" s="12">
        <v>5.6999999999999993</v>
      </c>
      <c r="H60" s="12">
        <v>10.59375</v>
      </c>
      <c r="I60" s="12" t="s">
        <v>71</v>
      </c>
      <c r="J60">
        <v>1</v>
      </c>
      <c r="K60" s="12">
        <v>46226</v>
      </c>
      <c r="L60">
        <v>46226</v>
      </c>
    </row>
    <row r="61" spans="1:12" x14ac:dyDescent="0.25">
      <c r="A61" s="12" t="s">
        <v>63</v>
      </c>
      <c r="B61" s="12" t="s">
        <v>38</v>
      </c>
      <c r="C61" s="12" t="s">
        <v>15</v>
      </c>
      <c r="D61" s="12">
        <v>4.2207252494765797</v>
      </c>
      <c r="E61" s="12">
        <v>0.95</v>
      </c>
      <c r="F61" s="12">
        <v>10</v>
      </c>
      <c r="G61" s="12">
        <v>0.95</v>
      </c>
      <c r="H61" s="12">
        <v>2.8125</v>
      </c>
      <c r="I61" s="12" t="s">
        <v>72</v>
      </c>
      <c r="J61">
        <v>1</v>
      </c>
      <c r="K61" s="12">
        <v>46226</v>
      </c>
      <c r="L61">
        <v>46226</v>
      </c>
    </row>
    <row r="62" spans="1:12" x14ac:dyDescent="0.25">
      <c r="A62" s="12" t="s">
        <v>59</v>
      </c>
      <c r="B62" s="12" t="s">
        <v>40</v>
      </c>
      <c r="C62" s="12" t="s">
        <v>15</v>
      </c>
      <c r="D62" s="12">
        <v>0</v>
      </c>
      <c r="E62" s="12">
        <v>0</v>
      </c>
      <c r="F62" s="12">
        <v>10</v>
      </c>
      <c r="G62" s="12">
        <v>0</v>
      </c>
      <c r="H62" s="12">
        <v>0</v>
      </c>
      <c r="I62" s="12" t="s">
        <v>72</v>
      </c>
      <c r="K62" s="12">
        <v>46226</v>
      </c>
      <c r="L62">
        <v>46226</v>
      </c>
    </row>
    <row r="63" spans="1:12" x14ac:dyDescent="0.25">
      <c r="A63" s="12" t="s">
        <v>59</v>
      </c>
      <c r="B63" s="12" t="s">
        <v>40</v>
      </c>
      <c r="C63" s="12" t="s">
        <v>14</v>
      </c>
      <c r="D63" s="12">
        <v>3.1779578349000133</v>
      </c>
      <c r="E63" s="12">
        <v>2.8499999999999996</v>
      </c>
      <c r="F63" s="12">
        <v>10</v>
      </c>
      <c r="G63" s="12">
        <v>2.8499999999999996</v>
      </c>
      <c r="H63" s="12">
        <v>4.6332179930795849</v>
      </c>
      <c r="I63" s="12" t="s">
        <v>70</v>
      </c>
      <c r="K63" s="12">
        <v>46226</v>
      </c>
      <c r="L63">
        <v>46226</v>
      </c>
    </row>
    <row r="64" spans="1:12" x14ac:dyDescent="0.25">
      <c r="A64" s="12" t="s">
        <v>59</v>
      </c>
      <c r="B64" s="12" t="s">
        <v>40</v>
      </c>
      <c r="C64" s="12" t="s">
        <v>13</v>
      </c>
      <c r="D64" s="12">
        <v>3.5876164620550925</v>
      </c>
      <c r="E64" s="12">
        <v>3.8</v>
      </c>
      <c r="F64" s="12">
        <v>10</v>
      </c>
      <c r="G64" s="12">
        <v>3.8</v>
      </c>
      <c r="H64" s="12">
        <v>4.7022058823529411</v>
      </c>
      <c r="I64" s="12" t="s">
        <v>71</v>
      </c>
      <c r="K64" s="12">
        <v>46226</v>
      </c>
      <c r="L64">
        <v>46226</v>
      </c>
    </row>
    <row r="65" spans="1:12" x14ac:dyDescent="0.25">
      <c r="A65" s="12" t="s">
        <v>63</v>
      </c>
      <c r="B65" s="12" t="s">
        <v>40</v>
      </c>
      <c r="C65" s="12" t="s">
        <v>15</v>
      </c>
      <c r="D65" s="12">
        <v>0</v>
      </c>
      <c r="E65" s="12">
        <v>0</v>
      </c>
      <c r="F65" s="12">
        <v>10</v>
      </c>
      <c r="G65" s="12">
        <v>0</v>
      </c>
      <c r="H65" s="12">
        <v>0</v>
      </c>
      <c r="I65" s="12" t="s">
        <v>72</v>
      </c>
      <c r="J65">
        <v>1</v>
      </c>
      <c r="K65" s="12">
        <v>46226</v>
      </c>
      <c r="L65">
        <v>46226</v>
      </c>
    </row>
    <row r="66" spans="1:12" x14ac:dyDescent="0.25">
      <c r="A66" s="12" t="s">
        <v>63</v>
      </c>
      <c r="B66" s="12" t="s">
        <v>40</v>
      </c>
      <c r="C66" s="12" t="s">
        <v>14</v>
      </c>
      <c r="D66" s="12">
        <v>3.1779578349000133</v>
      </c>
      <c r="E66" s="12">
        <v>2.8499999999999996</v>
      </c>
      <c r="F66" s="12">
        <v>10</v>
      </c>
      <c r="G66" s="12">
        <v>2.8499999999999996</v>
      </c>
      <c r="H66" s="12">
        <v>4.6332179930795849</v>
      </c>
      <c r="I66" s="12" t="s">
        <v>70</v>
      </c>
      <c r="J66">
        <v>1</v>
      </c>
      <c r="K66" s="12">
        <v>46226</v>
      </c>
      <c r="L66">
        <v>46226</v>
      </c>
    </row>
    <row r="67" spans="1:12" x14ac:dyDescent="0.25">
      <c r="A67" s="12" t="s">
        <v>63</v>
      </c>
      <c r="B67" s="12" t="s">
        <v>40</v>
      </c>
      <c r="C67" s="12" t="s">
        <v>13</v>
      </c>
      <c r="D67" s="12">
        <v>3.5876164620550925</v>
      </c>
      <c r="E67" s="12">
        <v>3.8</v>
      </c>
      <c r="F67" s="12">
        <v>10</v>
      </c>
      <c r="G67" s="12">
        <v>3.8</v>
      </c>
      <c r="H67" s="12">
        <v>4.7022058823529411</v>
      </c>
      <c r="I67" s="12" t="s">
        <v>71</v>
      </c>
      <c r="J67">
        <v>1</v>
      </c>
      <c r="K67" s="12">
        <v>46226</v>
      </c>
      <c r="L67">
        <v>46226</v>
      </c>
    </row>
    <row r="68" spans="1:12" x14ac:dyDescent="0.25">
      <c r="A68" s="12" t="s">
        <v>59</v>
      </c>
      <c r="B68" s="12" t="s">
        <v>39</v>
      </c>
      <c r="C68" s="12" t="s">
        <v>14</v>
      </c>
      <c r="D68" s="12">
        <v>3.505221763435395</v>
      </c>
      <c r="E68" s="12">
        <v>3.8</v>
      </c>
      <c r="F68" s="12">
        <v>10</v>
      </c>
      <c r="G68" s="12">
        <v>3.8</v>
      </c>
      <c r="H68" s="12">
        <v>3.1619012930249499</v>
      </c>
      <c r="I68" s="12" t="s">
        <v>70</v>
      </c>
      <c r="K68" s="12">
        <v>46226</v>
      </c>
      <c r="L68">
        <v>46226</v>
      </c>
    </row>
    <row r="69" spans="1:12" x14ac:dyDescent="0.25">
      <c r="A69" s="12" t="s">
        <v>59</v>
      </c>
      <c r="B69" s="12" t="s">
        <v>39</v>
      </c>
      <c r="C69" s="12" t="s">
        <v>13</v>
      </c>
      <c r="D69" s="12">
        <v>5.9729309530237575</v>
      </c>
      <c r="E69" s="12">
        <v>2.8499999999999996</v>
      </c>
      <c r="F69" s="12">
        <v>10</v>
      </c>
      <c r="G69" s="12">
        <v>2.8499999999999996</v>
      </c>
      <c r="H69" s="12">
        <v>4.8831269349845199</v>
      </c>
      <c r="I69" s="12" t="s">
        <v>71</v>
      </c>
      <c r="K69" s="12">
        <v>46226</v>
      </c>
      <c r="L69">
        <v>46226</v>
      </c>
    </row>
    <row r="70" spans="1:12" x14ac:dyDescent="0.25">
      <c r="A70" s="12" t="s">
        <v>59</v>
      </c>
      <c r="B70" s="12" t="s">
        <v>39</v>
      </c>
      <c r="C70" s="12" t="s">
        <v>15</v>
      </c>
      <c r="D70" s="12">
        <v>1.2742252699784016</v>
      </c>
      <c r="E70" s="12">
        <v>0</v>
      </c>
      <c r="F70" s="12">
        <v>10</v>
      </c>
      <c r="G70" s="12">
        <v>0</v>
      </c>
      <c r="H70" s="12">
        <v>0.94117647058823517</v>
      </c>
      <c r="I70" s="12" t="s">
        <v>72</v>
      </c>
      <c r="K70" s="12">
        <v>46226</v>
      </c>
      <c r="L70">
        <v>46226</v>
      </c>
    </row>
    <row r="71" spans="1:12" x14ac:dyDescent="0.25">
      <c r="A71" s="12" t="s">
        <v>63</v>
      </c>
      <c r="B71" s="12" t="s">
        <v>39</v>
      </c>
      <c r="C71" s="12" t="s">
        <v>14</v>
      </c>
      <c r="D71" s="12">
        <v>3.505221763435395</v>
      </c>
      <c r="E71" s="12">
        <v>3.8</v>
      </c>
      <c r="F71" s="12">
        <v>10</v>
      </c>
      <c r="G71" s="12">
        <v>3.8</v>
      </c>
      <c r="H71" s="12">
        <v>3.1619012930249499</v>
      </c>
      <c r="I71" s="12" t="s">
        <v>70</v>
      </c>
      <c r="J71">
        <v>1</v>
      </c>
      <c r="K71" s="12">
        <v>46226</v>
      </c>
      <c r="L71">
        <v>46226</v>
      </c>
    </row>
    <row r="72" spans="1:12" x14ac:dyDescent="0.25">
      <c r="A72" s="12" t="s">
        <v>63</v>
      </c>
      <c r="B72" s="12" t="s">
        <v>39</v>
      </c>
      <c r="C72" s="12" t="s">
        <v>13</v>
      </c>
      <c r="D72" s="12">
        <v>5.9729309530237575</v>
      </c>
      <c r="E72" s="12">
        <v>2.8499999999999996</v>
      </c>
      <c r="F72" s="12">
        <v>10</v>
      </c>
      <c r="G72" s="12">
        <v>2.8499999999999996</v>
      </c>
      <c r="H72" s="12">
        <v>4.8831269349845199</v>
      </c>
      <c r="I72" s="12" t="s">
        <v>71</v>
      </c>
      <c r="J72">
        <v>1</v>
      </c>
      <c r="K72" s="12">
        <v>46226</v>
      </c>
      <c r="L72">
        <v>46226</v>
      </c>
    </row>
    <row r="73" spans="1:12" x14ac:dyDescent="0.25">
      <c r="A73" s="12" t="s">
        <v>63</v>
      </c>
      <c r="B73" s="12" t="s">
        <v>39</v>
      </c>
      <c r="C73" s="12" t="s">
        <v>15</v>
      </c>
      <c r="D73" s="12">
        <v>1.2742252699784016</v>
      </c>
      <c r="E73" s="12">
        <v>0</v>
      </c>
      <c r="F73" s="12">
        <v>10</v>
      </c>
      <c r="G73" s="12">
        <v>0</v>
      </c>
      <c r="H73" s="12">
        <v>0.94117647058823517</v>
      </c>
      <c r="I73" s="12" t="s">
        <v>72</v>
      </c>
      <c r="J73">
        <v>1</v>
      </c>
      <c r="K73" s="12">
        <v>46226</v>
      </c>
      <c r="L73">
        <v>46226</v>
      </c>
    </row>
    <row r="74" spans="1:12" x14ac:dyDescent="0.25">
      <c r="A74" s="12" t="s">
        <v>59</v>
      </c>
      <c r="B74" s="12" t="s">
        <v>38</v>
      </c>
      <c r="C74" s="12" t="s">
        <v>13</v>
      </c>
      <c r="D74" s="12">
        <v>10.973885648639106</v>
      </c>
      <c r="E74" s="12">
        <v>1.9</v>
      </c>
      <c r="F74" s="12">
        <v>10</v>
      </c>
      <c r="G74" s="12">
        <v>1.9</v>
      </c>
      <c r="H74" s="12">
        <v>10.505208333333336</v>
      </c>
      <c r="I74" s="12" t="s">
        <v>73</v>
      </c>
      <c r="K74" s="12">
        <v>46227</v>
      </c>
      <c r="L74">
        <v>46227</v>
      </c>
    </row>
    <row r="75" spans="1:12" x14ac:dyDescent="0.25">
      <c r="A75" s="12" t="s">
        <v>59</v>
      </c>
      <c r="B75" s="12" t="s">
        <v>38</v>
      </c>
      <c r="C75" s="12" t="s">
        <v>15</v>
      </c>
      <c r="D75" s="12">
        <v>4.2207252494765797</v>
      </c>
      <c r="E75" s="12">
        <v>1.9</v>
      </c>
      <c r="F75" s="12">
        <v>10</v>
      </c>
      <c r="G75" s="12">
        <v>1.9</v>
      </c>
      <c r="H75" s="12">
        <v>4.6875</v>
      </c>
      <c r="I75" s="12" t="s">
        <v>74</v>
      </c>
      <c r="K75" s="12">
        <v>46227</v>
      </c>
      <c r="L75">
        <v>46227</v>
      </c>
    </row>
    <row r="76" spans="1:12" x14ac:dyDescent="0.25">
      <c r="A76" s="12" t="s">
        <v>59</v>
      </c>
      <c r="B76" s="12" t="s">
        <v>38</v>
      </c>
      <c r="C76" s="12" t="s">
        <v>14</v>
      </c>
      <c r="D76" s="12">
        <v>11.026644714257564</v>
      </c>
      <c r="E76" s="12">
        <v>1.9</v>
      </c>
      <c r="F76" s="12">
        <v>10</v>
      </c>
      <c r="G76" s="12">
        <v>1.9</v>
      </c>
      <c r="H76" s="12">
        <v>11.182291666666668</v>
      </c>
      <c r="I76" s="12" t="s">
        <v>75</v>
      </c>
      <c r="K76" s="12">
        <v>46227</v>
      </c>
      <c r="L76">
        <v>46227</v>
      </c>
    </row>
    <row r="77" spans="1:12" x14ac:dyDescent="0.25">
      <c r="A77" s="12" t="s">
        <v>63</v>
      </c>
      <c r="B77" s="12" t="s">
        <v>38</v>
      </c>
      <c r="C77" s="12" t="s">
        <v>13</v>
      </c>
      <c r="D77" s="12">
        <v>10.973885648639106</v>
      </c>
      <c r="E77" s="12">
        <v>1.9</v>
      </c>
      <c r="F77" s="12">
        <v>10</v>
      </c>
      <c r="G77" s="12">
        <v>1.9</v>
      </c>
      <c r="H77" s="12">
        <v>10.505208333333336</v>
      </c>
      <c r="I77" s="12" t="s">
        <v>73</v>
      </c>
      <c r="J77">
        <v>1</v>
      </c>
      <c r="K77" s="12">
        <v>46227</v>
      </c>
      <c r="L77">
        <v>46227</v>
      </c>
    </row>
    <row r="78" spans="1:12" x14ac:dyDescent="0.25">
      <c r="A78" s="12" t="s">
        <v>63</v>
      </c>
      <c r="B78" s="12" t="s">
        <v>38</v>
      </c>
      <c r="C78" s="12" t="s">
        <v>15</v>
      </c>
      <c r="D78" s="12">
        <v>4.2207252494765797</v>
      </c>
      <c r="E78" s="12">
        <v>1.9</v>
      </c>
      <c r="F78" s="12">
        <v>10</v>
      </c>
      <c r="G78" s="12">
        <v>1.9</v>
      </c>
      <c r="H78" s="12">
        <v>4.6875</v>
      </c>
      <c r="I78" s="12" t="s">
        <v>74</v>
      </c>
      <c r="J78">
        <v>1</v>
      </c>
      <c r="K78" s="12">
        <v>46227</v>
      </c>
      <c r="L78">
        <v>46227</v>
      </c>
    </row>
    <row r="79" spans="1:12" x14ac:dyDescent="0.25">
      <c r="A79" s="12" t="s">
        <v>63</v>
      </c>
      <c r="B79" s="12" t="s">
        <v>38</v>
      </c>
      <c r="C79" s="12" t="s">
        <v>14</v>
      </c>
      <c r="D79" s="12">
        <v>11.026644714257564</v>
      </c>
      <c r="E79" s="12">
        <v>1.9</v>
      </c>
      <c r="F79" s="12">
        <v>10</v>
      </c>
      <c r="G79" s="12">
        <v>1.9</v>
      </c>
      <c r="H79" s="12">
        <v>11.182291666666668</v>
      </c>
      <c r="I79" s="12" t="s">
        <v>75</v>
      </c>
      <c r="J79">
        <v>1</v>
      </c>
      <c r="K79" s="12">
        <v>46227</v>
      </c>
      <c r="L79">
        <v>46227</v>
      </c>
    </row>
    <row r="80" spans="1:12" x14ac:dyDescent="0.25">
      <c r="A80" s="12" t="s">
        <v>59</v>
      </c>
      <c r="B80" s="12" t="s">
        <v>40</v>
      </c>
      <c r="C80" s="12" t="s">
        <v>13</v>
      </c>
      <c r="D80" s="12">
        <v>3.5876164620550925</v>
      </c>
      <c r="E80" s="12">
        <v>3.8</v>
      </c>
      <c r="F80" s="12">
        <v>10</v>
      </c>
      <c r="G80" s="12">
        <v>3.8</v>
      </c>
      <c r="H80" s="12">
        <v>4.702205882352942</v>
      </c>
      <c r="I80" s="12" t="s">
        <v>73</v>
      </c>
      <c r="K80" s="12">
        <v>46227</v>
      </c>
      <c r="L80">
        <v>46227</v>
      </c>
    </row>
    <row r="81" spans="1:12" x14ac:dyDescent="0.25">
      <c r="A81" s="12" t="s">
        <v>59</v>
      </c>
      <c r="B81" s="12" t="s">
        <v>40</v>
      </c>
      <c r="C81" s="12" t="s">
        <v>15</v>
      </c>
      <c r="D81" s="12">
        <v>0</v>
      </c>
      <c r="E81" s="12">
        <v>0</v>
      </c>
      <c r="F81" s="12">
        <v>10</v>
      </c>
      <c r="G81" s="12">
        <v>0</v>
      </c>
      <c r="H81" s="12">
        <v>0</v>
      </c>
      <c r="I81" s="12" t="s">
        <v>74</v>
      </c>
      <c r="K81" s="12">
        <v>46227</v>
      </c>
      <c r="L81">
        <v>46227</v>
      </c>
    </row>
    <row r="82" spans="1:12" x14ac:dyDescent="0.25">
      <c r="A82" s="12" t="s">
        <v>59</v>
      </c>
      <c r="B82" s="12" t="s">
        <v>40</v>
      </c>
      <c r="C82" s="12" t="s">
        <v>14</v>
      </c>
      <c r="D82" s="12">
        <v>3.1779578349000128</v>
      </c>
      <c r="E82" s="12">
        <v>2.8499999999999996</v>
      </c>
      <c r="F82" s="12">
        <v>10</v>
      </c>
      <c r="G82" s="12">
        <v>2.8499999999999996</v>
      </c>
      <c r="H82" s="12">
        <v>2.8685121107266438</v>
      </c>
      <c r="I82" s="12" t="s">
        <v>75</v>
      </c>
      <c r="K82" s="12">
        <v>46227</v>
      </c>
      <c r="L82">
        <v>46227</v>
      </c>
    </row>
    <row r="83" spans="1:12" x14ac:dyDescent="0.25">
      <c r="A83" s="12" t="s">
        <v>63</v>
      </c>
      <c r="B83" s="12" t="s">
        <v>40</v>
      </c>
      <c r="C83" s="12" t="s">
        <v>13</v>
      </c>
      <c r="D83" s="12">
        <v>3.5876164620550925</v>
      </c>
      <c r="E83" s="12">
        <v>3.8</v>
      </c>
      <c r="F83" s="12">
        <v>10</v>
      </c>
      <c r="G83" s="12">
        <v>3.8</v>
      </c>
      <c r="H83" s="12">
        <v>4.702205882352942</v>
      </c>
      <c r="I83" s="12" t="s">
        <v>73</v>
      </c>
      <c r="J83">
        <v>1</v>
      </c>
      <c r="K83" s="12">
        <v>46227</v>
      </c>
      <c r="L83">
        <v>46227</v>
      </c>
    </row>
    <row r="84" spans="1:12" x14ac:dyDescent="0.25">
      <c r="A84" s="12" t="s">
        <v>63</v>
      </c>
      <c r="B84" s="12" t="s">
        <v>40</v>
      </c>
      <c r="C84" s="12" t="s">
        <v>15</v>
      </c>
      <c r="D84" s="12">
        <v>0</v>
      </c>
      <c r="E84" s="12">
        <v>0</v>
      </c>
      <c r="F84" s="12">
        <v>10</v>
      </c>
      <c r="G84" s="12">
        <v>0</v>
      </c>
      <c r="H84" s="12">
        <v>0</v>
      </c>
      <c r="I84" s="12" t="s">
        <v>74</v>
      </c>
      <c r="J84">
        <v>1</v>
      </c>
      <c r="K84" s="12">
        <v>46227</v>
      </c>
      <c r="L84">
        <v>46227</v>
      </c>
    </row>
    <row r="85" spans="1:12" x14ac:dyDescent="0.25">
      <c r="A85" s="12" t="s">
        <v>63</v>
      </c>
      <c r="B85" s="12" t="s">
        <v>40</v>
      </c>
      <c r="C85" s="12" t="s">
        <v>14</v>
      </c>
      <c r="D85" s="12">
        <v>3.1779578349000128</v>
      </c>
      <c r="E85" s="12">
        <v>2.8499999999999996</v>
      </c>
      <c r="F85" s="12">
        <v>10</v>
      </c>
      <c r="G85" s="12">
        <v>2.8499999999999996</v>
      </c>
      <c r="H85" s="12">
        <v>2.8685121107266438</v>
      </c>
      <c r="I85" s="12" t="s">
        <v>75</v>
      </c>
      <c r="J85">
        <v>1</v>
      </c>
      <c r="K85" s="12">
        <v>46227</v>
      </c>
      <c r="L85">
        <v>46227</v>
      </c>
    </row>
    <row r="86" spans="1:12" x14ac:dyDescent="0.25">
      <c r="A86" s="12" t="s">
        <v>59</v>
      </c>
      <c r="B86" s="12" t="s">
        <v>39</v>
      </c>
      <c r="C86" s="12" t="s">
        <v>14</v>
      </c>
      <c r="D86" s="12">
        <v>2.2486328293736499</v>
      </c>
      <c r="E86" s="12">
        <v>3.8</v>
      </c>
      <c r="F86" s="12">
        <v>10</v>
      </c>
      <c r="G86" s="12">
        <v>3.8</v>
      </c>
      <c r="H86" s="12">
        <v>2.9307958477508644</v>
      </c>
      <c r="I86" s="12" t="s">
        <v>75</v>
      </c>
      <c r="K86" s="12">
        <v>46227</v>
      </c>
      <c r="L86">
        <v>46227</v>
      </c>
    </row>
    <row r="87" spans="1:12" x14ac:dyDescent="0.25">
      <c r="A87" s="12" t="s">
        <v>59</v>
      </c>
      <c r="B87" s="12" t="s">
        <v>39</v>
      </c>
      <c r="C87" s="12" t="s">
        <v>13</v>
      </c>
      <c r="D87" s="12">
        <v>4.7783447624190059</v>
      </c>
      <c r="E87" s="12">
        <v>2.8499999999999996</v>
      </c>
      <c r="F87" s="12">
        <v>10</v>
      </c>
      <c r="G87" s="12">
        <v>2.8499999999999996</v>
      </c>
      <c r="H87" s="12">
        <v>1.9411764705882353</v>
      </c>
      <c r="I87" s="12" t="s">
        <v>73</v>
      </c>
      <c r="K87" s="12">
        <v>46227</v>
      </c>
      <c r="L87">
        <v>46227</v>
      </c>
    </row>
    <row r="88" spans="1:12" x14ac:dyDescent="0.25">
      <c r="A88" s="12" t="s">
        <v>59</v>
      </c>
      <c r="B88" s="12" t="s">
        <v>39</v>
      </c>
      <c r="C88" s="12" t="s">
        <v>15</v>
      </c>
      <c r="D88" s="12">
        <v>1.2742252699784016</v>
      </c>
      <c r="E88" s="12">
        <v>0</v>
      </c>
      <c r="F88" s="12">
        <v>10</v>
      </c>
      <c r="G88" s="12">
        <v>0</v>
      </c>
      <c r="H88" s="12">
        <v>0.94117647058823517</v>
      </c>
      <c r="I88" s="12" t="s">
        <v>74</v>
      </c>
      <c r="K88" s="12">
        <v>46227</v>
      </c>
      <c r="L88">
        <v>46227</v>
      </c>
    </row>
    <row r="89" spans="1:12" x14ac:dyDescent="0.25">
      <c r="A89" s="12" t="s">
        <v>63</v>
      </c>
      <c r="B89" s="12" t="s">
        <v>39</v>
      </c>
      <c r="C89" s="12" t="s">
        <v>14</v>
      </c>
      <c r="D89" s="12">
        <v>2.2486328293736499</v>
      </c>
      <c r="E89" s="12">
        <v>3.8</v>
      </c>
      <c r="F89" s="12">
        <v>10</v>
      </c>
      <c r="G89" s="12">
        <v>3.8</v>
      </c>
      <c r="H89" s="12">
        <v>2.9307958477508644</v>
      </c>
      <c r="I89" s="12" t="s">
        <v>75</v>
      </c>
      <c r="J89">
        <v>1</v>
      </c>
      <c r="K89" s="12">
        <v>46227</v>
      </c>
      <c r="L89">
        <v>46227</v>
      </c>
    </row>
    <row r="90" spans="1:12" x14ac:dyDescent="0.25">
      <c r="A90" s="12" t="s">
        <v>63</v>
      </c>
      <c r="B90" s="12" t="s">
        <v>39</v>
      </c>
      <c r="C90" s="12" t="s">
        <v>13</v>
      </c>
      <c r="D90" s="12">
        <v>4.7783447624190059</v>
      </c>
      <c r="E90" s="12">
        <v>2.8499999999999996</v>
      </c>
      <c r="F90" s="12">
        <v>10</v>
      </c>
      <c r="G90" s="12">
        <v>2.8499999999999996</v>
      </c>
      <c r="H90" s="12">
        <v>1.9411764705882353</v>
      </c>
      <c r="I90" s="12" t="s">
        <v>73</v>
      </c>
      <c r="J90">
        <v>1</v>
      </c>
      <c r="K90" s="12">
        <v>46227</v>
      </c>
      <c r="L90">
        <v>46227</v>
      </c>
    </row>
    <row r="91" spans="1:12" x14ac:dyDescent="0.25">
      <c r="A91" s="12" t="s">
        <v>63</v>
      </c>
      <c r="B91" s="12" t="s">
        <v>39</v>
      </c>
      <c r="C91" s="12" t="s">
        <v>15</v>
      </c>
      <c r="D91" s="12">
        <v>1.2742252699784016</v>
      </c>
      <c r="E91" s="12">
        <v>0</v>
      </c>
      <c r="F91" s="12">
        <v>10</v>
      </c>
      <c r="G91" s="12">
        <v>0</v>
      </c>
      <c r="H91" s="12">
        <v>0.94117647058823517</v>
      </c>
      <c r="I91" s="12" t="s">
        <v>74</v>
      </c>
      <c r="J91">
        <v>1</v>
      </c>
      <c r="K91" s="12">
        <v>46227</v>
      </c>
      <c r="L91">
        <v>46227</v>
      </c>
    </row>
    <row r="92" spans="1:12" x14ac:dyDescent="0.25">
      <c r="A92" s="12" t="s">
        <v>59</v>
      </c>
      <c r="B92" s="12" t="s">
        <v>38</v>
      </c>
      <c r="C92" s="12" t="s">
        <v>13</v>
      </c>
      <c r="D92" s="12">
        <v>11.026644714257564</v>
      </c>
      <c r="E92" s="12">
        <v>5.6999999999999993</v>
      </c>
      <c r="F92" s="12">
        <v>10</v>
      </c>
      <c r="G92" s="12">
        <v>5.6999999999999993</v>
      </c>
      <c r="H92" s="12">
        <v>11.253676470588236</v>
      </c>
      <c r="I92" s="12" t="s">
        <v>76</v>
      </c>
      <c r="K92" s="12">
        <v>46228</v>
      </c>
      <c r="L92">
        <v>46228</v>
      </c>
    </row>
    <row r="93" spans="1:12" x14ac:dyDescent="0.25">
      <c r="A93" s="12" t="s">
        <v>59</v>
      </c>
      <c r="B93" s="12" t="s">
        <v>38</v>
      </c>
      <c r="C93" s="12" t="s">
        <v>15</v>
      </c>
      <c r="D93" s="12">
        <v>4.2207252494765797</v>
      </c>
      <c r="E93" s="12">
        <v>0</v>
      </c>
      <c r="F93" s="12">
        <v>10</v>
      </c>
      <c r="G93" s="12">
        <v>0</v>
      </c>
      <c r="H93" s="12">
        <v>4.6875</v>
      </c>
      <c r="I93" s="12" t="s">
        <v>77</v>
      </c>
      <c r="K93" s="12">
        <v>46228</v>
      </c>
      <c r="L93">
        <v>46228</v>
      </c>
    </row>
    <row r="94" spans="1:12" x14ac:dyDescent="0.25">
      <c r="A94" s="12" t="s">
        <v>59</v>
      </c>
      <c r="B94" s="12" t="s">
        <v>38</v>
      </c>
      <c r="C94" s="12" t="s">
        <v>14</v>
      </c>
      <c r="D94" s="12">
        <v>10.973885648639106</v>
      </c>
      <c r="E94" s="12">
        <v>1.9</v>
      </c>
      <c r="F94" s="12">
        <v>10</v>
      </c>
      <c r="G94" s="12">
        <v>1.9</v>
      </c>
      <c r="H94" s="12">
        <v>11.308823529411764</v>
      </c>
      <c r="I94" s="12" t="s">
        <v>78</v>
      </c>
      <c r="K94" s="12">
        <v>46228</v>
      </c>
      <c r="L94">
        <v>46228</v>
      </c>
    </row>
    <row r="95" spans="1:12" x14ac:dyDescent="0.25">
      <c r="A95" s="12" t="s">
        <v>63</v>
      </c>
      <c r="B95" s="12" t="s">
        <v>38</v>
      </c>
      <c r="C95" s="12" t="s">
        <v>13</v>
      </c>
      <c r="D95" s="12">
        <v>11.026644714257564</v>
      </c>
      <c r="E95" s="12">
        <v>5.6999999999999993</v>
      </c>
      <c r="F95" s="12">
        <v>10</v>
      </c>
      <c r="G95" s="12">
        <v>5.6999999999999993</v>
      </c>
      <c r="H95" s="12">
        <v>11.253676470588236</v>
      </c>
      <c r="I95" s="12" t="s">
        <v>76</v>
      </c>
      <c r="J95">
        <v>1</v>
      </c>
      <c r="K95" s="12">
        <v>46228</v>
      </c>
      <c r="L95">
        <v>46228</v>
      </c>
    </row>
    <row r="96" spans="1:12" x14ac:dyDescent="0.25">
      <c r="A96" s="12" t="s">
        <v>63</v>
      </c>
      <c r="B96" s="12" t="s">
        <v>38</v>
      </c>
      <c r="C96" s="12" t="s">
        <v>15</v>
      </c>
      <c r="D96" s="12">
        <v>4.2207252494765797</v>
      </c>
      <c r="E96" s="12">
        <v>0</v>
      </c>
      <c r="F96" s="12">
        <v>10</v>
      </c>
      <c r="G96" s="12">
        <v>0</v>
      </c>
      <c r="H96" s="12">
        <v>4.6875</v>
      </c>
      <c r="I96" s="12" t="s">
        <v>77</v>
      </c>
      <c r="J96">
        <v>1</v>
      </c>
      <c r="K96" s="12">
        <v>46228</v>
      </c>
      <c r="L96">
        <v>46228</v>
      </c>
    </row>
    <row r="97" spans="1:12" x14ac:dyDescent="0.25">
      <c r="A97" s="12" t="s">
        <v>63</v>
      </c>
      <c r="B97" s="12" t="s">
        <v>38</v>
      </c>
      <c r="C97" s="12" t="s">
        <v>14</v>
      </c>
      <c r="D97" s="12">
        <v>10.973885648639106</v>
      </c>
      <c r="E97" s="12">
        <v>1.9</v>
      </c>
      <c r="F97" s="12">
        <v>10</v>
      </c>
      <c r="G97" s="12">
        <v>1.9</v>
      </c>
      <c r="H97" s="12">
        <v>11.308823529411764</v>
      </c>
      <c r="I97" s="12" t="s">
        <v>78</v>
      </c>
      <c r="J97">
        <v>1</v>
      </c>
      <c r="K97" s="12">
        <v>46228</v>
      </c>
      <c r="L97">
        <v>46228</v>
      </c>
    </row>
    <row r="98" spans="1:12" x14ac:dyDescent="0.25">
      <c r="A98" s="12" t="s">
        <v>59</v>
      </c>
      <c r="B98" s="12" t="s">
        <v>40</v>
      </c>
      <c r="C98" s="12" t="s">
        <v>14</v>
      </c>
      <c r="D98" s="12">
        <v>3.1779578349000133</v>
      </c>
      <c r="E98" s="12">
        <v>2.8499999999999996</v>
      </c>
      <c r="F98" s="12">
        <v>10</v>
      </c>
      <c r="G98" s="12">
        <v>2.8499999999999996</v>
      </c>
      <c r="H98" s="12">
        <v>4.5813148788927336</v>
      </c>
      <c r="I98" s="12" t="s">
        <v>78</v>
      </c>
      <c r="K98" s="12">
        <v>46228</v>
      </c>
      <c r="L98">
        <v>46228</v>
      </c>
    </row>
    <row r="99" spans="1:12" x14ac:dyDescent="0.25">
      <c r="A99" s="12" t="s">
        <v>59</v>
      </c>
      <c r="B99" s="12" t="s">
        <v>40</v>
      </c>
      <c r="C99" s="12" t="s">
        <v>13</v>
      </c>
      <c r="D99" s="12">
        <v>3.587616462055093</v>
      </c>
      <c r="E99" s="12">
        <v>4.75</v>
      </c>
      <c r="F99" s="12">
        <v>10</v>
      </c>
      <c r="G99" s="12">
        <v>4.75</v>
      </c>
      <c r="H99" s="12">
        <v>3.8198529411764697</v>
      </c>
      <c r="I99" s="12" t="s">
        <v>76</v>
      </c>
      <c r="K99" s="12">
        <v>46228</v>
      </c>
      <c r="L99">
        <v>46228</v>
      </c>
    </row>
    <row r="100" spans="1:12" x14ac:dyDescent="0.25">
      <c r="A100" s="12" t="s">
        <v>59</v>
      </c>
      <c r="B100" s="12" t="s">
        <v>40</v>
      </c>
      <c r="C100" s="12" t="s">
        <v>15</v>
      </c>
      <c r="D100" s="12">
        <v>0</v>
      </c>
      <c r="E100" s="12">
        <v>0.95</v>
      </c>
      <c r="F100" s="12">
        <v>10</v>
      </c>
      <c r="G100" s="12">
        <v>0.95</v>
      </c>
      <c r="H100" s="12">
        <v>0</v>
      </c>
      <c r="I100" s="12" t="s">
        <v>77</v>
      </c>
      <c r="K100" s="12">
        <v>46228</v>
      </c>
      <c r="L100">
        <v>46228</v>
      </c>
    </row>
    <row r="101" spans="1:12" x14ac:dyDescent="0.25">
      <c r="A101" s="12" t="s">
        <v>63</v>
      </c>
      <c r="B101" s="12" t="s">
        <v>40</v>
      </c>
      <c r="C101" s="12" t="s">
        <v>14</v>
      </c>
      <c r="D101" s="12">
        <v>3.1779578349000133</v>
      </c>
      <c r="E101" s="12">
        <v>2.8499999999999996</v>
      </c>
      <c r="F101" s="12">
        <v>10</v>
      </c>
      <c r="G101" s="12">
        <v>2.8499999999999996</v>
      </c>
      <c r="H101" s="12">
        <v>4.5813148788927336</v>
      </c>
      <c r="I101" s="12" t="s">
        <v>78</v>
      </c>
      <c r="J101">
        <v>1</v>
      </c>
      <c r="K101" s="12">
        <v>46228</v>
      </c>
      <c r="L101">
        <v>46228</v>
      </c>
    </row>
    <row r="102" spans="1:12" x14ac:dyDescent="0.25">
      <c r="A102" s="12" t="s">
        <v>63</v>
      </c>
      <c r="B102" s="12" t="s">
        <v>40</v>
      </c>
      <c r="C102" s="12" t="s">
        <v>13</v>
      </c>
      <c r="D102" s="12">
        <v>3.587616462055093</v>
      </c>
      <c r="E102" s="12">
        <v>4.75</v>
      </c>
      <c r="F102" s="12">
        <v>10</v>
      </c>
      <c r="G102" s="12">
        <v>4.75</v>
      </c>
      <c r="H102" s="12">
        <v>3.8198529411764697</v>
      </c>
      <c r="I102" s="12" t="s">
        <v>76</v>
      </c>
      <c r="J102">
        <v>1</v>
      </c>
      <c r="K102" s="12">
        <v>46228</v>
      </c>
      <c r="L102">
        <v>46228</v>
      </c>
    </row>
    <row r="103" spans="1:12" x14ac:dyDescent="0.25">
      <c r="A103" s="12" t="s">
        <v>63</v>
      </c>
      <c r="B103" s="12" t="s">
        <v>40</v>
      </c>
      <c r="C103" s="12" t="s">
        <v>15</v>
      </c>
      <c r="D103" s="12">
        <v>0</v>
      </c>
      <c r="E103" s="12">
        <v>0.95</v>
      </c>
      <c r="F103" s="12">
        <v>10</v>
      </c>
      <c r="G103" s="12">
        <v>0.95</v>
      </c>
      <c r="H103" s="12">
        <v>0</v>
      </c>
      <c r="I103" s="12" t="s">
        <v>77</v>
      </c>
      <c r="J103">
        <v>1</v>
      </c>
      <c r="K103" s="12">
        <v>46228</v>
      </c>
      <c r="L103">
        <v>46228</v>
      </c>
    </row>
    <row r="104" spans="1:12" x14ac:dyDescent="0.25">
      <c r="A104" s="12" t="s">
        <v>59</v>
      </c>
      <c r="B104" s="12" t="s">
        <v>39</v>
      </c>
      <c r="C104" s="12" t="s">
        <v>13</v>
      </c>
      <c r="D104" s="12">
        <v>2.3891723812095034</v>
      </c>
      <c r="E104" s="12">
        <v>2.8499999999999996</v>
      </c>
      <c r="F104" s="12">
        <v>10</v>
      </c>
      <c r="G104" s="12">
        <v>2.8499999999999996</v>
      </c>
      <c r="H104" s="12">
        <v>3.8235294117647038</v>
      </c>
      <c r="I104" s="12" t="s">
        <v>76</v>
      </c>
      <c r="K104" s="12">
        <v>46228</v>
      </c>
      <c r="L104">
        <v>46228</v>
      </c>
    </row>
    <row r="105" spans="1:12" x14ac:dyDescent="0.25">
      <c r="A105" s="12" t="s">
        <v>59</v>
      </c>
      <c r="B105" s="12" t="s">
        <v>39</v>
      </c>
      <c r="C105" s="12" t="s">
        <v>15</v>
      </c>
      <c r="D105" s="12">
        <v>1.2742252699784016</v>
      </c>
      <c r="E105" s="12">
        <v>0</v>
      </c>
      <c r="F105" s="12">
        <v>10</v>
      </c>
      <c r="G105" s="12">
        <v>0</v>
      </c>
      <c r="H105" s="12">
        <v>0.94117647058823517</v>
      </c>
      <c r="I105" s="12" t="s">
        <v>77</v>
      </c>
      <c r="K105" s="12">
        <v>46228</v>
      </c>
      <c r="L105">
        <v>46228</v>
      </c>
    </row>
    <row r="106" spans="1:12" x14ac:dyDescent="0.25">
      <c r="A106" s="12" t="s">
        <v>59</v>
      </c>
      <c r="B106" s="12" t="s">
        <v>39</v>
      </c>
      <c r="C106" s="12" t="s">
        <v>14</v>
      </c>
      <c r="D106" s="12">
        <v>3.3729492440604751</v>
      </c>
      <c r="E106" s="12">
        <v>2.8499999999999996</v>
      </c>
      <c r="F106" s="12">
        <v>10</v>
      </c>
      <c r="G106" s="12">
        <v>2.8499999999999996</v>
      </c>
      <c r="H106" s="12">
        <v>3.1003460207612457</v>
      </c>
      <c r="I106" s="12" t="s">
        <v>78</v>
      </c>
      <c r="K106" s="12">
        <v>46228</v>
      </c>
      <c r="L106">
        <v>46228</v>
      </c>
    </row>
    <row r="107" spans="1:12" x14ac:dyDescent="0.25">
      <c r="A107" s="12" t="s">
        <v>63</v>
      </c>
      <c r="B107" s="12" t="s">
        <v>39</v>
      </c>
      <c r="C107" s="12" t="s">
        <v>13</v>
      </c>
      <c r="D107" s="12">
        <v>2.3891723812095034</v>
      </c>
      <c r="E107" s="12">
        <v>2.8499999999999996</v>
      </c>
      <c r="F107" s="12">
        <v>10</v>
      </c>
      <c r="G107" s="12">
        <v>2.8499999999999996</v>
      </c>
      <c r="H107" s="12">
        <v>3.8235294117647038</v>
      </c>
      <c r="I107" s="12" t="s">
        <v>76</v>
      </c>
      <c r="J107">
        <v>1</v>
      </c>
      <c r="K107" s="12">
        <v>46228</v>
      </c>
      <c r="L107">
        <v>46228</v>
      </c>
    </row>
    <row r="108" spans="1:12" x14ac:dyDescent="0.25">
      <c r="A108" s="12" t="s">
        <v>63</v>
      </c>
      <c r="B108" s="12" t="s">
        <v>39</v>
      </c>
      <c r="C108" s="12" t="s">
        <v>15</v>
      </c>
      <c r="D108" s="12">
        <v>1.2742252699784016</v>
      </c>
      <c r="E108" s="12">
        <v>0</v>
      </c>
      <c r="F108" s="12">
        <v>10</v>
      </c>
      <c r="G108" s="12">
        <v>0</v>
      </c>
      <c r="H108" s="12">
        <v>0.94117647058823517</v>
      </c>
      <c r="I108" s="12" t="s">
        <v>77</v>
      </c>
      <c r="J108">
        <v>1</v>
      </c>
      <c r="K108" s="12">
        <v>46228</v>
      </c>
      <c r="L108">
        <v>46228</v>
      </c>
    </row>
    <row r="109" spans="1:12" x14ac:dyDescent="0.25">
      <c r="A109" s="12" t="s">
        <v>63</v>
      </c>
      <c r="B109" s="12" t="s">
        <v>39</v>
      </c>
      <c r="C109" s="12" t="s">
        <v>14</v>
      </c>
      <c r="D109" s="12">
        <v>3.3729492440604751</v>
      </c>
      <c r="E109" s="12">
        <v>2.8499999999999996</v>
      </c>
      <c r="F109" s="12">
        <v>10</v>
      </c>
      <c r="G109" s="12">
        <v>2.8499999999999996</v>
      </c>
      <c r="H109" s="12">
        <v>3.1003460207612457</v>
      </c>
      <c r="I109" s="12" t="s">
        <v>78</v>
      </c>
      <c r="J109">
        <v>1</v>
      </c>
      <c r="K109" s="12">
        <v>46228</v>
      </c>
      <c r="L109">
        <v>46228</v>
      </c>
    </row>
    <row r="110" spans="1:12" x14ac:dyDescent="0.25">
      <c r="A110" s="12" t="s">
        <v>59</v>
      </c>
      <c r="B110" s="12" t="s">
        <v>38</v>
      </c>
      <c r="C110" s="12" t="s">
        <v>15</v>
      </c>
      <c r="D110" s="12">
        <v>4.2207252494765797</v>
      </c>
      <c r="E110" s="12">
        <v>0.95</v>
      </c>
      <c r="F110" s="12">
        <v>10</v>
      </c>
      <c r="G110" s="12">
        <v>0.95</v>
      </c>
      <c r="H110" s="12">
        <v>4.6875</v>
      </c>
      <c r="I110" s="12" t="s">
        <v>79</v>
      </c>
      <c r="K110" s="12">
        <v>46229</v>
      </c>
      <c r="L110">
        <v>46229</v>
      </c>
    </row>
    <row r="111" spans="1:12" x14ac:dyDescent="0.25">
      <c r="A111" s="12" t="s">
        <v>59</v>
      </c>
      <c r="B111" s="12" t="s">
        <v>38</v>
      </c>
      <c r="C111" s="12" t="s">
        <v>14</v>
      </c>
      <c r="D111" s="12">
        <v>11.818030698534422</v>
      </c>
      <c r="E111" s="12">
        <v>5.6999999999999993</v>
      </c>
      <c r="F111" s="12">
        <v>10</v>
      </c>
      <c r="G111" s="12">
        <v>5.6999999999999993</v>
      </c>
      <c r="H111" s="12">
        <v>11.994791666666666</v>
      </c>
      <c r="I111" s="12" t="s">
        <v>80</v>
      </c>
      <c r="K111" s="12">
        <v>46229</v>
      </c>
      <c r="L111">
        <v>46229</v>
      </c>
    </row>
    <row r="112" spans="1:12" x14ac:dyDescent="0.25">
      <c r="A112" s="12" t="s">
        <v>59</v>
      </c>
      <c r="B112" s="12" t="s">
        <v>38</v>
      </c>
      <c r="C112" s="12" t="s">
        <v>13</v>
      </c>
      <c r="D112" s="12">
        <v>10.973885648639108</v>
      </c>
      <c r="E112" s="12">
        <v>1.9</v>
      </c>
      <c r="F112" s="12">
        <v>10</v>
      </c>
      <c r="G112" s="12">
        <v>1.9</v>
      </c>
      <c r="H112" s="12">
        <v>11</v>
      </c>
      <c r="I112" s="12" t="s">
        <v>81</v>
      </c>
      <c r="K112" s="12">
        <v>46229</v>
      </c>
      <c r="L112">
        <v>46229</v>
      </c>
    </row>
    <row r="113" spans="1:12" x14ac:dyDescent="0.25">
      <c r="A113" s="12" t="s">
        <v>63</v>
      </c>
      <c r="B113" s="12" t="s">
        <v>38</v>
      </c>
      <c r="C113" s="12" t="s">
        <v>15</v>
      </c>
      <c r="D113" s="12">
        <v>4.2207252494765797</v>
      </c>
      <c r="E113" s="12">
        <v>0.95</v>
      </c>
      <c r="F113" s="12">
        <v>10</v>
      </c>
      <c r="G113" s="12">
        <v>0.95</v>
      </c>
      <c r="H113" s="12">
        <v>4.6875</v>
      </c>
      <c r="I113" s="12" t="s">
        <v>79</v>
      </c>
      <c r="J113">
        <v>1</v>
      </c>
      <c r="K113" s="12">
        <v>46229</v>
      </c>
      <c r="L113">
        <v>46229</v>
      </c>
    </row>
    <row r="114" spans="1:12" x14ac:dyDescent="0.25">
      <c r="A114" s="12" t="s">
        <v>63</v>
      </c>
      <c r="B114" s="12" t="s">
        <v>38</v>
      </c>
      <c r="C114" s="12" t="s">
        <v>14</v>
      </c>
      <c r="D114" s="12">
        <v>11.818030698534422</v>
      </c>
      <c r="E114" s="12">
        <v>5.6999999999999993</v>
      </c>
      <c r="F114" s="12">
        <v>10</v>
      </c>
      <c r="G114" s="12">
        <v>5.6999999999999993</v>
      </c>
      <c r="H114" s="12">
        <v>11.994791666666666</v>
      </c>
      <c r="I114" s="12" t="s">
        <v>80</v>
      </c>
      <c r="J114">
        <v>1</v>
      </c>
      <c r="K114" s="12">
        <v>46229</v>
      </c>
      <c r="L114">
        <v>46229</v>
      </c>
    </row>
    <row r="115" spans="1:12" x14ac:dyDescent="0.25">
      <c r="A115" s="12" t="s">
        <v>63</v>
      </c>
      <c r="B115" s="12" t="s">
        <v>38</v>
      </c>
      <c r="C115" s="12" t="s">
        <v>13</v>
      </c>
      <c r="D115" s="12">
        <v>10.973885648639108</v>
      </c>
      <c r="E115" s="12">
        <v>1.9</v>
      </c>
      <c r="F115" s="12">
        <v>10</v>
      </c>
      <c r="G115" s="12">
        <v>1.9</v>
      </c>
      <c r="H115" s="12">
        <v>11</v>
      </c>
      <c r="I115" s="12" t="s">
        <v>81</v>
      </c>
      <c r="J115">
        <v>1</v>
      </c>
      <c r="K115" s="12">
        <v>46229</v>
      </c>
      <c r="L115">
        <v>46229</v>
      </c>
    </row>
    <row r="116" spans="1:12" x14ac:dyDescent="0.25">
      <c r="A116" s="12" t="s">
        <v>59</v>
      </c>
      <c r="B116" s="12" t="s">
        <v>40</v>
      </c>
      <c r="C116" s="12" t="s">
        <v>13</v>
      </c>
      <c r="D116" s="12">
        <v>3.587616462055093</v>
      </c>
      <c r="E116" s="12">
        <v>4.75</v>
      </c>
      <c r="F116" s="12">
        <v>10</v>
      </c>
      <c r="G116" s="12">
        <v>4.75</v>
      </c>
      <c r="H116" s="12">
        <v>4.7610294117647056</v>
      </c>
      <c r="I116" s="12" t="s">
        <v>81</v>
      </c>
      <c r="K116" s="12">
        <v>46229</v>
      </c>
      <c r="L116">
        <v>46229</v>
      </c>
    </row>
    <row r="117" spans="1:12" x14ac:dyDescent="0.25">
      <c r="A117" s="12" t="s">
        <v>59</v>
      </c>
      <c r="B117" s="12" t="s">
        <v>40</v>
      </c>
      <c r="C117" s="12" t="s">
        <v>15</v>
      </c>
      <c r="D117" s="12">
        <v>0</v>
      </c>
      <c r="E117" s="12">
        <v>0.95</v>
      </c>
      <c r="F117" s="12">
        <v>10</v>
      </c>
      <c r="G117" s="12">
        <v>0.95</v>
      </c>
      <c r="H117" s="12">
        <v>0</v>
      </c>
      <c r="I117" s="12" t="s">
        <v>79</v>
      </c>
      <c r="K117" s="12">
        <v>46229</v>
      </c>
      <c r="L117">
        <v>46229</v>
      </c>
    </row>
    <row r="118" spans="1:12" x14ac:dyDescent="0.25">
      <c r="A118" s="12" t="s">
        <v>59</v>
      </c>
      <c r="B118" s="12" t="s">
        <v>40</v>
      </c>
      <c r="C118" s="12" t="s">
        <v>14</v>
      </c>
      <c r="D118" s="12">
        <v>3.1779578349000128</v>
      </c>
      <c r="E118" s="12">
        <v>2.8499999999999996</v>
      </c>
      <c r="F118" s="12">
        <v>10</v>
      </c>
      <c r="G118" s="12">
        <v>2.8499999999999996</v>
      </c>
      <c r="H118" s="12">
        <v>4.6366782006920406</v>
      </c>
      <c r="I118" s="12" t="s">
        <v>80</v>
      </c>
      <c r="K118" s="12">
        <v>46229</v>
      </c>
      <c r="L118">
        <v>46229</v>
      </c>
    </row>
    <row r="119" spans="1:12" x14ac:dyDescent="0.25">
      <c r="A119" s="12" t="s">
        <v>63</v>
      </c>
      <c r="B119" s="12" t="s">
        <v>40</v>
      </c>
      <c r="C119" s="12" t="s">
        <v>13</v>
      </c>
      <c r="D119" s="12">
        <v>3.587616462055093</v>
      </c>
      <c r="E119" s="12">
        <v>4.75</v>
      </c>
      <c r="F119" s="12">
        <v>10</v>
      </c>
      <c r="G119" s="12">
        <v>4.75</v>
      </c>
      <c r="H119" s="12">
        <v>4.7610294117647056</v>
      </c>
      <c r="I119" s="12" t="s">
        <v>81</v>
      </c>
      <c r="J119">
        <v>1</v>
      </c>
      <c r="K119" s="12">
        <v>46229</v>
      </c>
      <c r="L119">
        <v>46229</v>
      </c>
    </row>
    <row r="120" spans="1:12" x14ac:dyDescent="0.25">
      <c r="A120" s="12" t="s">
        <v>63</v>
      </c>
      <c r="B120" s="12" t="s">
        <v>40</v>
      </c>
      <c r="C120" s="12" t="s">
        <v>15</v>
      </c>
      <c r="D120" s="12">
        <v>0</v>
      </c>
      <c r="E120" s="12">
        <v>0.95</v>
      </c>
      <c r="F120" s="12">
        <v>10</v>
      </c>
      <c r="G120" s="12">
        <v>0.95</v>
      </c>
      <c r="H120" s="12">
        <v>0</v>
      </c>
      <c r="I120" s="12" t="s">
        <v>79</v>
      </c>
      <c r="J120">
        <v>1</v>
      </c>
      <c r="K120" s="12">
        <v>46229</v>
      </c>
      <c r="L120">
        <v>46229</v>
      </c>
    </row>
    <row r="121" spans="1:12" x14ac:dyDescent="0.25">
      <c r="A121" s="12" t="s">
        <v>63</v>
      </c>
      <c r="B121" s="12" t="s">
        <v>40</v>
      </c>
      <c r="C121" s="12" t="s">
        <v>14</v>
      </c>
      <c r="D121" s="12">
        <v>3.1779578349000128</v>
      </c>
      <c r="E121" s="12">
        <v>2.8499999999999996</v>
      </c>
      <c r="F121" s="12">
        <v>10</v>
      </c>
      <c r="G121" s="12">
        <v>2.8499999999999996</v>
      </c>
      <c r="H121" s="12">
        <v>4.6366782006920406</v>
      </c>
      <c r="I121" s="12" t="s">
        <v>80</v>
      </c>
      <c r="J121">
        <v>1</v>
      </c>
      <c r="K121" s="12">
        <v>46229</v>
      </c>
      <c r="L121">
        <v>46229</v>
      </c>
    </row>
    <row r="122" spans="1:12" x14ac:dyDescent="0.25">
      <c r="A122" s="12" t="s">
        <v>59</v>
      </c>
      <c r="B122" s="12" t="s">
        <v>39</v>
      </c>
      <c r="C122" s="12" t="s">
        <v>13</v>
      </c>
      <c r="D122" s="12">
        <v>3.5134887958963281</v>
      </c>
      <c r="E122" s="12">
        <v>4.75</v>
      </c>
      <c r="F122" s="12">
        <v>10</v>
      </c>
      <c r="G122" s="12">
        <v>4.75</v>
      </c>
      <c r="H122" s="12">
        <v>3.5854779411764701</v>
      </c>
      <c r="I122" s="12" t="s">
        <v>81</v>
      </c>
      <c r="K122" s="12">
        <v>46229</v>
      </c>
      <c r="L122">
        <v>46229</v>
      </c>
    </row>
    <row r="123" spans="1:12" x14ac:dyDescent="0.25">
      <c r="A123" s="12" t="s">
        <v>59</v>
      </c>
      <c r="B123" s="12" t="s">
        <v>39</v>
      </c>
      <c r="C123" s="12" t="s">
        <v>15</v>
      </c>
      <c r="D123" s="12">
        <v>1.2742252699784016</v>
      </c>
      <c r="E123" s="12">
        <v>0</v>
      </c>
      <c r="F123" s="12">
        <v>10</v>
      </c>
      <c r="G123" s="12">
        <v>0</v>
      </c>
      <c r="H123" s="12">
        <v>0.94117647058823517</v>
      </c>
      <c r="I123" s="12" t="s">
        <v>79</v>
      </c>
      <c r="K123" s="12">
        <v>46229</v>
      </c>
      <c r="L123">
        <v>46229</v>
      </c>
    </row>
    <row r="124" spans="1:12" x14ac:dyDescent="0.25">
      <c r="A124" s="12" t="s">
        <v>59</v>
      </c>
      <c r="B124" s="12" t="s">
        <v>39</v>
      </c>
      <c r="C124" s="12" t="s">
        <v>14</v>
      </c>
      <c r="D124" s="12">
        <v>3.3729492440604751</v>
      </c>
      <c r="E124" s="12">
        <v>1.9</v>
      </c>
      <c r="F124" s="12">
        <v>10</v>
      </c>
      <c r="G124" s="12">
        <v>1.9</v>
      </c>
      <c r="H124" s="12">
        <v>3.2655709342560537</v>
      </c>
      <c r="I124" s="12" t="s">
        <v>80</v>
      </c>
      <c r="K124" s="12">
        <v>46229</v>
      </c>
      <c r="L124">
        <v>46229</v>
      </c>
    </row>
    <row r="125" spans="1:12" x14ac:dyDescent="0.25">
      <c r="A125" s="12" t="s">
        <v>63</v>
      </c>
      <c r="B125" s="12" t="s">
        <v>39</v>
      </c>
      <c r="C125" s="12" t="s">
        <v>13</v>
      </c>
      <c r="D125" s="12">
        <v>3.5134887958963281</v>
      </c>
      <c r="E125" s="12">
        <v>4.75</v>
      </c>
      <c r="F125" s="12">
        <v>10</v>
      </c>
      <c r="G125" s="12">
        <v>4.75</v>
      </c>
      <c r="H125" s="12">
        <v>3.5854779411764701</v>
      </c>
      <c r="I125" s="12" t="s">
        <v>81</v>
      </c>
      <c r="J125">
        <v>1</v>
      </c>
      <c r="K125" s="12">
        <v>46229</v>
      </c>
      <c r="L125">
        <v>46229</v>
      </c>
    </row>
    <row r="126" spans="1:12" x14ac:dyDescent="0.25">
      <c r="A126" s="12" t="s">
        <v>63</v>
      </c>
      <c r="B126" s="12" t="s">
        <v>39</v>
      </c>
      <c r="C126" s="12" t="s">
        <v>15</v>
      </c>
      <c r="D126" s="12">
        <v>1.2742252699784016</v>
      </c>
      <c r="E126" s="12">
        <v>0</v>
      </c>
      <c r="F126" s="12">
        <v>10</v>
      </c>
      <c r="G126" s="12">
        <v>0</v>
      </c>
      <c r="H126" s="12">
        <v>0.94117647058823517</v>
      </c>
      <c r="I126" s="12" t="s">
        <v>79</v>
      </c>
      <c r="J126">
        <v>1</v>
      </c>
      <c r="K126" s="12">
        <v>46229</v>
      </c>
      <c r="L126">
        <v>46229</v>
      </c>
    </row>
    <row r="127" spans="1:12" x14ac:dyDescent="0.25">
      <c r="A127" s="12" t="s">
        <v>63</v>
      </c>
      <c r="B127" s="12" t="s">
        <v>39</v>
      </c>
      <c r="C127" s="12" t="s">
        <v>14</v>
      </c>
      <c r="D127" s="12">
        <v>3.3729492440604751</v>
      </c>
      <c r="E127" s="12">
        <v>1.9</v>
      </c>
      <c r="F127" s="12">
        <v>10</v>
      </c>
      <c r="G127" s="12">
        <v>1.9</v>
      </c>
      <c r="H127" s="12">
        <v>3.2655709342560537</v>
      </c>
      <c r="I127" s="12" t="s">
        <v>80</v>
      </c>
      <c r="J127">
        <v>1</v>
      </c>
      <c r="K127" s="12">
        <v>46229</v>
      </c>
      <c r="L127">
        <v>46229</v>
      </c>
    </row>
    <row r="128" spans="1:12" x14ac:dyDescent="0.25">
      <c r="A128" s="12" t="s">
        <v>59</v>
      </c>
      <c r="B128" s="12" t="s">
        <v>38</v>
      </c>
      <c r="C128" s="12" t="s">
        <v>14</v>
      </c>
      <c r="D128" s="12">
        <v>10.973885648639106</v>
      </c>
      <c r="E128" s="12">
        <v>0.95</v>
      </c>
      <c r="F128" s="12">
        <v>10</v>
      </c>
      <c r="G128" s="12">
        <v>0.95</v>
      </c>
      <c r="H128" s="12">
        <v>10.955208333333331</v>
      </c>
      <c r="I128" s="12" t="s">
        <v>82</v>
      </c>
      <c r="K128" s="12">
        <v>46230</v>
      </c>
      <c r="L128">
        <v>46230</v>
      </c>
    </row>
    <row r="129" spans="1:12" x14ac:dyDescent="0.25">
      <c r="A129" s="12" t="s">
        <v>59</v>
      </c>
      <c r="B129" s="12" t="s">
        <v>38</v>
      </c>
      <c r="C129" s="12" t="s">
        <v>13</v>
      </c>
      <c r="D129" s="12">
        <v>11.870789764152878</v>
      </c>
      <c r="E129" s="12">
        <v>4.75</v>
      </c>
      <c r="F129" s="12">
        <v>10</v>
      </c>
      <c r="G129" s="12">
        <v>4.75</v>
      </c>
      <c r="H129" s="12">
        <v>11.966666666666669</v>
      </c>
      <c r="I129" s="12" t="s">
        <v>83</v>
      </c>
      <c r="K129" s="12">
        <v>46230</v>
      </c>
      <c r="L129">
        <v>46230</v>
      </c>
    </row>
    <row r="130" spans="1:12" x14ac:dyDescent="0.25">
      <c r="A130" s="12" t="s">
        <v>59</v>
      </c>
      <c r="B130" s="12" t="s">
        <v>38</v>
      </c>
      <c r="C130" s="12" t="s">
        <v>15</v>
      </c>
      <c r="D130" s="12">
        <v>4.2207252494765797</v>
      </c>
      <c r="E130" s="12">
        <v>0</v>
      </c>
      <c r="F130" s="12">
        <v>10</v>
      </c>
      <c r="G130" s="12">
        <v>0</v>
      </c>
      <c r="H130" s="12">
        <v>4.6875</v>
      </c>
      <c r="I130" s="12" t="s">
        <v>84</v>
      </c>
      <c r="K130" s="12">
        <v>46230</v>
      </c>
      <c r="L130">
        <v>46230</v>
      </c>
    </row>
    <row r="131" spans="1:12" x14ac:dyDescent="0.25">
      <c r="A131" s="12" t="s">
        <v>63</v>
      </c>
      <c r="B131" s="12" t="s">
        <v>38</v>
      </c>
      <c r="C131" s="12" t="s">
        <v>14</v>
      </c>
      <c r="D131" s="12">
        <v>10.973885648639106</v>
      </c>
      <c r="E131" s="12">
        <v>0.95</v>
      </c>
      <c r="F131" s="12">
        <v>10</v>
      </c>
      <c r="G131" s="12">
        <v>0.95</v>
      </c>
      <c r="H131" s="12">
        <v>10.955208333333331</v>
      </c>
      <c r="I131" s="12" t="s">
        <v>82</v>
      </c>
      <c r="J131">
        <v>1</v>
      </c>
      <c r="K131" s="12">
        <v>46230</v>
      </c>
      <c r="L131">
        <v>46230</v>
      </c>
    </row>
    <row r="132" spans="1:12" x14ac:dyDescent="0.25">
      <c r="A132" s="12" t="s">
        <v>63</v>
      </c>
      <c r="B132" s="12" t="s">
        <v>38</v>
      </c>
      <c r="C132" s="12" t="s">
        <v>13</v>
      </c>
      <c r="D132" s="12">
        <v>11.870789764152878</v>
      </c>
      <c r="E132" s="12">
        <v>4.75</v>
      </c>
      <c r="F132" s="12">
        <v>10</v>
      </c>
      <c r="G132" s="12">
        <v>4.75</v>
      </c>
      <c r="H132" s="12">
        <v>11.966666666666669</v>
      </c>
      <c r="I132" s="12" t="s">
        <v>83</v>
      </c>
      <c r="J132">
        <v>1</v>
      </c>
      <c r="K132" s="12">
        <v>46230</v>
      </c>
      <c r="L132">
        <v>46230</v>
      </c>
    </row>
    <row r="133" spans="1:12" x14ac:dyDescent="0.25">
      <c r="A133" s="12" t="s">
        <v>63</v>
      </c>
      <c r="B133" s="12" t="s">
        <v>38</v>
      </c>
      <c r="C133" s="12" t="s">
        <v>15</v>
      </c>
      <c r="D133" s="12">
        <v>4.2207252494765797</v>
      </c>
      <c r="E133" s="12">
        <v>0</v>
      </c>
      <c r="F133" s="12">
        <v>10</v>
      </c>
      <c r="G133" s="12">
        <v>0</v>
      </c>
      <c r="H133" s="12">
        <v>4.6875</v>
      </c>
      <c r="I133" s="12" t="s">
        <v>84</v>
      </c>
      <c r="J133">
        <v>1</v>
      </c>
      <c r="K133" s="12">
        <v>46230</v>
      </c>
      <c r="L133">
        <v>46230</v>
      </c>
    </row>
    <row r="134" spans="1:12" x14ac:dyDescent="0.25">
      <c r="A134" s="12" t="s">
        <v>59</v>
      </c>
      <c r="B134" s="12" t="s">
        <v>40</v>
      </c>
      <c r="C134" s="12" t="s">
        <v>13</v>
      </c>
      <c r="D134" s="12">
        <v>3.5876164620550921</v>
      </c>
      <c r="E134" s="12">
        <v>4.75</v>
      </c>
      <c r="F134" s="12">
        <v>10</v>
      </c>
      <c r="G134" s="12">
        <v>4.75</v>
      </c>
      <c r="H134" s="12">
        <v>4.7058823529411793</v>
      </c>
      <c r="I134" s="12" t="s">
        <v>83</v>
      </c>
      <c r="K134" s="12">
        <v>46230</v>
      </c>
      <c r="L134">
        <v>46230</v>
      </c>
    </row>
    <row r="135" spans="1:12" x14ac:dyDescent="0.25">
      <c r="A135" s="12" t="s">
        <v>59</v>
      </c>
      <c r="B135" s="12" t="s">
        <v>40</v>
      </c>
      <c r="C135" s="12" t="s">
        <v>14</v>
      </c>
      <c r="D135" s="12">
        <v>3.1779578349000128</v>
      </c>
      <c r="E135" s="12">
        <v>3.8</v>
      </c>
      <c r="F135" s="12">
        <v>10</v>
      </c>
      <c r="G135" s="12">
        <v>3.8</v>
      </c>
      <c r="H135" s="12">
        <v>3.8062283737024223</v>
      </c>
      <c r="I135" s="12" t="s">
        <v>82</v>
      </c>
      <c r="K135" s="12">
        <v>46230</v>
      </c>
      <c r="L135">
        <v>46230</v>
      </c>
    </row>
    <row r="136" spans="1:12" x14ac:dyDescent="0.25">
      <c r="A136" s="12" t="s">
        <v>59</v>
      </c>
      <c r="B136" s="12" t="s">
        <v>40</v>
      </c>
      <c r="C136" s="12" t="s">
        <v>15</v>
      </c>
      <c r="D136" s="12">
        <v>0</v>
      </c>
      <c r="E136" s="12">
        <v>0</v>
      </c>
      <c r="F136" s="12">
        <v>10</v>
      </c>
      <c r="G136" s="12">
        <v>0</v>
      </c>
      <c r="H136" s="12">
        <v>0</v>
      </c>
      <c r="I136" s="12" t="s">
        <v>84</v>
      </c>
      <c r="K136" s="12">
        <v>46230</v>
      </c>
      <c r="L136">
        <v>46230</v>
      </c>
    </row>
    <row r="137" spans="1:12" x14ac:dyDescent="0.25">
      <c r="A137" s="12" t="s">
        <v>63</v>
      </c>
      <c r="B137" s="12" t="s">
        <v>40</v>
      </c>
      <c r="C137" s="12" t="s">
        <v>13</v>
      </c>
      <c r="D137" s="12">
        <v>3.5876164620550921</v>
      </c>
      <c r="E137" s="12">
        <v>4.75</v>
      </c>
      <c r="F137" s="12">
        <v>10</v>
      </c>
      <c r="G137" s="12">
        <v>4.75</v>
      </c>
      <c r="H137" s="12">
        <v>4.7058823529411793</v>
      </c>
      <c r="I137" s="12" t="s">
        <v>83</v>
      </c>
      <c r="J137">
        <v>1</v>
      </c>
      <c r="K137" s="12">
        <v>46230</v>
      </c>
      <c r="L137">
        <v>46230</v>
      </c>
    </row>
    <row r="138" spans="1:12" x14ac:dyDescent="0.25">
      <c r="A138" s="12" t="s">
        <v>63</v>
      </c>
      <c r="B138" s="12" t="s">
        <v>40</v>
      </c>
      <c r="C138" s="12" t="s">
        <v>14</v>
      </c>
      <c r="D138" s="12">
        <v>3.1779578349000128</v>
      </c>
      <c r="E138" s="12">
        <v>3.8</v>
      </c>
      <c r="F138" s="12">
        <v>10</v>
      </c>
      <c r="G138" s="12">
        <v>3.8</v>
      </c>
      <c r="H138" s="12">
        <v>3.8062283737024223</v>
      </c>
      <c r="I138" s="12" t="s">
        <v>82</v>
      </c>
      <c r="J138">
        <v>1</v>
      </c>
      <c r="K138" s="12">
        <v>46230</v>
      </c>
      <c r="L138">
        <v>46230</v>
      </c>
    </row>
    <row r="139" spans="1:12" x14ac:dyDescent="0.25">
      <c r="A139" s="12" t="s">
        <v>63</v>
      </c>
      <c r="B139" s="12" t="s">
        <v>40</v>
      </c>
      <c r="C139" s="12" t="s">
        <v>15</v>
      </c>
      <c r="D139" s="12">
        <v>0</v>
      </c>
      <c r="E139" s="12">
        <v>0</v>
      </c>
      <c r="F139" s="12">
        <v>10</v>
      </c>
      <c r="G139" s="12">
        <v>0</v>
      </c>
      <c r="H139" s="12">
        <v>0</v>
      </c>
      <c r="I139" s="12" t="s">
        <v>84</v>
      </c>
      <c r="J139">
        <v>1</v>
      </c>
      <c r="K139" s="12">
        <v>46230</v>
      </c>
      <c r="L139">
        <v>46230</v>
      </c>
    </row>
    <row r="140" spans="1:12" x14ac:dyDescent="0.25">
      <c r="A140" s="12" t="s">
        <v>59</v>
      </c>
      <c r="B140" s="12" t="s">
        <v>39</v>
      </c>
      <c r="C140" s="12" t="s">
        <v>14</v>
      </c>
      <c r="D140" s="12">
        <v>3.3729492440604751</v>
      </c>
      <c r="E140" s="12">
        <v>3.8</v>
      </c>
      <c r="F140" s="12">
        <v>10</v>
      </c>
      <c r="G140" s="12">
        <v>3.8</v>
      </c>
      <c r="H140" s="12">
        <v>3.1548442906574392</v>
      </c>
      <c r="I140" s="12" t="s">
        <v>82</v>
      </c>
      <c r="K140" s="12">
        <v>46230</v>
      </c>
      <c r="L140">
        <v>46230</v>
      </c>
    </row>
    <row r="141" spans="1:12" x14ac:dyDescent="0.25">
      <c r="A141" s="12" t="s">
        <v>59</v>
      </c>
      <c r="B141" s="12" t="s">
        <v>39</v>
      </c>
      <c r="C141" s="12" t="s">
        <v>15</v>
      </c>
      <c r="D141" s="12">
        <v>1.2742252699784016</v>
      </c>
      <c r="E141" s="12">
        <v>0</v>
      </c>
      <c r="F141" s="12">
        <v>10</v>
      </c>
      <c r="G141" s="12">
        <v>0</v>
      </c>
      <c r="H141" s="12">
        <v>0.94117647058823517</v>
      </c>
      <c r="I141" s="12" t="s">
        <v>84</v>
      </c>
      <c r="K141" s="12">
        <v>46230</v>
      </c>
      <c r="L141">
        <v>46230</v>
      </c>
    </row>
    <row r="142" spans="1:12" x14ac:dyDescent="0.25">
      <c r="A142" s="12" t="s">
        <v>59</v>
      </c>
      <c r="B142" s="12" t="s">
        <v>39</v>
      </c>
      <c r="C142" s="12" t="s">
        <v>13</v>
      </c>
      <c r="D142" s="12">
        <v>3.5134887958963268</v>
      </c>
      <c r="E142" s="12">
        <v>4.75</v>
      </c>
      <c r="F142" s="12">
        <v>10</v>
      </c>
      <c r="G142" s="12">
        <v>4.75</v>
      </c>
      <c r="H142" s="12">
        <v>1.703125</v>
      </c>
      <c r="I142" s="12" t="s">
        <v>83</v>
      </c>
      <c r="K142" s="12">
        <v>46230</v>
      </c>
      <c r="L142">
        <v>46230</v>
      </c>
    </row>
    <row r="143" spans="1:12" x14ac:dyDescent="0.25">
      <c r="A143" s="12" t="s">
        <v>63</v>
      </c>
      <c r="B143" s="12" t="s">
        <v>39</v>
      </c>
      <c r="C143" s="12" t="s">
        <v>14</v>
      </c>
      <c r="D143" s="12">
        <v>3.3729492440604751</v>
      </c>
      <c r="E143" s="12">
        <v>3.8</v>
      </c>
      <c r="F143" s="12">
        <v>10</v>
      </c>
      <c r="G143" s="12">
        <v>3.8</v>
      </c>
      <c r="H143" s="12">
        <v>3.1548442906574392</v>
      </c>
      <c r="I143" s="12" t="s">
        <v>82</v>
      </c>
      <c r="J143">
        <v>1</v>
      </c>
      <c r="K143" s="12">
        <v>46230</v>
      </c>
      <c r="L143">
        <v>46230</v>
      </c>
    </row>
    <row r="144" spans="1:12" x14ac:dyDescent="0.25">
      <c r="A144" s="12" t="s">
        <v>63</v>
      </c>
      <c r="B144" s="12" t="s">
        <v>39</v>
      </c>
      <c r="C144" s="12" t="s">
        <v>15</v>
      </c>
      <c r="D144" s="12">
        <v>1.2742252699784016</v>
      </c>
      <c r="E144" s="12">
        <v>0</v>
      </c>
      <c r="F144" s="12">
        <v>10</v>
      </c>
      <c r="G144" s="12">
        <v>0</v>
      </c>
      <c r="H144" s="12">
        <v>0.94117647058823517</v>
      </c>
      <c r="I144" s="12" t="s">
        <v>84</v>
      </c>
      <c r="J144">
        <v>1</v>
      </c>
      <c r="K144" s="12">
        <v>46230</v>
      </c>
      <c r="L144">
        <v>46230</v>
      </c>
    </row>
    <row r="145" spans="1:12" x14ac:dyDescent="0.25">
      <c r="A145" s="12" t="s">
        <v>63</v>
      </c>
      <c r="B145" s="12" t="s">
        <v>39</v>
      </c>
      <c r="C145" s="12" t="s">
        <v>13</v>
      </c>
      <c r="D145" s="12">
        <v>3.5134887958963268</v>
      </c>
      <c r="E145" s="12">
        <v>4.75</v>
      </c>
      <c r="F145" s="12">
        <v>10</v>
      </c>
      <c r="G145" s="12">
        <v>4.75</v>
      </c>
      <c r="H145" s="12">
        <v>1.703125</v>
      </c>
      <c r="I145" s="12" t="s">
        <v>83</v>
      </c>
      <c r="J145">
        <v>1</v>
      </c>
      <c r="K145" s="12">
        <v>46230</v>
      </c>
      <c r="L145">
        <v>46230</v>
      </c>
    </row>
    <row r="146" spans="1:12" x14ac:dyDescent="0.25">
      <c r="A146" s="12" t="s">
        <v>59</v>
      </c>
      <c r="B146" s="12" t="s">
        <v>38</v>
      </c>
      <c r="C146" s="12" t="s">
        <v>14</v>
      </c>
      <c r="D146" s="12">
        <v>10.973885648639106</v>
      </c>
      <c r="E146" s="12">
        <v>0.95</v>
      </c>
      <c r="F146" s="12">
        <v>10</v>
      </c>
      <c r="G146" s="12">
        <v>0.95</v>
      </c>
      <c r="H146" s="12">
        <v>11.262499999999999</v>
      </c>
      <c r="I146" s="12" t="s">
        <v>85</v>
      </c>
      <c r="K146" s="12">
        <v>46231</v>
      </c>
      <c r="L146">
        <v>46231</v>
      </c>
    </row>
    <row r="147" spans="1:12" x14ac:dyDescent="0.25">
      <c r="A147" s="12" t="s">
        <v>59</v>
      </c>
      <c r="B147" s="12" t="s">
        <v>38</v>
      </c>
      <c r="C147" s="12" t="s">
        <v>15</v>
      </c>
      <c r="D147" s="12">
        <v>4.2207252494765797</v>
      </c>
      <c r="E147" s="12">
        <v>0</v>
      </c>
      <c r="F147" s="12">
        <v>10</v>
      </c>
      <c r="G147" s="12">
        <v>0</v>
      </c>
      <c r="H147" s="12">
        <v>4.6875</v>
      </c>
      <c r="I147" s="12" t="s">
        <v>86</v>
      </c>
      <c r="K147" s="12">
        <v>46231</v>
      </c>
      <c r="L147">
        <v>46231</v>
      </c>
    </row>
    <row r="148" spans="1:12" x14ac:dyDescent="0.25">
      <c r="A148" s="12" t="s">
        <v>59</v>
      </c>
      <c r="B148" s="12" t="s">
        <v>38</v>
      </c>
      <c r="C148" s="12" t="s">
        <v>13</v>
      </c>
      <c r="D148" s="12">
        <v>11.738892100106735</v>
      </c>
      <c r="E148" s="12">
        <v>3.8</v>
      </c>
      <c r="F148" s="12">
        <v>10</v>
      </c>
      <c r="G148" s="12">
        <v>3.8</v>
      </c>
      <c r="H148" s="12">
        <v>9.5187500000000007</v>
      </c>
      <c r="I148" s="12" t="s">
        <v>87</v>
      </c>
      <c r="K148" s="12">
        <v>46231</v>
      </c>
      <c r="L148">
        <v>46231</v>
      </c>
    </row>
    <row r="149" spans="1:12" x14ac:dyDescent="0.25">
      <c r="A149" s="12" t="s">
        <v>63</v>
      </c>
      <c r="B149" s="12" t="s">
        <v>38</v>
      </c>
      <c r="C149" s="12" t="s">
        <v>14</v>
      </c>
      <c r="D149" s="12">
        <v>10.973885648639106</v>
      </c>
      <c r="E149" s="12">
        <v>0.95</v>
      </c>
      <c r="F149" s="12">
        <v>10</v>
      </c>
      <c r="G149" s="12">
        <v>0.95</v>
      </c>
      <c r="H149" s="12">
        <v>11.262499999999999</v>
      </c>
      <c r="I149" s="12" t="s">
        <v>85</v>
      </c>
      <c r="J149">
        <v>1</v>
      </c>
      <c r="K149" s="12">
        <v>46231</v>
      </c>
      <c r="L149">
        <v>46231</v>
      </c>
    </row>
    <row r="150" spans="1:12" x14ac:dyDescent="0.25">
      <c r="A150" s="12" t="s">
        <v>63</v>
      </c>
      <c r="B150" s="12" t="s">
        <v>38</v>
      </c>
      <c r="C150" s="12" t="s">
        <v>15</v>
      </c>
      <c r="D150" s="12">
        <v>4.2207252494765797</v>
      </c>
      <c r="E150" s="12">
        <v>0</v>
      </c>
      <c r="F150" s="12">
        <v>10</v>
      </c>
      <c r="G150" s="12">
        <v>0</v>
      </c>
      <c r="H150" s="12">
        <v>4.6875</v>
      </c>
      <c r="I150" s="12" t="s">
        <v>86</v>
      </c>
      <c r="J150">
        <v>1</v>
      </c>
      <c r="K150" s="12">
        <v>46231</v>
      </c>
      <c r="L150">
        <v>46231</v>
      </c>
    </row>
    <row r="151" spans="1:12" x14ac:dyDescent="0.25">
      <c r="A151" s="12" t="s">
        <v>63</v>
      </c>
      <c r="B151" s="12" t="s">
        <v>38</v>
      </c>
      <c r="C151" s="12" t="s">
        <v>13</v>
      </c>
      <c r="D151" s="12">
        <v>11.738892100106735</v>
      </c>
      <c r="E151" s="12">
        <v>3.8</v>
      </c>
      <c r="F151" s="12">
        <v>10</v>
      </c>
      <c r="G151" s="12">
        <v>3.8</v>
      </c>
      <c r="H151" s="12">
        <v>9.5187500000000007</v>
      </c>
      <c r="I151" s="12" t="s">
        <v>87</v>
      </c>
      <c r="J151">
        <v>1</v>
      </c>
      <c r="K151" s="12">
        <v>46231</v>
      </c>
      <c r="L151">
        <v>46231</v>
      </c>
    </row>
    <row r="152" spans="1:12" x14ac:dyDescent="0.25">
      <c r="A152" s="12" t="s">
        <v>59</v>
      </c>
      <c r="B152" s="12" t="s">
        <v>40</v>
      </c>
      <c r="C152" s="12" t="s">
        <v>14</v>
      </c>
      <c r="D152" s="12">
        <v>3.1779578349000128</v>
      </c>
      <c r="E152" s="12">
        <v>2.8499999999999996</v>
      </c>
      <c r="F152" s="12">
        <v>10</v>
      </c>
      <c r="G152" s="12">
        <v>2.8499999999999996</v>
      </c>
      <c r="H152" s="12">
        <v>4.6885813148788937</v>
      </c>
      <c r="I152" s="12" t="s">
        <v>85</v>
      </c>
      <c r="K152" s="12">
        <v>46231</v>
      </c>
      <c r="L152">
        <v>46231</v>
      </c>
    </row>
    <row r="153" spans="1:12" x14ac:dyDescent="0.25">
      <c r="A153" s="12" t="s">
        <v>59</v>
      </c>
      <c r="B153" s="12" t="s">
        <v>40</v>
      </c>
      <c r="C153" s="12" t="s">
        <v>13</v>
      </c>
      <c r="D153" s="12">
        <v>3.5876164620550925</v>
      </c>
      <c r="E153" s="12">
        <v>4.75</v>
      </c>
      <c r="F153" s="12">
        <v>10</v>
      </c>
      <c r="G153" s="12">
        <v>4.75</v>
      </c>
      <c r="H153" s="12">
        <v>4.7058823529411749</v>
      </c>
      <c r="I153" s="12" t="s">
        <v>87</v>
      </c>
      <c r="K153" s="12">
        <v>46231</v>
      </c>
      <c r="L153">
        <v>46231</v>
      </c>
    </row>
    <row r="154" spans="1:12" x14ac:dyDescent="0.25">
      <c r="A154" s="12" t="s">
        <v>59</v>
      </c>
      <c r="B154" s="12" t="s">
        <v>40</v>
      </c>
      <c r="C154" s="12" t="s">
        <v>15</v>
      </c>
      <c r="D154" s="12">
        <v>0</v>
      </c>
      <c r="E154" s="12">
        <v>1.9</v>
      </c>
      <c r="F154" s="12">
        <v>10</v>
      </c>
      <c r="G154" s="12">
        <v>1.9</v>
      </c>
      <c r="H154" s="12">
        <v>0</v>
      </c>
      <c r="I154" s="12" t="s">
        <v>86</v>
      </c>
      <c r="K154" s="12">
        <v>46231</v>
      </c>
      <c r="L154">
        <v>46231</v>
      </c>
    </row>
    <row r="155" spans="1:12" x14ac:dyDescent="0.25">
      <c r="A155" s="12" t="s">
        <v>63</v>
      </c>
      <c r="B155" s="12" t="s">
        <v>40</v>
      </c>
      <c r="C155" s="12" t="s">
        <v>14</v>
      </c>
      <c r="D155" s="12">
        <v>3.1779578349000128</v>
      </c>
      <c r="E155" s="12">
        <v>2.8499999999999996</v>
      </c>
      <c r="F155" s="12">
        <v>10</v>
      </c>
      <c r="G155" s="12">
        <v>2.8499999999999996</v>
      </c>
      <c r="H155" s="12">
        <v>4.6885813148788937</v>
      </c>
      <c r="I155" s="12" t="s">
        <v>85</v>
      </c>
      <c r="J155">
        <v>1</v>
      </c>
      <c r="K155" s="12">
        <v>46231</v>
      </c>
      <c r="L155">
        <v>46231</v>
      </c>
    </row>
    <row r="156" spans="1:12" x14ac:dyDescent="0.25">
      <c r="A156" s="12" t="s">
        <v>63</v>
      </c>
      <c r="B156" s="12" t="s">
        <v>40</v>
      </c>
      <c r="C156" s="12" t="s">
        <v>13</v>
      </c>
      <c r="D156" s="12">
        <v>3.5876164620550925</v>
      </c>
      <c r="E156" s="12">
        <v>4.75</v>
      </c>
      <c r="F156" s="12">
        <v>10</v>
      </c>
      <c r="G156" s="12">
        <v>4.75</v>
      </c>
      <c r="H156" s="12">
        <v>4.7058823529411749</v>
      </c>
      <c r="I156" s="12" t="s">
        <v>87</v>
      </c>
      <c r="J156">
        <v>1</v>
      </c>
      <c r="K156" s="12">
        <v>46231</v>
      </c>
      <c r="L156">
        <v>46231</v>
      </c>
    </row>
    <row r="157" spans="1:12" x14ac:dyDescent="0.25">
      <c r="A157" s="12" t="s">
        <v>63</v>
      </c>
      <c r="B157" s="12" t="s">
        <v>40</v>
      </c>
      <c r="C157" s="12" t="s">
        <v>15</v>
      </c>
      <c r="D157" s="12">
        <v>0</v>
      </c>
      <c r="E157" s="12">
        <v>1.9</v>
      </c>
      <c r="F157" s="12">
        <v>10</v>
      </c>
      <c r="G157" s="12">
        <v>1.9</v>
      </c>
      <c r="H157" s="12">
        <v>0</v>
      </c>
      <c r="I157" s="12" t="s">
        <v>86</v>
      </c>
      <c r="J157">
        <v>1</v>
      </c>
      <c r="K157" s="12">
        <v>46231</v>
      </c>
      <c r="L157">
        <v>46231</v>
      </c>
    </row>
    <row r="158" spans="1:12" x14ac:dyDescent="0.25">
      <c r="A158" s="12" t="s">
        <v>59</v>
      </c>
      <c r="B158" s="12" t="s">
        <v>39</v>
      </c>
      <c r="C158" s="12" t="s">
        <v>15</v>
      </c>
      <c r="D158" s="12">
        <v>1.2742252699784016</v>
      </c>
      <c r="E158" s="12">
        <v>0</v>
      </c>
      <c r="F158" s="12">
        <v>10</v>
      </c>
      <c r="G158" s="12">
        <v>0</v>
      </c>
      <c r="H158" s="12">
        <v>0.94117647058823517</v>
      </c>
      <c r="I158" s="12" t="s">
        <v>86</v>
      </c>
      <c r="K158" s="12">
        <v>46231</v>
      </c>
      <c r="L158">
        <v>46231</v>
      </c>
    </row>
    <row r="159" spans="1:12" x14ac:dyDescent="0.25">
      <c r="A159" s="12" t="s">
        <v>59</v>
      </c>
      <c r="B159" s="12" t="s">
        <v>39</v>
      </c>
      <c r="C159" s="12" t="s">
        <v>14</v>
      </c>
      <c r="D159" s="12">
        <v>3.3729492440604751</v>
      </c>
      <c r="E159" s="12">
        <v>1.9</v>
      </c>
      <c r="F159" s="12">
        <v>10</v>
      </c>
      <c r="G159" s="12">
        <v>1.9</v>
      </c>
      <c r="H159" s="12">
        <v>3.5415224913494807</v>
      </c>
      <c r="I159" s="12" t="s">
        <v>85</v>
      </c>
      <c r="K159" s="12">
        <v>46231</v>
      </c>
      <c r="L159">
        <v>46231</v>
      </c>
    </row>
    <row r="160" spans="1:12" x14ac:dyDescent="0.25">
      <c r="A160" s="12" t="s">
        <v>59</v>
      </c>
      <c r="B160" s="12" t="s">
        <v>39</v>
      </c>
      <c r="C160" s="12" t="s">
        <v>13</v>
      </c>
      <c r="D160" s="12">
        <v>7.0269775917926545</v>
      </c>
      <c r="E160" s="12">
        <v>4.75</v>
      </c>
      <c r="F160" s="12">
        <v>10</v>
      </c>
      <c r="G160" s="12">
        <v>4.75</v>
      </c>
      <c r="H160" s="12">
        <v>5.2297794117647047</v>
      </c>
      <c r="I160" s="12" t="s">
        <v>87</v>
      </c>
      <c r="K160" s="12">
        <v>46231</v>
      </c>
      <c r="L160">
        <v>46231</v>
      </c>
    </row>
    <row r="161" spans="1:12" x14ac:dyDescent="0.25">
      <c r="A161" s="12" t="s">
        <v>63</v>
      </c>
      <c r="B161" s="12" t="s">
        <v>39</v>
      </c>
      <c r="C161" s="12" t="s">
        <v>15</v>
      </c>
      <c r="D161" s="12">
        <v>1.2742252699784016</v>
      </c>
      <c r="E161" s="12">
        <v>0</v>
      </c>
      <c r="F161" s="12">
        <v>10</v>
      </c>
      <c r="G161" s="12">
        <v>0</v>
      </c>
      <c r="H161" s="12">
        <v>0.94117647058823517</v>
      </c>
      <c r="I161" s="12" t="s">
        <v>86</v>
      </c>
      <c r="J161">
        <v>1</v>
      </c>
      <c r="K161" s="12">
        <v>46231</v>
      </c>
      <c r="L161">
        <v>46231</v>
      </c>
    </row>
    <row r="162" spans="1:12" x14ac:dyDescent="0.25">
      <c r="A162" s="12" t="s">
        <v>63</v>
      </c>
      <c r="B162" s="12" t="s">
        <v>39</v>
      </c>
      <c r="C162" s="12" t="s">
        <v>14</v>
      </c>
      <c r="D162" s="12">
        <v>3.3729492440604751</v>
      </c>
      <c r="E162" s="12">
        <v>1.9</v>
      </c>
      <c r="F162" s="12">
        <v>10</v>
      </c>
      <c r="G162" s="12">
        <v>1.9</v>
      </c>
      <c r="H162" s="12">
        <v>3.5415224913494807</v>
      </c>
      <c r="I162" s="12" t="s">
        <v>85</v>
      </c>
      <c r="J162">
        <v>1</v>
      </c>
      <c r="K162" s="12">
        <v>46231</v>
      </c>
      <c r="L162">
        <v>46231</v>
      </c>
    </row>
    <row r="163" spans="1:12" x14ac:dyDescent="0.25">
      <c r="A163" s="12" t="s">
        <v>63</v>
      </c>
      <c r="B163" s="12" t="s">
        <v>39</v>
      </c>
      <c r="C163" s="12" t="s">
        <v>13</v>
      </c>
      <c r="D163" s="12">
        <v>7.0269775917926545</v>
      </c>
      <c r="E163" s="12">
        <v>4.75</v>
      </c>
      <c r="F163" s="12">
        <v>10</v>
      </c>
      <c r="G163" s="12">
        <v>4.75</v>
      </c>
      <c r="H163" s="12">
        <v>5.2297794117647047</v>
      </c>
      <c r="I163" s="12" t="s">
        <v>87</v>
      </c>
      <c r="J163">
        <v>1</v>
      </c>
      <c r="K163" s="12">
        <v>46231</v>
      </c>
      <c r="L163">
        <v>46231</v>
      </c>
    </row>
    <row r="164" spans="1:12" x14ac:dyDescent="0.25">
      <c r="A164" s="12" t="s">
        <v>59</v>
      </c>
      <c r="B164" s="12" t="s">
        <v>38</v>
      </c>
      <c r="C164" s="12" t="s">
        <v>15</v>
      </c>
      <c r="D164" s="12">
        <v>4.2207252494765797</v>
      </c>
      <c r="E164" s="12">
        <v>2.8499999999999996</v>
      </c>
      <c r="F164" s="12">
        <v>10</v>
      </c>
      <c r="G164" s="12">
        <v>2.8499999999999996</v>
      </c>
      <c r="H164" s="12">
        <v>4.6875</v>
      </c>
      <c r="I164" s="12" t="s">
        <v>88</v>
      </c>
      <c r="K164" s="12">
        <v>46232</v>
      </c>
      <c r="L164">
        <v>46232</v>
      </c>
    </row>
    <row r="165" spans="1:12" x14ac:dyDescent="0.25">
      <c r="A165" s="12" t="s">
        <v>59</v>
      </c>
      <c r="B165" s="12" t="s">
        <v>38</v>
      </c>
      <c r="C165" s="12" t="s">
        <v>14</v>
      </c>
      <c r="D165" s="12">
        <v>10.815608451783737</v>
      </c>
      <c r="E165" s="12">
        <v>0.95</v>
      </c>
      <c r="F165" s="12">
        <v>10</v>
      </c>
      <c r="G165" s="12">
        <v>0.95</v>
      </c>
      <c r="H165" s="12">
        <v>11.253676470588236</v>
      </c>
      <c r="I165" s="12" t="s">
        <v>89</v>
      </c>
      <c r="K165" s="12">
        <v>46232</v>
      </c>
      <c r="L165">
        <v>46232</v>
      </c>
    </row>
    <row r="166" spans="1:12" x14ac:dyDescent="0.25">
      <c r="A166" s="12" t="s">
        <v>59</v>
      </c>
      <c r="B166" s="12" t="s">
        <v>38</v>
      </c>
      <c r="C166" s="12" t="s">
        <v>13</v>
      </c>
      <c r="D166" s="12">
        <v>12.583037150002054</v>
      </c>
      <c r="E166" s="12">
        <v>2.8499999999999996</v>
      </c>
      <c r="F166" s="12">
        <v>10</v>
      </c>
      <c r="G166" s="12">
        <v>2.8499999999999996</v>
      </c>
      <c r="H166" s="12">
        <v>12.652573529411764</v>
      </c>
      <c r="I166" s="12" t="s">
        <v>90</v>
      </c>
      <c r="K166" s="12">
        <v>46232</v>
      </c>
      <c r="L166">
        <v>46232</v>
      </c>
    </row>
    <row r="167" spans="1:12" x14ac:dyDescent="0.25">
      <c r="A167" s="12" t="s">
        <v>63</v>
      </c>
      <c r="B167" s="12" t="s">
        <v>38</v>
      </c>
      <c r="C167" s="12" t="s">
        <v>15</v>
      </c>
      <c r="D167" s="12">
        <v>4.2207252494765797</v>
      </c>
      <c r="E167" s="12">
        <v>2.8499999999999996</v>
      </c>
      <c r="F167" s="12">
        <v>10</v>
      </c>
      <c r="G167" s="12">
        <v>2.8499999999999996</v>
      </c>
      <c r="H167" s="12">
        <v>4.6875</v>
      </c>
      <c r="I167" s="12" t="s">
        <v>88</v>
      </c>
      <c r="J167">
        <v>1</v>
      </c>
      <c r="K167" s="12">
        <v>46232</v>
      </c>
      <c r="L167">
        <v>46232</v>
      </c>
    </row>
    <row r="168" spans="1:12" x14ac:dyDescent="0.25">
      <c r="A168" s="12" t="s">
        <v>63</v>
      </c>
      <c r="B168" s="12" t="s">
        <v>38</v>
      </c>
      <c r="C168" s="12" t="s">
        <v>14</v>
      </c>
      <c r="D168" s="12">
        <v>10.815608451783737</v>
      </c>
      <c r="E168" s="12">
        <v>0.95</v>
      </c>
      <c r="F168" s="12">
        <v>10</v>
      </c>
      <c r="G168" s="12">
        <v>0.95</v>
      </c>
      <c r="H168" s="12">
        <v>11.253676470588236</v>
      </c>
      <c r="I168" s="12" t="s">
        <v>89</v>
      </c>
      <c r="J168">
        <v>1</v>
      </c>
      <c r="K168" s="12">
        <v>46232</v>
      </c>
      <c r="L168">
        <v>46232</v>
      </c>
    </row>
    <row r="169" spans="1:12" x14ac:dyDescent="0.25">
      <c r="A169" s="12" t="s">
        <v>63</v>
      </c>
      <c r="B169" s="12" t="s">
        <v>38</v>
      </c>
      <c r="C169" s="12" t="s">
        <v>13</v>
      </c>
      <c r="D169" s="12">
        <v>12.583037150002054</v>
      </c>
      <c r="E169" s="12">
        <v>2.8499999999999996</v>
      </c>
      <c r="F169" s="12">
        <v>10</v>
      </c>
      <c r="G169" s="12">
        <v>2.8499999999999996</v>
      </c>
      <c r="H169" s="12">
        <v>12.652573529411764</v>
      </c>
      <c r="I169" s="12" t="s">
        <v>90</v>
      </c>
      <c r="J169">
        <v>1</v>
      </c>
      <c r="K169" s="12">
        <v>46232</v>
      </c>
      <c r="L169">
        <v>46232</v>
      </c>
    </row>
    <row r="170" spans="1:12" x14ac:dyDescent="0.25">
      <c r="A170" s="12" t="s">
        <v>59</v>
      </c>
      <c r="B170" s="12" t="s">
        <v>40</v>
      </c>
      <c r="C170" s="12" t="s">
        <v>14</v>
      </c>
      <c r="D170" s="12">
        <v>3.1779578349000128</v>
      </c>
      <c r="E170" s="12">
        <v>2.8499999999999996</v>
      </c>
      <c r="F170" s="12">
        <v>10</v>
      </c>
      <c r="G170" s="12">
        <v>2.8499999999999996</v>
      </c>
      <c r="H170" s="12">
        <v>4.6332179930795849</v>
      </c>
      <c r="I170" s="12" t="s">
        <v>89</v>
      </c>
      <c r="K170" s="12">
        <v>46232</v>
      </c>
      <c r="L170">
        <v>46232</v>
      </c>
    </row>
    <row r="171" spans="1:12" x14ac:dyDescent="0.25">
      <c r="A171" s="12" t="s">
        <v>59</v>
      </c>
      <c r="B171" s="12" t="s">
        <v>40</v>
      </c>
      <c r="C171" s="12" t="s">
        <v>15</v>
      </c>
      <c r="D171" s="12">
        <v>0</v>
      </c>
      <c r="E171" s="12">
        <v>0</v>
      </c>
      <c r="F171" s="12">
        <v>10</v>
      </c>
      <c r="G171" s="12">
        <v>0</v>
      </c>
      <c r="H171" s="12">
        <v>0</v>
      </c>
      <c r="I171" s="12" t="s">
        <v>88</v>
      </c>
      <c r="K171" s="12">
        <v>46232</v>
      </c>
      <c r="L171">
        <v>46232</v>
      </c>
    </row>
    <row r="172" spans="1:12" x14ac:dyDescent="0.25">
      <c r="A172" s="12" t="s">
        <v>59</v>
      </c>
      <c r="B172" s="12" t="s">
        <v>40</v>
      </c>
      <c r="C172" s="12" t="s">
        <v>13</v>
      </c>
      <c r="D172" s="12">
        <v>3.587616462055093</v>
      </c>
      <c r="E172" s="12">
        <v>3.8</v>
      </c>
      <c r="F172" s="12">
        <v>10</v>
      </c>
      <c r="G172" s="12">
        <v>3.8</v>
      </c>
      <c r="H172" s="12">
        <v>4.7022058823529385</v>
      </c>
      <c r="I172" s="12" t="s">
        <v>90</v>
      </c>
      <c r="K172" s="12">
        <v>46232</v>
      </c>
      <c r="L172">
        <v>46232</v>
      </c>
    </row>
    <row r="173" spans="1:12" x14ac:dyDescent="0.25">
      <c r="A173" s="12" t="s">
        <v>63</v>
      </c>
      <c r="B173" s="12" t="s">
        <v>40</v>
      </c>
      <c r="C173" s="12" t="s">
        <v>14</v>
      </c>
      <c r="D173" s="12">
        <v>3.1779578349000128</v>
      </c>
      <c r="E173" s="12">
        <v>2.8499999999999996</v>
      </c>
      <c r="F173" s="12">
        <v>10</v>
      </c>
      <c r="G173" s="12">
        <v>2.8499999999999996</v>
      </c>
      <c r="H173" s="12">
        <v>4.6332179930795849</v>
      </c>
      <c r="I173" s="12" t="s">
        <v>89</v>
      </c>
      <c r="J173">
        <v>1</v>
      </c>
      <c r="K173" s="12">
        <v>46232</v>
      </c>
      <c r="L173">
        <v>46232</v>
      </c>
    </row>
    <row r="174" spans="1:12" x14ac:dyDescent="0.25">
      <c r="A174" s="12" t="s">
        <v>63</v>
      </c>
      <c r="B174" s="12" t="s">
        <v>40</v>
      </c>
      <c r="C174" s="12" t="s">
        <v>15</v>
      </c>
      <c r="D174" s="12">
        <v>0</v>
      </c>
      <c r="E174" s="12">
        <v>0</v>
      </c>
      <c r="F174" s="12">
        <v>10</v>
      </c>
      <c r="G174" s="12">
        <v>0</v>
      </c>
      <c r="H174" s="12">
        <v>0</v>
      </c>
      <c r="I174" s="12" t="s">
        <v>88</v>
      </c>
      <c r="J174">
        <v>1</v>
      </c>
      <c r="K174" s="12">
        <v>46232</v>
      </c>
      <c r="L174">
        <v>46232</v>
      </c>
    </row>
    <row r="175" spans="1:12" x14ac:dyDescent="0.25">
      <c r="A175" s="12" t="s">
        <v>63</v>
      </c>
      <c r="B175" s="12" t="s">
        <v>40</v>
      </c>
      <c r="C175" s="12" t="s">
        <v>13</v>
      </c>
      <c r="D175" s="12">
        <v>3.587616462055093</v>
      </c>
      <c r="E175" s="12">
        <v>3.8</v>
      </c>
      <c r="F175" s="12">
        <v>10</v>
      </c>
      <c r="G175" s="12">
        <v>3.8</v>
      </c>
      <c r="H175" s="12">
        <v>4.7022058823529385</v>
      </c>
      <c r="I175" s="12" t="s">
        <v>90</v>
      </c>
      <c r="J175">
        <v>1</v>
      </c>
      <c r="K175" s="12">
        <v>46232</v>
      </c>
      <c r="L175">
        <v>46232</v>
      </c>
    </row>
    <row r="176" spans="1:12" x14ac:dyDescent="0.25">
      <c r="A176" s="12" t="s">
        <v>59</v>
      </c>
      <c r="B176" s="12" t="s">
        <v>39</v>
      </c>
      <c r="C176" s="12" t="s">
        <v>14</v>
      </c>
      <c r="D176" s="12">
        <v>2.2486328293736499</v>
      </c>
      <c r="E176" s="12">
        <v>4.75</v>
      </c>
      <c r="F176" s="12">
        <v>10</v>
      </c>
      <c r="G176" s="12">
        <v>4.75</v>
      </c>
      <c r="H176" s="12">
        <v>2.5449826989619382</v>
      </c>
      <c r="I176" s="12" t="s">
        <v>89</v>
      </c>
      <c r="K176" s="12">
        <v>46232</v>
      </c>
      <c r="L176">
        <v>46232</v>
      </c>
    </row>
    <row r="177" spans="1:12" x14ac:dyDescent="0.25">
      <c r="A177" s="12" t="s">
        <v>59</v>
      </c>
      <c r="B177" s="12" t="s">
        <v>39</v>
      </c>
      <c r="C177" s="12" t="s">
        <v>15</v>
      </c>
      <c r="D177" s="12">
        <v>1.2742252699784016</v>
      </c>
      <c r="E177" s="12">
        <v>0</v>
      </c>
      <c r="F177" s="12">
        <v>10</v>
      </c>
      <c r="G177" s="12">
        <v>0</v>
      </c>
      <c r="H177" s="12">
        <v>0.94117647058823517</v>
      </c>
      <c r="I177" s="12" t="s">
        <v>88</v>
      </c>
      <c r="K177" s="12">
        <v>46232</v>
      </c>
      <c r="L177">
        <v>46232</v>
      </c>
    </row>
    <row r="178" spans="1:12" x14ac:dyDescent="0.25">
      <c r="A178" s="12" t="s">
        <v>59</v>
      </c>
      <c r="B178" s="12" t="s">
        <v>39</v>
      </c>
      <c r="C178" s="12" t="s">
        <v>13</v>
      </c>
      <c r="D178" s="12">
        <v>5.8323914011879054</v>
      </c>
      <c r="E178" s="12">
        <v>3.8</v>
      </c>
      <c r="F178" s="12">
        <v>10</v>
      </c>
      <c r="G178" s="12">
        <v>3.8</v>
      </c>
      <c r="H178" s="12">
        <v>4.2886029411764683</v>
      </c>
      <c r="I178" s="12" t="s">
        <v>90</v>
      </c>
      <c r="K178" s="12">
        <v>46232</v>
      </c>
      <c r="L178">
        <v>46232</v>
      </c>
    </row>
    <row r="179" spans="1:12" x14ac:dyDescent="0.25">
      <c r="A179" s="12" t="s">
        <v>63</v>
      </c>
      <c r="B179" s="12" t="s">
        <v>39</v>
      </c>
      <c r="C179" s="12" t="s">
        <v>14</v>
      </c>
      <c r="D179" s="12">
        <v>2.2486328293736499</v>
      </c>
      <c r="E179" s="12">
        <v>4.75</v>
      </c>
      <c r="F179" s="12">
        <v>10</v>
      </c>
      <c r="G179" s="12">
        <v>4.75</v>
      </c>
      <c r="H179" s="12">
        <v>2.5449826989619382</v>
      </c>
      <c r="I179" s="12" t="s">
        <v>89</v>
      </c>
      <c r="J179">
        <v>1</v>
      </c>
      <c r="K179" s="12">
        <v>46232</v>
      </c>
      <c r="L179">
        <v>46232</v>
      </c>
    </row>
    <row r="180" spans="1:12" x14ac:dyDescent="0.25">
      <c r="A180" s="12" t="s">
        <v>63</v>
      </c>
      <c r="B180" s="12" t="s">
        <v>39</v>
      </c>
      <c r="C180" s="12" t="s">
        <v>15</v>
      </c>
      <c r="D180" s="12">
        <v>1.2742252699784016</v>
      </c>
      <c r="E180" s="12">
        <v>0</v>
      </c>
      <c r="F180" s="12">
        <v>10</v>
      </c>
      <c r="G180" s="12">
        <v>0</v>
      </c>
      <c r="H180" s="12">
        <v>0.94117647058823517</v>
      </c>
      <c r="I180" s="12" t="s">
        <v>88</v>
      </c>
      <c r="J180">
        <v>1</v>
      </c>
      <c r="K180" s="12">
        <v>46232</v>
      </c>
      <c r="L180">
        <v>46232</v>
      </c>
    </row>
    <row r="181" spans="1:12" x14ac:dyDescent="0.25">
      <c r="A181" s="12" t="s">
        <v>63</v>
      </c>
      <c r="B181" s="12" t="s">
        <v>39</v>
      </c>
      <c r="C181" s="12" t="s">
        <v>13</v>
      </c>
      <c r="D181" s="12">
        <v>5.8323914011879054</v>
      </c>
      <c r="E181" s="12">
        <v>3.8</v>
      </c>
      <c r="F181" s="12">
        <v>10</v>
      </c>
      <c r="G181" s="12">
        <v>3.8</v>
      </c>
      <c r="H181" s="12">
        <v>4.2886029411764683</v>
      </c>
      <c r="I181" s="12" t="s">
        <v>90</v>
      </c>
      <c r="J181">
        <v>1</v>
      </c>
      <c r="K181" s="12">
        <v>46232</v>
      </c>
      <c r="L181">
        <v>46232</v>
      </c>
    </row>
    <row r="182" spans="1:12" x14ac:dyDescent="0.25">
      <c r="A182" s="12" t="s">
        <v>59</v>
      </c>
      <c r="B182" s="12" t="s">
        <v>38</v>
      </c>
      <c r="C182" s="12" t="s">
        <v>14</v>
      </c>
      <c r="D182" s="12">
        <v>10.973885648639106</v>
      </c>
      <c r="E182" s="12">
        <v>5.6999999999999993</v>
      </c>
      <c r="F182" s="12">
        <v>10</v>
      </c>
      <c r="G182" s="12">
        <v>5.6999999999999993</v>
      </c>
      <c r="H182" s="12">
        <v>11.25</v>
      </c>
      <c r="I182" s="12" t="s">
        <v>91</v>
      </c>
      <c r="K182" s="12">
        <v>46233</v>
      </c>
      <c r="L182">
        <v>46233</v>
      </c>
    </row>
    <row r="183" spans="1:12" x14ac:dyDescent="0.25">
      <c r="A183" s="12" t="s">
        <v>59</v>
      </c>
      <c r="B183" s="12" t="s">
        <v>38</v>
      </c>
      <c r="C183" s="12" t="s">
        <v>13</v>
      </c>
      <c r="D183" s="12">
        <v>10.89474705021142</v>
      </c>
      <c r="E183" s="12">
        <v>0</v>
      </c>
      <c r="F183" s="12">
        <v>10</v>
      </c>
      <c r="G183" s="12">
        <v>0</v>
      </c>
      <c r="H183" s="12">
        <v>11.15625</v>
      </c>
      <c r="I183" s="12" t="s">
        <v>92</v>
      </c>
      <c r="K183" s="12">
        <v>46233</v>
      </c>
      <c r="L183">
        <v>46233</v>
      </c>
    </row>
    <row r="184" spans="1:12" x14ac:dyDescent="0.25">
      <c r="A184" s="12" t="s">
        <v>59</v>
      </c>
      <c r="B184" s="12" t="s">
        <v>38</v>
      </c>
      <c r="C184" s="12" t="s">
        <v>15</v>
      </c>
      <c r="D184" s="12">
        <v>4.2207252494765797</v>
      </c>
      <c r="E184" s="12">
        <v>0</v>
      </c>
      <c r="F184" s="12">
        <v>10</v>
      </c>
      <c r="G184" s="12">
        <v>0</v>
      </c>
      <c r="H184" s="12">
        <v>4.6875</v>
      </c>
      <c r="I184" s="12" t="s">
        <v>93</v>
      </c>
      <c r="K184" s="12">
        <v>46233</v>
      </c>
      <c r="L184">
        <v>46233</v>
      </c>
    </row>
    <row r="185" spans="1:12" x14ac:dyDescent="0.25">
      <c r="A185" s="12" t="s">
        <v>63</v>
      </c>
      <c r="B185" s="12" t="s">
        <v>38</v>
      </c>
      <c r="C185" s="12" t="s">
        <v>14</v>
      </c>
      <c r="D185" s="12">
        <v>10.973885648639106</v>
      </c>
      <c r="E185" s="12">
        <v>5.6999999999999993</v>
      </c>
      <c r="F185" s="12">
        <v>10</v>
      </c>
      <c r="G185" s="12">
        <v>5.6999999999999993</v>
      </c>
      <c r="H185" s="12">
        <v>11.25</v>
      </c>
      <c r="I185" s="12" t="s">
        <v>91</v>
      </c>
      <c r="J185">
        <v>1</v>
      </c>
      <c r="K185" s="12">
        <v>46233</v>
      </c>
      <c r="L185">
        <v>46233</v>
      </c>
    </row>
    <row r="186" spans="1:12" x14ac:dyDescent="0.25">
      <c r="A186" s="12" t="s">
        <v>63</v>
      </c>
      <c r="B186" s="12" t="s">
        <v>38</v>
      </c>
      <c r="C186" s="12" t="s">
        <v>13</v>
      </c>
      <c r="D186" s="12">
        <v>10.89474705021142</v>
      </c>
      <c r="E186" s="12">
        <v>0</v>
      </c>
      <c r="F186" s="12">
        <v>10</v>
      </c>
      <c r="G186" s="12">
        <v>0</v>
      </c>
      <c r="H186" s="12">
        <v>11.15625</v>
      </c>
      <c r="I186" s="12" t="s">
        <v>92</v>
      </c>
      <c r="J186">
        <v>1</v>
      </c>
      <c r="K186" s="12">
        <v>46233</v>
      </c>
      <c r="L186">
        <v>46233</v>
      </c>
    </row>
    <row r="187" spans="1:12" x14ac:dyDescent="0.25">
      <c r="A187" s="12" t="s">
        <v>63</v>
      </c>
      <c r="B187" s="12" t="s">
        <v>38</v>
      </c>
      <c r="C187" s="12" t="s">
        <v>15</v>
      </c>
      <c r="D187" s="12">
        <v>4.2207252494765797</v>
      </c>
      <c r="E187" s="12">
        <v>0</v>
      </c>
      <c r="F187" s="12">
        <v>10</v>
      </c>
      <c r="G187" s="12">
        <v>0</v>
      </c>
      <c r="H187" s="12">
        <v>4.6875</v>
      </c>
      <c r="I187" s="12" t="s">
        <v>93</v>
      </c>
      <c r="J187">
        <v>1</v>
      </c>
      <c r="K187" s="12">
        <v>46233</v>
      </c>
      <c r="L187">
        <v>46233</v>
      </c>
    </row>
    <row r="188" spans="1:12" x14ac:dyDescent="0.25">
      <c r="A188" s="12" t="s">
        <v>59</v>
      </c>
      <c r="B188" s="12" t="s">
        <v>40</v>
      </c>
      <c r="C188" s="12" t="s">
        <v>14</v>
      </c>
      <c r="D188" s="12">
        <v>3.1779578349000128</v>
      </c>
      <c r="E188" s="12">
        <v>2.8499999999999996</v>
      </c>
      <c r="F188" s="12">
        <v>10</v>
      </c>
      <c r="G188" s="12">
        <v>2.8499999999999996</v>
      </c>
      <c r="H188" s="12">
        <v>4.6885813148788928</v>
      </c>
      <c r="I188" s="12" t="s">
        <v>91</v>
      </c>
      <c r="K188" s="12">
        <v>46233</v>
      </c>
      <c r="L188">
        <v>46233</v>
      </c>
    </row>
    <row r="189" spans="1:12" x14ac:dyDescent="0.25">
      <c r="A189" s="12" t="s">
        <v>59</v>
      </c>
      <c r="B189" s="12" t="s">
        <v>40</v>
      </c>
      <c r="C189" s="12" t="s">
        <v>13</v>
      </c>
      <c r="D189" s="12">
        <v>3.587616462055093</v>
      </c>
      <c r="E189" s="12">
        <v>3.8</v>
      </c>
      <c r="F189" s="12">
        <v>10</v>
      </c>
      <c r="G189" s="12">
        <v>3.8</v>
      </c>
      <c r="H189" s="12">
        <v>5.6433823529411775</v>
      </c>
      <c r="I189" s="12" t="s">
        <v>92</v>
      </c>
      <c r="K189" s="12">
        <v>46233</v>
      </c>
      <c r="L189">
        <v>46233</v>
      </c>
    </row>
    <row r="190" spans="1:12" x14ac:dyDescent="0.25">
      <c r="A190" s="12" t="s">
        <v>59</v>
      </c>
      <c r="B190" s="12" t="s">
        <v>40</v>
      </c>
      <c r="C190" s="12" t="s">
        <v>15</v>
      </c>
      <c r="D190" s="12">
        <v>0</v>
      </c>
      <c r="E190" s="12">
        <v>0</v>
      </c>
      <c r="F190" s="12">
        <v>10</v>
      </c>
      <c r="G190" s="12">
        <v>0</v>
      </c>
      <c r="H190" s="12">
        <v>0</v>
      </c>
      <c r="I190" s="12" t="s">
        <v>93</v>
      </c>
      <c r="K190" s="12">
        <v>46233</v>
      </c>
      <c r="L190">
        <v>46233</v>
      </c>
    </row>
    <row r="191" spans="1:12" x14ac:dyDescent="0.25">
      <c r="A191" s="12" t="s">
        <v>63</v>
      </c>
      <c r="B191" s="12" t="s">
        <v>40</v>
      </c>
      <c r="C191" s="12" t="s">
        <v>14</v>
      </c>
      <c r="D191" s="12">
        <v>3.1779578349000128</v>
      </c>
      <c r="E191" s="12">
        <v>2.8499999999999996</v>
      </c>
      <c r="F191" s="12">
        <v>10</v>
      </c>
      <c r="G191" s="12">
        <v>2.8499999999999996</v>
      </c>
      <c r="H191" s="12">
        <v>4.6885813148788928</v>
      </c>
      <c r="I191" s="12" t="s">
        <v>91</v>
      </c>
      <c r="J191">
        <v>1</v>
      </c>
      <c r="K191" s="12">
        <v>46233</v>
      </c>
      <c r="L191">
        <v>46233</v>
      </c>
    </row>
    <row r="192" spans="1:12" x14ac:dyDescent="0.25">
      <c r="A192" s="12" t="s">
        <v>63</v>
      </c>
      <c r="B192" s="12" t="s">
        <v>40</v>
      </c>
      <c r="C192" s="12" t="s">
        <v>13</v>
      </c>
      <c r="D192" s="12">
        <v>3.587616462055093</v>
      </c>
      <c r="E192" s="12">
        <v>3.8</v>
      </c>
      <c r="F192" s="12">
        <v>10</v>
      </c>
      <c r="G192" s="12">
        <v>3.8</v>
      </c>
      <c r="H192" s="12">
        <v>5.6433823529411775</v>
      </c>
      <c r="I192" s="12" t="s">
        <v>92</v>
      </c>
      <c r="J192">
        <v>1</v>
      </c>
      <c r="K192" s="12">
        <v>46233</v>
      </c>
      <c r="L192">
        <v>46233</v>
      </c>
    </row>
    <row r="193" spans="1:12" x14ac:dyDescent="0.25">
      <c r="A193" s="12" t="s">
        <v>63</v>
      </c>
      <c r="B193" s="12" t="s">
        <v>40</v>
      </c>
      <c r="C193" s="12" t="s">
        <v>15</v>
      </c>
      <c r="D193" s="12">
        <v>0</v>
      </c>
      <c r="E193" s="12">
        <v>0</v>
      </c>
      <c r="F193" s="12">
        <v>10</v>
      </c>
      <c r="G193" s="12">
        <v>0</v>
      </c>
      <c r="H193" s="12">
        <v>0</v>
      </c>
      <c r="I193" s="12" t="s">
        <v>93</v>
      </c>
      <c r="J193">
        <v>1</v>
      </c>
      <c r="K193" s="12">
        <v>46233</v>
      </c>
      <c r="L193">
        <v>46233</v>
      </c>
    </row>
    <row r="194" spans="1:12" x14ac:dyDescent="0.25">
      <c r="A194" s="12" t="s">
        <v>59</v>
      </c>
      <c r="B194" s="12" t="s">
        <v>39</v>
      </c>
      <c r="C194" s="12" t="s">
        <v>14</v>
      </c>
      <c r="D194" s="12">
        <v>3.3729492440604751</v>
      </c>
      <c r="E194" s="12">
        <v>3.8</v>
      </c>
      <c r="F194" s="12">
        <v>10</v>
      </c>
      <c r="G194" s="12">
        <v>3.8</v>
      </c>
      <c r="H194" s="12">
        <v>3.5949826989619371</v>
      </c>
      <c r="I194" s="12" t="s">
        <v>91</v>
      </c>
      <c r="K194" s="12">
        <v>46233</v>
      </c>
      <c r="L194">
        <v>46233</v>
      </c>
    </row>
    <row r="195" spans="1:12" x14ac:dyDescent="0.25">
      <c r="A195" s="12" t="s">
        <v>59</v>
      </c>
      <c r="B195" s="12" t="s">
        <v>39</v>
      </c>
      <c r="C195" s="12" t="s">
        <v>15</v>
      </c>
      <c r="D195" s="12">
        <v>1.2742252699784016</v>
      </c>
      <c r="E195" s="12">
        <v>0</v>
      </c>
      <c r="F195" s="12">
        <v>10</v>
      </c>
      <c r="G195" s="12">
        <v>0</v>
      </c>
      <c r="H195" s="12">
        <v>0.94117647058823517</v>
      </c>
      <c r="I195" s="12" t="s">
        <v>93</v>
      </c>
      <c r="K195" s="12">
        <v>46233</v>
      </c>
      <c r="L195">
        <v>46233</v>
      </c>
    </row>
    <row r="196" spans="1:12" x14ac:dyDescent="0.25">
      <c r="A196" s="12" t="s">
        <v>59</v>
      </c>
      <c r="B196" s="12" t="s">
        <v>39</v>
      </c>
      <c r="C196" s="12" t="s">
        <v>13</v>
      </c>
      <c r="D196" s="12">
        <v>5.7621216252699776</v>
      </c>
      <c r="E196" s="12">
        <v>2.8499999999999996</v>
      </c>
      <c r="F196" s="12">
        <v>10</v>
      </c>
      <c r="G196" s="12">
        <v>2.8499999999999996</v>
      </c>
      <c r="H196" s="12">
        <v>4.1104779411764714</v>
      </c>
      <c r="I196" s="12" t="s">
        <v>92</v>
      </c>
      <c r="K196" s="12">
        <v>46233</v>
      </c>
      <c r="L196">
        <v>46233</v>
      </c>
    </row>
    <row r="197" spans="1:12" x14ac:dyDescent="0.25">
      <c r="A197" s="12" t="s">
        <v>63</v>
      </c>
      <c r="B197" s="12" t="s">
        <v>39</v>
      </c>
      <c r="C197" s="12" t="s">
        <v>14</v>
      </c>
      <c r="D197" s="12">
        <v>3.3729492440604751</v>
      </c>
      <c r="E197" s="12">
        <v>3.8</v>
      </c>
      <c r="F197" s="12">
        <v>10</v>
      </c>
      <c r="G197" s="12">
        <v>3.8</v>
      </c>
      <c r="H197" s="12">
        <v>3.5949826989619371</v>
      </c>
      <c r="I197" s="12" t="s">
        <v>91</v>
      </c>
      <c r="J197">
        <v>1</v>
      </c>
      <c r="K197" s="12">
        <v>46233</v>
      </c>
      <c r="L197">
        <v>46233</v>
      </c>
    </row>
    <row r="198" spans="1:12" x14ac:dyDescent="0.25">
      <c r="A198" s="12" t="s">
        <v>63</v>
      </c>
      <c r="B198" s="12" t="s">
        <v>39</v>
      </c>
      <c r="C198" s="12" t="s">
        <v>15</v>
      </c>
      <c r="D198" s="12">
        <v>1.2742252699784016</v>
      </c>
      <c r="E198" s="12">
        <v>0</v>
      </c>
      <c r="F198" s="12">
        <v>10</v>
      </c>
      <c r="G198" s="12">
        <v>0</v>
      </c>
      <c r="H198" s="12">
        <v>0.94117647058823517</v>
      </c>
      <c r="I198" s="12" t="s">
        <v>93</v>
      </c>
      <c r="J198">
        <v>1</v>
      </c>
      <c r="K198" s="12">
        <v>46233</v>
      </c>
      <c r="L198">
        <v>46233</v>
      </c>
    </row>
    <row r="199" spans="1:12" x14ac:dyDescent="0.25">
      <c r="A199" s="12" t="s">
        <v>63</v>
      </c>
      <c r="B199" s="12" t="s">
        <v>39</v>
      </c>
      <c r="C199" s="12" t="s">
        <v>13</v>
      </c>
      <c r="D199" s="12">
        <v>5.7621216252699776</v>
      </c>
      <c r="E199" s="12">
        <v>2.8499999999999996</v>
      </c>
      <c r="F199" s="12">
        <v>10</v>
      </c>
      <c r="G199" s="12">
        <v>2.8499999999999996</v>
      </c>
      <c r="H199" s="12">
        <v>4.1104779411764714</v>
      </c>
      <c r="I199" s="12" t="s">
        <v>92</v>
      </c>
      <c r="J199">
        <v>1</v>
      </c>
      <c r="K199" s="12">
        <v>46233</v>
      </c>
      <c r="L199">
        <v>46233</v>
      </c>
    </row>
    <row r="200" spans="1:12" x14ac:dyDescent="0.25">
      <c r="A200" s="12" t="s">
        <v>59</v>
      </c>
      <c r="B200" s="12" t="s">
        <v>38</v>
      </c>
      <c r="C200" s="12" t="s">
        <v>13</v>
      </c>
      <c r="D200" s="12">
        <v>10.973885648639108</v>
      </c>
      <c r="E200" s="12">
        <v>1.9</v>
      </c>
      <c r="F200" s="12">
        <v>10</v>
      </c>
      <c r="G200" s="12">
        <v>1.9</v>
      </c>
      <c r="H200" s="12">
        <v>11.808823529411764</v>
      </c>
      <c r="I200" s="12" t="s">
        <v>94</v>
      </c>
      <c r="K200" s="12">
        <v>46234</v>
      </c>
      <c r="L200">
        <v>46234</v>
      </c>
    </row>
    <row r="201" spans="1:12" x14ac:dyDescent="0.25">
      <c r="A201" s="12" t="s">
        <v>59</v>
      </c>
      <c r="B201" s="12" t="s">
        <v>38</v>
      </c>
      <c r="C201" s="12" t="s">
        <v>15</v>
      </c>
      <c r="D201" s="12">
        <v>4.2207252494765797</v>
      </c>
      <c r="E201" s="12">
        <v>1.9</v>
      </c>
      <c r="F201" s="12">
        <v>10</v>
      </c>
      <c r="G201" s="12">
        <v>1.9</v>
      </c>
      <c r="H201" s="12">
        <v>4.6875</v>
      </c>
      <c r="I201" s="12" t="s">
        <v>95</v>
      </c>
      <c r="K201" s="12">
        <v>46234</v>
      </c>
      <c r="L201">
        <v>46234</v>
      </c>
    </row>
    <row r="202" spans="1:12" x14ac:dyDescent="0.25">
      <c r="A202" s="12" t="s">
        <v>59</v>
      </c>
      <c r="B202" s="12" t="s">
        <v>38</v>
      </c>
      <c r="C202" s="12" t="s">
        <v>14</v>
      </c>
      <c r="D202" s="12">
        <v>11.026644714257564</v>
      </c>
      <c r="E202" s="12">
        <v>2.8499999999999996</v>
      </c>
      <c r="F202" s="12">
        <v>10</v>
      </c>
      <c r="G202" s="12">
        <v>2.8499999999999996</v>
      </c>
      <c r="H202" s="12">
        <v>11.128676470588234</v>
      </c>
      <c r="I202" s="12" t="s">
        <v>96</v>
      </c>
      <c r="K202" s="12">
        <v>46234</v>
      </c>
      <c r="L202">
        <v>46234</v>
      </c>
    </row>
    <row r="203" spans="1:12" x14ac:dyDescent="0.25">
      <c r="A203" s="12" t="s">
        <v>63</v>
      </c>
      <c r="B203" s="12" t="s">
        <v>38</v>
      </c>
      <c r="C203" s="12" t="s">
        <v>13</v>
      </c>
      <c r="D203" s="12">
        <v>10.973885648639108</v>
      </c>
      <c r="E203" s="12">
        <v>1.9</v>
      </c>
      <c r="F203" s="12">
        <v>10</v>
      </c>
      <c r="G203" s="12">
        <v>1.9</v>
      </c>
      <c r="H203" s="12">
        <v>11.808823529411764</v>
      </c>
      <c r="I203" s="12" t="s">
        <v>94</v>
      </c>
      <c r="J203">
        <v>1</v>
      </c>
      <c r="K203" s="12">
        <v>46234</v>
      </c>
      <c r="L203">
        <v>46234</v>
      </c>
    </row>
    <row r="204" spans="1:12" x14ac:dyDescent="0.25">
      <c r="A204" s="12" t="s">
        <v>63</v>
      </c>
      <c r="B204" s="12" t="s">
        <v>38</v>
      </c>
      <c r="C204" s="12" t="s">
        <v>15</v>
      </c>
      <c r="D204" s="12">
        <v>4.2207252494765797</v>
      </c>
      <c r="E204" s="12">
        <v>1.9</v>
      </c>
      <c r="F204" s="12">
        <v>10</v>
      </c>
      <c r="G204" s="12">
        <v>1.9</v>
      </c>
      <c r="H204" s="12">
        <v>4.6875</v>
      </c>
      <c r="I204" s="12" t="s">
        <v>95</v>
      </c>
      <c r="J204">
        <v>1</v>
      </c>
      <c r="K204" s="12">
        <v>46234</v>
      </c>
      <c r="L204">
        <v>46234</v>
      </c>
    </row>
    <row r="205" spans="1:12" x14ac:dyDescent="0.25">
      <c r="A205" s="12" t="s">
        <v>63</v>
      </c>
      <c r="B205" s="12" t="s">
        <v>38</v>
      </c>
      <c r="C205" s="12" t="s">
        <v>14</v>
      </c>
      <c r="D205" s="12">
        <v>11.026644714257564</v>
      </c>
      <c r="E205" s="12">
        <v>2.8499999999999996</v>
      </c>
      <c r="F205" s="12">
        <v>10</v>
      </c>
      <c r="G205" s="12">
        <v>2.8499999999999996</v>
      </c>
      <c r="H205" s="12">
        <v>11.128676470588234</v>
      </c>
      <c r="I205" s="12" t="s">
        <v>96</v>
      </c>
      <c r="J205">
        <v>1</v>
      </c>
      <c r="K205" s="12">
        <v>46234</v>
      </c>
      <c r="L205">
        <v>46234</v>
      </c>
    </row>
    <row r="206" spans="1:12" x14ac:dyDescent="0.25">
      <c r="A206" s="12" t="s">
        <v>59</v>
      </c>
      <c r="B206" s="12" t="s">
        <v>40</v>
      </c>
      <c r="C206" s="12" t="s">
        <v>13</v>
      </c>
      <c r="D206" s="12">
        <v>3.587616462055093</v>
      </c>
      <c r="E206" s="12">
        <v>4.75</v>
      </c>
      <c r="F206" s="12">
        <v>10</v>
      </c>
      <c r="G206" s="12">
        <v>4.75</v>
      </c>
      <c r="H206" s="12">
        <v>4.7610294117647047</v>
      </c>
      <c r="I206" s="12" t="s">
        <v>94</v>
      </c>
      <c r="K206" s="12">
        <v>46234</v>
      </c>
      <c r="L206">
        <v>46234</v>
      </c>
    </row>
    <row r="207" spans="1:12" x14ac:dyDescent="0.25">
      <c r="A207" s="12" t="s">
        <v>59</v>
      </c>
      <c r="B207" s="12" t="s">
        <v>40</v>
      </c>
      <c r="C207" s="12" t="s">
        <v>15</v>
      </c>
      <c r="D207" s="12">
        <v>0</v>
      </c>
      <c r="E207" s="12">
        <v>0</v>
      </c>
      <c r="F207" s="12">
        <v>10</v>
      </c>
      <c r="G207" s="12">
        <v>0</v>
      </c>
      <c r="H207" s="12">
        <v>0</v>
      </c>
      <c r="I207" s="12" t="s">
        <v>95</v>
      </c>
      <c r="K207" s="12">
        <v>46234</v>
      </c>
      <c r="L207">
        <v>46234</v>
      </c>
    </row>
    <row r="208" spans="1:12" x14ac:dyDescent="0.25">
      <c r="A208" s="12" t="s">
        <v>59</v>
      </c>
      <c r="B208" s="12" t="s">
        <v>40</v>
      </c>
      <c r="C208" s="12" t="s">
        <v>14</v>
      </c>
      <c r="D208" s="12">
        <v>3.1779578349000128</v>
      </c>
      <c r="E208" s="12">
        <v>2.8499999999999996</v>
      </c>
      <c r="F208" s="12">
        <v>10</v>
      </c>
      <c r="G208" s="12">
        <v>2.8499999999999996</v>
      </c>
      <c r="H208" s="12">
        <v>4.6366782006920415</v>
      </c>
      <c r="I208" s="12" t="s">
        <v>96</v>
      </c>
      <c r="K208" s="12">
        <v>46234</v>
      </c>
      <c r="L208">
        <v>46234</v>
      </c>
    </row>
    <row r="209" spans="1:12" x14ac:dyDescent="0.25">
      <c r="A209" s="12" t="s">
        <v>63</v>
      </c>
      <c r="B209" s="12" t="s">
        <v>40</v>
      </c>
      <c r="C209" s="12" t="s">
        <v>13</v>
      </c>
      <c r="D209" s="12">
        <v>3.587616462055093</v>
      </c>
      <c r="E209" s="12">
        <v>4.75</v>
      </c>
      <c r="F209" s="12">
        <v>10</v>
      </c>
      <c r="G209" s="12">
        <v>4.75</v>
      </c>
      <c r="H209" s="12">
        <v>4.7610294117647047</v>
      </c>
      <c r="I209" s="12" t="s">
        <v>94</v>
      </c>
      <c r="J209">
        <v>1</v>
      </c>
      <c r="K209" s="12">
        <v>46234</v>
      </c>
      <c r="L209">
        <v>46234</v>
      </c>
    </row>
    <row r="210" spans="1:12" x14ac:dyDescent="0.25">
      <c r="A210" s="12" t="s">
        <v>63</v>
      </c>
      <c r="B210" s="12" t="s">
        <v>40</v>
      </c>
      <c r="C210" s="12" t="s">
        <v>15</v>
      </c>
      <c r="D210" s="12">
        <v>0</v>
      </c>
      <c r="E210" s="12">
        <v>0</v>
      </c>
      <c r="F210" s="12">
        <v>10</v>
      </c>
      <c r="G210" s="12">
        <v>0</v>
      </c>
      <c r="H210" s="12">
        <v>0</v>
      </c>
      <c r="I210" s="12" t="s">
        <v>95</v>
      </c>
      <c r="J210">
        <v>1</v>
      </c>
      <c r="K210" s="12">
        <v>46234</v>
      </c>
      <c r="L210">
        <v>46234</v>
      </c>
    </row>
    <row r="211" spans="1:12" x14ac:dyDescent="0.25">
      <c r="A211" s="12" t="s">
        <v>63</v>
      </c>
      <c r="B211" s="12" t="s">
        <v>40</v>
      </c>
      <c r="C211" s="12" t="s">
        <v>14</v>
      </c>
      <c r="D211" s="12">
        <v>3.1779578349000128</v>
      </c>
      <c r="E211" s="12">
        <v>2.8499999999999996</v>
      </c>
      <c r="F211" s="12">
        <v>10</v>
      </c>
      <c r="G211" s="12">
        <v>2.8499999999999996</v>
      </c>
      <c r="H211" s="12">
        <v>4.6366782006920415</v>
      </c>
      <c r="I211" s="12" t="s">
        <v>96</v>
      </c>
      <c r="J211">
        <v>1</v>
      </c>
      <c r="K211" s="12">
        <v>46234</v>
      </c>
      <c r="L211">
        <v>46234</v>
      </c>
    </row>
    <row r="212" spans="1:12" x14ac:dyDescent="0.25">
      <c r="A212" s="12" t="s">
        <v>59</v>
      </c>
      <c r="B212" s="12" t="s">
        <v>39</v>
      </c>
      <c r="C212" s="12" t="s">
        <v>13</v>
      </c>
      <c r="D212" s="12">
        <v>4.5675354346652268</v>
      </c>
      <c r="E212" s="12">
        <v>3.8</v>
      </c>
      <c r="F212" s="12">
        <v>10</v>
      </c>
      <c r="G212" s="12">
        <v>3.8</v>
      </c>
      <c r="H212" s="12">
        <v>3.1104779411764705</v>
      </c>
      <c r="I212" s="12" t="s">
        <v>94</v>
      </c>
      <c r="K212" s="12">
        <v>46234</v>
      </c>
      <c r="L212">
        <v>46234</v>
      </c>
    </row>
    <row r="213" spans="1:12" x14ac:dyDescent="0.25">
      <c r="A213" s="12" t="s">
        <v>59</v>
      </c>
      <c r="B213" s="12" t="s">
        <v>39</v>
      </c>
      <c r="C213" s="12" t="s">
        <v>15</v>
      </c>
      <c r="D213" s="12">
        <v>1.2742252699784016</v>
      </c>
      <c r="E213" s="12">
        <v>0</v>
      </c>
      <c r="F213" s="12">
        <v>10</v>
      </c>
      <c r="G213" s="12">
        <v>0</v>
      </c>
      <c r="H213" s="12">
        <v>0.94117647058823517</v>
      </c>
      <c r="I213" s="12" t="s">
        <v>95</v>
      </c>
      <c r="K213" s="12">
        <v>46234</v>
      </c>
      <c r="L213">
        <v>46234</v>
      </c>
    </row>
    <row r="214" spans="1:12" x14ac:dyDescent="0.25">
      <c r="A214" s="12" t="s">
        <v>59</v>
      </c>
      <c r="B214" s="12" t="s">
        <v>39</v>
      </c>
      <c r="C214" s="12" t="s">
        <v>14</v>
      </c>
      <c r="D214" s="12">
        <v>2.2486328293736499</v>
      </c>
      <c r="E214" s="12">
        <v>2.8499999999999996</v>
      </c>
      <c r="F214" s="12">
        <v>10</v>
      </c>
      <c r="G214" s="12">
        <v>2.8499999999999996</v>
      </c>
      <c r="H214" s="12">
        <v>2.6538062283737021</v>
      </c>
      <c r="I214" s="12" t="s">
        <v>96</v>
      </c>
      <c r="K214" s="12">
        <v>46234</v>
      </c>
      <c r="L214">
        <v>46234</v>
      </c>
    </row>
    <row r="215" spans="1:12" x14ac:dyDescent="0.25">
      <c r="A215" s="12" t="s">
        <v>63</v>
      </c>
      <c r="B215" s="12" t="s">
        <v>39</v>
      </c>
      <c r="C215" s="12" t="s">
        <v>13</v>
      </c>
      <c r="D215" s="12">
        <v>4.5675354346652268</v>
      </c>
      <c r="E215" s="12">
        <v>3.8</v>
      </c>
      <c r="F215" s="12">
        <v>10</v>
      </c>
      <c r="G215" s="12">
        <v>3.8</v>
      </c>
      <c r="H215" s="12">
        <v>3.1104779411764705</v>
      </c>
      <c r="I215" s="12" t="s">
        <v>94</v>
      </c>
      <c r="J215">
        <v>1</v>
      </c>
      <c r="K215" s="12">
        <v>46234</v>
      </c>
      <c r="L215">
        <v>46234</v>
      </c>
    </row>
    <row r="216" spans="1:12" x14ac:dyDescent="0.25">
      <c r="A216" s="12" t="s">
        <v>63</v>
      </c>
      <c r="B216" s="12" t="s">
        <v>39</v>
      </c>
      <c r="C216" s="12" t="s">
        <v>15</v>
      </c>
      <c r="D216" s="12">
        <v>1.2742252699784016</v>
      </c>
      <c r="E216" s="12">
        <v>0</v>
      </c>
      <c r="F216" s="12">
        <v>10</v>
      </c>
      <c r="G216" s="12">
        <v>0</v>
      </c>
      <c r="H216" s="12">
        <v>0.94117647058823517</v>
      </c>
      <c r="I216" s="12" t="s">
        <v>95</v>
      </c>
      <c r="J216">
        <v>1</v>
      </c>
      <c r="K216" s="12">
        <v>46234</v>
      </c>
      <c r="L216">
        <v>46234</v>
      </c>
    </row>
    <row r="217" spans="1:12" x14ac:dyDescent="0.25">
      <c r="A217" s="12" t="s">
        <v>63</v>
      </c>
      <c r="B217" s="12" t="s">
        <v>39</v>
      </c>
      <c r="C217" s="12" t="s">
        <v>14</v>
      </c>
      <c r="D217" s="12">
        <v>2.2486328293736499</v>
      </c>
      <c r="E217" s="12">
        <v>2.8499999999999996</v>
      </c>
      <c r="F217" s="12">
        <v>10</v>
      </c>
      <c r="G217" s="12">
        <v>2.8499999999999996</v>
      </c>
      <c r="H217" s="12">
        <v>2.6538062283737021</v>
      </c>
      <c r="I217" s="12" t="s">
        <v>96</v>
      </c>
      <c r="J217">
        <v>1</v>
      </c>
      <c r="K217" s="12">
        <v>46234</v>
      </c>
      <c r="L217">
        <v>46234</v>
      </c>
    </row>
    <row r="218" spans="1:12" x14ac:dyDescent="0.25">
      <c r="A218" s="12" t="s">
        <v>59</v>
      </c>
      <c r="B218" s="12" t="s">
        <v>38</v>
      </c>
      <c r="C218" s="12" t="s">
        <v>13</v>
      </c>
      <c r="D218" s="12">
        <v>11.026644714257564</v>
      </c>
      <c r="E218" s="12">
        <v>5.6999999999999993</v>
      </c>
      <c r="F218" s="12">
        <v>10</v>
      </c>
      <c r="G218" s="12">
        <v>5.6999999999999993</v>
      </c>
      <c r="H218" s="12">
        <v>11.125</v>
      </c>
      <c r="I218" s="12" t="s">
        <v>97</v>
      </c>
      <c r="K218" s="12">
        <v>46235</v>
      </c>
      <c r="L218">
        <v>46235</v>
      </c>
    </row>
    <row r="219" spans="1:12" x14ac:dyDescent="0.25">
      <c r="A219" s="12" t="s">
        <v>59</v>
      </c>
      <c r="B219" s="12" t="s">
        <v>38</v>
      </c>
      <c r="C219" s="12" t="s">
        <v>14</v>
      </c>
      <c r="D219" s="12">
        <v>10.973885648639106</v>
      </c>
      <c r="E219" s="12">
        <v>1.9</v>
      </c>
      <c r="F219" s="12">
        <v>10</v>
      </c>
      <c r="G219" s="12">
        <v>1.9</v>
      </c>
      <c r="H219" s="12">
        <v>11.25</v>
      </c>
      <c r="I219" s="12" t="s">
        <v>98</v>
      </c>
      <c r="K219" s="12">
        <v>46235</v>
      </c>
      <c r="L219">
        <v>46235</v>
      </c>
    </row>
    <row r="220" spans="1:12" x14ac:dyDescent="0.25">
      <c r="A220" s="12" t="s">
        <v>59</v>
      </c>
      <c r="B220" s="12" t="s">
        <v>38</v>
      </c>
      <c r="C220" s="12" t="s">
        <v>15</v>
      </c>
      <c r="D220" s="12">
        <v>4.2207252494765797</v>
      </c>
      <c r="E220" s="12">
        <v>0</v>
      </c>
      <c r="F220" s="12">
        <v>10</v>
      </c>
      <c r="G220" s="12">
        <v>0</v>
      </c>
      <c r="H220" s="12">
        <v>4.6875</v>
      </c>
      <c r="I220" s="12" t="s">
        <v>99</v>
      </c>
      <c r="K220" s="12">
        <v>46235</v>
      </c>
      <c r="L220">
        <v>46235</v>
      </c>
    </row>
    <row r="221" spans="1:12" x14ac:dyDescent="0.25">
      <c r="A221" s="12" t="s">
        <v>63</v>
      </c>
      <c r="B221" s="12" t="s">
        <v>38</v>
      </c>
      <c r="C221" s="12" t="s">
        <v>13</v>
      </c>
      <c r="D221" s="12">
        <v>11.026644714257564</v>
      </c>
      <c r="E221" s="12">
        <v>5.6999999999999993</v>
      </c>
      <c r="F221" s="12">
        <v>10</v>
      </c>
      <c r="G221" s="12">
        <v>5.6999999999999993</v>
      </c>
      <c r="H221" s="12">
        <v>11.125</v>
      </c>
      <c r="I221" s="12" t="s">
        <v>97</v>
      </c>
      <c r="J221">
        <v>1</v>
      </c>
      <c r="K221" s="12">
        <v>46235</v>
      </c>
      <c r="L221">
        <v>46235</v>
      </c>
    </row>
    <row r="222" spans="1:12" x14ac:dyDescent="0.25">
      <c r="A222" s="12" t="s">
        <v>63</v>
      </c>
      <c r="B222" s="12" t="s">
        <v>38</v>
      </c>
      <c r="C222" s="12" t="s">
        <v>14</v>
      </c>
      <c r="D222" s="12">
        <v>10.973885648639106</v>
      </c>
      <c r="E222" s="12">
        <v>1.9</v>
      </c>
      <c r="F222" s="12">
        <v>10</v>
      </c>
      <c r="G222" s="12">
        <v>1.9</v>
      </c>
      <c r="H222" s="12">
        <v>11.25</v>
      </c>
      <c r="I222" s="12" t="s">
        <v>98</v>
      </c>
      <c r="J222">
        <v>1</v>
      </c>
      <c r="K222" s="12">
        <v>46235</v>
      </c>
      <c r="L222">
        <v>46235</v>
      </c>
    </row>
    <row r="223" spans="1:12" x14ac:dyDescent="0.25">
      <c r="A223" s="12" t="s">
        <v>63</v>
      </c>
      <c r="B223" s="12" t="s">
        <v>38</v>
      </c>
      <c r="C223" s="12" t="s">
        <v>15</v>
      </c>
      <c r="D223" s="12">
        <v>4.2207252494765797</v>
      </c>
      <c r="E223" s="12">
        <v>0</v>
      </c>
      <c r="F223" s="12">
        <v>10</v>
      </c>
      <c r="G223" s="12">
        <v>0</v>
      </c>
      <c r="H223" s="12">
        <v>4.6875</v>
      </c>
      <c r="I223" s="12" t="s">
        <v>99</v>
      </c>
      <c r="J223">
        <v>1</v>
      </c>
      <c r="K223" s="12">
        <v>46235</v>
      </c>
      <c r="L223">
        <v>46235</v>
      </c>
    </row>
    <row r="224" spans="1:12" x14ac:dyDescent="0.25">
      <c r="A224" s="12" t="s">
        <v>59</v>
      </c>
      <c r="B224" s="12" t="s">
        <v>40</v>
      </c>
      <c r="C224" s="12" t="s">
        <v>14</v>
      </c>
      <c r="D224" s="12">
        <v>3.2276134260703255</v>
      </c>
      <c r="E224" s="12">
        <v>2.8499999999999996</v>
      </c>
      <c r="F224" s="12">
        <v>10</v>
      </c>
      <c r="G224" s="12">
        <v>2.8499999999999996</v>
      </c>
      <c r="H224" s="12">
        <v>3.8062283737024223</v>
      </c>
      <c r="I224" s="12" t="s">
        <v>98</v>
      </c>
      <c r="K224" s="12">
        <v>46235</v>
      </c>
      <c r="L224">
        <v>46235</v>
      </c>
    </row>
    <row r="225" spans="1:12" x14ac:dyDescent="0.25">
      <c r="A225" s="12" t="s">
        <v>59</v>
      </c>
      <c r="B225" s="12" t="s">
        <v>40</v>
      </c>
      <c r="C225" s="12" t="s">
        <v>15</v>
      </c>
      <c r="D225" s="12">
        <v>0</v>
      </c>
      <c r="E225" s="12">
        <v>1.9</v>
      </c>
      <c r="F225" s="12">
        <v>10</v>
      </c>
      <c r="G225" s="12">
        <v>1.9</v>
      </c>
      <c r="H225" s="12">
        <v>0</v>
      </c>
      <c r="I225" s="12" t="s">
        <v>99</v>
      </c>
      <c r="K225" s="12">
        <v>46235</v>
      </c>
      <c r="L225">
        <v>46235</v>
      </c>
    </row>
    <row r="226" spans="1:12" x14ac:dyDescent="0.25">
      <c r="A226" s="12" t="s">
        <v>59</v>
      </c>
      <c r="B226" s="12" t="s">
        <v>40</v>
      </c>
      <c r="C226" s="12" t="s">
        <v>13</v>
      </c>
      <c r="D226" s="12">
        <v>3.5876164620550925</v>
      </c>
      <c r="E226" s="12">
        <v>3.8</v>
      </c>
      <c r="F226" s="12">
        <v>10</v>
      </c>
      <c r="G226" s="12">
        <v>3.8</v>
      </c>
      <c r="H226" s="12">
        <v>4.7058823529411757</v>
      </c>
      <c r="I226" s="12" t="s">
        <v>97</v>
      </c>
      <c r="K226" s="12">
        <v>46235</v>
      </c>
      <c r="L226">
        <v>46235</v>
      </c>
    </row>
    <row r="227" spans="1:12" x14ac:dyDescent="0.25">
      <c r="A227" s="12" t="s">
        <v>63</v>
      </c>
      <c r="B227" s="12" t="s">
        <v>40</v>
      </c>
      <c r="C227" s="12" t="s">
        <v>14</v>
      </c>
      <c r="D227" s="12">
        <v>3.2276134260703255</v>
      </c>
      <c r="E227" s="12">
        <v>2.8499999999999996</v>
      </c>
      <c r="F227" s="12">
        <v>10</v>
      </c>
      <c r="G227" s="12">
        <v>2.8499999999999996</v>
      </c>
      <c r="H227" s="12">
        <v>3.8062283737024223</v>
      </c>
      <c r="I227" s="12" t="s">
        <v>98</v>
      </c>
      <c r="J227">
        <v>1</v>
      </c>
      <c r="K227" s="12">
        <v>46235</v>
      </c>
      <c r="L227">
        <v>46235</v>
      </c>
    </row>
    <row r="228" spans="1:12" x14ac:dyDescent="0.25">
      <c r="A228" s="12" t="s">
        <v>63</v>
      </c>
      <c r="B228" s="12" t="s">
        <v>40</v>
      </c>
      <c r="C228" s="12" t="s">
        <v>15</v>
      </c>
      <c r="D228" s="12">
        <v>0</v>
      </c>
      <c r="E228" s="12">
        <v>1.9</v>
      </c>
      <c r="F228" s="12">
        <v>10</v>
      </c>
      <c r="G228" s="12">
        <v>1.9</v>
      </c>
      <c r="H228" s="12">
        <v>0</v>
      </c>
      <c r="I228" s="12" t="s">
        <v>99</v>
      </c>
      <c r="J228">
        <v>1</v>
      </c>
      <c r="K228" s="12">
        <v>46235</v>
      </c>
      <c r="L228">
        <v>46235</v>
      </c>
    </row>
    <row r="229" spans="1:12" x14ac:dyDescent="0.25">
      <c r="A229" s="12" t="s">
        <v>63</v>
      </c>
      <c r="B229" s="12" t="s">
        <v>40</v>
      </c>
      <c r="C229" s="12" t="s">
        <v>13</v>
      </c>
      <c r="D229" s="12">
        <v>3.5876164620550925</v>
      </c>
      <c r="E229" s="12">
        <v>3.8</v>
      </c>
      <c r="F229" s="12">
        <v>10</v>
      </c>
      <c r="G229" s="12">
        <v>3.8</v>
      </c>
      <c r="H229" s="12">
        <v>4.7058823529411757</v>
      </c>
      <c r="I229" s="12" t="s">
        <v>97</v>
      </c>
      <c r="J229">
        <v>1</v>
      </c>
      <c r="K229" s="12">
        <v>46235</v>
      </c>
      <c r="L229">
        <v>46235</v>
      </c>
    </row>
    <row r="230" spans="1:12" x14ac:dyDescent="0.25">
      <c r="A230" s="12" t="s">
        <v>59</v>
      </c>
      <c r="B230" s="12" t="s">
        <v>39</v>
      </c>
      <c r="C230" s="12" t="s">
        <v>15</v>
      </c>
      <c r="D230" s="12">
        <v>1.2742252699784016</v>
      </c>
      <c r="E230" s="12">
        <v>0</v>
      </c>
      <c r="F230" s="12">
        <v>10</v>
      </c>
      <c r="G230" s="12">
        <v>0</v>
      </c>
      <c r="H230" s="12">
        <v>0.94117647058823517</v>
      </c>
      <c r="I230" s="12" t="s">
        <v>99</v>
      </c>
      <c r="K230" s="12">
        <v>46235</v>
      </c>
      <c r="L230">
        <v>46235</v>
      </c>
    </row>
    <row r="231" spans="1:12" x14ac:dyDescent="0.25">
      <c r="A231" s="12" t="s">
        <v>59</v>
      </c>
      <c r="B231" s="12" t="s">
        <v>39</v>
      </c>
      <c r="C231" s="12" t="s">
        <v>13</v>
      </c>
      <c r="D231" s="12">
        <v>5.3405029697624178</v>
      </c>
      <c r="E231" s="12">
        <v>4.75</v>
      </c>
      <c r="F231" s="12">
        <v>10</v>
      </c>
      <c r="G231" s="12">
        <v>4.75</v>
      </c>
      <c r="H231" s="12">
        <v>4.3235294117647047</v>
      </c>
      <c r="I231" s="12" t="s">
        <v>97</v>
      </c>
      <c r="K231" s="12">
        <v>46235</v>
      </c>
      <c r="L231">
        <v>46235</v>
      </c>
    </row>
    <row r="232" spans="1:12" x14ac:dyDescent="0.25">
      <c r="A232" s="12" t="s">
        <v>59</v>
      </c>
      <c r="B232" s="12" t="s">
        <v>39</v>
      </c>
      <c r="C232" s="12" t="s">
        <v>14</v>
      </c>
      <c r="D232" s="12">
        <v>2.2486328293736499</v>
      </c>
      <c r="E232" s="12">
        <v>0.95</v>
      </c>
      <c r="F232" s="12">
        <v>10</v>
      </c>
      <c r="G232" s="12">
        <v>0.95</v>
      </c>
      <c r="H232" s="12">
        <v>2.1591695501730106</v>
      </c>
      <c r="I232" s="12" t="s">
        <v>98</v>
      </c>
      <c r="K232" s="12">
        <v>46235</v>
      </c>
      <c r="L232">
        <v>46235</v>
      </c>
    </row>
    <row r="233" spans="1:12" x14ac:dyDescent="0.25">
      <c r="A233" s="12" t="s">
        <v>63</v>
      </c>
      <c r="B233" s="12" t="s">
        <v>39</v>
      </c>
      <c r="C233" s="12" t="s">
        <v>15</v>
      </c>
      <c r="D233" s="12">
        <v>1.2742252699784016</v>
      </c>
      <c r="E233" s="12">
        <v>0</v>
      </c>
      <c r="F233" s="12">
        <v>10</v>
      </c>
      <c r="G233" s="12">
        <v>0</v>
      </c>
      <c r="H233" s="12">
        <v>0.94117647058823517</v>
      </c>
      <c r="I233" s="12" t="s">
        <v>99</v>
      </c>
      <c r="J233">
        <v>1</v>
      </c>
      <c r="K233" s="12">
        <v>46235</v>
      </c>
      <c r="L233">
        <v>46235</v>
      </c>
    </row>
    <row r="234" spans="1:12" x14ac:dyDescent="0.25">
      <c r="A234" s="12" t="s">
        <v>63</v>
      </c>
      <c r="B234" s="12" t="s">
        <v>39</v>
      </c>
      <c r="C234" s="12" t="s">
        <v>13</v>
      </c>
      <c r="D234" s="12">
        <v>5.3405029697624178</v>
      </c>
      <c r="E234" s="12">
        <v>4.75</v>
      </c>
      <c r="F234" s="12">
        <v>10</v>
      </c>
      <c r="G234" s="12">
        <v>4.75</v>
      </c>
      <c r="H234" s="12">
        <v>4.3235294117647047</v>
      </c>
      <c r="I234" s="12" t="s">
        <v>97</v>
      </c>
      <c r="J234">
        <v>1</v>
      </c>
      <c r="K234" s="12">
        <v>46235</v>
      </c>
      <c r="L234">
        <v>46235</v>
      </c>
    </row>
    <row r="235" spans="1:12" x14ac:dyDescent="0.25">
      <c r="A235" s="12" t="s">
        <v>63</v>
      </c>
      <c r="B235" s="12" t="s">
        <v>39</v>
      </c>
      <c r="C235" s="12" t="s">
        <v>14</v>
      </c>
      <c r="D235" s="12">
        <v>2.2486328293736499</v>
      </c>
      <c r="E235" s="12">
        <v>0.95</v>
      </c>
      <c r="F235" s="12">
        <v>10</v>
      </c>
      <c r="G235" s="12">
        <v>0.95</v>
      </c>
      <c r="H235" s="12">
        <v>2.1591695501730106</v>
      </c>
      <c r="I235" s="12" t="s">
        <v>98</v>
      </c>
      <c r="J235">
        <v>1</v>
      </c>
      <c r="K235" s="12">
        <v>46235</v>
      </c>
      <c r="L235">
        <v>46235</v>
      </c>
    </row>
    <row r="236" spans="1:12" x14ac:dyDescent="0.25">
      <c r="A236" s="12" t="s">
        <v>59</v>
      </c>
      <c r="B236" s="12" t="s">
        <v>38</v>
      </c>
      <c r="C236" s="12" t="s">
        <v>14</v>
      </c>
      <c r="D236" s="12">
        <v>10.973885648639106</v>
      </c>
      <c r="E236" s="12">
        <v>1.9</v>
      </c>
      <c r="F236" s="12">
        <v>10</v>
      </c>
      <c r="G236" s="12">
        <v>1.9</v>
      </c>
      <c r="H236" s="12">
        <v>11.25</v>
      </c>
      <c r="I236" s="12" t="s">
        <v>100</v>
      </c>
      <c r="K236" s="12">
        <v>46236</v>
      </c>
      <c r="L236">
        <v>46236</v>
      </c>
    </row>
    <row r="237" spans="1:12" x14ac:dyDescent="0.25">
      <c r="A237" s="12" t="s">
        <v>59</v>
      </c>
      <c r="B237" s="12" t="s">
        <v>38</v>
      </c>
      <c r="C237" s="12" t="s">
        <v>15</v>
      </c>
      <c r="D237" s="12">
        <v>4.2207252494765797</v>
      </c>
      <c r="E237" s="12">
        <v>0</v>
      </c>
      <c r="F237" s="12">
        <v>10</v>
      </c>
      <c r="G237" s="12">
        <v>0</v>
      </c>
      <c r="H237" s="12">
        <v>4.6875</v>
      </c>
      <c r="I237" s="12" t="s">
        <v>101</v>
      </c>
      <c r="K237" s="12">
        <v>46236</v>
      </c>
      <c r="L237">
        <v>46236</v>
      </c>
    </row>
    <row r="238" spans="1:12" x14ac:dyDescent="0.25">
      <c r="A238" s="12" t="s">
        <v>59</v>
      </c>
      <c r="B238" s="12" t="s">
        <v>38</v>
      </c>
      <c r="C238" s="12" t="s">
        <v>13</v>
      </c>
      <c r="D238" s="12">
        <v>10.973885648639106</v>
      </c>
      <c r="E238" s="12">
        <v>3.8</v>
      </c>
      <c r="F238" s="12">
        <v>10</v>
      </c>
      <c r="G238" s="12">
        <v>3.8</v>
      </c>
      <c r="H238" s="12">
        <v>11.25</v>
      </c>
      <c r="I238" s="12" t="s">
        <v>102</v>
      </c>
      <c r="K238" s="12">
        <v>46236</v>
      </c>
      <c r="L238">
        <v>46236</v>
      </c>
    </row>
    <row r="239" spans="1:12" x14ac:dyDescent="0.25">
      <c r="A239" s="12" t="s">
        <v>63</v>
      </c>
      <c r="B239" s="12" t="s">
        <v>38</v>
      </c>
      <c r="C239" s="12" t="s">
        <v>14</v>
      </c>
      <c r="D239" s="12">
        <v>10.973885648639106</v>
      </c>
      <c r="E239" s="12">
        <v>1.9</v>
      </c>
      <c r="F239" s="12">
        <v>10</v>
      </c>
      <c r="G239" s="12">
        <v>1.9</v>
      </c>
      <c r="H239" s="12">
        <v>11.25</v>
      </c>
      <c r="I239" s="12" t="s">
        <v>100</v>
      </c>
      <c r="J239">
        <v>1</v>
      </c>
      <c r="K239" s="12">
        <v>46236</v>
      </c>
      <c r="L239">
        <v>46236</v>
      </c>
    </row>
    <row r="240" spans="1:12" x14ac:dyDescent="0.25">
      <c r="A240" s="12" t="s">
        <v>63</v>
      </c>
      <c r="B240" s="12" t="s">
        <v>38</v>
      </c>
      <c r="C240" s="12" t="s">
        <v>15</v>
      </c>
      <c r="D240" s="12">
        <v>4.2207252494765797</v>
      </c>
      <c r="E240" s="12">
        <v>0</v>
      </c>
      <c r="F240" s="12">
        <v>10</v>
      </c>
      <c r="G240" s="12">
        <v>0</v>
      </c>
      <c r="H240" s="12">
        <v>4.6875</v>
      </c>
      <c r="I240" s="12" t="s">
        <v>101</v>
      </c>
      <c r="J240">
        <v>1</v>
      </c>
      <c r="K240" s="12">
        <v>46236</v>
      </c>
      <c r="L240">
        <v>46236</v>
      </c>
    </row>
    <row r="241" spans="1:12" x14ac:dyDescent="0.25">
      <c r="A241" s="12" t="s">
        <v>63</v>
      </c>
      <c r="B241" s="12" t="s">
        <v>38</v>
      </c>
      <c r="C241" s="12" t="s">
        <v>13</v>
      </c>
      <c r="D241" s="12">
        <v>10.973885648639106</v>
      </c>
      <c r="E241" s="12">
        <v>3.8</v>
      </c>
      <c r="F241" s="12">
        <v>10</v>
      </c>
      <c r="G241" s="12">
        <v>3.8</v>
      </c>
      <c r="H241" s="12">
        <v>11.25</v>
      </c>
      <c r="I241" s="12" t="s">
        <v>102</v>
      </c>
      <c r="J241">
        <v>1</v>
      </c>
      <c r="K241" s="12">
        <v>46236</v>
      </c>
      <c r="L241">
        <v>46236</v>
      </c>
    </row>
    <row r="242" spans="1:12" x14ac:dyDescent="0.25">
      <c r="A242" s="12" t="s">
        <v>59</v>
      </c>
      <c r="B242" s="12" t="s">
        <v>40</v>
      </c>
      <c r="C242" s="12" t="s">
        <v>14</v>
      </c>
      <c r="D242" s="12">
        <v>3.1779578349000133</v>
      </c>
      <c r="E242" s="12">
        <v>2.8499999999999996</v>
      </c>
      <c r="F242" s="12">
        <v>10</v>
      </c>
      <c r="G242" s="12">
        <v>2.8499999999999996</v>
      </c>
      <c r="H242" s="12">
        <v>3.7543252595155714</v>
      </c>
      <c r="I242" s="12" t="s">
        <v>100</v>
      </c>
      <c r="K242" s="12">
        <v>46236</v>
      </c>
      <c r="L242">
        <v>46236</v>
      </c>
    </row>
    <row r="243" spans="1:12" x14ac:dyDescent="0.25">
      <c r="A243" s="12" t="s">
        <v>59</v>
      </c>
      <c r="B243" s="12" t="s">
        <v>40</v>
      </c>
      <c r="C243" s="12" t="s">
        <v>13</v>
      </c>
      <c r="D243" s="12">
        <v>3.5876164620550925</v>
      </c>
      <c r="E243" s="12">
        <v>3.8</v>
      </c>
      <c r="F243" s="12">
        <v>10</v>
      </c>
      <c r="G243" s="12">
        <v>3.8</v>
      </c>
      <c r="H243" s="12">
        <v>4.7610294117647047</v>
      </c>
      <c r="I243" s="12" t="s">
        <v>102</v>
      </c>
      <c r="K243" s="12">
        <v>46236</v>
      </c>
      <c r="L243">
        <v>46236</v>
      </c>
    </row>
    <row r="244" spans="1:12" x14ac:dyDescent="0.25">
      <c r="A244" s="12" t="s">
        <v>59</v>
      </c>
      <c r="B244" s="12" t="s">
        <v>40</v>
      </c>
      <c r="C244" s="12" t="s">
        <v>15</v>
      </c>
      <c r="D244" s="12">
        <v>0</v>
      </c>
      <c r="E244" s="12">
        <v>0</v>
      </c>
      <c r="F244" s="12">
        <v>10</v>
      </c>
      <c r="G244" s="12">
        <v>0</v>
      </c>
      <c r="H244" s="12">
        <v>0</v>
      </c>
      <c r="I244" s="12" t="s">
        <v>101</v>
      </c>
      <c r="K244" s="12">
        <v>46236</v>
      </c>
      <c r="L244">
        <v>46236</v>
      </c>
    </row>
    <row r="245" spans="1:12" x14ac:dyDescent="0.25">
      <c r="A245" s="12" t="s">
        <v>63</v>
      </c>
      <c r="B245" s="12" t="s">
        <v>40</v>
      </c>
      <c r="C245" s="12" t="s">
        <v>14</v>
      </c>
      <c r="D245" s="12">
        <v>3.1779578349000133</v>
      </c>
      <c r="E245" s="12">
        <v>2.8499999999999996</v>
      </c>
      <c r="F245" s="12">
        <v>10</v>
      </c>
      <c r="G245" s="12">
        <v>2.8499999999999996</v>
      </c>
      <c r="H245" s="12">
        <v>3.7543252595155714</v>
      </c>
      <c r="I245" s="12" t="s">
        <v>100</v>
      </c>
      <c r="J245">
        <v>1</v>
      </c>
      <c r="K245" s="12">
        <v>46236</v>
      </c>
      <c r="L245">
        <v>46236</v>
      </c>
    </row>
    <row r="246" spans="1:12" x14ac:dyDescent="0.25">
      <c r="A246" s="12" t="s">
        <v>63</v>
      </c>
      <c r="B246" s="12" t="s">
        <v>40</v>
      </c>
      <c r="C246" s="12" t="s">
        <v>13</v>
      </c>
      <c r="D246" s="12">
        <v>3.5876164620550925</v>
      </c>
      <c r="E246" s="12">
        <v>3.8</v>
      </c>
      <c r="F246" s="12">
        <v>10</v>
      </c>
      <c r="G246" s="12">
        <v>3.8</v>
      </c>
      <c r="H246" s="12">
        <v>4.7610294117647047</v>
      </c>
      <c r="I246" s="12" t="s">
        <v>102</v>
      </c>
      <c r="J246">
        <v>1</v>
      </c>
      <c r="K246" s="12">
        <v>46236</v>
      </c>
      <c r="L246">
        <v>46236</v>
      </c>
    </row>
    <row r="247" spans="1:12" x14ac:dyDescent="0.25">
      <c r="A247" s="12" t="s">
        <v>63</v>
      </c>
      <c r="B247" s="12" t="s">
        <v>40</v>
      </c>
      <c r="C247" s="12" t="s">
        <v>15</v>
      </c>
      <c r="D247" s="12">
        <v>0</v>
      </c>
      <c r="E247" s="12">
        <v>0</v>
      </c>
      <c r="F247" s="12">
        <v>10</v>
      </c>
      <c r="G247" s="12">
        <v>0</v>
      </c>
      <c r="H247" s="12">
        <v>0</v>
      </c>
      <c r="I247" s="12" t="s">
        <v>101</v>
      </c>
      <c r="J247">
        <v>1</v>
      </c>
      <c r="K247" s="12">
        <v>46236</v>
      </c>
      <c r="L247">
        <v>46236</v>
      </c>
    </row>
    <row r="248" spans="1:12" x14ac:dyDescent="0.25">
      <c r="A248" s="12" t="s">
        <v>59</v>
      </c>
      <c r="B248" s="12" t="s">
        <v>39</v>
      </c>
      <c r="C248" s="12" t="s">
        <v>14</v>
      </c>
      <c r="D248" s="12">
        <v>2.2486328293736499</v>
      </c>
      <c r="E248" s="12">
        <v>0.95</v>
      </c>
      <c r="F248" s="12">
        <v>10</v>
      </c>
      <c r="G248" s="12">
        <v>0.95</v>
      </c>
      <c r="H248" s="12">
        <v>2.0484429065743952</v>
      </c>
      <c r="I248" s="12" t="s">
        <v>100</v>
      </c>
      <c r="K248" s="12">
        <v>46236</v>
      </c>
      <c r="L248">
        <v>46236</v>
      </c>
    </row>
    <row r="249" spans="1:12" x14ac:dyDescent="0.25">
      <c r="A249" s="12" t="s">
        <v>59</v>
      </c>
      <c r="B249" s="12" t="s">
        <v>39</v>
      </c>
      <c r="C249" s="12" t="s">
        <v>15</v>
      </c>
      <c r="D249" s="12">
        <v>1.2742252699784016</v>
      </c>
      <c r="E249" s="12">
        <v>0</v>
      </c>
      <c r="F249" s="12">
        <v>10</v>
      </c>
      <c r="G249" s="12">
        <v>0</v>
      </c>
      <c r="H249" s="12">
        <v>0.94117647058823517</v>
      </c>
      <c r="I249" s="12" t="s">
        <v>101</v>
      </c>
      <c r="K249" s="12">
        <v>46236</v>
      </c>
      <c r="L249">
        <v>46236</v>
      </c>
    </row>
    <row r="250" spans="1:12" x14ac:dyDescent="0.25">
      <c r="A250" s="12" t="s">
        <v>59</v>
      </c>
      <c r="B250" s="12" t="s">
        <v>39</v>
      </c>
      <c r="C250" s="12" t="s">
        <v>13</v>
      </c>
      <c r="D250" s="12">
        <v>3.5134887958963272</v>
      </c>
      <c r="E250" s="12">
        <v>4.75</v>
      </c>
      <c r="F250" s="12">
        <v>10</v>
      </c>
      <c r="G250" s="12">
        <v>4.75</v>
      </c>
      <c r="H250" s="12">
        <v>2.9411764705882346</v>
      </c>
      <c r="I250" s="12" t="s">
        <v>102</v>
      </c>
      <c r="K250" s="12">
        <v>46236</v>
      </c>
      <c r="L250">
        <v>46236</v>
      </c>
    </row>
    <row r="251" spans="1:12" x14ac:dyDescent="0.25">
      <c r="A251" s="12" t="s">
        <v>63</v>
      </c>
      <c r="B251" s="12" t="s">
        <v>39</v>
      </c>
      <c r="C251" s="12" t="s">
        <v>14</v>
      </c>
      <c r="D251" s="12">
        <v>2.2486328293736499</v>
      </c>
      <c r="E251" s="12">
        <v>0.95</v>
      </c>
      <c r="F251" s="12">
        <v>10</v>
      </c>
      <c r="G251" s="12">
        <v>0.95</v>
      </c>
      <c r="H251" s="12">
        <v>2.0484429065743952</v>
      </c>
      <c r="I251" s="12" t="s">
        <v>100</v>
      </c>
      <c r="J251">
        <v>1</v>
      </c>
      <c r="K251" s="12">
        <v>46236</v>
      </c>
      <c r="L251">
        <v>46236</v>
      </c>
    </row>
    <row r="252" spans="1:12" x14ac:dyDescent="0.25">
      <c r="A252" s="12" t="s">
        <v>63</v>
      </c>
      <c r="B252" s="12" t="s">
        <v>39</v>
      </c>
      <c r="C252" s="12" t="s">
        <v>15</v>
      </c>
      <c r="D252" s="12">
        <v>1.2742252699784016</v>
      </c>
      <c r="E252" s="12">
        <v>0</v>
      </c>
      <c r="F252" s="12">
        <v>10</v>
      </c>
      <c r="G252" s="12">
        <v>0</v>
      </c>
      <c r="H252" s="12">
        <v>0.94117647058823517</v>
      </c>
      <c r="I252" s="12" t="s">
        <v>101</v>
      </c>
      <c r="J252">
        <v>1</v>
      </c>
      <c r="K252" s="12">
        <v>46236</v>
      </c>
      <c r="L252">
        <v>46236</v>
      </c>
    </row>
    <row r="253" spans="1:12" x14ac:dyDescent="0.25">
      <c r="A253" s="12" t="s">
        <v>63</v>
      </c>
      <c r="B253" s="12" t="s">
        <v>39</v>
      </c>
      <c r="C253" s="12" t="s">
        <v>13</v>
      </c>
      <c r="D253" s="12">
        <v>3.5134887958963272</v>
      </c>
      <c r="E253" s="12">
        <v>4.75</v>
      </c>
      <c r="F253" s="12">
        <v>10</v>
      </c>
      <c r="G253" s="12">
        <v>4.75</v>
      </c>
      <c r="H253" s="12">
        <v>2.9411764705882346</v>
      </c>
      <c r="I253" s="12" t="s">
        <v>102</v>
      </c>
      <c r="J253">
        <v>1</v>
      </c>
      <c r="K253" s="12">
        <v>46236</v>
      </c>
      <c r="L253">
        <v>46236</v>
      </c>
    </row>
    <row r="254" spans="1:12" x14ac:dyDescent="0.25">
      <c r="A254" s="12" t="s">
        <v>59</v>
      </c>
      <c r="B254" s="12" t="s">
        <v>38</v>
      </c>
      <c r="C254" s="12" t="s">
        <v>13</v>
      </c>
      <c r="D254" s="12">
        <v>11.870789764152878</v>
      </c>
      <c r="E254" s="12">
        <v>4.75</v>
      </c>
      <c r="F254" s="12">
        <v>10</v>
      </c>
      <c r="G254" s="12">
        <v>4.75</v>
      </c>
      <c r="H254" s="12">
        <v>12.0703125</v>
      </c>
      <c r="I254" s="12" t="s">
        <v>103</v>
      </c>
      <c r="K254" s="12">
        <v>46237</v>
      </c>
      <c r="L254">
        <v>46237</v>
      </c>
    </row>
    <row r="255" spans="1:12" x14ac:dyDescent="0.25">
      <c r="A255" s="12" t="s">
        <v>59</v>
      </c>
      <c r="B255" s="12" t="s">
        <v>38</v>
      </c>
      <c r="C255" s="12" t="s">
        <v>15</v>
      </c>
      <c r="D255" s="12">
        <v>4.2207252494765797</v>
      </c>
      <c r="E255" s="12">
        <v>0</v>
      </c>
      <c r="F255" s="12">
        <v>10</v>
      </c>
      <c r="G255" s="12">
        <v>0</v>
      </c>
      <c r="H255" s="12">
        <v>4.6875</v>
      </c>
      <c r="I255" s="12" t="s">
        <v>104</v>
      </c>
      <c r="K255" s="12">
        <v>46237</v>
      </c>
      <c r="L255">
        <v>46237</v>
      </c>
    </row>
    <row r="256" spans="1:12" x14ac:dyDescent="0.25">
      <c r="A256" s="12" t="s">
        <v>59</v>
      </c>
      <c r="B256" s="12" t="s">
        <v>38</v>
      </c>
      <c r="C256" s="12" t="s">
        <v>14</v>
      </c>
      <c r="D256" s="12">
        <v>10.973885648639106</v>
      </c>
      <c r="E256" s="12">
        <v>0</v>
      </c>
      <c r="F256" s="12">
        <v>10</v>
      </c>
      <c r="G256" s="12">
        <v>0</v>
      </c>
      <c r="H256" s="12">
        <v>11.3671875</v>
      </c>
      <c r="I256" s="12" t="s">
        <v>105</v>
      </c>
      <c r="K256" s="12">
        <v>46237</v>
      </c>
      <c r="L256">
        <v>46237</v>
      </c>
    </row>
    <row r="257" spans="1:12" x14ac:dyDescent="0.25">
      <c r="A257" s="12" t="s">
        <v>63</v>
      </c>
      <c r="B257" s="12" t="s">
        <v>38</v>
      </c>
      <c r="C257" s="12" t="s">
        <v>13</v>
      </c>
      <c r="D257" s="12">
        <v>11.870789764152878</v>
      </c>
      <c r="E257" s="12">
        <v>4.75</v>
      </c>
      <c r="F257" s="12">
        <v>10</v>
      </c>
      <c r="G257" s="12">
        <v>4.75</v>
      </c>
      <c r="H257" s="12">
        <v>12.0703125</v>
      </c>
      <c r="I257" s="12" t="s">
        <v>103</v>
      </c>
      <c r="J257">
        <v>1</v>
      </c>
      <c r="K257" s="12">
        <v>46237</v>
      </c>
      <c r="L257">
        <v>46237</v>
      </c>
    </row>
    <row r="258" spans="1:12" x14ac:dyDescent="0.25">
      <c r="A258" s="12" t="s">
        <v>63</v>
      </c>
      <c r="B258" s="12" t="s">
        <v>38</v>
      </c>
      <c r="C258" s="12" t="s">
        <v>15</v>
      </c>
      <c r="D258" s="12">
        <v>4.2207252494765797</v>
      </c>
      <c r="E258" s="12">
        <v>0</v>
      </c>
      <c r="F258" s="12">
        <v>10</v>
      </c>
      <c r="G258" s="12">
        <v>0</v>
      </c>
      <c r="H258" s="12">
        <v>4.6875</v>
      </c>
      <c r="I258" s="12" t="s">
        <v>104</v>
      </c>
      <c r="J258">
        <v>1</v>
      </c>
      <c r="K258" s="12">
        <v>46237</v>
      </c>
      <c r="L258">
        <v>46237</v>
      </c>
    </row>
    <row r="259" spans="1:12" x14ac:dyDescent="0.25">
      <c r="A259" s="12" t="s">
        <v>63</v>
      </c>
      <c r="B259" s="12" t="s">
        <v>38</v>
      </c>
      <c r="C259" s="12" t="s">
        <v>14</v>
      </c>
      <c r="D259" s="12">
        <v>10.973885648639106</v>
      </c>
      <c r="E259" s="12">
        <v>0</v>
      </c>
      <c r="F259" s="12">
        <v>10</v>
      </c>
      <c r="G259" s="12">
        <v>0</v>
      </c>
      <c r="H259" s="12">
        <v>11.3671875</v>
      </c>
      <c r="I259" s="12" t="s">
        <v>105</v>
      </c>
      <c r="J259">
        <v>1</v>
      </c>
      <c r="K259" s="12">
        <v>46237</v>
      </c>
      <c r="L259">
        <v>46237</v>
      </c>
    </row>
    <row r="260" spans="1:12" x14ac:dyDescent="0.25">
      <c r="A260" s="12" t="s">
        <v>59</v>
      </c>
      <c r="B260" s="12" t="s">
        <v>40</v>
      </c>
      <c r="C260" s="12" t="s">
        <v>13</v>
      </c>
      <c r="D260" s="12">
        <v>3.5876164620550925</v>
      </c>
      <c r="E260" s="12">
        <v>3.8</v>
      </c>
      <c r="F260" s="12">
        <v>10</v>
      </c>
      <c r="G260" s="12">
        <v>3.8</v>
      </c>
      <c r="H260" s="12">
        <v>4.7058823529411757</v>
      </c>
      <c r="I260" s="12" t="s">
        <v>103</v>
      </c>
      <c r="K260" s="12">
        <v>46237</v>
      </c>
      <c r="L260">
        <v>46237</v>
      </c>
    </row>
    <row r="261" spans="1:12" x14ac:dyDescent="0.25">
      <c r="A261" s="12" t="s">
        <v>59</v>
      </c>
      <c r="B261" s="12" t="s">
        <v>40</v>
      </c>
      <c r="C261" s="12" t="s">
        <v>14</v>
      </c>
      <c r="D261" s="12">
        <v>3.1779578349000128</v>
      </c>
      <c r="E261" s="12">
        <v>2.8499999999999996</v>
      </c>
      <c r="F261" s="12">
        <v>10</v>
      </c>
      <c r="G261" s="12">
        <v>2.8499999999999996</v>
      </c>
      <c r="H261" s="12">
        <v>4.6885813148788937</v>
      </c>
      <c r="I261" s="12" t="s">
        <v>105</v>
      </c>
      <c r="K261" s="12">
        <v>46237</v>
      </c>
      <c r="L261">
        <v>46237</v>
      </c>
    </row>
    <row r="262" spans="1:12" x14ac:dyDescent="0.25">
      <c r="A262" s="12" t="s">
        <v>59</v>
      </c>
      <c r="B262" s="12" t="s">
        <v>40</v>
      </c>
      <c r="C262" s="12" t="s">
        <v>15</v>
      </c>
      <c r="D262" s="12">
        <v>0</v>
      </c>
      <c r="E262" s="12">
        <v>0</v>
      </c>
      <c r="F262" s="12">
        <v>10</v>
      </c>
      <c r="G262" s="12">
        <v>0</v>
      </c>
      <c r="H262" s="12">
        <v>0</v>
      </c>
      <c r="I262" s="12" t="s">
        <v>104</v>
      </c>
      <c r="K262" s="12">
        <v>46237</v>
      </c>
      <c r="L262">
        <v>46237</v>
      </c>
    </row>
    <row r="263" spans="1:12" x14ac:dyDescent="0.25">
      <c r="A263" s="12" t="s">
        <v>63</v>
      </c>
      <c r="B263" s="12" t="s">
        <v>40</v>
      </c>
      <c r="C263" s="12" t="s">
        <v>13</v>
      </c>
      <c r="D263" s="12">
        <v>3.5876164620550925</v>
      </c>
      <c r="E263" s="12">
        <v>3.8</v>
      </c>
      <c r="F263" s="12">
        <v>10</v>
      </c>
      <c r="G263" s="12">
        <v>3.8</v>
      </c>
      <c r="H263" s="12">
        <v>4.7058823529411757</v>
      </c>
      <c r="I263" s="12" t="s">
        <v>103</v>
      </c>
      <c r="J263">
        <v>1</v>
      </c>
      <c r="K263" s="12">
        <v>46237</v>
      </c>
      <c r="L263">
        <v>46237</v>
      </c>
    </row>
    <row r="264" spans="1:12" x14ac:dyDescent="0.25">
      <c r="A264" s="12" t="s">
        <v>63</v>
      </c>
      <c r="B264" s="12" t="s">
        <v>40</v>
      </c>
      <c r="C264" s="12" t="s">
        <v>14</v>
      </c>
      <c r="D264" s="12">
        <v>3.1779578349000128</v>
      </c>
      <c r="E264" s="12">
        <v>2.8499999999999996</v>
      </c>
      <c r="F264" s="12">
        <v>10</v>
      </c>
      <c r="G264" s="12">
        <v>2.8499999999999996</v>
      </c>
      <c r="H264" s="12">
        <v>4.6885813148788937</v>
      </c>
      <c r="I264" s="12" t="s">
        <v>105</v>
      </c>
      <c r="J264">
        <v>1</v>
      </c>
      <c r="K264" s="12">
        <v>46237</v>
      </c>
      <c r="L264">
        <v>46237</v>
      </c>
    </row>
    <row r="265" spans="1:12" x14ac:dyDescent="0.25">
      <c r="A265" s="12" t="s">
        <v>63</v>
      </c>
      <c r="B265" s="12" t="s">
        <v>40</v>
      </c>
      <c r="C265" s="12" t="s">
        <v>15</v>
      </c>
      <c r="D265" s="12">
        <v>0</v>
      </c>
      <c r="E265" s="12">
        <v>0</v>
      </c>
      <c r="F265" s="12">
        <v>10</v>
      </c>
      <c r="G265" s="12">
        <v>0</v>
      </c>
      <c r="H265" s="12">
        <v>0</v>
      </c>
      <c r="I265" s="12" t="s">
        <v>104</v>
      </c>
      <c r="J265">
        <v>1</v>
      </c>
      <c r="K265" s="12">
        <v>46237</v>
      </c>
      <c r="L265">
        <v>46237</v>
      </c>
    </row>
    <row r="266" spans="1:12" x14ac:dyDescent="0.25">
      <c r="A266" s="12" t="s">
        <v>59</v>
      </c>
      <c r="B266" s="12" t="s">
        <v>39</v>
      </c>
      <c r="C266" s="12" t="s">
        <v>13</v>
      </c>
      <c r="D266" s="12">
        <v>5.8323914011879037</v>
      </c>
      <c r="E266" s="12">
        <v>0</v>
      </c>
      <c r="F266" s="12">
        <v>10</v>
      </c>
      <c r="G266" s="12">
        <v>0</v>
      </c>
      <c r="H266" s="12">
        <v>4.2886029411764701</v>
      </c>
      <c r="I266" s="12" t="s">
        <v>103</v>
      </c>
      <c r="K266" s="12">
        <v>46237</v>
      </c>
      <c r="L266">
        <v>46237</v>
      </c>
    </row>
    <row r="267" spans="1:12" x14ac:dyDescent="0.25">
      <c r="A267" s="12" t="s">
        <v>59</v>
      </c>
      <c r="B267" s="12" t="s">
        <v>39</v>
      </c>
      <c r="C267" s="12" t="s">
        <v>15</v>
      </c>
      <c r="D267" s="12">
        <v>1.2742252699784016</v>
      </c>
      <c r="E267" s="12">
        <v>0</v>
      </c>
      <c r="F267" s="12">
        <v>10</v>
      </c>
      <c r="G267" s="12">
        <v>0</v>
      </c>
      <c r="H267" s="12">
        <v>0.94117647058823517</v>
      </c>
      <c r="I267" s="12" t="s">
        <v>104</v>
      </c>
      <c r="K267" s="12">
        <v>46237</v>
      </c>
      <c r="L267">
        <v>46237</v>
      </c>
    </row>
    <row r="268" spans="1:12" x14ac:dyDescent="0.25">
      <c r="A268" s="12" t="s">
        <v>59</v>
      </c>
      <c r="B268" s="12" t="s">
        <v>39</v>
      </c>
      <c r="C268" s="12" t="s">
        <v>14</v>
      </c>
      <c r="D268" s="12">
        <v>3.3729492440604751</v>
      </c>
      <c r="E268" s="12">
        <v>0</v>
      </c>
      <c r="F268" s="12">
        <v>10</v>
      </c>
      <c r="G268" s="12">
        <v>0</v>
      </c>
      <c r="H268" s="12">
        <v>3.4861591695501724</v>
      </c>
      <c r="I268" s="12" t="s">
        <v>105</v>
      </c>
      <c r="K268" s="12">
        <v>46237</v>
      </c>
      <c r="L268">
        <v>46237</v>
      </c>
    </row>
    <row r="269" spans="1:12" x14ac:dyDescent="0.25">
      <c r="A269" s="12" t="s">
        <v>63</v>
      </c>
      <c r="B269" s="12" t="s">
        <v>39</v>
      </c>
      <c r="C269" s="12" t="s">
        <v>13</v>
      </c>
      <c r="D269" s="12">
        <v>5.8323914011879037</v>
      </c>
      <c r="E269" s="12">
        <v>0</v>
      </c>
      <c r="F269" s="12">
        <v>10</v>
      </c>
      <c r="G269" s="12">
        <v>0</v>
      </c>
      <c r="H269" s="12">
        <v>4.2886029411764701</v>
      </c>
      <c r="I269" s="12" t="s">
        <v>103</v>
      </c>
      <c r="J269">
        <v>1</v>
      </c>
      <c r="K269" s="12">
        <v>46237</v>
      </c>
      <c r="L269">
        <v>46237</v>
      </c>
    </row>
    <row r="270" spans="1:12" x14ac:dyDescent="0.25">
      <c r="A270" s="12" t="s">
        <v>63</v>
      </c>
      <c r="B270" s="12" t="s">
        <v>39</v>
      </c>
      <c r="C270" s="12" t="s">
        <v>15</v>
      </c>
      <c r="D270" s="12">
        <v>1.2742252699784016</v>
      </c>
      <c r="E270" s="12">
        <v>0</v>
      </c>
      <c r="F270" s="12">
        <v>10</v>
      </c>
      <c r="G270" s="12">
        <v>0</v>
      </c>
      <c r="H270" s="12">
        <v>0.94117647058823517</v>
      </c>
      <c r="I270" s="12" t="s">
        <v>104</v>
      </c>
      <c r="J270">
        <v>1</v>
      </c>
      <c r="K270" s="12">
        <v>46237</v>
      </c>
      <c r="L270">
        <v>46237</v>
      </c>
    </row>
    <row r="271" spans="1:12" x14ac:dyDescent="0.25">
      <c r="A271" s="12" t="s">
        <v>63</v>
      </c>
      <c r="B271" s="12" t="s">
        <v>39</v>
      </c>
      <c r="C271" s="12" t="s">
        <v>14</v>
      </c>
      <c r="D271" s="12">
        <v>3.3729492440604751</v>
      </c>
      <c r="E271" s="12">
        <v>0</v>
      </c>
      <c r="F271" s="12">
        <v>10</v>
      </c>
      <c r="G271" s="12">
        <v>0</v>
      </c>
      <c r="H271" s="12">
        <v>3.4861591695501724</v>
      </c>
      <c r="I271" s="12" t="s">
        <v>105</v>
      </c>
      <c r="J271">
        <v>1</v>
      </c>
      <c r="K271" s="12">
        <v>46237</v>
      </c>
      <c r="L271">
        <v>46237</v>
      </c>
    </row>
    <row r="272" spans="1:12" x14ac:dyDescent="0.25">
      <c r="A272" s="12" t="s">
        <v>59</v>
      </c>
      <c r="B272" s="12" t="s">
        <v>38</v>
      </c>
      <c r="C272" s="12" t="s">
        <v>14</v>
      </c>
      <c r="D272" s="12">
        <v>10.973885648639106</v>
      </c>
      <c r="E272" s="12">
        <v>1.9</v>
      </c>
      <c r="F272" s="12">
        <v>10</v>
      </c>
      <c r="G272" s="12">
        <v>1.9</v>
      </c>
      <c r="H272" s="12">
        <v>11.6015625</v>
      </c>
      <c r="I272" s="12" t="s">
        <v>106</v>
      </c>
      <c r="K272" s="12">
        <v>46238</v>
      </c>
      <c r="L272">
        <v>46238</v>
      </c>
    </row>
    <row r="273" spans="1:12" x14ac:dyDescent="0.25">
      <c r="A273" s="12" t="s">
        <v>59</v>
      </c>
      <c r="B273" s="12" t="s">
        <v>38</v>
      </c>
      <c r="C273" s="12" t="s">
        <v>15</v>
      </c>
      <c r="D273" s="12">
        <v>4.2207252494765797</v>
      </c>
      <c r="E273" s="12">
        <v>0</v>
      </c>
      <c r="F273" s="12">
        <v>10</v>
      </c>
      <c r="G273" s="12">
        <v>0</v>
      </c>
      <c r="H273" s="12">
        <v>4.6875</v>
      </c>
      <c r="I273" s="12" t="s">
        <v>107</v>
      </c>
      <c r="K273" s="12">
        <v>46238</v>
      </c>
      <c r="L273">
        <v>46238</v>
      </c>
    </row>
    <row r="274" spans="1:12" x14ac:dyDescent="0.25">
      <c r="A274" s="12" t="s">
        <v>59</v>
      </c>
      <c r="B274" s="12" t="s">
        <v>38</v>
      </c>
      <c r="C274" s="12" t="s">
        <v>13</v>
      </c>
      <c r="D274" s="12">
        <v>13.005109674949706</v>
      </c>
      <c r="E274" s="12">
        <v>2.8499999999999996</v>
      </c>
      <c r="F274" s="12">
        <v>10</v>
      </c>
      <c r="G274" s="12">
        <v>2.8499999999999996</v>
      </c>
      <c r="H274" s="12">
        <v>13.6171875</v>
      </c>
      <c r="I274" s="12" t="s">
        <v>108</v>
      </c>
      <c r="K274" s="12">
        <v>46238</v>
      </c>
      <c r="L274">
        <v>46238</v>
      </c>
    </row>
    <row r="275" spans="1:12" x14ac:dyDescent="0.25">
      <c r="A275" s="12" t="s">
        <v>63</v>
      </c>
      <c r="B275" s="12" t="s">
        <v>38</v>
      </c>
      <c r="C275" s="12" t="s">
        <v>14</v>
      </c>
      <c r="D275" s="12">
        <v>10.973885648639106</v>
      </c>
      <c r="E275" s="12">
        <v>1.9</v>
      </c>
      <c r="F275" s="12">
        <v>10</v>
      </c>
      <c r="G275" s="12">
        <v>1.9</v>
      </c>
      <c r="H275" s="12">
        <v>11.6015625</v>
      </c>
      <c r="I275" s="12" t="s">
        <v>106</v>
      </c>
      <c r="J275">
        <v>1</v>
      </c>
      <c r="K275" s="12">
        <v>46238</v>
      </c>
      <c r="L275">
        <v>46238</v>
      </c>
    </row>
    <row r="276" spans="1:12" x14ac:dyDescent="0.25">
      <c r="A276" s="12" t="s">
        <v>63</v>
      </c>
      <c r="B276" s="12" t="s">
        <v>38</v>
      </c>
      <c r="C276" s="12" t="s">
        <v>15</v>
      </c>
      <c r="D276" s="12">
        <v>4.2207252494765797</v>
      </c>
      <c r="E276" s="12">
        <v>0</v>
      </c>
      <c r="F276" s="12">
        <v>10</v>
      </c>
      <c r="G276" s="12">
        <v>0</v>
      </c>
      <c r="H276" s="12">
        <v>4.6875</v>
      </c>
      <c r="I276" s="12" t="s">
        <v>107</v>
      </c>
      <c r="J276">
        <v>1</v>
      </c>
      <c r="K276" s="12">
        <v>46238</v>
      </c>
      <c r="L276">
        <v>46238</v>
      </c>
    </row>
    <row r="277" spans="1:12" x14ac:dyDescent="0.25">
      <c r="A277" s="12" t="s">
        <v>63</v>
      </c>
      <c r="B277" s="12" t="s">
        <v>38</v>
      </c>
      <c r="C277" s="12" t="s">
        <v>13</v>
      </c>
      <c r="D277" s="12">
        <v>13.005109674949706</v>
      </c>
      <c r="E277" s="12">
        <v>2.8499999999999996</v>
      </c>
      <c r="F277" s="12">
        <v>10</v>
      </c>
      <c r="G277" s="12">
        <v>2.8499999999999996</v>
      </c>
      <c r="H277" s="12">
        <v>13.6171875</v>
      </c>
      <c r="I277" s="12" t="s">
        <v>108</v>
      </c>
      <c r="J277">
        <v>1</v>
      </c>
      <c r="K277" s="12">
        <v>46238</v>
      </c>
      <c r="L277">
        <v>46238</v>
      </c>
    </row>
    <row r="278" spans="1:12" x14ac:dyDescent="0.25">
      <c r="A278" s="12" t="s">
        <v>59</v>
      </c>
      <c r="B278" s="12" t="s">
        <v>40</v>
      </c>
      <c r="C278" s="12" t="s">
        <v>14</v>
      </c>
      <c r="D278" s="12">
        <v>3.2276134260703255</v>
      </c>
      <c r="E278" s="12">
        <v>2.8499999999999996</v>
      </c>
      <c r="F278" s="12">
        <v>10</v>
      </c>
      <c r="G278" s="12">
        <v>2.8499999999999996</v>
      </c>
      <c r="H278" s="12">
        <v>4.6397539407920032</v>
      </c>
      <c r="I278" s="12" t="s">
        <v>106</v>
      </c>
      <c r="K278" s="12">
        <v>46238</v>
      </c>
      <c r="L278">
        <v>46238</v>
      </c>
    </row>
    <row r="279" spans="1:12" x14ac:dyDescent="0.25">
      <c r="A279" s="12" t="s">
        <v>59</v>
      </c>
      <c r="B279" s="12" t="s">
        <v>40</v>
      </c>
      <c r="C279" s="12" t="s">
        <v>15</v>
      </c>
      <c r="D279" s="12">
        <v>0</v>
      </c>
      <c r="E279" s="12">
        <v>0.95</v>
      </c>
      <c r="F279" s="12">
        <v>10</v>
      </c>
      <c r="G279" s="12">
        <v>0.95</v>
      </c>
      <c r="H279" s="12">
        <v>0</v>
      </c>
      <c r="I279" s="12" t="s">
        <v>107</v>
      </c>
      <c r="K279" s="12">
        <v>46238</v>
      </c>
      <c r="L279">
        <v>46238</v>
      </c>
    </row>
    <row r="280" spans="1:12" x14ac:dyDescent="0.25">
      <c r="A280" s="12" t="s">
        <v>59</v>
      </c>
      <c r="B280" s="12" t="s">
        <v>40</v>
      </c>
      <c r="C280" s="12" t="s">
        <v>13</v>
      </c>
      <c r="D280" s="12">
        <v>3.5876164620550925</v>
      </c>
      <c r="E280" s="12">
        <v>3.8</v>
      </c>
      <c r="F280" s="12">
        <v>10</v>
      </c>
      <c r="G280" s="12">
        <v>3.8</v>
      </c>
      <c r="H280" s="12">
        <v>4.8202614379084965</v>
      </c>
      <c r="I280" s="12" t="s">
        <v>108</v>
      </c>
      <c r="K280" s="12">
        <v>46238</v>
      </c>
      <c r="L280">
        <v>46238</v>
      </c>
    </row>
    <row r="281" spans="1:12" x14ac:dyDescent="0.25">
      <c r="A281" s="12" t="s">
        <v>63</v>
      </c>
      <c r="B281" s="12" t="s">
        <v>40</v>
      </c>
      <c r="C281" s="12" t="s">
        <v>14</v>
      </c>
      <c r="D281" s="12">
        <v>3.2276134260703255</v>
      </c>
      <c r="E281" s="12">
        <v>2.8499999999999996</v>
      </c>
      <c r="F281" s="12">
        <v>10</v>
      </c>
      <c r="G281" s="12">
        <v>2.8499999999999996</v>
      </c>
      <c r="H281" s="12">
        <v>4.6397539407920032</v>
      </c>
      <c r="I281" s="12" t="s">
        <v>106</v>
      </c>
      <c r="J281">
        <v>1</v>
      </c>
      <c r="K281" s="12">
        <v>46238</v>
      </c>
      <c r="L281">
        <v>46238</v>
      </c>
    </row>
    <row r="282" spans="1:12" x14ac:dyDescent="0.25">
      <c r="A282" s="12" t="s">
        <v>63</v>
      </c>
      <c r="B282" s="12" t="s">
        <v>40</v>
      </c>
      <c r="C282" s="12" t="s">
        <v>15</v>
      </c>
      <c r="D282" s="12">
        <v>0</v>
      </c>
      <c r="E282" s="12">
        <v>0.95</v>
      </c>
      <c r="F282" s="12">
        <v>10</v>
      </c>
      <c r="G282" s="12">
        <v>0.95</v>
      </c>
      <c r="H282" s="12">
        <v>0</v>
      </c>
      <c r="I282" s="12" t="s">
        <v>107</v>
      </c>
      <c r="J282">
        <v>1</v>
      </c>
      <c r="K282" s="12">
        <v>46238</v>
      </c>
      <c r="L282">
        <v>46238</v>
      </c>
    </row>
    <row r="283" spans="1:12" x14ac:dyDescent="0.25">
      <c r="A283" s="12" t="s">
        <v>63</v>
      </c>
      <c r="B283" s="12" t="s">
        <v>40</v>
      </c>
      <c r="C283" s="12" t="s">
        <v>13</v>
      </c>
      <c r="D283" s="12">
        <v>3.5876164620550925</v>
      </c>
      <c r="E283" s="12">
        <v>3.8</v>
      </c>
      <c r="F283" s="12">
        <v>10</v>
      </c>
      <c r="G283" s="12">
        <v>3.8</v>
      </c>
      <c r="H283" s="12">
        <v>4.8202614379084965</v>
      </c>
      <c r="I283" s="12" t="s">
        <v>108</v>
      </c>
      <c r="J283">
        <v>1</v>
      </c>
      <c r="K283" s="12">
        <v>46238</v>
      </c>
      <c r="L283">
        <v>46238</v>
      </c>
    </row>
    <row r="284" spans="1:12" x14ac:dyDescent="0.25">
      <c r="A284" s="12" t="s">
        <v>59</v>
      </c>
      <c r="B284" s="12" t="s">
        <v>39</v>
      </c>
      <c r="C284" s="12" t="s">
        <v>14</v>
      </c>
      <c r="D284" s="12">
        <v>3.3729492440604751</v>
      </c>
      <c r="E284" s="12">
        <v>0</v>
      </c>
      <c r="F284" s="12">
        <v>10</v>
      </c>
      <c r="G284" s="12">
        <v>0</v>
      </c>
      <c r="H284" s="12">
        <v>3.4861591695501724</v>
      </c>
      <c r="I284" s="12" t="s">
        <v>106</v>
      </c>
      <c r="K284" s="12">
        <v>46238</v>
      </c>
      <c r="L284">
        <v>46238</v>
      </c>
    </row>
    <row r="285" spans="1:12" x14ac:dyDescent="0.25">
      <c r="A285" s="12" t="s">
        <v>59</v>
      </c>
      <c r="B285" s="12" t="s">
        <v>39</v>
      </c>
      <c r="C285" s="12" t="s">
        <v>13</v>
      </c>
      <c r="D285" s="12">
        <v>5.8323914011879046</v>
      </c>
      <c r="E285" s="12">
        <v>0</v>
      </c>
      <c r="F285" s="12">
        <v>10</v>
      </c>
      <c r="G285" s="12">
        <v>0</v>
      </c>
      <c r="H285" s="12">
        <v>4.2886029411764701</v>
      </c>
      <c r="I285" s="12" t="s">
        <v>108</v>
      </c>
      <c r="K285" s="12">
        <v>46238</v>
      </c>
      <c r="L285">
        <v>46238</v>
      </c>
    </row>
    <row r="286" spans="1:12" x14ac:dyDescent="0.25">
      <c r="A286" s="12" t="s">
        <v>59</v>
      </c>
      <c r="B286" s="12" t="s">
        <v>39</v>
      </c>
      <c r="C286" s="12" t="s">
        <v>15</v>
      </c>
      <c r="D286" s="12">
        <v>1.2742252699784016</v>
      </c>
      <c r="E286" s="12">
        <v>0</v>
      </c>
      <c r="F286" s="12">
        <v>10</v>
      </c>
      <c r="G286" s="12">
        <v>0</v>
      </c>
      <c r="H286" s="12">
        <v>0.94117647058823517</v>
      </c>
      <c r="I286" s="12" t="s">
        <v>107</v>
      </c>
      <c r="K286" s="12">
        <v>46238</v>
      </c>
      <c r="L286">
        <v>46238</v>
      </c>
    </row>
    <row r="287" spans="1:12" x14ac:dyDescent="0.25">
      <c r="A287" s="12" t="s">
        <v>63</v>
      </c>
      <c r="B287" s="12" t="s">
        <v>39</v>
      </c>
      <c r="C287" s="12" t="s">
        <v>14</v>
      </c>
      <c r="D287" s="12">
        <v>3.3729492440604751</v>
      </c>
      <c r="E287" s="12">
        <v>0</v>
      </c>
      <c r="F287" s="12">
        <v>10</v>
      </c>
      <c r="G287" s="12">
        <v>0</v>
      </c>
      <c r="H287" s="12">
        <v>3.4861591695501724</v>
      </c>
      <c r="I287" s="12" t="s">
        <v>106</v>
      </c>
      <c r="J287">
        <v>1</v>
      </c>
      <c r="K287" s="12">
        <v>46238</v>
      </c>
      <c r="L287">
        <v>46238</v>
      </c>
    </row>
    <row r="288" spans="1:12" x14ac:dyDescent="0.25">
      <c r="A288" s="12" t="s">
        <v>63</v>
      </c>
      <c r="B288" s="12" t="s">
        <v>39</v>
      </c>
      <c r="C288" s="12" t="s">
        <v>13</v>
      </c>
      <c r="D288" s="12">
        <v>5.8323914011879046</v>
      </c>
      <c r="E288" s="12">
        <v>0</v>
      </c>
      <c r="F288" s="12">
        <v>10</v>
      </c>
      <c r="G288" s="12">
        <v>0</v>
      </c>
      <c r="H288" s="12">
        <v>4.2886029411764701</v>
      </c>
      <c r="I288" s="12" t="s">
        <v>108</v>
      </c>
      <c r="J288">
        <v>1</v>
      </c>
      <c r="K288" s="12">
        <v>46238</v>
      </c>
      <c r="L288">
        <v>46238</v>
      </c>
    </row>
    <row r="289" spans="1:12" x14ac:dyDescent="0.25">
      <c r="A289" s="12" t="s">
        <v>63</v>
      </c>
      <c r="B289" s="12" t="s">
        <v>39</v>
      </c>
      <c r="C289" s="12" t="s">
        <v>15</v>
      </c>
      <c r="D289" s="12">
        <v>1.2742252699784016</v>
      </c>
      <c r="E289" s="12">
        <v>0</v>
      </c>
      <c r="F289" s="12">
        <v>10</v>
      </c>
      <c r="G289" s="12">
        <v>0</v>
      </c>
      <c r="H289" s="12">
        <v>0.94117647058823517</v>
      </c>
      <c r="I289" s="12" t="s">
        <v>107</v>
      </c>
      <c r="J289">
        <v>1</v>
      </c>
      <c r="K289" s="12">
        <v>46238</v>
      </c>
      <c r="L289">
        <v>46238</v>
      </c>
    </row>
    <row r="290" spans="1:12" x14ac:dyDescent="0.25">
      <c r="A290" s="12" t="s">
        <v>59</v>
      </c>
      <c r="B290" s="12" t="s">
        <v>38</v>
      </c>
      <c r="C290" s="12" t="s">
        <v>15</v>
      </c>
      <c r="D290" s="12">
        <v>4.2207252494765797</v>
      </c>
      <c r="E290" s="12">
        <v>1.9</v>
      </c>
      <c r="F290" s="12">
        <v>10</v>
      </c>
      <c r="G290" s="12">
        <v>1.9</v>
      </c>
      <c r="H290" s="12">
        <v>4.6875</v>
      </c>
      <c r="I290" s="12" t="s">
        <v>109</v>
      </c>
      <c r="K290" s="12">
        <v>46239</v>
      </c>
      <c r="L290">
        <v>46239</v>
      </c>
    </row>
    <row r="291" spans="1:12" x14ac:dyDescent="0.25">
      <c r="A291" s="12" t="s">
        <v>59</v>
      </c>
      <c r="B291" s="12" t="s">
        <v>38</v>
      </c>
      <c r="C291" s="12" t="s">
        <v>14</v>
      </c>
      <c r="D291" s="12">
        <v>10.815608451783737</v>
      </c>
      <c r="E291" s="12">
        <v>1.9</v>
      </c>
      <c r="F291" s="12">
        <v>10</v>
      </c>
      <c r="G291" s="12">
        <v>1.9</v>
      </c>
      <c r="H291" s="12">
        <v>11.355238970588236</v>
      </c>
      <c r="I291" s="12" t="s">
        <v>110</v>
      </c>
      <c r="K291" s="12">
        <v>46239</v>
      </c>
      <c r="L291">
        <v>46239</v>
      </c>
    </row>
    <row r="292" spans="1:12" x14ac:dyDescent="0.25">
      <c r="A292" s="12" t="s">
        <v>59</v>
      </c>
      <c r="B292" s="12" t="s">
        <v>38</v>
      </c>
      <c r="C292" s="12" t="s">
        <v>13</v>
      </c>
      <c r="D292" s="12">
        <v>12.583037150002053</v>
      </c>
      <c r="E292" s="12">
        <v>2.8499999999999996</v>
      </c>
      <c r="F292" s="12">
        <v>10</v>
      </c>
      <c r="G292" s="12">
        <v>2.8499999999999996</v>
      </c>
      <c r="H292" s="12">
        <v>12.738511029411764</v>
      </c>
      <c r="I292" s="12" t="s">
        <v>111</v>
      </c>
      <c r="K292" s="12">
        <v>46239</v>
      </c>
      <c r="L292">
        <v>46239</v>
      </c>
    </row>
    <row r="293" spans="1:12" x14ac:dyDescent="0.25">
      <c r="A293" s="12" t="s">
        <v>63</v>
      </c>
      <c r="B293" s="12" t="s">
        <v>38</v>
      </c>
      <c r="C293" s="12" t="s">
        <v>15</v>
      </c>
      <c r="D293" s="12">
        <v>4.2207252494765797</v>
      </c>
      <c r="E293" s="12">
        <v>1.9</v>
      </c>
      <c r="F293" s="12">
        <v>10</v>
      </c>
      <c r="G293" s="12">
        <v>1.9</v>
      </c>
      <c r="H293" s="12">
        <v>4.6875</v>
      </c>
      <c r="I293" s="12" t="s">
        <v>109</v>
      </c>
      <c r="J293">
        <v>1</v>
      </c>
      <c r="K293" s="12">
        <v>46239</v>
      </c>
      <c r="L293">
        <v>46239</v>
      </c>
    </row>
    <row r="294" spans="1:12" x14ac:dyDescent="0.25">
      <c r="A294" s="12" t="s">
        <v>63</v>
      </c>
      <c r="B294" s="12" t="s">
        <v>38</v>
      </c>
      <c r="C294" s="12" t="s">
        <v>14</v>
      </c>
      <c r="D294" s="12">
        <v>10.815608451783737</v>
      </c>
      <c r="E294" s="12">
        <v>1.9</v>
      </c>
      <c r="F294" s="12">
        <v>10</v>
      </c>
      <c r="G294" s="12">
        <v>1.9</v>
      </c>
      <c r="H294" s="12">
        <v>11.355238970588236</v>
      </c>
      <c r="I294" s="12" t="s">
        <v>110</v>
      </c>
      <c r="J294">
        <v>1</v>
      </c>
      <c r="K294" s="12">
        <v>46239</v>
      </c>
      <c r="L294">
        <v>46239</v>
      </c>
    </row>
    <row r="295" spans="1:12" x14ac:dyDescent="0.25">
      <c r="A295" s="12" t="s">
        <v>63</v>
      </c>
      <c r="B295" s="12" t="s">
        <v>38</v>
      </c>
      <c r="C295" s="12" t="s">
        <v>13</v>
      </c>
      <c r="D295" s="12">
        <v>12.583037150002053</v>
      </c>
      <c r="E295" s="12">
        <v>2.8499999999999996</v>
      </c>
      <c r="F295" s="12">
        <v>10</v>
      </c>
      <c r="G295" s="12">
        <v>2.8499999999999996</v>
      </c>
      <c r="H295" s="12">
        <v>12.738511029411764</v>
      </c>
      <c r="I295" s="12" t="s">
        <v>111</v>
      </c>
      <c r="J295">
        <v>1</v>
      </c>
      <c r="K295" s="12">
        <v>46239</v>
      </c>
      <c r="L295">
        <v>46239</v>
      </c>
    </row>
    <row r="296" spans="1:12" x14ac:dyDescent="0.25">
      <c r="A296" s="12" t="s">
        <v>59</v>
      </c>
      <c r="B296" s="12" t="s">
        <v>40</v>
      </c>
      <c r="C296" s="12" t="s">
        <v>15</v>
      </c>
      <c r="D296" s="12">
        <v>0</v>
      </c>
      <c r="E296" s="12">
        <v>0.95</v>
      </c>
      <c r="F296" s="12">
        <v>10</v>
      </c>
      <c r="G296" s="12">
        <v>0.95</v>
      </c>
      <c r="H296" s="12">
        <v>0</v>
      </c>
      <c r="I296" s="12" t="s">
        <v>109</v>
      </c>
      <c r="K296" s="12">
        <v>46239</v>
      </c>
      <c r="L296">
        <v>46239</v>
      </c>
    </row>
    <row r="297" spans="1:12" x14ac:dyDescent="0.25">
      <c r="A297" s="12" t="s">
        <v>59</v>
      </c>
      <c r="B297" s="12" t="s">
        <v>40</v>
      </c>
      <c r="C297" s="12" t="s">
        <v>13</v>
      </c>
      <c r="D297" s="12">
        <v>3.5876164620550925</v>
      </c>
      <c r="E297" s="12">
        <v>3.8</v>
      </c>
      <c r="F297" s="12">
        <v>10</v>
      </c>
      <c r="G297" s="12">
        <v>3.8</v>
      </c>
      <c r="H297" s="12">
        <v>4.7022058823529402</v>
      </c>
      <c r="I297" s="12" t="s">
        <v>111</v>
      </c>
      <c r="K297" s="12">
        <v>46239</v>
      </c>
      <c r="L297">
        <v>46239</v>
      </c>
    </row>
    <row r="298" spans="1:12" x14ac:dyDescent="0.25">
      <c r="A298" s="12" t="s">
        <v>59</v>
      </c>
      <c r="B298" s="12" t="s">
        <v>40</v>
      </c>
      <c r="C298" s="12" t="s">
        <v>14</v>
      </c>
      <c r="D298" s="12">
        <v>3.1779578349000128</v>
      </c>
      <c r="E298" s="12">
        <v>2.8499999999999996</v>
      </c>
      <c r="F298" s="12">
        <v>10</v>
      </c>
      <c r="G298" s="12">
        <v>2.8499999999999996</v>
      </c>
      <c r="H298" s="12">
        <v>4.6332179930795849</v>
      </c>
      <c r="I298" s="12" t="s">
        <v>110</v>
      </c>
      <c r="K298" s="12">
        <v>46239</v>
      </c>
      <c r="L298">
        <v>46239</v>
      </c>
    </row>
    <row r="299" spans="1:12" x14ac:dyDescent="0.25">
      <c r="A299" s="12" t="s">
        <v>63</v>
      </c>
      <c r="B299" s="12" t="s">
        <v>40</v>
      </c>
      <c r="C299" s="12" t="s">
        <v>15</v>
      </c>
      <c r="D299" s="12">
        <v>0</v>
      </c>
      <c r="E299" s="12">
        <v>0.95</v>
      </c>
      <c r="F299" s="12">
        <v>10</v>
      </c>
      <c r="G299" s="12">
        <v>0.95</v>
      </c>
      <c r="H299" s="12">
        <v>0</v>
      </c>
      <c r="I299" s="12" t="s">
        <v>109</v>
      </c>
      <c r="J299">
        <v>1</v>
      </c>
      <c r="K299" s="12">
        <v>46239</v>
      </c>
      <c r="L299">
        <v>46239</v>
      </c>
    </row>
    <row r="300" spans="1:12" x14ac:dyDescent="0.25">
      <c r="A300" s="12" t="s">
        <v>63</v>
      </c>
      <c r="B300" s="12" t="s">
        <v>40</v>
      </c>
      <c r="C300" s="12" t="s">
        <v>13</v>
      </c>
      <c r="D300" s="12">
        <v>3.5876164620550925</v>
      </c>
      <c r="E300" s="12">
        <v>3.8</v>
      </c>
      <c r="F300" s="12">
        <v>10</v>
      </c>
      <c r="G300" s="12">
        <v>3.8</v>
      </c>
      <c r="H300" s="12">
        <v>4.7022058823529402</v>
      </c>
      <c r="I300" s="12" t="s">
        <v>111</v>
      </c>
      <c r="J300">
        <v>1</v>
      </c>
      <c r="K300" s="12">
        <v>46239</v>
      </c>
      <c r="L300">
        <v>46239</v>
      </c>
    </row>
    <row r="301" spans="1:12" x14ac:dyDescent="0.25">
      <c r="A301" s="12" t="s">
        <v>63</v>
      </c>
      <c r="B301" s="12" t="s">
        <v>40</v>
      </c>
      <c r="C301" s="12" t="s">
        <v>14</v>
      </c>
      <c r="D301" s="12">
        <v>3.1779578349000128</v>
      </c>
      <c r="E301" s="12">
        <v>2.8499999999999996</v>
      </c>
      <c r="F301" s="12">
        <v>10</v>
      </c>
      <c r="G301" s="12">
        <v>2.8499999999999996</v>
      </c>
      <c r="H301" s="12">
        <v>4.6332179930795849</v>
      </c>
      <c r="I301" s="12" t="s">
        <v>110</v>
      </c>
      <c r="J301">
        <v>1</v>
      </c>
      <c r="K301" s="12">
        <v>46239</v>
      </c>
      <c r="L301">
        <v>46239</v>
      </c>
    </row>
    <row r="302" spans="1:12" x14ac:dyDescent="0.25">
      <c r="A302" s="12" t="s">
        <v>59</v>
      </c>
      <c r="B302" s="12" t="s">
        <v>39</v>
      </c>
      <c r="C302" s="12" t="s">
        <v>15</v>
      </c>
      <c r="D302" s="12">
        <v>1.2742252699784016</v>
      </c>
      <c r="E302" s="12">
        <v>0</v>
      </c>
      <c r="F302" s="12">
        <v>10</v>
      </c>
      <c r="G302" s="12">
        <v>0</v>
      </c>
      <c r="H302" s="12">
        <v>0.94117647058823517</v>
      </c>
      <c r="I302" s="12" t="s">
        <v>109</v>
      </c>
      <c r="K302" s="12">
        <v>46239</v>
      </c>
      <c r="L302">
        <v>46239</v>
      </c>
    </row>
    <row r="303" spans="1:12" x14ac:dyDescent="0.25">
      <c r="A303" s="12" t="s">
        <v>59</v>
      </c>
      <c r="B303" s="12" t="s">
        <v>39</v>
      </c>
      <c r="C303" s="12" t="s">
        <v>14</v>
      </c>
      <c r="D303" s="12">
        <v>3.902039321560157</v>
      </c>
      <c r="E303" s="12">
        <v>0</v>
      </c>
      <c r="F303" s="12">
        <v>10</v>
      </c>
      <c r="G303" s="12">
        <v>0</v>
      </c>
      <c r="H303" s="12">
        <v>3.8460207612456743</v>
      </c>
      <c r="I303" s="12" t="s">
        <v>110</v>
      </c>
      <c r="K303" s="12">
        <v>46239</v>
      </c>
      <c r="L303">
        <v>46239</v>
      </c>
    </row>
    <row r="304" spans="1:12" x14ac:dyDescent="0.25">
      <c r="A304" s="12" t="s">
        <v>59</v>
      </c>
      <c r="B304" s="12" t="s">
        <v>39</v>
      </c>
      <c r="C304" s="12" t="s">
        <v>13</v>
      </c>
      <c r="D304" s="12">
        <v>4.6378052105831538</v>
      </c>
      <c r="E304" s="12">
        <v>0</v>
      </c>
      <c r="F304" s="12">
        <v>10</v>
      </c>
      <c r="G304" s="12">
        <v>0</v>
      </c>
      <c r="H304" s="12">
        <v>2.40625</v>
      </c>
      <c r="I304" s="12" t="s">
        <v>111</v>
      </c>
      <c r="K304" s="12">
        <v>46239</v>
      </c>
      <c r="L304">
        <v>46239</v>
      </c>
    </row>
    <row r="305" spans="1:12" x14ac:dyDescent="0.25">
      <c r="A305" s="12" t="s">
        <v>63</v>
      </c>
      <c r="B305" s="12" t="s">
        <v>39</v>
      </c>
      <c r="C305" s="12" t="s">
        <v>15</v>
      </c>
      <c r="D305" s="12">
        <v>1.2742252699784016</v>
      </c>
      <c r="E305" s="12">
        <v>0</v>
      </c>
      <c r="F305" s="12">
        <v>10</v>
      </c>
      <c r="G305" s="12">
        <v>0</v>
      </c>
      <c r="H305" s="12">
        <v>0.94117647058823517</v>
      </c>
      <c r="I305" s="12" t="s">
        <v>109</v>
      </c>
      <c r="J305">
        <v>1</v>
      </c>
      <c r="K305" s="12">
        <v>46239</v>
      </c>
      <c r="L305">
        <v>46239</v>
      </c>
    </row>
    <row r="306" spans="1:12" x14ac:dyDescent="0.25">
      <c r="A306" s="12" t="s">
        <v>63</v>
      </c>
      <c r="B306" s="12" t="s">
        <v>39</v>
      </c>
      <c r="C306" s="12" t="s">
        <v>14</v>
      </c>
      <c r="D306" s="12">
        <v>3.902039321560157</v>
      </c>
      <c r="E306" s="12">
        <v>0</v>
      </c>
      <c r="F306" s="12">
        <v>10</v>
      </c>
      <c r="G306" s="12">
        <v>0</v>
      </c>
      <c r="H306" s="12">
        <v>3.8460207612456743</v>
      </c>
      <c r="I306" s="12" t="s">
        <v>110</v>
      </c>
      <c r="J306">
        <v>1</v>
      </c>
      <c r="K306" s="12">
        <v>46239</v>
      </c>
      <c r="L306">
        <v>46239</v>
      </c>
    </row>
    <row r="307" spans="1:12" x14ac:dyDescent="0.25">
      <c r="A307" s="12" t="s">
        <v>63</v>
      </c>
      <c r="B307" s="12" t="s">
        <v>39</v>
      </c>
      <c r="C307" s="12" t="s">
        <v>13</v>
      </c>
      <c r="D307" s="12">
        <v>4.6378052105831538</v>
      </c>
      <c r="E307" s="12">
        <v>0</v>
      </c>
      <c r="F307" s="12">
        <v>10</v>
      </c>
      <c r="G307" s="12">
        <v>0</v>
      </c>
      <c r="H307" s="12">
        <v>2.40625</v>
      </c>
      <c r="I307" s="12" t="s">
        <v>111</v>
      </c>
      <c r="J307">
        <v>1</v>
      </c>
      <c r="K307" s="12">
        <v>46239</v>
      </c>
      <c r="L307">
        <v>46239</v>
      </c>
    </row>
    <row r="308" spans="1:12" x14ac:dyDescent="0.25">
      <c r="A308" s="12" t="s">
        <v>59</v>
      </c>
      <c r="B308" s="12" t="s">
        <v>38</v>
      </c>
      <c r="C308" s="12" t="s">
        <v>15</v>
      </c>
      <c r="D308" s="12">
        <v>4.2207252494765797</v>
      </c>
      <c r="E308" s="12">
        <v>0.95</v>
      </c>
      <c r="F308" s="12">
        <v>10</v>
      </c>
      <c r="G308" s="12">
        <v>0.95</v>
      </c>
      <c r="H308" s="12">
        <v>4.6875</v>
      </c>
      <c r="I308" s="12" t="s">
        <v>112</v>
      </c>
      <c r="K308" s="12">
        <v>46240</v>
      </c>
      <c r="L308">
        <v>46240</v>
      </c>
    </row>
    <row r="309" spans="1:12" x14ac:dyDescent="0.25">
      <c r="A309" s="12" t="s">
        <v>59</v>
      </c>
      <c r="B309" s="12" t="s">
        <v>38</v>
      </c>
      <c r="C309" s="12" t="s">
        <v>13</v>
      </c>
      <c r="D309" s="12">
        <v>11.738892100106735</v>
      </c>
      <c r="E309" s="12">
        <v>4.75</v>
      </c>
      <c r="F309" s="12">
        <v>10</v>
      </c>
      <c r="G309" s="12">
        <v>4.75</v>
      </c>
      <c r="H309" s="12">
        <v>11.742187500000002</v>
      </c>
      <c r="I309" s="12" t="s">
        <v>113</v>
      </c>
      <c r="K309" s="12">
        <v>46240</v>
      </c>
      <c r="L309">
        <v>46240</v>
      </c>
    </row>
    <row r="310" spans="1:12" x14ac:dyDescent="0.25">
      <c r="A310" s="12" t="s">
        <v>59</v>
      </c>
      <c r="B310" s="12" t="s">
        <v>38</v>
      </c>
      <c r="C310" s="12" t="s">
        <v>14</v>
      </c>
      <c r="D310" s="12">
        <v>10.973885648639106</v>
      </c>
      <c r="E310" s="12">
        <v>0.95</v>
      </c>
      <c r="F310" s="12">
        <v>10</v>
      </c>
      <c r="G310" s="12">
        <v>0.95</v>
      </c>
      <c r="H310" s="12">
        <v>11.6015625</v>
      </c>
      <c r="I310" s="12" t="s">
        <v>114</v>
      </c>
      <c r="K310" s="12">
        <v>46240</v>
      </c>
      <c r="L310">
        <v>46240</v>
      </c>
    </row>
    <row r="311" spans="1:12" x14ac:dyDescent="0.25">
      <c r="A311" s="12" t="s">
        <v>63</v>
      </c>
      <c r="B311" s="12" t="s">
        <v>38</v>
      </c>
      <c r="C311" s="12" t="s">
        <v>15</v>
      </c>
      <c r="D311" s="12">
        <v>4.2207252494765797</v>
      </c>
      <c r="E311" s="12">
        <v>0.95</v>
      </c>
      <c r="F311" s="12">
        <v>10</v>
      </c>
      <c r="G311" s="12">
        <v>0.95</v>
      </c>
      <c r="H311" s="12">
        <v>4.6875</v>
      </c>
      <c r="I311" s="12" t="s">
        <v>112</v>
      </c>
      <c r="J311">
        <v>1</v>
      </c>
      <c r="K311" s="12">
        <v>46240</v>
      </c>
      <c r="L311">
        <v>46240</v>
      </c>
    </row>
    <row r="312" spans="1:12" x14ac:dyDescent="0.25">
      <c r="A312" s="12" t="s">
        <v>63</v>
      </c>
      <c r="B312" s="12" t="s">
        <v>38</v>
      </c>
      <c r="C312" s="12" t="s">
        <v>13</v>
      </c>
      <c r="D312" s="12">
        <v>11.738892100106735</v>
      </c>
      <c r="E312" s="12">
        <v>4.75</v>
      </c>
      <c r="F312" s="12">
        <v>10</v>
      </c>
      <c r="G312" s="12">
        <v>4.75</v>
      </c>
      <c r="H312" s="12">
        <v>11.742187500000002</v>
      </c>
      <c r="I312" s="12" t="s">
        <v>113</v>
      </c>
      <c r="J312">
        <v>1</v>
      </c>
      <c r="K312" s="12">
        <v>46240</v>
      </c>
      <c r="L312">
        <v>46240</v>
      </c>
    </row>
    <row r="313" spans="1:12" x14ac:dyDescent="0.25">
      <c r="A313" s="12" t="s">
        <v>63</v>
      </c>
      <c r="B313" s="12" t="s">
        <v>38</v>
      </c>
      <c r="C313" s="12" t="s">
        <v>14</v>
      </c>
      <c r="D313" s="12">
        <v>10.973885648639106</v>
      </c>
      <c r="E313" s="12">
        <v>0.95</v>
      </c>
      <c r="F313" s="12">
        <v>10</v>
      </c>
      <c r="G313" s="12">
        <v>0.95</v>
      </c>
      <c r="H313" s="12">
        <v>11.6015625</v>
      </c>
      <c r="I313" s="12" t="s">
        <v>114</v>
      </c>
      <c r="J313">
        <v>1</v>
      </c>
      <c r="K313" s="12">
        <v>46240</v>
      </c>
      <c r="L313">
        <v>46240</v>
      </c>
    </row>
    <row r="314" spans="1:12" x14ac:dyDescent="0.25">
      <c r="A314" s="12" t="s">
        <v>59</v>
      </c>
      <c r="B314" s="12" t="s">
        <v>40</v>
      </c>
      <c r="C314" s="12" t="s">
        <v>13</v>
      </c>
      <c r="D314" s="12">
        <v>3.5876164620550925</v>
      </c>
      <c r="E314" s="12">
        <v>3.8</v>
      </c>
      <c r="F314" s="12">
        <v>10</v>
      </c>
      <c r="G314" s="12">
        <v>3.8</v>
      </c>
      <c r="H314" s="12">
        <v>4.7022058823529411</v>
      </c>
      <c r="I314" s="12" t="s">
        <v>113</v>
      </c>
      <c r="K314" s="12">
        <v>46240</v>
      </c>
      <c r="L314">
        <v>46240</v>
      </c>
    </row>
    <row r="315" spans="1:12" x14ac:dyDescent="0.25">
      <c r="A315" s="12" t="s">
        <v>59</v>
      </c>
      <c r="B315" s="12" t="s">
        <v>40</v>
      </c>
      <c r="C315" s="12" t="s">
        <v>15</v>
      </c>
      <c r="D315" s="12">
        <v>0</v>
      </c>
      <c r="E315" s="12">
        <v>0</v>
      </c>
      <c r="F315" s="12">
        <v>10</v>
      </c>
      <c r="G315" s="12">
        <v>0</v>
      </c>
      <c r="H315" s="12">
        <v>0</v>
      </c>
      <c r="I315" s="12" t="s">
        <v>112</v>
      </c>
      <c r="K315" s="12">
        <v>46240</v>
      </c>
      <c r="L315">
        <v>46240</v>
      </c>
    </row>
    <row r="316" spans="1:12" x14ac:dyDescent="0.25">
      <c r="A316" s="12" t="s">
        <v>59</v>
      </c>
      <c r="B316" s="12" t="s">
        <v>40</v>
      </c>
      <c r="C316" s="12" t="s">
        <v>14</v>
      </c>
      <c r="D316" s="12">
        <v>3.1779578349000128</v>
      </c>
      <c r="E316" s="12">
        <v>2.8499999999999996</v>
      </c>
      <c r="F316" s="12">
        <v>10</v>
      </c>
      <c r="G316" s="12">
        <v>2.8499999999999996</v>
      </c>
      <c r="H316" s="12">
        <v>4.6332179930795849</v>
      </c>
      <c r="I316" s="12" t="s">
        <v>114</v>
      </c>
      <c r="K316" s="12">
        <v>46240</v>
      </c>
      <c r="L316">
        <v>46240</v>
      </c>
    </row>
    <row r="317" spans="1:12" x14ac:dyDescent="0.25">
      <c r="A317" s="12" t="s">
        <v>63</v>
      </c>
      <c r="B317" s="12" t="s">
        <v>40</v>
      </c>
      <c r="C317" s="12" t="s">
        <v>13</v>
      </c>
      <c r="D317" s="12">
        <v>3.5876164620550925</v>
      </c>
      <c r="E317" s="12">
        <v>3.8</v>
      </c>
      <c r="F317" s="12">
        <v>10</v>
      </c>
      <c r="G317" s="12">
        <v>3.8</v>
      </c>
      <c r="H317" s="12">
        <v>4.7022058823529411</v>
      </c>
      <c r="I317" s="12" t="s">
        <v>113</v>
      </c>
      <c r="J317">
        <v>1</v>
      </c>
      <c r="K317" s="12">
        <v>46240</v>
      </c>
      <c r="L317">
        <v>46240</v>
      </c>
    </row>
    <row r="318" spans="1:12" x14ac:dyDescent="0.25">
      <c r="A318" s="12" t="s">
        <v>63</v>
      </c>
      <c r="B318" s="12" t="s">
        <v>40</v>
      </c>
      <c r="C318" s="12" t="s">
        <v>15</v>
      </c>
      <c r="D318" s="12">
        <v>0</v>
      </c>
      <c r="E318" s="12">
        <v>0</v>
      </c>
      <c r="F318" s="12">
        <v>10</v>
      </c>
      <c r="G318" s="12">
        <v>0</v>
      </c>
      <c r="H318" s="12">
        <v>0</v>
      </c>
      <c r="I318" s="12" t="s">
        <v>112</v>
      </c>
      <c r="J318">
        <v>1</v>
      </c>
      <c r="K318" s="12">
        <v>46240</v>
      </c>
      <c r="L318">
        <v>46240</v>
      </c>
    </row>
    <row r="319" spans="1:12" x14ac:dyDescent="0.25">
      <c r="A319" s="12" t="s">
        <v>63</v>
      </c>
      <c r="B319" s="12" t="s">
        <v>40</v>
      </c>
      <c r="C319" s="12" t="s">
        <v>14</v>
      </c>
      <c r="D319" s="12">
        <v>3.1779578349000128</v>
      </c>
      <c r="E319" s="12">
        <v>2.8499999999999996</v>
      </c>
      <c r="F319" s="12">
        <v>10</v>
      </c>
      <c r="G319" s="12">
        <v>2.8499999999999996</v>
      </c>
      <c r="H319" s="12">
        <v>4.6332179930795849</v>
      </c>
      <c r="I319" s="12" t="s">
        <v>114</v>
      </c>
      <c r="J319">
        <v>1</v>
      </c>
      <c r="K319" s="12">
        <v>46240</v>
      </c>
      <c r="L319">
        <v>46240</v>
      </c>
    </row>
    <row r="320" spans="1:12" x14ac:dyDescent="0.25">
      <c r="A320" s="12" t="s">
        <v>59</v>
      </c>
      <c r="B320" s="12" t="s">
        <v>39</v>
      </c>
      <c r="C320" s="12" t="s">
        <v>13</v>
      </c>
      <c r="D320" s="12">
        <v>5.9729309530237575</v>
      </c>
      <c r="E320" s="12">
        <v>0</v>
      </c>
      <c r="F320" s="12">
        <v>10</v>
      </c>
      <c r="G320" s="12">
        <v>0</v>
      </c>
      <c r="H320" s="12">
        <v>3.9419504643962866</v>
      </c>
      <c r="I320" s="12" t="s">
        <v>113</v>
      </c>
      <c r="K320" s="12">
        <v>46240</v>
      </c>
      <c r="L320">
        <v>46240</v>
      </c>
    </row>
    <row r="321" spans="1:12" x14ac:dyDescent="0.25">
      <c r="A321" s="12" t="s">
        <v>59</v>
      </c>
      <c r="B321" s="12" t="s">
        <v>39</v>
      </c>
      <c r="C321" s="12" t="s">
        <v>15</v>
      </c>
      <c r="D321" s="12">
        <v>1.2742252699784016</v>
      </c>
      <c r="E321" s="12">
        <v>0</v>
      </c>
      <c r="F321" s="12">
        <v>10</v>
      </c>
      <c r="G321" s="12">
        <v>0</v>
      </c>
      <c r="H321" s="12">
        <v>0.94117647058823517</v>
      </c>
      <c r="I321" s="12" t="s">
        <v>112</v>
      </c>
      <c r="K321" s="12">
        <v>46240</v>
      </c>
      <c r="L321">
        <v>46240</v>
      </c>
    </row>
    <row r="322" spans="1:12" x14ac:dyDescent="0.25">
      <c r="A322" s="12" t="s">
        <v>59</v>
      </c>
      <c r="B322" s="12" t="s">
        <v>39</v>
      </c>
      <c r="C322" s="12" t="s">
        <v>14</v>
      </c>
      <c r="D322" s="12">
        <v>3.505221763435395</v>
      </c>
      <c r="E322" s="12">
        <v>0</v>
      </c>
      <c r="F322" s="12">
        <v>10</v>
      </c>
      <c r="G322" s="12">
        <v>0</v>
      </c>
      <c r="H322" s="12">
        <v>3.1065379712256411</v>
      </c>
      <c r="I322" s="12" t="s">
        <v>114</v>
      </c>
      <c r="K322" s="12">
        <v>46240</v>
      </c>
      <c r="L322">
        <v>46240</v>
      </c>
    </row>
    <row r="323" spans="1:12" x14ac:dyDescent="0.25">
      <c r="A323" s="12" t="s">
        <v>63</v>
      </c>
      <c r="B323" s="12" t="s">
        <v>39</v>
      </c>
      <c r="C323" s="12" t="s">
        <v>13</v>
      </c>
      <c r="D323" s="12">
        <v>5.9729309530237575</v>
      </c>
      <c r="E323" s="12">
        <v>0</v>
      </c>
      <c r="F323" s="12">
        <v>10</v>
      </c>
      <c r="G323" s="12">
        <v>0</v>
      </c>
      <c r="H323" s="12">
        <v>3.9419504643962866</v>
      </c>
      <c r="I323" s="12" t="s">
        <v>113</v>
      </c>
      <c r="J323">
        <v>1</v>
      </c>
      <c r="K323" s="12">
        <v>46240</v>
      </c>
      <c r="L323">
        <v>46240</v>
      </c>
    </row>
    <row r="324" spans="1:12" x14ac:dyDescent="0.25">
      <c r="A324" s="12" t="s">
        <v>63</v>
      </c>
      <c r="B324" s="12" t="s">
        <v>39</v>
      </c>
      <c r="C324" s="12" t="s">
        <v>15</v>
      </c>
      <c r="D324" s="12">
        <v>1.2742252699784016</v>
      </c>
      <c r="E324" s="12">
        <v>0</v>
      </c>
      <c r="F324" s="12">
        <v>10</v>
      </c>
      <c r="G324" s="12">
        <v>0</v>
      </c>
      <c r="H324" s="12">
        <v>0.94117647058823517</v>
      </c>
      <c r="I324" s="12" t="s">
        <v>112</v>
      </c>
      <c r="J324">
        <v>1</v>
      </c>
      <c r="K324" s="12">
        <v>46240</v>
      </c>
      <c r="L324">
        <v>46240</v>
      </c>
    </row>
    <row r="325" spans="1:12" x14ac:dyDescent="0.25">
      <c r="A325" s="12" t="s">
        <v>63</v>
      </c>
      <c r="B325" s="12" t="s">
        <v>39</v>
      </c>
      <c r="C325" s="12" t="s">
        <v>14</v>
      </c>
      <c r="D325" s="12">
        <v>3.505221763435395</v>
      </c>
      <c r="E325" s="12">
        <v>0</v>
      </c>
      <c r="F325" s="12">
        <v>10</v>
      </c>
      <c r="G325" s="12">
        <v>0</v>
      </c>
      <c r="H325" s="12">
        <v>3.1065379712256411</v>
      </c>
      <c r="I325" s="12" t="s">
        <v>114</v>
      </c>
      <c r="J325">
        <v>1</v>
      </c>
      <c r="K325" s="12">
        <v>46240</v>
      </c>
      <c r="L325">
        <v>46240</v>
      </c>
    </row>
    <row r="326" spans="1:12" x14ac:dyDescent="0.25">
      <c r="A326" s="12" t="s">
        <v>59</v>
      </c>
      <c r="B326" s="12" t="s">
        <v>38</v>
      </c>
      <c r="C326" s="12" t="s">
        <v>14</v>
      </c>
      <c r="D326" s="12">
        <v>11.026644714257564</v>
      </c>
      <c r="E326" s="12">
        <v>2.8499999999999996</v>
      </c>
      <c r="F326" s="12">
        <v>10</v>
      </c>
      <c r="G326" s="12">
        <v>2.8499999999999996</v>
      </c>
      <c r="H326" s="12">
        <v>11.253676470588236</v>
      </c>
      <c r="I326" s="12" t="s">
        <v>115</v>
      </c>
      <c r="K326" s="12">
        <v>46241</v>
      </c>
      <c r="L326">
        <v>46241</v>
      </c>
    </row>
    <row r="327" spans="1:12" x14ac:dyDescent="0.25">
      <c r="A327" s="12" t="s">
        <v>59</v>
      </c>
      <c r="B327" s="12" t="s">
        <v>38</v>
      </c>
      <c r="C327" s="12" t="s">
        <v>15</v>
      </c>
      <c r="D327" s="12">
        <v>4.2207252494765797</v>
      </c>
      <c r="E327" s="12">
        <v>3.8</v>
      </c>
      <c r="F327" s="12">
        <v>10</v>
      </c>
      <c r="G327" s="12">
        <v>3.8</v>
      </c>
      <c r="H327" s="12">
        <v>4.6875</v>
      </c>
      <c r="I327" s="12" t="s">
        <v>116</v>
      </c>
      <c r="K327" s="12">
        <v>46241</v>
      </c>
      <c r="L327">
        <v>46241</v>
      </c>
    </row>
    <row r="328" spans="1:12" x14ac:dyDescent="0.25">
      <c r="A328" s="12" t="s">
        <v>59</v>
      </c>
      <c r="B328" s="12" t="s">
        <v>38</v>
      </c>
      <c r="C328" s="12" t="s">
        <v>13</v>
      </c>
      <c r="D328" s="12">
        <v>10.973885648639108</v>
      </c>
      <c r="E328" s="12">
        <v>0</v>
      </c>
      <c r="F328" s="12">
        <v>10</v>
      </c>
      <c r="G328" s="12">
        <v>0</v>
      </c>
      <c r="H328" s="12">
        <v>11.308823529411764</v>
      </c>
      <c r="I328" s="12" t="s">
        <v>117</v>
      </c>
      <c r="K328" s="12">
        <v>46241</v>
      </c>
      <c r="L328">
        <v>46241</v>
      </c>
    </row>
    <row r="329" spans="1:12" x14ac:dyDescent="0.25">
      <c r="A329" s="12" t="s">
        <v>63</v>
      </c>
      <c r="B329" s="12" t="s">
        <v>38</v>
      </c>
      <c r="C329" s="12" t="s">
        <v>14</v>
      </c>
      <c r="D329" s="12">
        <v>11.026644714257564</v>
      </c>
      <c r="E329" s="12">
        <v>2.8499999999999996</v>
      </c>
      <c r="F329" s="12">
        <v>10</v>
      </c>
      <c r="G329" s="12">
        <v>2.8499999999999996</v>
      </c>
      <c r="H329" s="12">
        <v>11.253676470588236</v>
      </c>
      <c r="I329" s="12" t="s">
        <v>115</v>
      </c>
      <c r="J329">
        <v>1</v>
      </c>
      <c r="K329" s="12">
        <v>46241</v>
      </c>
      <c r="L329">
        <v>46241</v>
      </c>
    </row>
    <row r="330" spans="1:12" x14ac:dyDescent="0.25">
      <c r="A330" s="12" t="s">
        <v>63</v>
      </c>
      <c r="B330" s="12" t="s">
        <v>38</v>
      </c>
      <c r="C330" s="12" t="s">
        <v>15</v>
      </c>
      <c r="D330" s="12">
        <v>4.2207252494765797</v>
      </c>
      <c r="E330" s="12">
        <v>3.8</v>
      </c>
      <c r="F330" s="12">
        <v>10</v>
      </c>
      <c r="G330" s="12">
        <v>3.8</v>
      </c>
      <c r="H330" s="12">
        <v>4.6875</v>
      </c>
      <c r="I330" s="12" t="s">
        <v>116</v>
      </c>
      <c r="J330">
        <v>1</v>
      </c>
      <c r="K330" s="12">
        <v>46241</v>
      </c>
      <c r="L330">
        <v>46241</v>
      </c>
    </row>
    <row r="331" spans="1:12" x14ac:dyDescent="0.25">
      <c r="A331" s="12" t="s">
        <v>63</v>
      </c>
      <c r="B331" s="12" t="s">
        <v>38</v>
      </c>
      <c r="C331" s="12" t="s">
        <v>13</v>
      </c>
      <c r="D331" s="12">
        <v>10.973885648639108</v>
      </c>
      <c r="E331" s="12">
        <v>0</v>
      </c>
      <c r="F331" s="12">
        <v>10</v>
      </c>
      <c r="G331" s="12">
        <v>0</v>
      </c>
      <c r="H331" s="12">
        <v>11.308823529411764</v>
      </c>
      <c r="I331" s="12" t="s">
        <v>117</v>
      </c>
      <c r="J331">
        <v>1</v>
      </c>
      <c r="K331" s="12">
        <v>46241</v>
      </c>
      <c r="L331">
        <v>46241</v>
      </c>
    </row>
    <row r="332" spans="1:12" x14ac:dyDescent="0.25">
      <c r="A332" s="12" t="s">
        <v>59</v>
      </c>
      <c r="B332" s="12" t="s">
        <v>40</v>
      </c>
      <c r="C332" s="12" t="s">
        <v>15</v>
      </c>
      <c r="D332" s="12">
        <v>0</v>
      </c>
      <c r="E332" s="12">
        <v>0</v>
      </c>
      <c r="F332" s="12">
        <v>10</v>
      </c>
      <c r="G332" s="12">
        <v>0</v>
      </c>
      <c r="H332" s="12">
        <v>0</v>
      </c>
      <c r="I332" s="12" t="s">
        <v>116</v>
      </c>
      <c r="K332" s="12">
        <v>46241</v>
      </c>
      <c r="L332">
        <v>46241</v>
      </c>
    </row>
    <row r="333" spans="1:12" x14ac:dyDescent="0.25">
      <c r="A333" s="12" t="s">
        <v>59</v>
      </c>
      <c r="B333" s="12" t="s">
        <v>40</v>
      </c>
      <c r="C333" s="12" t="s">
        <v>14</v>
      </c>
      <c r="D333" s="12">
        <v>3.1779578349000133</v>
      </c>
      <c r="E333" s="12">
        <v>3.8</v>
      </c>
      <c r="F333" s="12">
        <v>10</v>
      </c>
      <c r="G333" s="12">
        <v>3.8</v>
      </c>
      <c r="H333" s="12">
        <v>4.6332179930795849</v>
      </c>
      <c r="I333" s="12" t="s">
        <v>115</v>
      </c>
      <c r="K333" s="12">
        <v>46241</v>
      </c>
      <c r="L333">
        <v>46241</v>
      </c>
    </row>
    <row r="334" spans="1:12" x14ac:dyDescent="0.25">
      <c r="A334" s="12" t="s">
        <v>59</v>
      </c>
      <c r="B334" s="12" t="s">
        <v>40</v>
      </c>
      <c r="C334" s="12" t="s">
        <v>13</v>
      </c>
      <c r="D334" s="12">
        <v>3.587616462055093</v>
      </c>
      <c r="E334" s="12">
        <v>3.8</v>
      </c>
      <c r="F334" s="12">
        <v>10</v>
      </c>
      <c r="G334" s="12">
        <v>3.8</v>
      </c>
      <c r="H334" s="12">
        <v>4.7022058823529393</v>
      </c>
      <c r="I334" s="12" t="s">
        <v>117</v>
      </c>
      <c r="K334" s="12">
        <v>46241</v>
      </c>
      <c r="L334">
        <v>46241</v>
      </c>
    </row>
    <row r="335" spans="1:12" x14ac:dyDescent="0.25">
      <c r="A335" s="12" t="s">
        <v>63</v>
      </c>
      <c r="B335" s="12" t="s">
        <v>40</v>
      </c>
      <c r="C335" s="12" t="s">
        <v>15</v>
      </c>
      <c r="D335" s="12">
        <v>0</v>
      </c>
      <c r="E335" s="12">
        <v>0</v>
      </c>
      <c r="F335" s="12">
        <v>10</v>
      </c>
      <c r="G335" s="12">
        <v>0</v>
      </c>
      <c r="H335" s="12">
        <v>0</v>
      </c>
      <c r="I335" s="12" t="s">
        <v>116</v>
      </c>
      <c r="J335">
        <v>1</v>
      </c>
      <c r="K335" s="12">
        <v>46241</v>
      </c>
      <c r="L335">
        <v>46241</v>
      </c>
    </row>
    <row r="336" spans="1:12" x14ac:dyDescent="0.25">
      <c r="A336" s="12" t="s">
        <v>63</v>
      </c>
      <c r="B336" s="12" t="s">
        <v>40</v>
      </c>
      <c r="C336" s="12" t="s">
        <v>14</v>
      </c>
      <c r="D336" s="12">
        <v>3.1779578349000133</v>
      </c>
      <c r="E336" s="12">
        <v>3.8</v>
      </c>
      <c r="F336" s="12">
        <v>10</v>
      </c>
      <c r="G336" s="12">
        <v>3.8</v>
      </c>
      <c r="H336" s="12">
        <v>4.6332179930795849</v>
      </c>
      <c r="I336" s="12" t="s">
        <v>115</v>
      </c>
      <c r="J336">
        <v>1</v>
      </c>
      <c r="K336" s="12">
        <v>46241</v>
      </c>
      <c r="L336">
        <v>46241</v>
      </c>
    </row>
    <row r="337" spans="1:12" x14ac:dyDescent="0.25">
      <c r="A337" s="12" t="s">
        <v>63</v>
      </c>
      <c r="B337" s="12" t="s">
        <v>40</v>
      </c>
      <c r="C337" s="12" t="s">
        <v>13</v>
      </c>
      <c r="D337" s="12">
        <v>3.587616462055093</v>
      </c>
      <c r="E337" s="12">
        <v>3.8</v>
      </c>
      <c r="F337" s="12">
        <v>10</v>
      </c>
      <c r="G337" s="12">
        <v>3.8</v>
      </c>
      <c r="H337" s="12">
        <v>4.7022058823529393</v>
      </c>
      <c r="I337" s="12" t="s">
        <v>117</v>
      </c>
      <c r="J337">
        <v>1</v>
      </c>
      <c r="K337" s="12">
        <v>46241</v>
      </c>
      <c r="L337">
        <v>46241</v>
      </c>
    </row>
    <row r="338" spans="1:12" x14ac:dyDescent="0.25">
      <c r="A338" s="12" t="s">
        <v>59</v>
      </c>
      <c r="B338" s="12" t="s">
        <v>39</v>
      </c>
      <c r="C338" s="12" t="s">
        <v>14</v>
      </c>
      <c r="D338" s="12">
        <v>2.2486328293736499</v>
      </c>
      <c r="E338" s="12">
        <v>0</v>
      </c>
      <c r="F338" s="12">
        <v>10</v>
      </c>
      <c r="G338" s="12">
        <v>0</v>
      </c>
      <c r="H338" s="12">
        <v>2.1038062283737027</v>
      </c>
      <c r="I338" s="12" t="s">
        <v>115</v>
      </c>
      <c r="K338" s="12">
        <v>46241</v>
      </c>
      <c r="L338">
        <v>46241</v>
      </c>
    </row>
    <row r="339" spans="1:12" x14ac:dyDescent="0.25">
      <c r="A339" s="12" t="s">
        <v>59</v>
      </c>
      <c r="B339" s="12" t="s">
        <v>39</v>
      </c>
      <c r="C339" s="12" t="s">
        <v>13</v>
      </c>
      <c r="D339" s="12">
        <v>4.7783447624190067</v>
      </c>
      <c r="E339" s="12">
        <v>0</v>
      </c>
      <c r="F339" s="12">
        <v>10</v>
      </c>
      <c r="G339" s="12">
        <v>0</v>
      </c>
      <c r="H339" s="12">
        <v>2.8823529411764706</v>
      </c>
      <c r="I339" s="12" t="s">
        <v>117</v>
      </c>
      <c r="K339" s="12">
        <v>46241</v>
      </c>
      <c r="L339">
        <v>46241</v>
      </c>
    </row>
    <row r="340" spans="1:12" x14ac:dyDescent="0.25">
      <c r="A340" s="12" t="s">
        <v>59</v>
      </c>
      <c r="B340" s="12" t="s">
        <v>39</v>
      </c>
      <c r="C340" s="12" t="s">
        <v>15</v>
      </c>
      <c r="D340" s="12">
        <v>1.2742252699784016</v>
      </c>
      <c r="E340" s="12">
        <v>0</v>
      </c>
      <c r="F340" s="12">
        <v>10</v>
      </c>
      <c r="G340" s="12">
        <v>0</v>
      </c>
      <c r="H340" s="12">
        <v>0.94117647058823517</v>
      </c>
      <c r="I340" s="12" t="s">
        <v>116</v>
      </c>
      <c r="K340" s="12">
        <v>46241</v>
      </c>
      <c r="L340">
        <v>46241</v>
      </c>
    </row>
    <row r="341" spans="1:12" x14ac:dyDescent="0.25">
      <c r="A341" s="12" t="s">
        <v>63</v>
      </c>
      <c r="B341" s="12" t="s">
        <v>39</v>
      </c>
      <c r="C341" s="12" t="s">
        <v>14</v>
      </c>
      <c r="D341" s="12">
        <v>2.2486328293736499</v>
      </c>
      <c r="E341" s="12">
        <v>0</v>
      </c>
      <c r="F341" s="12">
        <v>10</v>
      </c>
      <c r="G341" s="12">
        <v>0</v>
      </c>
      <c r="H341" s="12">
        <v>2.1038062283737027</v>
      </c>
      <c r="I341" s="12" t="s">
        <v>115</v>
      </c>
      <c r="J341">
        <v>1</v>
      </c>
      <c r="K341" s="12">
        <v>46241</v>
      </c>
      <c r="L341">
        <v>46241</v>
      </c>
    </row>
    <row r="342" spans="1:12" x14ac:dyDescent="0.25">
      <c r="A342" s="12" t="s">
        <v>63</v>
      </c>
      <c r="B342" s="12" t="s">
        <v>39</v>
      </c>
      <c r="C342" s="12" t="s">
        <v>13</v>
      </c>
      <c r="D342" s="12">
        <v>4.7783447624190067</v>
      </c>
      <c r="E342" s="12">
        <v>0</v>
      </c>
      <c r="F342" s="12">
        <v>10</v>
      </c>
      <c r="G342" s="12">
        <v>0</v>
      </c>
      <c r="H342" s="12">
        <v>2.8823529411764706</v>
      </c>
      <c r="I342" s="12" t="s">
        <v>117</v>
      </c>
      <c r="J342">
        <v>1</v>
      </c>
      <c r="K342" s="12">
        <v>46241</v>
      </c>
      <c r="L342">
        <v>46241</v>
      </c>
    </row>
    <row r="343" spans="1:12" x14ac:dyDescent="0.25">
      <c r="A343" s="12" t="s">
        <v>63</v>
      </c>
      <c r="B343" s="12" t="s">
        <v>39</v>
      </c>
      <c r="C343" s="12" t="s">
        <v>15</v>
      </c>
      <c r="D343" s="12">
        <v>1.2742252699784016</v>
      </c>
      <c r="E343" s="12">
        <v>0</v>
      </c>
      <c r="F343" s="12">
        <v>10</v>
      </c>
      <c r="G343" s="12">
        <v>0</v>
      </c>
      <c r="H343" s="12">
        <v>0.94117647058823517</v>
      </c>
      <c r="I343" s="12" t="s">
        <v>116</v>
      </c>
      <c r="J343">
        <v>1</v>
      </c>
      <c r="K343" s="12">
        <v>46241</v>
      </c>
      <c r="L343">
        <v>46241</v>
      </c>
    </row>
    <row r="344" spans="1:12" x14ac:dyDescent="0.25">
      <c r="A344" s="12" t="s">
        <v>59</v>
      </c>
      <c r="B344" s="12" t="s">
        <v>38</v>
      </c>
      <c r="C344" s="12" t="s">
        <v>14</v>
      </c>
      <c r="D344" s="12">
        <v>10.973885648639106</v>
      </c>
      <c r="E344" s="12">
        <v>1.9</v>
      </c>
      <c r="F344" s="12">
        <v>10</v>
      </c>
      <c r="G344" s="12">
        <v>1.9</v>
      </c>
      <c r="H344" s="12">
        <v>11.308823529411764</v>
      </c>
      <c r="I344" s="12" t="s">
        <v>118</v>
      </c>
      <c r="K344" s="12">
        <v>46242</v>
      </c>
      <c r="L344">
        <v>46242</v>
      </c>
    </row>
    <row r="345" spans="1:12" x14ac:dyDescent="0.25">
      <c r="A345" s="12" t="s">
        <v>59</v>
      </c>
      <c r="B345" s="12" t="s">
        <v>38</v>
      </c>
      <c r="C345" s="12" t="s">
        <v>13</v>
      </c>
      <c r="D345" s="12">
        <v>11.026644714257564</v>
      </c>
      <c r="E345" s="12">
        <v>4.75</v>
      </c>
      <c r="F345" s="12">
        <v>10</v>
      </c>
      <c r="G345" s="12">
        <v>4.75</v>
      </c>
      <c r="H345" s="12">
        <v>11.253676470588236</v>
      </c>
      <c r="I345" s="12" t="s">
        <v>119</v>
      </c>
      <c r="K345" s="12">
        <v>46242</v>
      </c>
      <c r="L345">
        <v>46242</v>
      </c>
    </row>
    <row r="346" spans="1:12" x14ac:dyDescent="0.25">
      <c r="A346" s="12" t="s">
        <v>59</v>
      </c>
      <c r="B346" s="12" t="s">
        <v>38</v>
      </c>
      <c r="C346" s="12" t="s">
        <v>15</v>
      </c>
      <c r="D346" s="12">
        <v>4.2207252494765797</v>
      </c>
      <c r="E346" s="12">
        <v>0.95</v>
      </c>
      <c r="F346" s="12">
        <v>10</v>
      </c>
      <c r="G346" s="12">
        <v>0.95</v>
      </c>
      <c r="H346" s="12">
        <v>4.6875</v>
      </c>
      <c r="I346" s="12" t="s">
        <v>120</v>
      </c>
      <c r="K346" s="12">
        <v>46242</v>
      </c>
      <c r="L346">
        <v>46242</v>
      </c>
    </row>
    <row r="347" spans="1:12" x14ac:dyDescent="0.25">
      <c r="A347" s="12" t="s">
        <v>63</v>
      </c>
      <c r="B347" s="12" t="s">
        <v>38</v>
      </c>
      <c r="C347" s="12" t="s">
        <v>14</v>
      </c>
      <c r="D347" s="12">
        <v>10.973885648639106</v>
      </c>
      <c r="E347" s="12">
        <v>1.9</v>
      </c>
      <c r="F347" s="12">
        <v>10</v>
      </c>
      <c r="G347" s="12">
        <v>1.9</v>
      </c>
      <c r="H347" s="12">
        <v>11.308823529411764</v>
      </c>
      <c r="I347" s="12" t="s">
        <v>118</v>
      </c>
      <c r="J347">
        <v>1</v>
      </c>
      <c r="K347" s="12">
        <v>46242</v>
      </c>
      <c r="L347">
        <v>46242</v>
      </c>
    </row>
    <row r="348" spans="1:12" x14ac:dyDescent="0.25">
      <c r="A348" s="12" t="s">
        <v>63</v>
      </c>
      <c r="B348" s="12" t="s">
        <v>38</v>
      </c>
      <c r="C348" s="12" t="s">
        <v>13</v>
      </c>
      <c r="D348" s="12">
        <v>11.026644714257564</v>
      </c>
      <c r="E348" s="12">
        <v>4.75</v>
      </c>
      <c r="F348" s="12">
        <v>10</v>
      </c>
      <c r="G348" s="12">
        <v>4.75</v>
      </c>
      <c r="H348" s="12">
        <v>11.253676470588236</v>
      </c>
      <c r="I348" s="12" t="s">
        <v>119</v>
      </c>
      <c r="J348">
        <v>1</v>
      </c>
      <c r="K348" s="12">
        <v>46242</v>
      </c>
      <c r="L348">
        <v>46242</v>
      </c>
    </row>
    <row r="349" spans="1:12" x14ac:dyDescent="0.25">
      <c r="A349" s="12" t="s">
        <v>63</v>
      </c>
      <c r="B349" s="12" t="s">
        <v>38</v>
      </c>
      <c r="C349" s="12" t="s">
        <v>15</v>
      </c>
      <c r="D349" s="12">
        <v>4.2207252494765797</v>
      </c>
      <c r="E349" s="12">
        <v>0.95</v>
      </c>
      <c r="F349" s="12">
        <v>10</v>
      </c>
      <c r="G349" s="12">
        <v>0.95</v>
      </c>
      <c r="H349" s="12">
        <v>4.6875</v>
      </c>
      <c r="I349" s="12" t="s">
        <v>120</v>
      </c>
      <c r="J349">
        <v>1</v>
      </c>
      <c r="K349" s="12">
        <v>46242</v>
      </c>
      <c r="L349">
        <v>46242</v>
      </c>
    </row>
    <row r="350" spans="1:12" x14ac:dyDescent="0.25">
      <c r="A350" s="12" t="s">
        <v>59</v>
      </c>
      <c r="B350" s="12" t="s">
        <v>40</v>
      </c>
      <c r="C350" s="12" t="s">
        <v>14</v>
      </c>
      <c r="D350" s="12">
        <v>3.1779578349000133</v>
      </c>
      <c r="E350" s="12">
        <v>2.8499999999999996</v>
      </c>
      <c r="F350" s="12">
        <v>10</v>
      </c>
      <c r="G350" s="12">
        <v>2.8499999999999996</v>
      </c>
      <c r="H350" s="12">
        <v>4.6332179930795849</v>
      </c>
      <c r="I350" s="12" t="s">
        <v>118</v>
      </c>
      <c r="K350" s="12">
        <v>46242</v>
      </c>
      <c r="L350">
        <v>46242</v>
      </c>
    </row>
    <row r="351" spans="1:12" x14ac:dyDescent="0.25">
      <c r="A351" s="12" t="s">
        <v>59</v>
      </c>
      <c r="B351" s="12" t="s">
        <v>40</v>
      </c>
      <c r="C351" s="12" t="s">
        <v>15</v>
      </c>
      <c r="D351" s="12">
        <v>0</v>
      </c>
      <c r="E351" s="12">
        <v>0.95</v>
      </c>
      <c r="F351" s="12">
        <v>10</v>
      </c>
      <c r="G351" s="12">
        <v>0.95</v>
      </c>
      <c r="H351" s="12">
        <v>0</v>
      </c>
      <c r="I351" s="12" t="s">
        <v>120</v>
      </c>
      <c r="K351" s="12">
        <v>46242</v>
      </c>
      <c r="L351">
        <v>46242</v>
      </c>
    </row>
    <row r="352" spans="1:12" x14ac:dyDescent="0.25">
      <c r="A352" s="12" t="s">
        <v>59</v>
      </c>
      <c r="B352" s="12" t="s">
        <v>40</v>
      </c>
      <c r="C352" s="12" t="s">
        <v>13</v>
      </c>
      <c r="D352" s="12">
        <v>3.5876164620550925</v>
      </c>
      <c r="E352" s="12">
        <v>3.8</v>
      </c>
      <c r="F352" s="12">
        <v>10</v>
      </c>
      <c r="G352" s="12">
        <v>3.8</v>
      </c>
      <c r="H352" s="12">
        <v>4.702205882352942</v>
      </c>
      <c r="I352" s="12" t="s">
        <v>119</v>
      </c>
      <c r="K352" s="12">
        <v>46242</v>
      </c>
      <c r="L352">
        <v>46242</v>
      </c>
    </row>
    <row r="353" spans="1:12" x14ac:dyDescent="0.25">
      <c r="A353" s="12" t="s">
        <v>63</v>
      </c>
      <c r="B353" s="12" t="s">
        <v>40</v>
      </c>
      <c r="C353" s="12" t="s">
        <v>14</v>
      </c>
      <c r="D353" s="12">
        <v>3.1779578349000133</v>
      </c>
      <c r="E353" s="12">
        <v>2.8499999999999996</v>
      </c>
      <c r="F353" s="12">
        <v>10</v>
      </c>
      <c r="G353" s="12">
        <v>2.8499999999999996</v>
      </c>
      <c r="H353" s="12">
        <v>4.6332179930795849</v>
      </c>
      <c r="I353" s="12" t="s">
        <v>118</v>
      </c>
      <c r="J353">
        <v>1</v>
      </c>
      <c r="K353" s="12">
        <v>46242</v>
      </c>
      <c r="L353">
        <v>46242</v>
      </c>
    </row>
    <row r="354" spans="1:12" x14ac:dyDescent="0.25">
      <c r="A354" s="12" t="s">
        <v>63</v>
      </c>
      <c r="B354" s="12" t="s">
        <v>40</v>
      </c>
      <c r="C354" s="12" t="s">
        <v>15</v>
      </c>
      <c r="D354" s="12">
        <v>0</v>
      </c>
      <c r="E354" s="12">
        <v>0.95</v>
      </c>
      <c r="F354" s="12">
        <v>10</v>
      </c>
      <c r="G354" s="12">
        <v>0.95</v>
      </c>
      <c r="H354" s="12">
        <v>0</v>
      </c>
      <c r="I354" s="12" t="s">
        <v>120</v>
      </c>
      <c r="J354">
        <v>1</v>
      </c>
      <c r="K354" s="12">
        <v>46242</v>
      </c>
      <c r="L354">
        <v>46242</v>
      </c>
    </row>
    <row r="355" spans="1:12" x14ac:dyDescent="0.25">
      <c r="A355" s="12" t="s">
        <v>63</v>
      </c>
      <c r="B355" s="12" t="s">
        <v>40</v>
      </c>
      <c r="C355" s="12" t="s">
        <v>13</v>
      </c>
      <c r="D355" s="12">
        <v>3.5876164620550925</v>
      </c>
      <c r="E355" s="12">
        <v>3.8</v>
      </c>
      <c r="F355" s="12">
        <v>10</v>
      </c>
      <c r="G355" s="12">
        <v>3.8</v>
      </c>
      <c r="H355" s="12">
        <v>4.702205882352942</v>
      </c>
      <c r="I355" s="12" t="s">
        <v>119</v>
      </c>
      <c r="J355">
        <v>1</v>
      </c>
      <c r="K355" s="12">
        <v>46242</v>
      </c>
      <c r="L355">
        <v>46242</v>
      </c>
    </row>
    <row r="356" spans="1:12" x14ac:dyDescent="0.25">
      <c r="A356" s="12" t="s">
        <v>59</v>
      </c>
      <c r="B356" s="12" t="s">
        <v>39</v>
      </c>
      <c r="C356" s="12" t="s">
        <v>14</v>
      </c>
      <c r="D356" s="12">
        <v>3.3729492440604751</v>
      </c>
      <c r="E356" s="12">
        <v>0</v>
      </c>
      <c r="F356" s="12">
        <v>10</v>
      </c>
      <c r="G356" s="12">
        <v>0</v>
      </c>
      <c r="H356" s="12">
        <v>3.0449826989619369</v>
      </c>
      <c r="I356" s="12" t="s">
        <v>118</v>
      </c>
      <c r="K356" s="12">
        <v>46242</v>
      </c>
      <c r="L356">
        <v>46242</v>
      </c>
    </row>
    <row r="357" spans="1:12" x14ac:dyDescent="0.25">
      <c r="A357" s="12" t="s">
        <v>59</v>
      </c>
      <c r="B357" s="12" t="s">
        <v>39</v>
      </c>
      <c r="C357" s="12" t="s">
        <v>15</v>
      </c>
      <c r="D357" s="12">
        <v>1.2742252699784016</v>
      </c>
      <c r="E357" s="12">
        <v>0</v>
      </c>
      <c r="F357" s="12">
        <v>10</v>
      </c>
      <c r="G357" s="12">
        <v>0</v>
      </c>
      <c r="H357" s="12">
        <v>0.94117647058823517</v>
      </c>
      <c r="I357" s="12" t="s">
        <v>120</v>
      </c>
      <c r="K357" s="12">
        <v>46242</v>
      </c>
      <c r="L357">
        <v>46242</v>
      </c>
    </row>
    <row r="358" spans="1:12" x14ac:dyDescent="0.25">
      <c r="A358" s="12" t="s">
        <v>59</v>
      </c>
      <c r="B358" s="12" t="s">
        <v>39</v>
      </c>
      <c r="C358" s="12" t="s">
        <v>13</v>
      </c>
      <c r="D358" s="12">
        <v>2.3891723812095034</v>
      </c>
      <c r="E358" s="12">
        <v>0</v>
      </c>
      <c r="F358" s="12">
        <v>10</v>
      </c>
      <c r="G358" s="12">
        <v>0</v>
      </c>
      <c r="H358" s="12">
        <v>2.882352941176471</v>
      </c>
      <c r="I358" s="12" t="s">
        <v>119</v>
      </c>
      <c r="K358" s="12">
        <v>46242</v>
      </c>
      <c r="L358">
        <v>46242</v>
      </c>
    </row>
    <row r="359" spans="1:12" x14ac:dyDescent="0.25">
      <c r="A359" s="12" t="s">
        <v>63</v>
      </c>
      <c r="B359" s="12" t="s">
        <v>39</v>
      </c>
      <c r="C359" s="12" t="s">
        <v>14</v>
      </c>
      <c r="D359" s="12">
        <v>3.3729492440604751</v>
      </c>
      <c r="E359" s="12">
        <v>0</v>
      </c>
      <c r="F359" s="12">
        <v>10</v>
      </c>
      <c r="G359" s="12">
        <v>0</v>
      </c>
      <c r="H359" s="12">
        <v>3.0449826989619369</v>
      </c>
      <c r="I359" s="12" t="s">
        <v>118</v>
      </c>
      <c r="J359">
        <v>1</v>
      </c>
      <c r="K359" s="12">
        <v>46242</v>
      </c>
      <c r="L359">
        <v>46242</v>
      </c>
    </row>
    <row r="360" spans="1:12" x14ac:dyDescent="0.25">
      <c r="A360" s="12" t="s">
        <v>63</v>
      </c>
      <c r="B360" s="12" t="s">
        <v>39</v>
      </c>
      <c r="C360" s="12" t="s">
        <v>15</v>
      </c>
      <c r="D360" s="12">
        <v>1.2742252699784016</v>
      </c>
      <c r="E360" s="12">
        <v>0</v>
      </c>
      <c r="F360" s="12">
        <v>10</v>
      </c>
      <c r="G360" s="12">
        <v>0</v>
      </c>
      <c r="H360" s="12">
        <v>0.94117647058823517</v>
      </c>
      <c r="I360" s="12" t="s">
        <v>120</v>
      </c>
      <c r="J360">
        <v>1</v>
      </c>
      <c r="K360" s="12">
        <v>46242</v>
      </c>
      <c r="L360">
        <v>46242</v>
      </c>
    </row>
    <row r="361" spans="1:12" x14ac:dyDescent="0.25">
      <c r="A361" s="12" t="s">
        <v>63</v>
      </c>
      <c r="B361" s="12" t="s">
        <v>39</v>
      </c>
      <c r="C361" s="12" t="s">
        <v>13</v>
      </c>
      <c r="D361" s="12">
        <v>2.3891723812095034</v>
      </c>
      <c r="E361" s="12">
        <v>0</v>
      </c>
      <c r="F361" s="12">
        <v>10</v>
      </c>
      <c r="G361" s="12">
        <v>0</v>
      </c>
      <c r="H361" s="12">
        <v>2.882352941176471</v>
      </c>
      <c r="I361" s="12" t="s">
        <v>119</v>
      </c>
      <c r="J361">
        <v>1</v>
      </c>
      <c r="K361" s="12">
        <v>46242</v>
      </c>
      <c r="L361">
        <v>46242</v>
      </c>
    </row>
    <row r="362" spans="1:12" x14ac:dyDescent="0.25">
      <c r="A362" s="12" t="s">
        <v>59</v>
      </c>
      <c r="B362" s="12" t="s">
        <v>38</v>
      </c>
      <c r="C362" s="12" t="s">
        <v>14</v>
      </c>
      <c r="D362" s="12">
        <v>11.818030698534422</v>
      </c>
      <c r="E362" s="12">
        <v>5.6999999999999993</v>
      </c>
      <c r="F362" s="12">
        <v>10</v>
      </c>
      <c r="G362" s="12">
        <v>5.6999999999999993</v>
      </c>
      <c r="H362" s="12">
        <v>12.1875</v>
      </c>
      <c r="I362" s="12" t="s">
        <v>121</v>
      </c>
      <c r="K362" s="12">
        <v>46243</v>
      </c>
      <c r="L362">
        <v>46243</v>
      </c>
    </row>
    <row r="363" spans="1:12" x14ac:dyDescent="0.25">
      <c r="A363" s="12" t="s">
        <v>59</v>
      </c>
      <c r="B363" s="12" t="s">
        <v>38</v>
      </c>
      <c r="C363" s="12" t="s">
        <v>13</v>
      </c>
      <c r="D363" s="12">
        <v>10.973885648639106</v>
      </c>
      <c r="E363" s="12">
        <v>0.95</v>
      </c>
      <c r="F363" s="12">
        <v>10</v>
      </c>
      <c r="G363" s="12">
        <v>0.95</v>
      </c>
      <c r="H363" s="12">
        <v>11.25</v>
      </c>
      <c r="I363" s="12" t="s">
        <v>122</v>
      </c>
      <c r="K363" s="12">
        <v>46243</v>
      </c>
      <c r="L363">
        <v>46243</v>
      </c>
    </row>
    <row r="364" spans="1:12" x14ac:dyDescent="0.25">
      <c r="A364" s="12" t="s">
        <v>59</v>
      </c>
      <c r="B364" s="12" t="s">
        <v>38</v>
      </c>
      <c r="C364" s="12" t="s">
        <v>15</v>
      </c>
      <c r="D364" s="12">
        <v>4.2207252494765797</v>
      </c>
      <c r="E364" s="12">
        <v>1.9</v>
      </c>
      <c r="F364" s="12">
        <v>10</v>
      </c>
      <c r="G364" s="12">
        <v>1.9</v>
      </c>
      <c r="H364" s="12">
        <v>4.6875</v>
      </c>
      <c r="I364" s="12" t="s">
        <v>123</v>
      </c>
      <c r="K364" s="12">
        <v>46243</v>
      </c>
      <c r="L364">
        <v>46243</v>
      </c>
    </row>
    <row r="365" spans="1:12" x14ac:dyDescent="0.25">
      <c r="A365" s="12" t="s">
        <v>63</v>
      </c>
      <c r="B365" s="12" t="s">
        <v>38</v>
      </c>
      <c r="C365" s="12" t="s">
        <v>14</v>
      </c>
      <c r="D365" s="12">
        <v>11.818030698534422</v>
      </c>
      <c r="E365" s="12">
        <v>5.6999999999999993</v>
      </c>
      <c r="F365" s="12">
        <v>10</v>
      </c>
      <c r="G365" s="12">
        <v>5.6999999999999993</v>
      </c>
      <c r="H365" s="12">
        <v>12.1875</v>
      </c>
      <c r="I365" s="12" t="s">
        <v>121</v>
      </c>
      <c r="J365">
        <v>1</v>
      </c>
      <c r="K365" s="12">
        <v>46243</v>
      </c>
      <c r="L365">
        <v>46243</v>
      </c>
    </row>
    <row r="366" spans="1:12" x14ac:dyDescent="0.25">
      <c r="A366" s="12" t="s">
        <v>63</v>
      </c>
      <c r="B366" s="12" t="s">
        <v>38</v>
      </c>
      <c r="C366" s="12" t="s">
        <v>13</v>
      </c>
      <c r="D366" s="12">
        <v>10.973885648639106</v>
      </c>
      <c r="E366" s="12">
        <v>0.95</v>
      </c>
      <c r="F366" s="12">
        <v>10</v>
      </c>
      <c r="G366" s="12">
        <v>0.95</v>
      </c>
      <c r="H366" s="12">
        <v>11.25</v>
      </c>
      <c r="I366" s="12" t="s">
        <v>122</v>
      </c>
      <c r="J366">
        <v>1</v>
      </c>
      <c r="K366" s="12">
        <v>46243</v>
      </c>
      <c r="L366">
        <v>46243</v>
      </c>
    </row>
    <row r="367" spans="1:12" x14ac:dyDescent="0.25">
      <c r="A367" s="12" t="s">
        <v>63</v>
      </c>
      <c r="B367" s="12" t="s">
        <v>38</v>
      </c>
      <c r="C367" s="12" t="s">
        <v>15</v>
      </c>
      <c r="D367" s="12">
        <v>4.2207252494765797</v>
      </c>
      <c r="E367" s="12">
        <v>1.9</v>
      </c>
      <c r="F367" s="12">
        <v>10</v>
      </c>
      <c r="G367" s="12">
        <v>1.9</v>
      </c>
      <c r="H367" s="12">
        <v>4.6875</v>
      </c>
      <c r="I367" s="12" t="s">
        <v>123</v>
      </c>
      <c r="J367">
        <v>1</v>
      </c>
      <c r="K367" s="12">
        <v>46243</v>
      </c>
      <c r="L367">
        <v>46243</v>
      </c>
    </row>
    <row r="368" spans="1:12" x14ac:dyDescent="0.25">
      <c r="A368" s="12" t="s">
        <v>59</v>
      </c>
      <c r="B368" s="12" t="s">
        <v>40</v>
      </c>
      <c r="C368" s="12" t="s">
        <v>15</v>
      </c>
      <c r="D368" s="12">
        <v>0</v>
      </c>
      <c r="E368" s="12">
        <v>0.95</v>
      </c>
      <c r="F368" s="12">
        <v>10</v>
      </c>
      <c r="G368" s="12">
        <v>0.95</v>
      </c>
      <c r="H368" s="12">
        <v>0</v>
      </c>
      <c r="I368" s="12" t="s">
        <v>123</v>
      </c>
      <c r="K368" s="12">
        <v>46243</v>
      </c>
      <c r="L368">
        <v>46243</v>
      </c>
    </row>
    <row r="369" spans="1:12" x14ac:dyDescent="0.25">
      <c r="A369" s="12" t="s">
        <v>59</v>
      </c>
      <c r="B369" s="12" t="s">
        <v>40</v>
      </c>
      <c r="C369" s="12" t="s">
        <v>13</v>
      </c>
      <c r="D369" s="12">
        <v>3.5876164620550925</v>
      </c>
      <c r="E369" s="12">
        <v>3.8</v>
      </c>
      <c r="F369" s="12">
        <v>10</v>
      </c>
      <c r="G369" s="12">
        <v>3.8</v>
      </c>
      <c r="H369" s="12">
        <v>4.702205882352942</v>
      </c>
      <c r="I369" s="12" t="s">
        <v>122</v>
      </c>
      <c r="K369" s="12">
        <v>46243</v>
      </c>
      <c r="L369">
        <v>46243</v>
      </c>
    </row>
    <row r="370" spans="1:12" x14ac:dyDescent="0.25">
      <c r="A370" s="12" t="s">
        <v>59</v>
      </c>
      <c r="B370" s="12" t="s">
        <v>40</v>
      </c>
      <c r="C370" s="12" t="s">
        <v>14</v>
      </c>
      <c r="D370" s="12">
        <v>3.1779578349000133</v>
      </c>
      <c r="E370" s="12">
        <v>2.8499999999999996</v>
      </c>
      <c r="F370" s="12">
        <v>10</v>
      </c>
      <c r="G370" s="12">
        <v>2.8499999999999996</v>
      </c>
      <c r="H370" s="12">
        <v>4.6332179930795849</v>
      </c>
      <c r="I370" s="12" t="s">
        <v>121</v>
      </c>
      <c r="K370" s="12">
        <v>46243</v>
      </c>
      <c r="L370">
        <v>46243</v>
      </c>
    </row>
    <row r="371" spans="1:12" x14ac:dyDescent="0.25">
      <c r="A371" s="12" t="s">
        <v>63</v>
      </c>
      <c r="B371" s="12" t="s">
        <v>40</v>
      </c>
      <c r="C371" s="12" t="s">
        <v>15</v>
      </c>
      <c r="D371" s="12">
        <v>0</v>
      </c>
      <c r="E371" s="12">
        <v>0.95</v>
      </c>
      <c r="F371" s="12">
        <v>10</v>
      </c>
      <c r="G371" s="12">
        <v>0.95</v>
      </c>
      <c r="H371" s="12">
        <v>0</v>
      </c>
      <c r="I371" s="12" t="s">
        <v>123</v>
      </c>
      <c r="J371">
        <v>1</v>
      </c>
      <c r="K371" s="12">
        <v>46243</v>
      </c>
      <c r="L371">
        <v>46243</v>
      </c>
    </row>
    <row r="372" spans="1:12" x14ac:dyDescent="0.25">
      <c r="A372" s="12" t="s">
        <v>63</v>
      </c>
      <c r="B372" s="12" t="s">
        <v>40</v>
      </c>
      <c r="C372" s="12" t="s">
        <v>13</v>
      </c>
      <c r="D372" s="12">
        <v>3.5876164620550925</v>
      </c>
      <c r="E372" s="12">
        <v>3.8</v>
      </c>
      <c r="F372" s="12">
        <v>10</v>
      </c>
      <c r="G372" s="12">
        <v>3.8</v>
      </c>
      <c r="H372" s="12">
        <v>4.702205882352942</v>
      </c>
      <c r="I372" s="12" t="s">
        <v>122</v>
      </c>
      <c r="J372">
        <v>1</v>
      </c>
      <c r="K372" s="12">
        <v>46243</v>
      </c>
      <c r="L372">
        <v>46243</v>
      </c>
    </row>
    <row r="373" spans="1:12" x14ac:dyDescent="0.25">
      <c r="A373" s="12" t="s">
        <v>63</v>
      </c>
      <c r="B373" s="12" t="s">
        <v>40</v>
      </c>
      <c r="C373" s="12" t="s">
        <v>14</v>
      </c>
      <c r="D373" s="12">
        <v>3.1779578349000133</v>
      </c>
      <c r="E373" s="12">
        <v>2.8499999999999996</v>
      </c>
      <c r="F373" s="12">
        <v>10</v>
      </c>
      <c r="G373" s="12">
        <v>2.8499999999999996</v>
      </c>
      <c r="H373" s="12">
        <v>4.6332179930795849</v>
      </c>
      <c r="I373" s="12" t="s">
        <v>121</v>
      </c>
      <c r="J373">
        <v>1</v>
      </c>
      <c r="K373" s="12">
        <v>46243</v>
      </c>
      <c r="L373">
        <v>46243</v>
      </c>
    </row>
    <row r="374" spans="1:12" x14ac:dyDescent="0.25">
      <c r="A374" s="12" t="s">
        <v>59</v>
      </c>
      <c r="B374" s="12" t="s">
        <v>39</v>
      </c>
      <c r="C374" s="12" t="s">
        <v>13</v>
      </c>
      <c r="D374" s="12">
        <v>3.5134887958963272</v>
      </c>
      <c r="E374" s="12">
        <v>0</v>
      </c>
      <c r="F374" s="12">
        <v>10</v>
      </c>
      <c r="G374" s="12">
        <v>0</v>
      </c>
      <c r="H374" s="12">
        <v>2.882352941176471</v>
      </c>
      <c r="I374" s="12" t="s">
        <v>122</v>
      </c>
      <c r="K374" s="12">
        <v>46243</v>
      </c>
      <c r="L374">
        <v>46243</v>
      </c>
    </row>
    <row r="375" spans="1:12" x14ac:dyDescent="0.25">
      <c r="A375" s="12" t="s">
        <v>59</v>
      </c>
      <c r="B375" s="12" t="s">
        <v>39</v>
      </c>
      <c r="C375" s="12" t="s">
        <v>15</v>
      </c>
      <c r="D375" s="12">
        <v>1.2742252699784016</v>
      </c>
      <c r="E375" s="12">
        <v>0</v>
      </c>
      <c r="F375" s="12">
        <v>10</v>
      </c>
      <c r="G375" s="12">
        <v>0</v>
      </c>
      <c r="H375" s="12">
        <v>0.94117647058823517</v>
      </c>
      <c r="I375" s="12" t="s">
        <v>123</v>
      </c>
      <c r="K375" s="12">
        <v>46243</v>
      </c>
      <c r="L375">
        <v>46243</v>
      </c>
    </row>
    <row r="376" spans="1:12" x14ac:dyDescent="0.25">
      <c r="A376" s="12" t="s">
        <v>59</v>
      </c>
      <c r="B376" s="12" t="s">
        <v>39</v>
      </c>
      <c r="C376" s="12" t="s">
        <v>14</v>
      </c>
      <c r="D376" s="12">
        <v>3.3729492440604751</v>
      </c>
      <c r="E376" s="12">
        <v>0</v>
      </c>
      <c r="F376" s="12">
        <v>10</v>
      </c>
      <c r="G376" s="12">
        <v>0</v>
      </c>
      <c r="H376" s="12">
        <v>3.0449826989619369</v>
      </c>
      <c r="I376" s="12" t="s">
        <v>121</v>
      </c>
      <c r="K376" s="12">
        <v>46243</v>
      </c>
      <c r="L376">
        <v>46243</v>
      </c>
    </row>
    <row r="377" spans="1:12" x14ac:dyDescent="0.25">
      <c r="A377" s="12" t="s">
        <v>63</v>
      </c>
      <c r="B377" s="12" t="s">
        <v>39</v>
      </c>
      <c r="C377" s="12" t="s">
        <v>13</v>
      </c>
      <c r="D377" s="12">
        <v>3.5134887958963272</v>
      </c>
      <c r="E377" s="12">
        <v>0</v>
      </c>
      <c r="F377" s="12">
        <v>10</v>
      </c>
      <c r="G377" s="12">
        <v>0</v>
      </c>
      <c r="H377" s="12">
        <v>2.882352941176471</v>
      </c>
      <c r="I377" s="12" t="s">
        <v>122</v>
      </c>
      <c r="J377">
        <v>1</v>
      </c>
      <c r="K377" s="12">
        <v>46243</v>
      </c>
      <c r="L377">
        <v>46243</v>
      </c>
    </row>
    <row r="378" spans="1:12" x14ac:dyDescent="0.25">
      <c r="A378" s="12" t="s">
        <v>63</v>
      </c>
      <c r="B378" s="12" t="s">
        <v>39</v>
      </c>
      <c r="C378" s="12" t="s">
        <v>15</v>
      </c>
      <c r="D378" s="12">
        <v>1.2742252699784016</v>
      </c>
      <c r="E378" s="12">
        <v>0</v>
      </c>
      <c r="F378" s="12">
        <v>10</v>
      </c>
      <c r="G378" s="12">
        <v>0</v>
      </c>
      <c r="H378" s="12">
        <v>0.94117647058823517</v>
      </c>
      <c r="I378" s="12" t="s">
        <v>123</v>
      </c>
      <c r="J378">
        <v>1</v>
      </c>
      <c r="K378" s="12">
        <v>46243</v>
      </c>
      <c r="L378">
        <v>46243</v>
      </c>
    </row>
    <row r="379" spans="1:12" x14ac:dyDescent="0.25">
      <c r="A379" s="12" t="s">
        <v>63</v>
      </c>
      <c r="B379" s="12" t="s">
        <v>39</v>
      </c>
      <c r="C379" s="12" t="s">
        <v>14</v>
      </c>
      <c r="D379" s="12">
        <v>3.3729492440604751</v>
      </c>
      <c r="E379" s="12">
        <v>0</v>
      </c>
      <c r="F379" s="12">
        <v>10</v>
      </c>
      <c r="G379" s="12">
        <v>0</v>
      </c>
      <c r="H379" s="12">
        <v>3.0449826989619369</v>
      </c>
      <c r="I379" s="12" t="s">
        <v>121</v>
      </c>
      <c r="J379">
        <v>1</v>
      </c>
      <c r="K379" s="12">
        <v>46243</v>
      </c>
      <c r="L379">
        <v>46243</v>
      </c>
    </row>
    <row r="380" spans="1:12" x14ac:dyDescent="0.25">
      <c r="A380" s="12" t="s">
        <v>59</v>
      </c>
      <c r="B380" s="12" t="s">
        <v>38</v>
      </c>
      <c r="C380" s="12" t="s">
        <v>13</v>
      </c>
      <c r="D380" s="12">
        <v>11.870789764152878</v>
      </c>
      <c r="E380" s="12">
        <v>5.6999999999999993</v>
      </c>
      <c r="F380" s="12">
        <v>10</v>
      </c>
      <c r="G380" s="12">
        <v>5.6999999999999993</v>
      </c>
      <c r="H380" s="12">
        <v>11.839613970588236</v>
      </c>
      <c r="I380" s="12" t="s">
        <v>124</v>
      </c>
      <c r="K380" s="12">
        <v>46244</v>
      </c>
      <c r="L380">
        <v>46244</v>
      </c>
    </row>
    <row r="381" spans="1:12" x14ac:dyDescent="0.25">
      <c r="A381" s="12" t="s">
        <v>59</v>
      </c>
      <c r="B381" s="12" t="s">
        <v>38</v>
      </c>
      <c r="C381" s="12" t="s">
        <v>15</v>
      </c>
      <c r="D381" s="12">
        <v>4.2207252494765797</v>
      </c>
      <c r="E381" s="12">
        <v>0.95</v>
      </c>
      <c r="F381" s="12">
        <v>10</v>
      </c>
      <c r="G381" s="12">
        <v>0.95</v>
      </c>
      <c r="H381" s="12">
        <v>4.6875</v>
      </c>
      <c r="I381" s="12" t="s">
        <v>125</v>
      </c>
      <c r="K381" s="12">
        <v>46244</v>
      </c>
      <c r="L381">
        <v>46244</v>
      </c>
    </row>
    <row r="382" spans="1:12" x14ac:dyDescent="0.25">
      <c r="A382" s="12" t="s">
        <v>59</v>
      </c>
      <c r="B382" s="12" t="s">
        <v>38</v>
      </c>
      <c r="C382" s="12" t="s">
        <v>14</v>
      </c>
      <c r="D382" s="12">
        <v>10.973885648639106</v>
      </c>
      <c r="E382" s="12">
        <v>0</v>
      </c>
      <c r="F382" s="12">
        <v>10</v>
      </c>
      <c r="G382" s="12">
        <v>0</v>
      </c>
      <c r="H382" s="12">
        <v>11.660386029411764</v>
      </c>
      <c r="I382" s="12" t="s">
        <v>126</v>
      </c>
      <c r="K382" s="12">
        <v>46244</v>
      </c>
      <c r="L382">
        <v>46244</v>
      </c>
    </row>
    <row r="383" spans="1:12" x14ac:dyDescent="0.25">
      <c r="A383" s="12" t="s">
        <v>63</v>
      </c>
      <c r="B383" s="12" t="s">
        <v>38</v>
      </c>
      <c r="C383" s="12" t="s">
        <v>13</v>
      </c>
      <c r="D383" s="12">
        <v>11.870789764152878</v>
      </c>
      <c r="E383" s="12">
        <v>5.6999999999999993</v>
      </c>
      <c r="F383" s="12">
        <v>10</v>
      </c>
      <c r="G383" s="12">
        <v>5.6999999999999993</v>
      </c>
      <c r="H383" s="12">
        <v>11.839613970588236</v>
      </c>
      <c r="I383" s="12" t="s">
        <v>124</v>
      </c>
      <c r="J383">
        <v>1</v>
      </c>
      <c r="K383" s="12">
        <v>46244</v>
      </c>
      <c r="L383">
        <v>46244</v>
      </c>
    </row>
    <row r="384" spans="1:12" x14ac:dyDescent="0.25">
      <c r="A384" s="12" t="s">
        <v>63</v>
      </c>
      <c r="B384" s="12" t="s">
        <v>38</v>
      </c>
      <c r="C384" s="12" t="s">
        <v>15</v>
      </c>
      <c r="D384" s="12">
        <v>4.2207252494765797</v>
      </c>
      <c r="E384" s="12">
        <v>0.95</v>
      </c>
      <c r="F384" s="12">
        <v>10</v>
      </c>
      <c r="G384" s="12">
        <v>0.95</v>
      </c>
      <c r="H384" s="12">
        <v>4.6875</v>
      </c>
      <c r="I384" s="12" t="s">
        <v>125</v>
      </c>
      <c r="J384">
        <v>1</v>
      </c>
      <c r="K384" s="12">
        <v>46244</v>
      </c>
      <c r="L384">
        <v>46244</v>
      </c>
    </row>
    <row r="385" spans="1:12" x14ac:dyDescent="0.25">
      <c r="A385" s="12" t="s">
        <v>63</v>
      </c>
      <c r="B385" s="12" t="s">
        <v>38</v>
      </c>
      <c r="C385" s="12" t="s">
        <v>14</v>
      </c>
      <c r="D385" s="12">
        <v>10.973885648639106</v>
      </c>
      <c r="E385" s="12">
        <v>0</v>
      </c>
      <c r="F385" s="12">
        <v>10</v>
      </c>
      <c r="G385" s="12">
        <v>0</v>
      </c>
      <c r="H385" s="12">
        <v>11.660386029411764</v>
      </c>
      <c r="I385" s="12" t="s">
        <v>126</v>
      </c>
      <c r="J385">
        <v>1</v>
      </c>
      <c r="K385" s="12">
        <v>46244</v>
      </c>
      <c r="L385">
        <v>46244</v>
      </c>
    </row>
    <row r="386" spans="1:12" x14ac:dyDescent="0.25">
      <c r="A386" s="12" t="s">
        <v>59</v>
      </c>
      <c r="B386" s="12" t="s">
        <v>40</v>
      </c>
      <c r="C386" s="12" t="s">
        <v>15</v>
      </c>
      <c r="D386" s="12">
        <v>0</v>
      </c>
      <c r="E386" s="12">
        <v>0</v>
      </c>
      <c r="F386" s="12">
        <v>10</v>
      </c>
      <c r="G386" s="12">
        <v>0</v>
      </c>
      <c r="H386" s="12">
        <v>0</v>
      </c>
      <c r="I386" s="12" t="s">
        <v>125</v>
      </c>
      <c r="K386" s="12">
        <v>46244</v>
      </c>
      <c r="L386">
        <v>46244</v>
      </c>
    </row>
    <row r="387" spans="1:12" x14ac:dyDescent="0.25">
      <c r="A387" s="12" t="s">
        <v>59</v>
      </c>
      <c r="B387" s="12" t="s">
        <v>40</v>
      </c>
      <c r="C387" s="12" t="s">
        <v>14</v>
      </c>
      <c r="D387" s="12">
        <v>3.1779578349000128</v>
      </c>
      <c r="E387" s="12">
        <v>2.8499999999999996</v>
      </c>
      <c r="F387" s="12">
        <v>10</v>
      </c>
      <c r="G387" s="12">
        <v>2.8499999999999996</v>
      </c>
      <c r="H387" s="12">
        <v>4.6332179930795849</v>
      </c>
      <c r="I387" s="12" t="s">
        <v>126</v>
      </c>
      <c r="K387" s="12">
        <v>46244</v>
      </c>
      <c r="L387">
        <v>46244</v>
      </c>
    </row>
    <row r="388" spans="1:12" x14ac:dyDescent="0.25">
      <c r="A388" s="12" t="s">
        <v>59</v>
      </c>
      <c r="B388" s="12" t="s">
        <v>40</v>
      </c>
      <c r="C388" s="12" t="s">
        <v>13</v>
      </c>
      <c r="D388" s="12">
        <v>3.5876164620550925</v>
      </c>
      <c r="E388" s="12">
        <v>3.8</v>
      </c>
      <c r="F388" s="12">
        <v>10</v>
      </c>
      <c r="G388" s="12">
        <v>3.8</v>
      </c>
      <c r="H388" s="12">
        <v>4.7022058823529411</v>
      </c>
      <c r="I388" s="12" t="s">
        <v>124</v>
      </c>
      <c r="K388" s="12">
        <v>46244</v>
      </c>
      <c r="L388">
        <v>46244</v>
      </c>
    </row>
    <row r="389" spans="1:12" x14ac:dyDescent="0.25">
      <c r="A389" s="12" t="s">
        <v>63</v>
      </c>
      <c r="B389" s="12" t="s">
        <v>40</v>
      </c>
      <c r="C389" s="12" t="s">
        <v>15</v>
      </c>
      <c r="D389" s="12">
        <v>0</v>
      </c>
      <c r="E389" s="12">
        <v>0</v>
      </c>
      <c r="F389" s="12">
        <v>10</v>
      </c>
      <c r="G389" s="12">
        <v>0</v>
      </c>
      <c r="H389" s="12">
        <v>0</v>
      </c>
      <c r="I389" s="12" t="s">
        <v>125</v>
      </c>
      <c r="J389">
        <v>1</v>
      </c>
      <c r="K389" s="12">
        <v>46244</v>
      </c>
      <c r="L389">
        <v>46244</v>
      </c>
    </row>
    <row r="390" spans="1:12" x14ac:dyDescent="0.25">
      <c r="A390" s="12" t="s">
        <v>63</v>
      </c>
      <c r="B390" s="12" t="s">
        <v>40</v>
      </c>
      <c r="C390" s="12" t="s">
        <v>14</v>
      </c>
      <c r="D390" s="12">
        <v>3.1779578349000128</v>
      </c>
      <c r="E390" s="12">
        <v>2.8499999999999996</v>
      </c>
      <c r="F390" s="12">
        <v>10</v>
      </c>
      <c r="G390" s="12">
        <v>2.8499999999999996</v>
      </c>
      <c r="H390" s="12">
        <v>4.6332179930795849</v>
      </c>
      <c r="I390" s="12" t="s">
        <v>126</v>
      </c>
      <c r="J390">
        <v>1</v>
      </c>
      <c r="K390" s="12">
        <v>46244</v>
      </c>
      <c r="L390">
        <v>46244</v>
      </c>
    </row>
    <row r="391" spans="1:12" x14ac:dyDescent="0.25">
      <c r="A391" s="12" t="s">
        <v>63</v>
      </c>
      <c r="B391" s="12" t="s">
        <v>40</v>
      </c>
      <c r="C391" s="12" t="s">
        <v>13</v>
      </c>
      <c r="D391" s="12">
        <v>3.5876164620550925</v>
      </c>
      <c r="E391" s="12">
        <v>3.8</v>
      </c>
      <c r="F391" s="12">
        <v>10</v>
      </c>
      <c r="G391" s="12">
        <v>3.8</v>
      </c>
      <c r="H391" s="12">
        <v>4.7022058823529411</v>
      </c>
      <c r="I391" s="12" t="s">
        <v>124</v>
      </c>
      <c r="J391">
        <v>1</v>
      </c>
      <c r="K391" s="12">
        <v>46244</v>
      </c>
      <c r="L391">
        <v>46244</v>
      </c>
    </row>
    <row r="392" spans="1:12" x14ac:dyDescent="0.25">
      <c r="A392" s="12" t="s">
        <v>59</v>
      </c>
      <c r="B392" s="12" t="s">
        <v>39</v>
      </c>
      <c r="C392" s="12" t="s">
        <v>13</v>
      </c>
      <c r="D392" s="12">
        <v>3.5134887958963272</v>
      </c>
      <c r="E392" s="12">
        <v>0</v>
      </c>
      <c r="F392" s="12">
        <v>10</v>
      </c>
      <c r="G392" s="12">
        <v>0</v>
      </c>
      <c r="H392" s="12">
        <v>2.6443014705882351</v>
      </c>
      <c r="I392" s="12" t="s">
        <v>124</v>
      </c>
      <c r="K392" s="12">
        <v>46244</v>
      </c>
      <c r="L392">
        <v>46244</v>
      </c>
    </row>
    <row r="393" spans="1:12" x14ac:dyDescent="0.25">
      <c r="A393" s="12" t="s">
        <v>59</v>
      </c>
      <c r="B393" s="12" t="s">
        <v>39</v>
      </c>
      <c r="C393" s="12" t="s">
        <v>15</v>
      </c>
      <c r="D393" s="12">
        <v>1.2742252699784016</v>
      </c>
      <c r="E393" s="12">
        <v>0</v>
      </c>
      <c r="F393" s="12">
        <v>10</v>
      </c>
      <c r="G393" s="12">
        <v>0</v>
      </c>
      <c r="H393" s="12">
        <v>0.94117647058823517</v>
      </c>
      <c r="I393" s="12" t="s">
        <v>125</v>
      </c>
      <c r="K393" s="12">
        <v>46244</v>
      </c>
      <c r="L393">
        <v>46244</v>
      </c>
    </row>
    <row r="394" spans="1:12" x14ac:dyDescent="0.25">
      <c r="A394" s="12" t="s">
        <v>59</v>
      </c>
      <c r="B394" s="12" t="s">
        <v>39</v>
      </c>
      <c r="C394" s="12" t="s">
        <v>14</v>
      </c>
      <c r="D394" s="12">
        <v>3.3729492440604751</v>
      </c>
      <c r="E394" s="12">
        <v>0</v>
      </c>
      <c r="F394" s="12">
        <v>10</v>
      </c>
      <c r="G394" s="12">
        <v>0</v>
      </c>
      <c r="H394" s="12">
        <v>3.2102076124567458</v>
      </c>
      <c r="I394" s="12" t="s">
        <v>126</v>
      </c>
      <c r="K394" s="12">
        <v>46244</v>
      </c>
      <c r="L394">
        <v>46244</v>
      </c>
    </row>
    <row r="395" spans="1:12" x14ac:dyDescent="0.25">
      <c r="A395" s="12" t="s">
        <v>63</v>
      </c>
      <c r="B395" s="12" t="s">
        <v>39</v>
      </c>
      <c r="C395" s="12" t="s">
        <v>13</v>
      </c>
      <c r="D395" s="12">
        <v>3.5134887958963272</v>
      </c>
      <c r="E395" s="12">
        <v>0</v>
      </c>
      <c r="F395" s="12">
        <v>10</v>
      </c>
      <c r="G395" s="12">
        <v>0</v>
      </c>
      <c r="H395" s="12">
        <v>2.6443014705882351</v>
      </c>
      <c r="I395" s="12" t="s">
        <v>124</v>
      </c>
      <c r="J395">
        <v>1</v>
      </c>
      <c r="K395" s="12">
        <v>46244</v>
      </c>
      <c r="L395">
        <v>46244</v>
      </c>
    </row>
    <row r="396" spans="1:12" x14ac:dyDescent="0.25">
      <c r="A396" s="12" t="s">
        <v>63</v>
      </c>
      <c r="B396" s="12" t="s">
        <v>39</v>
      </c>
      <c r="C396" s="12" t="s">
        <v>15</v>
      </c>
      <c r="D396" s="12">
        <v>1.2742252699784016</v>
      </c>
      <c r="E396" s="12">
        <v>0</v>
      </c>
      <c r="F396" s="12">
        <v>10</v>
      </c>
      <c r="G396" s="12">
        <v>0</v>
      </c>
      <c r="H396" s="12">
        <v>0.94117647058823517</v>
      </c>
      <c r="I396" s="12" t="s">
        <v>125</v>
      </c>
      <c r="J396">
        <v>1</v>
      </c>
      <c r="K396" s="12">
        <v>46244</v>
      </c>
      <c r="L396">
        <v>46244</v>
      </c>
    </row>
    <row r="397" spans="1:12" x14ac:dyDescent="0.25">
      <c r="A397" s="12" t="s">
        <v>63</v>
      </c>
      <c r="B397" s="12" t="s">
        <v>39</v>
      </c>
      <c r="C397" s="12" t="s">
        <v>14</v>
      </c>
      <c r="D397" s="12">
        <v>3.3729492440604751</v>
      </c>
      <c r="E397" s="12">
        <v>0</v>
      </c>
      <c r="F397" s="12">
        <v>10</v>
      </c>
      <c r="G397" s="12">
        <v>0</v>
      </c>
      <c r="H397" s="12">
        <v>3.2102076124567458</v>
      </c>
      <c r="I397" s="12" t="s">
        <v>126</v>
      </c>
      <c r="J397">
        <v>1</v>
      </c>
      <c r="K397" s="12">
        <v>46244</v>
      </c>
      <c r="L397">
        <v>46244</v>
      </c>
    </row>
    <row r="398" spans="1:12" x14ac:dyDescent="0.25">
      <c r="A398" s="12" t="s">
        <v>59</v>
      </c>
      <c r="B398" s="12" t="s">
        <v>38</v>
      </c>
      <c r="C398" s="12" t="s">
        <v>14</v>
      </c>
      <c r="D398" s="12">
        <v>10.973885648639106</v>
      </c>
      <c r="E398" s="12">
        <v>0.95</v>
      </c>
      <c r="F398" s="12">
        <v>10</v>
      </c>
      <c r="G398" s="12">
        <v>0.95</v>
      </c>
      <c r="H398" s="12">
        <v>11.6015625</v>
      </c>
      <c r="I398" s="12" t="s">
        <v>127</v>
      </c>
      <c r="K398" s="12">
        <v>46245</v>
      </c>
      <c r="L398">
        <v>46245</v>
      </c>
    </row>
    <row r="399" spans="1:12" x14ac:dyDescent="0.25">
      <c r="A399" s="12" t="s">
        <v>59</v>
      </c>
      <c r="B399" s="12" t="s">
        <v>38</v>
      </c>
      <c r="C399" s="12" t="s">
        <v>13</v>
      </c>
      <c r="D399" s="12">
        <v>11.738892100106735</v>
      </c>
      <c r="E399" s="12">
        <v>3.8</v>
      </c>
      <c r="F399" s="12">
        <v>10</v>
      </c>
      <c r="G399" s="12">
        <v>3.8</v>
      </c>
      <c r="H399" s="12">
        <v>11.7421875</v>
      </c>
      <c r="I399" s="12" t="s">
        <v>128</v>
      </c>
      <c r="K399" s="12">
        <v>46245</v>
      </c>
      <c r="L399">
        <v>46245</v>
      </c>
    </row>
    <row r="400" spans="1:12" x14ac:dyDescent="0.25">
      <c r="A400" s="12" t="s">
        <v>59</v>
      </c>
      <c r="B400" s="12" t="s">
        <v>38</v>
      </c>
      <c r="C400" s="12" t="s">
        <v>15</v>
      </c>
      <c r="D400" s="12">
        <v>4.2207252494765797</v>
      </c>
      <c r="E400" s="12">
        <v>0</v>
      </c>
      <c r="F400" s="12">
        <v>10</v>
      </c>
      <c r="G400" s="12">
        <v>0</v>
      </c>
      <c r="H400" s="12">
        <v>4.6875</v>
      </c>
      <c r="I400" s="12" t="s">
        <v>129</v>
      </c>
      <c r="K400" s="12">
        <v>46245</v>
      </c>
      <c r="L400">
        <v>46245</v>
      </c>
    </row>
    <row r="401" spans="1:12" x14ac:dyDescent="0.25">
      <c r="A401" s="12" t="s">
        <v>63</v>
      </c>
      <c r="B401" s="12" t="s">
        <v>38</v>
      </c>
      <c r="C401" s="12" t="s">
        <v>14</v>
      </c>
      <c r="D401" s="12">
        <v>10.973885648639106</v>
      </c>
      <c r="E401" s="12">
        <v>0.95</v>
      </c>
      <c r="F401" s="12">
        <v>10</v>
      </c>
      <c r="G401" s="12">
        <v>0.95</v>
      </c>
      <c r="H401" s="12">
        <v>11.6015625</v>
      </c>
      <c r="I401" s="12" t="s">
        <v>127</v>
      </c>
      <c r="J401">
        <v>1</v>
      </c>
      <c r="K401" s="12">
        <v>46245</v>
      </c>
      <c r="L401">
        <v>46245</v>
      </c>
    </row>
    <row r="402" spans="1:12" x14ac:dyDescent="0.25">
      <c r="A402" s="12" t="s">
        <v>63</v>
      </c>
      <c r="B402" s="12" t="s">
        <v>38</v>
      </c>
      <c r="C402" s="12" t="s">
        <v>13</v>
      </c>
      <c r="D402" s="12">
        <v>11.738892100106735</v>
      </c>
      <c r="E402" s="12">
        <v>3.8</v>
      </c>
      <c r="F402" s="12">
        <v>10</v>
      </c>
      <c r="G402" s="12">
        <v>3.8</v>
      </c>
      <c r="H402" s="12">
        <v>11.7421875</v>
      </c>
      <c r="I402" s="12" t="s">
        <v>128</v>
      </c>
      <c r="J402">
        <v>1</v>
      </c>
      <c r="K402" s="12">
        <v>46245</v>
      </c>
      <c r="L402">
        <v>46245</v>
      </c>
    </row>
    <row r="403" spans="1:12" x14ac:dyDescent="0.25">
      <c r="A403" s="12" t="s">
        <v>63</v>
      </c>
      <c r="B403" s="12" t="s">
        <v>38</v>
      </c>
      <c r="C403" s="12" t="s">
        <v>15</v>
      </c>
      <c r="D403" s="12">
        <v>4.2207252494765797</v>
      </c>
      <c r="E403" s="12">
        <v>0</v>
      </c>
      <c r="F403" s="12">
        <v>10</v>
      </c>
      <c r="G403" s="12">
        <v>0</v>
      </c>
      <c r="H403" s="12">
        <v>4.6875</v>
      </c>
      <c r="I403" s="12" t="s">
        <v>129</v>
      </c>
      <c r="J403">
        <v>1</v>
      </c>
      <c r="K403" s="12">
        <v>46245</v>
      </c>
      <c r="L403">
        <v>46245</v>
      </c>
    </row>
    <row r="404" spans="1:12" x14ac:dyDescent="0.25">
      <c r="A404" s="12" t="s">
        <v>59</v>
      </c>
      <c r="B404" s="12" t="s">
        <v>40</v>
      </c>
      <c r="C404" s="12" t="s">
        <v>14</v>
      </c>
      <c r="D404" s="12">
        <v>3.1779578349000128</v>
      </c>
      <c r="E404" s="12">
        <v>2.8499999999999996</v>
      </c>
      <c r="F404" s="12">
        <v>10</v>
      </c>
      <c r="G404" s="12">
        <v>2.8499999999999996</v>
      </c>
      <c r="H404" s="12">
        <v>4.6332179930795849</v>
      </c>
      <c r="I404" s="12" t="s">
        <v>127</v>
      </c>
      <c r="K404" s="12">
        <v>46245</v>
      </c>
      <c r="L404">
        <v>46245</v>
      </c>
    </row>
    <row r="405" spans="1:12" x14ac:dyDescent="0.25">
      <c r="A405" s="12" t="s">
        <v>59</v>
      </c>
      <c r="B405" s="12" t="s">
        <v>40</v>
      </c>
      <c r="C405" s="12" t="s">
        <v>15</v>
      </c>
      <c r="D405" s="12">
        <v>0</v>
      </c>
      <c r="E405" s="12">
        <v>0.95</v>
      </c>
      <c r="F405" s="12">
        <v>10</v>
      </c>
      <c r="G405" s="12">
        <v>0.95</v>
      </c>
      <c r="H405" s="12">
        <v>0</v>
      </c>
      <c r="I405" s="12" t="s">
        <v>129</v>
      </c>
      <c r="K405" s="12">
        <v>46245</v>
      </c>
      <c r="L405">
        <v>46245</v>
      </c>
    </row>
    <row r="406" spans="1:12" x14ac:dyDescent="0.25">
      <c r="A406" s="12" t="s">
        <v>59</v>
      </c>
      <c r="B406" s="12" t="s">
        <v>40</v>
      </c>
      <c r="C406" s="12" t="s">
        <v>13</v>
      </c>
      <c r="D406" s="12">
        <v>3.5876164620550925</v>
      </c>
      <c r="E406" s="12">
        <v>5.6999999999999993</v>
      </c>
      <c r="F406" s="12">
        <v>10</v>
      </c>
      <c r="G406" s="12">
        <v>5.6999999999999993</v>
      </c>
      <c r="H406" s="12">
        <v>4.7022058823529402</v>
      </c>
      <c r="I406" s="12" t="s">
        <v>128</v>
      </c>
      <c r="K406" s="12">
        <v>46245</v>
      </c>
      <c r="L406">
        <v>46245</v>
      </c>
    </row>
    <row r="407" spans="1:12" x14ac:dyDescent="0.25">
      <c r="A407" s="12" t="s">
        <v>63</v>
      </c>
      <c r="B407" s="12" t="s">
        <v>40</v>
      </c>
      <c r="C407" s="12" t="s">
        <v>14</v>
      </c>
      <c r="D407" s="12">
        <v>3.1779578349000128</v>
      </c>
      <c r="E407" s="12">
        <v>2.8499999999999996</v>
      </c>
      <c r="F407" s="12">
        <v>10</v>
      </c>
      <c r="G407" s="12">
        <v>2.8499999999999996</v>
      </c>
      <c r="H407" s="12">
        <v>4.6332179930795849</v>
      </c>
      <c r="I407" s="12" t="s">
        <v>127</v>
      </c>
      <c r="J407">
        <v>1</v>
      </c>
      <c r="K407" s="12">
        <v>46245</v>
      </c>
      <c r="L407">
        <v>46245</v>
      </c>
    </row>
    <row r="408" spans="1:12" x14ac:dyDescent="0.25">
      <c r="A408" s="12" t="s">
        <v>63</v>
      </c>
      <c r="B408" s="12" t="s">
        <v>40</v>
      </c>
      <c r="C408" s="12" t="s">
        <v>15</v>
      </c>
      <c r="D408" s="12">
        <v>0</v>
      </c>
      <c r="E408" s="12">
        <v>0.95</v>
      </c>
      <c r="F408" s="12">
        <v>10</v>
      </c>
      <c r="G408" s="12">
        <v>0.95</v>
      </c>
      <c r="H408" s="12">
        <v>0</v>
      </c>
      <c r="I408" s="12" t="s">
        <v>129</v>
      </c>
      <c r="J408">
        <v>1</v>
      </c>
      <c r="K408" s="12">
        <v>46245</v>
      </c>
      <c r="L408">
        <v>46245</v>
      </c>
    </row>
    <row r="409" spans="1:12" x14ac:dyDescent="0.25">
      <c r="A409" s="12" t="s">
        <v>63</v>
      </c>
      <c r="B409" s="12" t="s">
        <v>40</v>
      </c>
      <c r="C409" s="12" t="s">
        <v>13</v>
      </c>
      <c r="D409" s="12">
        <v>3.5876164620550925</v>
      </c>
      <c r="E409" s="12">
        <v>5.6999999999999993</v>
      </c>
      <c r="F409" s="12">
        <v>10</v>
      </c>
      <c r="G409" s="12">
        <v>5.6999999999999993</v>
      </c>
      <c r="H409" s="12">
        <v>4.7022058823529402</v>
      </c>
      <c r="I409" s="12" t="s">
        <v>128</v>
      </c>
      <c r="J409">
        <v>1</v>
      </c>
      <c r="K409" s="12">
        <v>46245</v>
      </c>
      <c r="L409">
        <v>46245</v>
      </c>
    </row>
    <row r="410" spans="1:12" x14ac:dyDescent="0.25">
      <c r="A410" s="12" t="s">
        <v>59</v>
      </c>
      <c r="B410" s="12" t="s">
        <v>39</v>
      </c>
      <c r="C410" s="12" t="s">
        <v>14</v>
      </c>
      <c r="D410" s="12">
        <v>3.3729492440604751</v>
      </c>
      <c r="E410" s="12">
        <v>0</v>
      </c>
      <c r="F410" s="12">
        <v>10</v>
      </c>
      <c r="G410" s="12">
        <v>0</v>
      </c>
      <c r="H410" s="12">
        <v>3.5415224913494798</v>
      </c>
      <c r="I410" s="12" t="s">
        <v>127</v>
      </c>
      <c r="K410" s="12">
        <v>46245</v>
      </c>
      <c r="L410">
        <v>46245</v>
      </c>
    </row>
    <row r="411" spans="1:12" x14ac:dyDescent="0.25">
      <c r="A411" s="12" t="s">
        <v>59</v>
      </c>
      <c r="B411" s="12" t="s">
        <v>39</v>
      </c>
      <c r="C411" s="12" t="s">
        <v>15</v>
      </c>
      <c r="D411" s="12">
        <v>1.2742252699784016</v>
      </c>
      <c r="E411" s="12">
        <v>0</v>
      </c>
      <c r="F411" s="12">
        <v>10</v>
      </c>
      <c r="G411" s="12">
        <v>0</v>
      </c>
      <c r="H411" s="12">
        <v>0.94117647058823517</v>
      </c>
      <c r="I411" s="12" t="s">
        <v>129</v>
      </c>
      <c r="K411" s="12">
        <v>46245</v>
      </c>
      <c r="L411">
        <v>46245</v>
      </c>
    </row>
    <row r="412" spans="1:12" x14ac:dyDescent="0.25">
      <c r="A412" s="12" t="s">
        <v>59</v>
      </c>
      <c r="B412" s="12" t="s">
        <v>39</v>
      </c>
      <c r="C412" s="12" t="s">
        <v>13</v>
      </c>
      <c r="D412" s="12">
        <v>7.0269775917926545</v>
      </c>
      <c r="E412" s="12">
        <v>0</v>
      </c>
      <c r="F412" s="12">
        <v>10</v>
      </c>
      <c r="G412" s="12">
        <v>0</v>
      </c>
      <c r="H412" s="12">
        <v>5.2297794117647056</v>
      </c>
      <c r="I412" s="12" t="s">
        <v>128</v>
      </c>
      <c r="K412" s="12">
        <v>46245</v>
      </c>
      <c r="L412">
        <v>46245</v>
      </c>
    </row>
    <row r="413" spans="1:12" x14ac:dyDescent="0.25">
      <c r="A413" s="12" t="s">
        <v>63</v>
      </c>
      <c r="B413" s="12" t="s">
        <v>39</v>
      </c>
      <c r="C413" s="12" t="s">
        <v>14</v>
      </c>
      <c r="D413" s="12">
        <v>3.3729492440604751</v>
      </c>
      <c r="E413" s="12">
        <v>0</v>
      </c>
      <c r="F413" s="12">
        <v>10</v>
      </c>
      <c r="G413" s="12">
        <v>0</v>
      </c>
      <c r="H413" s="12">
        <v>3.5415224913494798</v>
      </c>
      <c r="I413" s="12" t="s">
        <v>127</v>
      </c>
      <c r="J413">
        <v>1</v>
      </c>
      <c r="K413" s="12">
        <v>46245</v>
      </c>
      <c r="L413">
        <v>46245</v>
      </c>
    </row>
    <row r="414" spans="1:12" x14ac:dyDescent="0.25">
      <c r="A414" s="12" t="s">
        <v>63</v>
      </c>
      <c r="B414" s="12" t="s">
        <v>39</v>
      </c>
      <c r="C414" s="12" t="s">
        <v>15</v>
      </c>
      <c r="D414" s="12">
        <v>1.2742252699784016</v>
      </c>
      <c r="E414" s="12">
        <v>0</v>
      </c>
      <c r="F414" s="12">
        <v>10</v>
      </c>
      <c r="G414" s="12">
        <v>0</v>
      </c>
      <c r="H414" s="12">
        <v>0.94117647058823517</v>
      </c>
      <c r="I414" s="12" t="s">
        <v>129</v>
      </c>
      <c r="J414">
        <v>1</v>
      </c>
      <c r="K414" s="12">
        <v>46245</v>
      </c>
      <c r="L414">
        <v>46245</v>
      </c>
    </row>
    <row r="415" spans="1:12" x14ac:dyDescent="0.25">
      <c r="A415" s="12" t="s">
        <v>63</v>
      </c>
      <c r="B415" s="12" t="s">
        <v>39</v>
      </c>
      <c r="C415" s="12" t="s">
        <v>13</v>
      </c>
      <c r="D415" s="12">
        <v>7.0269775917926545</v>
      </c>
      <c r="E415" s="12">
        <v>0</v>
      </c>
      <c r="F415" s="12">
        <v>10</v>
      </c>
      <c r="G415" s="12">
        <v>0</v>
      </c>
      <c r="H415" s="12">
        <v>5.2297794117647056</v>
      </c>
      <c r="I415" s="12" t="s">
        <v>128</v>
      </c>
      <c r="J415">
        <v>1</v>
      </c>
      <c r="K415" s="12">
        <v>46245</v>
      </c>
      <c r="L415">
        <v>46245</v>
      </c>
    </row>
    <row r="416" spans="1:12" x14ac:dyDescent="0.25">
      <c r="A416" s="12" t="s">
        <v>59</v>
      </c>
      <c r="B416" s="12" t="s">
        <v>38</v>
      </c>
      <c r="C416" s="12" t="s">
        <v>13</v>
      </c>
      <c r="D416" s="12">
        <v>12.583037150002053</v>
      </c>
      <c r="E416" s="12">
        <v>1.9</v>
      </c>
      <c r="F416" s="12">
        <v>10</v>
      </c>
      <c r="G416" s="12">
        <v>1.9</v>
      </c>
      <c r="H416" s="12">
        <v>11.801011029411764</v>
      </c>
      <c r="I416" s="12" t="s">
        <v>130</v>
      </c>
      <c r="K416" s="12">
        <v>46246</v>
      </c>
      <c r="L416">
        <v>46246</v>
      </c>
    </row>
    <row r="417" spans="1:12" x14ac:dyDescent="0.25">
      <c r="A417" s="12" t="s">
        <v>59</v>
      </c>
      <c r="B417" s="12" t="s">
        <v>38</v>
      </c>
      <c r="C417" s="12" t="s">
        <v>15</v>
      </c>
      <c r="D417" s="12">
        <v>4.2207252494765797</v>
      </c>
      <c r="E417" s="12">
        <v>1.9</v>
      </c>
      <c r="F417" s="12">
        <v>10</v>
      </c>
      <c r="G417" s="12">
        <v>1.9</v>
      </c>
      <c r="H417" s="12">
        <v>4.6875</v>
      </c>
      <c r="I417" s="12" t="s">
        <v>131</v>
      </c>
      <c r="K417" s="12">
        <v>46246</v>
      </c>
      <c r="L417">
        <v>46246</v>
      </c>
    </row>
    <row r="418" spans="1:12" x14ac:dyDescent="0.25">
      <c r="A418" s="12" t="s">
        <v>59</v>
      </c>
      <c r="B418" s="12" t="s">
        <v>38</v>
      </c>
      <c r="C418" s="12" t="s">
        <v>14</v>
      </c>
      <c r="D418" s="12">
        <v>10.815608451783737</v>
      </c>
      <c r="E418" s="12">
        <v>1.9</v>
      </c>
      <c r="F418" s="12">
        <v>10</v>
      </c>
      <c r="G418" s="12">
        <v>1.9</v>
      </c>
      <c r="H418" s="12">
        <v>11.355238970588234</v>
      </c>
      <c r="I418" s="12" t="s">
        <v>132</v>
      </c>
      <c r="K418" s="12">
        <v>46246</v>
      </c>
      <c r="L418">
        <v>46246</v>
      </c>
    </row>
    <row r="419" spans="1:12" x14ac:dyDescent="0.25">
      <c r="A419" s="12" t="s">
        <v>63</v>
      </c>
      <c r="B419" s="12" t="s">
        <v>38</v>
      </c>
      <c r="C419" s="12" t="s">
        <v>13</v>
      </c>
      <c r="D419" s="12">
        <v>12.583037150002053</v>
      </c>
      <c r="E419" s="12">
        <v>1.9</v>
      </c>
      <c r="F419" s="12">
        <v>10</v>
      </c>
      <c r="G419" s="12">
        <v>1.9</v>
      </c>
      <c r="H419" s="12">
        <v>11.801011029411764</v>
      </c>
      <c r="I419" s="12" t="s">
        <v>130</v>
      </c>
      <c r="J419">
        <v>1</v>
      </c>
      <c r="K419" s="12">
        <v>46246</v>
      </c>
      <c r="L419">
        <v>46246</v>
      </c>
    </row>
    <row r="420" spans="1:12" x14ac:dyDescent="0.25">
      <c r="A420" s="12" t="s">
        <v>63</v>
      </c>
      <c r="B420" s="12" t="s">
        <v>38</v>
      </c>
      <c r="C420" s="12" t="s">
        <v>15</v>
      </c>
      <c r="D420" s="12">
        <v>4.2207252494765797</v>
      </c>
      <c r="E420" s="12">
        <v>1.9</v>
      </c>
      <c r="F420" s="12">
        <v>10</v>
      </c>
      <c r="G420" s="12">
        <v>1.9</v>
      </c>
      <c r="H420" s="12">
        <v>4.6875</v>
      </c>
      <c r="I420" s="12" t="s">
        <v>131</v>
      </c>
      <c r="J420">
        <v>1</v>
      </c>
      <c r="K420" s="12">
        <v>46246</v>
      </c>
      <c r="L420">
        <v>46246</v>
      </c>
    </row>
    <row r="421" spans="1:12" x14ac:dyDescent="0.25">
      <c r="A421" s="12" t="s">
        <v>63</v>
      </c>
      <c r="B421" s="12" t="s">
        <v>38</v>
      </c>
      <c r="C421" s="12" t="s">
        <v>14</v>
      </c>
      <c r="D421" s="12">
        <v>10.815608451783737</v>
      </c>
      <c r="E421" s="12">
        <v>1.9</v>
      </c>
      <c r="F421" s="12">
        <v>10</v>
      </c>
      <c r="G421" s="12">
        <v>1.9</v>
      </c>
      <c r="H421" s="12">
        <v>11.355238970588234</v>
      </c>
      <c r="I421" s="12" t="s">
        <v>132</v>
      </c>
      <c r="J421">
        <v>1</v>
      </c>
      <c r="K421" s="12">
        <v>46246</v>
      </c>
      <c r="L421">
        <v>46246</v>
      </c>
    </row>
    <row r="422" spans="1:12" x14ac:dyDescent="0.25">
      <c r="A422" s="12" t="s">
        <v>59</v>
      </c>
      <c r="B422" s="12" t="s">
        <v>40</v>
      </c>
      <c r="C422" s="12" t="s">
        <v>13</v>
      </c>
      <c r="D422" s="12">
        <v>3.5876164620550925</v>
      </c>
      <c r="E422" s="12">
        <v>3.8</v>
      </c>
      <c r="F422" s="12">
        <v>10</v>
      </c>
      <c r="G422" s="12">
        <v>3.8</v>
      </c>
      <c r="H422" s="12">
        <v>4.7022058823529402</v>
      </c>
      <c r="I422" s="12" t="s">
        <v>130</v>
      </c>
      <c r="K422" s="12">
        <v>46246</v>
      </c>
      <c r="L422">
        <v>46246</v>
      </c>
    </row>
    <row r="423" spans="1:12" x14ac:dyDescent="0.25">
      <c r="A423" s="12" t="s">
        <v>59</v>
      </c>
      <c r="B423" s="12" t="s">
        <v>40</v>
      </c>
      <c r="C423" s="12" t="s">
        <v>15</v>
      </c>
      <c r="D423" s="12">
        <v>0</v>
      </c>
      <c r="E423" s="12">
        <v>0</v>
      </c>
      <c r="F423" s="12">
        <v>10</v>
      </c>
      <c r="G423" s="12">
        <v>0</v>
      </c>
      <c r="H423" s="12">
        <v>0</v>
      </c>
      <c r="I423" s="12" t="s">
        <v>131</v>
      </c>
      <c r="K423" s="12">
        <v>46246</v>
      </c>
      <c r="L423">
        <v>46246</v>
      </c>
    </row>
    <row r="424" spans="1:12" x14ac:dyDescent="0.25">
      <c r="A424" s="12" t="s">
        <v>59</v>
      </c>
      <c r="B424" s="12" t="s">
        <v>40</v>
      </c>
      <c r="C424" s="12" t="s">
        <v>14</v>
      </c>
      <c r="D424" s="12">
        <v>3.1779578349000128</v>
      </c>
      <c r="E424" s="12">
        <v>2.8499999999999996</v>
      </c>
      <c r="F424" s="12">
        <v>10</v>
      </c>
      <c r="G424" s="12">
        <v>2.8499999999999996</v>
      </c>
      <c r="H424" s="12">
        <v>4.6332179930795849</v>
      </c>
      <c r="I424" s="12" t="s">
        <v>132</v>
      </c>
      <c r="K424" s="12">
        <v>46246</v>
      </c>
      <c r="L424">
        <v>46246</v>
      </c>
    </row>
    <row r="425" spans="1:12" x14ac:dyDescent="0.25">
      <c r="A425" s="12" t="s">
        <v>63</v>
      </c>
      <c r="B425" s="12" t="s">
        <v>40</v>
      </c>
      <c r="C425" s="12" t="s">
        <v>13</v>
      </c>
      <c r="D425" s="12">
        <v>3.5876164620550925</v>
      </c>
      <c r="E425" s="12">
        <v>3.8</v>
      </c>
      <c r="F425" s="12">
        <v>10</v>
      </c>
      <c r="G425" s="12">
        <v>3.8</v>
      </c>
      <c r="H425" s="12">
        <v>4.7022058823529402</v>
      </c>
      <c r="I425" s="12" t="s">
        <v>130</v>
      </c>
      <c r="J425">
        <v>1</v>
      </c>
      <c r="K425" s="12">
        <v>46246</v>
      </c>
      <c r="L425">
        <v>46246</v>
      </c>
    </row>
    <row r="426" spans="1:12" x14ac:dyDescent="0.25">
      <c r="A426" s="12" t="s">
        <v>63</v>
      </c>
      <c r="B426" s="12" t="s">
        <v>40</v>
      </c>
      <c r="C426" s="12" t="s">
        <v>15</v>
      </c>
      <c r="D426" s="12">
        <v>0</v>
      </c>
      <c r="E426" s="12">
        <v>0</v>
      </c>
      <c r="F426" s="12">
        <v>10</v>
      </c>
      <c r="G426" s="12">
        <v>0</v>
      </c>
      <c r="H426" s="12">
        <v>0</v>
      </c>
      <c r="I426" s="12" t="s">
        <v>131</v>
      </c>
      <c r="J426">
        <v>1</v>
      </c>
      <c r="K426" s="12">
        <v>46246</v>
      </c>
      <c r="L426">
        <v>46246</v>
      </c>
    </row>
    <row r="427" spans="1:12" x14ac:dyDescent="0.25">
      <c r="A427" s="12" t="s">
        <v>63</v>
      </c>
      <c r="B427" s="12" t="s">
        <v>40</v>
      </c>
      <c r="C427" s="12" t="s">
        <v>14</v>
      </c>
      <c r="D427" s="12">
        <v>3.1779578349000128</v>
      </c>
      <c r="E427" s="12">
        <v>2.8499999999999996</v>
      </c>
      <c r="F427" s="12">
        <v>10</v>
      </c>
      <c r="G427" s="12">
        <v>2.8499999999999996</v>
      </c>
      <c r="H427" s="12">
        <v>4.6332179930795849</v>
      </c>
      <c r="I427" s="12" t="s">
        <v>132</v>
      </c>
      <c r="J427">
        <v>1</v>
      </c>
      <c r="K427" s="12">
        <v>46246</v>
      </c>
      <c r="L427">
        <v>46246</v>
      </c>
    </row>
    <row r="428" spans="1:12" x14ac:dyDescent="0.25">
      <c r="A428" s="12" t="s">
        <v>59</v>
      </c>
      <c r="B428" s="12" t="s">
        <v>39</v>
      </c>
      <c r="C428" s="12" t="s">
        <v>13</v>
      </c>
      <c r="D428" s="12">
        <v>5.8323914011879037</v>
      </c>
      <c r="E428" s="12">
        <v>0</v>
      </c>
      <c r="F428" s="12">
        <v>10</v>
      </c>
      <c r="G428" s="12">
        <v>0</v>
      </c>
      <c r="H428" s="12">
        <v>4.2886029411764692</v>
      </c>
      <c r="I428" s="12" t="s">
        <v>130</v>
      </c>
      <c r="K428" s="12">
        <v>46246</v>
      </c>
      <c r="L428">
        <v>46246</v>
      </c>
    </row>
    <row r="429" spans="1:12" x14ac:dyDescent="0.25">
      <c r="A429" s="12" t="s">
        <v>59</v>
      </c>
      <c r="B429" s="12" t="s">
        <v>39</v>
      </c>
      <c r="C429" s="12" t="s">
        <v>15</v>
      </c>
      <c r="D429" s="12">
        <v>1.2742252699784016</v>
      </c>
      <c r="E429" s="12">
        <v>0</v>
      </c>
      <c r="F429" s="12">
        <v>10</v>
      </c>
      <c r="G429" s="12">
        <v>0</v>
      </c>
      <c r="H429" s="12">
        <v>0.94117647058823517</v>
      </c>
      <c r="I429" s="12" t="s">
        <v>131</v>
      </c>
      <c r="K429" s="12">
        <v>46246</v>
      </c>
      <c r="L429">
        <v>46246</v>
      </c>
    </row>
    <row r="430" spans="1:12" x14ac:dyDescent="0.25">
      <c r="A430" s="12" t="s">
        <v>59</v>
      </c>
      <c r="B430" s="12" t="s">
        <v>39</v>
      </c>
      <c r="C430" s="12" t="s">
        <v>14</v>
      </c>
      <c r="D430" s="12">
        <v>2.2486328293736499</v>
      </c>
      <c r="E430" s="12">
        <v>0</v>
      </c>
      <c r="F430" s="12">
        <v>10</v>
      </c>
      <c r="G430" s="12">
        <v>0</v>
      </c>
      <c r="H430" s="12">
        <v>2.5449826989619373</v>
      </c>
      <c r="I430" s="12" t="s">
        <v>132</v>
      </c>
      <c r="K430" s="12">
        <v>46246</v>
      </c>
      <c r="L430">
        <v>46246</v>
      </c>
    </row>
    <row r="431" spans="1:12" x14ac:dyDescent="0.25">
      <c r="A431" s="12" t="s">
        <v>63</v>
      </c>
      <c r="B431" s="12" t="s">
        <v>39</v>
      </c>
      <c r="C431" s="12" t="s">
        <v>13</v>
      </c>
      <c r="D431" s="12">
        <v>5.8323914011879037</v>
      </c>
      <c r="E431" s="12">
        <v>0</v>
      </c>
      <c r="F431" s="12">
        <v>10</v>
      </c>
      <c r="G431" s="12">
        <v>0</v>
      </c>
      <c r="H431" s="12">
        <v>4.2886029411764692</v>
      </c>
      <c r="I431" s="12" t="s">
        <v>130</v>
      </c>
      <c r="J431">
        <v>1</v>
      </c>
      <c r="K431" s="12">
        <v>46246</v>
      </c>
      <c r="L431">
        <v>46246</v>
      </c>
    </row>
    <row r="432" spans="1:12" x14ac:dyDescent="0.25">
      <c r="A432" s="12" t="s">
        <v>63</v>
      </c>
      <c r="B432" s="12" t="s">
        <v>39</v>
      </c>
      <c r="C432" s="12" t="s">
        <v>15</v>
      </c>
      <c r="D432" s="12">
        <v>1.2742252699784016</v>
      </c>
      <c r="E432" s="12">
        <v>0</v>
      </c>
      <c r="F432" s="12">
        <v>10</v>
      </c>
      <c r="G432" s="12">
        <v>0</v>
      </c>
      <c r="H432" s="12">
        <v>0.94117647058823517</v>
      </c>
      <c r="I432" s="12" t="s">
        <v>131</v>
      </c>
      <c r="J432">
        <v>1</v>
      </c>
      <c r="K432" s="12">
        <v>46246</v>
      </c>
      <c r="L432">
        <v>46246</v>
      </c>
    </row>
    <row r="433" spans="1:12" x14ac:dyDescent="0.25">
      <c r="A433" s="12" t="s">
        <v>63</v>
      </c>
      <c r="B433" s="12" t="s">
        <v>39</v>
      </c>
      <c r="C433" s="12" t="s">
        <v>14</v>
      </c>
      <c r="D433" s="12">
        <v>2.2486328293736499</v>
      </c>
      <c r="E433" s="12">
        <v>0</v>
      </c>
      <c r="F433" s="12">
        <v>10</v>
      </c>
      <c r="G433" s="12">
        <v>0</v>
      </c>
      <c r="H433" s="12">
        <v>2.5449826989619373</v>
      </c>
      <c r="I433" s="12" t="s">
        <v>132</v>
      </c>
      <c r="J433">
        <v>1</v>
      </c>
      <c r="K433" s="12">
        <v>46246</v>
      </c>
      <c r="L433">
        <v>46246</v>
      </c>
    </row>
    <row r="434" spans="1:12" x14ac:dyDescent="0.25">
      <c r="A434" s="12" t="s">
        <v>59</v>
      </c>
      <c r="B434" s="12" t="s">
        <v>38</v>
      </c>
      <c r="C434" s="12" t="s">
        <v>14</v>
      </c>
      <c r="D434" s="12">
        <v>10.973885648639106</v>
      </c>
      <c r="E434" s="12">
        <v>5.6999999999999993</v>
      </c>
      <c r="F434" s="12">
        <v>10</v>
      </c>
      <c r="G434" s="12">
        <v>5.6999999999999993</v>
      </c>
      <c r="H434" s="12">
        <v>11.25</v>
      </c>
      <c r="I434" s="12" t="s">
        <v>133</v>
      </c>
      <c r="K434" s="12">
        <v>46247</v>
      </c>
      <c r="L434">
        <v>46247</v>
      </c>
    </row>
    <row r="435" spans="1:12" x14ac:dyDescent="0.25">
      <c r="A435" s="12" t="s">
        <v>59</v>
      </c>
      <c r="B435" s="12" t="s">
        <v>38</v>
      </c>
      <c r="C435" s="12" t="s">
        <v>15</v>
      </c>
      <c r="D435" s="12">
        <v>4.2207252494765797</v>
      </c>
      <c r="E435" s="12">
        <v>0</v>
      </c>
      <c r="F435" s="12">
        <v>10</v>
      </c>
      <c r="G435" s="12">
        <v>0</v>
      </c>
      <c r="H435" s="12">
        <v>4.6875</v>
      </c>
      <c r="I435" s="12" t="s">
        <v>134</v>
      </c>
      <c r="K435" s="12">
        <v>46247</v>
      </c>
      <c r="L435">
        <v>46247</v>
      </c>
    </row>
    <row r="436" spans="1:12" x14ac:dyDescent="0.25">
      <c r="A436" s="12" t="s">
        <v>59</v>
      </c>
      <c r="B436" s="12" t="s">
        <v>38</v>
      </c>
      <c r="C436" s="12" t="s">
        <v>13</v>
      </c>
      <c r="D436" s="12">
        <v>10.89474705021142</v>
      </c>
      <c r="E436" s="12">
        <v>0</v>
      </c>
      <c r="F436" s="12">
        <v>10</v>
      </c>
      <c r="G436" s="12">
        <v>0</v>
      </c>
      <c r="H436" s="12">
        <v>11.15625</v>
      </c>
      <c r="I436" s="12" t="s">
        <v>135</v>
      </c>
      <c r="K436" s="12">
        <v>46247</v>
      </c>
      <c r="L436">
        <v>46247</v>
      </c>
    </row>
    <row r="437" spans="1:12" x14ac:dyDescent="0.25">
      <c r="A437" s="12" t="s">
        <v>63</v>
      </c>
      <c r="B437" s="12" t="s">
        <v>38</v>
      </c>
      <c r="C437" s="12" t="s">
        <v>14</v>
      </c>
      <c r="D437" s="12">
        <v>10.973885648639106</v>
      </c>
      <c r="E437" s="12">
        <v>5.6999999999999993</v>
      </c>
      <c r="F437" s="12">
        <v>10</v>
      </c>
      <c r="G437" s="12">
        <v>5.6999999999999993</v>
      </c>
      <c r="H437" s="12">
        <v>11.25</v>
      </c>
      <c r="I437" s="12" t="s">
        <v>133</v>
      </c>
      <c r="J437">
        <v>1</v>
      </c>
      <c r="K437" s="12">
        <v>46247</v>
      </c>
      <c r="L437">
        <v>46247</v>
      </c>
    </row>
    <row r="438" spans="1:12" x14ac:dyDescent="0.25">
      <c r="A438" s="12" t="s">
        <v>63</v>
      </c>
      <c r="B438" s="12" t="s">
        <v>38</v>
      </c>
      <c r="C438" s="12" t="s">
        <v>15</v>
      </c>
      <c r="D438" s="12">
        <v>4.2207252494765797</v>
      </c>
      <c r="E438" s="12">
        <v>0</v>
      </c>
      <c r="F438" s="12">
        <v>10</v>
      </c>
      <c r="G438" s="12">
        <v>0</v>
      </c>
      <c r="H438" s="12">
        <v>4.6875</v>
      </c>
      <c r="I438" s="12" t="s">
        <v>134</v>
      </c>
      <c r="J438">
        <v>1</v>
      </c>
      <c r="K438" s="12">
        <v>46247</v>
      </c>
      <c r="L438">
        <v>46247</v>
      </c>
    </row>
    <row r="439" spans="1:12" x14ac:dyDescent="0.25">
      <c r="A439" s="12" t="s">
        <v>63</v>
      </c>
      <c r="B439" s="12" t="s">
        <v>38</v>
      </c>
      <c r="C439" s="12" t="s">
        <v>13</v>
      </c>
      <c r="D439" s="12">
        <v>10.89474705021142</v>
      </c>
      <c r="E439" s="12">
        <v>0</v>
      </c>
      <c r="F439" s="12">
        <v>10</v>
      </c>
      <c r="G439" s="12">
        <v>0</v>
      </c>
      <c r="H439" s="12">
        <v>11.15625</v>
      </c>
      <c r="I439" s="12" t="s">
        <v>135</v>
      </c>
      <c r="J439">
        <v>1</v>
      </c>
      <c r="K439" s="12">
        <v>46247</v>
      </c>
      <c r="L439">
        <v>46247</v>
      </c>
    </row>
    <row r="440" spans="1:12" x14ac:dyDescent="0.25">
      <c r="A440" s="12" t="s">
        <v>59</v>
      </c>
      <c r="B440" s="12" t="s">
        <v>40</v>
      </c>
      <c r="C440" s="12" t="s">
        <v>14</v>
      </c>
      <c r="D440" s="12">
        <v>3.1779578349000128</v>
      </c>
      <c r="E440" s="12">
        <v>2.8499999999999996</v>
      </c>
      <c r="F440" s="12">
        <v>10</v>
      </c>
      <c r="G440" s="12">
        <v>2.8499999999999996</v>
      </c>
      <c r="H440" s="12">
        <v>4.6332179930795849</v>
      </c>
      <c r="I440" s="12" t="s">
        <v>133</v>
      </c>
      <c r="K440" s="12">
        <v>46247</v>
      </c>
      <c r="L440">
        <v>46247</v>
      </c>
    </row>
    <row r="441" spans="1:12" x14ac:dyDescent="0.25">
      <c r="A441" s="12" t="s">
        <v>59</v>
      </c>
      <c r="B441" s="12" t="s">
        <v>40</v>
      </c>
      <c r="C441" s="12" t="s">
        <v>15</v>
      </c>
      <c r="D441" s="12">
        <v>0</v>
      </c>
      <c r="E441" s="12">
        <v>0</v>
      </c>
      <c r="F441" s="12">
        <v>10</v>
      </c>
      <c r="G441" s="12">
        <v>0</v>
      </c>
      <c r="H441" s="12">
        <v>0</v>
      </c>
      <c r="I441" s="12" t="s">
        <v>134</v>
      </c>
      <c r="K441" s="12">
        <v>46247</v>
      </c>
      <c r="L441">
        <v>46247</v>
      </c>
    </row>
    <row r="442" spans="1:12" x14ac:dyDescent="0.25">
      <c r="A442" s="12" t="s">
        <v>59</v>
      </c>
      <c r="B442" s="12" t="s">
        <v>40</v>
      </c>
      <c r="C442" s="12" t="s">
        <v>13</v>
      </c>
      <c r="D442" s="12">
        <v>3.587616462055093</v>
      </c>
      <c r="E442" s="12">
        <v>3.8</v>
      </c>
      <c r="F442" s="12">
        <v>10</v>
      </c>
      <c r="G442" s="12">
        <v>3.8</v>
      </c>
      <c r="H442" s="12">
        <v>4.7022058823529411</v>
      </c>
      <c r="I442" s="12" t="s">
        <v>135</v>
      </c>
      <c r="K442" s="12">
        <v>46247</v>
      </c>
      <c r="L442">
        <v>46247</v>
      </c>
    </row>
    <row r="443" spans="1:12" x14ac:dyDescent="0.25">
      <c r="A443" s="12" t="s">
        <v>63</v>
      </c>
      <c r="B443" s="12" t="s">
        <v>40</v>
      </c>
      <c r="C443" s="12" t="s">
        <v>14</v>
      </c>
      <c r="D443" s="12">
        <v>3.1779578349000128</v>
      </c>
      <c r="E443" s="12">
        <v>2.8499999999999996</v>
      </c>
      <c r="F443" s="12">
        <v>10</v>
      </c>
      <c r="G443" s="12">
        <v>2.8499999999999996</v>
      </c>
      <c r="H443" s="12">
        <v>4.6332179930795849</v>
      </c>
      <c r="I443" s="12" t="s">
        <v>133</v>
      </c>
      <c r="J443">
        <v>1</v>
      </c>
      <c r="K443" s="12">
        <v>46247</v>
      </c>
      <c r="L443">
        <v>46247</v>
      </c>
    </row>
    <row r="444" spans="1:12" x14ac:dyDescent="0.25">
      <c r="A444" s="12" t="s">
        <v>63</v>
      </c>
      <c r="B444" s="12" t="s">
        <v>40</v>
      </c>
      <c r="C444" s="12" t="s">
        <v>15</v>
      </c>
      <c r="D444" s="12">
        <v>0</v>
      </c>
      <c r="E444" s="12">
        <v>0</v>
      </c>
      <c r="F444" s="12">
        <v>10</v>
      </c>
      <c r="G444" s="12">
        <v>0</v>
      </c>
      <c r="H444" s="12">
        <v>0</v>
      </c>
      <c r="I444" s="12" t="s">
        <v>134</v>
      </c>
      <c r="J444">
        <v>1</v>
      </c>
      <c r="K444" s="12">
        <v>46247</v>
      </c>
      <c r="L444">
        <v>46247</v>
      </c>
    </row>
    <row r="445" spans="1:12" x14ac:dyDescent="0.25">
      <c r="A445" s="12" t="s">
        <v>63</v>
      </c>
      <c r="B445" s="12" t="s">
        <v>40</v>
      </c>
      <c r="C445" s="12" t="s">
        <v>13</v>
      </c>
      <c r="D445" s="12">
        <v>3.587616462055093</v>
      </c>
      <c r="E445" s="12">
        <v>3.8</v>
      </c>
      <c r="F445" s="12">
        <v>10</v>
      </c>
      <c r="G445" s="12">
        <v>3.8</v>
      </c>
      <c r="H445" s="12">
        <v>4.7022058823529411</v>
      </c>
      <c r="I445" s="12" t="s">
        <v>135</v>
      </c>
      <c r="J445">
        <v>1</v>
      </c>
      <c r="K445" s="12">
        <v>46247</v>
      </c>
      <c r="L445">
        <v>46247</v>
      </c>
    </row>
    <row r="446" spans="1:12" x14ac:dyDescent="0.25">
      <c r="A446" s="12" t="s">
        <v>59</v>
      </c>
      <c r="B446" s="12" t="s">
        <v>39</v>
      </c>
      <c r="C446" s="12" t="s">
        <v>14</v>
      </c>
      <c r="D446" s="12">
        <v>3.3729492440604751</v>
      </c>
      <c r="E446" s="12">
        <v>0</v>
      </c>
      <c r="F446" s="12">
        <v>10</v>
      </c>
      <c r="G446" s="12">
        <v>0</v>
      </c>
      <c r="H446" s="12">
        <v>3.5949826989619371</v>
      </c>
      <c r="I446" s="12" t="s">
        <v>133</v>
      </c>
      <c r="K446" s="12">
        <v>46247</v>
      </c>
      <c r="L446">
        <v>46247</v>
      </c>
    </row>
    <row r="447" spans="1:12" x14ac:dyDescent="0.25">
      <c r="A447" s="12" t="s">
        <v>59</v>
      </c>
      <c r="B447" s="12" t="s">
        <v>39</v>
      </c>
      <c r="C447" s="12" t="s">
        <v>13</v>
      </c>
      <c r="D447" s="12">
        <v>5.7621216252699776</v>
      </c>
      <c r="E447" s="12">
        <v>0</v>
      </c>
      <c r="F447" s="12">
        <v>10</v>
      </c>
      <c r="G447" s="12">
        <v>0</v>
      </c>
      <c r="H447" s="12">
        <v>4.1104779411764714</v>
      </c>
      <c r="I447" s="12" t="s">
        <v>135</v>
      </c>
      <c r="K447" s="12">
        <v>46247</v>
      </c>
      <c r="L447">
        <v>46247</v>
      </c>
    </row>
    <row r="448" spans="1:12" x14ac:dyDescent="0.25">
      <c r="A448" s="12" t="s">
        <v>59</v>
      </c>
      <c r="B448" s="12" t="s">
        <v>39</v>
      </c>
      <c r="C448" s="12" t="s">
        <v>15</v>
      </c>
      <c r="D448" s="12">
        <v>1.2742252699784016</v>
      </c>
      <c r="E448" s="12">
        <v>0</v>
      </c>
      <c r="F448" s="12">
        <v>10</v>
      </c>
      <c r="G448" s="12">
        <v>0</v>
      </c>
      <c r="H448" s="12">
        <v>0.94117647058823517</v>
      </c>
      <c r="I448" s="12" t="s">
        <v>134</v>
      </c>
      <c r="K448" s="12">
        <v>46247</v>
      </c>
      <c r="L448">
        <v>46247</v>
      </c>
    </row>
    <row r="449" spans="1:12" x14ac:dyDescent="0.25">
      <c r="A449" s="12" t="s">
        <v>63</v>
      </c>
      <c r="B449" s="12" t="s">
        <v>39</v>
      </c>
      <c r="C449" s="12" t="s">
        <v>14</v>
      </c>
      <c r="D449" s="12">
        <v>3.3729492440604751</v>
      </c>
      <c r="E449" s="12">
        <v>0</v>
      </c>
      <c r="F449" s="12">
        <v>10</v>
      </c>
      <c r="G449" s="12">
        <v>0</v>
      </c>
      <c r="H449" s="12">
        <v>3.5949826989619371</v>
      </c>
      <c r="I449" s="12" t="s">
        <v>133</v>
      </c>
      <c r="J449">
        <v>1</v>
      </c>
      <c r="K449" s="12">
        <v>46247</v>
      </c>
      <c r="L449">
        <v>46247</v>
      </c>
    </row>
    <row r="450" spans="1:12" x14ac:dyDescent="0.25">
      <c r="A450" s="12" t="s">
        <v>63</v>
      </c>
      <c r="B450" s="12" t="s">
        <v>39</v>
      </c>
      <c r="C450" s="12" t="s">
        <v>13</v>
      </c>
      <c r="D450" s="12">
        <v>5.7621216252699776</v>
      </c>
      <c r="E450" s="12">
        <v>0</v>
      </c>
      <c r="F450" s="12">
        <v>10</v>
      </c>
      <c r="G450" s="12">
        <v>0</v>
      </c>
      <c r="H450" s="12">
        <v>4.1104779411764714</v>
      </c>
      <c r="I450" s="12" t="s">
        <v>135</v>
      </c>
      <c r="J450">
        <v>1</v>
      </c>
      <c r="K450" s="12">
        <v>46247</v>
      </c>
      <c r="L450">
        <v>46247</v>
      </c>
    </row>
    <row r="451" spans="1:12" x14ac:dyDescent="0.25">
      <c r="A451" s="12" t="s">
        <v>63</v>
      </c>
      <c r="B451" s="12" t="s">
        <v>39</v>
      </c>
      <c r="C451" s="12" t="s">
        <v>15</v>
      </c>
      <c r="D451" s="12">
        <v>1.2742252699784016</v>
      </c>
      <c r="E451" s="12">
        <v>0</v>
      </c>
      <c r="F451" s="12">
        <v>10</v>
      </c>
      <c r="G451" s="12">
        <v>0</v>
      </c>
      <c r="H451" s="12">
        <v>0.94117647058823517</v>
      </c>
      <c r="I451" s="12" t="s">
        <v>134</v>
      </c>
      <c r="J451">
        <v>1</v>
      </c>
      <c r="K451" s="12">
        <v>46247</v>
      </c>
      <c r="L451">
        <v>46247</v>
      </c>
    </row>
    <row r="452" spans="1:12" x14ac:dyDescent="0.25">
      <c r="A452" s="12" t="s">
        <v>59</v>
      </c>
      <c r="B452" s="12" t="s">
        <v>38</v>
      </c>
      <c r="C452" s="12" t="s">
        <v>14</v>
      </c>
      <c r="D452" s="12">
        <v>11.026644714257564</v>
      </c>
      <c r="E452" s="12">
        <v>4.75</v>
      </c>
      <c r="F452" s="12">
        <v>10</v>
      </c>
      <c r="G452" s="12">
        <v>4.75</v>
      </c>
      <c r="H452" s="12">
        <v>11.253676470588236</v>
      </c>
      <c r="I452" s="12" t="s">
        <v>136</v>
      </c>
      <c r="K452" s="12">
        <v>46248</v>
      </c>
      <c r="L452">
        <v>46248</v>
      </c>
    </row>
    <row r="453" spans="1:12" x14ac:dyDescent="0.25">
      <c r="A453" s="12" t="s">
        <v>59</v>
      </c>
      <c r="B453" s="12" t="s">
        <v>38</v>
      </c>
      <c r="C453" s="12" t="s">
        <v>15</v>
      </c>
      <c r="D453" s="12">
        <v>4.2207252494765797</v>
      </c>
      <c r="E453" s="12">
        <v>0.95</v>
      </c>
      <c r="F453" s="12">
        <v>10</v>
      </c>
      <c r="G453" s="12">
        <v>0.95</v>
      </c>
      <c r="H453" s="12">
        <v>3.75</v>
      </c>
      <c r="I453" s="12" t="s">
        <v>137</v>
      </c>
      <c r="K453" s="12">
        <v>46248</v>
      </c>
      <c r="L453">
        <v>46248</v>
      </c>
    </row>
    <row r="454" spans="1:12" x14ac:dyDescent="0.25">
      <c r="A454" s="12" t="s">
        <v>59</v>
      </c>
      <c r="B454" s="12" t="s">
        <v>38</v>
      </c>
      <c r="C454" s="12" t="s">
        <v>13</v>
      </c>
      <c r="D454" s="12">
        <v>10.973885648639106</v>
      </c>
      <c r="E454" s="12">
        <v>0</v>
      </c>
      <c r="F454" s="12">
        <v>10</v>
      </c>
      <c r="G454" s="12">
        <v>0</v>
      </c>
      <c r="H454" s="12">
        <v>9.4338235294117645</v>
      </c>
      <c r="I454" s="12" t="s">
        <v>138</v>
      </c>
      <c r="K454" s="12">
        <v>46248</v>
      </c>
      <c r="L454">
        <v>46248</v>
      </c>
    </row>
    <row r="455" spans="1:12" x14ac:dyDescent="0.25">
      <c r="A455" s="12" t="s">
        <v>63</v>
      </c>
      <c r="B455" s="12" t="s">
        <v>38</v>
      </c>
      <c r="C455" s="12" t="s">
        <v>14</v>
      </c>
      <c r="D455" s="12">
        <v>11.026644714257564</v>
      </c>
      <c r="E455" s="12">
        <v>4.75</v>
      </c>
      <c r="F455" s="12">
        <v>10</v>
      </c>
      <c r="G455" s="12">
        <v>4.75</v>
      </c>
      <c r="H455" s="12">
        <v>11.253676470588236</v>
      </c>
      <c r="I455" s="12" t="s">
        <v>136</v>
      </c>
      <c r="J455">
        <v>1</v>
      </c>
      <c r="K455" s="12">
        <v>46248</v>
      </c>
      <c r="L455">
        <v>46248</v>
      </c>
    </row>
    <row r="456" spans="1:12" x14ac:dyDescent="0.25">
      <c r="A456" s="12" t="s">
        <v>63</v>
      </c>
      <c r="B456" s="12" t="s">
        <v>38</v>
      </c>
      <c r="C456" s="12" t="s">
        <v>15</v>
      </c>
      <c r="D456" s="12">
        <v>4.2207252494765797</v>
      </c>
      <c r="E456" s="12">
        <v>0.95</v>
      </c>
      <c r="F456" s="12">
        <v>10</v>
      </c>
      <c r="G456" s="12">
        <v>0.95</v>
      </c>
      <c r="H456" s="12">
        <v>3.75</v>
      </c>
      <c r="I456" s="12" t="s">
        <v>137</v>
      </c>
      <c r="J456">
        <v>1</v>
      </c>
      <c r="K456" s="12">
        <v>46248</v>
      </c>
      <c r="L456">
        <v>46248</v>
      </c>
    </row>
    <row r="457" spans="1:12" x14ac:dyDescent="0.25">
      <c r="A457" s="12" t="s">
        <v>63</v>
      </c>
      <c r="B457" s="12" t="s">
        <v>38</v>
      </c>
      <c r="C457" s="12" t="s">
        <v>13</v>
      </c>
      <c r="D457" s="12">
        <v>10.973885648639106</v>
      </c>
      <c r="E457" s="12">
        <v>0</v>
      </c>
      <c r="F457" s="12">
        <v>10</v>
      </c>
      <c r="G457" s="12">
        <v>0</v>
      </c>
      <c r="H457" s="12">
        <v>9.4338235294117645</v>
      </c>
      <c r="I457" s="12" t="s">
        <v>138</v>
      </c>
      <c r="J457">
        <v>1</v>
      </c>
      <c r="K457" s="12">
        <v>46248</v>
      </c>
      <c r="L457">
        <v>46248</v>
      </c>
    </row>
    <row r="458" spans="1:12" x14ac:dyDescent="0.25">
      <c r="A458" s="12" t="s">
        <v>59</v>
      </c>
      <c r="B458" s="12" t="s">
        <v>40</v>
      </c>
      <c r="C458" s="12" t="s">
        <v>14</v>
      </c>
      <c r="D458" s="12">
        <v>3.1779578349000128</v>
      </c>
      <c r="E458" s="12">
        <v>3.8</v>
      </c>
      <c r="F458" s="12">
        <v>10</v>
      </c>
      <c r="G458" s="12">
        <v>3.8</v>
      </c>
      <c r="H458" s="12">
        <v>4.6332179930795849</v>
      </c>
      <c r="I458" s="12" t="s">
        <v>136</v>
      </c>
      <c r="K458" s="12">
        <v>46248</v>
      </c>
      <c r="L458">
        <v>46248</v>
      </c>
    </row>
    <row r="459" spans="1:12" x14ac:dyDescent="0.25">
      <c r="A459" s="12" t="s">
        <v>59</v>
      </c>
      <c r="B459" s="12" t="s">
        <v>40</v>
      </c>
      <c r="C459" s="12" t="s">
        <v>15</v>
      </c>
      <c r="D459" s="12">
        <v>0</v>
      </c>
      <c r="E459" s="12">
        <v>0</v>
      </c>
      <c r="F459" s="12">
        <v>10</v>
      </c>
      <c r="G459" s="12">
        <v>0</v>
      </c>
      <c r="H459" s="12">
        <v>0</v>
      </c>
      <c r="I459" s="12" t="s">
        <v>137</v>
      </c>
      <c r="K459" s="12">
        <v>46248</v>
      </c>
      <c r="L459">
        <v>46248</v>
      </c>
    </row>
    <row r="460" spans="1:12" x14ac:dyDescent="0.25">
      <c r="A460" s="12" t="s">
        <v>59</v>
      </c>
      <c r="B460" s="12" t="s">
        <v>40</v>
      </c>
      <c r="C460" s="12" t="s">
        <v>13</v>
      </c>
      <c r="D460" s="12">
        <v>3.5876164620550925</v>
      </c>
      <c r="E460" s="12">
        <v>3.8</v>
      </c>
      <c r="F460" s="12">
        <v>10</v>
      </c>
      <c r="G460" s="12">
        <v>3.8</v>
      </c>
      <c r="H460" s="12">
        <v>4.7022058823529402</v>
      </c>
      <c r="I460" s="12" t="s">
        <v>138</v>
      </c>
      <c r="K460" s="12">
        <v>46248</v>
      </c>
      <c r="L460">
        <v>46248</v>
      </c>
    </row>
    <row r="461" spans="1:12" x14ac:dyDescent="0.25">
      <c r="A461" s="12" t="s">
        <v>63</v>
      </c>
      <c r="B461" s="12" t="s">
        <v>40</v>
      </c>
      <c r="C461" s="12" t="s">
        <v>14</v>
      </c>
      <c r="D461" s="12">
        <v>3.1779578349000128</v>
      </c>
      <c r="E461" s="12">
        <v>3.8</v>
      </c>
      <c r="F461" s="12">
        <v>10</v>
      </c>
      <c r="G461" s="12">
        <v>3.8</v>
      </c>
      <c r="H461" s="12">
        <v>4.6332179930795849</v>
      </c>
      <c r="I461" s="12" t="s">
        <v>136</v>
      </c>
      <c r="J461">
        <v>1</v>
      </c>
      <c r="K461" s="12">
        <v>46248</v>
      </c>
      <c r="L461">
        <v>46248</v>
      </c>
    </row>
    <row r="462" spans="1:12" x14ac:dyDescent="0.25">
      <c r="A462" s="12" t="s">
        <v>63</v>
      </c>
      <c r="B462" s="12" t="s">
        <v>40</v>
      </c>
      <c r="C462" s="12" t="s">
        <v>15</v>
      </c>
      <c r="D462" s="12">
        <v>0</v>
      </c>
      <c r="E462" s="12">
        <v>0</v>
      </c>
      <c r="F462" s="12">
        <v>10</v>
      </c>
      <c r="G462" s="12">
        <v>0</v>
      </c>
      <c r="H462" s="12">
        <v>0</v>
      </c>
      <c r="I462" s="12" t="s">
        <v>137</v>
      </c>
      <c r="J462">
        <v>1</v>
      </c>
      <c r="K462" s="12">
        <v>46248</v>
      </c>
      <c r="L462">
        <v>46248</v>
      </c>
    </row>
    <row r="463" spans="1:12" x14ac:dyDescent="0.25">
      <c r="A463" s="12" t="s">
        <v>63</v>
      </c>
      <c r="B463" s="12" t="s">
        <v>40</v>
      </c>
      <c r="C463" s="12" t="s">
        <v>13</v>
      </c>
      <c r="D463" s="12">
        <v>3.5876164620550925</v>
      </c>
      <c r="E463" s="12">
        <v>3.8</v>
      </c>
      <c r="F463" s="12">
        <v>10</v>
      </c>
      <c r="G463" s="12">
        <v>3.8</v>
      </c>
      <c r="H463" s="12">
        <v>4.7022058823529402</v>
      </c>
      <c r="I463" s="12" t="s">
        <v>138</v>
      </c>
      <c r="J463">
        <v>1</v>
      </c>
      <c r="K463" s="12">
        <v>46248</v>
      </c>
      <c r="L463">
        <v>46248</v>
      </c>
    </row>
    <row r="464" spans="1:12" x14ac:dyDescent="0.25">
      <c r="A464" s="12" t="s">
        <v>59</v>
      </c>
      <c r="B464" s="12" t="s">
        <v>39</v>
      </c>
      <c r="C464" s="12" t="s">
        <v>14</v>
      </c>
      <c r="D464" s="12">
        <v>2.2486328293736499</v>
      </c>
      <c r="E464" s="12">
        <v>0</v>
      </c>
      <c r="F464" s="12">
        <v>10</v>
      </c>
      <c r="G464" s="12">
        <v>0</v>
      </c>
      <c r="H464" s="12">
        <v>2.6538062283737021</v>
      </c>
      <c r="I464" s="12" t="s">
        <v>136</v>
      </c>
      <c r="K464" s="12">
        <v>46248</v>
      </c>
      <c r="L464">
        <v>46248</v>
      </c>
    </row>
    <row r="465" spans="1:12" x14ac:dyDescent="0.25">
      <c r="A465" s="12" t="s">
        <v>59</v>
      </c>
      <c r="B465" s="12" t="s">
        <v>39</v>
      </c>
      <c r="C465" s="12" t="s">
        <v>13</v>
      </c>
      <c r="D465" s="12">
        <v>4.5675354346652259</v>
      </c>
      <c r="E465" s="12">
        <v>0</v>
      </c>
      <c r="F465" s="12">
        <v>10</v>
      </c>
      <c r="G465" s="12">
        <v>0</v>
      </c>
      <c r="H465" s="12">
        <v>3.1104779411764705</v>
      </c>
      <c r="I465" s="12" t="s">
        <v>138</v>
      </c>
      <c r="K465" s="12">
        <v>46248</v>
      </c>
      <c r="L465">
        <v>46248</v>
      </c>
    </row>
    <row r="466" spans="1:12" x14ac:dyDescent="0.25">
      <c r="A466" s="12" t="s">
        <v>59</v>
      </c>
      <c r="B466" s="12" t="s">
        <v>39</v>
      </c>
      <c r="C466" s="12" t="s">
        <v>15</v>
      </c>
      <c r="D466" s="12">
        <v>1.2742252699784016</v>
      </c>
      <c r="E466" s="12">
        <v>0</v>
      </c>
      <c r="F466" s="12">
        <v>10</v>
      </c>
      <c r="G466" s="12">
        <v>0</v>
      </c>
      <c r="H466" s="12">
        <v>0.94117647058823517</v>
      </c>
      <c r="I466" s="12" t="s">
        <v>137</v>
      </c>
      <c r="K466" s="12">
        <v>46248</v>
      </c>
      <c r="L466">
        <v>46248</v>
      </c>
    </row>
    <row r="467" spans="1:12" x14ac:dyDescent="0.25">
      <c r="A467" s="12" t="s">
        <v>63</v>
      </c>
      <c r="B467" s="12" t="s">
        <v>39</v>
      </c>
      <c r="C467" s="12" t="s">
        <v>14</v>
      </c>
      <c r="D467" s="12">
        <v>2.2486328293736499</v>
      </c>
      <c r="E467" s="12">
        <v>0</v>
      </c>
      <c r="F467" s="12">
        <v>10</v>
      </c>
      <c r="G467" s="12">
        <v>0</v>
      </c>
      <c r="H467" s="12">
        <v>2.6538062283737021</v>
      </c>
      <c r="I467" s="12" t="s">
        <v>136</v>
      </c>
      <c r="J467">
        <v>1</v>
      </c>
      <c r="K467" s="12">
        <v>46248</v>
      </c>
      <c r="L467">
        <v>46248</v>
      </c>
    </row>
    <row r="468" spans="1:12" x14ac:dyDescent="0.25">
      <c r="A468" s="12" t="s">
        <v>63</v>
      </c>
      <c r="B468" s="12" t="s">
        <v>39</v>
      </c>
      <c r="C468" s="12" t="s">
        <v>13</v>
      </c>
      <c r="D468" s="12">
        <v>4.5675354346652259</v>
      </c>
      <c r="E468" s="12">
        <v>0</v>
      </c>
      <c r="F468" s="12">
        <v>10</v>
      </c>
      <c r="G468" s="12">
        <v>0</v>
      </c>
      <c r="H468" s="12">
        <v>3.1104779411764705</v>
      </c>
      <c r="I468" s="12" t="s">
        <v>138</v>
      </c>
      <c r="J468">
        <v>1</v>
      </c>
      <c r="K468" s="12">
        <v>46248</v>
      </c>
      <c r="L468">
        <v>46248</v>
      </c>
    </row>
    <row r="469" spans="1:12" x14ac:dyDescent="0.25">
      <c r="A469" s="12" t="s">
        <v>63</v>
      </c>
      <c r="B469" s="12" t="s">
        <v>39</v>
      </c>
      <c r="C469" s="12" t="s">
        <v>15</v>
      </c>
      <c r="D469" s="12">
        <v>1.2742252699784016</v>
      </c>
      <c r="E469" s="12">
        <v>0</v>
      </c>
      <c r="F469" s="12">
        <v>10</v>
      </c>
      <c r="G469" s="12">
        <v>0</v>
      </c>
      <c r="H469" s="12">
        <v>0.94117647058823517</v>
      </c>
      <c r="I469" s="12" t="s">
        <v>137</v>
      </c>
      <c r="J469">
        <v>1</v>
      </c>
      <c r="K469" s="12">
        <v>46248</v>
      </c>
      <c r="L469">
        <v>46248</v>
      </c>
    </row>
    <row r="470" spans="1:12" x14ac:dyDescent="0.25">
      <c r="A470" s="12" t="s">
        <v>59</v>
      </c>
      <c r="B470" s="12" t="s">
        <v>38</v>
      </c>
      <c r="C470" s="12" t="s">
        <v>14</v>
      </c>
      <c r="D470" s="12">
        <v>10.973885648639106</v>
      </c>
      <c r="E470" s="12">
        <v>1.9</v>
      </c>
      <c r="F470" s="12">
        <v>10</v>
      </c>
      <c r="G470" s="12">
        <v>1.9</v>
      </c>
      <c r="H470" s="12">
        <v>11.25</v>
      </c>
      <c r="I470" s="12" t="s">
        <v>139</v>
      </c>
      <c r="K470" s="12">
        <v>46249</v>
      </c>
      <c r="L470">
        <v>46249</v>
      </c>
    </row>
    <row r="471" spans="1:12" x14ac:dyDescent="0.25">
      <c r="A471" s="12" t="s">
        <v>59</v>
      </c>
      <c r="B471" s="12" t="s">
        <v>38</v>
      </c>
      <c r="C471" s="12" t="s">
        <v>15</v>
      </c>
      <c r="D471" s="12">
        <v>4.2207252494765797</v>
      </c>
      <c r="E471" s="12">
        <v>0.95</v>
      </c>
      <c r="F471" s="12">
        <v>10</v>
      </c>
      <c r="G471" s="12">
        <v>0.95</v>
      </c>
      <c r="H471" s="12">
        <v>4.6875</v>
      </c>
      <c r="I471" s="12" t="s">
        <v>140</v>
      </c>
      <c r="K471" s="12">
        <v>46249</v>
      </c>
      <c r="L471">
        <v>46249</v>
      </c>
    </row>
    <row r="472" spans="1:12" x14ac:dyDescent="0.25">
      <c r="A472" s="12" t="s">
        <v>59</v>
      </c>
      <c r="B472" s="12" t="s">
        <v>38</v>
      </c>
      <c r="C472" s="12" t="s">
        <v>13</v>
      </c>
      <c r="D472" s="12">
        <v>11.026644714257564</v>
      </c>
      <c r="E472" s="12">
        <v>3.8</v>
      </c>
      <c r="F472" s="12">
        <v>10</v>
      </c>
      <c r="G472" s="12">
        <v>3.8</v>
      </c>
      <c r="H472" s="12">
        <v>11.25</v>
      </c>
      <c r="I472" s="12" t="s">
        <v>141</v>
      </c>
      <c r="K472" s="12">
        <v>46249</v>
      </c>
      <c r="L472">
        <v>46249</v>
      </c>
    </row>
    <row r="473" spans="1:12" x14ac:dyDescent="0.25">
      <c r="A473" s="12" t="s">
        <v>63</v>
      </c>
      <c r="B473" s="12" t="s">
        <v>38</v>
      </c>
      <c r="C473" s="12" t="s">
        <v>14</v>
      </c>
      <c r="D473" s="12">
        <v>10.973885648639106</v>
      </c>
      <c r="E473" s="12">
        <v>1.9</v>
      </c>
      <c r="F473" s="12">
        <v>10</v>
      </c>
      <c r="G473" s="12">
        <v>1.9</v>
      </c>
      <c r="H473" s="12">
        <v>11.25</v>
      </c>
      <c r="I473" s="12" t="s">
        <v>139</v>
      </c>
      <c r="J473">
        <v>1</v>
      </c>
      <c r="K473" s="12">
        <v>46249</v>
      </c>
      <c r="L473">
        <v>46249</v>
      </c>
    </row>
    <row r="474" spans="1:12" x14ac:dyDescent="0.25">
      <c r="A474" s="12" t="s">
        <v>63</v>
      </c>
      <c r="B474" s="12" t="s">
        <v>38</v>
      </c>
      <c r="C474" s="12" t="s">
        <v>15</v>
      </c>
      <c r="D474" s="12">
        <v>4.2207252494765797</v>
      </c>
      <c r="E474" s="12">
        <v>0.95</v>
      </c>
      <c r="F474" s="12">
        <v>10</v>
      </c>
      <c r="G474" s="12">
        <v>0.95</v>
      </c>
      <c r="H474" s="12">
        <v>4.6875</v>
      </c>
      <c r="I474" s="12" t="s">
        <v>140</v>
      </c>
      <c r="J474">
        <v>1</v>
      </c>
      <c r="K474" s="12">
        <v>46249</v>
      </c>
      <c r="L474">
        <v>46249</v>
      </c>
    </row>
    <row r="475" spans="1:12" x14ac:dyDescent="0.25">
      <c r="A475" s="12" t="s">
        <v>63</v>
      </c>
      <c r="B475" s="12" t="s">
        <v>38</v>
      </c>
      <c r="C475" s="12" t="s">
        <v>13</v>
      </c>
      <c r="D475" s="12">
        <v>11.026644714257564</v>
      </c>
      <c r="E475" s="12">
        <v>3.8</v>
      </c>
      <c r="F475" s="12">
        <v>10</v>
      </c>
      <c r="G475" s="12">
        <v>3.8</v>
      </c>
      <c r="H475" s="12">
        <v>11.25</v>
      </c>
      <c r="I475" s="12" t="s">
        <v>141</v>
      </c>
      <c r="J475">
        <v>1</v>
      </c>
      <c r="K475" s="12">
        <v>46249</v>
      </c>
      <c r="L475">
        <v>46249</v>
      </c>
    </row>
    <row r="476" spans="1:12" x14ac:dyDescent="0.25">
      <c r="A476" s="12" t="s">
        <v>59</v>
      </c>
      <c r="B476" s="12" t="s">
        <v>40</v>
      </c>
      <c r="C476" s="12" t="s">
        <v>14</v>
      </c>
      <c r="D476" s="12">
        <v>3.2276134260703255</v>
      </c>
      <c r="E476" s="12">
        <v>2.8499999999999996</v>
      </c>
      <c r="F476" s="12">
        <v>10</v>
      </c>
      <c r="G476" s="12">
        <v>2.8499999999999996</v>
      </c>
      <c r="H476" s="12">
        <v>4.6920415224913494</v>
      </c>
      <c r="I476" s="12" t="s">
        <v>139</v>
      </c>
      <c r="K476" s="12">
        <v>46249</v>
      </c>
      <c r="L476">
        <v>46249</v>
      </c>
    </row>
    <row r="477" spans="1:12" x14ac:dyDescent="0.25">
      <c r="A477" s="12" t="s">
        <v>59</v>
      </c>
      <c r="B477" s="12" t="s">
        <v>40</v>
      </c>
      <c r="C477" s="12" t="s">
        <v>13</v>
      </c>
      <c r="D477" s="12">
        <v>3.5876164620550925</v>
      </c>
      <c r="E477" s="12">
        <v>3.8</v>
      </c>
      <c r="F477" s="12">
        <v>10</v>
      </c>
      <c r="G477" s="12">
        <v>3.8</v>
      </c>
      <c r="H477" s="12">
        <v>4.7647058823529385</v>
      </c>
      <c r="I477" s="12" t="s">
        <v>141</v>
      </c>
      <c r="K477" s="12">
        <v>46249</v>
      </c>
      <c r="L477">
        <v>46249</v>
      </c>
    </row>
    <row r="478" spans="1:12" x14ac:dyDescent="0.25">
      <c r="A478" s="12" t="s">
        <v>59</v>
      </c>
      <c r="B478" s="12" t="s">
        <v>40</v>
      </c>
      <c r="C478" s="12" t="s">
        <v>15</v>
      </c>
      <c r="D478" s="12">
        <v>0</v>
      </c>
      <c r="E478" s="12">
        <v>0.95</v>
      </c>
      <c r="F478" s="12">
        <v>10</v>
      </c>
      <c r="G478" s="12">
        <v>0.95</v>
      </c>
      <c r="H478" s="12">
        <v>0</v>
      </c>
      <c r="I478" s="12" t="s">
        <v>140</v>
      </c>
      <c r="K478" s="12">
        <v>46249</v>
      </c>
      <c r="L478">
        <v>46249</v>
      </c>
    </row>
    <row r="479" spans="1:12" x14ac:dyDescent="0.25">
      <c r="A479" s="12" t="s">
        <v>63</v>
      </c>
      <c r="B479" s="12" t="s">
        <v>40</v>
      </c>
      <c r="C479" s="12" t="s">
        <v>14</v>
      </c>
      <c r="D479" s="12">
        <v>3.2276134260703255</v>
      </c>
      <c r="E479" s="12">
        <v>2.8499999999999996</v>
      </c>
      <c r="F479" s="12">
        <v>10</v>
      </c>
      <c r="G479" s="12">
        <v>2.8499999999999996</v>
      </c>
      <c r="H479" s="12">
        <v>4.6920415224913494</v>
      </c>
      <c r="I479" s="12" t="s">
        <v>139</v>
      </c>
      <c r="J479">
        <v>1</v>
      </c>
      <c r="K479" s="12">
        <v>46249</v>
      </c>
      <c r="L479">
        <v>46249</v>
      </c>
    </row>
    <row r="480" spans="1:12" x14ac:dyDescent="0.25">
      <c r="A480" s="12" t="s">
        <v>63</v>
      </c>
      <c r="B480" s="12" t="s">
        <v>40</v>
      </c>
      <c r="C480" s="12" t="s">
        <v>13</v>
      </c>
      <c r="D480" s="12">
        <v>3.5876164620550925</v>
      </c>
      <c r="E480" s="12">
        <v>3.8</v>
      </c>
      <c r="F480" s="12">
        <v>10</v>
      </c>
      <c r="G480" s="12">
        <v>3.8</v>
      </c>
      <c r="H480" s="12">
        <v>4.7647058823529385</v>
      </c>
      <c r="I480" s="12" t="s">
        <v>141</v>
      </c>
      <c r="J480">
        <v>1</v>
      </c>
      <c r="K480" s="12">
        <v>46249</v>
      </c>
      <c r="L480">
        <v>46249</v>
      </c>
    </row>
    <row r="481" spans="1:12" x14ac:dyDescent="0.25">
      <c r="A481" s="12" t="s">
        <v>63</v>
      </c>
      <c r="B481" s="12" t="s">
        <v>40</v>
      </c>
      <c r="C481" s="12" t="s">
        <v>15</v>
      </c>
      <c r="D481" s="12">
        <v>0</v>
      </c>
      <c r="E481" s="12">
        <v>0.95</v>
      </c>
      <c r="F481" s="12">
        <v>10</v>
      </c>
      <c r="G481" s="12">
        <v>0.95</v>
      </c>
      <c r="H481" s="12">
        <v>0</v>
      </c>
      <c r="I481" s="12" t="s">
        <v>140</v>
      </c>
      <c r="J481">
        <v>1</v>
      </c>
      <c r="K481" s="12">
        <v>46249</v>
      </c>
      <c r="L481">
        <v>46249</v>
      </c>
    </row>
    <row r="482" spans="1:12" x14ac:dyDescent="0.25">
      <c r="A482" s="12" t="s">
        <v>59</v>
      </c>
      <c r="B482" s="12" t="s">
        <v>39</v>
      </c>
      <c r="C482" s="12" t="s">
        <v>14</v>
      </c>
      <c r="D482" s="12">
        <v>2.2486328293736499</v>
      </c>
      <c r="E482" s="12">
        <v>0</v>
      </c>
      <c r="F482" s="12">
        <v>10</v>
      </c>
      <c r="G482" s="12">
        <v>0</v>
      </c>
      <c r="H482" s="12">
        <v>2.1591695501730106</v>
      </c>
      <c r="I482" s="12" t="s">
        <v>139</v>
      </c>
      <c r="K482" s="12">
        <v>46249</v>
      </c>
      <c r="L482">
        <v>46249</v>
      </c>
    </row>
    <row r="483" spans="1:12" x14ac:dyDescent="0.25">
      <c r="A483" s="12" t="s">
        <v>59</v>
      </c>
      <c r="B483" s="12" t="s">
        <v>39</v>
      </c>
      <c r="C483" s="12" t="s">
        <v>15</v>
      </c>
      <c r="D483" s="12">
        <v>1.2742252699784016</v>
      </c>
      <c r="E483" s="12">
        <v>0</v>
      </c>
      <c r="F483" s="12">
        <v>10</v>
      </c>
      <c r="G483" s="12">
        <v>0</v>
      </c>
      <c r="H483" s="12">
        <v>0.94117647058823517</v>
      </c>
      <c r="I483" s="12" t="s">
        <v>140</v>
      </c>
      <c r="K483" s="12">
        <v>46249</v>
      </c>
      <c r="L483">
        <v>46249</v>
      </c>
    </row>
    <row r="484" spans="1:12" x14ac:dyDescent="0.25">
      <c r="A484" s="12" t="s">
        <v>59</v>
      </c>
      <c r="B484" s="12" t="s">
        <v>39</v>
      </c>
      <c r="C484" s="12" t="s">
        <v>13</v>
      </c>
      <c r="D484" s="12">
        <v>5.3405029697624178</v>
      </c>
      <c r="E484" s="12">
        <v>0</v>
      </c>
      <c r="F484" s="12">
        <v>10</v>
      </c>
      <c r="G484" s="12">
        <v>0</v>
      </c>
      <c r="H484" s="12">
        <v>4.3235294117647038</v>
      </c>
      <c r="I484" s="12" t="s">
        <v>141</v>
      </c>
      <c r="K484" s="12">
        <v>46249</v>
      </c>
      <c r="L484">
        <v>46249</v>
      </c>
    </row>
    <row r="485" spans="1:12" x14ac:dyDescent="0.25">
      <c r="A485" s="12" t="s">
        <v>63</v>
      </c>
      <c r="B485" s="12" t="s">
        <v>39</v>
      </c>
      <c r="C485" s="12" t="s">
        <v>14</v>
      </c>
      <c r="D485" s="12">
        <v>2.2486328293736499</v>
      </c>
      <c r="E485" s="12">
        <v>0</v>
      </c>
      <c r="F485" s="12">
        <v>10</v>
      </c>
      <c r="G485" s="12">
        <v>0</v>
      </c>
      <c r="H485" s="12">
        <v>2.1591695501730106</v>
      </c>
      <c r="I485" s="12" t="s">
        <v>139</v>
      </c>
      <c r="J485">
        <v>1</v>
      </c>
      <c r="K485" s="12">
        <v>46249</v>
      </c>
      <c r="L485">
        <v>46249</v>
      </c>
    </row>
    <row r="486" spans="1:12" x14ac:dyDescent="0.25">
      <c r="A486" s="12" t="s">
        <v>63</v>
      </c>
      <c r="B486" s="12" t="s">
        <v>39</v>
      </c>
      <c r="C486" s="12" t="s">
        <v>15</v>
      </c>
      <c r="D486" s="12">
        <v>1.2742252699784016</v>
      </c>
      <c r="E486" s="12">
        <v>0</v>
      </c>
      <c r="F486" s="12">
        <v>10</v>
      </c>
      <c r="G486" s="12">
        <v>0</v>
      </c>
      <c r="H486" s="12">
        <v>0.94117647058823517</v>
      </c>
      <c r="I486" s="12" t="s">
        <v>140</v>
      </c>
      <c r="J486">
        <v>1</v>
      </c>
      <c r="K486" s="12">
        <v>46249</v>
      </c>
      <c r="L486">
        <v>46249</v>
      </c>
    </row>
    <row r="487" spans="1:12" x14ac:dyDescent="0.25">
      <c r="A487" s="12" t="s">
        <v>63</v>
      </c>
      <c r="B487" s="12" t="s">
        <v>39</v>
      </c>
      <c r="C487" s="12" t="s">
        <v>13</v>
      </c>
      <c r="D487" s="12">
        <v>5.3405029697624178</v>
      </c>
      <c r="E487" s="12">
        <v>0</v>
      </c>
      <c r="F487" s="12">
        <v>10</v>
      </c>
      <c r="G487" s="12">
        <v>0</v>
      </c>
      <c r="H487" s="12">
        <v>4.3235294117647038</v>
      </c>
      <c r="I487" s="12" t="s">
        <v>141</v>
      </c>
      <c r="J487">
        <v>1</v>
      </c>
      <c r="K487" s="12">
        <v>46249</v>
      </c>
      <c r="L487">
        <v>46249</v>
      </c>
    </row>
    <row r="488" spans="1:12" x14ac:dyDescent="0.25">
      <c r="A488" s="12" t="s">
        <v>59</v>
      </c>
      <c r="B488" s="12" t="s">
        <v>38</v>
      </c>
      <c r="C488" s="12" t="s">
        <v>13</v>
      </c>
      <c r="D488" s="12">
        <v>10.973885648639106</v>
      </c>
      <c r="E488" s="12">
        <v>3.8</v>
      </c>
      <c r="F488" s="12">
        <v>10</v>
      </c>
      <c r="G488" s="12">
        <v>3.8</v>
      </c>
      <c r="H488" s="12">
        <v>11.25</v>
      </c>
      <c r="I488" s="12" t="s">
        <v>142</v>
      </c>
      <c r="K488" s="12">
        <v>46250</v>
      </c>
      <c r="L488">
        <v>46250</v>
      </c>
    </row>
    <row r="489" spans="1:12" x14ac:dyDescent="0.25">
      <c r="A489" s="12" t="s">
        <v>59</v>
      </c>
      <c r="B489" s="12" t="s">
        <v>38</v>
      </c>
      <c r="C489" s="12" t="s">
        <v>15</v>
      </c>
      <c r="D489" s="12">
        <v>4.2207252494765797</v>
      </c>
      <c r="E489" s="12">
        <v>0</v>
      </c>
      <c r="F489" s="12">
        <v>10</v>
      </c>
      <c r="G489" s="12">
        <v>0</v>
      </c>
      <c r="H489" s="12">
        <v>4.6875</v>
      </c>
      <c r="I489" s="12" t="s">
        <v>143</v>
      </c>
      <c r="K489" s="12">
        <v>46250</v>
      </c>
      <c r="L489">
        <v>46250</v>
      </c>
    </row>
    <row r="490" spans="1:12" x14ac:dyDescent="0.25">
      <c r="A490" s="12" t="s">
        <v>59</v>
      </c>
      <c r="B490" s="12" t="s">
        <v>38</v>
      </c>
      <c r="C490" s="12" t="s">
        <v>14</v>
      </c>
      <c r="D490" s="12">
        <v>10.973885648639106</v>
      </c>
      <c r="E490" s="12">
        <v>2.8499999999999996</v>
      </c>
      <c r="F490" s="12">
        <v>10</v>
      </c>
      <c r="G490" s="12">
        <v>2.8499999999999996</v>
      </c>
      <c r="H490" s="12">
        <v>11.25</v>
      </c>
      <c r="I490" s="12" t="s">
        <v>144</v>
      </c>
      <c r="K490" s="12">
        <v>46250</v>
      </c>
      <c r="L490">
        <v>46250</v>
      </c>
    </row>
    <row r="491" spans="1:12" x14ac:dyDescent="0.25">
      <c r="A491" s="12" t="s">
        <v>63</v>
      </c>
      <c r="B491" s="12" t="s">
        <v>38</v>
      </c>
      <c r="C491" s="12" t="s">
        <v>13</v>
      </c>
      <c r="D491" s="12">
        <v>10.973885648639106</v>
      </c>
      <c r="E491" s="12">
        <v>3.8</v>
      </c>
      <c r="F491" s="12">
        <v>10</v>
      </c>
      <c r="G491" s="12">
        <v>3.8</v>
      </c>
      <c r="H491" s="12">
        <v>11.25</v>
      </c>
      <c r="I491" s="12" t="s">
        <v>142</v>
      </c>
      <c r="J491">
        <v>1</v>
      </c>
      <c r="K491" s="12">
        <v>46250</v>
      </c>
      <c r="L491">
        <v>46250</v>
      </c>
    </row>
    <row r="492" spans="1:12" x14ac:dyDescent="0.25">
      <c r="A492" s="12" t="s">
        <v>63</v>
      </c>
      <c r="B492" s="12" t="s">
        <v>38</v>
      </c>
      <c r="C492" s="12" t="s">
        <v>15</v>
      </c>
      <c r="D492" s="12">
        <v>4.2207252494765797</v>
      </c>
      <c r="E492" s="12">
        <v>0</v>
      </c>
      <c r="F492" s="12">
        <v>10</v>
      </c>
      <c r="G492" s="12">
        <v>0</v>
      </c>
      <c r="H492" s="12">
        <v>4.6875</v>
      </c>
      <c r="I492" s="12" t="s">
        <v>143</v>
      </c>
      <c r="J492">
        <v>1</v>
      </c>
      <c r="K492" s="12">
        <v>46250</v>
      </c>
      <c r="L492">
        <v>46250</v>
      </c>
    </row>
    <row r="493" spans="1:12" x14ac:dyDescent="0.25">
      <c r="A493" s="12" t="s">
        <v>63</v>
      </c>
      <c r="B493" s="12" t="s">
        <v>38</v>
      </c>
      <c r="C493" s="12" t="s">
        <v>14</v>
      </c>
      <c r="D493" s="12">
        <v>10.973885648639106</v>
      </c>
      <c r="E493" s="12">
        <v>2.8499999999999996</v>
      </c>
      <c r="F493" s="12">
        <v>10</v>
      </c>
      <c r="G493" s="12">
        <v>2.8499999999999996</v>
      </c>
      <c r="H493" s="12">
        <v>11.25</v>
      </c>
      <c r="I493" s="12" t="s">
        <v>144</v>
      </c>
      <c r="J493">
        <v>1</v>
      </c>
      <c r="K493" s="12">
        <v>46250</v>
      </c>
      <c r="L493">
        <v>46250</v>
      </c>
    </row>
    <row r="494" spans="1:12" x14ac:dyDescent="0.25">
      <c r="A494" s="12" t="s">
        <v>59</v>
      </c>
      <c r="B494" s="12" t="s">
        <v>40</v>
      </c>
      <c r="C494" s="12" t="s">
        <v>13</v>
      </c>
      <c r="D494" s="12">
        <v>3.5876164620550925</v>
      </c>
      <c r="E494" s="12">
        <v>3.8</v>
      </c>
      <c r="F494" s="12">
        <v>10</v>
      </c>
      <c r="G494" s="12">
        <v>3.8</v>
      </c>
      <c r="H494" s="12">
        <v>4.7022058823529402</v>
      </c>
      <c r="I494" s="12" t="s">
        <v>142</v>
      </c>
      <c r="K494" s="12">
        <v>46250</v>
      </c>
      <c r="L494">
        <v>46250</v>
      </c>
    </row>
    <row r="495" spans="1:12" x14ac:dyDescent="0.25">
      <c r="A495" s="12" t="s">
        <v>59</v>
      </c>
      <c r="B495" s="12" t="s">
        <v>40</v>
      </c>
      <c r="C495" s="12" t="s">
        <v>15</v>
      </c>
      <c r="D495" s="12">
        <v>0</v>
      </c>
      <c r="E495" s="12">
        <v>0.95</v>
      </c>
      <c r="F495" s="12">
        <v>10</v>
      </c>
      <c r="G495" s="12">
        <v>0.95</v>
      </c>
      <c r="H495" s="12">
        <v>0</v>
      </c>
      <c r="I495" s="12" t="s">
        <v>143</v>
      </c>
      <c r="K495" s="12">
        <v>46250</v>
      </c>
      <c r="L495">
        <v>46250</v>
      </c>
    </row>
    <row r="496" spans="1:12" x14ac:dyDescent="0.25">
      <c r="A496" s="12" t="s">
        <v>59</v>
      </c>
      <c r="B496" s="12" t="s">
        <v>40</v>
      </c>
      <c r="C496" s="12" t="s">
        <v>14</v>
      </c>
      <c r="D496" s="12">
        <v>3.1779578349000133</v>
      </c>
      <c r="E496" s="12">
        <v>2.8499999999999996</v>
      </c>
      <c r="F496" s="12">
        <v>10</v>
      </c>
      <c r="G496" s="12">
        <v>2.8499999999999996</v>
      </c>
      <c r="H496" s="12">
        <v>4.6332179930795849</v>
      </c>
      <c r="I496" s="12" t="s">
        <v>144</v>
      </c>
      <c r="K496" s="12">
        <v>46250</v>
      </c>
      <c r="L496">
        <v>46250</v>
      </c>
    </row>
    <row r="497" spans="1:12" x14ac:dyDescent="0.25">
      <c r="A497" s="12" t="s">
        <v>63</v>
      </c>
      <c r="B497" s="12" t="s">
        <v>40</v>
      </c>
      <c r="C497" s="12" t="s">
        <v>13</v>
      </c>
      <c r="D497" s="12">
        <v>3.5876164620550925</v>
      </c>
      <c r="E497" s="12">
        <v>3.8</v>
      </c>
      <c r="F497" s="12">
        <v>10</v>
      </c>
      <c r="G497" s="12">
        <v>3.8</v>
      </c>
      <c r="H497" s="12">
        <v>4.7022058823529402</v>
      </c>
      <c r="I497" s="12" t="s">
        <v>142</v>
      </c>
      <c r="J497">
        <v>1</v>
      </c>
      <c r="K497" s="12">
        <v>46250</v>
      </c>
      <c r="L497">
        <v>46250</v>
      </c>
    </row>
    <row r="498" spans="1:12" x14ac:dyDescent="0.25">
      <c r="A498" s="12" t="s">
        <v>63</v>
      </c>
      <c r="B498" s="12" t="s">
        <v>40</v>
      </c>
      <c r="C498" s="12" t="s">
        <v>15</v>
      </c>
      <c r="D498" s="12">
        <v>0</v>
      </c>
      <c r="E498" s="12">
        <v>0.95</v>
      </c>
      <c r="F498" s="12">
        <v>10</v>
      </c>
      <c r="G498" s="12">
        <v>0.95</v>
      </c>
      <c r="H498" s="12">
        <v>0</v>
      </c>
      <c r="I498" s="12" t="s">
        <v>143</v>
      </c>
      <c r="J498">
        <v>1</v>
      </c>
      <c r="K498" s="12">
        <v>46250</v>
      </c>
      <c r="L498">
        <v>46250</v>
      </c>
    </row>
    <row r="499" spans="1:12" x14ac:dyDescent="0.25">
      <c r="A499" s="12" t="s">
        <v>63</v>
      </c>
      <c r="B499" s="12" t="s">
        <v>40</v>
      </c>
      <c r="C499" s="12" t="s">
        <v>14</v>
      </c>
      <c r="D499" s="12">
        <v>3.1779578349000133</v>
      </c>
      <c r="E499" s="12">
        <v>2.8499999999999996</v>
      </c>
      <c r="F499" s="12">
        <v>10</v>
      </c>
      <c r="G499" s="12">
        <v>2.8499999999999996</v>
      </c>
      <c r="H499" s="12">
        <v>4.6332179930795849</v>
      </c>
      <c r="I499" s="12" t="s">
        <v>144</v>
      </c>
      <c r="J499">
        <v>1</v>
      </c>
      <c r="K499" s="12">
        <v>46250</v>
      </c>
      <c r="L499">
        <v>46250</v>
      </c>
    </row>
    <row r="500" spans="1:12" x14ac:dyDescent="0.25">
      <c r="A500" s="12" t="s">
        <v>59</v>
      </c>
      <c r="B500" s="12" t="s">
        <v>39</v>
      </c>
      <c r="C500" s="12" t="s">
        <v>15</v>
      </c>
      <c r="D500" s="12">
        <v>1.2742252699784016</v>
      </c>
      <c r="E500" s="12">
        <v>0</v>
      </c>
      <c r="F500" s="12">
        <v>10</v>
      </c>
      <c r="G500" s="12">
        <v>0</v>
      </c>
      <c r="H500" s="12">
        <v>0.94117647058823517</v>
      </c>
      <c r="I500" s="12" t="s">
        <v>143</v>
      </c>
      <c r="K500" s="12">
        <v>46250</v>
      </c>
      <c r="L500">
        <v>46250</v>
      </c>
    </row>
    <row r="501" spans="1:12" x14ac:dyDescent="0.25">
      <c r="A501" s="12" t="s">
        <v>59</v>
      </c>
      <c r="B501" s="12" t="s">
        <v>39</v>
      </c>
      <c r="C501" s="12" t="s">
        <v>14</v>
      </c>
      <c r="D501" s="12">
        <v>2.2486328293736499</v>
      </c>
      <c r="E501" s="12">
        <v>0</v>
      </c>
      <c r="F501" s="12">
        <v>10</v>
      </c>
      <c r="G501" s="12">
        <v>0</v>
      </c>
      <c r="H501" s="12">
        <v>2.0484429065743952</v>
      </c>
      <c r="I501" s="12" t="s">
        <v>144</v>
      </c>
      <c r="K501" s="12">
        <v>46250</v>
      </c>
      <c r="L501">
        <v>46250</v>
      </c>
    </row>
    <row r="502" spans="1:12" x14ac:dyDescent="0.25">
      <c r="A502" s="12" t="s">
        <v>59</v>
      </c>
      <c r="B502" s="12" t="s">
        <v>39</v>
      </c>
      <c r="C502" s="12" t="s">
        <v>13</v>
      </c>
      <c r="D502" s="12">
        <v>3.5134887958963272</v>
      </c>
      <c r="E502" s="12">
        <v>0</v>
      </c>
      <c r="F502" s="12">
        <v>10</v>
      </c>
      <c r="G502" s="12">
        <v>0</v>
      </c>
      <c r="H502" s="12">
        <v>2.9411764705882346</v>
      </c>
      <c r="I502" s="12" t="s">
        <v>142</v>
      </c>
      <c r="K502" s="12">
        <v>46250</v>
      </c>
      <c r="L502">
        <v>46250</v>
      </c>
    </row>
    <row r="503" spans="1:12" x14ac:dyDescent="0.25">
      <c r="A503" s="12" t="s">
        <v>63</v>
      </c>
      <c r="B503" s="12" t="s">
        <v>39</v>
      </c>
      <c r="C503" s="12" t="s">
        <v>15</v>
      </c>
      <c r="D503" s="12">
        <v>1.2742252699784016</v>
      </c>
      <c r="E503" s="12">
        <v>0</v>
      </c>
      <c r="F503" s="12">
        <v>10</v>
      </c>
      <c r="G503" s="12">
        <v>0</v>
      </c>
      <c r="H503" s="12">
        <v>0.94117647058823517</v>
      </c>
      <c r="I503" s="12" t="s">
        <v>143</v>
      </c>
      <c r="J503">
        <v>1</v>
      </c>
      <c r="K503" s="12">
        <v>46250</v>
      </c>
      <c r="L503">
        <v>46250</v>
      </c>
    </row>
    <row r="504" spans="1:12" x14ac:dyDescent="0.25">
      <c r="A504" s="12" t="s">
        <v>63</v>
      </c>
      <c r="B504" s="12" t="s">
        <v>39</v>
      </c>
      <c r="C504" s="12" t="s">
        <v>14</v>
      </c>
      <c r="D504" s="12">
        <v>2.2486328293736499</v>
      </c>
      <c r="E504" s="12">
        <v>0</v>
      </c>
      <c r="F504" s="12">
        <v>10</v>
      </c>
      <c r="G504" s="12">
        <v>0</v>
      </c>
      <c r="H504" s="12">
        <v>2.0484429065743952</v>
      </c>
      <c r="I504" s="12" t="s">
        <v>144</v>
      </c>
      <c r="J504">
        <v>1</v>
      </c>
      <c r="K504" s="12">
        <v>46250</v>
      </c>
      <c r="L504">
        <v>46250</v>
      </c>
    </row>
    <row r="505" spans="1:12" x14ac:dyDescent="0.25">
      <c r="A505" s="12" t="s">
        <v>63</v>
      </c>
      <c r="B505" s="12" t="s">
        <v>39</v>
      </c>
      <c r="C505" s="12" t="s">
        <v>13</v>
      </c>
      <c r="D505" s="12">
        <v>3.5134887958963272</v>
      </c>
      <c r="E505" s="12">
        <v>0</v>
      </c>
      <c r="F505" s="12">
        <v>10</v>
      </c>
      <c r="G505" s="12">
        <v>0</v>
      </c>
      <c r="H505" s="12">
        <v>2.9411764705882346</v>
      </c>
      <c r="I505" s="12" t="s">
        <v>142</v>
      </c>
      <c r="J505">
        <v>1</v>
      </c>
      <c r="K505" s="12">
        <v>46250</v>
      </c>
      <c r="L505">
        <v>46250</v>
      </c>
    </row>
  </sheetData>
  <conditionalFormatting sqref="O2:O44">
    <cfRule type="cellIs" dxfId="11" priority="2" operator="lessThan">
      <formula>-0.4</formula>
    </cfRule>
  </conditionalFormatting>
  <conditionalFormatting sqref="P2:P44">
    <cfRule type="cellIs" dxfId="10" priority="1" operator="greaterThan">
      <formula>0.4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1417-0AB6-4BD8-A0AB-87DB0A788339}">
  <dimension ref="A1:U505"/>
  <sheetViews>
    <sheetView workbookViewId="0">
      <selection activeCell="K17" sqref="K17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7.42578125" bestFit="1" customWidth="1"/>
    <col min="4" max="4" width="12" bestFit="1" customWidth="1"/>
    <col min="5" max="5" width="10.7109375" bestFit="1" customWidth="1"/>
    <col min="6" max="6" width="17.140625" bestFit="1" customWidth="1"/>
    <col min="7" max="7" width="11.85546875" bestFit="1" customWidth="1"/>
    <col min="8" max="8" width="12.28515625" bestFit="1" customWidth="1"/>
    <col min="9" max="9" width="16.42578125" bestFit="1" customWidth="1"/>
    <col min="10" max="10" width="29" bestFit="1" customWidth="1"/>
    <col min="11" max="11" width="9.7109375" bestFit="1" customWidth="1"/>
    <col min="12" max="12" width="8.5703125" bestFit="1" customWidth="1"/>
    <col min="13" max="20" width="12" bestFit="1" customWidth="1"/>
    <col min="21" max="25" width="12" customWidth="1"/>
    <col min="26" max="26" width="5.5703125" bestFit="1" customWidth="1"/>
    <col min="27" max="27" width="12" customWidth="1"/>
    <col min="28" max="28" width="12" bestFit="1" customWidth="1"/>
    <col min="29" max="29" width="6" bestFit="1" customWidth="1"/>
    <col min="30" max="30" width="5.5703125" bestFit="1" customWidth="1"/>
  </cols>
  <sheetData>
    <row r="1" spans="1:21" x14ac:dyDescent="0.25">
      <c r="A1" t="s">
        <v>22</v>
      </c>
      <c r="B1" t="s">
        <v>1</v>
      </c>
      <c r="C1" t="s">
        <v>21</v>
      </c>
      <c r="D1" t="s">
        <v>3</v>
      </c>
      <c r="E1" t="s">
        <v>4</v>
      </c>
      <c r="F1" t="s">
        <v>19</v>
      </c>
      <c r="G1" t="s">
        <v>5</v>
      </c>
      <c r="H1" t="s">
        <v>2</v>
      </c>
      <c r="I1" t="s">
        <v>20</v>
      </c>
      <c r="J1" t="s">
        <v>28</v>
      </c>
      <c r="K1" t="s">
        <v>0</v>
      </c>
      <c r="L1" t="s">
        <v>41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17</v>
      </c>
      <c r="T1" t="s">
        <v>12</v>
      </c>
      <c r="U1" t="s">
        <v>16</v>
      </c>
    </row>
    <row r="2" spans="1:21" x14ac:dyDescent="0.25">
      <c r="A2" s="12" t="s">
        <v>59</v>
      </c>
      <c r="B2" s="12" t="s">
        <v>38</v>
      </c>
      <c r="C2" s="12" t="s">
        <v>15</v>
      </c>
      <c r="D2" s="12">
        <v>4.2207252494765797</v>
      </c>
      <c r="E2" s="12">
        <v>0</v>
      </c>
      <c r="F2" s="12">
        <v>10</v>
      </c>
      <c r="G2" s="12">
        <v>0</v>
      </c>
      <c r="H2" s="12">
        <v>4.6875</v>
      </c>
      <c r="I2" s="12" t="s">
        <v>60</v>
      </c>
      <c r="K2" s="6">
        <v>46223</v>
      </c>
      <c r="L2">
        <v>46223</v>
      </c>
      <c r="M2">
        <v>0</v>
      </c>
      <c r="N2">
        <v>0</v>
      </c>
      <c r="O2">
        <v>1.1105911242579236</v>
      </c>
      <c r="S2">
        <v>0</v>
      </c>
      <c r="T2">
        <v>0</v>
      </c>
      <c r="U2">
        <v>0.9004213865550037</v>
      </c>
    </row>
    <row r="3" spans="1:21" x14ac:dyDescent="0.25">
      <c r="A3" s="12" t="s">
        <v>59</v>
      </c>
      <c r="B3" s="12" t="s">
        <v>38</v>
      </c>
      <c r="C3" s="12" t="s">
        <v>14</v>
      </c>
      <c r="D3" s="12">
        <v>10.973885648639106</v>
      </c>
      <c r="E3" s="12">
        <v>0.95</v>
      </c>
      <c r="F3" s="12">
        <v>10</v>
      </c>
      <c r="G3" s="12">
        <v>0.95</v>
      </c>
      <c r="H3" s="12">
        <v>10.234375</v>
      </c>
      <c r="I3" s="12" t="s">
        <v>61</v>
      </c>
      <c r="K3" s="6">
        <v>46223</v>
      </c>
      <c r="L3">
        <v>46223</v>
      </c>
      <c r="M3">
        <v>8.6569154301130463E-2</v>
      </c>
      <c r="N3">
        <v>8.6569154301130463E-2</v>
      </c>
      <c r="O3">
        <v>0.93261177742171808</v>
      </c>
      <c r="P3">
        <v>11.551458577514849</v>
      </c>
      <c r="Q3">
        <v>11.551458577514849</v>
      </c>
      <c r="R3">
        <v>10.773026315789474</v>
      </c>
      <c r="S3">
        <v>9.282442748091603E-2</v>
      </c>
      <c r="T3">
        <v>9.282442748091603E-2</v>
      </c>
      <c r="U3">
        <v>1.0722575290273324</v>
      </c>
    </row>
    <row r="4" spans="1:21" x14ac:dyDescent="0.25">
      <c r="A4" s="12" t="s">
        <v>59</v>
      </c>
      <c r="B4" s="12" t="s">
        <v>38</v>
      </c>
      <c r="C4" s="12" t="s">
        <v>13</v>
      </c>
      <c r="D4" s="12">
        <v>11.87078976415288</v>
      </c>
      <c r="E4" s="12">
        <v>3.8</v>
      </c>
      <c r="F4" s="12">
        <v>10</v>
      </c>
      <c r="G4" s="12">
        <v>3.8</v>
      </c>
      <c r="H4" s="12">
        <v>10.447916666666666</v>
      </c>
      <c r="I4" s="12" t="s">
        <v>62</v>
      </c>
      <c r="K4" s="6">
        <v>46223</v>
      </c>
      <c r="L4">
        <v>46223</v>
      </c>
      <c r="M4">
        <v>0.32011349501573577</v>
      </c>
      <c r="N4">
        <v>0.32011349501573577</v>
      </c>
      <c r="O4">
        <v>0.88013661047363745</v>
      </c>
      <c r="P4">
        <v>3.1238920431981265</v>
      </c>
      <c r="Q4">
        <v>3.1238920431981265</v>
      </c>
      <c r="R4">
        <v>2.7494517543859649</v>
      </c>
      <c r="S4">
        <v>0.36370887337986041</v>
      </c>
      <c r="T4">
        <v>0.36370887337986041</v>
      </c>
      <c r="U4">
        <v>1.1361872555919008</v>
      </c>
    </row>
    <row r="5" spans="1:21" x14ac:dyDescent="0.25">
      <c r="A5" s="12" t="s">
        <v>63</v>
      </c>
      <c r="B5" s="12" t="s">
        <v>38</v>
      </c>
      <c r="C5" s="12" t="s">
        <v>15</v>
      </c>
      <c r="D5" s="12">
        <v>4.2207252494765797</v>
      </c>
      <c r="E5" s="12">
        <v>0</v>
      </c>
      <c r="F5" s="12">
        <v>10</v>
      </c>
      <c r="G5" s="12">
        <v>0</v>
      </c>
      <c r="H5" s="12">
        <v>4.6875</v>
      </c>
      <c r="I5" s="12" t="s">
        <v>60</v>
      </c>
      <c r="J5">
        <v>1</v>
      </c>
      <c r="K5" s="6">
        <v>46223</v>
      </c>
      <c r="L5">
        <v>46223</v>
      </c>
      <c r="M5">
        <v>0</v>
      </c>
      <c r="N5">
        <v>0</v>
      </c>
      <c r="O5">
        <v>1.1105911242579236</v>
      </c>
      <c r="S5">
        <v>0</v>
      </c>
      <c r="T5">
        <v>0</v>
      </c>
      <c r="U5">
        <v>0.9004213865550037</v>
      </c>
    </row>
    <row r="6" spans="1:21" x14ac:dyDescent="0.25">
      <c r="A6" s="12" t="s">
        <v>63</v>
      </c>
      <c r="B6" s="12" t="s">
        <v>38</v>
      </c>
      <c r="C6" s="12" t="s">
        <v>14</v>
      </c>
      <c r="D6" s="12">
        <v>10.973885648639106</v>
      </c>
      <c r="E6" s="12">
        <v>0.95</v>
      </c>
      <c r="F6" s="12">
        <v>10</v>
      </c>
      <c r="G6" s="12">
        <v>0.95</v>
      </c>
      <c r="H6" s="12">
        <v>10.234375</v>
      </c>
      <c r="I6" s="12" t="s">
        <v>61</v>
      </c>
      <c r="J6">
        <v>1</v>
      </c>
      <c r="K6" s="6">
        <v>46223</v>
      </c>
      <c r="L6">
        <v>46223</v>
      </c>
      <c r="M6">
        <v>8.6569154301130463E-2</v>
      </c>
      <c r="N6">
        <v>8.6569154301130463E-2</v>
      </c>
      <c r="O6">
        <v>0.93261177742171808</v>
      </c>
      <c r="P6">
        <v>11.551458577514849</v>
      </c>
      <c r="Q6">
        <v>11.551458577514849</v>
      </c>
      <c r="R6">
        <v>10.773026315789474</v>
      </c>
      <c r="S6">
        <v>9.282442748091603E-2</v>
      </c>
      <c r="T6">
        <v>9.282442748091603E-2</v>
      </c>
      <c r="U6">
        <v>1.0722575290273324</v>
      </c>
    </row>
    <row r="7" spans="1:21" x14ac:dyDescent="0.25">
      <c r="A7" s="12" t="s">
        <v>63</v>
      </c>
      <c r="B7" s="12" t="s">
        <v>38</v>
      </c>
      <c r="C7" s="12" t="s">
        <v>13</v>
      </c>
      <c r="D7" s="12">
        <v>11.87078976415288</v>
      </c>
      <c r="E7" s="12">
        <v>3.8</v>
      </c>
      <c r="F7" s="12">
        <v>10</v>
      </c>
      <c r="G7" s="12">
        <v>3.8</v>
      </c>
      <c r="H7" s="12">
        <v>10.447916666666666</v>
      </c>
      <c r="I7" s="12" t="s">
        <v>62</v>
      </c>
      <c r="J7">
        <v>1</v>
      </c>
      <c r="K7" s="6">
        <v>46223</v>
      </c>
      <c r="L7">
        <v>46223</v>
      </c>
      <c r="M7">
        <v>0.32011349501573577</v>
      </c>
      <c r="N7">
        <v>0.32011349501573577</v>
      </c>
      <c r="O7">
        <v>0.88013661047363745</v>
      </c>
      <c r="P7">
        <v>3.1238920431981265</v>
      </c>
      <c r="Q7">
        <v>3.1238920431981265</v>
      </c>
      <c r="R7">
        <v>2.7494517543859649</v>
      </c>
      <c r="S7">
        <v>0.36370887337986041</v>
      </c>
      <c r="T7">
        <v>0.36370887337986041</v>
      </c>
      <c r="U7">
        <v>1.1361872555919008</v>
      </c>
    </row>
    <row r="8" spans="1:21" x14ac:dyDescent="0.25">
      <c r="A8" s="12" t="s">
        <v>59</v>
      </c>
      <c r="B8" s="12" t="s">
        <v>38</v>
      </c>
      <c r="C8" s="12" t="s">
        <v>15</v>
      </c>
      <c r="D8" s="12">
        <v>4.2207252494765797</v>
      </c>
      <c r="E8" s="12">
        <v>0</v>
      </c>
      <c r="F8" s="12">
        <v>10</v>
      </c>
      <c r="G8" s="12">
        <v>0</v>
      </c>
      <c r="H8" s="12">
        <v>4.6875</v>
      </c>
      <c r="I8" s="12" t="s">
        <v>64</v>
      </c>
      <c r="K8" s="6">
        <v>46224</v>
      </c>
      <c r="L8">
        <v>46224</v>
      </c>
      <c r="M8">
        <v>0</v>
      </c>
      <c r="N8">
        <v>0</v>
      </c>
      <c r="O8">
        <v>1.1105911242579236</v>
      </c>
      <c r="S8">
        <v>0</v>
      </c>
      <c r="T8">
        <v>0</v>
      </c>
      <c r="U8">
        <v>0.9004213865550037</v>
      </c>
    </row>
    <row r="9" spans="1:21" x14ac:dyDescent="0.25">
      <c r="A9" s="12" t="s">
        <v>59</v>
      </c>
      <c r="B9" s="12" t="s">
        <v>38</v>
      </c>
      <c r="C9" s="12" t="s">
        <v>13</v>
      </c>
      <c r="D9" s="12">
        <v>13.005109674949711</v>
      </c>
      <c r="E9" s="12">
        <v>1.9</v>
      </c>
      <c r="F9" s="12">
        <v>10</v>
      </c>
      <c r="G9" s="12">
        <v>1.9</v>
      </c>
      <c r="H9" s="12">
        <v>11.6875</v>
      </c>
      <c r="I9" s="12" t="s">
        <v>65</v>
      </c>
      <c r="K9" s="6">
        <v>46224</v>
      </c>
      <c r="L9">
        <v>46224</v>
      </c>
      <c r="M9">
        <v>0.14609642267452441</v>
      </c>
      <c r="N9">
        <v>0.14609642267452441</v>
      </c>
      <c r="O9">
        <v>0.89868523158342328</v>
      </c>
      <c r="P9">
        <v>6.8447945657630065</v>
      </c>
      <c r="Q9">
        <v>6.8447945657630065</v>
      </c>
      <c r="R9">
        <v>6.1513157894736841</v>
      </c>
      <c r="S9">
        <v>0.1625668449197861</v>
      </c>
      <c r="T9">
        <v>0.1625668449197861</v>
      </c>
      <c r="U9">
        <v>1.1127366566801893</v>
      </c>
    </row>
    <row r="10" spans="1:21" x14ac:dyDescent="0.25">
      <c r="A10" s="12" t="s">
        <v>59</v>
      </c>
      <c r="B10" s="12" t="s">
        <v>38</v>
      </c>
      <c r="C10" s="12" t="s">
        <v>14</v>
      </c>
      <c r="D10" s="12">
        <v>10.973885648639106</v>
      </c>
      <c r="E10" s="12">
        <v>2.8499999999999996</v>
      </c>
      <c r="F10" s="12">
        <v>10</v>
      </c>
      <c r="G10" s="12">
        <v>2.8499999999999996</v>
      </c>
      <c r="H10" s="12">
        <v>11.25</v>
      </c>
      <c r="I10" s="12" t="s">
        <v>66</v>
      </c>
      <c r="K10" s="6">
        <v>46224</v>
      </c>
      <c r="L10">
        <v>46224</v>
      </c>
      <c r="M10">
        <v>0.25970746290339136</v>
      </c>
      <c r="N10">
        <v>0.25970746290339136</v>
      </c>
      <c r="O10">
        <v>1.025161037776545</v>
      </c>
      <c r="P10">
        <v>3.8504861925049498</v>
      </c>
      <c r="Q10">
        <v>3.8504861925049498</v>
      </c>
      <c r="R10">
        <v>3.9473684210526319</v>
      </c>
      <c r="S10">
        <v>0.2533333333333333</v>
      </c>
      <c r="T10">
        <v>0.2533333333333333</v>
      </c>
      <c r="U10">
        <v>0.9754565021012539</v>
      </c>
    </row>
    <row r="11" spans="1:21" x14ac:dyDescent="0.25">
      <c r="A11" s="12" t="s">
        <v>63</v>
      </c>
      <c r="B11" s="12" t="s">
        <v>38</v>
      </c>
      <c r="C11" s="12" t="s">
        <v>15</v>
      </c>
      <c r="D11" s="12">
        <v>4.2207252494765797</v>
      </c>
      <c r="E11" s="12">
        <v>0</v>
      </c>
      <c r="F11" s="12">
        <v>10</v>
      </c>
      <c r="G11" s="12">
        <v>0</v>
      </c>
      <c r="H11" s="12">
        <v>4.6875</v>
      </c>
      <c r="I11" s="12" t="s">
        <v>64</v>
      </c>
      <c r="J11">
        <v>1</v>
      </c>
      <c r="K11" s="6">
        <v>46224</v>
      </c>
      <c r="L11">
        <v>46224</v>
      </c>
      <c r="M11">
        <v>0</v>
      </c>
      <c r="N11">
        <v>0</v>
      </c>
      <c r="O11">
        <v>1.1105911242579236</v>
      </c>
      <c r="S11">
        <v>0</v>
      </c>
      <c r="T11">
        <v>0</v>
      </c>
      <c r="U11">
        <v>0.9004213865550037</v>
      </c>
    </row>
    <row r="12" spans="1:21" x14ac:dyDescent="0.25">
      <c r="A12" s="12" t="s">
        <v>63</v>
      </c>
      <c r="B12" s="12" t="s">
        <v>38</v>
      </c>
      <c r="C12" s="12" t="s">
        <v>13</v>
      </c>
      <c r="D12" s="12">
        <v>13.005109674949711</v>
      </c>
      <c r="E12" s="12">
        <v>1.9</v>
      </c>
      <c r="F12" s="12">
        <v>10</v>
      </c>
      <c r="G12" s="12">
        <v>1.9</v>
      </c>
      <c r="H12" s="12">
        <v>11.6875</v>
      </c>
      <c r="I12" s="12" t="s">
        <v>65</v>
      </c>
      <c r="J12">
        <v>1</v>
      </c>
      <c r="K12" s="6">
        <v>46224</v>
      </c>
      <c r="L12">
        <v>46224</v>
      </c>
      <c r="M12">
        <v>0.14609642267452441</v>
      </c>
      <c r="N12">
        <v>0.14609642267452441</v>
      </c>
      <c r="O12">
        <v>0.89868523158342328</v>
      </c>
      <c r="P12">
        <v>6.8447945657630065</v>
      </c>
      <c r="Q12">
        <v>6.8447945657630065</v>
      </c>
      <c r="R12">
        <v>6.1513157894736841</v>
      </c>
      <c r="S12">
        <v>0.1625668449197861</v>
      </c>
      <c r="T12">
        <v>0.1625668449197861</v>
      </c>
      <c r="U12">
        <v>1.1127366566801893</v>
      </c>
    </row>
    <row r="13" spans="1:21" x14ac:dyDescent="0.25">
      <c r="A13" s="12" t="s">
        <v>63</v>
      </c>
      <c r="B13" s="12" t="s">
        <v>38</v>
      </c>
      <c r="C13" s="12" t="s">
        <v>14</v>
      </c>
      <c r="D13" s="12">
        <v>10.973885648639106</v>
      </c>
      <c r="E13" s="12">
        <v>2.8499999999999996</v>
      </c>
      <c r="F13" s="12">
        <v>10</v>
      </c>
      <c r="G13" s="12">
        <v>2.8499999999999996</v>
      </c>
      <c r="H13" s="12">
        <v>11.25</v>
      </c>
      <c r="I13" s="12" t="s">
        <v>66</v>
      </c>
      <c r="J13">
        <v>1</v>
      </c>
      <c r="K13" s="6">
        <v>46224</v>
      </c>
      <c r="L13">
        <v>46224</v>
      </c>
      <c r="M13">
        <v>0.25970746290339136</v>
      </c>
      <c r="N13">
        <v>0.25970746290339136</v>
      </c>
      <c r="O13">
        <v>1.025161037776545</v>
      </c>
      <c r="P13">
        <v>3.8504861925049498</v>
      </c>
      <c r="Q13">
        <v>3.8504861925049498</v>
      </c>
      <c r="R13">
        <v>3.9473684210526319</v>
      </c>
      <c r="S13">
        <v>0.2533333333333333</v>
      </c>
      <c r="T13">
        <v>0.2533333333333333</v>
      </c>
      <c r="U13">
        <v>0.9754565021012539</v>
      </c>
    </row>
    <row r="14" spans="1:21" x14ac:dyDescent="0.25">
      <c r="A14" s="12" t="s">
        <v>59</v>
      </c>
      <c r="B14" s="12" t="s">
        <v>38</v>
      </c>
      <c r="C14" s="12" t="s">
        <v>13</v>
      </c>
      <c r="D14" s="12">
        <v>12.583037150002054</v>
      </c>
      <c r="E14" s="12">
        <v>2.8499999999999996</v>
      </c>
      <c r="F14" s="12">
        <v>10</v>
      </c>
      <c r="G14" s="12">
        <v>2.8499999999999996</v>
      </c>
      <c r="H14" s="12">
        <v>11.496323529411764</v>
      </c>
      <c r="I14" s="12" t="s">
        <v>67</v>
      </c>
      <c r="K14" s="6">
        <v>46225</v>
      </c>
      <c r="L14">
        <v>46225</v>
      </c>
      <c r="M14">
        <v>0.22649539741679411</v>
      </c>
      <c r="N14">
        <v>0.22649539741679411</v>
      </c>
      <c r="O14">
        <v>0.91363661986882772</v>
      </c>
      <c r="P14">
        <v>4.4151007543866863</v>
      </c>
      <c r="Q14">
        <v>4.4151007543866863</v>
      </c>
      <c r="R14">
        <v>4.0337977296181631</v>
      </c>
      <c r="S14">
        <v>0.24790534058202748</v>
      </c>
      <c r="T14">
        <v>0.24790534058202748</v>
      </c>
      <c r="U14">
        <v>1.0945270562201979</v>
      </c>
    </row>
    <row r="15" spans="1:21" x14ac:dyDescent="0.25">
      <c r="A15" s="12" t="s">
        <v>59</v>
      </c>
      <c r="B15" s="12" t="s">
        <v>38</v>
      </c>
      <c r="C15" s="12" t="s">
        <v>14</v>
      </c>
      <c r="D15" s="12">
        <v>10.815608451783737</v>
      </c>
      <c r="E15" s="12">
        <v>0.95</v>
      </c>
      <c r="F15" s="12">
        <v>10</v>
      </c>
      <c r="G15" s="12">
        <v>0.95</v>
      </c>
      <c r="H15" s="12">
        <v>11.244747899159664</v>
      </c>
      <c r="I15" s="12" t="s">
        <v>68</v>
      </c>
      <c r="K15" s="6">
        <v>46225</v>
      </c>
      <c r="L15">
        <v>46225</v>
      </c>
      <c r="M15">
        <v>8.7836019973829921E-2</v>
      </c>
      <c r="N15">
        <v>8.7836019973829921E-2</v>
      </c>
      <c r="O15">
        <v>1.0396777906013372</v>
      </c>
      <c r="P15">
        <v>11.384851001877617</v>
      </c>
      <c r="Q15">
        <v>11.384851001877617</v>
      </c>
      <c r="R15">
        <v>11.836576735957541</v>
      </c>
      <c r="S15">
        <v>8.4483886034563277E-2</v>
      </c>
      <c r="T15">
        <v>8.4483886034563277E-2</v>
      </c>
      <c r="U15">
        <v>0.96183645456311229</v>
      </c>
    </row>
    <row r="16" spans="1:21" x14ac:dyDescent="0.25">
      <c r="A16" s="12" t="s">
        <v>59</v>
      </c>
      <c r="B16" s="12" t="s">
        <v>38</v>
      </c>
      <c r="C16" s="12" t="s">
        <v>15</v>
      </c>
      <c r="D16" s="12">
        <v>4.2207252494765788</v>
      </c>
      <c r="E16" s="12">
        <v>2.8499999999999996</v>
      </c>
      <c r="F16" s="12">
        <v>10</v>
      </c>
      <c r="G16" s="12">
        <v>2.8499999999999996</v>
      </c>
      <c r="H16" s="12">
        <v>4.5044642857142865</v>
      </c>
      <c r="I16" s="12" t="s">
        <v>69</v>
      </c>
      <c r="K16" s="6">
        <v>46225</v>
      </c>
      <c r="L16">
        <v>46225</v>
      </c>
      <c r="M16">
        <v>0.67523940354881762</v>
      </c>
      <c r="N16">
        <v>0.67523940354881762</v>
      </c>
      <c r="O16">
        <v>1.0672251851202337</v>
      </c>
      <c r="P16">
        <v>1.4809562278865191</v>
      </c>
      <c r="Q16">
        <v>1.4809562278865191</v>
      </c>
      <c r="R16">
        <v>1.5805137844611534</v>
      </c>
      <c r="S16">
        <v>0.63270564915758154</v>
      </c>
      <c r="T16">
        <v>0.63270564915758154</v>
      </c>
      <c r="U16">
        <v>0.9370093715389034</v>
      </c>
    </row>
    <row r="17" spans="1:21" x14ac:dyDescent="0.25">
      <c r="A17" s="12" t="s">
        <v>63</v>
      </c>
      <c r="B17" s="12" t="s">
        <v>38</v>
      </c>
      <c r="C17" s="12" t="s">
        <v>13</v>
      </c>
      <c r="D17" s="12">
        <v>12.583037150002054</v>
      </c>
      <c r="E17" s="12">
        <v>2.8499999999999996</v>
      </c>
      <c r="F17" s="12">
        <v>10</v>
      </c>
      <c r="G17" s="12">
        <v>2.8499999999999996</v>
      </c>
      <c r="H17" s="12">
        <v>11.496323529411764</v>
      </c>
      <c r="I17" s="12" t="s">
        <v>67</v>
      </c>
      <c r="J17">
        <v>1</v>
      </c>
      <c r="K17" s="6">
        <v>46225</v>
      </c>
      <c r="L17">
        <v>46225</v>
      </c>
      <c r="M17">
        <v>0.22649539741679411</v>
      </c>
      <c r="N17">
        <v>0.22649539741679411</v>
      </c>
      <c r="O17">
        <v>0.91363661986882772</v>
      </c>
      <c r="P17">
        <v>4.4151007543866863</v>
      </c>
      <c r="Q17">
        <v>4.4151007543866863</v>
      </c>
      <c r="R17">
        <v>4.0337977296181631</v>
      </c>
      <c r="S17">
        <v>0.24790534058202748</v>
      </c>
      <c r="T17">
        <v>0.24790534058202748</v>
      </c>
      <c r="U17">
        <v>1.0945270562201979</v>
      </c>
    </row>
    <row r="18" spans="1:21" x14ac:dyDescent="0.25">
      <c r="A18" s="12" t="s">
        <v>63</v>
      </c>
      <c r="B18" s="12" t="s">
        <v>38</v>
      </c>
      <c r="C18" s="12" t="s">
        <v>14</v>
      </c>
      <c r="D18" s="12">
        <v>10.815608451783737</v>
      </c>
      <c r="E18" s="12">
        <v>0.95</v>
      </c>
      <c r="F18" s="12">
        <v>10</v>
      </c>
      <c r="G18" s="12">
        <v>0.95</v>
      </c>
      <c r="H18" s="12">
        <v>11.244747899159664</v>
      </c>
      <c r="I18" s="12" t="s">
        <v>68</v>
      </c>
      <c r="J18">
        <v>1</v>
      </c>
      <c r="K18" s="6">
        <v>46225</v>
      </c>
      <c r="L18">
        <v>46225</v>
      </c>
      <c r="M18">
        <v>8.7836019973829921E-2</v>
      </c>
      <c r="N18">
        <v>8.7836019973829921E-2</v>
      </c>
      <c r="O18">
        <v>1.0396777906013372</v>
      </c>
      <c r="P18">
        <v>11.384851001877617</v>
      </c>
      <c r="Q18">
        <v>11.384851001877617</v>
      </c>
      <c r="R18">
        <v>11.836576735957541</v>
      </c>
      <c r="S18">
        <v>8.4483886034563277E-2</v>
      </c>
      <c r="T18">
        <v>8.4483886034563277E-2</v>
      </c>
      <c r="U18">
        <v>0.96183645456311229</v>
      </c>
    </row>
    <row r="19" spans="1:21" x14ac:dyDescent="0.25">
      <c r="A19" s="12" t="s">
        <v>63</v>
      </c>
      <c r="B19" s="12" t="s">
        <v>38</v>
      </c>
      <c r="C19" s="12" t="s">
        <v>15</v>
      </c>
      <c r="D19" s="12">
        <v>4.2207252494765788</v>
      </c>
      <c r="E19" s="12">
        <v>2.8499999999999996</v>
      </c>
      <c r="F19" s="12">
        <v>10</v>
      </c>
      <c r="G19" s="12">
        <v>2.8499999999999996</v>
      </c>
      <c r="H19" s="12">
        <v>4.5044642857142865</v>
      </c>
      <c r="I19" s="12" t="s">
        <v>69</v>
      </c>
      <c r="J19">
        <v>1</v>
      </c>
      <c r="K19" s="6">
        <v>46225</v>
      </c>
      <c r="L19">
        <v>46225</v>
      </c>
      <c r="M19">
        <v>0.67523940354881762</v>
      </c>
      <c r="N19">
        <v>0.67523940354881762</v>
      </c>
      <c r="O19">
        <v>1.0672251851202337</v>
      </c>
      <c r="P19">
        <v>1.4809562278865191</v>
      </c>
      <c r="Q19">
        <v>1.4809562278865191</v>
      </c>
      <c r="R19">
        <v>1.5805137844611534</v>
      </c>
      <c r="S19">
        <v>0.63270564915758154</v>
      </c>
      <c r="T19">
        <v>0.63270564915758154</v>
      </c>
      <c r="U19">
        <v>0.9370093715389034</v>
      </c>
    </row>
    <row r="20" spans="1:21" x14ac:dyDescent="0.25">
      <c r="A20" s="12" t="s">
        <v>59</v>
      </c>
      <c r="B20" s="12" t="s">
        <v>38</v>
      </c>
      <c r="C20" s="12" t="s">
        <v>14</v>
      </c>
      <c r="D20" s="12">
        <v>10.973885648639106</v>
      </c>
      <c r="E20" s="12">
        <v>0</v>
      </c>
      <c r="F20" s="12">
        <v>10</v>
      </c>
      <c r="G20" s="12">
        <v>0</v>
      </c>
      <c r="H20" s="12">
        <v>10.3125</v>
      </c>
      <c r="I20" s="12" t="s">
        <v>70</v>
      </c>
      <c r="K20" s="6">
        <v>46226</v>
      </c>
      <c r="L20">
        <v>46226</v>
      </c>
      <c r="M20">
        <v>0</v>
      </c>
      <c r="N20">
        <v>0</v>
      </c>
      <c r="O20">
        <v>0.93973095129516626</v>
      </c>
      <c r="S20">
        <v>0</v>
      </c>
      <c r="T20">
        <v>0</v>
      </c>
      <c r="U20">
        <v>1.0641343659286406</v>
      </c>
    </row>
    <row r="21" spans="1:21" x14ac:dyDescent="0.25">
      <c r="A21" s="12" t="s">
        <v>59</v>
      </c>
      <c r="B21" s="12" t="s">
        <v>38</v>
      </c>
      <c r="C21" s="12" t="s">
        <v>13</v>
      </c>
      <c r="D21" s="12">
        <v>11.738892100106735</v>
      </c>
      <c r="E21" s="12">
        <v>5.6999999999999993</v>
      </c>
      <c r="F21" s="12">
        <v>10</v>
      </c>
      <c r="G21" s="12">
        <v>5.6999999999999993</v>
      </c>
      <c r="H21" s="12">
        <v>10.59375</v>
      </c>
      <c r="I21" s="12" t="s">
        <v>71</v>
      </c>
      <c r="K21" s="6">
        <v>46226</v>
      </c>
      <c r="L21">
        <v>46226</v>
      </c>
      <c r="M21">
        <v>0.48556541378791379</v>
      </c>
      <c r="N21">
        <v>0.48556541378791379</v>
      </c>
      <c r="O21">
        <v>0.90244887759924775</v>
      </c>
      <c r="P21">
        <v>2.0594547544046908</v>
      </c>
      <c r="Q21">
        <v>2.0594547544046908</v>
      </c>
      <c r="R21">
        <v>1.8585526315789476</v>
      </c>
      <c r="S21">
        <v>0.53805309734513262</v>
      </c>
      <c r="T21">
        <v>0.53805309734513262</v>
      </c>
      <c r="U21">
        <v>1.1080960094496033</v>
      </c>
    </row>
    <row r="22" spans="1:21" x14ac:dyDescent="0.25">
      <c r="A22" s="12" t="s">
        <v>59</v>
      </c>
      <c r="B22" s="12" t="s">
        <v>38</v>
      </c>
      <c r="C22" s="12" t="s">
        <v>15</v>
      </c>
      <c r="D22" s="12">
        <v>4.2207252494765797</v>
      </c>
      <c r="E22" s="12">
        <v>0.95</v>
      </c>
      <c r="F22" s="12">
        <v>10</v>
      </c>
      <c r="G22" s="12">
        <v>0.95</v>
      </c>
      <c r="H22" s="12">
        <v>2.8125</v>
      </c>
      <c r="I22" s="12" t="s">
        <v>72</v>
      </c>
      <c r="K22" s="6">
        <v>46226</v>
      </c>
      <c r="L22">
        <v>46226</v>
      </c>
      <c r="M22">
        <v>0.22507980118293919</v>
      </c>
      <c r="N22">
        <v>0.22507980118293919</v>
      </c>
      <c r="O22">
        <v>0.66635467455475417</v>
      </c>
      <c r="P22">
        <v>4.4428686836595581</v>
      </c>
      <c r="Q22">
        <v>4.4428686836595581</v>
      </c>
      <c r="R22">
        <v>2.9605263157894739</v>
      </c>
      <c r="S22">
        <v>0.33777777777777779</v>
      </c>
      <c r="T22">
        <v>0.33777777777777779</v>
      </c>
      <c r="U22">
        <v>1.5007023109250062</v>
      </c>
    </row>
    <row r="23" spans="1:21" x14ac:dyDescent="0.25">
      <c r="A23" s="12" t="s">
        <v>63</v>
      </c>
      <c r="B23" s="12" t="s">
        <v>38</v>
      </c>
      <c r="C23" s="12" t="s">
        <v>14</v>
      </c>
      <c r="D23" s="12">
        <v>10.973885648639106</v>
      </c>
      <c r="E23" s="12">
        <v>0</v>
      </c>
      <c r="F23" s="12">
        <v>10</v>
      </c>
      <c r="G23" s="12">
        <v>0</v>
      </c>
      <c r="H23" s="12">
        <v>10.3125</v>
      </c>
      <c r="I23" s="12" t="s">
        <v>70</v>
      </c>
      <c r="J23">
        <v>1</v>
      </c>
      <c r="K23" s="6">
        <v>46226</v>
      </c>
      <c r="L23">
        <v>46226</v>
      </c>
      <c r="M23">
        <v>0</v>
      </c>
      <c r="N23">
        <v>0</v>
      </c>
      <c r="O23">
        <v>0.93973095129516626</v>
      </c>
      <c r="S23">
        <v>0</v>
      </c>
      <c r="T23">
        <v>0</v>
      </c>
      <c r="U23">
        <v>1.0641343659286406</v>
      </c>
    </row>
    <row r="24" spans="1:21" x14ac:dyDescent="0.25">
      <c r="A24" s="12" t="s">
        <v>63</v>
      </c>
      <c r="B24" s="12" t="s">
        <v>38</v>
      </c>
      <c r="C24" s="12" t="s">
        <v>13</v>
      </c>
      <c r="D24" s="12">
        <v>11.738892100106735</v>
      </c>
      <c r="E24" s="12">
        <v>5.6999999999999993</v>
      </c>
      <c r="F24" s="12">
        <v>10</v>
      </c>
      <c r="G24" s="12">
        <v>5.6999999999999993</v>
      </c>
      <c r="H24" s="12">
        <v>10.59375</v>
      </c>
      <c r="I24" s="12" t="s">
        <v>71</v>
      </c>
      <c r="J24">
        <v>1</v>
      </c>
      <c r="K24" s="6">
        <v>46226</v>
      </c>
      <c r="L24">
        <v>46226</v>
      </c>
      <c r="M24">
        <v>0.48556541378791379</v>
      </c>
      <c r="N24">
        <v>0.48556541378791379</v>
      </c>
      <c r="O24">
        <v>0.90244887759924775</v>
      </c>
      <c r="P24">
        <v>2.0594547544046908</v>
      </c>
      <c r="Q24">
        <v>2.0594547544046908</v>
      </c>
      <c r="R24">
        <v>1.8585526315789476</v>
      </c>
      <c r="S24">
        <v>0.53805309734513262</v>
      </c>
      <c r="T24">
        <v>0.53805309734513262</v>
      </c>
      <c r="U24">
        <v>1.1080960094496033</v>
      </c>
    </row>
    <row r="25" spans="1:21" x14ac:dyDescent="0.25">
      <c r="A25" s="12" t="s">
        <v>63</v>
      </c>
      <c r="B25" s="12" t="s">
        <v>38</v>
      </c>
      <c r="C25" s="12" t="s">
        <v>15</v>
      </c>
      <c r="D25" s="12">
        <v>4.2207252494765797</v>
      </c>
      <c r="E25" s="12">
        <v>0.95</v>
      </c>
      <c r="F25" s="12">
        <v>10</v>
      </c>
      <c r="G25" s="12">
        <v>0.95</v>
      </c>
      <c r="H25" s="12">
        <v>2.8125</v>
      </c>
      <c r="I25" s="12" t="s">
        <v>72</v>
      </c>
      <c r="J25">
        <v>1</v>
      </c>
      <c r="K25" s="6">
        <v>46226</v>
      </c>
      <c r="L25">
        <v>46226</v>
      </c>
      <c r="M25">
        <v>0.22507980118293919</v>
      </c>
      <c r="N25">
        <v>0.22507980118293919</v>
      </c>
      <c r="O25">
        <v>0.66635467455475417</v>
      </c>
      <c r="P25">
        <v>4.4428686836595581</v>
      </c>
      <c r="Q25">
        <v>4.4428686836595581</v>
      </c>
      <c r="R25">
        <v>2.9605263157894739</v>
      </c>
      <c r="S25">
        <v>0.33777777777777779</v>
      </c>
      <c r="T25">
        <v>0.33777777777777779</v>
      </c>
      <c r="U25">
        <v>1.5007023109250062</v>
      </c>
    </row>
    <row r="26" spans="1:21" x14ac:dyDescent="0.25">
      <c r="A26" s="12" t="s">
        <v>59</v>
      </c>
      <c r="B26" s="12" t="s">
        <v>38</v>
      </c>
      <c r="C26" s="12" t="s">
        <v>13</v>
      </c>
      <c r="D26" s="12">
        <v>10.973885648639106</v>
      </c>
      <c r="E26" s="12">
        <v>1.9</v>
      </c>
      <c r="F26" s="12">
        <v>10</v>
      </c>
      <c r="G26" s="12">
        <v>1.9</v>
      </c>
      <c r="H26" s="12">
        <v>10.505208333333336</v>
      </c>
      <c r="I26" s="12" t="s">
        <v>73</v>
      </c>
      <c r="K26" s="6">
        <v>46227</v>
      </c>
      <c r="L26">
        <v>46227</v>
      </c>
      <c r="M26">
        <v>0.17313830860226093</v>
      </c>
      <c r="N26">
        <v>0.17313830860226093</v>
      </c>
      <c r="O26">
        <v>0.95729158018300542</v>
      </c>
      <c r="P26">
        <v>5.7757292887574243</v>
      </c>
      <c r="Q26">
        <v>5.7757292887574243</v>
      </c>
      <c r="R26">
        <v>5.5290570175438614</v>
      </c>
      <c r="S26">
        <v>0.18086266732771439</v>
      </c>
      <c r="T26">
        <v>0.18086266732771439</v>
      </c>
      <c r="U26">
        <v>1.0446138049274705</v>
      </c>
    </row>
    <row r="27" spans="1:21" x14ac:dyDescent="0.25">
      <c r="A27" s="12" t="s">
        <v>59</v>
      </c>
      <c r="B27" s="12" t="s">
        <v>38</v>
      </c>
      <c r="C27" s="12" t="s">
        <v>15</v>
      </c>
      <c r="D27" s="12">
        <v>4.2207252494765797</v>
      </c>
      <c r="E27" s="12">
        <v>1.9</v>
      </c>
      <c r="F27" s="12">
        <v>10</v>
      </c>
      <c r="G27" s="12">
        <v>1.9</v>
      </c>
      <c r="H27" s="12">
        <v>4.6875</v>
      </c>
      <c r="I27" s="12" t="s">
        <v>74</v>
      </c>
      <c r="K27" s="6">
        <v>46227</v>
      </c>
      <c r="L27">
        <v>46227</v>
      </c>
      <c r="M27">
        <v>0.45015960236587838</v>
      </c>
      <c r="N27">
        <v>0.45015960236587838</v>
      </c>
      <c r="O27">
        <v>1.1105911242579236</v>
      </c>
      <c r="P27">
        <v>2.2214343418297791</v>
      </c>
      <c r="Q27">
        <v>2.2214343418297791</v>
      </c>
      <c r="R27">
        <v>2.4671052631578947</v>
      </c>
      <c r="S27">
        <v>0.40533333333333332</v>
      </c>
      <c r="T27">
        <v>0.40533333333333332</v>
      </c>
      <c r="U27">
        <v>0.9004213865550037</v>
      </c>
    </row>
    <row r="28" spans="1:21" x14ac:dyDescent="0.25">
      <c r="A28" s="12" t="s">
        <v>59</v>
      </c>
      <c r="B28" s="12" t="s">
        <v>38</v>
      </c>
      <c r="C28" s="12" t="s">
        <v>14</v>
      </c>
      <c r="D28" s="12">
        <v>11.026644714257564</v>
      </c>
      <c r="E28" s="12">
        <v>1.9</v>
      </c>
      <c r="F28" s="12">
        <v>10</v>
      </c>
      <c r="G28" s="12">
        <v>1.9</v>
      </c>
      <c r="H28" s="12">
        <v>11.182291666666668</v>
      </c>
      <c r="I28" s="12" t="s">
        <v>75</v>
      </c>
      <c r="K28" s="6">
        <v>46227</v>
      </c>
      <c r="L28">
        <v>46227</v>
      </c>
      <c r="M28">
        <v>0.17230989564244148</v>
      </c>
      <c r="N28">
        <v>0.17230989564244148</v>
      </c>
      <c r="O28">
        <v>1.0141155316456194</v>
      </c>
      <c r="P28">
        <v>5.8034972180302971</v>
      </c>
      <c r="Q28">
        <v>5.8034972180302971</v>
      </c>
      <c r="R28">
        <v>5.8854166666666679</v>
      </c>
      <c r="S28">
        <v>0.16991150442477873</v>
      </c>
      <c r="T28">
        <v>0.16991150442477873</v>
      </c>
      <c r="U28">
        <v>0.98608094324054596</v>
      </c>
    </row>
    <row r="29" spans="1:21" x14ac:dyDescent="0.25">
      <c r="A29" s="12" t="s">
        <v>63</v>
      </c>
      <c r="B29" s="12" t="s">
        <v>38</v>
      </c>
      <c r="C29" s="12" t="s">
        <v>13</v>
      </c>
      <c r="D29" s="12">
        <v>10.973885648639106</v>
      </c>
      <c r="E29" s="12">
        <v>1.9</v>
      </c>
      <c r="F29" s="12">
        <v>10</v>
      </c>
      <c r="G29" s="12">
        <v>1.9</v>
      </c>
      <c r="H29" s="12">
        <v>10.505208333333336</v>
      </c>
      <c r="I29" s="12" t="s">
        <v>73</v>
      </c>
      <c r="J29">
        <v>1</v>
      </c>
      <c r="K29" s="6">
        <v>46227</v>
      </c>
      <c r="L29">
        <v>46227</v>
      </c>
      <c r="M29">
        <v>0.17313830860226093</v>
      </c>
      <c r="N29">
        <v>0.17313830860226093</v>
      </c>
      <c r="O29">
        <v>0.95729158018300542</v>
      </c>
      <c r="P29">
        <v>5.7757292887574243</v>
      </c>
      <c r="Q29">
        <v>5.7757292887574243</v>
      </c>
      <c r="R29">
        <v>5.5290570175438614</v>
      </c>
      <c r="S29">
        <v>0.18086266732771439</v>
      </c>
      <c r="T29">
        <v>0.18086266732771439</v>
      </c>
      <c r="U29">
        <v>1.0446138049274705</v>
      </c>
    </row>
    <row r="30" spans="1:21" x14ac:dyDescent="0.25">
      <c r="A30" s="12" t="s">
        <v>63</v>
      </c>
      <c r="B30" s="12" t="s">
        <v>38</v>
      </c>
      <c r="C30" s="12" t="s">
        <v>15</v>
      </c>
      <c r="D30" s="12">
        <v>4.2207252494765797</v>
      </c>
      <c r="E30" s="12">
        <v>1.9</v>
      </c>
      <c r="F30" s="12">
        <v>10</v>
      </c>
      <c r="G30" s="12">
        <v>1.9</v>
      </c>
      <c r="H30" s="12">
        <v>4.6875</v>
      </c>
      <c r="I30" s="12" t="s">
        <v>74</v>
      </c>
      <c r="J30">
        <v>1</v>
      </c>
      <c r="K30" s="6">
        <v>46227</v>
      </c>
      <c r="L30">
        <v>46227</v>
      </c>
      <c r="M30">
        <v>0.45015960236587838</v>
      </c>
      <c r="N30">
        <v>0.45015960236587838</v>
      </c>
      <c r="O30">
        <v>1.1105911242579236</v>
      </c>
      <c r="P30">
        <v>2.2214343418297791</v>
      </c>
      <c r="Q30">
        <v>2.2214343418297791</v>
      </c>
      <c r="R30">
        <v>2.4671052631578947</v>
      </c>
      <c r="S30">
        <v>0.40533333333333332</v>
      </c>
      <c r="T30">
        <v>0.40533333333333332</v>
      </c>
      <c r="U30">
        <v>0.9004213865550037</v>
      </c>
    </row>
    <row r="31" spans="1:21" x14ac:dyDescent="0.25">
      <c r="A31" s="12" t="s">
        <v>63</v>
      </c>
      <c r="B31" s="12" t="s">
        <v>38</v>
      </c>
      <c r="C31" s="12" t="s">
        <v>14</v>
      </c>
      <c r="D31" s="12">
        <v>11.026644714257564</v>
      </c>
      <c r="E31" s="12">
        <v>1.9</v>
      </c>
      <c r="F31" s="12">
        <v>10</v>
      </c>
      <c r="G31" s="12">
        <v>1.9</v>
      </c>
      <c r="H31" s="12">
        <v>11.182291666666668</v>
      </c>
      <c r="I31" s="12" t="s">
        <v>75</v>
      </c>
      <c r="J31">
        <v>1</v>
      </c>
      <c r="K31" s="6">
        <v>46227</v>
      </c>
      <c r="L31">
        <v>46227</v>
      </c>
      <c r="M31">
        <v>0.17230989564244148</v>
      </c>
      <c r="N31">
        <v>0.17230989564244148</v>
      </c>
      <c r="O31">
        <v>1.0141155316456194</v>
      </c>
      <c r="P31">
        <v>5.8034972180302971</v>
      </c>
      <c r="Q31">
        <v>5.8034972180302971</v>
      </c>
      <c r="R31">
        <v>5.8854166666666679</v>
      </c>
      <c r="S31">
        <v>0.16991150442477873</v>
      </c>
      <c r="T31">
        <v>0.16991150442477873</v>
      </c>
      <c r="U31">
        <v>0.98608094324054596</v>
      </c>
    </row>
    <row r="32" spans="1:21" x14ac:dyDescent="0.25">
      <c r="A32" s="12" t="s">
        <v>59</v>
      </c>
      <c r="B32" s="12" t="s">
        <v>38</v>
      </c>
      <c r="C32" s="12" t="s">
        <v>13</v>
      </c>
      <c r="D32" s="12">
        <v>11.026644714257564</v>
      </c>
      <c r="E32" s="12">
        <v>5.6999999999999993</v>
      </c>
      <c r="F32" s="12">
        <v>10</v>
      </c>
      <c r="G32" s="12">
        <v>5.6999999999999993</v>
      </c>
      <c r="H32" s="12">
        <v>11.253676470588236</v>
      </c>
      <c r="I32" s="12" t="s">
        <v>76</v>
      </c>
      <c r="K32" s="6">
        <v>46228</v>
      </c>
      <c r="L32">
        <v>46228</v>
      </c>
      <c r="M32">
        <v>0.51692968692732444</v>
      </c>
      <c r="N32">
        <v>0.51692968692732444</v>
      </c>
      <c r="O32">
        <v>1.0205893780215043</v>
      </c>
      <c r="P32">
        <v>1.9344990726767659</v>
      </c>
      <c r="Q32">
        <v>1.9344990726767659</v>
      </c>
      <c r="R32">
        <v>1.9743292053663573</v>
      </c>
      <c r="S32">
        <v>0.50650114341718389</v>
      </c>
      <c r="T32">
        <v>0.50650114341718389</v>
      </c>
      <c r="U32">
        <v>0.97982599225026379</v>
      </c>
    </row>
    <row r="33" spans="1:21" x14ac:dyDescent="0.25">
      <c r="A33" s="12" t="s">
        <v>59</v>
      </c>
      <c r="B33" s="12" t="s">
        <v>38</v>
      </c>
      <c r="C33" s="12" t="s">
        <v>15</v>
      </c>
      <c r="D33" s="12">
        <v>4.2207252494765797</v>
      </c>
      <c r="E33" s="12">
        <v>0</v>
      </c>
      <c r="F33" s="12">
        <v>10</v>
      </c>
      <c r="G33" s="12">
        <v>0</v>
      </c>
      <c r="H33" s="12">
        <v>4.6875</v>
      </c>
      <c r="I33" s="12" t="s">
        <v>77</v>
      </c>
      <c r="K33" s="6">
        <v>46228</v>
      </c>
      <c r="L33">
        <v>46228</v>
      </c>
      <c r="M33">
        <v>0</v>
      </c>
      <c r="N33">
        <v>0</v>
      </c>
      <c r="O33">
        <v>1.1105911242579236</v>
      </c>
      <c r="S33">
        <v>0</v>
      </c>
      <c r="T33">
        <v>0</v>
      </c>
      <c r="U33">
        <v>0.9004213865550037</v>
      </c>
    </row>
    <row r="34" spans="1:21" x14ac:dyDescent="0.25">
      <c r="A34" s="12" t="s">
        <v>59</v>
      </c>
      <c r="B34" s="12" t="s">
        <v>38</v>
      </c>
      <c r="C34" s="12" t="s">
        <v>14</v>
      </c>
      <c r="D34" s="12">
        <v>10.973885648639106</v>
      </c>
      <c r="E34" s="12">
        <v>1.9</v>
      </c>
      <c r="F34" s="12">
        <v>10</v>
      </c>
      <c r="G34" s="12">
        <v>1.9</v>
      </c>
      <c r="H34" s="12">
        <v>11.308823529411764</v>
      </c>
      <c r="I34" s="12" t="s">
        <v>78</v>
      </c>
      <c r="K34" s="6">
        <v>46228</v>
      </c>
      <c r="L34">
        <v>46228</v>
      </c>
      <c r="M34">
        <v>0.17313830860226093</v>
      </c>
      <c r="N34">
        <v>0.17313830860226093</v>
      </c>
      <c r="O34">
        <v>1.0305213569283178</v>
      </c>
      <c r="P34">
        <v>5.7757292887574243</v>
      </c>
      <c r="Q34">
        <v>5.7757292887574243</v>
      </c>
      <c r="R34">
        <v>5.9520123839009287</v>
      </c>
      <c r="S34">
        <v>0.16801040312093626</v>
      </c>
      <c r="T34">
        <v>0.16801040312093626</v>
      </c>
      <c r="U34">
        <v>0.97038260612153349</v>
      </c>
    </row>
    <row r="35" spans="1:21" x14ac:dyDescent="0.25">
      <c r="A35" s="12" t="s">
        <v>63</v>
      </c>
      <c r="B35" s="12" t="s">
        <v>38</v>
      </c>
      <c r="C35" s="12" t="s">
        <v>13</v>
      </c>
      <c r="D35" s="12">
        <v>11.026644714257564</v>
      </c>
      <c r="E35" s="12">
        <v>5.6999999999999993</v>
      </c>
      <c r="F35" s="12">
        <v>10</v>
      </c>
      <c r="G35" s="12">
        <v>5.6999999999999993</v>
      </c>
      <c r="H35" s="12">
        <v>11.253676470588236</v>
      </c>
      <c r="I35" s="12" t="s">
        <v>76</v>
      </c>
      <c r="J35">
        <v>1</v>
      </c>
      <c r="K35" s="6">
        <v>46228</v>
      </c>
      <c r="L35">
        <v>46228</v>
      </c>
      <c r="M35">
        <v>0.51692968692732444</v>
      </c>
      <c r="N35">
        <v>0.51692968692732444</v>
      </c>
      <c r="O35">
        <v>1.0205893780215043</v>
      </c>
      <c r="P35">
        <v>1.9344990726767659</v>
      </c>
      <c r="Q35">
        <v>1.9344990726767659</v>
      </c>
      <c r="R35">
        <v>1.9743292053663573</v>
      </c>
      <c r="S35">
        <v>0.50650114341718389</v>
      </c>
      <c r="T35">
        <v>0.50650114341718389</v>
      </c>
      <c r="U35">
        <v>0.97982599225026379</v>
      </c>
    </row>
    <row r="36" spans="1:21" x14ac:dyDescent="0.25">
      <c r="A36" s="12" t="s">
        <v>63</v>
      </c>
      <c r="B36" s="12" t="s">
        <v>38</v>
      </c>
      <c r="C36" s="12" t="s">
        <v>15</v>
      </c>
      <c r="D36" s="12">
        <v>4.2207252494765797</v>
      </c>
      <c r="E36" s="12">
        <v>0</v>
      </c>
      <c r="F36" s="12">
        <v>10</v>
      </c>
      <c r="G36" s="12">
        <v>0</v>
      </c>
      <c r="H36" s="12">
        <v>4.6875</v>
      </c>
      <c r="I36" s="12" t="s">
        <v>77</v>
      </c>
      <c r="J36">
        <v>1</v>
      </c>
      <c r="K36" s="6">
        <v>46228</v>
      </c>
      <c r="L36">
        <v>46228</v>
      </c>
      <c r="M36">
        <v>0</v>
      </c>
      <c r="N36">
        <v>0</v>
      </c>
      <c r="O36">
        <v>1.1105911242579236</v>
      </c>
      <c r="S36">
        <v>0</v>
      </c>
      <c r="T36">
        <v>0</v>
      </c>
      <c r="U36">
        <v>0.9004213865550037</v>
      </c>
    </row>
    <row r="37" spans="1:21" x14ac:dyDescent="0.25">
      <c r="A37" s="12" t="s">
        <v>63</v>
      </c>
      <c r="B37" s="12" t="s">
        <v>38</v>
      </c>
      <c r="C37" s="12" t="s">
        <v>14</v>
      </c>
      <c r="D37" s="12">
        <v>10.973885648639106</v>
      </c>
      <c r="E37" s="12">
        <v>1.9</v>
      </c>
      <c r="F37" s="12">
        <v>10</v>
      </c>
      <c r="G37" s="12">
        <v>1.9</v>
      </c>
      <c r="H37" s="12">
        <v>11.308823529411764</v>
      </c>
      <c r="I37" s="12" t="s">
        <v>78</v>
      </c>
      <c r="J37">
        <v>1</v>
      </c>
      <c r="K37" s="6">
        <v>46228</v>
      </c>
      <c r="L37">
        <v>46228</v>
      </c>
      <c r="M37">
        <v>0.17313830860226093</v>
      </c>
      <c r="N37">
        <v>0.17313830860226093</v>
      </c>
      <c r="O37">
        <v>1.0305213569283178</v>
      </c>
      <c r="P37">
        <v>5.7757292887574243</v>
      </c>
      <c r="Q37">
        <v>5.7757292887574243</v>
      </c>
      <c r="R37">
        <v>5.9520123839009287</v>
      </c>
      <c r="S37">
        <v>0.16801040312093626</v>
      </c>
      <c r="T37">
        <v>0.16801040312093626</v>
      </c>
      <c r="U37">
        <v>0.97038260612153349</v>
      </c>
    </row>
    <row r="38" spans="1:21" x14ac:dyDescent="0.25">
      <c r="A38" s="12" t="s">
        <v>59</v>
      </c>
      <c r="B38" s="12" t="s">
        <v>38</v>
      </c>
      <c r="C38" s="12" t="s">
        <v>15</v>
      </c>
      <c r="D38" s="12">
        <v>4.2207252494765797</v>
      </c>
      <c r="E38" s="12">
        <v>0.95</v>
      </c>
      <c r="F38" s="12">
        <v>10</v>
      </c>
      <c r="G38" s="12">
        <v>0.95</v>
      </c>
      <c r="H38" s="12">
        <v>4.6875</v>
      </c>
      <c r="I38" s="12" t="s">
        <v>79</v>
      </c>
      <c r="K38" s="6">
        <v>46229</v>
      </c>
      <c r="L38">
        <v>46229</v>
      </c>
      <c r="M38">
        <v>0.22507980118293919</v>
      </c>
      <c r="N38">
        <v>0.22507980118293919</v>
      </c>
      <c r="O38">
        <v>1.1105911242579236</v>
      </c>
      <c r="P38">
        <v>4.4428686836595581</v>
      </c>
      <c r="Q38">
        <v>4.4428686836595581</v>
      </c>
      <c r="R38">
        <v>4.9342105263157894</v>
      </c>
      <c r="S38">
        <v>0.20266666666666666</v>
      </c>
      <c r="T38">
        <v>0.20266666666666666</v>
      </c>
      <c r="U38">
        <v>0.9004213865550037</v>
      </c>
    </row>
    <row r="39" spans="1:21" x14ac:dyDescent="0.25">
      <c r="A39" s="12" t="s">
        <v>59</v>
      </c>
      <c r="B39" s="12" t="s">
        <v>38</v>
      </c>
      <c r="C39" s="12" t="s">
        <v>14</v>
      </c>
      <c r="D39" s="12">
        <v>11.818030698534422</v>
      </c>
      <c r="E39" s="12">
        <v>5.6999999999999993</v>
      </c>
      <c r="F39" s="12">
        <v>10</v>
      </c>
      <c r="G39" s="12">
        <v>5.6999999999999993</v>
      </c>
      <c r="H39" s="12">
        <v>11.994791666666666</v>
      </c>
      <c r="I39" s="12" t="s">
        <v>80</v>
      </c>
      <c r="K39" s="6">
        <v>46229</v>
      </c>
      <c r="L39">
        <v>46229</v>
      </c>
      <c r="M39">
        <v>0.48231385967772683</v>
      </c>
      <c r="N39">
        <v>0.48231385967772683</v>
      </c>
      <c r="O39">
        <v>1.0149568885579359</v>
      </c>
      <c r="P39">
        <v>2.0733387190411268</v>
      </c>
      <c r="Q39">
        <v>2.0733387190411268</v>
      </c>
      <c r="R39">
        <v>2.1043494152046787</v>
      </c>
      <c r="S39">
        <v>0.47520625271385147</v>
      </c>
      <c r="T39">
        <v>0.47520625271385147</v>
      </c>
      <c r="U39">
        <v>0.98526352328207079</v>
      </c>
    </row>
    <row r="40" spans="1:21" x14ac:dyDescent="0.25">
      <c r="A40" s="12" t="s">
        <v>59</v>
      </c>
      <c r="B40" s="12" t="s">
        <v>38</v>
      </c>
      <c r="C40" s="12" t="s">
        <v>13</v>
      </c>
      <c r="D40" s="12">
        <v>10.973885648639108</v>
      </c>
      <c r="E40" s="12">
        <v>1.9</v>
      </c>
      <c r="F40" s="12">
        <v>10</v>
      </c>
      <c r="G40" s="12">
        <v>1.9</v>
      </c>
      <c r="H40" s="12">
        <v>11</v>
      </c>
      <c r="I40" s="12" t="s">
        <v>81</v>
      </c>
      <c r="K40" s="6">
        <v>46229</v>
      </c>
      <c r="L40">
        <v>46229</v>
      </c>
      <c r="M40">
        <v>0.1731383086022609</v>
      </c>
      <c r="N40">
        <v>0.1731383086022609</v>
      </c>
      <c r="O40">
        <v>1.0023796813815105</v>
      </c>
      <c r="P40">
        <v>5.7757292887574252</v>
      </c>
      <c r="Q40">
        <v>5.7757292887574252</v>
      </c>
      <c r="R40">
        <v>5.7894736842105265</v>
      </c>
      <c r="S40">
        <v>0.17272727272727273</v>
      </c>
      <c r="T40">
        <v>0.17272727272727273</v>
      </c>
      <c r="U40">
        <v>0.99762596805810067</v>
      </c>
    </row>
    <row r="41" spans="1:21" x14ac:dyDescent="0.25">
      <c r="A41" s="12" t="s">
        <v>63</v>
      </c>
      <c r="B41" s="12" t="s">
        <v>38</v>
      </c>
      <c r="C41" s="12" t="s">
        <v>15</v>
      </c>
      <c r="D41" s="12">
        <v>4.2207252494765797</v>
      </c>
      <c r="E41" s="12">
        <v>0.95</v>
      </c>
      <c r="F41" s="12">
        <v>10</v>
      </c>
      <c r="G41" s="12">
        <v>0.95</v>
      </c>
      <c r="H41" s="12">
        <v>4.6875</v>
      </c>
      <c r="I41" s="12" t="s">
        <v>79</v>
      </c>
      <c r="J41">
        <v>1</v>
      </c>
      <c r="K41" s="6">
        <v>46229</v>
      </c>
      <c r="L41">
        <v>46229</v>
      </c>
      <c r="M41">
        <v>0.22507980118293919</v>
      </c>
      <c r="N41">
        <v>0.22507980118293919</v>
      </c>
      <c r="O41">
        <v>1.1105911242579236</v>
      </c>
      <c r="P41">
        <v>4.4428686836595581</v>
      </c>
      <c r="Q41">
        <v>4.4428686836595581</v>
      </c>
      <c r="R41">
        <v>4.9342105263157894</v>
      </c>
      <c r="S41">
        <v>0.20266666666666666</v>
      </c>
      <c r="T41">
        <v>0.20266666666666666</v>
      </c>
      <c r="U41">
        <v>0.9004213865550037</v>
      </c>
    </row>
    <row r="42" spans="1:21" x14ac:dyDescent="0.25">
      <c r="A42" s="12" t="s">
        <v>63</v>
      </c>
      <c r="B42" s="12" t="s">
        <v>38</v>
      </c>
      <c r="C42" s="12" t="s">
        <v>14</v>
      </c>
      <c r="D42" s="12">
        <v>11.818030698534422</v>
      </c>
      <c r="E42" s="12">
        <v>5.6999999999999993</v>
      </c>
      <c r="F42" s="12">
        <v>10</v>
      </c>
      <c r="G42" s="12">
        <v>5.6999999999999993</v>
      </c>
      <c r="H42" s="12">
        <v>11.994791666666666</v>
      </c>
      <c r="I42" s="12" t="s">
        <v>80</v>
      </c>
      <c r="J42">
        <v>1</v>
      </c>
      <c r="K42" s="6">
        <v>46229</v>
      </c>
      <c r="L42">
        <v>46229</v>
      </c>
      <c r="M42">
        <v>0.48231385967772683</v>
      </c>
      <c r="N42">
        <v>0.48231385967772683</v>
      </c>
      <c r="O42">
        <v>1.0149568885579359</v>
      </c>
      <c r="P42">
        <v>2.0733387190411268</v>
      </c>
      <c r="Q42">
        <v>2.0733387190411268</v>
      </c>
      <c r="R42">
        <v>2.1043494152046787</v>
      </c>
      <c r="S42">
        <v>0.47520625271385147</v>
      </c>
      <c r="T42">
        <v>0.47520625271385147</v>
      </c>
      <c r="U42">
        <v>0.98526352328207079</v>
      </c>
    </row>
    <row r="43" spans="1:21" x14ac:dyDescent="0.25">
      <c r="A43" s="12" t="s">
        <v>63</v>
      </c>
      <c r="B43" s="12" t="s">
        <v>38</v>
      </c>
      <c r="C43" s="12" t="s">
        <v>13</v>
      </c>
      <c r="D43" s="12">
        <v>10.973885648639108</v>
      </c>
      <c r="E43" s="12">
        <v>1.9</v>
      </c>
      <c r="F43" s="12">
        <v>10</v>
      </c>
      <c r="G43" s="12">
        <v>1.9</v>
      </c>
      <c r="H43" s="12">
        <v>11</v>
      </c>
      <c r="I43" s="12" t="s">
        <v>81</v>
      </c>
      <c r="J43">
        <v>1</v>
      </c>
      <c r="K43" s="6">
        <v>46229</v>
      </c>
      <c r="L43">
        <v>46229</v>
      </c>
      <c r="M43">
        <v>0.1731383086022609</v>
      </c>
      <c r="N43">
        <v>0.1731383086022609</v>
      </c>
      <c r="O43">
        <v>1.0023796813815105</v>
      </c>
      <c r="P43">
        <v>5.7757292887574252</v>
      </c>
      <c r="Q43">
        <v>5.7757292887574252</v>
      </c>
      <c r="R43">
        <v>5.7894736842105265</v>
      </c>
      <c r="S43">
        <v>0.17272727272727273</v>
      </c>
      <c r="T43">
        <v>0.17272727272727273</v>
      </c>
      <c r="U43">
        <v>0.99762596805810067</v>
      </c>
    </row>
    <row r="44" spans="1:21" x14ac:dyDescent="0.25">
      <c r="A44" s="12" t="s">
        <v>59</v>
      </c>
      <c r="B44" s="12" t="s">
        <v>38</v>
      </c>
      <c r="C44" s="12" t="s">
        <v>14</v>
      </c>
      <c r="D44" s="12">
        <v>10.973885648639106</v>
      </c>
      <c r="E44" s="12">
        <v>0.95</v>
      </c>
      <c r="F44" s="12">
        <v>10</v>
      </c>
      <c r="G44" s="12">
        <v>0.95</v>
      </c>
      <c r="H44" s="12">
        <v>10.955208333333331</v>
      </c>
      <c r="I44" s="12" t="s">
        <v>82</v>
      </c>
      <c r="K44" s="6">
        <v>46230</v>
      </c>
      <c r="L44">
        <v>46230</v>
      </c>
      <c r="M44">
        <v>8.6569154301130463E-2</v>
      </c>
      <c r="N44">
        <v>8.6569154301130463E-2</v>
      </c>
      <c r="O44">
        <v>0.99829802169406689</v>
      </c>
      <c r="P44">
        <v>11.551458577514849</v>
      </c>
      <c r="Q44">
        <v>11.551458577514849</v>
      </c>
      <c r="R44">
        <v>11.531798245614034</v>
      </c>
      <c r="S44">
        <v>8.6716744318722075E-2</v>
      </c>
      <c r="T44">
        <v>8.6716744318722075E-2</v>
      </c>
      <c r="U44">
        <v>1.0017048799746642</v>
      </c>
    </row>
    <row r="45" spans="1:21" x14ac:dyDescent="0.25">
      <c r="A45" s="12" t="s">
        <v>59</v>
      </c>
      <c r="B45" s="12" t="s">
        <v>38</v>
      </c>
      <c r="C45" s="12" t="s">
        <v>13</v>
      </c>
      <c r="D45" s="12">
        <v>11.870789764152878</v>
      </c>
      <c r="E45" s="12">
        <v>4.75</v>
      </c>
      <c r="F45" s="12">
        <v>10</v>
      </c>
      <c r="G45" s="12">
        <v>4.75</v>
      </c>
      <c r="H45" s="12">
        <v>11.966666666666669</v>
      </c>
      <c r="I45" s="12" t="s">
        <v>83</v>
      </c>
      <c r="K45" s="6">
        <v>46230</v>
      </c>
      <c r="L45">
        <v>46230</v>
      </c>
      <c r="M45">
        <v>0.40014186876966978</v>
      </c>
      <c r="N45">
        <v>0.40014186876966978</v>
      </c>
      <c r="O45">
        <v>1.0080767079881507</v>
      </c>
      <c r="P45">
        <v>2.4991136345585008</v>
      </c>
      <c r="Q45">
        <v>2.4991136345585008</v>
      </c>
      <c r="R45">
        <v>2.5192982456140354</v>
      </c>
      <c r="S45">
        <v>0.39693593314763226</v>
      </c>
      <c r="T45">
        <v>0.39693593314763226</v>
      </c>
      <c r="U45">
        <v>0.99198800257544928</v>
      </c>
    </row>
    <row r="46" spans="1:21" x14ac:dyDescent="0.25">
      <c r="A46" s="12" t="s">
        <v>59</v>
      </c>
      <c r="B46" s="12" t="s">
        <v>38</v>
      </c>
      <c r="C46" s="12" t="s">
        <v>15</v>
      </c>
      <c r="D46" s="12">
        <v>4.2207252494765797</v>
      </c>
      <c r="E46" s="12">
        <v>0</v>
      </c>
      <c r="F46" s="12">
        <v>10</v>
      </c>
      <c r="G46" s="12">
        <v>0</v>
      </c>
      <c r="H46" s="12">
        <v>4.6875</v>
      </c>
      <c r="I46" s="12" t="s">
        <v>84</v>
      </c>
      <c r="K46" s="6">
        <v>46230</v>
      </c>
      <c r="L46">
        <v>46230</v>
      </c>
      <c r="M46">
        <v>0</v>
      </c>
      <c r="N46">
        <v>0</v>
      </c>
      <c r="O46">
        <v>1.1105911242579236</v>
      </c>
      <c r="S46">
        <v>0</v>
      </c>
      <c r="T46">
        <v>0</v>
      </c>
      <c r="U46">
        <v>0.9004213865550037</v>
      </c>
    </row>
    <row r="47" spans="1:21" x14ac:dyDescent="0.25">
      <c r="A47" s="12" t="s">
        <v>63</v>
      </c>
      <c r="B47" s="12" t="s">
        <v>38</v>
      </c>
      <c r="C47" s="12" t="s">
        <v>14</v>
      </c>
      <c r="D47" s="12">
        <v>10.973885648639106</v>
      </c>
      <c r="E47" s="12">
        <v>0.95</v>
      </c>
      <c r="F47" s="12">
        <v>10</v>
      </c>
      <c r="G47" s="12">
        <v>0.95</v>
      </c>
      <c r="H47" s="12">
        <v>10.955208333333331</v>
      </c>
      <c r="I47" s="12" t="s">
        <v>82</v>
      </c>
      <c r="J47">
        <v>1</v>
      </c>
      <c r="K47" s="6">
        <v>46230</v>
      </c>
      <c r="L47">
        <v>46230</v>
      </c>
      <c r="M47">
        <v>8.6569154301130463E-2</v>
      </c>
      <c r="N47">
        <v>8.6569154301130463E-2</v>
      </c>
      <c r="O47">
        <v>0.99829802169406689</v>
      </c>
      <c r="P47">
        <v>11.551458577514849</v>
      </c>
      <c r="Q47">
        <v>11.551458577514849</v>
      </c>
      <c r="R47">
        <v>11.531798245614034</v>
      </c>
      <c r="S47">
        <v>8.6716744318722075E-2</v>
      </c>
      <c r="T47">
        <v>8.6716744318722075E-2</v>
      </c>
      <c r="U47">
        <v>1.0017048799746642</v>
      </c>
    </row>
    <row r="48" spans="1:21" x14ac:dyDescent="0.25">
      <c r="A48" s="12" t="s">
        <v>63</v>
      </c>
      <c r="B48" s="12" t="s">
        <v>38</v>
      </c>
      <c r="C48" s="12" t="s">
        <v>13</v>
      </c>
      <c r="D48" s="12">
        <v>11.870789764152878</v>
      </c>
      <c r="E48" s="12">
        <v>4.75</v>
      </c>
      <c r="F48" s="12">
        <v>10</v>
      </c>
      <c r="G48" s="12">
        <v>4.75</v>
      </c>
      <c r="H48" s="12">
        <v>11.966666666666669</v>
      </c>
      <c r="I48" s="12" t="s">
        <v>83</v>
      </c>
      <c r="J48">
        <v>1</v>
      </c>
      <c r="K48" s="6">
        <v>46230</v>
      </c>
      <c r="L48">
        <v>46230</v>
      </c>
      <c r="M48">
        <v>0.40014186876966978</v>
      </c>
      <c r="N48">
        <v>0.40014186876966978</v>
      </c>
      <c r="O48">
        <v>1.0080767079881507</v>
      </c>
      <c r="P48">
        <v>2.4991136345585008</v>
      </c>
      <c r="Q48">
        <v>2.4991136345585008</v>
      </c>
      <c r="R48">
        <v>2.5192982456140354</v>
      </c>
      <c r="S48">
        <v>0.39693593314763226</v>
      </c>
      <c r="T48">
        <v>0.39693593314763226</v>
      </c>
      <c r="U48">
        <v>0.99198800257544928</v>
      </c>
    </row>
    <row r="49" spans="1:21" x14ac:dyDescent="0.25">
      <c r="A49" s="12" t="s">
        <v>63</v>
      </c>
      <c r="B49" s="12" t="s">
        <v>38</v>
      </c>
      <c r="C49" s="12" t="s">
        <v>15</v>
      </c>
      <c r="D49" s="12">
        <v>4.2207252494765797</v>
      </c>
      <c r="E49" s="12">
        <v>0</v>
      </c>
      <c r="F49" s="12">
        <v>10</v>
      </c>
      <c r="G49" s="12">
        <v>0</v>
      </c>
      <c r="H49" s="12">
        <v>4.6875</v>
      </c>
      <c r="I49" s="12" t="s">
        <v>84</v>
      </c>
      <c r="J49">
        <v>1</v>
      </c>
      <c r="K49" s="6">
        <v>46230</v>
      </c>
      <c r="L49">
        <v>46230</v>
      </c>
      <c r="M49">
        <v>0</v>
      </c>
      <c r="N49">
        <v>0</v>
      </c>
      <c r="O49">
        <v>1.1105911242579236</v>
      </c>
      <c r="S49">
        <v>0</v>
      </c>
      <c r="T49">
        <v>0</v>
      </c>
      <c r="U49">
        <v>0.9004213865550037</v>
      </c>
    </row>
    <row r="50" spans="1:21" x14ac:dyDescent="0.25">
      <c r="A50" s="12" t="s">
        <v>59</v>
      </c>
      <c r="B50" s="12" t="s">
        <v>38</v>
      </c>
      <c r="C50" s="12" t="s">
        <v>14</v>
      </c>
      <c r="D50" s="12">
        <v>10.973885648639106</v>
      </c>
      <c r="E50" s="12">
        <v>0.95</v>
      </c>
      <c r="F50" s="12">
        <v>10</v>
      </c>
      <c r="G50" s="12">
        <v>0.95</v>
      </c>
      <c r="H50" s="12">
        <v>11.262499999999999</v>
      </c>
      <c r="I50" s="12" t="s">
        <v>85</v>
      </c>
      <c r="K50" s="6">
        <v>46231</v>
      </c>
      <c r="L50">
        <v>46231</v>
      </c>
      <c r="M50">
        <v>8.6569154301130463E-2</v>
      </c>
      <c r="N50">
        <v>8.6569154301130463E-2</v>
      </c>
      <c r="O50">
        <v>1.0263001055962966</v>
      </c>
      <c r="P50">
        <v>11.551458577514849</v>
      </c>
      <c r="Q50">
        <v>11.551458577514849</v>
      </c>
      <c r="R50">
        <v>11.855263157894736</v>
      </c>
      <c r="S50">
        <v>8.4350721420643732E-2</v>
      </c>
      <c r="T50">
        <v>8.4350721420643732E-2</v>
      </c>
      <c r="U50">
        <v>0.97437386447406049</v>
      </c>
    </row>
    <row r="51" spans="1:21" x14ac:dyDescent="0.25">
      <c r="A51" s="12" t="s">
        <v>59</v>
      </c>
      <c r="B51" s="12" t="s">
        <v>38</v>
      </c>
      <c r="C51" s="12" t="s">
        <v>15</v>
      </c>
      <c r="D51" s="12">
        <v>4.2207252494765797</v>
      </c>
      <c r="E51" s="12">
        <v>0</v>
      </c>
      <c r="F51" s="12">
        <v>10</v>
      </c>
      <c r="G51" s="12">
        <v>0</v>
      </c>
      <c r="H51" s="12">
        <v>4.6875</v>
      </c>
      <c r="I51" s="12" t="s">
        <v>86</v>
      </c>
      <c r="K51" s="6">
        <v>46231</v>
      </c>
      <c r="L51">
        <v>46231</v>
      </c>
      <c r="M51">
        <v>0</v>
      </c>
      <c r="N51">
        <v>0</v>
      </c>
      <c r="O51">
        <v>1.1105911242579236</v>
      </c>
      <c r="S51">
        <v>0</v>
      </c>
      <c r="T51">
        <v>0</v>
      </c>
      <c r="U51">
        <v>0.9004213865550037</v>
      </c>
    </row>
    <row r="52" spans="1:21" x14ac:dyDescent="0.25">
      <c r="A52" s="12" t="s">
        <v>59</v>
      </c>
      <c r="B52" s="12" t="s">
        <v>38</v>
      </c>
      <c r="C52" s="12" t="s">
        <v>13</v>
      </c>
      <c r="D52" s="12">
        <v>11.738892100106735</v>
      </c>
      <c r="E52" s="12">
        <v>3.8</v>
      </c>
      <c r="F52" s="12">
        <v>10</v>
      </c>
      <c r="G52" s="12">
        <v>3.8</v>
      </c>
      <c r="H52" s="12">
        <v>9.5187500000000007</v>
      </c>
      <c r="I52" s="12" t="s">
        <v>87</v>
      </c>
      <c r="K52" s="6">
        <v>46231</v>
      </c>
      <c r="L52">
        <v>46231</v>
      </c>
      <c r="M52">
        <v>0.32371027585860923</v>
      </c>
      <c r="N52">
        <v>0.32371027585860923</v>
      </c>
      <c r="O52">
        <v>0.8108729442971413</v>
      </c>
      <c r="P52">
        <v>3.0891821316070356</v>
      </c>
      <c r="Q52">
        <v>3.0891821316070356</v>
      </c>
      <c r="R52">
        <v>2.5049342105263159</v>
      </c>
      <c r="S52">
        <v>0.39921208141825337</v>
      </c>
      <c r="T52">
        <v>0.39921208141825337</v>
      </c>
      <c r="U52">
        <v>1.2332388286389215</v>
      </c>
    </row>
    <row r="53" spans="1:21" x14ac:dyDescent="0.25">
      <c r="A53" s="12" t="s">
        <v>63</v>
      </c>
      <c r="B53" s="12" t="s">
        <v>38</v>
      </c>
      <c r="C53" s="12" t="s">
        <v>14</v>
      </c>
      <c r="D53" s="12">
        <v>10.973885648639106</v>
      </c>
      <c r="E53" s="12">
        <v>0.95</v>
      </c>
      <c r="F53" s="12">
        <v>10</v>
      </c>
      <c r="G53" s="12">
        <v>0.95</v>
      </c>
      <c r="H53" s="12">
        <v>11.262499999999999</v>
      </c>
      <c r="I53" s="12" t="s">
        <v>85</v>
      </c>
      <c r="J53">
        <v>1</v>
      </c>
      <c r="K53" s="6">
        <v>46231</v>
      </c>
      <c r="L53">
        <v>46231</v>
      </c>
      <c r="M53">
        <v>8.6569154301130463E-2</v>
      </c>
      <c r="N53">
        <v>8.6569154301130463E-2</v>
      </c>
      <c r="O53">
        <v>1.0263001055962966</v>
      </c>
      <c r="P53">
        <v>11.551458577514849</v>
      </c>
      <c r="Q53">
        <v>11.551458577514849</v>
      </c>
      <c r="R53">
        <v>11.855263157894736</v>
      </c>
      <c r="S53">
        <v>8.4350721420643732E-2</v>
      </c>
      <c r="T53">
        <v>8.4350721420643732E-2</v>
      </c>
      <c r="U53">
        <v>0.97437386447406049</v>
      </c>
    </row>
    <row r="54" spans="1:21" x14ac:dyDescent="0.25">
      <c r="A54" s="12" t="s">
        <v>63</v>
      </c>
      <c r="B54" s="12" t="s">
        <v>38</v>
      </c>
      <c r="C54" s="12" t="s">
        <v>15</v>
      </c>
      <c r="D54" s="12">
        <v>4.2207252494765797</v>
      </c>
      <c r="E54" s="12">
        <v>0</v>
      </c>
      <c r="F54" s="12">
        <v>10</v>
      </c>
      <c r="G54" s="12">
        <v>0</v>
      </c>
      <c r="H54" s="12">
        <v>4.6875</v>
      </c>
      <c r="I54" s="12" t="s">
        <v>86</v>
      </c>
      <c r="J54">
        <v>1</v>
      </c>
      <c r="K54" s="6">
        <v>46231</v>
      </c>
      <c r="L54">
        <v>46231</v>
      </c>
      <c r="M54">
        <v>0</v>
      </c>
      <c r="N54">
        <v>0</v>
      </c>
      <c r="O54">
        <v>1.1105911242579236</v>
      </c>
      <c r="S54">
        <v>0</v>
      </c>
      <c r="T54">
        <v>0</v>
      </c>
      <c r="U54">
        <v>0.9004213865550037</v>
      </c>
    </row>
    <row r="55" spans="1:21" x14ac:dyDescent="0.25">
      <c r="A55" s="12" t="s">
        <v>63</v>
      </c>
      <c r="B55" s="12" t="s">
        <v>38</v>
      </c>
      <c r="C55" s="12" t="s">
        <v>13</v>
      </c>
      <c r="D55" s="12">
        <v>11.738892100106735</v>
      </c>
      <c r="E55" s="12">
        <v>3.8</v>
      </c>
      <c r="F55" s="12">
        <v>10</v>
      </c>
      <c r="G55" s="12">
        <v>3.8</v>
      </c>
      <c r="H55" s="12">
        <v>9.5187500000000007</v>
      </c>
      <c r="I55" s="12" t="s">
        <v>87</v>
      </c>
      <c r="J55">
        <v>1</v>
      </c>
      <c r="K55" s="6">
        <v>46231</v>
      </c>
      <c r="L55">
        <v>46231</v>
      </c>
      <c r="M55">
        <v>0.32371027585860923</v>
      </c>
      <c r="N55">
        <v>0.32371027585860923</v>
      </c>
      <c r="O55">
        <v>0.8108729442971413</v>
      </c>
      <c r="P55">
        <v>3.0891821316070356</v>
      </c>
      <c r="Q55">
        <v>3.0891821316070356</v>
      </c>
      <c r="R55">
        <v>2.5049342105263159</v>
      </c>
      <c r="S55">
        <v>0.39921208141825337</v>
      </c>
      <c r="T55">
        <v>0.39921208141825337</v>
      </c>
      <c r="U55">
        <v>1.2332388286389215</v>
      </c>
    </row>
    <row r="56" spans="1:21" x14ac:dyDescent="0.25">
      <c r="A56" s="12" t="s">
        <v>59</v>
      </c>
      <c r="B56" s="12" t="s">
        <v>38</v>
      </c>
      <c r="C56" s="12" t="s">
        <v>15</v>
      </c>
      <c r="D56" s="12">
        <v>4.2207252494765797</v>
      </c>
      <c r="E56" s="12">
        <v>2.8499999999999996</v>
      </c>
      <c r="F56" s="12">
        <v>10</v>
      </c>
      <c r="G56" s="12">
        <v>2.8499999999999996</v>
      </c>
      <c r="H56" s="12">
        <v>4.6875</v>
      </c>
      <c r="I56" s="12" t="s">
        <v>88</v>
      </c>
      <c r="K56" s="6">
        <v>46232</v>
      </c>
      <c r="L56">
        <v>46232</v>
      </c>
      <c r="M56">
        <v>0.67523940354881751</v>
      </c>
      <c r="N56">
        <v>0.67523940354881751</v>
      </c>
      <c r="O56">
        <v>1.1105911242579236</v>
      </c>
      <c r="P56">
        <v>1.4809562278865194</v>
      </c>
      <c r="Q56">
        <v>1.4809562278865194</v>
      </c>
      <c r="R56">
        <v>1.6447368421052633</v>
      </c>
      <c r="S56">
        <v>0.60799999999999987</v>
      </c>
      <c r="T56">
        <v>0.60799999999999987</v>
      </c>
      <c r="U56">
        <v>0.9004213865550037</v>
      </c>
    </row>
    <row r="57" spans="1:21" x14ac:dyDescent="0.25">
      <c r="A57" s="12" t="s">
        <v>59</v>
      </c>
      <c r="B57" s="12" t="s">
        <v>38</v>
      </c>
      <c r="C57" s="12" t="s">
        <v>14</v>
      </c>
      <c r="D57" s="12">
        <v>10.815608451783737</v>
      </c>
      <c r="E57" s="12">
        <v>0.95</v>
      </c>
      <c r="F57" s="12">
        <v>10</v>
      </c>
      <c r="G57" s="12">
        <v>0.95</v>
      </c>
      <c r="H57" s="12">
        <v>11.253676470588236</v>
      </c>
      <c r="I57" s="12" t="s">
        <v>89</v>
      </c>
      <c r="K57" s="6">
        <v>46232</v>
      </c>
      <c r="L57">
        <v>46232</v>
      </c>
      <c r="M57">
        <v>8.7836019973829921E-2</v>
      </c>
      <c r="N57">
        <v>8.7836019973829921E-2</v>
      </c>
      <c r="O57">
        <v>1.0405033171048506</v>
      </c>
      <c r="P57">
        <v>11.384851001877617</v>
      </c>
      <c r="Q57">
        <v>11.384851001877617</v>
      </c>
      <c r="R57">
        <v>11.845975232198143</v>
      </c>
      <c r="S57">
        <v>8.441685723619731E-2</v>
      </c>
      <c r="T57">
        <v>8.441685723619731E-2</v>
      </c>
      <c r="U57">
        <v>0.96107334168088088</v>
      </c>
    </row>
    <row r="58" spans="1:21" x14ac:dyDescent="0.25">
      <c r="A58" s="12" t="s">
        <v>59</v>
      </c>
      <c r="B58" s="12" t="s">
        <v>38</v>
      </c>
      <c r="C58" s="12" t="s">
        <v>13</v>
      </c>
      <c r="D58" s="12">
        <v>12.583037150002054</v>
      </c>
      <c r="E58" s="12">
        <v>2.8499999999999996</v>
      </c>
      <c r="F58" s="12">
        <v>10</v>
      </c>
      <c r="G58" s="12">
        <v>2.8499999999999996</v>
      </c>
      <c r="H58" s="12">
        <v>12.652573529411764</v>
      </c>
      <c r="I58" s="12" t="s">
        <v>90</v>
      </c>
      <c r="K58" s="6">
        <v>46232</v>
      </c>
      <c r="L58">
        <v>46232</v>
      </c>
      <c r="M58">
        <v>0.22649539741679411</v>
      </c>
      <c r="N58">
        <v>0.22649539741679411</v>
      </c>
      <c r="O58">
        <v>1.0055261999611675</v>
      </c>
      <c r="P58">
        <v>4.4151007543866863</v>
      </c>
      <c r="Q58">
        <v>4.4151007543866863</v>
      </c>
      <c r="R58">
        <v>4.4394994840041289</v>
      </c>
      <c r="S58">
        <v>0.2252506174633154</v>
      </c>
      <c r="T58">
        <v>0.2252506174633154</v>
      </c>
      <c r="U58">
        <v>0.99450417108835065</v>
      </c>
    </row>
    <row r="59" spans="1:21" x14ac:dyDescent="0.25">
      <c r="A59" s="12" t="s">
        <v>63</v>
      </c>
      <c r="B59" s="12" t="s">
        <v>38</v>
      </c>
      <c r="C59" s="12" t="s">
        <v>15</v>
      </c>
      <c r="D59" s="12">
        <v>4.2207252494765797</v>
      </c>
      <c r="E59" s="12">
        <v>2.8499999999999996</v>
      </c>
      <c r="F59" s="12">
        <v>10</v>
      </c>
      <c r="G59" s="12">
        <v>2.8499999999999996</v>
      </c>
      <c r="H59" s="12">
        <v>4.6875</v>
      </c>
      <c r="I59" s="12" t="s">
        <v>88</v>
      </c>
      <c r="J59">
        <v>1</v>
      </c>
      <c r="K59" s="6">
        <v>46232</v>
      </c>
      <c r="L59">
        <v>46232</v>
      </c>
      <c r="M59">
        <v>0.67523940354881751</v>
      </c>
      <c r="N59">
        <v>0.67523940354881751</v>
      </c>
      <c r="O59">
        <v>1.1105911242579236</v>
      </c>
      <c r="P59">
        <v>1.4809562278865194</v>
      </c>
      <c r="Q59">
        <v>1.4809562278865194</v>
      </c>
      <c r="R59">
        <v>1.6447368421052633</v>
      </c>
      <c r="S59">
        <v>0.60799999999999987</v>
      </c>
      <c r="T59">
        <v>0.60799999999999987</v>
      </c>
      <c r="U59">
        <v>0.9004213865550037</v>
      </c>
    </row>
    <row r="60" spans="1:21" x14ac:dyDescent="0.25">
      <c r="A60" s="12" t="s">
        <v>63</v>
      </c>
      <c r="B60" s="12" t="s">
        <v>38</v>
      </c>
      <c r="C60" s="12" t="s">
        <v>14</v>
      </c>
      <c r="D60" s="12">
        <v>10.815608451783737</v>
      </c>
      <c r="E60" s="12">
        <v>0.95</v>
      </c>
      <c r="F60" s="12">
        <v>10</v>
      </c>
      <c r="G60" s="12">
        <v>0.95</v>
      </c>
      <c r="H60" s="12">
        <v>11.253676470588236</v>
      </c>
      <c r="I60" s="12" t="s">
        <v>89</v>
      </c>
      <c r="J60">
        <v>1</v>
      </c>
      <c r="K60" s="6">
        <v>46232</v>
      </c>
      <c r="L60">
        <v>46232</v>
      </c>
      <c r="M60">
        <v>8.7836019973829921E-2</v>
      </c>
      <c r="N60">
        <v>8.7836019973829921E-2</v>
      </c>
      <c r="O60">
        <v>1.0405033171048506</v>
      </c>
      <c r="P60">
        <v>11.384851001877617</v>
      </c>
      <c r="Q60">
        <v>11.384851001877617</v>
      </c>
      <c r="R60">
        <v>11.845975232198143</v>
      </c>
      <c r="S60">
        <v>8.441685723619731E-2</v>
      </c>
      <c r="T60">
        <v>8.441685723619731E-2</v>
      </c>
      <c r="U60">
        <v>0.96107334168088088</v>
      </c>
    </row>
    <row r="61" spans="1:21" x14ac:dyDescent="0.25">
      <c r="A61" s="12" t="s">
        <v>63</v>
      </c>
      <c r="B61" s="12" t="s">
        <v>38</v>
      </c>
      <c r="C61" s="12" t="s">
        <v>13</v>
      </c>
      <c r="D61" s="12">
        <v>12.583037150002054</v>
      </c>
      <c r="E61" s="12">
        <v>2.8499999999999996</v>
      </c>
      <c r="F61" s="12">
        <v>10</v>
      </c>
      <c r="G61" s="12">
        <v>2.8499999999999996</v>
      </c>
      <c r="H61" s="12">
        <v>12.652573529411764</v>
      </c>
      <c r="I61" s="12" t="s">
        <v>90</v>
      </c>
      <c r="J61">
        <v>1</v>
      </c>
      <c r="K61" s="6">
        <v>46232</v>
      </c>
      <c r="L61">
        <v>46232</v>
      </c>
      <c r="M61">
        <v>0.22649539741679411</v>
      </c>
      <c r="N61">
        <v>0.22649539741679411</v>
      </c>
      <c r="O61">
        <v>1.0055261999611675</v>
      </c>
      <c r="P61">
        <v>4.4151007543866863</v>
      </c>
      <c r="Q61">
        <v>4.4151007543866863</v>
      </c>
      <c r="R61">
        <v>4.4394994840041289</v>
      </c>
      <c r="S61">
        <v>0.2252506174633154</v>
      </c>
      <c r="T61">
        <v>0.2252506174633154</v>
      </c>
      <c r="U61">
        <v>0.99450417108835065</v>
      </c>
    </row>
    <row r="62" spans="1:21" x14ac:dyDescent="0.25">
      <c r="A62" s="12" t="s">
        <v>59</v>
      </c>
      <c r="B62" s="12" t="s">
        <v>38</v>
      </c>
      <c r="C62" s="12" t="s">
        <v>14</v>
      </c>
      <c r="D62" s="12">
        <v>10.973885648639106</v>
      </c>
      <c r="E62" s="12">
        <v>5.6999999999999993</v>
      </c>
      <c r="F62" s="12">
        <v>10</v>
      </c>
      <c r="G62" s="12">
        <v>5.6999999999999993</v>
      </c>
      <c r="H62" s="12">
        <v>11.25</v>
      </c>
      <c r="I62" s="12" t="s">
        <v>91</v>
      </c>
      <c r="K62" s="6">
        <v>46233</v>
      </c>
      <c r="L62">
        <v>46233</v>
      </c>
      <c r="M62">
        <v>0.51941492580678272</v>
      </c>
      <c r="N62">
        <v>0.51941492580678272</v>
      </c>
      <c r="O62">
        <v>1.025161037776545</v>
      </c>
      <c r="P62">
        <v>1.9252430962524749</v>
      </c>
      <c r="Q62">
        <v>1.9252430962524749</v>
      </c>
      <c r="R62">
        <v>1.9736842105263159</v>
      </c>
      <c r="S62">
        <v>0.5066666666666666</v>
      </c>
      <c r="T62">
        <v>0.5066666666666666</v>
      </c>
      <c r="U62">
        <v>0.9754565021012539</v>
      </c>
    </row>
    <row r="63" spans="1:21" x14ac:dyDescent="0.25">
      <c r="A63" s="12" t="s">
        <v>59</v>
      </c>
      <c r="B63" s="12" t="s">
        <v>38</v>
      </c>
      <c r="C63" s="12" t="s">
        <v>13</v>
      </c>
      <c r="D63" s="12">
        <v>10.89474705021142</v>
      </c>
      <c r="E63" s="12">
        <v>0</v>
      </c>
      <c r="F63" s="12">
        <v>10</v>
      </c>
      <c r="G63" s="12">
        <v>0</v>
      </c>
      <c r="H63" s="12">
        <v>11.15625</v>
      </c>
      <c r="I63" s="12" t="s">
        <v>92</v>
      </c>
      <c r="K63" s="6">
        <v>46233</v>
      </c>
      <c r="L63">
        <v>46233</v>
      </c>
      <c r="M63">
        <v>0</v>
      </c>
      <c r="N63">
        <v>0</v>
      </c>
      <c r="O63">
        <v>1.0240026637225603</v>
      </c>
      <c r="S63">
        <v>0</v>
      </c>
      <c r="T63">
        <v>0</v>
      </c>
      <c r="U63">
        <v>0.97655995968281628</v>
      </c>
    </row>
    <row r="64" spans="1:21" x14ac:dyDescent="0.25">
      <c r="A64" s="12" t="s">
        <v>59</v>
      </c>
      <c r="B64" s="12" t="s">
        <v>38</v>
      </c>
      <c r="C64" s="12" t="s">
        <v>15</v>
      </c>
      <c r="D64" s="12">
        <v>4.2207252494765797</v>
      </c>
      <c r="E64" s="12">
        <v>0</v>
      </c>
      <c r="F64" s="12">
        <v>10</v>
      </c>
      <c r="G64" s="12">
        <v>0</v>
      </c>
      <c r="H64" s="12">
        <v>4.6875</v>
      </c>
      <c r="I64" s="12" t="s">
        <v>93</v>
      </c>
      <c r="K64" s="6">
        <v>46233</v>
      </c>
      <c r="L64">
        <v>46233</v>
      </c>
      <c r="M64">
        <v>0</v>
      </c>
      <c r="N64">
        <v>0</v>
      </c>
      <c r="O64">
        <v>1.1105911242579236</v>
      </c>
      <c r="S64">
        <v>0</v>
      </c>
      <c r="T64">
        <v>0</v>
      </c>
      <c r="U64">
        <v>0.9004213865550037</v>
      </c>
    </row>
    <row r="65" spans="1:21" x14ac:dyDescent="0.25">
      <c r="A65" s="12" t="s">
        <v>63</v>
      </c>
      <c r="B65" s="12" t="s">
        <v>38</v>
      </c>
      <c r="C65" s="12" t="s">
        <v>14</v>
      </c>
      <c r="D65" s="12">
        <v>10.973885648639106</v>
      </c>
      <c r="E65" s="12">
        <v>5.6999999999999993</v>
      </c>
      <c r="F65" s="12">
        <v>10</v>
      </c>
      <c r="G65" s="12">
        <v>5.6999999999999993</v>
      </c>
      <c r="H65" s="12">
        <v>11.25</v>
      </c>
      <c r="I65" s="12" t="s">
        <v>91</v>
      </c>
      <c r="J65">
        <v>1</v>
      </c>
      <c r="K65" s="6">
        <v>46233</v>
      </c>
      <c r="L65">
        <v>46233</v>
      </c>
      <c r="M65">
        <v>0.51941492580678272</v>
      </c>
      <c r="N65">
        <v>0.51941492580678272</v>
      </c>
      <c r="O65">
        <v>1.025161037776545</v>
      </c>
      <c r="P65">
        <v>1.9252430962524749</v>
      </c>
      <c r="Q65">
        <v>1.9252430962524749</v>
      </c>
      <c r="R65">
        <v>1.9736842105263159</v>
      </c>
      <c r="S65">
        <v>0.5066666666666666</v>
      </c>
      <c r="T65">
        <v>0.5066666666666666</v>
      </c>
      <c r="U65">
        <v>0.9754565021012539</v>
      </c>
    </row>
    <row r="66" spans="1:21" x14ac:dyDescent="0.25">
      <c r="A66" s="12" t="s">
        <v>63</v>
      </c>
      <c r="B66" s="12" t="s">
        <v>38</v>
      </c>
      <c r="C66" s="12" t="s">
        <v>13</v>
      </c>
      <c r="D66" s="12">
        <v>10.89474705021142</v>
      </c>
      <c r="E66" s="12">
        <v>0</v>
      </c>
      <c r="F66" s="12">
        <v>10</v>
      </c>
      <c r="G66" s="12">
        <v>0</v>
      </c>
      <c r="H66" s="12">
        <v>11.15625</v>
      </c>
      <c r="I66" s="12" t="s">
        <v>92</v>
      </c>
      <c r="J66">
        <v>1</v>
      </c>
      <c r="K66" s="6">
        <v>46233</v>
      </c>
      <c r="L66">
        <v>46233</v>
      </c>
      <c r="M66">
        <v>0</v>
      </c>
      <c r="N66">
        <v>0</v>
      </c>
      <c r="O66">
        <v>1.0240026637225603</v>
      </c>
      <c r="S66">
        <v>0</v>
      </c>
      <c r="T66">
        <v>0</v>
      </c>
      <c r="U66">
        <v>0.97655995968281628</v>
      </c>
    </row>
    <row r="67" spans="1:21" x14ac:dyDescent="0.25">
      <c r="A67" s="12" t="s">
        <v>63</v>
      </c>
      <c r="B67" s="12" t="s">
        <v>38</v>
      </c>
      <c r="C67" s="12" t="s">
        <v>15</v>
      </c>
      <c r="D67" s="12">
        <v>4.2207252494765797</v>
      </c>
      <c r="E67" s="12">
        <v>0</v>
      </c>
      <c r="F67" s="12">
        <v>10</v>
      </c>
      <c r="G67" s="12">
        <v>0</v>
      </c>
      <c r="H67" s="12">
        <v>4.6875</v>
      </c>
      <c r="I67" s="12" t="s">
        <v>93</v>
      </c>
      <c r="J67">
        <v>1</v>
      </c>
      <c r="K67" s="6">
        <v>46233</v>
      </c>
      <c r="L67">
        <v>46233</v>
      </c>
      <c r="M67">
        <v>0</v>
      </c>
      <c r="N67">
        <v>0</v>
      </c>
      <c r="O67">
        <v>1.1105911242579236</v>
      </c>
      <c r="S67">
        <v>0</v>
      </c>
      <c r="T67">
        <v>0</v>
      </c>
      <c r="U67">
        <v>0.9004213865550037</v>
      </c>
    </row>
    <row r="68" spans="1:21" x14ac:dyDescent="0.25">
      <c r="A68" s="12" t="s">
        <v>59</v>
      </c>
      <c r="B68" s="12" t="s">
        <v>38</v>
      </c>
      <c r="C68" s="12" t="s">
        <v>13</v>
      </c>
      <c r="D68" s="12">
        <v>10.973885648639108</v>
      </c>
      <c r="E68" s="12">
        <v>1.9</v>
      </c>
      <c r="F68" s="12">
        <v>10</v>
      </c>
      <c r="G68" s="12">
        <v>1.9</v>
      </c>
      <c r="H68" s="12">
        <v>11.808823529411764</v>
      </c>
      <c r="I68" s="12" t="s">
        <v>94</v>
      </c>
      <c r="K68" s="6">
        <v>46234</v>
      </c>
      <c r="L68">
        <v>46234</v>
      </c>
      <c r="M68">
        <v>0.1731383086022609</v>
      </c>
      <c r="N68">
        <v>0.1731383086022609</v>
      </c>
      <c r="O68">
        <v>1.0760840697183862</v>
      </c>
      <c r="P68">
        <v>5.7757292887574252</v>
      </c>
      <c r="Q68">
        <v>5.7757292887574252</v>
      </c>
      <c r="R68">
        <v>6.2151702786377712</v>
      </c>
      <c r="S68">
        <v>0.16089663760896636</v>
      </c>
      <c r="T68">
        <v>0.16089663760896636</v>
      </c>
      <c r="U68">
        <v>0.92929542230069662</v>
      </c>
    </row>
    <row r="69" spans="1:21" x14ac:dyDescent="0.25">
      <c r="A69" s="12" t="s">
        <v>59</v>
      </c>
      <c r="B69" s="12" t="s">
        <v>38</v>
      </c>
      <c r="C69" s="12" t="s">
        <v>15</v>
      </c>
      <c r="D69" s="12">
        <v>4.2207252494765797</v>
      </c>
      <c r="E69" s="12">
        <v>1.9</v>
      </c>
      <c r="F69" s="12">
        <v>10</v>
      </c>
      <c r="G69" s="12">
        <v>1.9</v>
      </c>
      <c r="H69" s="12">
        <v>4.6875</v>
      </c>
      <c r="I69" s="12" t="s">
        <v>95</v>
      </c>
      <c r="K69" s="6">
        <v>46234</v>
      </c>
      <c r="L69">
        <v>46234</v>
      </c>
      <c r="M69">
        <v>0.45015960236587838</v>
      </c>
      <c r="N69">
        <v>0.45015960236587838</v>
      </c>
      <c r="O69">
        <v>1.1105911242579236</v>
      </c>
      <c r="P69">
        <v>2.2214343418297791</v>
      </c>
      <c r="Q69">
        <v>2.2214343418297791</v>
      </c>
      <c r="R69">
        <v>2.4671052631578947</v>
      </c>
      <c r="S69">
        <v>0.40533333333333332</v>
      </c>
      <c r="T69">
        <v>0.40533333333333332</v>
      </c>
      <c r="U69">
        <v>0.9004213865550037</v>
      </c>
    </row>
    <row r="70" spans="1:21" x14ac:dyDescent="0.25">
      <c r="A70" s="12" t="s">
        <v>59</v>
      </c>
      <c r="B70" s="12" t="s">
        <v>38</v>
      </c>
      <c r="C70" s="12" t="s">
        <v>14</v>
      </c>
      <c r="D70" s="12">
        <v>11.026644714257564</v>
      </c>
      <c r="E70" s="12">
        <v>2.8499999999999996</v>
      </c>
      <c r="F70" s="12">
        <v>10</v>
      </c>
      <c r="G70" s="12">
        <v>2.8499999999999996</v>
      </c>
      <c r="H70" s="12">
        <v>11.128676470588234</v>
      </c>
      <c r="I70" s="12" t="s">
        <v>96</v>
      </c>
      <c r="K70" s="6">
        <v>46234</v>
      </c>
      <c r="L70">
        <v>46234</v>
      </c>
      <c r="M70">
        <v>0.25846484346366222</v>
      </c>
      <c r="N70">
        <v>0.25846484346366222</v>
      </c>
      <c r="O70">
        <v>1.0092532006766066</v>
      </c>
      <c r="P70">
        <v>3.8689981453535318</v>
      </c>
      <c r="Q70">
        <v>3.8689981453535318</v>
      </c>
      <c r="R70">
        <v>3.9047987616099071</v>
      </c>
      <c r="S70">
        <v>0.25609514370664022</v>
      </c>
      <c r="T70">
        <v>0.25609514370664022</v>
      </c>
      <c r="U70">
        <v>0.99083163603503732</v>
      </c>
    </row>
    <row r="71" spans="1:21" x14ac:dyDescent="0.25">
      <c r="A71" s="12" t="s">
        <v>63</v>
      </c>
      <c r="B71" s="12" t="s">
        <v>38</v>
      </c>
      <c r="C71" s="12" t="s">
        <v>13</v>
      </c>
      <c r="D71" s="12">
        <v>10.973885648639108</v>
      </c>
      <c r="E71" s="12">
        <v>1.9</v>
      </c>
      <c r="F71" s="12">
        <v>10</v>
      </c>
      <c r="G71" s="12">
        <v>1.9</v>
      </c>
      <c r="H71" s="12">
        <v>11.808823529411764</v>
      </c>
      <c r="I71" s="12" t="s">
        <v>94</v>
      </c>
      <c r="J71">
        <v>1</v>
      </c>
      <c r="K71" s="6">
        <v>46234</v>
      </c>
      <c r="L71">
        <v>46234</v>
      </c>
      <c r="M71">
        <v>0.1731383086022609</v>
      </c>
      <c r="N71">
        <v>0.1731383086022609</v>
      </c>
      <c r="O71">
        <v>1.0760840697183862</v>
      </c>
      <c r="P71">
        <v>5.7757292887574252</v>
      </c>
      <c r="Q71">
        <v>5.7757292887574252</v>
      </c>
      <c r="R71">
        <v>6.2151702786377712</v>
      </c>
      <c r="S71">
        <v>0.16089663760896636</v>
      </c>
      <c r="T71">
        <v>0.16089663760896636</v>
      </c>
      <c r="U71">
        <v>0.92929542230069662</v>
      </c>
    </row>
    <row r="72" spans="1:21" x14ac:dyDescent="0.25">
      <c r="A72" s="12" t="s">
        <v>63</v>
      </c>
      <c r="B72" s="12" t="s">
        <v>38</v>
      </c>
      <c r="C72" s="12" t="s">
        <v>15</v>
      </c>
      <c r="D72" s="12">
        <v>4.2207252494765797</v>
      </c>
      <c r="E72" s="12">
        <v>1.9</v>
      </c>
      <c r="F72" s="12">
        <v>10</v>
      </c>
      <c r="G72" s="12">
        <v>1.9</v>
      </c>
      <c r="H72" s="12">
        <v>4.6875</v>
      </c>
      <c r="I72" s="12" t="s">
        <v>95</v>
      </c>
      <c r="J72">
        <v>1</v>
      </c>
      <c r="K72" s="6">
        <v>46234</v>
      </c>
      <c r="L72">
        <v>46234</v>
      </c>
      <c r="M72">
        <v>0.45015960236587838</v>
      </c>
      <c r="N72">
        <v>0.45015960236587838</v>
      </c>
      <c r="O72">
        <v>1.1105911242579236</v>
      </c>
      <c r="P72">
        <v>2.2214343418297791</v>
      </c>
      <c r="Q72">
        <v>2.2214343418297791</v>
      </c>
      <c r="R72">
        <v>2.4671052631578947</v>
      </c>
      <c r="S72">
        <v>0.40533333333333332</v>
      </c>
      <c r="T72">
        <v>0.40533333333333332</v>
      </c>
      <c r="U72">
        <v>0.9004213865550037</v>
      </c>
    </row>
    <row r="73" spans="1:21" x14ac:dyDescent="0.25">
      <c r="A73" s="12" t="s">
        <v>63</v>
      </c>
      <c r="B73" s="12" t="s">
        <v>38</v>
      </c>
      <c r="C73" s="12" t="s">
        <v>14</v>
      </c>
      <c r="D73" s="12">
        <v>11.026644714257564</v>
      </c>
      <c r="E73" s="12">
        <v>2.8499999999999996</v>
      </c>
      <c r="F73" s="12">
        <v>10</v>
      </c>
      <c r="G73" s="12">
        <v>2.8499999999999996</v>
      </c>
      <c r="H73" s="12">
        <v>11.128676470588234</v>
      </c>
      <c r="I73" s="12" t="s">
        <v>96</v>
      </c>
      <c r="J73">
        <v>1</v>
      </c>
      <c r="K73" s="6">
        <v>46234</v>
      </c>
      <c r="L73">
        <v>46234</v>
      </c>
      <c r="M73">
        <v>0.25846484346366222</v>
      </c>
      <c r="N73">
        <v>0.25846484346366222</v>
      </c>
      <c r="O73">
        <v>1.0092532006766066</v>
      </c>
      <c r="P73">
        <v>3.8689981453535318</v>
      </c>
      <c r="Q73">
        <v>3.8689981453535318</v>
      </c>
      <c r="R73">
        <v>3.9047987616099071</v>
      </c>
      <c r="S73">
        <v>0.25609514370664022</v>
      </c>
      <c r="T73">
        <v>0.25609514370664022</v>
      </c>
      <c r="U73">
        <v>0.99083163603503732</v>
      </c>
    </row>
    <row r="74" spans="1:21" x14ac:dyDescent="0.25">
      <c r="A74" s="12" t="s">
        <v>59</v>
      </c>
      <c r="B74" s="12" t="s">
        <v>38</v>
      </c>
      <c r="C74" s="12" t="s">
        <v>13</v>
      </c>
      <c r="D74" s="12">
        <v>11.026644714257564</v>
      </c>
      <c r="E74" s="12">
        <v>5.6999999999999993</v>
      </c>
      <c r="F74" s="12">
        <v>10</v>
      </c>
      <c r="G74" s="12">
        <v>5.6999999999999993</v>
      </c>
      <c r="H74" s="12">
        <v>11.125</v>
      </c>
      <c r="I74" s="12" t="s">
        <v>97</v>
      </c>
      <c r="K74" s="6">
        <v>46235</v>
      </c>
      <c r="L74">
        <v>46235</v>
      </c>
      <c r="M74">
        <v>0.51692968692732444</v>
      </c>
      <c r="N74">
        <v>0.51692968692732444</v>
      </c>
      <c r="O74">
        <v>1.0089197836958745</v>
      </c>
      <c r="P74">
        <v>1.9344990726767659</v>
      </c>
      <c r="Q74">
        <v>1.9344990726767659</v>
      </c>
      <c r="R74">
        <v>1.9517543859649125</v>
      </c>
      <c r="S74">
        <v>0.51235955056179772</v>
      </c>
      <c r="T74">
        <v>0.51235955056179772</v>
      </c>
      <c r="U74">
        <v>0.99115907543888215</v>
      </c>
    </row>
    <row r="75" spans="1:21" x14ac:dyDescent="0.25">
      <c r="A75" s="12" t="s">
        <v>59</v>
      </c>
      <c r="B75" s="12" t="s">
        <v>38</v>
      </c>
      <c r="C75" s="12" t="s">
        <v>14</v>
      </c>
      <c r="D75" s="12">
        <v>10.973885648639106</v>
      </c>
      <c r="E75" s="12">
        <v>1.9</v>
      </c>
      <c r="F75" s="12">
        <v>10</v>
      </c>
      <c r="G75" s="12">
        <v>1.9</v>
      </c>
      <c r="H75" s="12">
        <v>11.25</v>
      </c>
      <c r="I75" s="12" t="s">
        <v>98</v>
      </c>
      <c r="K75" s="6">
        <v>46235</v>
      </c>
      <c r="L75">
        <v>46235</v>
      </c>
      <c r="M75">
        <v>0.17313830860226093</v>
      </c>
      <c r="N75">
        <v>0.17313830860226093</v>
      </c>
      <c r="O75">
        <v>1.025161037776545</v>
      </c>
      <c r="P75">
        <v>5.7757292887574243</v>
      </c>
      <c r="Q75">
        <v>5.7757292887574243</v>
      </c>
      <c r="R75">
        <v>5.9210526315789478</v>
      </c>
      <c r="S75">
        <v>0.16888888888888889</v>
      </c>
      <c r="T75">
        <v>0.16888888888888889</v>
      </c>
      <c r="U75">
        <v>0.9754565021012539</v>
      </c>
    </row>
    <row r="76" spans="1:21" x14ac:dyDescent="0.25">
      <c r="A76" s="12" t="s">
        <v>59</v>
      </c>
      <c r="B76" s="12" t="s">
        <v>38</v>
      </c>
      <c r="C76" s="12" t="s">
        <v>15</v>
      </c>
      <c r="D76" s="12">
        <v>4.2207252494765797</v>
      </c>
      <c r="E76" s="12">
        <v>0</v>
      </c>
      <c r="F76" s="12">
        <v>10</v>
      </c>
      <c r="G76" s="12">
        <v>0</v>
      </c>
      <c r="H76" s="12">
        <v>4.6875</v>
      </c>
      <c r="I76" s="12" t="s">
        <v>99</v>
      </c>
      <c r="K76" s="6">
        <v>46235</v>
      </c>
      <c r="L76">
        <v>46235</v>
      </c>
      <c r="M76">
        <v>0</v>
      </c>
      <c r="N76">
        <v>0</v>
      </c>
      <c r="O76">
        <v>1.1105911242579236</v>
      </c>
      <c r="S76">
        <v>0</v>
      </c>
      <c r="T76">
        <v>0</v>
      </c>
      <c r="U76">
        <v>0.9004213865550037</v>
      </c>
    </row>
    <row r="77" spans="1:21" x14ac:dyDescent="0.25">
      <c r="A77" s="12" t="s">
        <v>63</v>
      </c>
      <c r="B77" s="12" t="s">
        <v>38</v>
      </c>
      <c r="C77" s="12" t="s">
        <v>13</v>
      </c>
      <c r="D77" s="12">
        <v>11.026644714257564</v>
      </c>
      <c r="E77" s="12">
        <v>5.6999999999999993</v>
      </c>
      <c r="F77" s="12">
        <v>10</v>
      </c>
      <c r="G77" s="12">
        <v>5.6999999999999993</v>
      </c>
      <c r="H77" s="12">
        <v>11.125</v>
      </c>
      <c r="I77" s="12" t="s">
        <v>97</v>
      </c>
      <c r="J77">
        <v>1</v>
      </c>
      <c r="K77" s="6">
        <v>46235</v>
      </c>
      <c r="L77">
        <v>46235</v>
      </c>
      <c r="M77">
        <v>0.51692968692732444</v>
      </c>
      <c r="N77">
        <v>0.51692968692732444</v>
      </c>
      <c r="O77">
        <v>1.0089197836958745</v>
      </c>
      <c r="P77">
        <v>1.9344990726767659</v>
      </c>
      <c r="Q77">
        <v>1.9344990726767659</v>
      </c>
      <c r="R77">
        <v>1.9517543859649125</v>
      </c>
      <c r="S77">
        <v>0.51235955056179772</v>
      </c>
      <c r="T77">
        <v>0.51235955056179772</v>
      </c>
      <c r="U77">
        <v>0.99115907543888215</v>
      </c>
    </row>
    <row r="78" spans="1:21" x14ac:dyDescent="0.25">
      <c r="A78" s="12" t="s">
        <v>63</v>
      </c>
      <c r="B78" s="12" t="s">
        <v>38</v>
      </c>
      <c r="C78" s="12" t="s">
        <v>14</v>
      </c>
      <c r="D78" s="12">
        <v>10.973885648639106</v>
      </c>
      <c r="E78" s="12">
        <v>1.9</v>
      </c>
      <c r="F78" s="12">
        <v>10</v>
      </c>
      <c r="G78" s="12">
        <v>1.9</v>
      </c>
      <c r="H78" s="12">
        <v>11.25</v>
      </c>
      <c r="I78" s="12" t="s">
        <v>98</v>
      </c>
      <c r="J78">
        <v>1</v>
      </c>
      <c r="K78" s="6">
        <v>46235</v>
      </c>
      <c r="L78">
        <v>46235</v>
      </c>
      <c r="M78">
        <v>0.17313830860226093</v>
      </c>
      <c r="N78">
        <v>0.17313830860226093</v>
      </c>
      <c r="O78">
        <v>1.025161037776545</v>
      </c>
      <c r="P78">
        <v>5.7757292887574243</v>
      </c>
      <c r="Q78">
        <v>5.7757292887574243</v>
      </c>
      <c r="R78">
        <v>5.9210526315789478</v>
      </c>
      <c r="S78">
        <v>0.16888888888888889</v>
      </c>
      <c r="T78">
        <v>0.16888888888888889</v>
      </c>
      <c r="U78">
        <v>0.9754565021012539</v>
      </c>
    </row>
    <row r="79" spans="1:21" x14ac:dyDescent="0.25">
      <c r="A79" s="12" t="s">
        <v>63</v>
      </c>
      <c r="B79" s="12" t="s">
        <v>38</v>
      </c>
      <c r="C79" s="12" t="s">
        <v>15</v>
      </c>
      <c r="D79" s="12">
        <v>4.2207252494765797</v>
      </c>
      <c r="E79" s="12">
        <v>0</v>
      </c>
      <c r="F79" s="12">
        <v>10</v>
      </c>
      <c r="G79" s="12">
        <v>0</v>
      </c>
      <c r="H79" s="12">
        <v>4.6875</v>
      </c>
      <c r="I79" s="12" t="s">
        <v>99</v>
      </c>
      <c r="J79">
        <v>1</v>
      </c>
      <c r="K79" s="6">
        <v>46235</v>
      </c>
      <c r="L79">
        <v>46235</v>
      </c>
      <c r="M79">
        <v>0</v>
      </c>
      <c r="N79">
        <v>0</v>
      </c>
      <c r="O79">
        <v>1.1105911242579236</v>
      </c>
      <c r="S79">
        <v>0</v>
      </c>
      <c r="T79">
        <v>0</v>
      </c>
      <c r="U79">
        <v>0.9004213865550037</v>
      </c>
    </row>
    <row r="80" spans="1:21" x14ac:dyDescent="0.25">
      <c r="A80" s="12" t="s">
        <v>59</v>
      </c>
      <c r="B80" s="12" t="s">
        <v>38</v>
      </c>
      <c r="C80" s="12" t="s">
        <v>14</v>
      </c>
      <c r="D80" s="12">
        <v>10.973885648639106</v>
      </c>
      <c r="E80" s="12">
        <v>1.9</v>
      </c>
      <c r="F80" s="12">
        <v>10</v>
      </c>
      <c r="G80" s="12">
        <v>1.9</v>
      </c>
      <c r="H80" s="12">
        <v>11.25</v>
      </c>
      <c r="I80" s="12" t="s">
        <v>100</v>
      </c>
      <c r="K80" s="6">
        <v>46236</v>
      </c>
      <c r="L80">
        <v>46236</v>
      </c>
      <c r="M80">
        <v>0.17313830860226093</v>
      </c>
      <c r="N80">
        <v>0.17313830860226093</v>
      </c>
      <c r="O80">
        <v>1.025161037776545</v>
      </c>
      <c r="P80">
        <v>5.7757292887574243</v>
      </c>
      <c r="Q80">
        <v>5.7757292887574243</v>
      </c>
      <c r="R80">
        <v>5.9210526315789478</v>
      </c>
      <c r="S80">
        <v>0.16888888888888889</v>
      </c>
      <c r="T80">
        <v>0.16888888888888889</v>
      </c>
      <c r="U80">
        <v>0.9754565021012539</v>
      </c>
    </row>
    <row r="81" spans="1:21" x14ac:dyDescent="0.25">
      <c r="A81" s="12" t="s">
        <v>59</v>
      </c>
      <c r="B81" s="12" t="s">
        <v>38</v>
      </c>
      <c r="C81" s="12" t="s">
        <v>15</v>
      </c>
      <c r="D81" s="12">
        <v>4.2207252494765797</v>
      </c>
      <c r="E81" s="12">
        <v>0</v>
      </c>
      <c r="F81" s="12">
        <v>10</v>
      </c>
      <c r="G81" s="12">
        <v>0</v>
      </c>
      <c r="H81" s="12">
        <v>4.6875</v>
      </c>
      <c r="I81" s="12" t="s">
        <v>101</v>
      </c>
      <c r="K81" s="6">
        <v>46236</v>
      </c>
      <c r="L81">
        <v>46236</v>
      </c>
      <c r="M81">
        <v>0</v>
      </c>
      <c r="N81">
        <v>0</v>
      </c>
      <c r="O81">
        <v>1.1105911242579236</v>
      </c>
      <c r="S81">
        <v>0</v>
      </c>
      <c r="T81">
        <v>0</v>
      </c>
      <c r="U81">
        <v>0.9004213865550037</v>
      </c>
    </row>
    <row r="82" spans="1:21" x14ac:dyDescent="0.25">
      <c r="A82" s="12" t="s">
        <v>59</v>
      </c>
      <c r="B82" s="12" t="s">
        <v>38</v>
      </c>
      <c r="C82" s="12" t="s">
        <v>13</v>
      </c>
      <c r="D82" s="12">
        <v>10.973885648639106</v>
      </c>
      <c r="E82" s="12">
        <v>3.8</v>
      </c>
      <c r="F82" s="12">
        <v>10</v>
      </c>
      <c r="G82" s="12">
        <v>3.8</v>
      </c>
      <c r="H82" s="12">
        <v>11.25</v>
      </c>
      <c r="I82" s="12" t="s">
        <v>102</v>
      </c>
      <c r="K82" s="6">
        <v>46236</v>
      </c>
      <c r="L82">
        <v>46236</v>
      </c>
      <c r="M82">
        <v>0.34627661720452185</v>
      </c>
      <c r="N82">
        <v>0.34627661720452185</v>
      </c>
      <c r="O82">
        <v>1.025161037776545</v>
      </c>
      <c r="P82">
        <v>2.8878646443787122</v>
      </c>
      <c r="Q82">
        <v>2.8878646443787122</v>
      </c>
      <c r="R82">
        <v>2.9605263157894739</v>
      </c>
      <c r="S82">
        <v>0.33777777777777779</v>
      </c>
      <c r="T82">
        <v>0.33777777777777779</v>
      </c>
      <c r="U82">
        <v>0.9754565021012539</v>
      </c>
    </row>
    <row r="83" spans="1:21" x14ac:dyDescent="0.25">
      <c r="A83" s="12" t="s">
        <v>63</v>
      </c>
      <c r="B83" s="12" t="s">
        <v>38</v>
      </c>
      <c r="C83" s="12" t="s">
        <v>14</v>
      </c>
      <c r="D83" s="12">
        <v>10.973885648639106</v>
      </c>
      <c r="E83" s="12">
        <v>1.9</v>
      </c>
      <c r="F83" s="12">
        <v>10</v>
      </c>
      <c r="G83" s="12">
        <v>1.9</v>
      </c>
      <c r="H83" s="12">
        <v>11.25</v>
      </c>
      <c r="I83" s="12" t="s">
        <v>100</v>
      </c>
      <c r="J83">
        <v>1</v>
      </c>
      <c r="K83" s="6">
        <v>46236</v>
      </c>
      <c r="L83">
        <v>46236</v>
      </c>
      <c r="M83">
        <v>0.17313830860226093</v>
      </c>
      <c r="N83">
        <v>0.17313830860226093</v>
      </c>
      <c r="O83">
        <v>1.025161037776545</v>
      </c>
      <c r="P83">
        <v>5.7757292887574243</v>
      </c>
      <c r="Q83">
        <v>5.7757292887574243</v>
      </c>
      <c r="R83">
        <v>5.9210526315789478</v>
      </c>
      <c r="S83">
        <v>0.16888888888888889</v>
      </c>
      <c r="T83">
        <v>0.16888888888888889</v>
      </c>
      <c r="U83">
        <v>0.9754565021012539</v>
      </c>
    </row>
    <row r="84" spans="1:21" x14ac:dyDescent="0.25">
      <c r="A84" s="12" t="s">
        <v>63</v>
      </c>
      <c r="B84" s="12" t="s">
        <v>38</v>
      </c>
      <c r="C84" s="12" t="s">
        <v>15</v>
      </c>
      <c r="D84" s="12">
        <v>4.2207252494765797</v>
      </c>
      <c r="E84" s="12">
        <v>0</v>
      </c>
      <c r="F84" s="12">
        <v>10</v>
      </c>
      <c r="G84" s="12">
        <v>0</v>
      </c>
      <c r="H84" s="12">
        <v>4.6875</v>
      </c>
      <c r="I84" s="12" t="s">
        <v>101</v>
      </c>
      <c r="J84">
        <v>1</v>
      </c>
      <c r="K84" s="6">
        <v>46236</v>
      </c>
      <c r="L84">
        <v>46236</v>
      </c>
      <c r="M84">
        <v>0</v>
      </c>
      <c r="N84">
        <v>0</v>
      </c>
      <c r="O84">
        <v>1.1105911242579236</v>
      </c>
      <c r="S84">
        <v>0</v>
      </c>
      <c r="T84">
        <v>0</v>
      </c>
      <c r="U84">
        <v>0.9004213865550037</v>
      </c>
    </row>
    <row r="85" spans="1:21" x14ac:dyDescent="0.25">
      <c r="A85" s="12" t="s">
        <v>63</v>
      </c>
      <c r="B85" s="12" t="s">
        <v>38</v>
      </c>
      <c r="C85" s="12" t="s">
        <v>13</v>
      </c>
      <c r="D85" s="12">
        <v>10.973885648639106</v>
      </c>
      <c r="E85" s="12">
        <v>3.8</v>
      </c>
      <c r="F85" s="12">
        <v>10</v>
      </c>
      <c r="G85" s="12">
        <v>3.8</v>
      </c>
      <c r="H85" s="12">
        <v>11.25</v>
      </c>
      <c r="I85" s="12" t="s">
        <v>102</v>
      </c>
      <c r="J85">
        <v>1</v>
      </c>
      <c r="K85" s="6">
        <v>46236</v>
      </c>
      <c r="L85">
        <v>46236</v>
      </c>
      <c r="M85">
        <v>0.34627661720452185</v>
      </c>
      <c r="N85">
        <v>0.34627661720452185</v>
      </c>
      <c r="O85">
        <v>1.025161037776545</v>
      </c>
      <c r="P85">
        <v>2.8878646443787122</v>
      </c>
      <c r="Q85">
        <v>2.8878646443787122</v>
      </c>
      <c r="R85">
        <v>2.9605263157894739</v>
      </c>
      <c r="S85">
        <v>0.33777777777777779</v>
      </c>
      <c r="T85">
        <v>0.33777777777777779</v>
      </c>
      <c r="U85">
        <v>0.9754565021012539</v>
      </c>
    </row>
    <row r="86" spans="1:21" x14ac:dyDescent="0.25">
      <c r="A86" s="12" t="s">
        <v>59</v>
      </c>
      <c r="B86" s="12" t="s">
        <v>38</v>
      </c>
      <c r="C86" s="12" t="s">
        <v>13</v>
      </c>
      <c r="D86" s="12">
        <v>11.870789764152878</v>
      </c>
      <c r="E86" s="12">
        <v>4.75</v>
      </c>
      <c r="F86" s="12">
        <v>10</v>
      </c>
      <c r="G86" s="12">
        <v>4.75</v>
      </c>
      <c r="H86" s="12">
        <v>12.0703125</v>
      </c>
      <c r="I86" s="12" t="s">
        <v>103</v>
      </c>
      <c r="K86" s="6">
        <v>46237</v>
      </c>
      <c r="L86">
        <v>46237</v>
      </c>
      <c r="M86">
        <v>0.40014186876966978</v>
      </c>
      <c r="N86">
        <v>0.40014186876966978</v>
      </c>
      <c r="O86">
        <v>1.0168078737650326</v>
      </c>
      <c r="P86">
        <v>2.4991136345585008</v>
      </c>
      <c r="Q86">
        <v>2.4991136345585008</v>
      </c>
      <c r="R86">
        <v>2.5411184210526314</v>
      </c>
      <c r="S86">
        <v>0.39352750809061487</v>
      </c>
      <c r="T86">
        <v>0.39352750809061487</v>
      </c>
      <c r="U86">
        <v>0.98346996104308637</v>
      </c>
    </row>
    <row r="87" spans="1:21" x14ac:dyDescent="0.25">
      <c r="A87" s="12" t="s">
        <v>59</v>
      </c>
      <c r="B87" s="12" t="s">
        <v>38</v>
      </c>
      <c r="C87" s="12" t="s">
        <v>15</v>
      </c>
      <c r="D87" s="12">
        <v>4.2207252494765797</v>
      </c>
      <c r="E87" s="12">
        <v>0</v>
      </c>
      <c r="F87" s="12">
        <v>10</v>
      </c>
      <c r="G87" s="12">
        <v>0</v>
      </c>
      <c r="H87" s="12">
        <v>4.6875</v>
      </c>
      <c r="I87" s="12" t="s">
        <v>104</v>
      </c>
      <c r="K87" s="6">
        <v>46237</v>
      </c>
      <c r="L87">
        <v>46237</v>
      </c>
      <c r="M87">
        <v>0</v>
      </c>
      <c r="N87">
        <v>0</v>
      </c>
      <c r="O87">
        <v>1.1105911242579236</v>
      </c>
      <c r="S87">
        <v>0</v>
      </c>
      <c r="T87">
        <v>0</v>
      </c>
      <c r="U87">
        <v>0.9004213865550037</v>
      </c>
    </row>
    <row r="88" spans="1:21" x14ac:dyDescent="0.25">
      <c r="A88" s="12" t="s">
        <v>59</v>
      </c>
      <c r="B88" s="12" t="s">
        <v>38</v>
      </c>
      <c r="C88" s="12" t="s">
        <v>14</v>
      </c>
      <c r="D88" s="12">
        <v>10.973885648639106</v>
      </c>
      <c r="E88" s="12">
        <v>0</v>
      </c>
      <c r="F88" s="12">
        <v>10</v>
      </c>
      <c r="G88" s="12">
        <v>0</v>
      </c>
      <c r="H88" s="12">
        <v>11.3671875</v>
      </c>
      <c r="I88" s="12" t="s">
        <v>105</v>
      </c>
      <c r="K88" s="6">
        <v>46237</v>
      </c>
      <c r="L88">
        <v>46237</v>
      </c>
      <c r="M88">
        <v>0</v>
      </c>
      <c r="N88">
        <v>0</v>
      </c>
      <c r="O88">
        <v>1.0358397985867174</v>
      </c>
      <c r="S88">
        <v>0</v>
      </c>
      <c r="T88">
        <v>0</v>
      </c>
      <c r="U88">
        <v>0.96540024950227188</v>
      </c>
    </row>
    <row r="89" spans="1:21" x14ac:dyDescent="0.25">
      <c r="A89" s="12" t="s">
        <v>63</v>
      </c>
      <c r="B89" s="12" t="s">
        <v>38</v>
      </c>
      <c r="C89" s="12" t="s">
        <v>13</v>
      </c>
      <c r="D89" s="12">
        <v>11.870789764152878</v>
      </c>
      <c r="E89" s="12">
        <v>4.75</v>
      </c>
      <c r="F89" s="12">
        <v>10</v>
      </c>
      <c r="G89" s="12">
        <v>4.75</v>
      </c>
      <c r="H89" s="12">
        <v>12.0703125</v>
      </c>
      <c r="I89" s="12" t="s">
        <v>103</v>
      </c>
      <c r="J89">
        <v>1</v>
      </c>
      <c r="K89" s="6">
        <v>46237</v>
      </c>
      <c r="L89">
        <v>46237</v>
      </c>
      <c r="M89">
        <v>0.40014186876966978</v>
      </c>
      <c r="N89">
        <v>0.40014186876966978</v>
      </c>
      <c r="O89">
        <v>1.0168078737650326</v>
      </c>
      <c r="P89">
        <v>2.4991136345585008</v>
      </c>
      <c r="Q89">
        <v>2.4991136345585008</v>
      </c>
      <c r="R89">
        <v>2.5411184210526314</v>
      </c>
      <c r="S89">
        <v>0.39352750809061487</v>
      </c>
      <c r="T89">
        <v>0.39352750809061487</v>
      </c>
      <c r="U89">
        <v>0.98346996104308637</v>
      </c>
    </row>
    <row r="90" spans="1:21" x14ac:dyDescent="0.25">
      <c r="A90" s="12" t="s">
        <v>63</v>
      </c>
      <c r="B90" s="12" t="s">
        <v>38</v>
      </c>
      <c r="C90" s="12" t="s">
        <v>15</v>
      </c>
      <c r="D90" s="12">
        <v>4.2207252494765797</v>
      </c>
      <c r="E90" s="12">
        <v>0</v>
      </c>
      <c r="F90" s="12">
        <v>10</v>
      </c>
      <c r="G90" s="12">
        <v>0</v>
      </c>
      <c r="H90" s="12">
        <v>4.6875</v>
      </c>
      <c r="I90" s="12" t="s">
        <v>104</v>
      </c>
      <c r="J90">
        <v>1</v>
      </c>
      <c r="K90" s="6">
        <v>46237</v>
      </c>
      <c r="L90">
        <v>46237</v>
      </c>
      <c r="M90">
        <v>0</v>
      </c>
      <c r="N90">
        <v>0</v>
      </c>
      <c r="O90">
        <v>1.1105911242579236</v>
      </c>
      <c r="S90">
        <v>0</v>
      </c>
      <c r="T90">
        <v>0</v>
      </c>
      <c r="U90">
        <v>0.9004213865550037</v>
      </c>
    </row>
    <row r="91" spans="1:21" x14ac:dyDescent="0.25">
      <c r="A91" s="12" t="s">
        <v>63</v>
      </c>
      <c r="B91" s="12" t="s">
        <v>38</v>
      </c>
      <c r="C91" s="12" t="s">
        <v>14</v>
      </c>
      <c r="D91" s="12">
        <v>10.973885648639106</v>
      </c>
      <c r="E91" s="12">
        <v>0</v>
      </c>
      <c r="F91" s="12">
        <v>10</v>
      </c>
      <c r="G91" s="12">
        <v>0</v>
      </c>
      <c r="H91" s="12">
        <v>11.3671875</v>
      </c>
      <c r="I91" s="12" t="s">
        <v>105</v>
      </c>
      <c r="J91">
        <v>1</v>
      </c>
      <c r="K91" s="6">
        <v>46237</v>
      </c>
      <c r="L91">
        <v>46237</v>
      </c>
      <c r="M91">
        <v>0</v>
      </c>
      <c r="N91">
        <v>0</v>
      </c>
      <c r="O91">
        <v>1.0358397985867174</v>
      </c>
      <c r="S91">
        <v>0</v>
      </c>
      <c r="T91">
        <v>0</v>
      </c>
      <c r="U91">
        <v>0.96540024950227188</v>
      </c>
    </row>
    <row r="92" spans="1:21" x14ac:dyDescent="0.25">
      <c r="A92" s="12" t="s">
        <v>59</v>
      </c>
      <c r="B92" s="12" t="s">
        <v>38</v>
      </c>
      <c r="C92" s="12" t="s">
        <v>14</v>
      </c>
      <c r="D92" s="12">
        <v>10.973885648639106</v>
      </c>
      <c r="E92" s="12">
        <v>1.9</v>
      </c>
      <c r="F92" s="12">
        <v>10</v>
      </c>
      <c r="G92" s="12">
        <v>1.9</v>
      </c>
      <c r="H92" s="12">
        <v>11.6015625</v>
      </c>
      <c r="I92" s="12" t="s">
        <v>106</v>
      </c>
      <c r="K92" s="6">
        <v>46238</v>
      </c>
      <c r="L92">
        <v>46238</v>
      </c>
      <c r="M92">
        <v>0.17313830860226093</v>
      </c>
      <c r="N92">
        <v>0.17313830860226093</v>
      </c>
      <c r="O92">
        <v>1.0571973202070621</v>
      </c>
      <c r="P92">
        <v>5.7757292887574243</v>
      </c>
      <c r="Q92">
        <v>5.7757292887574243</v>
      </c>
      <c r="R92">
        <v>6.1060855263157894</v>
      </c>
      <c r="S92">
        <v>0.16377104377104376</v>
      </c>
      <c r="T92">
        <v>0.16377104377104376</v>
      </c>
      <c r="U92">
        <v>0.94589721415879169</v>
      </c>
    </row>
    <row r="93" spans="1:21" x14ac:dyDescent="0.25">
      <c r="A93" s="12" t="s">
        <v>59</v>
      </c>
      <c r="B93" s="12" t="s">
        <v>38</v>
      </c>
      <c r="C93" s="12" t="s">
        <v>15</v>
      </c>
      <c r="D93" s="12">
        <v>4.2207252494765797</v>
      </c>
      <c r="E93" s="12">
        <v>0</v>
      </c>
      <c r="F93" s="12">
        <v>10</v>
      </c>
      <c r="G93" s="12">
        <v>0</v>
      </c>
      <c r="H93" s="12">
        <v>4.6875</v>
      </c>
      <c r="I93" s="12" t="s">
        <v>107</v>
      </c>
      <c r="K93" s="6">
        <v>46238</v>
      </c>
      <c r="L93">
        <v>46238</v>
      </c>
      <c r="M93">
        <v>0</v>
      </c>
      <c r="N93">
        <v>0</v>
      </c>
      <c r="O93">
        <v>1.1105911242579236</v>
      </c>
      <c r="S93">
        <v>0</v>
      </c>
      <c r="T93">
        <v>0</v>
      </c>
      <c r="U93">
        <v>0.9004213865550037</v>
      </c>
    </row>
    <row r="94" spans="1:21" x14ac:dyDescent="0.25">
      <c r="A94" s="12" t="s">
        <v>59</v>
      </c>
      <c r="B94" s="12" t="s">
        <v>38</v>
      </c>
      <c r="C94" s="12" t="s">
        <v>13</v>
      </c>
      <c r="D94" s="12">
        <v>13.005109674949706</v>
      </c>
      <c r="E94" s="12">
        <v>2.8499999999999996</v>
      </c>
      <c r="F94" s="12">
        <v>10</v>
      </c>
      <c r="G94" s="12">
        <v>2.8499999999999996</v>
      </c>
      <c r="H94" s="12">
        <v>13.6171875</v>
      </c>
      <c r="I94" s="12" t="s">
        <v>108</v>
      </c>
      <c r="K94" s="6">
        <v>46238</v>
      </c>
      <c r="L94">
        <v>46238</v>
      </c>
      <c r="M94">
        <v>0.21914463401178672</v>
      </c>
      <c r="N94">
        <v>0.21914463401178672</v>
      </c>
      <c r="O94">
        <v>1.0470644108622376</v>
      </c>
      <c r="P94">
        <v>4.5631963771753359</v>
      </c>
      <c r="Q94">
        <v>4.5631963771753359</v>
      </c>
      <c r="R94">
        <v>4.7779605263157903</v>
      </c>
      <c r="S94">
        <v>0.20929432013769361</v>
      </c>
      <c r="T94">
        <v>0.20929432013769361</v>
      </c>
      <c r="U94">
        <v>0.95505108341569844</v>
      </c>
    </row>
    <row r="95" spans="1:21" x14ac:dyDescent="0.25">
      <c r="A95" s="12" t="s">
        <v>63</v>
      </c>
      <c r="B95" s="12" t="s">
        <v>38</v>
      </c>
      <c r="C95" s="12" t="s">
        <v>14</v>
      </c>
      <c r="D95" s="12">
        <v>10.973885648639106</v>
      </c>
      <c r="E95" s="12">
        <v>1.9</v>
      </c>
      <c r="F95" s="12">
        <v>10</v>
      </c>
      <c r="G95" s="12">
        <v>1.9</v>
      </c>
      <c r="H95" s="12">
        <v>11.6015625</v>
      </c>
      <c r="I95" s="12" t="s">
        <v>106</v>
      </c>
      <c r="J95">
        <v>1</v>
      </c>
      <c r="K95" s="6">
        <v>46238</v>
      </c>
      <c r="L95">
        <v>46238</v>
      </c>
      <c r="M95">
        <v>0.17313830860226093</v>
      </c>
      <c r="N95">
        <v>0.17313830860226093</v>
      </c>
      <c r="O95">
        <v>1.0571973202070621</v>
      </c>
      <c r="P95">
        <v>5.7757292887574243</v>
      </c>
      <c r="Q95">
        <v>5.7757292887574243</v>
      </c>
      <c r="R95">
        <v>6.1060855263157894</v>
      </c>
      <c r="S95">
        <v>0.16377104377104376</v>
      </c>
      <c r="T95">
        <v>0.16377104377104376</v>
      </c>
      <c r="U95">
        <v>0.94589721415879169</v>
      </c>
    </row>
    <row r="96" spans="1:21" x14ac:dyDescent="0.25">
      <c r="A96" s="12" t="s">
        <v>63</v>
      </c>
      <c r="B96" s="12" t="s">
        <v>38</v>
      </c>
      <c r="C96" s="12" t="s">
        <v>15</v>
      </c>
      <c r="D96" s="12">
        <v>4.2207252494765797</v>
      </c>
      <c r="E96" s="12">
        <v>0</v>
      </c>
      <c r="F96" s="12">
        <v>10</v>
      </c>
      <c r="G96" s="12">
        <v>0</v>
      </c>
      <c r="H96" s="12">
        <v>4.6875</v>
      </c>
      <c r="I96" s="12" t="s">
        <v>107</v>
      </c>
      <c r="J96">
        <v>1</v>
      </c>
      <c r="K96" s="6">
        <v>46238</v>
      </c>
      <c r="L96">
        <v>46238</v>
      </c>
      <c r="M96">
        <v>0</v>
      </c>
      <c r="N96">
        <v>0</v>
      </c>
      <c r="O96">
        <v>1.1105911242579236</v>
      </c>
      <c r="S96">
        <v>0</v>
      </c>
      <c r="T96">
        <v>0</v>
      </c>
      <c r="U96">
        <v>0.9004213865550037</v>
      </c>
    </row>
    <row r="97" spans="1:21" x14ac:dyDescent="0.25">
      <c r="A97" s="12" t="s">
        <v>63</v>
      </c>
      <c r="B97" s="12" t="s">
        <v>38</v>
      </c>
      <c r="C97" s="12" t="s">
        <v>13</v>
      </c>
      <c r="D97" s="12">
        <v>13.005109674949706</v>
      </c>
      <c r="E97" s="12">
        <v>2.8499999999999996</v>
      </c>
      <c r="F97" s="12">
        <v>10</v>
      </c>
      <c r="G97" s="12">
        <v>2.8499999999999996</v>
      </c>
      <c r="H97" s="12">
        <v>13.6171875</v>
      </c>
      <c r="I97" s="12" t="s">
        <v>108</v>
      </c>
      <c r="J97">
        <v>1</v>
      </c>
      <c r="K97" s="6">
        <v>46238</v>
      </c>
      <c r="L97">
        <v>46238</v>
      </c>
      <c r="M97">
        <v>0.21914463401178672</v>
      </c>
      <c r="N97">
        <v>0.21914463401178672</v>
      </c>
      <c r="O97">
        <v>1.0470644108622376</v>
      </c>
      <c r="P97">
        <v>4.5631963771753359</v>
      </c>
      <c r="Q97">
        <v>4.5631963771753359</v>
      </c>
      <c r="R97">
        <v>4.7779605263157903</v>
      </c>
      <c r="S97">
        <v>0.20929432013769361</v>
      </c>
      <c r="T97">
        <v>0.20929432013769361</v>
      </c>
      <c r="U97">
        <v>0.95505108341569844</v>
      </c>
    </row>
    <row r="98" spans="1:21" x14ac:dyDescent="0.25">
      <c r="A98" s="12" t="s">
        <v>59</v>
      </c>
      <c r="B98" s="12" t="s">
        <v>38</v>
      </c>
      <c r="C98" s="12" t="s">
        <v>15</v>
      </c>
      <c r="D98" s="12">
        <v>4.2207252494765797</v>
      </c>
      <c r="E98" s="12">
        <v>1.9</v>
      </c>
      <c r="F98" s="12">
        <v>10</v>
      </c>
      <c r="G98" s="12">
        <v>1.9</v>
      </c>
      <c r="H98" s="12">
        <v>4.6875</v>
      </c>
      <c r="I98" s="12" t="s">
        <v>109</v>
      </c>
      <c r="K98" s="6">
        <v>46239</v>
      </c>
      <c r="L98">
        <v>46239</v>
      </c>
      <c r="M98">
        <v>0.45015960236587838</v>
      </c>
      <c r="N98">
        <v>0.45015960236587838</v>
      </c>
      <c r="O98">
        <v>1.1105911242579236</v>
      </c>
      <c r="P98">
        <v>2.2214343418297791</v>
      </c>
      <c r="Q98">
        <v>2.2214343418297791</v>
      </c>
      <c r="R98">
        <v>2.4671052631578947</v>
      </c>
      <c r="S98">
        <v>0.40533333333333332</v>
      </c>
      <c r="T98">
        <v>0.40533333333333332</v>
      </c>
      <c r="U98">
        <v>0.9004213865550037</v>
      </c>
    </row>
    <row r="99" spans="1:21" x14ac:dyDescent="0.25">
      <c r="A99" s="12" t="s">
        <v>59</v>
      </c>
      <c r="B99" s="12" t="s">
        <v>38</v>
      </c>
      <c r="C99" s="12" t="s">
        <v>14</v>
      </c>
      <c r="D99" s="12">
        <v>10.815608451783737</v>
      </c>
      <c r="E99" s="12">
        <v>1.9</v>
      </c>
      <c r="F99" s="12">
        <v>10</v>
      </c>
      <c r="G99" s="12">
        <v>1.9</v>
      </c>
      <c r="H99" s="12">
        <v>11.355238970588236</v>
      </c>
      <c r="I99" s="12" t="s">
        <v>110</v>
      </c>
      <c r="K99" s="6">
        <v>46239</v>
      </c>
      <c r="L99">
        <v>46239</v>
      </c>
      <c r="M99">
        <v>0.17567203994765984</v>
      </c>
      <c r="N99">
        <v>0.17567203994765984</v>
      </c>
      <c r="O99">
        <v>1.0498936810823158</v>
      </c>
      <c r="P99">
        <v>5.6924255009388087</v>
      </c>
      <c r="Q99">
        <v>5.6924255009388087</v>
      </c>
      <c r="R99">
        <v>5.9764415634674926</v>
      </c>
      <c r="S99">
        <v>0.16732364725403698</v>
      </c>
      <c r="T99">
        <v>0.16732364725403698</v>
      </c>
      <c r="U99">
        <v>0.95247739653897001</v>
      </c>
    </row>
    <row r="100" spans="1:21" x14ac:dyDescent="0.25">
      <c r="A100" s="12" t="s">
        <v>59</v>
      </c>
      <c r="B100" s="12" t="s">
        <v>38</v>
      </c>
      <c r="C100" s="12" t="s">
        <v>13</v>
      </c>
      <c r="D100" s="12">
        <v>12.583037150002053</v>
      </c>
      <c r="E100" s="12">
        <v>2.8499999999999996</v>
      </c>
      <c r="F100" s="12">
        <v>10</v>
      </c>
      <c r="G100" s="12">
        <v>2.8499999999999996</v>
      </c>
      <c r="H100" s="12">
        <v>12.738511029411764</v>
      </c>
      <c r="I100" s="12" t="s">
        <v>111</v>
      </c>
      <c r="K100" s="6">
        <v>46239</v>
      </c>
      <c r="L100">
        <v>46239</v>
      </c>
      <c r="M100">
        <v>0.22649539741679414</v>
      </c>
      <c r="N100">
        <v>0.22649539741679414</v>
      </c>
      <c r="O100">
        <v>1.0123558309139766</v>
      </c>
      <c r="P100">
        <v>4.4151007543866854</v>
      </c>
      <c r="Q100">
        <v>4.4151007543866854</v>
      </c>
      <c r="R100">
        <v>4.4696529927760587</v>
      </c>
      <c r="S100">
        <v>0.2237310148273747</v>
      </c>
      <c r="T100">
        <v>0.2237310148273747</v>
      </c>
      <c r="U100">
        <v>0.98779497234404079</v>
      </c>
    </row>
    <row r="101" spans="1:21" x14ac:dyDescent="0.25">
      <c r="A101" s="12" t="s">
        <v>63</v>
      </c>
      <c r="B101" s="12" t="s">
        <v>38</v>
      </c>
      <c r="C101" s="12" t="s">
        <v>15</v>
      </c>
      <c r="D101" s="12">
        <v>4.2207252494765797</v>
      </c>
      <c r="E101" s="12">
        <v>1.9</v>
      </c>
      <c r="F101" s="12">
        <v>10</v>
      </c>
      <c r="G101" s="12">
        <v>1.9</v>
      </c>
      <c r="H101" s="12">
        <v>4.6875</v>
      </c>
      <c r="I101" s="12" t="s">
        <v>109</v>
      </c>
      <c r="J101">
        <v>1</v>
      </c>
      <c r="K101" s="6">
        <v>46239</v>
      </c>
      <c r="L101">
        <v>46239</v>
      </c>
      <c r="M101">
        <v>0.45015960236587838</v>
      </c>
      <c r="N101">
        <v>0.45015960236587838</v>
      </c>
      <c r="O101">
        <v>1.1105911242579236</v>
      </c>
      <c r="P101">
        <v>2.2214343418297791</v>
      </c>
      <c r="Q101">
        <v>2.2214343418297791</v>
      </c>
      <c r="R101">
        <v>2.4671052631578947</v>
      </c>
      <c r="S101">
        <v>0.40533333333333332</v>
      </c>
      <c r="T101">
        <v>0.40533333333333332</v>
      </c>
      <c r="U101">
        <v>0.9004213865550037</v>
      </c>
    </row>
    <row r="102" spans="1:21" x14ac:dyDescent="0.25">
      <c r="A102" s="12" t="s">
        <v>63</v>
      </c>
      <c r="B102" s="12" t="s">
        <v>38</v>
      </c>
      <c r="C102" s="12" t="s">
        <v>14</v>
      </c>
      <c r="D102" s="12">
        <v>10.815608451783737</v>
      </c>
      <c r="E102" s="12">
        <v>1.9</v>
      </c>
      <c r="F102" s="12">
        <v>10</v>
      </c>
      <c r="G102" s="12">
        <v>1.9</v>
      </c>
      <c r="H102" s="12">
        <v>11.355238970588236</v>
      </c>
      <c r="I102" s="12" t="s">
        <v>110</v>
      </c>
      <c r="J102">
        <v>1</v>
      </c>
      <c r="K102" s="6">
        <v>46239</v>
      </c>
      <c r="L102">
        <v>46239</v>
      </c>
      <c r="M102">
        <v>0.17567203994765984</v>
      </c>
      <c r="N102">
        <v>0.17567203994765984</v>
      </c>
      <c r="O102">
        <v>1.0498936810823158</v>
      </c>
      <c r="P102">
        <v>5.6924255009388087</v>
      </c>
      <c r="Q102">
        <v>5.6924255009388087</v>
      </c>
      <c r="R102">
        <v>5.9764415634674926</v>
      </c>
      <c r="S102">
        <v>0.16732364725403698</v>
      </c>
      <c r="T102">
        <v>0.16732364725403698</v>
      </c>
      <c r="U102">
        <v>0.95247739653897001</v>
      </c>
    </row>
    <row r="103" spans="1:21" x14ac:dyDescent="0.25">
      <c r="A103" s="12" t="s">
        <v>63</v>
      </c>
      <c r="B103" s="12" t="s">
        <v>38</v>
      </c>
      <c r="C103" s="12" t="s">
        <v>13</v>
      </c>
      <c r="D103" s="12">
        <v>12.583037150002053</v>
      </c>
      <c r="E103" s="12">
        <v>2.8499999999999996</v>
      </c>
      <c r="F103" s="12">
        <v>10</v>
      </c>
      <c r="G103" s="12">
        <v>2.8499999999999996</v>
      </c>
      <c r="H103" s="12">
        <v>12.738511029411764</v>
      </c>
      <c r="I103" s="12" t="s">
        <v>111</v>
      </c>
      <c r="J103">
        <v>1</v>
      </c>
      <c r="K103" s="6">
        <v>46239</v>
      </c>
      <c r="L103">
        <v>46239</v>
      </c>
      <c r="M103">
        <v>0.22649539741679414</v>
      </c>
      <c r="N103">
        <v>0.22649539741679414</v>
      </c>
      <c r="O103">
        <v>1.0123558309139766</v>
      </c>
      <c r="P103">
        <v>4.4151007543866854</v>
      </c>
      <c r="Q103">
        <v>4.4151007543866854</v>
      </c>
      <c r="R103">
        <v>4.4696529927760587</v>
      </c>
      <c r="S103">
        <v>0.2237310148273747</v>
      </c>
      <c r="T103">
        <v>0.2237310148273747</v>
      </c>
      <c r="U103">
        <v>0.98779497234404079</v>
      </c>
    </row>
    <row r="104" spans="1:21" x14ac:dyDescent="0.25">
      <c r="A104" s="12" t="s">
        <v>59</v>
      </c>
      <c r="B104" s="12" t="s">
        <v>38</v>
      </c>
      <c r="C104" s="12" t="s">
        <v>15</v>
      </c>
      <c r="D104" s="12">
        <v>4.2207252494765797</v>
      </c>
      <c r="E104" s="12">
        <v>0.95</v>
      </c>
      <c r="F104" s="12">
        <v>10</v>
      </c>
      <c r="G104" s="12">
        <v>0.95</v>
      </c>
      <c r="H104" s="12">
        <v>4.6875</v>
      </c>
      <c r="I104" s="12" t="s">
        <v>112</v>
      </c>
      <c r="K104" s="6">
        <v>46240</v>
      </c>
      <c r="L104">
        <v>46240</v>
      </c>
      <c r="M104">
        <v>0.22507980118293919</v>
      </c>
      <c r="N104">
        <v>0.22507980118293919</v>
      </c>
      <c r="O104">
        <v>1.1105911242579236</v>
      </c>
      <c r="P104">
        <v>4.4428686836595581</v>
      </c>
      <c r="Q104">
        <v>4.4428686836595581</v>
      </c>
      <c r="R104">
        <v>4.9342105263157894</v>
      </c>
      <c r="S104">
        <v>0.20266666666666666</v>
      </c>
      <c r="T104">
        <v>0.20266666666666666</v>
      </c>
      <c r="U104">
        <v>0.9004213865550037</v>
      </c>
    </row>
    <row r="105" spans="1:21" x14ac:dyDescent="0.25">
      <c r="A105" s="12" t="s">
        <v>59</v>
      </c>
      <c r="B105" s="12" t="s">
        <v>38</v>
      </c>
      <c r="C105" s="12" t="s">
        <v>13</v>
      </c>
      <c r="D105" s="12">
        <v>11.738892100106735</v>
      </c>
      <c r="E105" s="12">
        <v>4.75</v>
      </c>
      <c r="F105" s="12">
        <v>10</v>
      </c>
      <c r="G105" s="12">
        <v>4.75</v>
      </c>
      <c r="H105" s="12">
        <v>11.742187500000002</v>
      </c>
      <c r="I105" s="12" t="s">
        <v>113</v>
      </c>
      <c r="K105" s="6">
        <v>46240</v>
      </c>
      <c r="L105">
        <v>46240</v>
      </c>
      <c r="M105">
        <v>0.40463784482326154</v>
      </c>
      <c r="N105">
        <v>0.40463784482326154</v>
      </c>
      <c r="O105">
        <v>1.0002807249496088</v>
      </c>
      <c r="P105">
        <v>2.4713457052856285</v>
      </c>
      <c r="Q105">
        <v>2.4713457052856285</v>
      </c>
      <c r="R105">
        <v>2.4720394736842111</v>
      </c>
      <c r="S105">
        <v>0.40452428476380564</v>
      </c>
      <c r="T105">
        <v>0.40452428476380564</v>
      </c>
      <c r="U105">
        <v>0.99971935383477173</v>
      </c>
    </row>
    <row r="106" spans="1:21" x14ac:dyDescent="0.25">
      <c r="A106" s="12" t="s">
        <v>59</v>
      </c>
      <c r="B106" s="12" t="s">
        <v>38</v>
      </c>
      <c r="C106" s="12" t="s">
        <v>14</v>
      </c>
      <c r="D106" s="12">
        <v>10.973885648639106</v>
      </c>
      <c r="E106" s="12">
        <v>0.95</v>
      </c>
      <c r="F106" s="12">
        <v>10</v>
      </c>
      <c r="G106" s="12">
        <v>0.95</v>
      </c>
      <c r="H106" s="12">
        <v>11.6015625</v>
      </c>
      <c r="I106" s="12" t="s">
        <v>114</v>
      </c>
      <c r="K106" s="6">
        <v>46240</v>
      </c>
      <c r="L106">
        <v>46240</v>
      </c>
      <c r="M106">
        <v>8.6569154301130463E-2</v>
      </c>
      <c r="N106">
        <v>8.6569154301130463E-2</v>
      </c>
      <c r="O106">
        <v>1.0571973202070621</v>
      </c>
      <c r="P106">
        <v>11.551458577514849</v>
      </c>
      <c r="Q106">
        <v>11.551458577514849</v>
      </c>
      <c r="R106">
        <v>12.212171052631579</v>
      </c>
      <c r="S106">
        <v>8.1885521885521881E-2</v>
      </c>
      <c r="T106">
        <v>8.1885521885521881E-2</v>
      </c>
      <c r="U106">
        <v>0.94589721415879169</v>
      </c>
    </row>
    <row r="107" spans="1:21" x14ac:dyDescent="0.25">
      <c r="A107" s="12" t="s">
        <v>63</v>
      </c>
      <c r="B107" s="12" t="s">
        <v>38</v>
      </c>
      <c r="C107" s="12" t="s">
        <v>15</v>
      </c>
      <c r="D107" s="12">
        <v>4.2207252494765797</v>
      </c>
      <c r="E107" s="12">
        <v>0.95</v>
      </c>
      <c r="F107" s="12">
        <v>10</v>
      </c>
      <c r="G107" s="12">
        <v>0.95</v>
      </c>
      <c r="H107" s="12">
        <v>4.6875</v>
      </c>
      <c r="I107" s="12" t="s">
        <v>112</v>
      </c>
      <c r="J107">
        <v>1</v>
      </c>
      <c r="K107" s="6">
        <v>46240</v>
      </c>
      <c r="L107">
        <v>46240</v>
      </c>
      <c r="M107">
        <v>0.22507980118293919</v>
      </c>
      <c r="N107">
        <v>0.22507980118293919</v>
      </c>
      <c r="O107">
        <v>1.1105911242579236</v>
      </c>
      <c r="P107">
        <v>4.4428686836595581</v>
      </c>
      <c r="Q107">
        <v>4.4428686836595581</v>
      </c>
      <c r="R107">
        <v>4.9342105263157894</v>
      </c>
      <c r="S107">
        <v>0.20266666666666666</v>
      </c>
      <c r="T107">
        <v>0.20266666666666666</v>
      </c>
      <c r="U107">
        <v>0.9004213865550037</v>
      </c>
    </row>
    <row r="108" spans="1:21" x14ac:dyDescent="0.25">
      <c r="A108" s="12" t="s">
        <v>63</v>
      </c>
      <c r="B108" s="12" t="s">
        <v>38</v>
      </c>
      <c r="C108" s="12" t="s">
        <v>13</v>
      </c>
      <c r="D108" s="12">
        <v>11.738892100106735</v>
      </c>
      <c r="E108" s="12">
        <v>4.75</v>
      </c>
      <c r="F108" s="12">
        <v>10</v>
      </c>
      <c r="G108" s="12">
        <v>4.75</v>
      </c>
      <c r="H108" s="12">
        <v>11.742187500000002</v>
      </c>
      <c r="I108" s="12" t="s">
        <v>113</v>
      </c>
      <c r="J108">
        <v>1</v>
      </c>
      <c r="K108" s="6">
        <v>46240</v>
      </c>
      <c r="L108">
        <v>46240</v>
      </c>
      <c r="M108">
        <v>0.40463784482326154</v>
      </c>
      <c r="N108">
        <v>0.40463784482326154</v>
      </c>
      <c r="O108">
        <v>1.0002807249496088</v>
      </c>
      <c r="P108">
        <v>2.4713457052856285</v>
      </c>
      <c r="Q108">
        <v>2.4713457052856285</v>
      </c>
      <c r="R108">
        <v>2.4720394736842111</v>
      </c>
      <c r="S108">
        <v>0.40452428476380564</v>
      </c>
      <c r="T108">
        <v>0.40452428476380564</v>
      </c>
      <c r="U108">
        <v>0.99971935383477173</v>
      </c>
    </row>
    <row r="109" spans="1:21" x14ac:dyDescent="0.25">
      <c r="A109" s="12" t="s">
        <v>63</v>
      </c>
      <c r="B109" s="12" t="s">
        <v>38</v>
      </c>
      <c r="C109" s="12" t="s">
        <v>14</v>
      </c>
      <c r="D109" s="12">
        <v>10.973885648639106</v>
      </c>
      <c r="E109" s="12">
        <v>0.95</v>
      </c>
      <c r="F109" s="12">
        <v>10</v>
      </c>
      <c r="G109" s="12">
        <v>0.95</v>
      </c>
      <c r="H109" s="12">
        <v>11.6015625</v>
      </c>
      <c r="I109" s="12" t="s">
        <v>114</v>
      </c>
      <c r="J109">
        <v>1</v>
      </c>
      <c r="K109" s="6">
        <v>46240</v>
      </c>
      <c r="L109">
        <v>46240</v>
      </c>
      <c r="M109">
        <v>8.6569154301130463E-2</v>
      </c>
      <c r="N109">
        <v>8.6569154301130463E-2</v>
      </c>
      <c r="O109">
        <v>1.0571973202070621</v>
      </c>
      <c r="P109">
        <v>11.551458577514849</v>
      </c>
      <c r="Q109">
        <v>11.551458577514849</v>
      </c>
      <c r="R109">
        <v>12.212171052631579</v>
      </c>
      <c r="S109">
        <v>8.1885521885521881E-2</v>
      </c>
      <c r="T109">
        <v>8.1885521885521881E-2</v>
      </c>
      <c r="U109">
        <v>0.94589721415879169</v>
      </c>
    </row>
    <row r="110" spans="1:21" x14ac:dyDescent="0.25">
      <c r="A110" s="12" t="s">
        <v>59</v>
      </c>
      <c r="B110" s="12" t="s">
        <v>38</v>
      </c>
      <c r="C110" s="12" t="s">
        <v>14</v>
      </c>
      <c r="D110" s="12">
        <v>11.026644714257564</v>
      </c>
      <c r="E110" s="12">
        <v>2.8499999999999996</v>
      </c>
      <c r="F110" s="12">
        <v>10</v>
      </c>
      <c r="G110" s="12">
        <v>2.8499999999999996</v>
      </c>
      <c r="H110" s="12">
        <v>11.253676470588236</v>
      </c>
      <c r="I110" s="12" t="s">
        <v>115</v>
      </c>
      <c r="K110" s="6">
        <v>46241</v>
      </c>
      <c r="L110">
        <v>46241</v>
      </c>
      <c r="M110">
        <v>0.25846484346366222</v>
      </c>
      <c r="N110">
        <v>0.25846484346366222</v>
      </c>
      <c r="O110">
        <v>1.0205893780215043</v>
      </c>
      <c r="P110">
        <v>3.8689981453535318</v>
      </c>
      <c r="Q110">
        <v>3.8689981453535318</v>
      </c>
      <c r="R110">
        <v>3.9486584107327145</v>
      </c>
      <c r="S110">
        <v>0.25325057170859194</v>
      </c>
      <c r="T110">
        <v>0.25325057170859194</v>
      </c>
      <c r="U110">
        <v>0.97982599225026379</v>
      </c>
    </row>
    <row r="111" spans="1:21" x14ac:dyDescent="0.25">
      <c r="A111" s="12" t="s">
        <v>59</v>
      </c>
      <c r="B111" s="12" t="s">
        <v>38</v>
      </c>
      <c r="C111" s="12" t="s">
        <v>15</v>
      </c>
      <c r="D111" s="12">
        <v>4.2207252494765797</v>
      </c>
      <c r="E111" s="12">
        <v>3.8</v>
      </c>
      <c r="F111" s="12">
        <v>10</v>
      </c>
      <c r="G111" s="12">
        <v>3.8</v>
      </c>
      <c r="H111" s="12">
        <v>4.6875</v>
      </c>
      <c r="I111" s="12" t="s">
        <v>116</v>
      </c>
      <c r="K111" s="6">
        <v>46241</v>
      </c>
      <c r="L111">
        <v>46241</v>
      </c>
      <c r="M111">
        <v>0.90031920473175675</v>
      </c>
      <c r="N111">
        <v>0.90031920473175675</v>
      </c>
      <c r="O111">
        <v>1.1105911242579236</v>
      </c>
      <c r="P111">
        <v>1.1107171709148895</v>
      </c>
      <c r="Q111">
        <v>1.1107171709148895</v>
      </c>
      <c r="R111">
        <v>1.2335526315789473</v>
      </c>
      <c r="S111">
        <v>0.81066666666666665</v>
      </c>
      <c r="T111">
        <v>0.81066666666666665</v>
      </c>
      <c r="U111">
        <v>0.9004213865550037</v>
      </c>
    </row>
    <row r="112" spans="1:21" x14ac:dyDescent="0.25">
      <c r="A112" s="12" t="s">
        <v>59</v>
      </c>
      <c r="B112" s="12" t="s">
        <v>38</v>
      </c>
      <c r="C112" s="12" t="s">
        <v>13</v>
      </c>
      <c r="D112" s="12">
        <v>10.973885648639108</v>
      </c>
      <c r="E112" s="12">
        <v>0</v>
      </c>
      <c r="F112" s="12">
        <v>10</v>
      </c>
      <c r="G112" s="12">
        <v>0</v>
      </c>
      <c r="H112" s="12">
        <v>11.308823529411764</v>
      </c>
      <c r="I112" s="12" t="s">
        <v>117</v>
      </c>
      <c r="K112" s="6">
        <v>46241</v>
      </c>
      <c r="L112">
        <v>46241</v>
      </c>
      <c r="M112">
        <v>0</v>
      </c>
      <c r="N112">
        <v>0</v>
      </c>
      <c r="O112">
        <v>1.0305213569283176</v>
      </c>
      <c r="S112">
        <v>0</v>
      </c>
      <c r="T112">
        <v>0</v>
      </c>
      <c r="U112">
        <v>0.9703826061215336</v>
      </c>
    </row>
    <row r="113" spans="1:21" x14ac:dyDescent="0.25">
      <c r="A113" s="12" t="s">
        <v>63</v>
      </c>
      <c r="B113" s="12" t="s">
        <v>38</v>
      </c>
      <c r="C113" s="12" t="s">
        <v>14</v>
      </c>
      <c r="D113" s="12">
        <v>11.026644714257564</v>
      </c>
      <c r="E113" s="12">
        <v>2.8499999999999996</v>
      </c>
      <c r="F113" s="12">
        <v>10</v>
      </c>
      <c r="G113" s="12">
        <v>2.8499999999999996</v>
      </c>
      <c r="H113" s="12">
        <v>11.253676470588236</v>
      </c>
      <c r="I113" s="12" t="s">
        <v>115</v>
      </c>
      <c r="J113">
        <v>1</v>
      </c>
      <c r="K113" s="6">
        <v>46241</v>
      </c>
      <c r="L113">
        <v>46241</v>
      </c>
      <c r="M113">
        <v>0.25846484346366222</v>
      </c>
      <c r="N113">
        <v>0.25846484346366222</v>
      </c>
      <c r="O113">
        <v>1.0205893780215043</v>
      </c>
      <c r="P113">
        <v>3.8689981453535318</v>
      </c>
      <c r="Q113">
        <v>3.8689981453535318</v>
      </c>
      <c r="R113">
        <v>3.9486584107327145</v>
      </c>
      <c r="S113">
        <v>0.25325057170859194</v>
      </c>
      <c r="T113">
        <v>0.25325057170859194</v>
      </c>
      <c r="U113">
        <v>0.97982599225026379</v>
      </c>
    </row>
    <row r="114" spans="1:21" x14ac:dyDescent="0.25">
      <c r="A114" s="12" t="s">
        <v>63</v>
      </c>
      <c r="B114" s="12" t="s">
        <v>38</v>
      </c>
      <c r="C114" s="12" t="s">
        <v>15</v>
      </c>
      <c r="D114" s="12">
        <v>4.2207252494765797</v>
      </c>
      <c r="E114" s="12">
        <v>3.8</v>
      </c>
      <c r="F114" s="12">
        <v>10</v>
      </c>
      <c r="G114" s="12">
        <v>3.8</v>
      </c>
      <c r="H114" s="12">
        <v>4.6875</v>
      </c>
      <c r="I114" s="12" t="s">
        <v>116</v>
      </c>
      <c r="J114">
        <v>1</v>
      </c>
      <c r="K114" s="6">
        <v>46241</v>
      </c>
      <c r="L114">
        <v>46241</v>
      </c>
      <c r="M114">
        <v>0.90031920473175675</v>
      </c>
      <c r="N114">
        <v>0.90031920473175675</v>
      </c>
      <c r="O114">
        <v>1.1105911242579236</v>
      </c>
      <c r="P114">
        <v>1.1107171709148895</v>
      </c>
      <c r="Q114">
        <v>1.1107171709148895</v>
      </c>
      <c r="R114">
        <v>1.2335526315789473</v>
      </c>
      <c r="S114">
        <v>0.81066666666666665</v>
      </c>
      <c r="T114">
        <v>0.81066666666666665</v>
      </c>
      <c r="U114">
        <v>0.9004213865550037</v>
      </c>
    </row>
    <row r="115" spans="1:21" x14ac:dyDescent="0.25">
      <c r="A115" s="12" t="s">
        <v>63</v>
      </c>
      <c r="B115" s="12" t="s">
        <v>38</v>
      </c>
      <c r="C115" s="12" t="s">
        <v>13</v>
      </c>
      <c r="D115" s="12">
        <v>10.973885648639108</v>
      </c>
      <c r="E115" s="12">
        <v>0</v>
      </c>
      <c r="F115" s="12">
        <v>10</v>
      </c>
      <c r="G115" s="12">
        <v>0</v>
      </c>
      <c r="H115" s="12">
        <v>11.308823529411764</v>
      </c>
      <c r="I115" s="12" t="s">
        <v>117</v>
      </c>
      <c r="J115">
        <v>1</v>
      </c>
      <c r="K115" s="6">
        <v>46241</v>
      </c>
      <c r="L115">
        <v>46241</v>
      </c>
      <c r="M115">
        <v>0</v>
      </c>
      <c r="N115">
        <v>0</v>
      </c>
      <c r="O115">
        <v>1.0305213569283176</v>
      </c>
      <c r="S115">
        <v>0</v>
      </c>
      <c r="T115">
        <v>0</v>
      </c>
      <c r="U115">
        <v>0.9703826061215336</v>
      </c>
    </row>
    <row r="116" spans="1:21" x14ac:dyDescent="0.25">
      <c r="A116" s="12" t="s">
        <v>59</v>
      </c>
      <c r="B116" s="12" t="s">
        <v>38</v>
      </c>
      <c r="C116" s="12" t="s">
        <v>14</v>
      </c>
      <c r="D116" s="12">
        <v>10.973885648639106</v>
      </c>
      <c r="E116" s="12">
        <v>1.9</v>
      </c>
      <c r="F116" s="12">
        <v>10</v>
      </c>
      <c r="G116" s="12">
        <v>1.9</v>
      </c>
      <c r="H116" s="12">
        <v>11.308823529411764</v>
      </c>
      <c r="I116" s="12" t="s">
        <v>118</v>
      </c>
      <c r="K116" s="6">
        <v>46242</v>
      </c>
      <c r="L116">
        <v>46242</v>
      </c>
      <c r="M116">
        <v>0.17313830860226093</v>
      </c>
      <c r="N116">
        <v>0.17313830860226093</v>
      </c>
      <c r="O116">
        <v>1.0305213569283178</v>
      </c>
      <c r="P116">
        <v>5.7757292887574243</v>
      </c>
      <c r="Q116">
        <v>5.7757292887574243</v>
      </c>
      <c r="R116">
        <v>5.9520123839009287</v>
      </c>
      <c r="S116">
        <v>0.16801040312093626</v>
      </c>
      <c r="T116">
        <v>0.16801040312093626</v>
      </c>
      <c r="U116">
        <v>0.97038260612153349</v>
      </c>
    </row>
    <row r="117" spans="1:21" x14ac:dyDescent="0.25">
      <c r="A117" s="12" t="s">
        <v>59</v>
      </c>
      <c r="B117" s="12" t="s">
        <v>38</v>
      </c>
      <c r="C117" s="12" t="s">
        <v>13</v>
      </c>
      <c r="D117" s="12">
        <v>11.026644714257564</v>
      </c>
      <c r="E117" s="12">
        <v>4.75</v>
      </c>
      <c r="F117" s="12">
        <v>10</v>
      </c>
      <c r="G117" s="12">
        <v>4.75</v>
      </c>
      <c r="H117" s="12">
        <v>11.253676470588236</v>
      </c>
      <c r="I117" s="12" t="s">
        <v>119</v>
      </c>
      <c r="K117" s="6">
        <v>46242</v>
      </c>
      <c r="L117">
        <v>46242</v>
      </c>
      <c r="M117">
        <v>0.43077473910610375</v>
      </c>
      <c r="N117">
        <v>0.43077473910610375</v>
      </c>
      <c r="O117">
        <v>1.0205893780215043</v>
      </c>
      <c r="P117">
        <v>2.3213988872121187</v>
      </c>
      <c r="Q117">
        <v>2.3213988872121187</v>
      </c>
      <c r="R117">
        <v>2.3691950464396285</v>
      </c>
      <c r="S117">
        <v>0.42208428618098659</v>
      </c>
      <c r="T117">
        <v>0.42208428618098659</v>
      </c>
      <c r="U117">
        <v>0.97982599225026379</v>
      </c>
    </row>
    <row r="118" spans="1:21" x14ac:dyDescent="0.25">
      <c r="A118" s="12" t="s">
        <v>59</v>
      </c>
      <c r="B118" s="12" t="s">
        <v>38</v>
      </c>
      <c r="C118" s="12" t="s">
        <v>15</v>
      </c>
      <c r="D118" s="12">
        <v>4.2207252494765797</v>
      </c>
      <c r="E118" s="12">
        <v>0.95</v>
      </c>
      <c r="F118" s="12">
        <v>10</v>
      </c>
      <c r="G118" s="12">
        <v>0.95</v>
      </c>
      <c r="H118" s="12">
        <v>4.6875</v>
      </c>
      <c r="I118" s="12" t="s">
        <v>120</v>
      </c>
      <c r="K118" s="6">
        <v>46242</v>
      </c>
      <c r="L118">
        <v>46242</v>
      </c>
      <c r="M118">
        <v>0.22507980118293919</v>
      </c>
      <c r="N118">
        <v>0.22507980118293919</v>
      </c>
      <c r="O118">
        <v>1.1105911242579236</v>
      </c>
      <c r="P118">
        <v>4.4428686836595581</v>
      </c>
      <c r="Q118">
        <v>4.4428686836595581</v>
      </c>
      <c r="R118">
        <v>4.9342105263157894</v>
      </c>
      <c r="S118">
        <v>0.20266666666666666</v>
      </c>
      <c r="T118">
        <v>0.20266666666666666</v>
      </c>
      <c r="U118">
        <v>0.9004213865550037</v>
      </c>
    </row>
    <row r="119" spans="1:21" x14ac:dyDescent="0.25">
      <c r="A119" s="12" t="s">
        <v>63</v>
      </c>
      <c r="B119" s="12" t="s">
        <v>38</v>
      </c>
      <c r="C119" s="12" t="s">
        <v>14</v>
      </c>
      <c r="D119" s="12">
        <v>10.973885648639106</v>
      </c>
      <c r="E119" s="12">
        <v>1.9</v>
      </c>
      <c r="F119" s="12">
        <v>10</v>
      </c>
      <c r="G119" s="12">
        <v>1.9</v>
      </c>
      <c r="H119" s="12">
        <v>11.308823529411764</v>
      </c>
      <c r="I119" s="12" t="s">
        <v>118</v>
      </c>
      <c r="J119">
        <v>1</v>
      </c>
      <c r="K119" s="6">
        <v>46242</v>
      </c>
      <c r="L119">
        <v>46242</v>
      </c>
      <c r="M119">
        <v>0.17313830860226093</v>
      </c>
      <c r="N119">
        <v>0.17313830860226093</v>
      </c>
      <c r="O119">
        <v>1.0305213569283178</v>
      </c>
      <c r="P119">
        <v>5.7757292887574243</v>
      </c>
      <c r="Q119">
        <v>5.7757292887574243</v>
      </c>
      <c r="R119">
        <v>5.9520123839009287</v>
      </c>
      <c r="S119">
        <v>0.16801040312093626</v>
      </c>
      <c r="T119">
        <v>0.16801040312093626</v>
      </c>
      <c r="U119">
        <v>0.97038260612153349</v>
      </c>
    </row>
    <row r="120" spans="1:21" x14ac:dyDescent="0.25">
      <c r="A120" s="12" t="s">
        <v>63</v>
      </c>
      <c r="B120" s="12" t="s">
        <v>38</v>
      </c>
      <c r="C120" s="12" t="s">
        <v>13</v>
      </c>
      <c r="D120" s="12">
        <v>11.026644714257564</v>
      </c>
      <c r="E120" s="12">
        <v>4.75</v>
      </c>
      <c r="F120" s="12">
        <v>10</v>
      </c>
      <c r="G120" s="12">
        <v>4.75</v>
      </c>
      <c r="H120" s="12">
        <v>11.253676470588236</v>
      </c>
      <c r="I120" s="12" t="s">
        <v>119</v>
      </c>
      <c r="J120">
        <v>1</v>
      </c>
      <c r="K120" s="6">
        <v>46242</v>
      </c>
      <c r="L120">
        <v>46242</v>
      </c>
      <c r="M120">
        <v>0.43077473910610375</v>
      </c>
      <c r="N120">
        <v>0.43077473910610375</v>
      </c>
      <c r="O120">
        <v>1.0205893780215043</v>
      </c>
      <c r="P120">
        <v>2.3213988872121187</v>
      </c>
      <c r="Q120">
        <v>2.3213988872121187</v>
      </c>
      <c r="R120">
        <v>2.3691950464396285</v>
      </c>
      <c r="S120">
        <v>0.42208428618098659</v>
      </c>
      <c r="T120">
        <v>0.42208428618098659</v>
      </c>
      <c r="U120">
        <v>0.97982599225026379</v>
      </c>
    </row>
    <row r="121" spans="1:21" x14ac:dyDescent="0.25">
      <c r="A121" s="12" t="s">
        <v>63</v>
      </c>
      <c r="B121" s="12" t="s">
        <v>38</v>
      </c>
      <c r="C121" s="12" t="s">
        <v>15</v>
      </c>
      <c r="D121" s="12">
        <v>4.2207252494765797</v>
      </c>
      <c r="E121" s="12">
        <v>0.95</v>
      </c>
      <c r="F121" s="12">
        <v>10</v>
      </c>
      <c r="G121" s="12">
        <v>0.95</v>
      </c>
      <c r="H121" s="12">
        <v>4.6875</v>
      </c>
      <c r="I121" s="12" t="s">
        <v>120</v>
      </c>
      <c r="J121">
        <v>1</v>
      </c>
      <c r="K121" s="6">
        <v>46242</v>
      </c>
      <c r="L121">
        <v>46242</v>
      </c>
      <c r="M121">
        <v>0.22507980118293919</v>
      </c>
      <c r="N121">
        <v>0.22507980118293919</v>
      </c>
      <c r="O121">
        <v>1.1105911242579236</v>
      </c>
      <c r="P121">
        <v>4.4428686836595581</v>
      </c>
      <c r="Q121">
        <v>4.4428686836595581</v>
      </c>
      <c r="R121">
        <v>4.9342105263157894</v>
      </c>
      <c r="S121">
        <v>0.20266666666666666</v>
      </c>
      <c r="T121">
        <v>0.20266666666666666</v>
      </c>
      <c r="U121">
        <v>0.9004213865550037</v>
      </c>
    </row>
    <row r="122" spans="1:21" x14ac:dyDescent="0.25">
      <c r="A122" s="12" t="s">
        <v>59</v>
      </c>
      <c r="B122" s="12" t="s">
        <v>38</v>
      </c>
      <c r="C122" s="12" t="s">
        <v>14</v>
      </c>
      <c r="D122" s="12">
        <v>11.818030698534422</v>
      </c>
      <c r="E122" s="12">
        <v>5.6999999999999993</v>
      </c>
      <c r="F122" s="12">
        <v>10</v>
      </c>
      <c r="G122" s="12">
        <v>5.6999999999999993</v>
      </c>
      <c r="H122" s="12">
        <v>12.1875</v>
      </c>
      <c r="I122" s="12" t="s">
        <v>121</v>
      </c>
      <c r="K122" s="6">
        <v>46243</v>
      </c>
      <c r="L122">
        <v>46243</v>
      </c>
      <c r="M122">
        <v>0.48231385967772683</v>
      </c>
      <c r="N122">
        <v>0.48231385967772683</v>
      </c>
      <c r="O122">
        <v>1.0312631868109292</v>
      </c>
      <c r="P122">
        <v>2.0733387190411268</v>
      </c>
      <c r="Q122">
        <v>2.0733387190411268</v>
      </c>
      <c r="R122">
        <v>2.1381578947368425</v>
      </c>
      <c r="S122">
        <v>0.46769230769230763</v>
      </c>
      <c r="T122">
        <v>0.46769230769230763</v>
      </c>
      <c r="U122">
        <v>0.96968457013615772</v>
      </c>
    </row>
    <row r="123" spans="1:21" x14ac:dyDescent="0.25">
      <c r="A123" s="12" t="s">
        <v>59</v>
      </c>
      <c r="B123" s="12" t="s">
        <v>38</v>
      </c>
      <c r="C123" s="12" t="s">
        <v>13</v>
      </c>
      <c r="D123" s="12">
        <v>10.973885648639106</v>
      </c>
      <c r="E123" s="12">
        <v>0.95</v>
      </c>
      <c r="F123" s="12">
        <v>10</v>
      </c>
      <c r="G123" s="12">
        <v>0.95</v>
      </c>
      <c r="H123" s="12">
        <v>11.25</v>
      </c>
      <c r="I123" s="12" t="s">
        <v>122</v>
      </c>
      <c r="K123" s="6">
        <v>46243</v>
      </c>
      <c r="L123">
        <v>46243</v>
      </c>
      <c r="M123">
        <v>8.6569154301130463E-2</v>
      </c>
      <c r="N123">
        <v>8.6569154301130463E-2</v>
      </c>
      <c r="O123">
        <v>1.025161037776545</v>
      </c>
      <c r="P123">
        <v>11.551458577514849</v>
      </c>
      <c r="Q123">
        <v>11.551458577514849</v>
      </c>
      <c r="R123">
        <v>11.842105263157896</v>
      </c>
      <c r="S123">
        <v>8.4444444444444447E-2</v>
      </c>
      <c r="T123">
        <v>8.4444444444444447E-2</v>
      </c>
      <c r="U123">
        <v>0.9754565021012539</v>
      </c>
    </row>
    <row r="124" spans="1:21" x14ac:dyDescent="0.25">
      <c r="A124" s="12" t="s">
        <v>59</v>
      </c>
      <c r="B124" s="12" t="s">
        <v>38</v>
      </c>
      <c r="C124" s="12" t="s">
        <v>15</v>
      </c>
      <c r="D124" s="12">
        <v>4.2207252494765797</v>
      </c>
      <c r="E124" s="12">
        <v>1.9</v>
      </c>
      <c r="F124" s="12">
        <v>10</v>
      </c>
      <c r="G124" s="12">
        <v>1.9</v>
      </c>
      <c r="H124" s="12">
        <v>4.6875</v>
      </c>
      <c r="I124" s="12" t="s">
        <v>123</v>
      </c>
      <c r="K124" s="6">
        <v>46243</v>
      </c>
      <c r="L124">
        <v>46243</v>
      </c>
      <c r="M124">
        <v>0.45015960236587838</v>
      </c>
      <c r="N124">
        <v>0.45015960236587838</v>
      </c>
      <c r="O124">
        <v>1.1105911242579236</v>
      </c>
      <c r="P124">
        <v>2.2214343418297791</v>
      </c>
      <c r="Q124">
        <v>2.2214343418297791</v>
      </c>
      <c r="R124">
        <v>2.4671052631578947</v>
      </c>
      <c r="S124">
        <v>0.40533333333333332</v>
      </c>
      <c r="T124">
        <v>0.40533333333333332</v>
      </c>
      <c r="U124">
        <v>0.9004213865550037</v>
      </c>
    </row>
    <row r="125" spans="1:21" x14ac:dyDescent="0.25">
      <c r="A125" s="12" t="s">
        <v>63</v>
      </c>
      <c r="B125" s="12" t="s">
        <v>38</v>
      </c>
      <c r="C125" s="12" t="s">
        <v>14</v>
      </c>
      <c r="D125" s="12">
        <v>11.818030698534422</v>
      </c>
      <c r="E125" s="12">
        <v>5.6999999999999993</v>
      </c>
      <c r="F125" s="12">
        <v>10</v>
      </c>
      <c r="G125" s="12">
        <v>5.6999999999999993</v>
      </c>
      <c r="H125" s="12">
        <v>12.1875</v>
      </c>
      <c r="I125" s="12" t="s">
        <v>121</v>
      </c>
      <c r="J125">
        <v>1</v>
      </c>
      <c r="K125" s="6">
        <v>46243</v>
      </c>
      <c r="L125">
        <v>46243</v>
      </c>
      <c r="M125">
        <v>0.48231385967772683</v>
      </c>
      <c r="N125">
        <v>0.48231385967772683</v>
      </c>
      <c r="O125">
        <v>1.0312631868109292</v>
      </c>
      <c r="P125">
        <v>2.0733387190411268</v>
      </c>
      <c r="Q125">
        <v>2.0733387190411268</v>
      </c>
      <c r="R125">
        <v>2.1381578947368425</v>
      </c>
      <c r="S125">
        <v>0.46769230769230763</v>
      </c>
      <c r="T125">
        <v>0.46769230769230763</v>
      </c>
      <c r="U125">
        <v>0.96968457013615772</v>
      </c>
    </row>
    <row r="126" spans="1:21" x14ac:dyDescent="0.25">
      <c r="A126" s="12" t="s">
        <v>63</v>
      </c>
      <c r="B126" s="12" t="s">
        <v>38</v>
      </c>
      <c r="C126" s="12" t="s">
        <v>13</v>
      </c>
      <c r="D126" s="12">
        <v>10.973885648639106</v>
      </c>
      <c r="E126" s="12">
        <v>0.95</v>
      </c>
      <c r="F126" s="12">
        <v>10</v>
      </c>
      <c r="G126" s="12">
        <v>0.95</v>
      </c>
      <c r="H126" s="12">
        <v>11.25</v>
      </c>
      <c r="I126" s="12" t="s">
        <v>122</v>
      </c>
      <c r="J126">
        <v>1</v>
      </c>
      <c r="K126" s="6">
        <v>46243</v>
      </c>
      <c r="L126">
        <v>46243</v>
      </c>
      <c r="M126">
        <v>8.6569154301130463E-2</v>
      </c>
      <c r="N126">
        <v>8.6569154301130463E-2</v>
      </c>
      <c r="O126">
        <v>1.025161037776545</v>
      </c>
      <c r="P126">
        <v>11.551458577514849</v>
      </c>
      <c r="Q126">
        <v>11.551458577514849</v>
      </c>
      <c r="R126">
        <v>11.842105263157896</v>
      </c>
      <c r="S126">
        <v>8.4444444444444447E-2</v>
      </c>
      <c r="T126">
        <v>8.4444444444444447E-2</v>
      </c>
      <c r="U126">
        <v>0.9754565021012539</v>
      </c>
    </row>
    <row r="127" spans="1:21" x14ac:dyDescent="0.25">
      <c r="A127" s="12" t="s">
        <v>63</v>
      </c>
      <c r="B127" s="12" t="s">
        <v>38</v>
      </c>
      <c r="C127" s="12" t="s">
        <v>15</v>
      </c>
      <c r="D127" s="12">
        <v>4.2207252494765797</v>
      </c>
      <c r="E127" s="12">
        <v>1.9</v>
      </c>
      <c r="F127" s="12">
        <v>10</v>
      </c>
      <c r="G127" s="12">
        <v>1.9</v>
      </c>
      <c r="H127" s="12">
        <v>4.6875</v>
      </c>
      <c r="I127" s="12" t="s">
        <v>123</v>
      </c>
      <c r="J127">
        <v>1</v>
      </c>
      <c r="K127" s="6">
        <v>46243</v>
      </c>
      <c r="L127">
        <v>46243</v>
      </c>
      <c r="M127">
        <v>0.45015960236587838</v>
      </c>
      <c r="N127">
        <v>0.45015960236587838</v>
      </c>
      <c r="O127">
        <v>1.1105911242579236</v>
      </c>
      <c r="P127">
        <v>2.2214343418297791</v>
      </c>
      <c r="Q127">
        <v>2.2214343418297791</v>
      </c>
      <c r="R127">
        <v>2.4671052631578947</v>
      </c>
      <c r="S127">
        <v>0.40533333333333332</v>
      </c>
      <c r="T127">
        <v>0.40533333333333332</v>
      </c>
      <c r="U127">
        <v>0.9004213865550037</v>
      </c>
    </row>
    <row r="128" spans="1:21" x14ac:dyDescent="0.25">
      <c r="A128" s="12" t="s">
        <v>59</v>
      </c>
      <c r="B128" s="12" t="s">
        <v>38</v>
      </c>
      <c r="C128" s="12" t="s">
        <v>13</v>
      </c>
      <c r="D128" s="12">
        <v>11.870789764152878</v>
      </c>
      <c r="E128" s="12">
        <v>5.6999999999999993</v>
      </c>
      <c r="F128" s="12">
        <v>10</v>
      </c>
      <c r="G128" s="12">
        <v>5.6999999999999993</v>
      </c>
      <c r="H128" s="12">
        <v>11.839613970588236</v>
      </c>
      <c r="I128" s="12" t="s">
        <v>124</v>
      </c>
      <c r="K128" s="6">
        <v>46244</v>
      </c>
      <c r="L128">
        <v>46244</v>
      </c>
      <c r="M128">
        <v>0.48017024252360363</v>
      </c>
      <c r="N128">
        <v>0.48017024252360363</v>
      </c>
      <c r="O128">
        <v>0.99737373888477188</v>
      </c>
      <c r="P128">
        <v>2.0825946954654175</v>
      </c>
      <c r="Q128">
        <v>2.0825946954654175</v>
      </c>
      <c r="R128">
        <v>2.0771252579979365</v>
      </c>
      <c r="S128">
        <v>0.48143461553390515</v>
      </c>
      <c r="T128">
        <v>0.48143461553390515</v>
      </c>
      <c r="U128">
        <v>1.0026331765243435</v>
      </c>
    </row>
    <row r="129" spans="1:21" x14ac:dyDescent="0.25">
      <c r="A129" s="12" t="s">
        <v>59</v>
      </c>
      <c r="B129" s="12" t="s">
        <v>38</v>
      </c>
      <c r="C129" s="12" t="s">
        <v>15</v>
      </c>
      <c r="D129" s="12">
        <v>4.2207252494765797</v>
      </c>
      <c r="E129" s="12">
        <v>0.95</v>
      </c>
      <c r="F129" s="12">
        <v>10</v>
      </c>
      <c r="G129" s="12">
        <v>0.95</v>
      </c>
      <c r="H129" s="12">
        <v>4.6875</v>
      </c>
      <c r="I129" s="12" t="s">
        <v>125</v>
      </c>
      <c r="K129" s="6">
        <v>46244</v>
      </c>
      <c r="L129">
        <v>46244</v>
      </c>
      <c r="M129">
        <v>0.22507980118293919</v>
      </c>
      <c r="N129">
        <v>0.22507980118293919</v>
      </c>
      <c r="O129">
        <v>1.1105911242579236</v>
      </c>
      <c r="P129">
        <v>4.4428686836595581</v>
      </c>
      <c r="Q129">
        <v>4.4428686836595581</v>
      </c>
      <c r="R129">
        <v>4.9342105263157894</v>
      </c>
      <c r="S129">
        <v>0.20266666666666666</v>
      </c>
      <c r="T129">
        <v>0.20266666666666666</v>
      </c>
      <c r="U129">
        <v>0.9004213865550037</v>
      </c>
    </row>
    <row r="130" spans="1:21" x14ac:dyDescent="0.25">
      <c r="A130" s="12" t="s">
        <v>59</v>
      </c>
      <c r="B130" s="12" t="s">
        <v>38</v>
      </c>
      <c r="C130" s="12" t="s">
        <v>14</v>
      </c>
      <c r="D130" s="12">
        <v>10.973885648639106</v>
      </c>
      <c r="E130" s="12">
        <v>0</v>
      </c>
      <c r="F130" s="12">
        <v>10</v>
      </c>
      <c r="G130" s="12">
        <v>0</v>
      </c>
      <c r="H130" s="12">
        <v>11.660386029411764</v>
      </c>
      <c r="I130" s="12" t="s">
        <v>126</v>
      </c>
      <c r="K130" s="6">
        <v>46244</v>
      </c>
      <c r="L130">
        <v>46244</v>
      </c>
      <c r="M130">
        <v>0</v>
      </c>
      <c r="N130">
        <v>0</v>
      </c>
      <c r="O130">
        <v>1.0625576393588347</v>
      </c>
      <c r="S130">
        <v>0</v>
      </c>
      <c r="T130">
        <v>0</v>
      </c>
      <c r="U130">
        <v>0.94112541565596086</v>
      </c>
    </row>
    <row r="131" spans="1:21" x14ac:dyDescent="0.25">
      <c r="A131" s="12" t="s">
        <v>63</v>
      </c>
      <c r="B131" s="12" t="s">
        <v>38</v>
      </c>
      <c r="C131" s="12" t="s">
        <v>13</v>
      </c>
      <c r="D131" s="12">
        <v>11.870789764152878</v>
      </c>
      <c r="E131" s="12">
        <v>5.6999999999999993</v>
      </c>
      <c r="F131" s="12">
        <v>10</v>
      </c>
      <c r="G131" s="12">
        <v>5.6999999999999993</v>
      </c>
      <c r="H131" s="12">
        <v>11.839613970588236</v>
      </c>
      <c r="I131" s="12" t="s">
        <v>124</v>
      </c>
      <c r="J131">
        <v>1</v>
      </c>
      <c r="K131" s="6">
        <v>46244</v>
      </c>
      <c r="L131">
        <v>46244</v>
      </c>
      <c r="M131">
        <v>0.48017024252360363</v>
      </c>
      <c r="N131">
        <v>0.48017024252360363</v>
      </c>
      <c r="O131">
        <v>0.99737373888477188</v>
      </c>
      <c r="P131">
        <v>2.0825946954654175</v>
      </c>
      <c r="Q131">
        <v>2.0825946954654175</v>
      </c>
      <c r="R131">
        <v>2.0771252579979365</v>
      </c>
      <c r="S131">
        <v>0.48143461553390515</v>
      </c>
      <c r="T131">
        <v>0.48143461553390515</v>
      </c>
      <c r="U131">
        <v>1.0026331765243435</v>
      </c>
    </row>
    <row r="132" spans="1:21" x14ac:dyDescent="0.25">
      <c r="A132" s="12" t="s">
        <v>63</v>
      </c>
      <c r="B132" s="12" t="s">
        <v>38</v>
      </c>
      <c r="C132" s="12" t="s">
        <v>15</v>
      </c>
      <c r="D132" s="12">
        <v>4.2207252494765797</v>
      </c>
      <c r="E132" s="12">
        <v>0.95</v>
      </c>
      <c r="F132" s="12">
        <v>10</v>
      </c>
      <c r="G132" s="12">
        <v>0.95</v>
      </c>
      <c r="H132" s="12">
        <v>4.6875</v>
      </c>
      <c r="I132" s="12" t="s">
        <v>125</v>
      </c>
      <c r="J132">
        <v>1</v>
      </c>
      <c r="K132" s="6">
        <v>46244</v>
      </c>
      <c r="L132">
        <v>46244</v>
      </c>
      <c r="M132">
        <v>0.22507980118293919</v>
      </c>
      <c r="N132">
        <v>0.22507980118293919</v>
      </c>
      <c r="O132">
        <v>1.1105911242579236</v>
      </c>
      <c r="P132">
        <v>4.4428686836595581</v>
      </c>
      <c r="Q132">
        <v>4.4428686836595581</v>
      </c>
      <c r="R132">
        <v>4.9342105263157894</v>
      </c>
      <c r="S132">
        <v>0.20266666666666666</v>
      </c>
      <c r="T132">
        <v>0.20266666666666666</v>
      </c>
      <c r="U132">
        <v>0.9004213865550037</v>
      </c>
    </row>
    <row r="133" spans="1:21" x14ac:dyDescent="0.25">
      <c r="A133" s="12" t="s">
        <v>63</v>
      </c>
      <c r="B133" s="12" t="s">
        <v>38</v>
      </c>
      <c r="C133" s="12" t="s">
        <v>14</v>
      </c>
      <c r="D133" s="12">
        <v>10.973885648639106</v>
      </c>
      <c r="E133" s="12">
        <v>0</v>
      </c>
      <c r="F133" s="12">
        <v>10</v>
      </c>
      <c r="G133" s="12">
        <v>0</v>
      </c>
      <c r="H133" s="12">
        <v>11.660386029411764</v>
      </c>
      <c r="I133" s="12" t="s">
        <v>126</v>
      </c>
      <c r="J133">
        <v>1</v>
      </c>
      <c r="K133" s="6">
        <v>46244</v>
      </c>
      <c r="L133">
        <v>46244</v>
      </c>
      <c r="M133">
        <v>0</v>
      </c>
      <c r="N133">
        <v>0</v>
      </c>
      <c r="O133">
        <v>1.0625576393588347</v>
      </c>
      <c r="S133">
        <v>0</v>
      </c>
      <c r="T133">
        <v>0</v>
      </c>
      <c r="U133">
        <v>0.94112541565596086</v>
      </c>
    </row>
    <row r="134" spans="1:21" x14ac:dyDescent="0.25">
      <c r="A134" s="12" t="s">
        <v>59</v>
      </c>
      <c r="B134" s="12" t="s">
        <v>38</v>
      </c>
      <c r="C134" s="12" t="s">
        <v>14</v>
      </c>
      <c r="D134" s="12">
        <v>10.973885648639106</v>
      </c>
      <c r="E134" s="12">
        <v>0.95</v>
      </c>
      <c r="F134" s="12">
        <v>10</v>
      </c>
      <c r="G134" s="12">
        <v>0.95</v>
      </c>
      <c r="H134" s="12">
        <v>11.6015625</v>
      </c>
      <c r="I134" s="12" t="s">
        <v>127</v>
      </c>
      <c r="K134" s="6">
        <v>46245</v>
      </c>
      <c r="L134">
        <v>46245</v>
      </c>
      <c r="M134">
        <v>8.6569154301130463E-2</v>
      </c>
      <c r="N134">
        <v>8.6569154301130463E-2</v>
      </c>
      <c r="O134">
        <v>1.0571973202070621</v>
      </c>
      <c r="P134">
        <v>11.551458577514849</v>
      </c>
      <c r="Q134">
        <v>11.551458577514849</v>
      </c>
      <c r="R134">
        <v>12.212171052631579</v>
      </c>
      <c r="S134">
        <v>8.1885521885521881E-2</v>
      </c>
      <c r="T134">
        <v>8.1885521885521881E-2</v>
      </c>
      <c r="U134">
        <v>0.94589721415879169</v>
      </c>
    </row>
    <row r="135" spans="1:21" x14ac:dyDescent="0.25">
      <c r="A135" s="12" t="s">
        <v>59</v>
      </c>
      <c r="B135" s="12" t="s">
        <v>38</v>
      </c>
      <c r="C135" s="12" t="s">
        <v>13</v>
      </c>
      <c r="D135" s="12">
        <v>11.738892100106735</v>
      </c>
      <c r="E135" s="12">
        <v>3.8</v>
      </c>
      <c r="F135" s="12">
        <v>10</v>
      </c>
      <c r="G135" s="12">
        <v>3.8</v>
      </c>
      <c r="H135" s="12">
        <v>11.7421875</v>
      </c>
      <c r="I135" s="12" t="s">
        <v>128</v>
      </c>
      <c r="K135" s="6">
        <v>46245</v>
      </c>
      <c r="L135">
        <v>46245</v>
      </c>
      <c r="M135">
        <v>0.32371027585860923</v>
      </c>
      <c r="N135">
        <v>0.32371027585860923</v>
      </c>
      <c r="O135">
        <v>1.0002807249496086</v>
      </c>
      <c r="P135">
        <v>3.0891821316070356</v>
      </c>
      <c r="Q135">
        <v>3.0891821316070356</v>
      </c>
      <c r="R135">
        <v>3.0900493421052633</v>
      </c>
      <c r="S135">
        <v>0.32361942781104458</v>
      </c>
      <c r="T135">
        <v>0.32361942781104458</v>
      </c>
      <c r="U135">
        <v>0.99971935383477184</v>
      </c>
    </row>
    <row r="136" spans="1:21" x14ac:dyDescent="0.25">
      <c r="A136" s="12" t="s">
        <v>59</v>
      </c>
      <c r="B136" s="12" t="s">
        <v>38</v>
      </c>
      <c r="C136" s="12" t="s">
        <v>15</v>
      </c>
      <c r="D136" s="12">
        <v>4.2207252494765797</v>
      </c>
      <c r="E136" s="12">
        <v>0</v>
      </c>
      <c r="F136" s="12">
        <v>10</v>
      </c>
      <c r="G136" s="12">
        <v>0</v>
      </c>
      <c r="H136" s="12">
        <v>4.6875</v>
      </c>
      <c r="I136" s="12" t="s">
        <v>129</v>
      </c>
      <c r="K136" s="6">
        <v>46245</v>
      </c>
      <c r="L136">
        <v>46245</v>
      </c>
      <c r="M136">
        <v>0</v>
      </c>
      <c r="N136">
        <v>0</v>
      </c>
      <c r="O136">
        <v>1.1105911242579236</v>
      </c>
      <c r="S136">
        <v>0</v>
      </c>
      <c r="T136">
        <v>0</v>
      </c>
      <c r="U136">
        <v>0.9004213865550037</v>
      </c>
    </row>
    <row r="137" spans="1:21" x14ac:dyDescent="0.25">
      <c r="A137" s="12" t="s">
        <v>63</v>
      </c>
      <c r="B137" s="12" t="s">
        <v>38</v>
      </c>
      <c r="C137" s="12" t="s">
        <v>14</v>
      </c>
      <c r="D137" s="12">
        <v>10.973885648639106</v>
      </c>
      <c r="E137" s="12">
        <v>0.95</v>
      </c>
      <c r="F137" s="12">
        <v>10</v>
      </c>
      <c r="G137" s="12">
        <v>0.95</v>
      </c>
      <c r="H137" s="12">
        <v>11.6015625</v>
      </c>
      <c r="I137" s="12" t="s">
        <v>127</v>
      </c>
      <c r="J137">
        <v>1</v>
      </c>
      <c r="K137" s="6">
        <v>46245</v>
      </c>
      <c r="L137">
        <v>46245</v>
      </c>
      <c r="M137">
        <v>8.6569154301130463E-2</v>
      </c>
      <c r="N137">
        <v>8.6569154301130463E-2</v>
      </c>
      <c r="O137">
        <v>1.0571973202070621</v>
      </c>
      <c r="P137">
        <v>11.551458577514849</v>
      </c>
      <c r="Q137">
        <v>11.551458577514849</v>
      </c>
      <c r="R137">
        <v>12.212171052631579</v>
      </c>
      <c r="S137">
        <v>8.1885521885521881E-2</v>
      </c>
      <c r="T137">
        <v>8.1885521885521881E-2</v>
      </c>
      <c r="U137">
        <v>0.94589721415879169</v>
      </c>
    </row>
    <row r="138" spans="1:21" x14ac:dyDescent="0.25">
      <c r="A138" s="12" t="s">
        <v>63</v>
      </c>
      <c r="B138" s="12" t="s">
        <v>38</v>
      </c>
      <c r="C138" s="12" t="s">
        <v>13</v>
      </c>
      <c r="D138" s="12">
        <v>11.738892100106735</v>
      </c>
      <c r="E138" s="12">
        <v>3.8</v>
      </c>
      <c r="F138" s="12">
        <v>10</v>
      </c>
      <c r="G138" s="12">
        <v>3.8</v>
      </c>
      <c r="H138" s="12">
        <v>11.7421875</v>
      </c>
      <c r="I138" s="12" t="s">
        <v>128</v>
      </c>
      <c r="J138">
        <v>1</v>
      </c>
      <c r="K138" s="6">
        <v>46245</v>
      </c>
      <c r="L138">
        <v>46245</v>
      </c>
      <c r="M138">
        <v>0.32371027585860923</v>
      </c>
      <c r="N138">
        <v>0.32371027585860923</v>
      </c>
      <c r="O138">
        <v>1.0002807249496086</v>
      </c>
      <c r="P138">
        <v>3.0891821316070356</v>
      </c>
      <c r="Q138">
        <v>3.0891821316070356</v>
      </c>
      <c r="R138">
        <v>3.0900493421052633</v>
      </c>
      <c r="S138">
        <v>0.32361942781104458</v>
      </c>
      <c r="T138">
        <v>0.32361942781104458</v>
      </c>
      <c r="U138">
        <v>0.99971935383477184</v>
      </c>
    </row>
    <row r="139" spans="1:21" x14ac:dyDescent="0.25">
      <c r="A139" s="12" t="s">
        <v>63</v>
      </c>
      <c r="B139" s="12" t="s">
        <v>38</v>
      </c>
      <c r="C139" s="12" t="s">
        <v>15</v>
      </c>
      <c r="D139" s="12">
        <v>4.2207252494765797</v>
      </c>
      <c r="E139" s="12">
        <v>0</v>
      </c>
      <c r="F139" s="12">
        <v>10</v>
      </c>
      <c r="G139" s="12">
        <v>0</v>
      </c>
      <c r="H139" s="12">
        <v>4.6875</v>
      </c>
      <c r="I139" s="12" t="s">
        <v>129</v>
      </c>
      <c r="J139">
        <v>1</v>
      </c>
      <c r="K139" s="6">
        <v>46245</v>
      </c>
      <c r="L139">
        <v>46245</v>
      </c>
      <c r="M139">
        <v>0</v>
      </c>
      <c r="N139">
        <v>0</v>
      </c>
      <c r="O139">
        <v>1.1105911242579236</v>
      </c>
      <c r="S139">
        <v>0</v>
      </c>
      <c r="T139">
        <v>0</v>
      </c>
      <c r="U139">
        <v>0.9004213865550037</v>
      </c>
    </row>
    <row r="140" spans="1:21" x14ac:dyDescent="0.25">
      <c r="A140" s="12" t="s">
        <v>59</v>
      </c>
      <c r="B140" s="12" t="s">
        <v>38</v>
      </c>
      <c r="C140" s="12" t="s">
        <v>13</v>
      </c>
      <c r="D140" s="12">
        <v>12.583037150002053</v>
      </c>
      <c r="E140" s="12">
        <v>1.9</v>
      </c>
      <c r="F140" s="12">
        <v>10</v>
      </c>
      <c r="G140" s="12">
        <v>1.9</v>
      </c>
      <c r="H140" s="12">
        <v>11.801011029411764</v>
      </c>
      <c r="I140" s="12" t="s">
        <v>130</v>
      </c>
      <c r="K140" s="6">
        <v>46246</v>
      </c>
      <c r="L140">
        <v>46246</v>
      </c>
      <c r="M140">
        <v>0.15099693161119609</v>
      </c>
      <c r="N140">
        <v>0.15099693161119609</v>
      </c>
      <c r="O140">
        <v>0.93785076597424166</v>
      </c>
      <c r="P140">
        <v>6.622651131580028</v>
      </c>
      <c r="Q140">
        <v>6.622651131580028</v>
      </c>
      <c r="R140">
        <v>6.2110584365325083</v>
      </c>
      <c r="S140">
        <v>0.16100315432843956</v>
      </c>
      <c r="T140">
        <v>0.16100315432843956</v>
      </c>
      <c r="U140">
        <v>1.0662677222011943</v>
      </c>
    </row>
    <row r="141" spans="1:21" x14ac:dyDescent="0.25">
      <c r="A141" s="12" t="s">
        <v>59</v>
      </c>
      <c r="B141" s="12" t="s">
        <v>38</v>
      </c>
      <c r="C141" s="12" t="s">
        <v>15</v>
      </c>
      <c r="D141" s="12">
        <v>4.2207252494765797</v>
      </c>
      <c r="E141" s="12">
        <v>1.9</v>
      </c>
      <c r="F141" s="12">
        <v>10</v>
      </c>
      <c r="G141" s="12">
        <v>1.9</v>
      </c>
      <c r="H141" s="12">
        <v>4.6875</v>
      </c>
      <c r="I141" s="12" t="s">
        <v>131</v>
      </c>
      <c r="K141" s="6">
        <v>46246</v>
      </c>
      <c r="L141">
        <v>46246</v>
      </c>
      <c r="M141">
        <v>0.45015960236587838</v>
      </c>
      <c r="N141">
        <v>0.45015960236587838</v>
      </c>
      <c r="O141">
        <v>1.1105911242579236</v>
      </c>
      <c r="P141">
        <v>2.2214343418297791</v>
      </c>
      <c r="Q141">
        <v>2.2214343418297791</v>
      </c>
      <c r="R141">
        <v>2.4671052631578947</v>
      </c>
      <c r="S141">
        <v>0.40533333333333332</v>
      </c>
      <c r="T141">
        <v>0.40533333333333332</v>
      </c>
      <c r="U141">
        <v>0.9004213865550037</v>
      </c>
    </row>
    <row r="142" spans="1:21" x14ac:dyDescent="0.25">
      <c r="A142" s="12" t="s">
        <v>59</v>
      </c>
      <c r="B142" s="12" t="s">
        <v>38</v>
      </c>
      <c r="C142" s="12" t="s">
        <v>14</v>
      </c>
      <c r="D142" s="12">
        <v>10.815608451783737</v>
      </c>
      <c r="E142" s="12">
        <v>1.9</v>
      </c>
      <c r="F142" s="12">
        <v>10</v>
      </c>
      <c r="G142" s="12">
        <v>1.9</v>
      </c>
      <c r="H142" s="12">
        <v>11.355238970588234</v>
      </c>
      <c r="I142" s="12" t="s">
        <v>132</v>
      </c>
      <c r="K142" s="6">
        <v>46246</v>
      </c>
      <c r="L142">
        <v>46246</v>
      </c>
      <c r="M142">
        <v>0.17567203994765984</v>
      </c>
      <c r="N142">
        <v>0.17567203994765984</v>
      </c>
      <c r="O142">
        <v>1.0498936810823158</v>
      </c>
      <c r="P142">
        <v>5.6924255009388087</v>
      </c>
      <c r="Q142">
        <v>5.6924255009388087</v>
      </c>
      <c r="R142">
        <v>5.9764415634674917</v>
      </c>
      <c r="S142">
        <v>0.16732364725403701</v>
      </c>
      <c r="T142">
        <v>0.16732364725403701</v>
      </c>
      <c r="U142">
        <v>0.95247739653897023</v>
      </c>
    </row>
    <row r="143" spans="1:21" x14ac:dyDescent="0.25">
      <c r="A143" s="12" t="s">
        <v>63</v>
      </c>
      <c r="B143" s="12" t="s">
        <v>38</v>
      </c>
      <c r="C143" s="12" t="s">
        <v>13</v>
      </c>
      <c r="D143" s="12">
        <v>12.583037150002053</v>
      </c>
      <c r="E143" s="12">
        <v>1.9</v>
      </c>
      <c r="F143" s="12">
        <v>10</v>
      </c>
      <c r="G143" s="12">
        <v>1.9</v>
      </c>
      <c r="H143" s="12">
        <v>11.801011029411764</v>
      </c>
      <c r="I143" s="12" t="s">
        <v>130</v>
      </c>
      <c r="J143">
        <v>1</v>
      </c>
      <c r="K143" s="6">
        <v>46246</v>
      </c>
      <c r="L143">
        <v>46246</v>
      </c>
      <c r="M143">
        <v>0.15099693161119609</v>
      </c>
      <c r="N143">
        <v>0.15099693161119609</v>
      </c>
      <c r="O143">
        <v>0.93785076597424166</v>
      </c>
      <c r="P143">
        <v>6.622651131580028</v>
      </c>
      <c r="Q143">
        <v>6.622651131580028</v>
      </c>
      <c r="R143">
        <v>6.2110584365325083</v>
      </c>
      <c r="S143">
        <v>0.16100315432843956</v>
      </c>
      <c r="T143">
        <v>0.16100315432843956</v>
      </c>
      <c r="U143">
        <v>1.0662677222011943</v>
      </c>
    </row>
    <row r="144" spans="1:21" x14ac:dyDescent="0.25">
      <c r="A144" s="12" t="s">
        <v>63</v>
      </c>
      <c r="B144" s="12" t="s">
        <v>38</v>
      </c>
      <c r="C144" s="12" t="s">
        <v>15</v>
      </c>
      <c r="D144" s="12">
        <v>4.2207252494765797</v>
      </c>
      <c r="E144" s="12">
        <v>1.9</v>
      </c>
      <c r="F144" s="12">
        <v>10</v>
      </c>
      <c r="G144" s="12">
        <v>1.9</v>
      </c>
      <c r="H144" s="12">
        <v>4.6875</v>
      </c>
      <c r="I144" s="12" t="s">
        <v>131</v>
      </c>
      <c r="J144">
        <v>1</v>
      </c>
      <c r="K144" s="6">
        <v>46246</v>
      </c>
      <c r="L144">
        <v>46246</v>
      </c>
      <c r="M144">
        <v>0.45015960236587838</v>
      </c>
      <c r="N144">
        <v>0.45015960236587838</v>
      </c>
      <c r="O144">
        <v>1.1105911242579236</v>
      </c>
      <c r="P144">
        <v>2.2214343418297791</v>
      </c>
      <c r="Q144">
        <v>2.2214343418297791</v>
      </c>
      <c r="R144">
        <v>2.4671052631578947</v>
      </c>
      <c r="S144">
        <v>0.40533333333333332</v>
      </c>
      <c r="T144">
        <v>0.40533333333333332</v>
      </c>
      <c r="U144">
        <v>0.9004213865550037</v>
      </c>
    </row>
    <row r="145" spans="1:21" x14ac:dyDescent="0.25">
      <c r="A145" s="12" t="s">
        <v>63</v>
      </c>
      <c r="B145" s="12" t="s">
        <v>38</v>
      </c>
      <c r="C145" s="12" t="s">
        <v>14</v>
      </c>
      <c r="D145" s="12">
        <v>10.815608451783737</v>
      </c>
      <c r="E145" s="12">
        <v>1.9</v>
      </c>
      <c r="F145" s="12">
        <v>10</v>
      </c>
      <c r="G145" s="12">
        <v>1.9</v>
      </c>
      <c r="H145" s="12">
        <v>11.355238970588234</v>
      </c>
      <c r="I145" s="12" t="s">
        <v>132</v>
      </c>
      <c r="J145">
        <v>1</v>
      </c>
      <c r="K145" s="6">
        <v>46246</v>
      </c>
      <c r="L145">
        <v>46246</v>
      </c>
      <c r="M145">
        <v>0.17567203994765984</v>
      </c>
      <c r="N145">
        <v>0.17567203994765984</v>
      </c>
      <c r="O145">
        <v>1.0498936810823158</v>
      </c>
      <c r="P145">
        <v>5.6924255009388087</v>
      </c>
      <c r="Q145">
        <v>5.6924255009388087</v>
      </c>
      <c r="R145">
        <v>5.9764415634674917</v>
      </c>
      <c r="S145">
        <v>0.16732364725403701</v>
      </c>
      <c r="T145">
        <v>0.16732364725403701</v>
      </c>
      <c r="U145">
        <v>0.95247739653897023</v>
      </c>
    </row>
    <row r="146" spans="1:21" x14ac:dyDescent="0.25">
      <c r="A146" s="12" t="s">
        <v>59</v>
      </c>
      <c r="B146" s="12" t="s">
        <v>38</v>
      </c>
      <c r="C146" s="12" t="s">
        <v>14</v>
      </c>
      <c r="D146" s="12">
        <v>10.973885648639106</v>
      </c>
      <c r="E146" s="12">
        <v>5.6999999999999993</v>
      </c>
      <c r="F146" s="12">
        <v>10</v>
      </c>
      <c r="G146" s="12">
        <v>5.6999999999999993</v>
      </c>
      <c r="H146" s="12">
        <v>11.25</v>
      </c>
      <c r="I146" s="12" t="s">
        <v>133</v>
      </c>
      <c r="K146" s="6">
        <v>46247</v>
      </c>
      <c r="L146">
        <v>46247</v>
      </c>
      <c r="M146">
        <v>0.51941492580678272</v>
      </c>
      <c r="N146">
        <v>0.51941492580678272</v>
      </c>
      <c r="O146">
        <v>1.025161037776545</v>
      </c>
      <c r="P146">
        <v>1.9252430962524749</v>
      </c>
      <c r="Q146">
        <v>1.9252430962524749</v>
      </c>
      <c r="R146">
        <v>1.9736842105263159</v>
      </c>
      <c r="S146">
        <v>0.5066666666666666</v>
      </c>
      <c r="T146">
        <v>0.5066666666666666</v>
      </c>
      <c r="U146">
        <v>0.9754565021012539</v>
      </c>
    </row>
    <row r="147" spans="1:21" x14ac:dyDescent="0.25">
      <c r="A147" s="12" t="s">
        <v>59</v>
      </c>
      <c r="B147" s="12" t="s">
        <v>38</v>
      </c>
      <c r="C147" s="12" t="s">
        <v>15</v>
      </c>
      <c r="D147" s="12">
        <v>4.2207252494765797</v>
      </c>
      <c r="E147" s="12">
        <v>0</v>
      </c>
      <c r="F147" s="12">
        <v>10</v>
      </c>
      <c r="G147" s="12">
        <v>0</v>
      </c>
      <c r="H147" s="12">
        <v>4.6875</v>
      </c>
      <c r="I147" s="12" t="s">
        <v>134</v>
      </c>
      <c r="K147" s="6">
        <v>46247</v>
      </c>
      <c r="L147">
        <v>46247</v>
      </c>
      <c r="M147">
        <v>0</v>
      </c>
      <c r="N147">
        <v>0</v>
      </c>
      <c r="O147">
        <v>1.1105911242579236</v>
      </c>
      <c r="S147">
        <v>0</v>
      </c>
      <c r="T147">
        <v>0</v>
      </c>
      <c r="U147">
        <v>0.9004213865550037</v>
      </c>
    </row>
    <row r="148" spans="1:21" x14ac:dyDescent="0.25">
      <c r="A148" s="12" t="s">
        <v>59</v>
      </c>
      <c r="B148" s="12" t="s">
        <v>38</v>
      </c>
      <c r="C148" s="12" t="s">
        <v>13</v>
      </c>
      <c r="D148" s="12">
        <v>10.89474705021142</v>
      </c>
      <c r="E148" s="12">
        <v>0</v>
      </c>
      <c r="F148" s="12">
        <v>10</v>
      </c>
      <c r="G148" s="12">
        <v>0</v>
      </c>
      <c r="H148" s="12">
        <v>11.15625</v>
      </c>
      <c r="I148" s="12" t="s">
        <v>135</v>
      </c>
      <c r="K148" s="6">
        <v>46247</v>
      </c>
      <c r="L148">
        <v>46247</v>
      </c>
      <c r="M148">
        <v>0</v>
      </c>
      <c r="N148">
        <v>0</v>
      </c>
      <c r="O148">
        <v>1.0240026637225603</v>
      </c>
      <c r="S148">
        <v>0</v>
      </c>
      <c r="T148">
        <v>0</v>
      </c>
      <c r="U148">
        <v>0.97655995968281628</v>
      </c>
    </row>
    <row r="149" spans="1:21" x14ac:dyDescent="0.25">
      <c r="A149" s="12" t="s">
        <v>63</v>
      </c>
      <c r="B149" s="12" t="s">
        <v>38</v>
      </c>
      <c r="C149" s="12" t="s">
        <v>14</v>
      </c>
      <c r="D149" s="12">
        <v>10.973885648639106</v>
      </c>
      <c r="E149" s="12">
        <v>5.6999999999999993</v>
      </c>
      <c r="F149" s="12">
        <v>10</v>
      </c>
      <c r="G149" s="12">
        <v>5.6999999999999993</v>
      </c>
      <c r="H149" s="12">
        <v>11.25</v>
      </c>
      <c r="I149" s="12" t="s">
        <v>133</v>
      </c>
      <c r="J149">
        <v>1</v>
      </c>
      <c r="K149" s="6">
        <v>46247</v>
      </c>
      <c r="L149">
        <v>46247</v>
      </c>
      <c r="M149">
        <v>0.51941492580678272</v>
      </c>
      <c r="N149">
        <v>0.51941492580678272</v>
      </c>
      <c r="O149">
        <v>1.025161037776545</v>
      </c>
      <c r="P149">
        <v>1.9252430962524749</v>
      </c>
      <c r="Q149">
        <v>1.9252430962524749</v>
      </c>
      <c r="R149">
        <v>1.9736842105263159</v>
      </c>
      <c r="S149">
        <v>0.5066666666666666</v>
      </c>
      <c r="T149">
        <v>0.5066666666666666</v>
      </c>
      <c r="U149">
        <v>0.9754565021012539</v>
      </c>
    </row>
    <row r="150" spans="1:21" x14ac:dyDescent="0.25">
      <c r="A150" s="12" t="s">
        <v>63</v>
      </c>
      <c r="B150" s="12" t="s">
        <v>38</v>
      </c>
      <c r="C150" s="12" t="s">
        <v>15</v>
      </c>
      <c r="D150" s="12">
        <v>4.2207252494765797</v>
      </c>
      <c r="E150" s="12">
        <v>0</v>
      </c>
      <c r="F150" s="12">
        <v>10</v>
      </c>
      <c r="G150" s="12">
        <v>0</v>
      </c>
      <c r="H150" s="12">
        <v>4.6875</v>
      </c>
      <c r="I150" s="12" t="s">
        <v>134</v>
      </c>
      <c r="J150">
        <v>1</v>
      </c>
      <c r="K150" s="6">
        <v>46247</v>
      </c>
      <c r="L150">
        <v>46247</v>
      </c>
      <c r="M150">
        <v>0</v>
      </c>
      <c r="N150">
        <v>0</v>
      </c>
      <c r="O150">
        <v>1.1105911242579236</v>
      </c>
      <c r="S150">
        <v>0</v>
      </c>
      <c r="T150">
        <v>0</v>
      </c>
      <c r="U150">
        <v>0.9004213865550037</v>
      </c>
    </row>
    <row r="151" spans="1:21" x14ac:dyDescent="0.25">
      <c r="A151" s="12" t="s">
        <v>63</v>
      </c>
      <c r="B151" s="12" t="s">
        <v>38</v>
      </c>
      <c r="C151" s="12" t="s">
        <v>13</v>
      </c>
      <c r="D151" s="12">
        <v>10.89474705021142</v>
      </c>
      <c r="E151" s="12">
        <v>0</v>
      </c>
      <c r="F151" s="12">
        <v>10</v>
      </c>
      <c r="G151" s="12">
        <v>0</v>
      </c>
      <c r="H151" s="12">
        <v>11.15625</v>
      </c>
      <c r="I151" s="12" t="s">
        <v>135</v>
      </c>
      <c r="J151">
        <v>1</v>
      </c>
      <c r="K151" s="6">
        <v>46247</v>
      </c>
      <c r="L151">
        <v>46247</v>
      </c>
      <c r="M151">
        <v>0</v>
      </c>
      <c r="N151">
        <v>0</v>
      </c>
      <c r="O151">
        <v>1.0240026637225603</v>
      </c>
      <c r="S151">
        <v>0</v>
      </c>
      <c r="T151">
        <v>0</v>
      </c>
      <c r="U151">
        <v>0.97655995968281628</v>
      </c>
    </row>
    <row r="152" spans="1:21" x14ac:dyDescent="0.25">
      <c r="A152" s="12" t="s">
        <v>59</v>
      </c>
      <c r="B152" s="12" t="s">
        <v>38</v>
      </c>
      <c r="C152" s="12" t="s">
        <v>14</v>
      </c>
      <c r="D152" s="12">
        <v>11.026644714257564</v>
      </c>
      <c r="E152" s="12">
        <v>4.75</v>
      </c>
      <c r="F152" s="12">
        <v>10</v>
      </c>
      <c r="G152" s="12">
        <v>4.75</v>
      </c>
      <c r="H152" s="12">
        <v>11.253676470588236</v>
      </c>
      <c r="I152" s="12" t="s">
        <v>136</v>
      </c>
      <c r="K152" s="6">
        <v>46248</v>
      </c>
      <c r="L152">
        <v>46248</v>
      </c>
      <c r="M152">
        <v>0.43077473910610375</v>
      </c>
      <c r="N152">
        <v>0.43077473910610375</v>
      </c>
      <c r="O152">
        <v>1.0205893780215043</v>
      </c>
      <c r="P152">
        <v>2.3213988872121187</v>
      </c>
      <c r="Q152">
        <v>2.3213988872121187</v>
      </c>
      <c r="R152">
        <v>2.3691950464396285</v>
      </c>
      <c r="S152">
        <v>0.42208428618098659</v>
      </c>
      <c r="T152">
        <v>0.42208428618098659</v>
      </c>
      <c r="U152">
        <v>0.97982599225026379</v>
      </c>
    </row>
    <row r="153" spans="1:21" x14ac:dyDescent="0.25">
      <c r="A153" s="12" t="s">
        <v>59</v>
      </c>
      <c r="B153" s="12" t="s">
        <v>38</v>
      </c>
      <c r="C153" s="12" t="s">
        <v>15</v>
      </c>
      <c r="D153" s="12">
        <v>4.2207252494765797</v>
      </c>
      <c r="E153" s="12">
        <v>0.95</v>
      </c>
      <c r="F153" s="12">
        <v>10</v>
      </c>
      <c r="G153" s="12">
        <v>0.95</v>
      </c>
      <c r="H153" s="12">
        <v>3.75</v>
      </c>
      <c r="I153" s="12" t="s">
        <v>137</v>
      </c>
      <c r="K153" s="6">
        <v>46248</v>
      </c>
      <c r="L153">
        <v>46248</v>
      </c>
      <c r="M153">
        <v>0.22507980118293919</v>
      </c>
      <c r="N153">
        <v>0.22507980118293919</v>
      </c>
      <c r="O153">
        <v>0.88847289940633889</v>
      </c>
      <c r="P153">
        <v>4.4428686836595581</v>
      </c>
      <c r="Q153">
        <v>4.4428686836595581</v>
      </c>
      <c r="R153">
        <v>3.9473684210526319</v>
      </c>
      <c r="S153">
        <v>0.2533333333333333</v>
      </c>
      <c r="T153">
        <v>0.2533333333333333</v>
      </c>
      <c r="U153">
        <v>1.1255267331937546</v>
      </c>
    </row>
    <row r="154" spans="1:21" x14ac:dyDescent="0.25">
      <c r="A154" s="12" t="s">
        <v>59</v>
      </c>
      <c r="B154" s="12" t="s">
        <v>38</v>
      </c>
      <c r="C154" s="12" t="s">
        <v>13</v>
      </c>
      <c r="D154" s="12">
        <v>10.973885648639106</v>
      </c>
      <c r="E154" s="12">
        <v>0</v>
      </c>
      <c r="F154" s="12">
        <v>10</v>
      </c>
      <c r="G154" s="12">
        <v>0</v>
      </c>
      <c r="H154" s="12">
        <v>9.4338235294117645</v>
      </c>
      <c r="I154" s="12" t="s">
        <v>138</v>
      </c>
      <c r="K154" s="6">
        <v>46248</v>
      </c>
      <c r="L154">
        <v>46248</v>
      </c>
      <c r="M154">
        <v>0</v>
      </c>
      <c r="N154">
        <v>0</v>
      </c>
      <c r="O154">
        <v>0.85966118396556024</v>
      </c>
      <c r="S154">
        <v>0</v>
      </c>
      <c r="T154">
        <v>0</v>
      </c>
      <c r="U154">
        <v>1.1632489853584711</v>
      </c>
    </row>
    <row r="155" spans="1:21" x14ac:dyDescent="0.25">
      <c r="A155" s="12" t="s">
        <v>63</v>
      </c>
      <c r="B155" s="12" t="s">
        <v>38</v>
      </c>
      <c r="C155" s="12" t="s">
        <v>14</v>
      </c>
      <c r="D155" s="12">
        <v>11.026644714257564</v>
      </c>
      <c r="E155" s="12">
        <v>4.75</v>
      </c>
      <c r="F155" s="12">
        <v>10</v>
      </c>
      <c r="G155" s="12">
        <v>4.75</v>
      </c>
      <c r="H155" s="12">
        <v>11.253676470588236</v>
      </c>
      <c r="I155" s="12" t="s">
        <v>136</v>
      </c>
      <c r="J155">
        <v>1</v>
      </c>
      <c r="K155" s="6">
        <v>46248</v>
      </c>
      <c r="L155">
        <v>46248</v>
      </c>
      <c r="M155">
        <v>0.43077473910610375</v>
      </c>
      <c r="N155">
        <v>0.43077473910610375</v>
      </c>
      <c r="O155">
        <v>1.0205893780215043</v>
      </c>
      <c r="P155">
        <v>2.3213988872121187</v>
      </c>
      <c r="Q155">
        <v>2.3213988872121187</v>
      </c>
      <c r="R155">
        <v>2.3691950464396285</v>
      </c>
      <c r="S155">
        <v>0.42208428618098659</v>
      </c>
      <c r="T155">
        <v>0.42208428618098659</v>
      </c>
      <c r="U155">
        <v>0.97982599225026379</v>
      </c>
    </row>
    <row r="156" spans="1:21" x14ac:dyDescent="0.25">
      <c r="A156" s="12" t="s">
        <v>63</v>
      </c>
      <c r="B156" s="12" t="s">
        <v>38</v>
      </c>
      <c r="C156" s="12" t="s">
        <v>15</v>
      </c>
      <c r="D156" s="12">
        <v>4.2207252494765797</v>
      </c>
      <c r="E156" s="12">
        <v>0.95</v>
      </c>
      <c r="F156" s="12">
        <v>10</v>
      </c>
      <c r="G156" s="12">
        <v>0.95</v>
      </c>
      <c r="H156" s="12">
        <v>3.75</v>
      </c>
      <c r="I156" s="12" t="s">
        <v>137</v>
      </c>
      <c r="J156">
        <v>1</v>
      </c>
      <c r="K156" s="6">
        <v>46248</v>
      </c>
      <c r="L156">
        <v>46248</v>
      </c>
      <c r="M156">
        <v>0.22507980118293919</v>
      </c>
      <c r="N156">
        <v>0.22507980118293919</v>
      </c>
      <c r="O156">
        <v>0.88847289940633889</v>
      </c>
      <c r="P156">
        <v>4.4428686836595581</v>
      </c>
      <c r="Q156">
        <v>4.4428686836595581</v>
      </c>
      <c r="R156">
        <v>3.9473684210526319</v>
      </c>
      <c r="S156">
        <v>0.2533333333333333</v>
      </c>
      <c r="T156">
        <v>0.2533333333333333</v>
      </c>
      <c r="U156">
        <v>1.1255267331937546</v>
      </c>
    </row>
    <row r="157" spans="1:21" x14ac:dyDescent="0.25">
      <c r="A157" s="12" t="s">
        <v>63</v>
      </c>
      <c r="B157" s="12" t="s">
        <v>38</v>
      </c>
      <c r="C157" s="12" t="s">
        <v>13</v>
      </c>
      <c r="D157" s="12">
        <v>10.973885648639106</v>
      </c>
      <c r="E157" s="12">
        <v>0</v>
      </c>
      <c r="F157" s="12">
        <v>10</v>
      </c>
      <c r="G157" s="12">
        <v>0</v>
      </c>
      <c r="H157" s="12">
        <v>9.4338235294117645</v>
      </c>
      <c r="I157" s="12" t="s">
        <v>138</v>
      </c>
      <c r="J157">
        <v>1</v>
      </c>
      <c r="K157" s="6">
        <v>46248</v>
      </c>
      <c r="L157">
        <v>46248</v>
      </c>
      <c r="M157">
        <v>0</v>
      </c>
      <c r="N157">
        <v>0</v>
      </c>
      <c r="O157">
        <v>0.85966118396556024</v>
      </c>
      <c r="S157">
        <v>0</v>
      </c>
      <c r="T157">
        <v>0</v>
      </c>
      <c r="U157">
        <v>1.1632489853584711</v>
      </c>
    </row>
    <row r="158" spans="1:21" x14ac:dyDescent="0.25">
      <c r="A158" s="12" t="s">
        <v>59</v>
      </c>
      <c r="B158" s="12" t="s">
        <v>38</v>
      </c>
      <c r="C158" s="12" t="s">
        <v>14</v>
      </c>
      <c r="D158" s="12">
        <v>10.973885648639106</v>
      </c>
      <c r="E158" s="12">
        <v>1.9</v>
      </c>
      <c r="F158" s="12">
        <v>10</v>
      </c>
      <c r="G158" s="12">
        <v>1.9</v>
      </c>
      <c r="H158" s="12">
        <v>11.25</v>
      </c>
      <c r="I158" s="12" t="s">
        <v>139</v>
      </c>
      <c r="K158" s="6">
        <v>46249</v>
      </c>
      <c r="L158">
        <v>46249</v>
      </c>
      <c r="M158">
        <v>0.17313830860226093</v>
      </c>
      <c r="N158">
        <v>0.17313830860226093</v>
      </c>
      <c r="O158">
        <v>1.025161037776545</v>
      </c>
      <c r="P158">
        <v>5.7757292887574243</v>
      </c>
      <c r="Q158">
        <v>5.7757292887574243</v>
      </c>
      <c r="R158">
        <v>5.9210526315789478</v>
      </c>
      <c r="S158">
        <v>0.16888888888888889</v>
      </c>
      <c r="T158">
        <v>0.16888888888888889</v>
      </c>
      <c r="U158">
        <v>0.9754565021012539</v>
      </c>
    </row>
    <row r="159" spans="1:21" x14ac:dyDescent="0.25">
      <c r="A159" s="12" t="s">
        <v>59</v>
      </c>
      <c r="B159" s="12" t="s">
        <v>38</v>
      </c>
      <c r="C159" s="12" t="s">
        <v>15</v>
      </c>
      <c r="D159" s="12">
        <v>4.2207252494765797</v>
      </c>
      <c r="E159" s="12">
        <v>0.95</v>
      </c>
      <c r="F159" s="12">
        <v>10</v>
      </c>
      <c r="G159" s="12">
        <v>0.95</v>
      </c>
      <c r="H159" s="12">
        <v>4.6875</v>
      </c>
      <c r="I159" s="12" t="s">
        <v>140</v>
      </c>
      <c r="K159" s="6">
        <v>46249</v>
      </c>
      <c r="L159">
        <v>46249</v>
      </c>
      <c r="M159">
        <v>0.22507980118293919</v>
      </c>
      <c r="N159">
        <v>0.22507980118293919</v>
      </c>
      <c r="O159">
        <v>1.1105911242579236</v>
      </c>
      <c r="P159">
        <v>4.4428686836595581</v>
      </c>
      <c r="Q159">
        <v>4.4428686836595581</v>
      </c>
      <c r="R159">
        <v>4.9342105263157894</v>
      </c>
      <c r="S159">
        <v>0.20266666666666666</v>
      </c>
      <c r="T159">
        <v>0.20266666666666666</v>
      </c>
      <c r="U159">
        <v>0.9004213865550037</v>
      </c>
    </row>
    <row r="160" spans="1:21" x14ac:dyDescent="0.25">
      <c r="A160" s="12" t="s">
        <v>59</v>
      </c>
      <c r="B160" s="12" t="s">
        <v>38</v>
      </c>
      <c r="C160" s="12" t="s">
        <v>13</v>
      </c>
      <c r="D160" s="12">
        <v>11.026644714257564</v>
      </c>
      <c r="E160" s="12">
        <v>3.8</v>
      </c>
      <c r="F160" s="12">
        <v>10</v>
      </c>
      <c r="G160" s="12">
        <v>3.8</v>
      </c>
      <c r="H160" s="12">
        <v>11.25</v>
      </c>
      <c r="I160" s="12" t="s">
        <v>141</v>
      </c>
      <c r="K160" s="6">
        <v>46249</v>
      </c>
      <c r="L160">
        <v>46249</v>
      </c>
      <c r="M160">
        <v>0.34461979128488296</v>
      </c>
      <c r="N160">
        <v>0.34461979128488296</v>
      </c>
      <c r="O160">
        <v>1.020255961040772</v>
      </c>
      <c r="P160">
        <v>2.9017486090151485</v>
      </c>
      <c r="Q160">
        <v>2.9017486090151485</v>
      </c>
      <c r="R160">
        <v>2.9605263157894739</v>
      </c>
      <c r="S160">
        <v>0.33777777777777779</v>
      </c>
      <c r="T160">
        <v>0.33777777777777779</v>
      </c>
      <c r="U160">
        <v>0.98014619682289461</v>
      </c>
    </row>
    <row r="161" spans="1:21" x14ac:dyDescent="0.25">
      <c r="A161" s="12" t="s">
        <v>63</v>
      </c>
      <c r="B161" s="12" t="s">
        <v>38</v>
      </c>
      <c r="C161" s="12" t="s">
        <v>14</v>
      </c>
      <c r="D161" s="12">
        <v>10.973885648639106</v>
      </c>
      <c r="E161" s="12">
        <v>1.9</v>
      </c>
      <c r="F161" s="12">
        <v>10</v>
      </c>
      <c r="G161" s="12">
        <v>1.9</v>
      </c>
      <c r="H161" s="12">
        <v>11.25</v>
      </c>
      <c r="I161" s="12" t="s">
        <v>139</v>
      </c>
      <c r="J161">
        <v>1</v>
      </c>
      <c r="K161" s="6">
        <v>46249</v>
      </c>
      <c r="L161">
        <v>46249</v>
      </c>
      <c r="M161">
        <v>0.17313830860226093</v>
      </c>
      <c r="N161">
        <v>0.17313830860226093</v>
      </c>
      <c r="O161">
        <v>1.025161037776545</v>
      </c>
      <c r="P161">
        <v>5.7757292887574243</v>
      </c>
      <c r="Q161">
        <v>5.7757292887574243</v>
      </c>
      <c r="R161">
        <v>5.9210526315789478</v>
      </c>
      <c r="S161">
        <v>0.16888888888888889</v>
      </c>
      <c r="T161">
        <v>0.16888888888888889</v>
      </c>
      <c r="U161">
        <v>0.9754565021012539</v>
      </c>
    </row>
    <row r="162" spans="1:21" x14ac:dyDescent="0.25">
      <c r="A162" s="12" t="s">
        <v>63</v>
      </c>
      <c r="B162" s="12" t="s">
        <v>38</v>
      </c>
      <c r="C162" s="12" t="s">
        <v>15</v>
      </c>
      <c r="D162" s="12">
        <v>4.2207252494765797</v>
      </c>
      <c r="E162" s="12">
        <v>0.95</v>
      </c>
      <c r="F162" s="12">
        <v>10</v>
      </c>
      <c r="G162" s="12">
        <v>0.95</v>
      </c>
      <c r="H162" s="12">
        <v>4.6875</v>
      </c>
      <c r="I162" s="12" t="s">
        <v>140</v>
      </c>
      <c r="J162">
        <v>1</v>
      </c>
      <c r="K162" s="6">
        <v>46249</v>
      </c>
      <c r="L162">
        <v>46249</v>
      </c>
      <c r="M162">
        <v>0.22507980118293919</v>
      </c>
      <c r="N162">
        <v>0.22507980118293919</v>
      </c>
      <c r="O162">
        <v>1.1105911242579236</v>
      </c>
      <c r="P162">
        <v>4.4428686836595581</v>
      </c>
      <c r="Q162">
        <v>4.4428686836595581</v>
      </c>
      <c r="R162">
        <v>4.9342105263157894</v>
      </c>
      <c r="S162">
        <v>0.20266666666666666</v>
      </c>
      <c r="T162">
        <v>0.20266666666666666</v>
      </c>
      <c r="U162">
        <v>0.9004213865550037</v>
      </c>
    </row>
    <row r="163" spans="1:21" x14ac:dyDescent="0.25">
      <c r="A163" s="12" t="s">
        <v>63</v>
      </c>
      <c r="B163" s="12" t="s">
        <v>38</v>
      </c>
      <c r="C163" s="12" t="s">
        <v>13</v>
      </c>
      <c r="D163" s="12">
        <v>11.026644714257564</v>
      </c>
      <c r="E163" s="12">
        <v>3.8</v>
      </c>
      <c r="F163" s="12">
        <v>10</v>
      </c>
      <c r="G163" s="12">
        <v>3.8</v>
      </c>
      <c r="H163" s="12">
        <v>11.25</v>
      </c>
      <c r="I163" s="12" t="s">
        <v>141</v>
      </c>
      <c r="J163">
        <v>1</v>
      </c>
      <c r="K163" s="6">
        <v>46249</v>
      </c>
      <c r="L163">
        <v>46249</v>
      </c>
      <c r="M163">
        <v>0.34461979128488296</v>
      </c>
      <c r="N163">
        <v>0.34461979128488296</v>
      </c>
      <c r="O163">
        <v>1.020255961040772</v>
      </c>
      <c r="P163">
        <v>2.9017486090151485</v>
      </c>
      <c r="Q163">
        <v>2.9017486090151485</v>
      </c>
      <c r="R163">
        <v>2.9605263157894739</v>
      </c>
      <c r="S163">
        <v>0.33777777777777779</v>
      </c>
      <c r="T163">
        <v>0.33777777777777779</v>
      </c>
      <c r="U163">
        <v>0.98014619682289461</v>
      </c>
    </row>
    <row r="164" spans="1:21" x14ac:dyDescent="0.25">
      <c r="A164" s="12" t="s">
        <v>59</v>
      </c>
      <c r="B164" s="12" t="s">
        <v>38</v>
      </c>
      <c r="C164" s="12" t="s">
        <v>13</v>
      </c>
      <c r="D164" s="12">
        <v>10.973885648639106</v>
      </c>
      <c r="E164" s="12">
        <v>3.8</v>
      </c>
      <c r="F164" s="12">
        <v>10</v>
      </c>
      <c r="G164" s="12">
        <v>3.8</v>
      </c>
      <c r="H164" s="12">
        <v>11.25</v>
      </c>
      <c r="I164" s="12" t="s">
        <v>142</v>
      </c>
      <c r="K164" s="6">
        <v>46250</v>
      </c>
      <c r="L164">
        <v>46250</v>
      </c>
      <c r="M164">
        <v>0.34627661720452185</v>
      </c>
      <c r="N164">
        <v>0.34627661720452185</v>
      </c>
      <c r="O164">
        <v>1.025161037776545</v>
      </c>
      <c r="P164">
        <v>2.8878646443787122</v>
      </c>
      <c r="Q164">
        <v>2.8878646443787122</v>
      </c>
      <c r="R164">
        <v>2.9605263157894739</v>
      </c>
      <c r="S164">
        <v>0.33777777777777779</v>
      </c>
      <c r="T164">
        <v>0.33777777777777779</v>
      </c>
      <c r="U164">
        <v>0.9754565021012539</v>
      </c>
    </row>
    <row r="165" spans="1:21" x14ac:dyDescent="0.25">
      <c r="A165" s="12" t="s">
        <v>59</v>
      </c>
      <c r="B165" s="12" t="s">
        <v>38</v>
      </c>
      <c r="C165" s="12" t="s">
        <v>15</v>
      </c>
      <c r="D165" s="12">
        <v>4.2207252494765797</v>
      </c>
      <c r="E165" s="12">
        <v>0</v>
      </c>
      <c r="F165" s="12">
        <v>10</v>
      </c>
      <c r="G165" s="12">
        <v>0</v>
      </c>
      <c r="H165" s="12">
        <v>4.6875</v>
      </c>
      <c r="I165" s="12" t="s">
        <v>143</v>
      </c>
      <c r="K165" s="6">
        <v>46250</v>
      </c>
      <c r="L165">
        <v>46250</v>
      </c>
      <c r="M165">
        <v>0</v>
      </c>
      <c r="N165">
        <v>0</v>
      </c>
      <c r="O165">
        <v>1.1105911242579236</v>
      </c>
      <c r="S165">
        <v>0</v>
      </c>
      <c r="T165">
        <v>0</v>
      </c>
      <c r="U165">
        <v>0.9004213865550037</v>
      </c>
    </row>
    <row r="166" spans="1:21" x14ac:dyDescent="0.25">
      <c r="A166" s="12" t="s">
        <v>59</v>
      </c>
      <c r="B166" s="12" t="s">
        <v>38</v>
      </c>
      <c r="C166" s="12" t="s">
        <v>14</v>
      </c>
      <c r="D166" s="12">
        <v>10.973885648639106</v>
      </c>
      <c r="E166" s="12">
        <v>2.8499999999999996</v>
      </c>
      <c r="F166" s="12">
        <v>10</v>
      </c>
      <c r="G166" s="12">
        <v>2.8499999999999996</v>
      </c>
      <c r="H166" s="12">
        <v>11.25</v>
      </c>
      <c r="I166" s="12" t="s">
        <v>144</v>
      </c>
      <c r="K166" s="6">
        <v>46250</v>
      </c>
      <c r="L166">
        <v>46250</v>
      </c>
      <c r="M166">
        <v>0.25970746290339136</v>
      </c>
      <c r="N166">
        <v>0.25970746290339136</v>
      </c>
      <c r="O166">
        <v>1.025161037776545</v>
      </c>
      <c r="P166">
        <v>3.8504861925049498</v>
      </c>
      <c r="Q166">
        <v>3.8504861925049498</v>
      </c>
      <c r="R166">
        <v>3.9473684210526319</v>
      </c>
      <c r="S166">
        <v>0.2533333333333333</v>
      </c>
      <c r="T166">
        <v>0.2533333333333333</v>
      </c>
      <c r="U166">
        <v>0.9754565021012539</v>
      </c>
    </row>
    <row r="167" spans="1:21" x14ac:dyDescent="0.25">
      <c r="A167" s="12" t="s">
        <v>63</v>
      </c>
      <c r="B167" s="12" t="s">
        <v>38</v>
      </c>
      <c r="C167" s="12" t="s">
        <v>13</v>
      </c>
      <c r="D167" s="12">
        <v>10.973885648639106</v>
      </c>
      <c r="E167" s="12">
        <v>3.8</v>
      </c>
      <c r="F167" s="12">
        <v>10</v>
      </c>
      <c r="G167" s="12">
        <v>3.8</v>
      </c>
      <c r="H167" s="12">
        <v>11.25</v>
      </c>
      <c r="I167" s="12" t="s">
        <v>142</v>
      </c>
      <c r="J167">
        <v>1</v>
      </c>
      <c r="K167" s="6">
        <v>46250</v>
      </c>
      <c r="L167">
        <v>46250</v>
      </c>
      <c r="M167">
        <v>0.34627661720452185</v>
      </c>
      <c r="N167">
        <v>0.34627661720452185</v>
      </c>
      <c r="O167">
        <v>1.025161037776545</v>
      </c>
      <c r="P167">
        <v>2.8878646443787122</v>
      </c>
      <c r="Q167">
        <v>2.8878646443787122</v>
      </c>
      <c r="R167">
        <v>2.9605263157894739</v>
      </c>
      <c r="S167">
        <v>0.33777777777777779</v>
      </c>
      <c r="T167">
        <v>0.33777777777777779</v>
      </c>
      <c r="U167">
        <v>0.9754565021012539</v>
      </c>
    </row>
    <row r="168" spans="1:21" x14ac:dyDescent="0.25">
      <c r="A168" s="12" t="s">
        <v>63</v>
      </c>
      <c r="B168" s="12" t="s">
        <v>38</v>
      </c>
      <c r="C168" s="12" t="s">
        <v>15</v>
      </c>
      <c r="D168" s="12">
        <v>4.2207252494765797</v>
      </c>
      <c r="E168" s="12">
        <v>0</v>
      </c>
      <c r="F168" s="12">
        <v>10</v>
      </c>
      <c r="G168" s="12">
        <v>0</v>
      </c>
      <c r="H168" s="12">
        <v>4.6875</v>
      </c>
      <c r="I168" s="12" t="s">
        <v>143</v>
      </c>
      <c r="J168">
        <v>1</v>
      </c>
      <c r="K168" s="6">
        <v>46250</v>
      </c>
      <c r="L168">
        <v>46250</v>
      </c>
      <c r="M168">
        <v>0</v>
      </c>
      <c r="N168">
        <v>0</v>
      </c>
      <c r="O168">
        <v>1.1105911242579236</v>
      </c>
      <c r="S168">
        <v>0</v>
      </c>
      <c r="T168">
        <v>0</v>
      </c>
      <c r="U168">
        <v>0.9004213865550037</v>
      </c>
    </row>
    <row r="169" spans="1:21" x14ac:dyDescent="0.25">
      <c r="A169" s="12" t="s">
        <v>63</v>
      </c>
      <c r="B169" s="12" t="s">
        <v>38</v>
      </c>
      <c r="C169" s="12" t="s">
        <v>14</v>
      </c>
      <c r="D169" s="12">
        <v>10.973885648639106</v>
      </c>
      <c r="E169" s="12">
        <v>2.8499999999999996</v>
      </c>
      <c r="F169" s="12">
        <v>10</v>
      </c>
      <c r="G169" s="12">
        <v>2.8499999999999996</v>
      </c>
      <c r="H169" s="12">
        <v>11.25</v>
      </c>
      <c r="I169" s="12" t="s">
        <v>144</v>
      </c>
      <c r="J169">
        <v>1</v>
      </c>
      <c r="K169" s="6">
        <v>46250</v>
      </c>
      <c r="L169">
        <v>46250</v>
      </c>
      <c r="M169">
        <v>0.25970746290339136</v>
      </c>
      <c r="N169">
        <v>0.25970746290339136</v>
      </c>
      <c r="O169">
        <v>1.025161037776545</v>
      </c>
      <c r="P169">
        <v>3.8504861925049498</v>
      </c>
      <c r="Q169">
        <v>3.8504861925049498</v>
      </c>
      <c r="R169">
        <v>3.9473684210526319</v>
      </c>
      <c r="S169">
        <v>0.2533333333333333</v>
      </c>
      <c r="T169">
        <v>0.2533333333333333</v>
      </c>
      <c r="U169">
        <v>0.9754565021012539</v>
      </c>
    </row>
    <row r="170" spans="1:21" x14ac:dyDescent="0.25">
      <c r="A170" s="12" t="s">
        <v>59</v>
      </c>
      <c r="B170" s="12" t="s">
        <v>40</v>
      </c>
      <c r="C170" s="12" t="s">
        <v>14</v>
      </c>
      <c r="D170" s="12">
        <v>3.1779578349000128</v>
      </c>
      <c r="E170" s="12">
        <v>2.8499999999999996</v>
      </c>
      <c r="F170" s="12">
        <v>10</v>
      </c>
      <c r="G170" s="12">
        <v>2.8499999999999996</v>
      </c>
      <c r="H170" s="12">
        <v>2.8685121107266438</v>
      </c>
      <c r="I170" s="12" t="s">
        <v>61</v>
      </c>
      <c r="K170" s="6">
        <v>46223</v>
      </c>
      <c r="L170">
        <v>46223</v>
      </c>
      <c r="M170">
        <v>0.89680233283827326</v>
      </c>
      <c r="N170">
        <v>0.89680233283827326</v>
      </c>
      <c r="O170">
        <v>0.90262749216648908</v>
      </c>
      <c r="P170">
        <v>1.1150729245263205</v>
      </c>
      <c r="Q170">
        <v>1.1150729245263205</v>
      </c>
      <c r="R170">
        <v>1.0064954774479453</v>
      </c>
      <c r="S170">
        <v>0.99354644149577787</v>
      </c>
      <c r="T170">
        <v>0.99354644149577787</v>
      </c>
      <c r="U170">
        <v>1.1078767361714157</v>
      </c>
    </row>
    <row r="171" spans="1:21" x14ac:dyDescent="0.25">
      <c r="A171" s="12" t="s">
        <v>59</v>
      </c>
      <c r="B171" s="12" t="s">
        <v>40</v>
      </c>
      <c r="C171" s="12" t="s">
        <v>13</v>
      </c>
      <c r="D171" s="12">
        <v>3.5876164620550925</v>
      </c>
      <c r="E171" s="12">
        <v>6.6499999999999995</v>
      </c>
      <c r="F171" s="12">
        <v>10</v>
      </c>
      <c r="G171" s="12">
        <v>6.6499999999999995</v>
      </c>
      <c r="H171" s="12">
        <v>3.764705882352942</v>
      </c>
      <c r="I171" s="12" t="s">
        <v>62</v>
      </c>
      <c r="K171" s="6">
        <v>46223</v>
      </c>
      <c r="L171">
        <v>46223</v>
      </c>
      <c r="M171">
        <v>1.8535983626830286</v>
      </c>
      <c r="N171">
        <v>1.8535983626830286</v>
      </c>
      <c r="O171">
        <v>1.0493613021823429</v>
      </c>
      <c r="P171">
        <v>0.53949119730151773</v>
      </c>
      <c r="Q171">
        <v>0.53949119730151773</v>
      </c>
      <c r="R171">
        <v>0.5661211853162319</v>
      </c>
      <c r="S171">
        <v>1.7664062499999995</v>
      </c>
      <c r="T171">
        <v>1.7664062499999995</v>
      </c>
      <c r="U171">
        <v>0.95296062273338378</v>
      </c>
    </row>
    <row r="172" spans="1:21" x14ac:dyDescent="0.25">
      <c r="A172" s="12" t="s">
        <v>59</v>
      </c>
      <c r="B172" s="12" t="s">
        <v>40</v>
      </c>
      <c r="C172" s="12" t="s">
        <v>15</v>
      </c>
      <c r="D172" s="12">
        <v>0</v>
      </c>
      <c r="E172" s="12">
        <v>0</v>
      </c>
      <c r="F172" s="12">
        <v>10</v>
      </c>
      <c r="G172" s="12">
        <v>0</v>
      </c>
      <c r="H172" s="12">
        <v>0</v>
      </c>
      <c r="I172" s="12" t="s">
        <v>60</v>
      </c>
      <c r="K172" s="6">
        <v>46223</v>
      </c>
      <c r="L172">
        <v>46223</v>
      </c>
    </row>
    <row r="173" spans="1:21" x14ac:dyDescent="0.25">
      <c r="A173" s="12" t="s">
        <v>63</v>
      </c>
      <c r="B173" s="12" t="s">
        <v>40</v>
      </c>
      <c r="C173" s="12" t="s">
        <v>14</v>
      </c>
      <c r="D173" s="12">
        <v>3.1779578349000128</v>
      </c>
      <c r="E173" s="12">
        <v>2.8499999999999996</v>
      </c>
      <c r="F173" s="12">
        <v>10</v>
      </c>
      <c r="G173" s="12">
        <v>2.8499999999999996</v>
      </c>
      <c r="H173" s="12">
        <v>2.8685121107266438</v>
      </c>
      <c r="I173" s="12" t="s">
        <v>61</v>
      </c>
      <c r="J173">
        <v>1</v>
      </c>
      <c r="K173" s="6">
        <v>46223</v>
      </c>
      <c r="L173">
        <v>46223</v>
      </c>
      <c r="M173">
        <v>0.89680233283827326</v>
      </c>
      <c r="N173">
        <v>0.89680233283827326</v>
      </c>
      <c r="O173">
        <v>0.90262749216648908</v>
      </c>
      <c r="P173">
        <v>1.1150729245263205</v>
      </c>
      <c r="Q173">
        <v>1.1150729245263205</v>
      </c>
      <c r="R173">
        <v>1.0064954774479453</v>
      </c>
      <c r="S173">
        <v>0.99354644149577787</v>
      </c>
      <c r="T173">
        <v>0.99354644149577787</v>
      </c>
      <c r="U173">
        <v>1.1078767361714157</v>
      </c>
    </row>
    <row r="174" spans="1:21" x14ac:dyDescent="0.25">
      <c r="A174" s="12" t="s">
        <v>63</v>
      </c>
      <c r="B174" s="12" t="s">
        <v>40</v>
      </c>
      <c r="C174" s="12" t="s">
        <v>13</v>
      </c>
      <c r="D174" s="12">
        <v>3.5876164620550925</v>
      </c>
      <c r="E174" s="12">
        <v>6.6499999999999995</v>
      </c>
      <c r="F174" s="12">
        <v>10</v>
      </c>
      <c r="G174" s="12">
        <v>6.6499999999999995</v>
      </c>
      <c r="H174" s="12">
        <v>3.764705882352942</v>
      </c>
      <c r="I174" s="12" t="s">
        <v>62</v>
      </c>
      <c r="J174">
        <v>1</v>
      </c>
      <c r="K174" s="6">
        <v>46223</v>
      </c>
      <c r="L174">
        <v>46223</v>
      </c>
      <c r="M174">
        <v>1.8535983626830286</v>
      </c>
      <c r="N174">
        <v>1.8535983626830286</v>
      </c>
      <c r="O174">
        <v>1.0493613021823429</v>
      </c>
      <c r="P174">
        <v>0.53949119730151773</v>
      </c>
      <c r="Q174">
        <v>0.53949119730151773</v>
      </c>
      <c r="R174">
        <v>0.5661211853162319</v>
      </c>
      <c r="S174">
        <v>1.7664062499999995</v>
      </c>
      <c r="T174">
        <v>1.7664062499999995</v>
      </c>
      <c r="U174">
        <v>0.95296062273338378</v>
      </c>
    </row>
    <row r="175" spans="1:21" x14ac:dyDescent="0.25">
      <c r="A175" s="12" t="s">
        <v>63</v>
      </c>
      <c r="B175" s="12" t="s">
        <v>40</v>
      </c>
      <c r="C175" s="12" t="s">
        <v>15</v>
      </c>
      <c r="D175" s="12">
        <v>0</v>
      </c>
      <c r="E175" s="12">
        <v>0</v>
      </c>
      <c r="F175" s="12">
        <v>10</v>
      </c>
      <c r="G175" s="12">
        <v>0</v>
      </c>
      <c r="H175" s="12">
        <v>0</v>
      </c>
      <c r="I175" s="12" t="s">
        <v>60</v>
      </c>
      <c r="J175">
        <v>1</v>
      </c>
      <c r="K175" s="6">
        <v>46223</v>
      </c>
      <c r="L175">
        <v>46223</v>
      </c>
    </row>
    <row r="176" spans="1:21" x14ac:dyDescent="0.25">
      <c r="A176" s="12" t="s">
        <v>59</v>
      </c>
      <c r="B176" s="12" t="s">
        <v>40</v>
      </c>
      <c r="C176" s="12" t="s">
        <v>14</v>
      </c>
      <c r="D176" s="12">
        <v>3.2276134260703255</v>
      </c>
      <c r="E176" s="12">
        <v>3.8</v>
      </c>
      <c r="F176" s="12">
        <v>10</v>
      </c>
      <c r="G176" s="12">
        <v>3.8</v>
      </c>
      <c r="H176" s="12">
        <v>4.4063272367770638</v>
      </c>
      <c r="I176" s="12" t="s">
        <v>66</v>
      </c>
      <c r="K176" s="6">
        <v>46224</v>
      </c>
      <c r="L176">
        <v>46224</v>
      </c>
      <c r="M176">
        <v>1.1773404984953741</v>
      </c>
      <c r="N176">
        <v>1.1773404984953741</v>
      </c>
      <c r="O176">
        <v>1.3651967119686457</v>
      </c>
      <c r="P176">
        <v>0.84937195422903311</v>
      </c>
      <c r="Q176">
        <v>0.84937195422903311</v>
      </c>
      <c r="R176">
        <v>1.1595597991518589</v>
      </c>
      <c r="S176">
        <v>0.86239623064841819</v>
      </c>
      <c r="T176">
        <v>0.86239623064841819</v>
      </c>
      <c r="U176">
        <v>0.73249517174559886</v>
      </c>
    </row>
    <row r="177" spans="1:21" x14ac:dyDescent="0.25">
      <c r="A177" s="12" t="s">
        <v>59</v>
      </c>
      <c r="B177" s="12" t="s">
        <v>40</v>
      </c>
      <c r="C177" s="12" t="s">
        <v>15</v>
      </c>
      <c r="D177" s="12">
        <v>0</v>
      </c>
      <c r="E177" s="12">
        <v>0.95</v>
      </c>
      <c r="F177" s="12">
        <v>10</v>
      </c>
      <c r="G177" s="12">
        <v>0.95</v>
      </c>
      <c r="H177" s="12">
        <v>0</v>
      </c>
      <c r="I177" s="12" t="s">
        <v>64</v>
      </c>
      <c r="K177" s="6">
        <v>46224</v>
      </c>
      <c r="L177">
        <v>46224</v>
      </c>
      <c r="P177">
        <v>0</v>
      </c>
      <c r="Q177">
        <v>0</v>
      </c>
      <c r="R177">
        <v>0</v>
      </c>
    </row>
    <row r="178" spans="1:21" x14ac:dyDescent="0.25">
      <c r="A178" s="12" t="s">
        <v>59</v>
      </c>
      <c r="B178" s="12" t="s">
        <v>40</v>
      </c>
      <c r="C178" s="12" t="s">
        <v>13</v>
      </c>
      <c r="D178" s="12">
        <v>3.587616462055093</v>
      </c>
      <c r="E178" s="12">
        <v>4.75</v>
      </c>
      <c r="F178" s="12">
        <v>10</v>
      </c>
      <c r="G178" s="12">
        <v>4.75</v>
      </c>
      <c r="H178" s="12">
        <v>4.8182773109243673</v>
      </c>
      <c r="I178" s="12" t="s">
        <v>65</v>
      </c>
      <c r="K178" s="6">
        <v>46224</v>
      </c>
      <c r="L178">
        <v>46224</v>
      </c>
      <c r="M178">
        <v>1.3239988304878776</v>
      </c>
      <c r="N178">
        <v>1.3239988304878776</v>
      </c>
      <c r="O178">
        <v>1.3430302157116079</v>
      </c>
      <c r="P178">
        <v>0.75528767622212489</v>
      </c>
      <c r="Q178">
        <v>0.75528767622212489</v>
      </c>
      <c r="R178">
        <v>1.0143741707209195</v>
      </c>
      <c r="S178">
        <v>0.98582951820361941</v>
      </c>
      <c r="T178">
        <v>0.98582951820361941</v>
      </c>
      <c r="U178">
        <v>0.74458488595518868</v>
      </c>
    </row>
    <row r="179" spans="1:21" x14ac:dyDescent="0.25">
      <c r="A179" s="12" t="s">
        <v>63</v>
      </c>
      <c r="B179" s="12" t="s">
        <v>40</v>
      </c>
      <c r="C179" s="12" t="s">
        <v>14</v>
      </c>
      <c r="D179" s="12">
        <v>3.2276134260703255</v>
      </c>
      <c r="E179" s="12">
        <v>3.8</v>
      </c>
      <c r="F179" s="12">
        <v>10</v>
      </c>
      <c r="G179" s="12">
        <v>3.8</v>
      </c>
      <c r="H179" s="12">
        <v>4.4063272367770638</v>
      </c>
      <c r="I179" s="12" t="s">
        <v>66</v>
      </c>
      <c r="J179">
        <v>1</v>
      </c>
      <c r="K179" s="6">
        <v>46224</v>
      </c>
      <c r="L179">
        <v>46224</v>
      </c>
      <c r="M179">
        <v>1.1773404984953741</v>
      </c>
      <c r="N179">
        <v>1.1773404984953741</v>
      </c>
      <c r="O179">
        <v>1.3651967119686457</v>
      </c>
      <c r="P179">
        <v>0.84937195422903311</v>
      </c>
      <c r="Q179">
        <v>0.84937195422903311</v>
      </c>
      <c r="R179">
        <v>1.1595597991518589</v>
      </c>
      <c r="S179">
        <v>0.86239623064841819</v>
      </c>
      <c r="T179">
        <v>0.86239623064841819</v>
      </c>
      <c r="U179">
        <v>0.73249517174559886</v>
      </c>
    </row>
    <row r="180" spans="1:21" x14ac:dyDescent="0.25">
      <c r="A180" s="12" t="s">
        <v>63</v>
      </c>
      <c r="B180" s="12" t="s">
        <v>40</v>
      </c>
      <c r="C180" s="12" t="s">
        <v>15</v>
      </c>
      <c r="D180" s="12">
        <v>0</v>
      </c>
      <c r="E180" s="12">
        <v>0.95</v>
      </c>
      <c r="F180" s="12">
        <v>10</v>
      </c>
      <c r="G180" s="12">
        <v>0.95</v>
      </c>
      <c r="H180" s="12">
        <v>0</v>
      </c>
      <c r="I180" s="12" t="s">
        <v>64</v>
      </c>
      <c r="J180">
        <v>1</v>
      </c>
      <c r="K180" s="6">
        <v>46224</v>
      </c>
      <c r="L180">
        <v>46224</v>
      </c>
      <c r="P180">
        <v>0</v>
      </c>
      <c r="Q180">
        <v>0</v>
      </c>
      <c r="R180">
        <v>0</v>
      </c>
    </row>
    <row r="181" spans="1:21" x14ac:dyDescent="0.25">
      <c r="A181" s="12" t="s">
        <v>63</v>
      </c>
      <c r="B181" s="12" t="s">
        <v>40</v>
      </c>
      <c r="C181" s="12" t="s">
        <v>13</v>
      </c>
      <c r="D181" s="12">
        <v>3.587616462055093</v>
      </c>
      <c r="E181" s="12">
        <v>4.75</v>
      </c>
      <c r="F181" s="12">
        <v>10</v>
      </c>
      <c r="G181" s="12">
        <v>4.75</v>
      </c>
      <c r="H181" s="12">
        <v>4.8182773109243673</v>
      </c>
      <c r="I181" s="12" t="s">
        <v>65</v>
      </c>
      <c r="J181">
        <v>1</v>
      </c>
      <c r="K181" s="6">
        <v>46224</v>
      </c>
      <c r="L181">
        <v>46224</v>
      </c>
      <c r="M181">
        <v>1.3239988304878776</v>
      </c>
      <c r="N181">
        <v>1.3239988304878776</v>
      </c>
      <c r="O181">
        <v>1.3430302157116079</v>
      </c>
      <c r="P181">
        <v>0.75528767622212489</v>
      </c>
      <c r="Q181">
        <v>0.75528767622212489</v>
      </c>
      <c r="R181">
        <v>1.0143741707209195</v>
      </c>
      <c r="S181">
        <v>0.98582951820361941</v>
      </c>
      <c r="T181">
        <v>0.98582951820361941</v>
      </c>
      <c r="U181">
        <v>0.74458488595518868</v>
      </c>
    </row>
    <row r="182" spans="1:21" x14ac:dyDescent="0.25">
      <c r="A182" s="12" t="s">
        <v>59</v>
      </c>
      <c r="B182" s="12" t="s">
        <v>40</v>
      </c>
      <c r="C182" s="12" t="s">
        <v>13</v>
      </c>
      <c r="D182" s="12">
        <v>3.587616462055093</v>
      </c>
      <c r="E182" s="12">
        <v>3.8</v>
      </c>
      <c r="F182" s="12">
        <v>10</v>
      </c>
      <c r="G182" s="12">
        <v>3.8</v>
      </c>
      <c r="H182" s="12">
        <v>4.7022058823529402</v>
      </c>
      <c r="I182" s="12" t="s">
        <v>67</v>
      </c>
      <c r="K182" s="6">
        <v>46225</v>
      </c>
      <c r="L182">
        <v>46225</v>
      </c>
      <c r="M182">
        <v>1.059199064390302</v>
      </c>
      <c r="N182">
        <v>1.059199064390302</v>
      </c>
      <c r="O182">
        <v>1.3106768608312656</v>
      </c>
      <c r="P182">
        <v>0.94410959527765614</v>
      </c>
      <c r="Q182">
        <v>0.94410959527765614</v>
      </c>
      <c r="R182">
        <v>1.2374226006191948</v>
      </c>
      <c r="S182">
        <v>0.80813135261923386</v>
      </c>
      <c r="T182">
        <v>0.80813135261923386</v>
      </c>
      <c r="U182">
        <v>0.76296456425252968</v>
      </c>
    </row>
    <row r="183" spans="1:21" x14ac:dyDescent="0.25">
      <c r="A183" s="12" t="s">
        <v>59</v>
      </c>
      <c r="B183" s="12" t="s">
        <v>40</v>
      </c>
      <c r="C183" s="12" t="s">
        <v>15</v>
      </c>
      <c r="D183" s="12">
        <v>0</v>
      </c>
      <c r="E183" s="12">
        <v>0</v>
      </c>
      <c r="F183" s="12">
        <v>10</v>
      </c>
      <c r="G183" s="12">
        <v>0</v>
      </c>
      <c r="H183" s="12">
        <v>0</v>
      </c>
      <c r="I183" s="12" t="s">
        <v>69</v>
      </c>
      <c r="K183" s="6">
        <v>46225</v>
      </c>
      <c r="L183">
        <v>46225</v>
      </c>
    </row>
    <row r="184" spans="1:21" x14ac:dyDescent="0.25">
      <c r="A184" s="12" t="s">
        <v>59</v>
      </c>
      <c r="B184" s="12" t="s">
        <v>40</v>
      </c>
      <c r="C184" s="12" t="s">
        <v>14</v>
      </c>
      <c r="D184" s="12">
        <v>3.1779578349000128</v>
      </c>
      <c r="E184" s="12">
        <v>2.8499999999999996</v>
      </c>
      <c r="F184" s="12">
        <v>10</v>
      </c>
      <c r="G184" s="12">
        <v>2.8499999999999996</v>
      </c>
      <c r="H184" s="12">
        <v>4.6332179930795849</v>
      </c>
      <c r="I184" s="12" t="s">
        <v>68</v>
      </c>
      <c r="K184" s="6">
        <v>46225</v>
      </c>
      <c r="L184">
        <v>46225</v>
      </c>
      <c r="M184">
        <v>0.89680233283827326</v>
      </c>
      <c r="N184">
        <v>0.89680233283827326</v>
      </c>
      <c r="O184">
        <v>1.4579230542954509</v>
      </c>
      <c r="P184">
        <v>1.1150729245263205</v>
      </c>
      <c r="Q184">
        <v>1.1150729245263205</v>
      </c>
      <c r="R184">
        <v>1.6256905238875738</v>
      </c>
      <c r="S184">
        <v>0.61512322628827476</v>
      </c>
      <c r="T184">
        <v>0.61512322628827476</v>
      </c>
      <c r="U184">
        <v>0.68590725488133208</v>
      </c>
    </row>
    <row r="185" spans="1:21" x14ac:dyDescent="0.25">
      <c r="A185" s="12" t="s">
        <v>63</v>
      </c>
      <c r="B185" s="12" t="s">
        <v>40</v>
      </c>
      <c r="C185" s="12" t="s">
        <v>13</v>
      </c>
      <c r="D185" s="12">
        <v>3.587616462055093</v>
      </c>
      <c r="E185" s="12">
        <v>3.8</v>
      </c>
      <c r="F185" s="12">
        <v>10</v>
      </c>
      <c r="G185" s="12">
        <v>3.8</v>
      </c>
      <c r="H185" s="12">
        <v>4.7022058823529402</v>
      </c>
      <c r="I185" s="12" t="s">
        <v>67</v>
      </c>
      <c r="J185">
        <v>1</v>
      </c>
      <c r="K185" s="6">
        <v>46225</v>
      </c>
      <c r="L185">
        <v>46225</v>
      </c>
      <c r="M185">
        <v>1.059199064390302</v>
      </c>
      <c r="N185">
        <v>1.059199064390302</v>
      </c>
      <c r="O185">
        <v>1.3106768608312656</v>
      </c>
      <c r="P185">
        <v>0.94410959527765614</v>
      </c>
      <c r="Q185">
        <v>0.94410959527765614</v>
      </c>
      <c r="R185">
        <v>1.2374226006191948</v>
      </c>
      <c r="S185">
        <v>0.80813135261923386</v>
      </c>
      <c r="T185">
        <v>0.80813135261923386</v>
      </c>
      <c r="U185">
        <v>0.76296456425252968</v>
      </c>
    </row>
    <row r="186" spans="1:21" x14ac:dyDescent="0.25">
      <c r="A186" s="12" t="s">
        <v>63</v>
      </c>
      <c r="B186" s="12" t="s">
        <v>40</v>
      </c>
      <c r="C186" s="12" t="s">
        <v>15</v>
      </c>
      <c r="D186" s="12">
        <v>0</v>
      </c>
      <c r="E186" s="12">
        <v>0</v>
      </c>
      <c r="F186" s="12">
        <v>10</v>
      </c>
      <c r="G186" s="12">
        <v>0</v>
      </c>
      <c r="H186" s="12">
        <v>0</v>
      </c>
      <c r="I186" s="12" t="s">
        <v>69</v>
      </c>
      <c r="J186">
        <v>1</v>
      </c>
      <c r="K186" s="6">
        <v>46225</v>
      </c>
      <c r="L186">
        <v>46225</v>
      </c>
    </row>
    <row r="187" spans="1:21" x14ac:dyDescent="0.25">
      <c r="A187" s="12" t="s">
        <v>63</v>
      </c>
      <c r="B187" s="12" t="s">
        <v>40</v>
      </c>
      <c r="C187" s="12" t="s">
        <v>14</v>
      </c>
      <c r="D187" s="12">
        <v>3.1779578349000128</v>
      </c>
      <c r="E187" s="12">
        <v>2.8499999999999996</v>
      </c>
      <c r="F187" s="12">
        <v>10</v>
      </c>
      <c r="G187" s="12">
        <v>2.8499999999999996</v>
      </c>
      <c r="H187" s="12">
        <v>4.6332179930795849</v>
      </c>
      <c r="I187" s="12" t="s">
        <v>68</v>
      </c>
      <c r="J187">
        <v>1</v>
      </c>
      <c r="K187" s="6">
        <v>46225</v>
      </c>
      <c r="L187">
        <v>46225</v>
      </c>
      <c r="M187">
        <v>0.89680233283827326</v>
      </c>
      <c r="N187">
        <v>0.89680233283827326</v>
      </c>
      <c r="O187">
        <v>1.4579230542954509</v>
      </c>
      <c r="P187">
        <v>1.1150729245263205</v>
      </c>
      <c r="Q187">
        <v>1.1150729245263205</v>
      </c>
      <c r="R187">
        <v>1.6256905238875738</v>
      </c>
      <c r="S187">
        <v>0.61512322628827476</v>
      </c>
      <c r="T187">
        <v>0.61512322628827476</v>
      </c>
      <c r="U187">
        <v>0.68590725488133208</v>
      </c>
    </row>
    <row r="188" spans="1:21" x14ac:dyDescent="0.25">
      <c r="A188" s="12" t="s">
        <v>59</v>
      </c>
      <c r="B188" s="12" t="s">
        <v>40</v>
      </c>
      <c r="C188" s="12" t="s">
        <v>15</v>
      </c>
      <c r="D188" s="12">
        <v>0</v>
      </c>
      <c r="E188" s="12">
        <v>0</v>
      </c>
      <c r="F188" s="12">
        <v>10</v>
      </c>
      <c r="G188" s="12">
        <v>0</v>
      </c>
      <c r="H188" s="12">
        <v>0</v>
      </c>
      <c r="I188" s="12" t="s">
        <v>72</v>
      </c>
      <c r="K188" s="6">
        <v>46226</v>
      </c>
      <c r="L188">
        <v>46226</v>
      </c>
    </row>
    <row r="189" spans="1:21" x14ac:dyDescent="0.25">
      <c r="A189" s="12" t="s">
        <v>59</v>
      </c>
      <c r="B189" s="12" t="s">
        <v>40</v>
      </c>
      <c r="C189" s="12" t="s">
        <v>14</v>
      </c>
      <c r="D189" s="12">
        <v>3.1779578349000133</v>
      </c>
      <c r="E189" s="12">
        <v>2.8499999999999996</v>
      </c>
      <c r="F189" s="12">
        <v>10</v>
      </c>
      <c r="G189" s="12">
        <v>2.8499999999999996</v>
      </c>
      <c r="H189" s="12">
        <v>4.6332179930795849</v>
      </c>
      <c r="I189" s="12" t="s">
        <v>70</v>
      </c>
      <c r="K189" s="6">
        <v>46226</v>
      </c>
      <c r="L189">
        <v>46226</v>
      </c>
      <c r="M189">
        <v>0.89680233283827315</v>
      </c>
      <c r="N189">
        <v>0.89680233283827315</v>
      </c>
      <c r="O189">
        <v>1.4579230542954507</v>
      </c>
      <c r="P189">
        <v>1.1150729245263207</v>
      </c>
      <c r="Q189">
        <v>1.1150729245263207</v>
      </c>
      <c r="R189">
        <v>1.6256905238875738</v>
      </c>
      <c r="S189">
        <v>0.61512322628827476</v>
      </c>
      <c r="T189">
        <v>0.61512322628827476</v>
      </c>
      <c r="U189">
        <v>0.6859072548813322</v>
      </c>
    </row>
    <row r="190" spans="1:21" x14ac:dyDescent="0.25">
      <c r="A190" s="12" t="s">
        <v>59</v>
      </c>
      <c r="B190" s="12" t="s">
        <v>40</v>
      </c>
      <c r="C190" s="12" t="s">
        <v>13</v>
      </c>
      <c r="D190" s="12">
        <v>3.5876164620550925</v>
      </c>
      <c r="E190" s="12">
        <v>3.8</v>
      </c>
      <c r="F190" s="12">
        <v>10</v>
      </c>
      <c r="G190" s="12">
        <v>3.8</v>
      </c>
      <c r="H190" s="12">
        <v>4.7022058823529411</v>
      </c>
      <c r="I190" s="12" t="s">
        <v>71</v>
      </c>
      <c r="K190" s="6">
        <v>46226</v>
      </c>
      <c r="L190">
        <v>46226</v>
      </c>
      <c r="M190">
        <v>1.0591990643903022</v>
      </c>
      <c r="N190">
        <v>1.0591990643903022</v>
      </c>
      <c r="O190">
        <v>1.310676860831266</v>
      </c>
      <c r="P190">
        <v>0.94410959527765603</v>
      </c>
      <c r="Q190">
        <v>0.94410959527765603</v>
      </c>
      <c r="R190">
        <v>1.2374226006191951</v>
      </c>
      <c r="S190">
        <v>0.80813135261923374</v>
      </c>
      <c r="T190">
        <v>0.80813135261923374</v>
      </c>
      <c r="U190">
        <v>0.76296456425252945</v>
      </c>
    </row>
    <row r="191" spans="1:21" x14ac:dyDescent="0.25">
      <c r="A191" s="12" t="s">
        <v>63</v>
      </c>
      <c r="B191" s="12" t="s">
        <v>40</v>
      </c>
      <c r="C191" s="12" t="s">
        <v>15</v>
      </c>
      <c r="D191" s="12">
        <v>0</v>
      </c>
      <c r="E191" s="12">
        <v>0</v>
      </c>
      <c r="F191" s="12">
        <v>10</v>
      </c>
      <c r="G191" s="12">
        <v>0</v>
      </c>
      <c r="H191" s="12">
        <v>0</v>
      </c>
      <c r="I191" s="12" t="s">
        <v>72</v>
      </c>
      <c r="J191">
        <v>1</v>
      </c>
      <c r="K191" s="6">
        <v>46226</v>
      </c>
      <c r="L191">
        <v>46226</v>
      </c>
    </row>
    <row r="192" spans="1:21" x14ac:dyDescent="0.25">
      <c r="A192" s="12" t="s">
        <v>63</v>
      </c>
      <c r="B192" s="12" t="s">
        <v>40</v>
      </c>
      <c r="C192" s="12" t="s">
        <v>14</v>
      </c>
      <c r="D192" s="12">
        <v>3.1779578349000133</v>
      </c>
      <c r="E192" s="12">
        <v>2.8499999999999996</v>
      </c>
      <c r="F192" s="12">
        <v>10</v>
      </c>
      <c r="G192" s="12">
        <v>2.8499999999999996</v>
      </c>
      <c r="H192" s="12">
        <v>4.6332179930795849</v>
      </c>
      <c r="I192" s="12" t="s">
        <v>70</v>
      </c>
      <c r="J192">
        <v>1</v>
      </c>
      <c r="K192" s="6">
        <v>46226</v>
      </c>
      <c r="L192">
        <v>46226</v>
      </c>
      <c r="M192">
        <v>0.89680233283827315</v>
      </c>
      <c r="N192">
        <v>0.89680233283827315</v>
      </c>
      <c r="O192">
        <v>1.4579230542954507</v>
      </c>
      <c r="P192">
        <v>1.1150729245263207</v>
      </c>
      <c r="Q192">
        <v>1.1150729245263207</v>
      </c>
      <c r="R192">
        <v>1.6256905238875738</v>
      </c>
      <c r="S192">
        <v>0.61512322628827476</v>
      </c>
      <c r="T192">
        <v>0.61512322628827476</v>
      </c>
      <c r="U192">
        <v>0.6859072548813322</v>
      </c>
    </row>
    <row r="193" spans="1:21" x14ac:dyDescent="0.25">
      <c r="A193" s="12" t="s">
        <v>63</v>
      </c>
      <c r="B193" s="12" t="s">
        <v>40</v>
      </c>
      <c r="C193" s="12" t="s">
        <v>13</v>
      </c>
      <c r="D193" s="12">
        <v>3.5876164620550925</v>
      </c>
      <c r="E193" s="12">
        <v>3.8</v>
      </c>
      <c r="F193" s="12">
        <v>10</v>
      </c>
      <c r="G193" s="12">
        <v>3.8</v>
      </c>
      <c r="H193" s="12">
        <v>4.7022058823529411</v>
      </c>
      <c r="I193" s="12" t="s">
        <v>71</v>
      </c>
      <c r="J193">
        <v>1</v>
      </c>
      <c r="K193" s="6">
        <v>46226</v>
      </c>
      <c r="L193">
        <v>46226</v>
      </c>
      <c r="M193">
        <v>1.0591990643903022</v>
      </c>
      <c r="N193">
        <v>1.0591990643903022</v>
      </c>
      <c r="O193">
        <v>1.310676860831266</v>
      </c>
      <c r="P193">
        <v>0.94410959527765603</v>
      </c>
      <c r="Q193">
        <v>0.94410959527765603</v>
      </c>
      <c r="R193">
        <v>1.2374226006191951</v>
      </c>
      <c r="S193">
        <v>0.80813135261923374</v>
      </c>
      <c r="T193">
        <v>0.80813135261923374</v>
      </c>
      <c r="U193">
        <v>0.76296456425252945</v>
      </c>
    </row>
    <row r="194" spans="1:21" x14ac:dyDescent="0.25">
      <c r="A194" s="12" t="s">
        <v>59</v>
      </c>
      <c r="B194" s="12" t="s">
        <v>40</v>
      </c>
      <c r="C194" s="12" t="s">
        <v>13</v>
      </c>
      <c r="D194" s="12">
        <v>3.5876164620550925</v>
      </c>
      <c r="E194" s="12">
        <v>3.8</v>
      </c>
      <c r="F194" s="12">
        <v>10</v>
      </c>
      <c r="G194" s="12">
        <v>3.8</v>
      </c>
      <c r="H194" s="12">
        <v>4.702205882352942</v>
      </c>
      <c r="I194" s="12" t="s">
        <v>73</v>
      </c>
      <c r="K194" s="6">
        <v>46227</v>
      </c>
      <c r="L194">
        <v>46227</v>
      </c>
      <c r="M194">
        <v>1.0591990643903022</v>
      </c>
      <c r="N194">
        <v>1.0591990643903022</v>
      </c>
      <c r="O194">
        <v>1.3106768608312662</v>
      </c>
      <c r="P194">
        <v>0.94410959527765603</v>
      </c>
      <c r="Q194">
        <v>0.94410959527765603</v>
      </c>
      <c r="R194">
        <v>1.2374226006191953</v>
      </c>
      <c r="S194">
        <v>0.80813135261923363</v>
      </c>
      <c r="T194">
        <v>0.80813135261923363</v>
      </c>
      <c r="U194">
        <v>0.76296456425252934</v>
      </c>
    </row>
    <row r="195" spans="1:21" x14ac:dyDescent="0.25">
      <c r="A195" s="12" t="s">
        <v>59</v>
      </c>
      <c r="B195" s="12" t="s">
        <v>40</v>
      </c>
      <c r="C195" s="12" t="s">
        <v>15</v>
      </c>
      <c r="D195" s="12">
        <v>0</v>
      </c>
      <c r="E195" s="12">
        <v>0</v>
      </c>
      <c r="F195" s="12">
        <v>10</v>
      </c>
      <c r="G195" s="12">
        <v>0</v>
      </c>
      <c r="H195" s="12">
        <v>0</v>
      </c>
      <c r="I195" s="12" t="s">
        <v>74</v>
      </c>
      <c r="K195" s="6">
        <v>46227</v>
      </c>
      <c r="L195">
        <v>46227</v>
      </c>
    </row>
    <row r="196" spans="1:21" x14ac:dyDescent="0.25">
      <c r="A196" s="12" t="s">
        <v>59</v>
      </c>
      <c r="B196" s="12" t="s">
        <v>40</v>
      </c>
      <c r="C196" s="12" t="s">
        <v>14</v>
      </c>
      <c r="D196" s="12">
        <v>3.1779578349000128</v>
      </c>
      <c r="E196" s="12">
        <v>2.8499999999999996</v>
      </c>
      <c r="F196" s="12">
        <v>10</v>
      </c>
      <c r="G196" s="12">
        <v>2.8499999999999996</v>
      </c>
      <c r="H196" s="12">
        <v>2.8685121107266438</v>
      </c>
      <c r="I196" s="12" t="s">
        <v>75</v>
      </c>
      <c r="K196" s="6">
        <v>46227</v>
      </c>
      <c r="L196">
        <v>46227</v>
      </c>
      <c r="M196">
        <v>0.89680233283827326</v>
      </c>
      <c r="N196">
        <v>0.89680233283827326</v>
      </c>
      <c r="O196">
        <v>0.90262749216648908</v>
      </c>
      <c r="P196">
        <v>1.1150729245263205</v>
      </c>
      <c r="Q196">
        <v>1.1150729245263205</v>
      </c>
      <c r="R196">
        <v>1.0064954774479453</v>
      </c>
      <c r="S196">
        <v>0.99354644149577787</v>
      </c>
      <c r="T196">
        <v>0.99354644149577787</v>
      </c>
      <c r="U196">
        <v>1.1078767361714157</v>
      </c>
    </row>
    <row r="197" spans="1:21" x14ac:dyDescent="0.25">
      <c r="A197" s="12" t="s">
        <v>63</v>
      </c>
      <c r="B197" s="12" t="s">
        <v>40</v>
      </c>
      <c r="C197" s="12" t="s">
        <v>13</v>
      </c>
      <c r="D197" s="12">
        <v>3.5876164620550925</v>
      </c>
      <c r="E197" s="12">
        <v>3.8</v>
      </c>
      <c r="F197" s="12">
        <v>10</v>
      </c>
      <c r="G197" s="12">
        <v>3.8</v>
      </c>
      <c r="H197" s="12">
        <v>4.702205882352942</v>
      </c>
      <c r="I197" s="12" t="s">
        <v>73</v>
      </c>
      <c r="J197">
        <v>1</v>
      </c>
      <c r="K197" s="6">
        <v>46227</v>
      </c>
      <c r="L197">
        <v>46227</v>
      </c>
      <c r="M197">
        <v>1.0591990643903022</v>
      </c>
      <c r="N197">
        <v>1.0591990643903022</v>
      </c>
      <c r="O197">
        <v>1.3106768608312662</v>
      </c>
      <c r="P197">
        <v>0.94410959527765603</v>
      </c>
      <c r="Q197">
        <v>0.94410959527765603</v>
      </c>
      <c r="R197">
        <v>1.2374226006191953</v>
      </c>
      <c r="S197">
        <v>0.80813135261923363</v>
      </c>
      <c r="T197">
        <v>0.80813135261923363</v>
      </c>
      <c r="U197">
        <v>0.76296456425252934</v>
      </c>
    </row>
    <row r="198" spans="1:21" x14ac:dyDescent="0.25">
      <c r="A198" s="12" t="s">
        <v>63</v>
      </c>
      <c r="B198" s="12" t="s">
        <v>40</v>
      </c>
      <c r="C198" s="12" t="s">
        <v>15</v>
      </c>
      <c r="D198" s="12">
        <v>0</v>
      </c>
      <c r="E198" s="12">
        <v>0</v>
      </c>
      <c r="F198" s="12">
        <v>10</v>
      </c>
      <c r="G198" s="12">
        <v>0</v>
      </c>
      <c r="H198" s="12">
        <v>0</v>
      </c>
      <c r="I198" s="12" t="s">
        <v>74</v>
      </c>
      <c r="J198">
        <v>1</v>
      </c>
      <c r="K198" s="6">
        <v>46227</v>
      </c>
      <c r="L198">
        <v>46227</v>
      </c>
    </row>
    <row r="199" spans="1:21" x14ac:dyDescent="0.25">
      <c r="A199" s="12" t="s">
        <v>63</v>
      </c>
      <c r="B199" s="12" t="s">
        <v>40</v>
      </c>
      <c r="C199" s="12" t="s">
        <v>14</v>
      </c>
      <c r="D199" s="12">
        <v>3.1779578349000128</v>
      </c>
      <c r="E199" s="12">
        <v>2.8499999999999996</v>
      </c>
      <c r="F199" s="12">
        <v>10</v>
      </c>
      <c r="G199" s="12">
        <v>2.8499999999999996</v>
      </c>
      <c r="H199" s="12">
        <v>2.8685121107266438</v>
      </c>
      <c r="I199" s="12" t="s">
        <v>75</v>
      </c>
      <c r="J199">
        <v>1</v>
      </c>
      <c r="K199" s="6">
        <v>46227</v>
      </c>
      <c r="L199">
        <v>46227</v>
      </c>
      <c r="M199">
        <v>0.89680233283827326</v>
      </c>
      <c r="N199">
        <v>0.89680233283827326</v>
      </c>
      <c r="O199">
        <v>0.90262749216648908</v>
      </c>
      <c r="P199">
        <v>1.1150729245263205</v>
      </c>
      <c r="Q199">
        <v>1.1150729245263205</v>
      </c>
      <c r="R199">
        <v>1.0064954774479453</v>
      </c>
      <c r="S199">
        <v>0.99354644149577787</v>
      </c>
      <c r="T199">
        <v>0.99354644149577787</v>
      </c>
      <c r="U199">
        <v>1.1078767361714157</v>
      </c>
    </row>
    <row r="200" spans="1:21" x14ac:dyDescent="0.25">
      <c r="A200" s="12" t="s">
        <v>59</v>
      </c>
      <c r="B200" s="12" t="s">
        <v>40</v>
      </c>
      <c r="C200" s="12" t="s">
        <v>14</v>
      </c>
      <c r="D200" s="12">
        <v>3.1779578349000133</v>
      </c>
      <c r="E200" s="12">
        <v>2.8499999999999996</v>
      </c>
      <c r="F200" s="12">
        <v>10</v>
      </c>
      <c r="G200" s="12">
        <v>2.8499999999999996</v>
      </c>
      <c r="H200" s="12">
        <v>4.5813148788927336</v>
      </c>
      <c r="I200" s="12" t="s">
        <v>78</v>
      </c>
      <c r="K200" s="6">
        <v>46228</v>
      </c>
      <c r="L200">
        <v>46228</v>
      </c>
      <c r="M200">
        <v>0.89680233283827315</v>
      </c>
      <c r="N200">
        <v>0.89680233283827315</v>
      </c>
      <c r="O200">
        <v>1.4415908318798929</v>
      </c>
      <c r="P200">
        <v>1.1150729245263207</v>
      </c>
      <c r="Q200">
        <v>1.1150729245263207</v>
      </c>
      <c r="R200">
        <v>1.6074789048746436</v>
      </c>
      <c r="S200">
        <v>0.62209214501510568</v>
      </c>
      <c r="T200">
        <v>0.62209214501510568</v>
      </c>
      <c r="U200">
        <v>0.69367810746684577</v>
      </c>
    </row>
    <row r="201" spans="1:21" x14ac:dyDescent="0.25">
      <c r="A201" s="12" t="s">
        <v>59</v>
      </c>
      <c r="B201" s="12" t="s">
        <v>40</v>
      </c>
      <c r="C201" s="12" t="s">
        <v>13</v>
      </c>
      <c r="D201" s="12">
        <v>3.587616462055093</v>
      </c>
      <c r="E201" s="12">
        <v>4.75</v>
      </c>
      <c r="F201" s="12">
        <v>10</v>
      </c>
      <c r="G201" s="12">
        <v>4.75</v>
      </c>
      <c r="H201" s="12">
        <v>3.8198529411764697</v>
      </c>
      <c r="I201" s="12" t="s">
        <v>76</v>
      </c>
      <c r="K201" s="6">
        <v>46228</v>
      </c>
      <c r="L201">
        <v>46228</v>
      </c>
      <c r="M201">
        <v>1.3239988304878776</v>
      </c>
      <c r="N201">
        <v>1.3239988304878776</v>
      </c>
      <c r="O201">
        <v>1.0647328056322789</v>
      </c>
      <c r="P201">
        <v>0.75528767622212489</v>
      </c>
      <c r="Q201">
        <v>0.75528767622212489</v>
      </c>
      <c r="R201">
        <v>0.80417956656346734</v>
      </c>
      <c r="S201">
        <v>1.2435033686236769</v>
      </c>
      <c r="T201">
        <v>1.2435033686236769</v>
      </c>
      <c r="U201">
        <v>0.93920276966216121</v>
      </c>
    </row>
    <row r="202" spans="1:21" x14ac:dyDescent="0.25">
      <c r="A202" s="12" t="s">
        <v>59</v>
      </c>
      <c r="B202" s="12" t="s">
        <v>40</v>
      </c>
      <c r="C202" s="12" t="s">
        <v>15</v>
      </c>
      <c r="D202" s="12">
        <v>0</v>
      </c>
      <c r="E202" s="12">
        <v>0.95</v>
      </c>
      <c r="F202" s="12">
        <v>10</v>
      </c>
      <c r="G202" s="12">
        <v>0.95</v>
      </c>
      <c r="H202" s="12">
        <v>0</v>
      </c>
      <c r="I202" s="12" t="s">
        <v>77</v>
      </c>
      <c r="K202" s="6">
        <v>46228</v>
      </c>
      <c r="L202">
        <v>46228</v>
      </c>
      <c r="P202">
        <v>0</v>
      </c>
      <c r="Q202">
        <v>0</v>
      </c>
      <c r="R202">
        <v>0</v>
      </c>
    </row>
    <row r="203" spans="1:21" x14ac:dyDescent="0.25">
      <c r="A203" s="12" t="s">
        <v>63</v>
      </c>
      <c r="B203" s="12" t="s">
        <v>40</v>
      </c>
      <c r="C203" s="12" t="s">
        <v>14</v>
      </c>
      <c r="D203" s="12">
        <v>3.1779578349000133</v>
      </c>
      <c r="E203" s="12">
        <v>2.8499999999999996</v>
      </c>
      <c r="F203" s="12">
        <v>10</v>
      </c>
      <c r="G203" s="12">
        <v>2.8499999999999996</v>
      </c>
      <c r="H203" s="12">
        <v>4.5813148788927336</v>
      </c>
      <c r="I203" s="12" t="s">
        <v>78</v>
      </c>
      <c r="J203">
        <v>1</v>
      </c>
      <c r="K203" s="6">
        <v>46228</v>
      </c>
      <c r="L203">
        <v>46228</v>
      </c>
      <c r="M203">
        <v>0.89680233283827315</v>
      </c>
      <c r="N203">
        <v>0.89680233283827315</v>
      </c>
      <c r="O203">
        <v>1.4415908318798929</v>
      </c>
      <c r="P203">
        <v>1.1150729245263207</v>
      </c>
      <c r="Q203">
        <v>1.1150729245263207</v>
      </c>
      <c r="R203">
        <v>1.6074789048746436</v>
      </c>
      <c r="S203">
        <v>0.62209214501510568</v>
      </c>
      <c r="T203">
        <v>0.62209214501510568</v>
      </c>
      <c r="U203">
        <v>0.69367810746684577</v>
      </c>
    </row>
    <row r="204" spans="1:21" x14ac:dyDescent="0.25">
      <c r="A204" s="12" t="s">
        <v>63</v>
      </c>
      <c r="B204" s="12" t="s">
        <v>40</v>
      </c>
      <c r="C204" s="12" t="s">
        <v>13</v>
      </c>
      <c r="D204" s="12">
        <v>3.587616462055093</v>
      </c>
      <c r="E204" s="12">
        <v>4.75</v>
      </c>
      <c r="F204" s="12">
        <v>10</v>
      </c>
      <c r="G204" s="12">
        <v>4.75</v>
      </c>
      <c r="H204" s="12">
        <v>3.8198529411764697</v>
      </c>
      <c r="I204" s="12" t="s">
        <v>76</v>
      </c>
      <c r="J204">
        <v>1</v>
      </c>
      <c r="K204" s="6">
        <v>46228</v>
      </c>
      <c r="L204">
        <v>46228</v>
      </c>
      <c r="M204">
        <v>1.3239988304878776</v>
      </c>
      <c r="N204">
        <v>1.3239988304878776</v>
      </c>
      <c r="O204">
        <v>1.0647328056322789</v>
      </c>
      <c r="P204">
        <v>0.75528767622212489</v>
      </c>
      <c r="Q204">
        <v>0.75528767622212489</v>
      </c>
      <c r="R204">
        <v>0.80417956656346734</v>
      </c>
      <c r="S204">
        <v>1.2435033686236769</v>
      </c>
      <c r="T204">
        <v>1.2435033686236769</v>
      </c>
      <c r="U204">
        <v>0.93920276966216121</v>
      </c>
    </row>
    <row r="205" spans="1:21" x14ac:dyDescent="0.25">
      <c r="A205" s="12" t="s">
        <v>63</v>
      </c>
      <c r="B205" s="12" t="s">
        <v>40</v>
      </c>
      <c r="C205" s="12" t="s">
        <v>15</v>
      </c>
      <c r="D205" s="12">
        <v>0</v>
      </c>
      <c r="E205" s="12">
        <v>0.95</v>
      </c>
      <c r="F205" s="12">
        <v>10</v>
      </c>
      <c r="G205" s="12">
        <v>0.95</v>
      </c>
      <c r="H205" s="12">
        <v>0</v>
      </c>
      <c r="I205" s="12" t="s">
        <v>77</v>
      </c>
      <c r="J205">
        <v>1</v>
      </c>
      <c r="K205" s="6">
        <v>46228</v>
      </c>
      <c r="L205">
        <v>46228</v>
      </c>
      <c r="P205">
        <v>0</v>
      </c>
      <c r="Q205">
        <v>0</v>
      </c>
      <c r="R205">
        <v>0</v>
      </c>
    </row>
    <row r="206" spans="1:21" x14ac:dyDescent="0.25">
      <c r="A206" s="12" t="s">
        <v>59</v>
      </c>
      <c r="B206" s="12" t="s">
        <v>40</v>
      </c>
      <c r="C206" s="12" t="s">
        <v>13</v>
      </c>
      <c r="D206" s="12">
        <v>3.587616462055093</v>
      </c>
      <c r="E206" s="12">
        <v>4.75</v>
      </c>
      <c r="F206" s="12">
        <v>10</v>
      </c>
      <c r="G206" s="12">
        <v>4.75</v>
      </c>
      <c r="H206" s="12">
        <v>4.7610294117647056</v>
      </c>
      <c r="I206" s="12" t="s">
        <v>81</v>
      </c>
      <c r="K206" s="6">
        <v>46229</v>
      </c>
      <c r="L206">
        <v>46229</v>
      </c>
      <c r="M206">
        <v>1.3239988304878776</v>
      </c>
      <c r="N206">
        <v>1.3239988304878776</v>
      </c>
      <c r="O206">
        <v>1.3270731311778647</v>
      </c>
      <c r="P206">
        <v>0.75528767622212489</v>
      </c>
      <c r="Q206">
        <v>0.75528767622212489</v>
      </c>
      <c r="R206">
        <v>1.0023219814241486</v>
      </c>
      <c r="S206">
        <v>0.99768339768339775</v>
      </c>
      <c r="T206">
        <v>0.99768339768339775</v>
      </c>
      <c r="U206">
        <v>0.75353797504168751</v>
      </c>
    </row>
    <row r="207" spans="1:21" x14ac:dyDescent="0.25">
      <c r="A207" s="12" t="s">
        <v>59</v>
      </c>
      <c r="B207" s="12" t="s">
        <v>40</v>
      </c>
      <c r="C207" s="12" t="s">
        <v>15</v>
      </c>
      <c r="D207" s="12">
        <v>0</v>
      </c>
      <c r="E207" s="12">
        <v>0.95</v>
      </c>
      <c r="F207" s="12">
        <v>10</v>
      </c>
      <c r="G207" s="12">
        <v>0.95</v>
      </c>
      <c r="H207" s="12">
        <v>0</v>
      </c>
      <c r="I207" s="12" t="s">
        <v>79</v>
      </c>
      <c r="K207" s="6">
        <v>46229</v>
      </c>
      <c r="L207">
        <v>46229</v>
      </c>
      <c r="P207">
        <v>0</v>
      </c>
      <c r="Q207">
        <v>0</v>
      </c>
      <c r="R207">
        <v>0</v>
      </c>
    </row>
    <row r="208" spans="1:21" x14ac:dyDescent="0.25">
      <c r="A208" s="12" t="s">
        <v>59</v>
      </c>
      <c r="B208" s="12" t="s">
        <v>40</v>
      </c>
      <c r="C208" s="12" t="s">
        <v>14</v>
      </c>
      <c r="D208" s="12">
        <v>3.1779578349000128</v>
      </c>
      <c r="E208" s="12">
        <v>2.8499999999999996</v>
      </c>
      <c r="F208" s="12">
        <v>10</v>
      </c>
      <c r="G208" s="12">
        <v>2.8499999999999996</v>
      </c>
      <c r="H208" s="12">
        <v>4.6366782006920406</v>
      </c>
      <c r="I208" s="12" t="s">
        <v>80</v>
      </c>
      <c r="K208" s="6">
        <v>46229</v>
      </c>
      <c r="L208">
        <v>46229</v>
      </c>
      <c r="M208">
        <v>0.89680233283827326</v>
      </c>
      <c r="N208">
        <v>0.89680233283827326</v>
      </c>
      <c r="O208">
        <v>1.4590118691231544</v>
      </c>
      <c r="P208">
        <v>1.1150729245263205</v>
      </c>
      <c r="Q208">
        <v>1.1150729245263205</v>
      </c>
      <c r="R208">
        <v>1.6269046318217688</v>
      </c>
      <c r="S208">
        <v>0.61466417910447768</v>
      </c>
      <c r="T208">
        <v>0.61466417910447768</v>
      </c>
      <c r="U208">
        <v>0.68539538379559994</v>
      </c>
    </row>
    <row r="209" spans="1:21" x14ac:dyDescent="0.25">
      <c r="A209" s="12" t="s">
        <v>63</v>
      </c>
      <c r="B209" s="12" t="s">
        <v>40</v>
      </c>
      <c r="C209" s="12" t="s">
        <v>13</v>
      </c>
      <c r="D209" s="12">
        <v>3.587616462055093</v>
      </c>
      <c r="E209" s="12">
        <v>4.75</v>
      </c>
      <c r="F209" s="12">
        <v>10</v>
      </c>
      <c r="G209" s="12">
        <v>4.75</v>
      </c>
      <c r="H209" s="12">
        <v>4.7610294117647056</v>
      </c>
      <c r="I209" s="12" t="s">
        <v>81</v>
      </c>
      <c r="J209">
        <v>1</v>
      </c>
      <c r="K209" s="6">
        <v>46229</v>
      </c>
      <c r="L209">
        <v>46229</v>
      </c>
      <c r="M209">
        <v>1.3239988304878776</v>
      </c>
      <c r="N209">
        <v>1.3239988304878776</v>
      </c>
      <c r="O209">
        <v>1.3270731311778647</v>
      </c>
      <c r="P209">
        <v>0.75528767622212489</v>
      </c>
      <c r="Q209">
        <v>0.75528767622212489</v>
      </c>
      <c r="R209">
        <v>1.0023219814241486</v>
      </c>
      <c r="S209">
        <v>0.99768339768339775</v>
      </c>
      <c r="T209">
        <v>0.99768339768339775</v>
      </c>
      <c r="U209">
        <v>0.75353797504168751</v>
      </c>
    </row>
    <row r="210" spans="1:21" x14ac:dyDescent="0.25">
      <c r="A210" s="12" t="s">
        <v>63</v>
      </c>
      <c r="B210" s="12" t="s">
        <v>40</v>
      </c>
      <c r="C210" s="12" t="s">
        <v>15</v>
      </c>
      <c r="D210" s="12">
        <v>0</v>
      </c>
      <c r="E210" s="12">
        <v>0.95</v>
      </c>
      <c r="F210" s="12">
        <v>10</v>
      </c>
      <c r="G210" s="12">
        <v>0.95</v>
      </c>
      <c r="H210" s="12">
        <v>0</v>
      </c>
      <c r="I210" s="12" t="s">
        <v>79</v>
      </c>
      <c r="J210">
        <v>1</v>
      </c>
      <c r="K210" s="6">
        <v>46229</v>
      </c>
      <c r="L210">
        <v>46229</v>
      </c>
      <c r="P210">
        <v>0</v>
      </c>
      <c r="Q210">
        <v>0</v>
      </c>
      <c r="R210">
        <v>0</v>
      </c>
    </row>
    <row r="211" spans="1:21" x14ac:dyDescent="0.25">
      <c r="A211" s="12" t="s">
        <v>63</v>
      </c>
      <c r="B211" s="12" t="s">
        <v>40</v>
      </c>
      <c r="C211" s="12" t="s">
        <v>14</v>
      </c>
      <c r="D211" s="12">
        <v>3.1779578349000128</v>
      </c>
      <c r="E211" s="12">
        <v>2.8499999999999996</v>
      </c>
      <c r="F211" s="12">
        <v>10</v>
      </c>
      <c r="G211" s="12">
        <v>2.8499999999999996</v>
      </c>
      <c r="H211" s="12">
        <v>4.6366782006920406</v>
      </c>
      <c r="I211" s="12" t="s">
        <v>80</v>
      </c>
      <c r="J211">
        <v>1</v>
      </c>
      <c r="K211" s="6">
        <v>46229</v>
      </c>
      <c r="L211">
        <v>46229</v>
      </c>
      <c r="M211">
        <v>0.89680233283827326</v>
      </c>
      <c r="N211">
        <v>0.89680233283827326</v>
      </c>
      <c r="O211">
        <v>1.4590118691231544</v>
      </c>
      <c r="P211">
        <v>1.1150729245263205</v>
      </c>
      <c r="Q211">
        <v>1.1150729245263205</v>
      </c>
      <c r="R211">
        <v>1.6269046318217688</v>
      </c>
      <c r="S211">
        <v>0.61466417910447768</v>
      </c>
      <c r="T211">
        <v>0.61466417910447768</v>
      </c>
      <c r="U211">
        <v>0.68539538379559994</v>
      </c>
    </row>
    <row r="212" spans="1:21" x14ac:dyDescent="0.25">
      <c r="A212" s="12" t="s">
        <v>59</v>
      </c>
      <c r="B212" s="12" t="s">
        <v>40</v>
      </c>
      <c r="C212" s="12" t="s">
        <v>13</v>
      </c>
      <c r="D212" s="12">
        <v>3.5876164620550921</v>
      </c>
      <c r="E212" s="12">
        <v>4.75</v>
      </c>
      <c r="F212" s="12">
        <v>10</v>
      </c>
      <c r="G212" s="12">
        <v>4.75</v>
      </c>
      <c r="H212" s="12">
        <v>4.7058823529411793</v>
      </c>
      <c r="I212" s="12" t="s">
        <v>83</v>
      </c>
      <c r="K212" s="6">
        <v>46230</v>
      </c>
      <c r="L212">
        <v>46230</v>
      </c>
      <c r="M212">
        <v>1.3239988304878778</v>
      </c>
      <c r="N212">
        <v>1.3239988304878778</v>
      </c>
      <c r="O212">
        <v>1.3117016277279294</v>
      </c>
      <c r="P212">
        <v>0.75528767622212467</v>
      </c>
      <c r="Q212">
        <v>0.75528767622212467</v>
      </c>
      <c r="R212">
        <v>0.99071207430340613</v>
      </c>
      <c r="S212">
        <v>1.0093749999999995</v>
      </c>
      <c r="T212">
        <v>1.0093749999999995</v>
      </c>
      <c r="U212">
        <v>0.7623684981867066</v>
      </c>
    </row>
    <row r="213" spans="1:21" x14ac:dyDescent="0.25">
      <c r="A213" s="12" t="s">
        <v>59</v>
      </c>
      <c r="B213" s="12" t="s">
        <v>40</v>
      </c>
      <c r="C213" s="12" t="s">
        <v>14</v>
      </c>
      <c r="D213" s="12">
        <v>3.1779578349000128</v>
      </c>
      <c r="E213" s="12">
        <v>3.8</v>
      </c>
      <c r="F213" s="12">
        <v>10</v>
      </c>
      <c r="G213" s="12">
        <v>3.8</v>
      </c>
      <c r="H213" s="12">
        <v>3.8062283737024223</v>
      </c>
      <c r="I213" s="12" t="s">
        <v>82</v>
      </c>
      <c r="K213" s="6">
        <v>46230</v>
      </c>
      <c r="L213">
        <v>46230</v>
      </c>
      <c r="M213">
        <v>1.1957364437843645</v>
      </c>
      <c r="N213">
        <v>1.1957364437843645</v>
      </c>
      <c r="O213">
        <v>1.1976963104742315</v>
      </c>
      <c r="P213">
        <v>0.83630469339474023</v>
      </c>
      <c r="Q213">
        <v>0.83630469339474023</v>
      </c>
      <c r="R213">
        <v>1.0016390457111639</v>
      </c>
      <c r="S213">
        <v>0.99836363636363623</v>
      </c>
      <c r="T213">
        <v>0.99836363636363623</v>
      </c>
      <c r="U213">
        <v>0.83493619480554881</v>
      </c>
    </row>
    <row r="214" spans="1:21" x14ac:dyDescent="0.25">
      <c r="A214" s="12" t="s">
        <v>59</v>
      </c>
      <c r="B214" s="12" t="s">
        <v>40</v>
      </c>
      <c r="C214" s="12" t="s">
        <v>15</v>
      </c>
      <c r="D214" s="12">
        <v>0</v>
      </c>
      <c r="E214" s="12">
        <v>0</v>
      </c>
      <c r="F214" s="12">
        <v>10</v>
      </c>
      <c r="G214" s="12">
        <v>0</v>
      </c>
      <c r="H214" s="12">
        <v>0</v>
      </c>
      <c r="I214" s="12" t="s">
        <v>84</v>
      </c>
      <c r="K214" s="6">
        <v>46230</v>
      </c>
      <c r="L214">
        <v>46230</v>
      </c>
    </row>
    <row r="215" spans="1:21" x14ac:dyDescent="0.25">
      <c r="A215" s="12" t="s">
        <v>63</v>
      </c>
      <c r="B215" s="12" t="s">
        <v>40</v>
      </c>
      <c r="C215" s="12" t="s">
        <v>13</v>
      </c>
      <c r="D215" s="12">
        <v>3.5876164620550921</v>
      </c>
      <c r="E215" s="12">
        <v>4.75</v>
      </c>
      <c r="F215" s="12">
        <v>10</v>
      </c>
      <c r="G215" s="12">
        <v>4.75</v>
      </c>
      <c r="H215" s="12">
        <v>4.7058823529411793</v>
      </c>
      <c r="I215" s="12" t="s">
        <v>83</v>
      </c>
      <c r="J215">
        <v>1</v>
      </c>
      <c r="K215" s="6">
        <v>46230</v>
      </c>
      <c r="L215">
        <v>46230</v>
      </c>
      <c r="M215">
        <v>1.3239988304878778</v>
      </c>
      <c r="N215">
        <v>1.3239988304878778</v>
      </c>
      <c r="O215">
        <v>1.3117016277279294</v>
      </c>
      <c r="P215">
        <v>0.75528767622212467</v>
      </c>
      <c r="Q215">
        <v>0.75528767622212467</v>
      </c>
      <c r="R215">
        <v>0.99071207430340613</v>
      </c>
      <c r="S215">
        <v>1.0093749999999995</v>
      </c>
      <c r="T215">
        <v>1.0093749999999995</v>
      </c>
      <c r="U215">
        <v>0.7623684981867066</v>
      </c>
    </row>
    <row r="216" spans="1:21" x14ac:dyDescent="0.25">
      <c r="A216" s="12" t="s">
        <v>63</v>
      </c>
      <c r="B216" s="12" t="s">
        <v>40</v>
      </c>
      <c r="C216" s="12" t="s">
        <v>14</v>
      </c>
      <c r="D216" s="12">
        <v>3.1779578349000128</v>
      </c>
      <c r="E216" s="12">
        <v>3.8</v>
      </c>
      <c r="F216" s="12">
        <v>10</v>
      </c>
      <c r="G216" s="12">
        <v>3.8</v>
      </c>
      <c r="H216" s="12">
        <v>3.8062283737024223</v>
      </c>
      <c r="I216" s="12" t="s">
        <v>82</v>
      </c>
      <c r="J216">
        <v>1</v>
      </c>
      <c r="K216" s="6">
        <v>46230</v>
      </c>
      <c r="L216">
        <v>46230</v>
      </c>
      <c r="M216">
        <v>1.1957364437843645</v>
      </c>
      <c r="N216">
        <v>1.1957364437843645</v>
      </c>
      <c r="O216">
        <v>1.1976963104742315</v>
      </c>
      <c r="P216">
        <v>0.83630469339474023</v>
      </c>
      <c r="Q216">
        <v>0.83630469339474023</v>
      </c>
      <c r="R216">
        <v>1.0016390457111639</v>
      </c>
      <c r="S216">
        <v>0.99836363636363623</v>
      </c>
      <c r="T216">
        <v>0.99836363636363623</v>
      </c>
      <c r="U216">
        <v>0.83493619480554881</v>
      </c>
    </row>
    <row r="217" spans="1:21" x14ac:dyDescent="0.25">
      <c r="A217" s="12" t="s">
        <v>63</v>
      </c>
      <c r="B217" s="12" t="s">
        <v>40</v>
      </c>
      <c r="C217" s="12" t="s">
        <v>15</v>
      </c>
      <c r="D217" s="12">
        <v>0</v>
      </c>
      <c r="E217" s="12">
        <v>0</v>
      </c>
      <c r="F217" s="12">
        <v>10</v>
      </c>
      <c r="G217" s="12">
        <v>0</v>
      </c>
      <c r="H217" s="12">
        <v>0</v>
      </c>
      <c r="I217" s="12" t="s">
        <v>84</v>
      </c>
      <c r="J217">
        <v>1</v>
      </c>
      <c r="K217" s="6">
        <v>46230</v>
      </c>
      <c r="L217">
        <v>46230</v>
      </c>
    </row>
    <row r="218" spans="1:21" x14ac:dyDescent="0.25">
      <c r="A218" s="12" t="s">
        <v>59</v>
      </c>
      <c r="B218" s="12" t="s">
        <v>40</v>
      </c>
      <c r="C218" s="12" t="s">
        <v>14</v>
      </c>
      <c r="D218" s="12">
        <v>3.1779578349000128</v>
      </c>
      <c r="E218" s="12">
        <v>2.8499999999999996</v>
      </c>
      <c r="F218" s="12">
        <v>10</v>
      </c>
      <c r="G218" s="12">
        <v>2.8499999999999996</v>
      </c>
      <c r="H218" s="12">
        <v>4.6885813148788937</v>
      </c>
      <c r="I218" s="12" t="s">
        <v>85</v>
      </c>
      <c r="K218" s="6">
        <v>46231</v>
      </c>
      <c r="L218">
        <v>46231</v>
      </c>
      <c r="M218">
        <v>0.89680233283827326</v>
      </c>
      <c r="N218">
        <v>0.89680233283827326</v>
      </c>
      <c r="O218">
        <v>1.4753440915387126</v>
      </c>
      <c r="P218">
        <v>1.1150729245263205</v>
      </c>
      <c r="Q218">
        <v>1.1150729245263205</v>
      </c>
      <c r="R218">
        <v>1.6451162508346997</v>
      </c>
      <c r="S218">
        <v>0.60785977859778573</v>
      </c>
      <c r="T218">
        <v>0.60785977859778573</v>
      </c>
      <c r="U218">
        <v>0.67780798102295459</v>
      </c>
    </row>
    <row r="219" spans="1:21" x14ac:dyDescent="0.25">
      <c r="A219" s="12" t="s">
        <v>59</v>
      </c>
      <c r="B219" s="12" t="s">
        <v>40</v>
      </c>
      <c r="C219" s="12" t="s">
        <v>13</v>
      </c>
      <c r="D219" s="12">
        <v>3.5876164620550925</v>
      </c>
      <c r="E219" s="12">
        <v>4.75</v>
      </c>
      <c r="F219" s="12">
        <v>10</v>
      </c>
      <c r="G219" s="12">
        <v>4.75</v>
      </c>
      <c r="H219" s="12">
        <v>4.7058823529411749</v>
      </c>
      <c r="I219" s="12" t="s">
        <v>87</v>
      </c>
      <c r="K219" s="6">
        <v>46231</v>
      </c>
      <c r="L219">
        <v>46231</v>
      </c>
      <c r="M219">
        <v>1.3239988304878778</v>
      </c>
      <c r="N219">
        <v>1.3239988304878778</v>
      </c>
      <c r="O219">
        <v>1.3117016277279279</v>
      </c>
      <c r="P219">
        <v>0.75528767622212478</v>
      </c>
      <c r="Q219">
        <v>0.75528767622212478</v>
      </c>
      <c r="R219">
        <v>0.99071207430340524</v>
      </c>
      <c r="S219">
        <v>1.0093750000000004</v>
      </c>
      <c r="T219">
        <v>1.0093750000000004</v>
      </c>
      <c r="U219">
        <v>0.76236849818670738</v>
      </c>
    </row>
    <row r="220" spans="1:21" x14ac:dyDescent="0.25">
      <c r="A220" s="12" t="s">
        <v>59</v>
      </c>
      <c r="B220" s="12" t="s">
        <v>40</v>
      </c>
      <c r="C220" s="12" t="s">
        <v>15</v>
      </c>
      <c r="D220" s="12">
        <v>0</v>
      </c>
      <c r="E220" s="12">
        <v>1.9</v>
      </c>
      <c r="F220" s="12">
        <v>10</v>
      </c>
      <c r="G220" s="12">
        <v>1.9</v>
      </c>
      <c r="H220" s="12">
        <v>0</v>
      </c>
      <c r="I220" s="12" t="s">
        <v>86</v>
      </c>
      <c r="K220" s="6">
        <v>46231</v>
      </c>
      <c r="L220">
        <v>46231</v>
      </c>
      <c r="P220">
        <v>0</v>
      </c>
      <c r="Q220">
        <v>0</v>
      </c>
      <c r="R220">
        <v>0</v>
      </c>
    </row>
    <row r="221" spans="1:21" x14ac:dyDescent="0.25">
      <c r="A221" s="12" t="s">
        <v>63</v>
      </c>
      <c r="B221" s="12" t="s">
        <v>40</v>
      </c>
      <c r="C221" s="12" t="s">
        <v>14</v>
      </c>
      <c r="D221" s="12">
        <v>3.1779578349000128</v>
      </c>
      <c r="E221" s="12">
        <v>2.8499999999999996</v>
      </c>
      <c r="F221" s="12">
        <v>10</v>
      </c>
      <c r="G221" s="12">
        <v>2.8499999999999996</v>
      </c>
      <c r="H221" s="12">
        <v>4.6885813148788937</v>
      </c>
      <c r="I221" s="12" t="s">
        <v>85</v>
      </c>
      <c r="J221">
        <v>1</v>
      </c>
      <c r="K221" s="6">
        <v>46231</v>
      </c>
      <c r="L221">
        <v>46231</v>
      </c>
      <c r="M221">
        <v>0.89680233283827326</v>
      </c>
      <c r="N221">
        <v>0.89680233283827326</v>
      </c>
      <c r="O221">
        <v>1.4753440915387126</v>
      </c>
      <c r="P221">
        <v>1.1150729245263205</v>
      </c>
      <c r="Q221">
        <v>1.1150729245263205</v>
      </c>
      <c r="R221">
        <v>1.6451162508346997</v>
      </c>
      <c r="S221">
        <v>0.60785977859778573</v>
      </c>
      <c r="T221">
        <v>0.60785977859778573</v>
      </c>
      <c r="U221">
        <v>0.67780798102295459</v>
      </c>
    </row>
    <row r="222" spans="1:21" x14ac:dyDescent="0.25">
      <c r="A222" s="12" t="s">
        <v>63</v>
      </c>
      <c r="B222" s="12" t="s">
        <v>40</v>
      </c>
      <c r="C222" s="12" t="s">
        <v>13</v>
      </c>
      <c r="D222" s="12">
        <v>3.5876164620550925</v>
      </c>
      <c r="E222" s="12">
        <v>4.75</v>
      </c>
      <c r="F222" s="12">
        <v>10</v>
      </c>
      <c r="G222" s="12">
        <v>4.75</v>
      </c>
      <c r="H222" s="12">
        <v>4.7058823529411749</v>
      </c>
      <c r="I222" s="12" t="s">
        <v>87</v>
      </c>
      <c r="J222">
        <v>1</v>
      </c>
      <c r="K222" s="6">
        <v>46231</v>
      </c>
      <c r="L222">
        <v>46231</v>
      </c>
      <c r="M222">
        <v>1.3239988304878778</v>
      </c>
      <c r="N222">
        <v>1.3239988304878778</v>
      </c>
      <c r="O222">
        <v>1.3117016277279279</v>
      </c>
      <c r="P222">
        <v>0.75528767622212478</v>
      </c>
      <c r="Q222">
        <v>0.75528767622212478</v>
      </c>
      <c r="R222">
        <v>0.99071207430340524</v>
      </c>
      <c r="S222">
        <v>1.0093750000000004</v>
      </c>
      <c r="T222">
        <v>1.0093750000000004</v>
      </c>
      <c r="U222">
        <v>0.76236849818670738</v>
      </c>
    </row>
    <row r="223" spans="1:21" x14ac:dyDescent="0.25">
      <c r="A223" s="12" t="s">
        <v>63</v>
      </c>
      <c r="B223" s="12" t="s">
        <v>40</v>
      </c>
      <c r="C223" s="12" t="s">
        <v>15</v>
      </c>
      <c r="D223" s="12">
        <v>0</v>
      </c>
      <c r="E223" s="12">
        <v>1.9</v>
      </c>
      <c r="F223" s="12">
        <v>10</v>
      </c>
      <c r="G223" s="12">
        <v>1.9</v>
      </c>
      <c r="H223" s="12">
        <v>0</v>
      </c>
      <c r="I223" s="12" t="s">
        <v>86</v>
      </c>
      <c r="J223">
        <v>1</v>
      </c>
      <c r="K223" s="6">
        <v>46231</v>
      </c>
      <c r="L223">
        <v>46231</v>
      </c>
      <c r="P223">
        <v>0</v>
      </c>
      <c r="Q223">
        <v>0</v>
      </c>
      <c r="R223">
        <v>0</v>
      </c>
    </row>
    <row r="224" spans="1:21" x14ac:dyDescent="0.25">
      <c r="A224" s="12" t="s">
        <v>59</v>
      </c>
      <c r="B224" s="12" t="s">
        <v>40</v>
      </c>
      <c r="C224" s="12" t="s">
        <v>14</v>
      </c>
      <c r="D224" s="12">
        <v>3.1779578349000128</v>
      </c>
      <c r="E224" s="12">
        <v>2.8499999999999996</v>
      </c>
      <c r="F224" s="12">
        <v>10</v>
      </c>
      <c r="G224" s="12">
        <v>2.8499999999999996</v>
      </c>
      <c r="H224" s="12">
        <v>4.6332179930795849</v>
      </c>
      <c r="I224" s="12" t="s">
        <v>89</v>
      </c>
      <c r="K224" s="6">
        <v>46232</v>
      </c>
      <c r="L224">
        <v>46232</v>
      </c>
      <c r="M224">
        <v>0.89680233283827326</v>
      </c>
      <c r="N224">
        <v>0.89680233283827326</v>
      </c>
      <c r="O224">
        <v>1.4579230542954509</v>
      </c>
      <c r="P224">
        <v>1.1150729245263205</v>
      </c>
      <c r="Q224">
        <v>1.1150729245263205</v>
      </c>
      <c r="R224">
        <v>1.6256905238875738</v>
      </c>
      <c r="S224">
        <v>0.61512322628827476</v>
      </c>
      <c r="T224">
        <v>0.61512322628827476</v>
      </c>
      <c r="U224">
        <v>0.68590725488133208</v>
      </c>
    </row>
    <row r="225" spans="1:21" x14ac:dyDescent="0.25">
      <c r="A225" s="12" t="s">
        <v>59</v>
      </c>
      <c r="B225" s="12" t="s">
        <v>40</v>
      </c>
      <c r="C225" s="12" t="s">
        <v>15</v>
      </c>
      <c r="D225" s="12">
        <v>0</v>
      </c>
      <c r="E225" s="12">
        <v>0</v>
      </c>
      <c r="F225" s="12">
        <v>10</v>
      </c>
      <c r="G225" s="12">
        <v>0</v>
      </c>
      <c r="H225" s="12">
        <v>0</v>
      </c>
      <c r="I225" s="12" t="s">
        <v>88</v>
      </c>
      <c r="K225" s="6">
        <v>46232</v>
      </c>
      <c r="L225">
        <v>46232</v>
      </c>
    </row>
    <row r="226" spans="1:21" x14ac:dyDescent="0.25">
      <c r="A226" s="12" t="s">
        <v>59</v>
      </c>
      <c r="B226" s="12" t="s">
        <v>40</v>
      </c>
      <c r="C226" s="12" t="s">
        <v>13</v>
      </c>
      <c r="D226" s="12">
        <v>3.587616462055093</v>
      </c>
      <c r="E226" s="12">
        <v>3.8</v>
      </c>
      <c r="F226" s="12">
        <v>10</v>
      </c>
      <c r="G226" s="12">
        <v>3.8</v>
      </c>
      <c r="H226" s="12">
        <v>4.7022058823529385</v>
      </c>
      <c r="I226" s="12" t="s">
        <v>90</v>
      </c>
      <c r="K226" s="6">
        <v>46232</v>
      </c>
      <c r="L226">
        <v>46232</v>
      </c>
      <c r="M226">
        <v>1.059199064390302</v>
      </c>
      <c r="N226">
        <v>1.059199064390302</v>
      </c>
      <c r="O226">
        <v>1.3106768608312651</v>
      </c>
      <c r="P226">
        <v>0.94410959527765614</v>
      </c>
      <c r="Q226">
        <v>0.94410959527765614</v>
      </c>
      <c r="R226">
        <v>1.2374226006191944</v>
      </c>
      <c r="S226">
        <v>0.80813135261923419</v>
      </c>
      <c r="T226">
        <v>0.80813135261923419</v>
      </c>
      <c r="U226">
        <v>0.76296456425253001</v>
      </c>
    </row>
    <row r="227" spans="1:21" x14ac:dyDescent="0.25">
      <c r="A227" s="12" t="s">
        <v>63</v>
      </c>
      <c r="B227" s="12" t="s">
        <v>40</v>
      </c>
      <c r="C227" s="12" t="s">
        <v>14</v>
      </c>
      <c r="D227" s="12">
        <v>3.1779578349000128</v>
      </c>
      <c r="E227" s="12">
        <v>2.8499999999999996</v>
      </c>
      <c r="F227" s="12">
        <v>10</v>
      </c>
      <c r="G227" s="12">
        <v>2.8499999999999996</v>
      </c>
      <c r="H227" s="12">
        <v>4.6332179930795849</v>
      </c>
      <c r="I227" s="12" t="s">
        <v>89</v>
      </c>
      <c r="J227">
        <v>1</v>
      </c>
      <c r="K227" s="6">
        <v>46232</v>
      </c>
      <c r="L227">
        <v>46232</v>
      </c>
      <c r="M227">
        <v>0.89680233283827326</v>
      </c>
      <c r="N227">
        <v>0.89680233283827326</v>
      </c>
      <c r="O227">
        <v>1.4579230542954509</v>
      </c>
      <c r="P227">
        <v>1.1150729245263205</v>
      </c>
      <c r="Q227">
        <v>1.1150729245263205</v>
      </c>
      <c r="R227">
        <v>1.6256905238875738</v>
      </c>
      <c r="S227">
        <v>0.61512322628827476</v>
      </c>
      <c r="T227">
        <v>0.61512322628827476</v>
      </c>
      <c r="U227">
        <v>0.68590725488133208</v>
      </c>
    </row>
    <row r="228" spans="1:21" x14ac:dyDescent="0.25">
      <c r="A228" s="12" t="s">
        <v>63</v>
      </c>
      <c r="B228" s="12" t="s">
        <v>40</v>
      </c>
      <c r="C228" s="12" t="s">
        <v>15</v>
      </c>
      <c r="D228" s="12">
        <v>0</v>
      </c>
      <c r="E228" s="12">
        <v>0</v>
      </c>
      <c r="F228" s="12">
        <v>10</v>
      </c>
      <c r="G228" s="12">
        <v>0</v>
      </c>
      <c r="H228" s="12">
        <v>0</v>
      </c>
      <c r="I228" s="12" t="s">
        <v>88</v>
      </c>
      <c r="J228">
        <v>1</v>
      </c>
      <c r="K228" s="6">
        <v>46232</v>
      </c>
      <c r="L228">
        <v>46232</v>
      </c>
    </row>
    <row r="229" spans="1:21" x14ac:dyDescent="0.25">
      <c r="A229" s="12" t="s">
        <v>63</v>
      </c>
      <c r="B229" s="12" t="s">
        <v>40</v>
      </c>
      <c r="C229" s="12" t="s">
        <v>13</v>
      </c>
      <c r="D229" s="12">
        <v>3.587616462055093</v>
      </c>
      <c r="E229" s="12">
        <v>3.8</v>
      </c>
      <c r="F229" s="12">
        <v>10</v>
      </c>
      <c r="G229" s="12">
        <v>3.8</v>
      </c>
      <c r="H229" s="12">
        <v>4.7022058823529385</v>
      </c>
      <c r="I229" s="12" t="s">
        <v>90</v>
      </c>
      <c r="J229">
        <v>1</v>
      </c>
      <c r="K229" s="6">
        <v>46232</v>
      </c>
      <c r="L229">
        <v>46232</v>
      </c>
      <c r="M229">
        <v>1.059199064390302</v>
      </c>
      <c r="N229">
        <v>1.059199064390302</v>
      </c>
      <c r="O229">
        <v>1.3106768608312651</v>
      </c>
      <c r="P229">
        <v>0.94410959527765614</v>
      </c>
      <c r="Q229">
        <v>0.94410959527765614</v>
      </c>
      <c r="R229">
        <v>1.2374226006191944</v>
      </c>
      <c r="S229">
        <v>0.80813135261923419</v>
      </c>
      <c r="T229">
        <v>0.80813135261923419</v>
      </c>
      <c r="U229">
        <v>0.76296456425253001</v>
      </c>
    </row>
    <row r="230" spans="1:21" x14ac:dyDescent="0.25">
      <c r="A230" s="12" t="s">
        <v>59</v>
      </c>
      <c r="B230" s="12" t="s">
        <v>40</v>
      </c>
      <c r="C230" s="12" t="s">
        <v>14</v>
      </c>
      <c r="D230" s="12">
        <v>3.1779578349000128</v>
      </c>
      <c r="E230" s="12">
        <v>2.8499999999999996</v>
      </c>
      <c r="F230" s="12">
        <v>10</v>
      </c>
      <c r="G230" s="12">
        <v>2.8499999999999996</v>
      </c>
      <c r="H230" s="12">
        <v>4.6885813148788928</v>
      </c>
      <c r="I230" s="12" t="s">
        <v>91</v>
      </c>
      <c r="K230" s="6">
        <v>46233</v>
      </c>
      <c r="L230">
        <v>46233</v>
      </c>
      <c r="M230">
        <v>0.89680233283827326</v>
      </c>
      <c r="N230">
        <v>0.89680233283827326</v>
      </c>
      <c r="O230">
        <v>1.4753440915387124</v>
      </c>
      <c r="P230">
        <v>1.1150729245263205</v>
      </c>
      <c r="Q230">
        <v>1.1150729245263205</v>
      </c>
      <c r="R230">
        <v>1.6451162508346995</v>
      </c>
      <c r="S230">
        <v>0.60785977859778584</v>
      </c>
      <c r="T230">
        <v>0.60785977859778584</v>
      </c>
      <c r="U230">
        <v>0.6778079810229547</v>
      </c>
    </row>
    <row r="231" spans="1:21" x14ac:dyDescent="0.25">
      <c r="A231" s="12" t="s">
        <v>59</v>
      </c>
      <c r="B231" s="12" t="s">
        <v>40</v>
      </c>
      <c r="C231" s="12" t="s">
        <v>13</v>
      </c>
      <c r="D231" s="12">
        <v>3.587616462055093</v>
      </c>
      <c r="E231" s="12">
        <v>3.8</v>
      </c>
      <c r="F231" s="12">
        <v>10</v>
      </c>
      <c r="G231" s="12">
        <v>3.8</v>
      </c>
      <c r="H231" s="12">
        <v>5.6433823529411775</v>
      </c>
      <c r="I231" s="12" t="s">
        <v>92</v>
      </c>
      <c r="K231" s="6">
        <v>46233</v>
      </c>
      <c r="L231">
        <v>46233</v>
      </c>
      <c r="M231">
        <v>1.059199064390302</v>
      </c>
      <c r="N231">
        <v>1.059199064390302</v>
      </c>
      <c r="O231">
        <v>1.5730171863768516</v>
      </c>
      <c r="P231">
        <v>0.94410959527765614</v>
      </c>
      <c r="Q231">
        <v>0.94410959527765614</v>
      </c>
      <c r="R231">
        <v>1.4851006191950469</v>
      </c>
      <c r="S231">
        <v>0.67335504885993469</v>
      </c>
      <c r="T231">
        <v>0.67335504885993469</v>
      </c>
      <c r="U231">
        <v>0.63572096265731926</v>
      </c>
    </row>
    <row r="232" spans="1:21" x14ac:dyDescent="0.25">
      <c r="A232" s="12" t="s">
        <v>59</v>
      </c>
      <c r="B232" s="12" t="s">
        <v>40</v>
      </c>
      <c r="C232" s="12" t="s">
        <v>15</v>
      </c>
      <c r="D232" s="12">
        <v>0</v>
      </c>
      <c r="E232" s="12">
        <v>0</v>
      </c>
      <c r="F232" s="12">
        <v>10</v>
      </c>
      <c r="G232" s="12">
        <v>0</v>
      </c>
      <c r="H232" s="12">
        <v>0</v>
      </c>
      <c r="I232" s="12" t="s">
        <v>93</v>
      </c>
      <c r="K232" s="6">
        <v>46233</v>
      </c>
      <c r="L232">
        <v>46233</v>
      </c>
    </row>
    <row r="233" spans="1:21" x14ac:dyDescent="0.25">
      <c r="A233" s="12" t="s">
        <v>63</v>
      </c>
      <c r="B233" s="12" t="s">
        <v>40</v>
      </c>
      <c r="C233" s="12" t="s">
        <v>14</v>
      </c>
      <c r="D233" s="12">
        <v>3.1779578349000128</v>
      </c>
      <c r="E233" s="12">
        <v>2.8499999999999996</v>
      </c>
      <c r="F233" s="12">
        <v>10</v>
      </c>
      <c r="G233" s="12">
        <v>2.8499999999999996</v>
      </c>
      <c r="H233" s="12">
        <v>4.6885813148788928</v>
      </c>
      <c r="I233" s="12" t="s">
        <v>91</v>
      </c>
      <c r="J233">
        <v>1</v>
      </c>
      <c r="K233" s="6">
        <v>46233</v>
      </c>
      <c r="L233">
        <v>46233</v>
      </c>
      <c r="M233">
        <v>0.89680233283827326</v>
      </c>
      <c r="N233">
        <v>0.89680233283827326</v>
      </c>
      <c r="O233">
        <v>1.4753440915387124</v>
      </c>
      <c r="P233">
        <v>1.1150729245263205</v>
      </c>
      <c r="Q233">
        <v>1.1150729245263205</v>
      </c>
      <c r="R233">
        <v>1.6451162508346995</v>
      </c>
      <c r="S233">
        <v>0.60785977859778584</v>
      </c>
      <c r="T233">
        <v>0.60785977859778584</v>
      </c>
      <c r="U233">
        <v>0.6778079810229547</v>
      </c>
    </row>
    <row r="234" spans="1:21" x14ac:dyDescent="0.25">
      <c r="A234" s="12" t="s">
        <v>63</v>
      </c>
      <c r="B234" s="12" t="s">
        <v>40</v>
      </c>
      <c r="C234" s="12" t="s">
        <v>13</v>
      </c>
      <c r="D234" s="12">
        <v>3.587616462055093</v>
      </c>
      <c r="E234" s="12">
        <v>3.8</v>
      </c>
      <c r="F234" s="12">
        <v>10</v>
      </c>
      <c r="G234" s="12">
        <v>3.8</v>
      </c>
      <c r="H234" s="12">
        <v>5.6433823529411775</v>
      </c>
      <c r="I234" s="12" t="s">
        <v>92</v>
      </c>
      <c r="J234">
        <v>1</v>
      </c>
      <c r="K234" s="6">
        <v>46233</v>
      </c>
      <c r="L234">
        <v>46233</v>
      </c>
      <c r="M234">
        <v>1.059199064390302</v>
      </c>
      <c r="N234">
        <v>1.059199064390302</v>
      </c>
      <c r="O234">
        <v>1.5730171863768516</v>
      </c>
      <c r="P234">
        <v>0.94410959527765614</v>
      </c>
      <c r="Q234">
        <v>0.94410959527765614</v>
      </c>
      <c r="R234">
        <v>1.4851006191950469</v>
      </c>
      <c r="S234">
        <v>0.67335504885993469</v>
      </c>
      <c r="T234">
        <v>0.67335504885993469</v>
      </c>
      <c r="U234">
        <v>0.63572096265731926</v>
      </c>
    </row>
    <row r="235" spans="1:21" x14ac:dyDescent="0.25">
      <c r="A235" s="12" t="s">
        <v>63</v>
      </c>
      <c r="B235" s="12" t="s">
        <v>40</v>
      </c>
      <c r="C235" s="12" t="s">
        <v>15</v>
      </c>
      <c r="D235" s="12">
        <v>0</v>
      </c>
      <c r="E235" s="12">
        <v>0</v>
      </c>
      <c r="F235" s="12">
        <v>10</v>
      </c>
      <c r="G235" s="12">
        <v>0</v>
      </c>
      <c r="H235" s="12">
        <v>0</v>
      </c>
      <c r="I235" s="12" t="s">
        <v>93</v>
      </c>
      <c r="J235">
        <v>1</v>
      </c>
      <c r="K235" s="6">
        <v>46233</v>
      </c>
      <c r="L235">
        <v>46233</v>
      </c>
    </row>
    <row r="236" spans="1:21" x14ac:dyDescent="0.25">
      <c r="A236" s="12" t="s">
        <v>59</v>
      </c>
      <c r="B236" s="12" t="s">
        <v>40</v>
      </c>
      <c r="C236" s="12" t="s">
        <v>13</v>
      </c>
      <c r="D236" s="12">
        <v>3.587616462055093</v>
      </c>
      <c r="E236" s="12">
        <v>4.75</v>
      </c>
      <c r="F236" s="12">
        <v>10</v>
      </c>
      <c r="G236" s="12">
        <v>4.75</v>
      </c>
      <c r="H236" s="12">
        <v>4.7610294117647047</v>
      </c>
      <c r="I236" s="12" t="s">
        <v>94</v>
      </c>
      <c r="K236" s="6">
        <v>46234</v>
      </c>
      <c r="L236">
        <v>46234</v>
      </c>
      <c r="M236">
        <v>1.3239988304878776</v>
      </c>
      <c r="N236">
        <v>1.3239988304878776</v>
      </c>
      <c r="O236">
        <v>1.3270731311778645</v>
      </c>
      <c r="P236">
        <v>0.75528767622212489</v>
      </c>
      <c r="Q236">
        <v>0.75528767622212489</v>
      </c>
      <c r="R236">
        <v>1.0023219814241484</v>
      </c>
      <c r="S236">
        <v>0.99768339768339798</v>
      </c>
      <c r="T236">
        <v>0.99768339768339798</v>
      </c>
      <c r="U236">
        <v>0.75353797504168762</v>
      </c>
    </row>
    <row r="237" spans="1:21" x14ac:dyDescent="0.25">
      <c r="A237" s="12" t="s">
        <v>59</v>
      </c>
      <c r="B237" s="12" t="s">
        <v>40</v>
      </c>
      <c r="C237" s="12" t="s">
        <v>15</v>
      </c>
      <c r="D237" s="12">
        <v>0</v>
      </c>
      <c r="E237" s="12">
        <v>0</v>
      </c>
      <c r="F237" s="12">
        <v>10</v>
      </c>
      <c r="G237" s="12">
        <v>0</v>
      </c>
      <c r="H237" s="12">
        <v>0</v>
      </c>
      <c r="I237" s="12" t="s">
        <v>95</v>
      </c>
      <c r="K237" s="6">
        <v>46234</v>
      </c>
      <c r="L237">
        <v>46234</v>
      </c>
    </row>
    <row r="238" spans="1:21" x14ac:dyDescent="0.25">
      <c r="A238" s="12" t="s">
        <v>59</v>
      </c>
      <c r="B238" s="12" t="s">
        <v>40</v>
      </c>
      <c r="C238" s="12" t="s">
        <v>14</v>
      </c>
      <c r="D238" s="12">
        <v>3.1779578349000128</v>
      </c>
      <c r="E238" s="12">
        <v>2.8499999999999996</v>
      </c>
      <c r="F238" s="12">
        <v>10</v>
      </c>
      <c r="G238" s="12">
        <v>2.8499999999999996</v>
      </c>
      <c r="H238" s="12">
        <v>4.6366782006920415</v>
      </c>
      <c r="I238" s="12" t="s">
        <v>96</v>
      </c>
      <c r="K238" s="6">
        <v>46234</v>
      </c>
      <c r="L238">
        <v>46234</v>
      </c>
      <c r="M238">
        <v>0.89680233283827326</v>
      </c>
      <c r="N238">
        <v>0.89680233283827326</v>
      </c>
      <c r="O238">
        <v>1.4590118691231546</v>
      </c>
      <c r="P238">
        <v>1.1150729245263205</v>
      </c>
      <c r="Q238">
        <v>1.1150729245263205</v>
      </c>
      <c r="R238">
        <v>1.6269046318217693</v>
      </c>
      <c r="S238">
        <v>0.61466417910447757</v>
      </c>
      <c r="T238">
        <v>0.61466417910447757</v>
      </c>
      <c r="U238">
        <v>0.68539538379559983</v>
      </c>
    </row>
    <row r="239" spans="1:21" x14ac:dyDescent="0.25">
      <c r="A239" s="12" t="s">
        <v>63</v>
      </c>
      <c r="B239" s="12" t="s">
        <v>40</v>
      </c>
      <c r="C239" s="12" t="s">
        <v>13</v>
      </c>
      <c r="D239" s="12">
        <v>3.587616462055093</v>
      </c>
      <c r="E239" s="12">
        <v>4.75</v>
      </c>
      <c r="F239" s="12">
        <v>10</v>
      </c>
      <c r="G239" s="12">
        <v>4.75</v>
      </c>
      <c r="H239" s="12">
        <v>4.7610294117647047</v>
      </c>
      <c r="I239" s="12" t="s">
        <v>94</v>
      </c>
      <c r="J239">
        <v>1</v>
      </c>
      <c r="K239" s="6">
        <v>46234</v>
      </c>
      <c r="L239">
        <v>46234</v>
      </c>
      <c r="M239">
        <v>1.3239988304878776</v>
      </c>
      <c r="N239">
        <v>1.3239988304878776</v>
      </c>
      <c r="O239">
        <v>1.3270731311778645</v>
      </c>
      <c r="P239">
        <v>0.75528767622212489</v>
      </c>
      <c r="Q239">
        <v>0.75528767622212489</v>
      </c>
      <c r="R239">
        <v>1.0023219814241484</v>
      </c>
      <c r="S239">
        <v>0.99768339768339798</v>
      </c>
      <c r="T239">
        <v>0.99768339768339798</v>
      </c>
      <c r="U239">
        <v>0.75353797504168762</v>
      </c>
    </row>
    <row r="240" spans="1:21" x14ac:dyDescent="0.25">
      <c r="A240" s="12" t="s">
        <v>63</v>
      </c>
      <c r="B240" s="12" t="s">
        <v>40</v>
      </c>
      <c r="C240" s="12" t="s">
        <v>15</v>
      </c>
      <c r="D240" s="12">
        <v>0</v>
      </c>
      <c r="E240" s="12">
        <v>0</v>
      </c>
      <c r="F240" s="12">
        <v>10</v>
      </c>
      <c r="G240" s="12">
        <v>0</v>
      </c>
      <c r="H240" s="12">
        <v>0</v>
      </c>
      <c r="I240" s="12" t="s">
        <v>95</v>
      </c>
      <c r="J240">
        <v>1</v>
      </c>
      <c r="K240" s="6">
        <v>46234</v>
      </c>
      <c r="L240">
        <v>46234</v>
      </c>
    </row>
    <row r="241" spans="1:21" x14ac:dyDescent="0.25">
      <c r="A241" s="12" t="s">
        <v>63</v>
      </c>
      <c r="B241" s="12" t="s">
        <v>40</v>
      </c>
      <c r="C241" s="12" t="s">
        <v>14</v>
      </c>
      <c r="D241" s="12">
        <v>3.1779578349000128</v>
      </c>
      <c r="E241" s="12">
        <v>2.8499999999999996</v>
      </c>
      <c r="F241" s="12">
        <v>10</v>
      </c>
      <c r="G241" s="12">
        <v>2.8499999999999996</v>
      </c>
      <c r="H241" s="12">
        <v>4.6366782006920415</v>
      </c>
      <c r="I241" s="12" t="s">
        <v>96</v>
      </c>
      <c r="J241">
        <v>1</v>
      </c>
      <c r="K241" s="6">
        <v>46234</v>
      </c>
      <c r="L241">
        <v>46234</v>
      </c>
      <c r="M241">
        <v>0.89680233283827326</v>
      </c>
      <c r="N241">
        <v>0.89680233283827326</v>
      </c>
      <c r="O241">
        <v>1.4590118691231546</v>
      </c>
      <c r="P241">
        <v>1.1150729245263205</v>
      </c>
      <c r="Q241">
        <v>1.1150729245263205</v>
      </c>
      <c r="R241">
        <v>1.6269046318217693</v>
      </c>
      <c r="S241">
        <v>0.61466417910447757</v>
      </c>
      <c r="T241">
        <v>0.61466417910447757</v>
      </c>
      <c r="U241">
        <v>0.68539538379559983</v>
      </c>
    </row>
    <row r="242" spans="1:21" x14ac:dyDescent="0.25">
      <c r="A242" s="12" t="s">
        <v>59</v>
      </c>
      <c r="B242" s="12" t="s">
        <v>40</v>
      </c>
      <c r="C242" s="12" t="s">
        <v>14</v>
      </c>
      <c r="D242" s="12">
        <v>3.2276134260703255</v>
      </c>
      <c r="E242" s="12">
        <v>2.8499999999999996</v>
      </c>
      <c r="F242" s="12">
        <v>10</v>
      </c>
      <c r="G242" s="12">
        <v>2.8499999999999996</v>
      </c>
      <c r="H242" s="12">
        <v>3.8062283737024223</v>
      </c>
      <c r="I242" s="12" t="s">
        <v>98</v>
      </c>
      <c r="K242" s="6">
        <v>46235</v>
      </c>
      <c r="L242">
        <v>46235</v>
      </c>
      <c r="M242">
        <v>0.88300537387153066</v>
      </c>
      <c r="N242">
        <v>0.88300537387153066</v>
      </c>
      <c r="O242">
        <v>1.1792702133900126</v>
      </c>
      <c r="P242">
        <v>1.1324959389720441</v>
      </c>
      <c r="Q242">
        <v>1.1324959389720441</v>
      </c>
      <c r="R242">
        <v>1.3355187276148852</v>
      </c>
      <c r="S242">
        <v>0.74877272727272715</v>
      </c>
      <c r="T242">
        <v>0.74877272727272715</v>
      </c>
      <c r="U242">
        <v>0.84798207284938554</v>
      </c>
    </row>
    <row r="243" spans="1:21" x14ac:dyDescent="0.25">
      <c r="A243" s="12" t="s">
        <v>59</v>
      </c>
      <c r="B243" s="12" t="s">
        <v>40</v>
      </c>
      <c r="C243" s="12" t="s">
        <v>15</v>
      </c>
      <c r="D243" s="12">
        <v>0</v>
      </c>
      <c r="E243" s="12">
        <v>1.9</v>
      </c>
      <c r="F243" s="12">
        <v>10</v>
      </c>
      <c r="G243" s="12">
        <v>1.9</v>
      </c>
      <c r="H243" s="12">
        <v>0</v>
      </c>
      <c r="I243" s="12" t="s">
        <v>99</v>
      </c>
      <c r="K243" s="6">
        <v>46235</v>
      </c>
      <c r="L243">
        <v>46235</v>
      </c>
      <c r="P243">
        <v>0</v>
      </c>
      <c r="Q243">
        <v>0</v>
      </c>
      <c r="R243">
        <v>0</v>
      </c>
    </row>
    <row r="244" spans="1:21" x14ac:dyDescent="0.25">
      <c r="A244" s="12" t="s">
        <v>59</v>
      </c>
      <c r="B244" s="12" t="s">
        <v>40</v>
      </c>
      <c r="C244" s="12" t="s">
        <v>13</v>
      </c>
      <c r="D244" s="12">
        <v>3.5876164620550925</v>
      </c>
      <c r="E244" s="12">
        <v>3.8</v>
      </c>
      <c r="F244" s="12">
        <v>10</v>
      </c>
      <c r="G244" s="12">
        <v>3.8</v>
      </c>
      <c r="H244" s="12">
        <v>4.7058823529411757</v>
      </c>
      <c r="I244" s="12" t="s">
        <v>97</v>
      </c>
      <c r="K244" s="6">
        <v>46235</v>
      </c>
      <c r="L244">
        <v>46235</v>
      </c>
      <c r="M244">
        <v>1.0591990643903022</v>
      </c>
      <c r="N244">
        <v>1.0591990643903022</v>
      </c>
      <c r="O244">
        <v>1.3117016277279281</v>
      </c>
      <c r="P244">
        <v>0.94410959527765603</v>
      </c>
      <c r="Q244">
        <v>0.94410959527765603</v>
      </c>
      <c r="R244">
        <v>1.2383900928792568</v>
      </c>
      <c r="S244">
        <v>0.80750000000000011</v>
      </c>
      <c r="T244">
        <v>0.80750000000000011</v>
      </c>
      <c r="U244">
        <v>0.76236849818670727</v>
      </c>
    </row>
    <row r="245" spans="1:21" x14ac:dyDescent="0.25">
      <c r="A245" s="12" t="s">
        <v>63</v>
      </c>
      <c r="B245" s="12" t="s">
        <v>40</v>
      </c>
      <c r="C245" s="12" t="s">
        <v>14</v>
      </c>
      <c r="D245" s="12">
        <v>3.2276134260703255</v>
      </c>
      <c r="E245" s="12">
        <v>2.8499999999999996</v>
      </c>
      <c r="F245" s="12">
        <v>10</v>
      </c>
      <c r="G245" s="12">
        <v>2.8499999999999996</v>
      </c>
      <c r="H245" s="12">
        <v>3.8062283737024223</v>
      </c>
      <c r="I245" s="12" t="s">
        <v>98</v>
      </c>
      <c r="J245">
        <v>1</v>
      </c>
      <c r="K245" s="6">
        <v>46235</v>
      </c>
      <c r="L245">
        <v>46235</v>
      </c>
      <c r="M245">
        <v>0.88300537387153066</v>
      </c>
      <c r="N245">
        <v>0.88300537387153066</v>
      </c>
      <c r="O245">
        <v>1.1792702133900126</v>
      </c>
      <c r="P245">
        <v>1.1324959389720441</v>
      </c>
      <c r="Q245">
        <v>1.1324959389720441</v>
      </c>
      <c r="R245">
        <v>1.3355187276148852</v>
      </c>
      <c r="S245">
        <v>0.74877272727272715</v>
      </c>
      <c r="T245">
        <v>0.74877272727272715</v>
      </c>
      <c r="U245">
        <v>0.84798207284938554</v>
      </c>
    </row>
    <row r="246" spans="1:21" x14ac:dyDescent="0.25">
      <c r="A246" s="12" t="s">
        <v>63</v>
      </c>
      <c r="B246" s="12" t="s">
        <v>40</v>
      </c>
      <c r="C246" s="12" t="s">
        <v>15</v>
      </c>
      <c r="D246" s="12">
        <v>0</v>
      </c>
      <c r="E246" s="12">
        <v>1.9</v>
      </c>
      <c r="F246" s="12">
        <v>10</v>
      </c>
      <c r="G246" s="12">
        <v>1.9</v>
      </c>
      <c r="H246" s="12">
        <v>0</v>
      </c>
      <c r="I246" s="12" t="s">
        <v>99</v>
      </c>
      <c r="J246">
        <v>1</v>
      </c>
      <c r="K246" s="6">
        <v>46235</v>
      </c>
      <c r="L246">
        <v>46235</v>
      </c>
      <c r="P246">
        <v>0</v>
      </c>
      <c r="Q246">
        <v>0</v>
      </c>
      <c r="R246">
        <v>0</v>
      </c>
    </row>
    <row r="247" spans="1:21" x14ac:dyDescent="0.25">
      <c r="A247" s="12" t="s">
        <v>63</v>
      </c>
      <c r="B247" s="12" t="s">
        <v>40</v>
      </c>
      <c r="C247" s="12" t="s">
        <v>13</v>
      </c>
      <c r="D247" s="12">
        <v>3.5876164620550925</v>
      </c>
      <c r="E247" s="12">
        <v>3.8</v>
      </c>
      <c r="F247" s="12">
        <v>10</v>
      </c>
      <c r="G247" s="12">
        <v>3.8</v>
      </c>
      <c r="H247" s="12">
        <v>4.7058823529411757</v>
      </c>
      <c r="I247" s="12" t="s">
        <v>97</v>
      </c>
      <c r="J247">
        <v>1</v>
      </c>
      <c r="K247" s="6">
        <v>46235</v>
      </c>
      <c r="L247">
        <v>46235</v>
      </c>
      <c r="M247">
        <v>1.0591990643903022</v>
      </c>
      <c r="N247">
        <v>1.0591990643903022</v>
      </c>
      <c r="O247">
        <v>1.3117016277279281</v>
      </c>
      <c r="P247">
        <v>0.94410959527765603</v>
      </c>
      <c r="Q247">
        <v>0.94410959527765603</v>
      </c>
      <c r="R247">
        <v>1.2383900928792568</v>
      </c>
      <c r="S247">
        <v>0.80750000000000011</v>
      </c>
      <c r="T247">
        <v>0.80750000000000011</v>
      </c>
      <c r="U247">
        <v>0.76236849818670727</v>
      </c>
    </row>
    <row r="248" spans="1:21" x14ac:dyDescent="0.25">
      <c r="A248" s="12" t="s">
        <v>59</v>
      </c>
      <c r="B248" s="12" t="s">
        <v>40</v>
      </c>
      <c r="C248" s="12" t="s">
        <v>14</v>
      </c>
      <c r="D248" s="12">
        <v>3.1779578349000133</v>
      </c>
      <c r="E248" s="12">
        <v>2.8499999999999996</v>
      </c>
      <c r="F248" s="12">
        <v>10</v>
      </c>
      <c r="G248" s="12">
        <v>2.8499999999999996</v>
      </c>
      <c r="H248" s="12">
        <v>3.7543252595155714</v>
      </c>
      <c r="I248" s="12" t="s">
        <v>100</v>
      </c>
      <c r="K248" s="6">
        <v>46236</v>
      </c>
      <c r="L248">
        <v>46236</v>
      </c>
      <c r="M248">
        <v>0.89680233283827315</v>
      </c>
      <c r="N248">
        <v>0.89680233283827315</v>
      </c>
      <c r="O248">
        <v>1.1813640880586738</v>
      </c>
      <c r="P248">
        <v>1.1150729245263207</v>
      </c>
      <c r="Q248">
        <v>1.1150729245263207</v>
      </c>
      <c r="R248">
        <v>1.317307108601955</v>
      </c>
      <c r="S248">
        <v>0.7591244239631334</v>
      </c>
      <c r="T248">
        <v>0.7591244239631334</v>
      </c>
      <c r="U248">
        <v>0.84647909150792966</v>
      </c>
    </row>
    <row r="249" spans="1:21" x14ac:dyDescent="0.25">
      <c r="A249" s="12" t="s">
        <v>59</v>
      </c>
      <c r="B249" s="12" t="s">
        <v>40</v>
      </c>
      <c r="C249" s="12" t="s">
        <v>13</v>
      </c>
      <c r="D249" s="12">
        <v>3.5876164620550925</v>
      </c>
      <c r="E249" s="12">
        <v>3.8</v>
      </c>
      <c r="F249" s="12">
        <v>10</v>
      </c>
      <c r="G249" s="12">
        <v>3.8</v>
      </c>
      <c r="H249" s="12">
        <v>4.7610294117647047</v>
      </c>
      <c r="I249" s="12" t="s">
        <v>102</v>
      </c>
      <c r="K249" s="6">
        <v>46236</v>
      </c>
      <c r="L249">
        <v>46236</v>
      </c>
      <c r="M249">
        <v>1.0591990643903022</v>
      </c>
      <c r="N249">
        <v>1.0591990643903022</v>
      </c>
      <c r="O249">
        <v>1.3270731311778647</v>
      </c>
      <c r="P249">
        <v>0.94410959527765603</v>
      </c>
      <c r="Q249">
        <v>0.94410959527765603</v>
      </c>
      <c r="R249">
        <v>1.2529024767801855</v>
      </c>
      <c r="S249">
        <v>0.79814671814671834</v>
      </c>
      <c r="T249">
        <v>0.79814671814671834</v>
      </c>
      <c r="U249">
        <v>0.75353797504168762</v>
      </c>
    </row>
    <row r="250" spans="1:21" x14ac:dyDescent="0.25">
      <c r="A250" s="12" t="s">
        <v>59</v>
      </c>
      <c r="B250" s="12" t="s">
        <v>40</v>
      </c>
      <c r="C250" s="12" t="s">
        <v>15</v>
      </c>
      <c r="D250" s="12">
        <v>0</v>
      </c>
      <c r="E250" s="12">
        <v>0</v>
      </c>
      <c r="F250" s="12">
        <v>10</v>
      </c>
      <c r="G250" s="12">
        <v>0</v>
      </c>
      <c r="H250" s="12">
        <v>0</v>
      </c>
      <c r="I250" s="12" t="s">
        <v>101</v>
      </c>
      <c r="K250" s="6">
        <v>46236</v>
      </c>
      <c r="L250">
        <v>46236</v>
      </c>
    </row>
    <row r="251" spans="1:21" x14ac:dyDescent="0.25">
      <c r="A251" s="12" t="s">
        <v>63</v>
      </c>
      <c r="B251" s="12" t="s">
        <v>40</v>
      </c>
      <c r="C251" s="12" t="s">
        <v>14</v>
      </c>
      <c r="D251" s="12">
        <v>3.1779578349000133</v>
      </c>
      <c r="E251" s="12">
        <v>2.8499999999999996</v>
      </c>
      <c r="F251" s="12">
        <v>10</v>
      </c>
      <c r="G251" s="12">
        <v>2.8499999999999996</v>
      </c>
      <c r="H251" s="12">
        <v>3.7543252595155714</v>
      </c>
      <c r="I251" s="12" t="s">
        <v>100</v>
      </c>
      <c r="J251">
        <v>1</v>
      </c>
      <c r="K251" s="6">
        <v>46236</v>
      </c>
      <c r="L251">
        <v>46236</v>
      </c>
      <c r="M251">
        <v>0.89680233283827315</v>
      </c>
      <c r="N251">
        <v>0.89680233283827315</v>
      </c>
      <c r="O251">
        <v>1.1813640880586738</v>
      </c>
      <c r="P251">
        <v>1.1150729245263207</v>
      </c>
      <c r="Q251">
        <v>1.1150729245263207</v>
      </c>
      <c r="R251">
        <v>1.317307108601955</v>
      </c>
      <c r="S251">
        <v>0.7591244239631334</v>
      </c>
      <c r="T251">
        <v>0.7591244239631334</v>
      </c>
      <c r="U251">
        <v>0.84647909150792966</v>
      </c>
    </row>
    <row r="252" spans="1:21" x14ac:dyDescent="0.25">
      <c r="A252" s="12" t="s">
        <v>63</v>
      </c>
      <c r="B252" s="12" t="s">
        <v>40</v>
      </c>
      <c r="C252" s="12" t="s">
        <v>13</v>
      </c>
      <c r="D252" s="12">
        <v>3.5876164620550925</v>
      </c>
      <c r="E252" s="12">
        <v>3.8</v>
      </c>
      <c r="F252" s="12">
        <v>10</v>
      </c>
      <c r="G252" s="12">
        <v>3.8</v>
      </c>
      <c r="H252" s="12">
        <v>4.7610294117647047</v>
      </c>
      <c r="I252" s="12" t="s">
        <v>102</v>
      </c>
      <c r="J252">
        <v>1</v>
      </c>
      <c r="K252" s="6">
        <v>46236</v>
      </c>
      <c r="L252">
        <v>46236</v>
      </c>
      <c r="M252">
        <v>1.0591990643903022</v>
      </c>
      <c r="N252">
        <v>1.0591990643903022</v>
      </c>
      <c r="O252">
        <v>1.3270731311778647</v>
      </c>
      <c r="P252">
        <v>0.94410959527765603</v>
      </c>
      <c r="Q252">
        <v>0.94410959527765603</v>
      </c>
      <c r="R252">
        <v>1.2529024767801855</v>
      </c>
      <c r="S252">
        <v>0.79814671814671834</v>
      </c>
      <c r="T252">
        <v>0.79814671814671834</v>
      </c>
      <c r="U252">
        <v>0.75353797504168762</v>
      </c>
    </row>
    <row r="253" spans="1:21" x14ac:dyDescent="0.25">
      <c r="A253" s="12" t="s">
        <v>63</v>
      </c>
      <c r="B253" s="12" t="s">
        <v>40</v>
      </c>
      <c r="C253" s="12" t="s">
        <v>15</v>
      </c>
      <c r="D253" s="12">
        <v>0</v>
      </c>
      <c r="E253" s="12">
        <v>0</v>
      </c>
      <c r="F253" s="12">
        <v>10</v>
      </c>
      <c r="G253" s="12">
        <v>0</v>
      </c>
      <c r="H253" s="12">
        <v>0</v>
      </c>
      <c r="I253" s="12" t="s">
        <v>101</v>
      </c>
      <c r="J253">
        <v>1</v>
      </c>
      <c r="K253" s="6">
        <v>46236</v>
      </c>
      <c r="L253">
        <v>46236</v>
      </c>
    </row>
    <row r="254" spans="1:21" x14ac:dyDescent="0.25">
      <c r="A254" s="12" t="s">
        <v>59</v>
      </c>
      <c r="B254" s="12" t="s">
        <v>40</v>
      </c>
      <c r="C254" s="12" t="s">
        <v>13</v>
      </c>
      <c r="D254" s="12">
        <v>3.5876164620550925</v>
      </c>
      <c r="E254" s="12">
        <v>3.8</v>
      </c>
      <c r="F254" s="12">
        <v>10</v>
      </c>
      <c r="G254" s="12">
        <v>3.8</v>
      </c>
      <c r="H254" s="12">
        <v>4.7058823529411757</v>
      </c>
      <c r="I254" s="12" t="s">
        <v>103</v>
      </c>
      <c r="K254" s="6">
        <v>46237</v>
      </c>
      <c r="L254">
        <v>46237</v>
      </c>
      <c r="M254">
        <v>1.0591990643903022</v>
      </c>
      <c r="N254">
        <v>1.0591990643903022</v>
      </c>
      <c r="O254">
        <v>1.3117016277279281</v>
      </c>
      <c r="P254">
        <v>0.94410959527765603</v>
      </c>
      <c r="Q254">
        <v>0.94410959527765603</v>
      </c>
      <c r="R254">
        <v>1.2383900928792568</v>
      </c>
      <c r="S254">
        <v>0.80750000000000011</v>
      </c>
      <c r="T254">
        <v>0.80750000000000011</v>
      </c>
      <c r="U254">
        <v>0.76236849818670727</v>
      </c>
    </row>
    <row r="255" spans="1:21" x14ac:dyDescent="0.25">
      <c r="A255" s="12" t="s">
        <v>59</v>
      </c>
      <c r="B255" s="12" t="s">
        <v>40</v>
      </c>
      <c r="C255" s="12" t="s">
        <v>14</v>
      </c>
      <c r="D255" s="12">
        <v>3.1779578349000128</v>
      </c>
      <c r="E255" s="12">
        <v>2.8499999999999996</v>
      </c>
      <c r="F255" s="12">
        <v>10</v>
      </c>
      <c r="G255" s="12">
        <v>2.8499999999999996</v>
      </c>
      <c r="H255" s="12">
        <v>4.6885813148788937</v>
      </c>
      <c r="I255" s="12" t="s">
        <v>105</v>
      </c>
      <c r="K255" s="6">
        <v>46237</v>
      </c>
      <c r="L255">
        <v>46237</v>
      </c>
      <c r="M255">
        <v>0.89680233283827326</v>
      </c>
      <c r="N255">
        <v>0.89680233283827326</v>
      </c>
      <c r="O255">
        <v>1.4753440915387126</v>
      </c>
      <c r="P255">
        <v>1.1150729245263205</v>
      </c>
      <c r="Q255">
        <v>1.1150729245263205</v>
      </c>
      <c r="R255">
        <v>1.6451162508346997</v>
      </c>
      <c r="S255">
        <v>0.60785977859778573</v>
      </c>
      <c r="T255">
        <v>0.60785977859778573</v>
      </c>
      <c r="U255">
        <v>0.67780798102295459</v>
      </c>
    </row>
    <row r="256" spans="1:21" x14ac:dyDescent="0.25">
      <c r="A256" s="12" t="s">
        <v>59</v>
      </c>
      <c r="B256" s="12" t="s">
        <v>40</v>
      </c>
      <c r="C256" s="12" t="s">
        <v>15</v>
      </c>
      <c r="D256" s="12">
        <v>0</v>
      </c>
      <c r="E256" s="12">
        <v>0</v>
      </c>
      <c r="F256" s="12">
        <v>10</v>
      </c>
      <c r="G256" s="12">
        <v>0</v>
      </c>
      <c r="H256" s="12">
        <v>0</v>
      </c>
      <c r="I256" s="12" t="s">
        <v>104</v>
      </c>
      <c r="K256" s="6">
        <v>46237</v>
      </c>
      <c r="L256">
        <v>46237</v>
      </c>
    </row>
    <row r="257" spans="1:21" x14ac:dyDescent="0.25">
      <c r="A257" s="12" t="s">
        <v>63</v>
      </c>
      <c r="B257" s="12" t="s">
        <v>40</v>
      </c>
      <c r="C257" s="12" t="s">
        <v>13</v>
      </c>
      <c r="D257" s="12">
        <v>3.5876164620550925</v>
      </c>
      <c r="E257" s="12">
        <v>3.8</v>
      </c>
      <c r="F257" s="12">
        <v>10</v>
      </c>
      <c r="G257" s="12">
        <v>3.8</v>
      </c>
      <c r="H257" s="12">
        <v>4.7058823529411757</v>
      </c>
      <c r="I257" s="12" t="s">
        <v>103</v>
      </c>
      <c r="J257">
        <v>1</v>
      </c>
      <c r="K257" s="6">
        <v>46237</v>
      </c>
      <c r="L257">
        <v>46237</v>
      </c>
      <c r="M257">
        <v>1.0591990643903022</v>
      </c>
      <c r="N257">
        <v>1.0591990643903022</v>
      </c>
      <c r="O257">
        <v>1.3117016277279281</v>
      </c>
      <c r="P257">
        <v>0.94410959527765603</v>
      </c>
      <c r="Q257">
        <v>0.94410959527765603</v>
      </c>
      <c r="R257">
        <v>1.2383900928792568</v>
      </c>
      <c r="S257">
        <v>0.80750000000000011</v>
      </c>
      <c r="T257">
        <v>0.80750000000000011</v>
      </c>
      <c r="U257">
        <v>0.76236849818670727</v>
      </c>
    </row>
    <row r="258" spans="1:21" x14ac:dyDescent="0.25">
      <c r="A258" s="12" t="s">
        <v>63</v>
      </c>
      <c r="B258" s="12" t="s">
        <v>40</v>
      </c>
      <c r="C258" s="12" t="s">
        <v>14</v>
      </c>
      <c r="D258" s="12">
        <v>3.1779578349000128</v>
      </c>
      <c r="E258" s="12">
        <v>2.8499999999999996</v>
      </c>
      <c r="F258" s="12">
        <v>10</v>
      </c>
      <c r="G258" s="12">
        <v>2.8499999999999996</v>
      </c>
      <c r="H258" s="12">
        <v>4.6885813148788937</v>
      </c>
      <c r="I258" s="12" t="s">
        <v>105</v>
      </c>
      <c r="J258">
        <v>1</v>
      </c>
      <c r="K258" s="6">
        <v>46237</v>
      </c>
      <c r="L258">
        <v>46237</v>
      </c>
      <c r="M258">
        <v>0.89680233283827326</v>
      </c>
      <c r="N258">
        <v>0.89680233283827326</v>
      </c>
      <c r="O258">
        <v>1.4753440915387126</v>
      </c>
      <c r="P258">
        <v>1.1150729245263205</v>
      </c>
      <c r="Q258">
        <v>1.1150729245263205</v>
      </c>
      <c r="R258">
        <v>1.6451162508346997</v>
      </c>
      <c r="S258">
        <v>0.60785977859778573</v>
      </c>
      <c r="T258">
        <v>0.60785977859778573</v>
      </c>
      <c r="U258">
        <v>0.67780798102295459</v>
      </c>
    </row>
    <row r="259" spans="1:21" x14ac:dyDescent="0.25">
      <c r="A259" s="12" t="s">
        <v>63</v>
      </c>
      <c r="B259" s="12" t="s">
        <v>40</v>
      </c>
      <c r="C259" s="12" t="s">
        <v>15</v>
      </c>
      <c r="D259" s="12">
        <v>0</v>
      </c>
      <c r="E259" s="12">
        <v>0</v>
      </c>
      <c r="F259" s="12">
        <v>10</v>
      </c>
      <c r="G259" s="12">
        <v>0</v>
      </c>
      <c r="H259" s="12">
        <v>0</v>
      </c>
      <c r="I259" s="12" t="s">
        <v>104</v>
      </c>
      <c r="J259">
        <v>1</v>
      </c>
      <c r="K259" s="6">
        <v>46237</v>
      </c>
      <c r="L259">
        <v>46237</v>
      </c>
    </row>
    <row r="260" spans="1:21" x14ac:dyDescent="0.25">
      <c r="A260" s="12" t="s">
        <v>59</v>
      </c>
      <c r="B260" s="12" t="s">
        <v>40</v>
      </c>
      <c r="C260" s="12" t="s">
        <v>14</v>
      </c>
      <c r="D260" s="12">
        <v>3.2276134260703255</v>
      </c>
      <c r="E260" s="12">
        <v>2.8499999999999996</v>
      </c>
      <c r="F260" s="12">
        <v>10</v>
      </c>
      <c r="G260" s="12">
        <v>2.8499999999999996</v>
      </c>
      <c r="H260" s="12">
        <v>4.6397539407920032</v>
      </c>
      <c r="I260" s="12" t="s">
        <v>106</v>
      </c>
      <c r="K260" s="6">
        <v>46238</v>
      </c>
      <c r="L260">
        <v>46238</v>
      </c>
      <c r="M260">
        <v>0.88300537387153066</v>
      </c>
      <c r="N260">
        <v>0.88300537387153066</v>
      </c>
      <c r="O260">
        <v>1.437518478302088</v>
      </c>
      <c r="P260">
        <v>1.1324959389720441</v>
      </c>
      <c r="Q260">
        <v>1.1324959389720441</v>
      </c>
      <c r="R260">
        <v>1.6279838388743872</v>
      </c>
      <c r="S260">
        <v>0.61425671196552856</v>
      </c>
      <c r="T260">
        <v>0.61425671196552856</v>
      </c>
      <c r="U260">
        <v>0.69564323178728182</v>
      </c>
    </row>
    <row r="261" spans="1:21" x14ac:dyDescent="0.25">
      <c r="A261" s="12" t="s">
        <v>59</v>
      </c>
      <c r="B261" s="12" t="s">
        <v>40</v>
      </c>
      <c r="C261" s="12" t="s">
        <v>15</v>
      </c>
      <c r="D261" s="12">
        <v>0</v>
      </c>
      <c r="E261" s="12">
        <v>0.95</v>
      </c>
      <c r="F261" s="12">
        <v>10</v>
      </c>
      <c r="G261" s="12">
        <v>0.95</v>
      </c>
      <c r="H261" s="12">
        <v>0</v>
      </c>
      <c r="I261" s="12" t="s">
        <v>107</v>
      </c>
      <c r="K261" s="6">
        <v>46238</v>
      </c>
      <c r="L261">
        <v>46238</v>
      </c>
      <c r="P261">
        <v>0</v>
      </c>
      <c r="Q261">
        <v>0</v>
      </c>
      <c r="R261">
        <v>0</v>
      </c>
    </row>
    <row r="262" spans="1:21" x14ac:dyDescent="0.25">
      <c r="A262" s="12" t="s">
        <v>59</v>
      </c>
      <c r="B262" s="12" t="s">
        <v>40</v>
      </c>
      <c r="C262" s="12" t="s">
        <v>13</v>
      </c>
      <c r="D262" s="12">
        <v>3.5876164620550925</v>
      </c>
      <c r="E262" s="12">
        <v>3.8</v>
      </c>
      <c r="F262" s="12">
        <v>10</v>
      </c>
      <c r="G262" s="12">
        <v>3.8</v>
      </c>
      <c r="H262" s="12">
        <v>4.8202614379084965</v>
      </c>
      <c r="I262" s="12" t="s">
        <v>108</v>
      </c>
      <c r="K262" s="6">
        <v>46238</v>
      </c>
      <c r="L262">
        <v>46238</v>
      </c>
      <c r="M262">
        <v>1.0591990643903022</v>
      </c>
      <c r="N262">
        <v>1.0591990643903022</v>
      </c>
      <c r="O262">
        <v>1.3435832645129822</v>
      </c>
      <c r="P262">
        <v>0.94410959527765603</v>
      </c>
      <c r="Q262">
        <v>0.94410959527765603</v>
      </c>
      <c r="R262">
        <v>1.2684898520811834</v>
      </c>
      <c r="S262">
        <v>0.78833898305084749</v>
      </c>
      <c r="T262">
        <v>0.78833898305084749</v>
      </c>
      <c r="U262">
        <v>0.74427839822973452</v>
      </c>
    </row>
    <row r="263" spans="1:21" x14ac:dyDescent="0.25">
      <c r="A263" s="12" t="s">
        <v>63</v>
      </c>
      <c r="B263" s="12" t="s">
        <v>40</v>
      </c>
      <c r="C263" s="12" t="s">
        <v>14</v>
      </c>
      <c r="D263" s="12">
        <v>3.2276134260703255</v>
      </c>
      <c r="E263" s="12">
        <v>2.8499999999999996</v>
      </c>
      <c r="F263" s="12">
        <v>10</v>
      </c>
      <c r="G263" s="12">
        <v>2.8499999999999996</v>
      </c>
      <c r="H263" s="12">
        <v>4.6397539407920032</v>
      </c>
      <c r="I263" s="12" t="s">
        <v>106</v>
      </c>
      <c r="J263">
        <v>1</v>
      </c>
      <c r="K263" s="6">
        <v>46238</v>
      </c>
      <c r="L263">
        <v>46238</v>
      </c>
      <c r="M263">
        <v>0.88300537387153066</v>
      </c>
      <c r="N263">
        <v>0.88300537387153066</v>
      </c>
      <c r="O263">
        <v>1.437518478302088</v>
      </c>
      <c r="P263">
        <v>1.1324959389720441</v>
      </c>
      <c r="Q263">
        <v>1.1324959389720441</v>
      </c>
      <c r="R263">
        <v>1.6279838388743872</v>
      </c>
      <c r="S263">
        <v>0.61425671196552856</v>
      </c>
      <c r="T263">
        <v>0.61425671196552856</v>
      </c>
      <c r="U263">
        <v>0.69564323178728182</v>
      </c>
    </row>
    <row r="264" spans="1:21" x14ac:dyDescent="0.25">
      <c r="A264" s="12" t="s">
        <v>63</v>
      </c>
      <c r="B264" s="12" t="s">
        <v>40</v>
      </c>
      <c r="C264" s="12" t="s">
        <v>15</v>
      </c>
      <c r="D264" s="12">
        <v>0</v>
      </c>
      <c r="E264" s="12">
        <v>0.95</v>
      </c>
      <c r="F264" s="12">
        <v>10</v>
      </c>
      <c r="G264" s="12">
        <v>0.95</v>
      </c>
      <c r="H264" s="12">
        <v>0</v>
      </c>
      <c r="I264" s="12" t="s">
        <v>107</v>
      </c>
      <c r="J264">
        <v>1</v>
      </c>
      <c r="K264" s="6">
        <v>46238</v>
      </c>
      <c r="L264">
        <v>46238</v>
      </c>
      <c r="P264">
        <v>0</v>
      </c>
      <c r="Q264">
        <v>0</v>
      </c>
      <c r="R264">
        <v>0</v>
      </c>
    </row>
    <row r="265" spans="1:21" x14ac:dyDescent="0.25">
      <c r="A265" s="12" t="s">
        <v>63</v>
      </c>
      <c r="B265" s="12" t="s">
        <v>40</v>
      </c>
      <c r="C265" s="12" t="s">
        <v>13</v>
      </c>
      <c r="D265" s="12">
        <v>3.5876164620550925</v>
      </c>
      <c r="E265" s="12">
        <v>3.8</v>
      </c>
      <c r="F265" s="12">
        <v>10</v>
      </c>
      <c r="G265" s="12">
        <v>3.8</v>
      </c>
      <c r="H265" s="12">
        <v>4.8202614379084965</v>
      </c>
      <c r="I265" s="12" t="s">
        <v>108</v>
      </c>
      <c r="J265">
        <v>1</v>
      </c>
      <c r="K265" s="6">
        <v>46238</v>
      </c>
      <c r="L265">
        <v>46238</v>
      </c>
      <c r="M265">
        <v>1.0591990643903022</v>
      </c>
      <c r="N265">
        <v>1.0591990643903022</v>
      </c>
      <c r="O265">
        <v>1.3435832645129822</v>
      </c>
      <c r="P265">
        <v>0.94410959527765603</v>
      </c>
      <c r="Q265">
        <v>0.94410959527765603</v>
      </c>
      <c r="R265">
        <v>1.2684898520811834</v>
      </c>
      <c r="S265">
        <v>0.78833898305084749</v>
      </c>
      <c r="T265">
        <v>0.78833898305084749</v>
      </c>
      <c r="U265">
        <v>0.74427839822973452</v>
      </c>
    </row>
    <row r="266" spans="1:21" x14ac:dyDescent="0.25">
      <c r="A266" s="12" t="s">
        <v>59</v>
      </c>
      <c r="B266" s="12" t="s">
        <v>40</v>
      </c>
      <c r="C266" s="12" t="s">
        <v>15</v>
      </c>
      <c r="D266" s="12">
        <v>0</v>
      </c>
      <c r="E266" s="12">
        <v>0.95</v>
      </c>
      <c r="F266" s="12">
        <v>10</v>
      </c>
      <c r="G266" s="12">
        <v>0.95</v>
      </c>
      <c r="H266" s="12">
        <v>0</v>
      </c>
      <c r="I266" s="12" t="s">
        <v>109</v>
      </c>
      <c r="K266" s="6">
        <v>46239</v>
      </c>
      <c r="L266">
        <v>46239</v>
      </c>
      <c r="P266">
        <v>0</v>
      </c>
      <c r="Q266">
        <v>0</v>
      </c>
      <c r="R266">
        <v>0</v>
      </c>
    </row>
    <row r="267" spans="1:21" x14ac:dyDescent="0.25">
      <c r="A267" s="12" t="s">
        <v>59</v>
      </c>
      <c r="B267" s="12" t="s">
        <v>40</v>
      </c>
      <c r="C267" s="12" t="s">
        <v>13</v>
      </c>
      <c r="D267" s="12">
        <v>3.5876164620550925</v>
      </c>
      <c r="E267" s="12">
        <v>3.8</v>
      </c>
      <c r="F267" s="12">
        <v>10</v>
      </c>
      <c r="G267" s="12">
        <v>3.8</v>
      </c>
      <c r="H267" s="12">
        <v>4.7022058823529402</v>
      </c>
      <c r="I267" s="12" t="s">
        <v>111</v>
      </c>
      <c r="K267" s="6">
        <v>46239</v>
      </c>
      <c r="L267">
        <v>46239</v>
      </c>
      <c r="M267">
        <v>1.0591990643903022</v>
      </c>
      <c r="N267">
        <v>1.0591990643903022</v>
      </c>
      <c r="O267">
        <v>1.3106768608312656</v>
      </c>
      <c r="P267">
        <v>0.94410959527765603</v>
      </c>
      <c r="Q267">
        <v>0.94410959527765603</v>
      </c>
      <c r="R267">
        <v>1.2374226006191948</v>
      </c>
      <c r="S267">
        <v>0.80813135261923386</v>
      </c>
      <c r="T267">
        <v>0.80813135261923386</v>
      </c>
      <c r="U267">
        <v>0.76296456425252956</v>
      </c>
    </row>
    <row r="268" spans="1:21" x14ac:dyDescent="0.25">
      <c r="A268" s="12" t="s">
        <v>59</v>
      </c>
      <c r="B268" s="12" t="s">
        <v>40</v>
      </c>
      <c r="C268" s="12" t="s">
        <v>14</v>
      </c>
      <c r="D268" s="12">
        <v>3.1779578349000128</v>
      </c>
      <c r="E268" s="12">
        <v>2.8499999999999996</v>
      </c>
      <c r="F268" s="12">
        <v>10</v>
      </c>
      <c r="G268" s="12">
        <v>2.8499999999999996</v>
      </c>
      <c r="H268" s="12">
        <v>4.6332179930795849</v>
      </c>
      <c r="I268" s="12" t="s">
        <v>110</v>
      </c>
      <c r="K268" s="6">
        <v>46239</v>
      </c>
      <c r="L268">
        <v>46239</v>
      </c>
      <c r="M268">
        <v>0.89680233283827326</v>
      </c>
      <c r="N268">
        <v>0.89680233283827326</v>
      </c>
      <c r="O268">
        <v>1.4579230542954509</v>
      </c>
      <c r="P268">
        <v>1.1150729245263205</v>
      </c>
      <c r="Q268">
        <v>1.1150729245263205</v>
      </c>
      <c r="R268">
        <v>1.6256905238875738</v>
      </c>
      <c r="S268">
        <v>0.61512322628827476</v>
      </c>
      <c r="T268">
        <v>0.61512322628827476</v>
      </c>
      <c r="U268">
        <v>0.68590725488133208</v>
      </c>
    </row>
    <row r="269" spans="1:21" x14ac:dyDescent="0.25">
      <c r="A269" s="12" t="s">
        <v>63</v>
      </c>
      <c r="B269" s="12" t="s">
        <v>40</v>
      </c>
      <c r="C269" s="12" t="s">
        <v>15</v>
      </c>
      <c r="D269" s="12">
        <v>0</v>
      </c>
      <c r="E269" s="12">
        <v>0.95</v>
      </c>
      <c r="F269" s="12">
        <v>10</v>
      </c>
      <c r="G269" s="12">
        <v>0.95</v>
      </c>
      <c r="H269" s="12">
        <v>0</v>
      </c>
      <c r="I269" s="12" t="s">
        <v>109</v>
      </c>
      <c r="J269">
        <v>1</v>
      </c>
      <c r="K269" s="6">
        <v>46239</v>
      </c>
      <c r="L269">
        <v>46239</v>
      </c>
      <c r="P269">
        <v>0</v>
      </c>
      <c r="Q269">
        <v>0</v>
      </c>
      <c r="R269">
        <v>0</v>
      </c>
    </row>
    <row r="270" spans="1:21" x14ac:dyDescent="0.25">
      <c r="A270" s="12" t="s">
        <v>63</v>
      </c>
      <c r="B270" s="12" t="s">
        <v>40</v>
      </c>
      <c r="C270" s="12" t="s">
        <v>13</v>
      </c>
      <c r="D270" s="12">
        <v>3.5876164620550925</v>
      </c>
      <c r="E270" s="12">
        <v>3.8</v>
      </c>
      <c r="F270" s="12">
        <v>10</v>
      </c>
      <c r="G270" s="12">
        <v>3.8</v>
      </c>
      <c r="H270" s="12">
        <v>4.7022058823529402</v>
      </c>
      <c r="I270" s="12" t="s">
        <v>111</v>
      </c>
      <c r="J270">
        <v>1</v>
      </c>
      <c r="K270" s="6">
        <v>46239</v>
      </c>
      <c r="L270">
        <v>46239</v>
      </c>
      <c r="M270">
        <v>1.0591990643903022</v>
      </c>
      <c r="N270">
        <v>1.0591990643903022</v>
      </c>
      <c r="O270">
        <v>1.3106768608312656</v>
      </c>
      <c r="P270">
        <v>0.94410959527765603</v>
      </c>
      <c r="Q270">
        <v>0.94410959527765603</v>
      </c>
      <c r="R270">
        <v>1.2374226006191948</v>
      </c>
      <c r="S270">
        <v>0.80813135261923386</v>
      </c>
      <c r="T270">
        <v>0.80813135261923386</v>
      </c>
      <c r="U270">
        <v>0.76296456425252956</v>
      </c>
    </row>
    <row r="271" spans="1:21" x14ac:dyDescent="0.25">
      <c r="A271" s="12" t="s">
        <v>63</v>
      </c>
      <c r="B271" s="12" t="s">
        <v>40</v>
      </c>
      <c r="C271" s="12" t="s">
        <v>14</v>
      </c>
      <c r="D271" s="12">
        <v>3.1779578349000128</v>
      </c>
      <c r="E271" s="12">
        <v>2.8499999999999996</v>
      </c>
      <c r="F271" s="12">
        <v>10</v>
      </c>
      <c r="G271" s="12">
        <v>2.8499999999999996</v>
      </c>
      <c r="H271" s="12">
        <v>4.6332179930795849</v>
      </c>
      <c r="I271" s="12" t="s">
        <v>110</v>
      </c>
      <c r="J271">
        <v>1</v>
      </c>
      <c r="K271" s="6">
        <v>46239</v>
      </c>
      <c r="L271">
        <v>46239</v>
      </c>
      <c r="M271">
        <v>0.89680233283827326</v>
      </c>
      <c r="N271">
        <v>0.89680233283827326</v>
      </c>
      <c r="O271">
        <v>1.4579230542954509</v>
      </c>
      <c r="P271">
        <v>1.1150729245263205</v>
      </c>
      <c r="Q271">
        <v>1.1150729245263205</v>
      </c>
      <c r="R271">
        <v>1.6256905238875738</v>
      </c>
      <c r="S271">
        <v>0.61512322628827476</v>
      </c>
      <c r="T271">
        <v>0.61512322628827476</v>
      </c>
      <c r="U271">
        <v>0.68590725488133208</v>
      </c>
    </row>
    <row r="272" spans="1:21" x14ac:dyDescent="0.25">
      <c r="A272" s="12" t="s">
        <v>59</v>
      </c>
      <c r="B272" s="12" t="s">
        <v>40</v>
      </c>
      <c r="C272" s="12" t="s">
        <v>13</v>
      </c>
      <c r="D272" s="12">
        <v>3.5876164620550925</v>
      </c>
      <c r="E272" s="12">
        <v>3.8</v>
      </c>
      <c r="F272" s="12">
        <v>10</v>
      </c>
      <c r="G272" s="12">
        <v>3.8</v>
      </c>
      <c r="H272" s="12">
        <v>4.7022058823529411</v>
      </c>
      <c r="I272" s="12" t="s">
        <v>113</v>
      </c>
      <c r="K272" s="6">
        <v>46240</v>
      </c>
      <c r="L272">
        <v>46240</v>
      </c>
      <c r="M272">
        <v>1.0591990643903022</v>
      </c>
      <c r="N272">
        <v>1.0591990643903022</v>
      </c>
      <c r="O272">
        <v>1.310676860831266</v>
      </c>
      <c r="P272">
        <v>0.94410959527765603</v>
      </c>
      <c r="Q272">
        <v>0.94410959527765603</v>
      </c>
      <c r="R272">
        <v>1.2374226006191951</v>
      </c>
      <c r="S272">
        <v>0.80813135261923374</v>
      </c>
      <c r="T272">
        <v>0.80813135261923374</v>
      </c>
      <c r="U272">
        <v>0.76296456425252945</v>
      </c>
    </row>
    <row r="273" spans="1:21" x14ac:dyDescent="0.25">
      <c r="A273" s="12" t="s">
        <v>59</v>
      </c>
      <c r="B273" s="12" t="s">
        <v>40</v>
      </c>
      <c r="C273" s="12" t="s">
        <v>15</v>
      </c>
      <c r="D273" s="12">
        <v>0</v>
      </c>
      <c r="E273" s="12">
        <v>0</v>
      </c>
      <c r="F273" s="12">
        <v>10</v>
      </c>
      <c r="G273" s="12">
        <v>0</v>
      </c>
      <c r="H273" s="12">
        <v>0</v>
      </c>
      <c r="I273" s="12" t="s">
        <v>112</v>
      </c>
      <c r="K273" s="6">
        <v>46240</v>
      </c>
      <c r="L273">
        <v>46240</v>
      </c>
    </row>
    <row r="274" spans="1:21" x14ac:dyDescent="0.25">
      <c r="A274" s="12" t="s">
        <v>59</v>
      </c>
      <c r="B274" s="12" t="s">
        <v>40</v>
      </c>
      <c r="C274" s="12" t="s">
        <v>14</v>
      </c>
      <c r="D274" s="12">
        <v>3.1779578349000128</v>
      </c>
      <c r="E274" s="12">
        <v>2.8499999999999996</v>
      </c>
      <c r="F274" s="12">
        <v>10</v>
      </c>
      <c r="G274" s="12">
        <v>2.8499999999999996</v>
      </c>
      <c r="H274" s="12">
        <v>4.6332179930795849</v>
      </c>
      <c r="I274" s="12" t="s">
        <v>114</v>
      </c>
      <c r="K274" s="6">
        <v>46240</v>
      </c>
      <c r="L274">
        <v>46240</v>
      </c>
      <c r="M274">
        <v>0.89680233283827326</v>
      </c>
      <c r="N274">
        <v>0.89680233283827326</v>
      </c>
      <c r="O274">
        <v>1.4579230542954509</v>
      </c>
      <c r="P274">
        <v>1.1150729245263205</v>
      </c>
      <c r="Q274">
        <v>1.1150729245263205</v>
      </c>
      <c r="R274">
        <v>1.6256905238875738</v>
      </c>
      <c r="S274">
        <v>0.61512322628827476</v>
      </c>
      <c r="T274">
        <v>0.61512322628827476</v>
      </c>
      <c r="U274">
        <v>0.68590725488133208</v>
      </c>
    </row>
    <row r="275" spans="1:21" x14ac:dyDescent="0.25">
      <c r="A275" s="12" t="s">
        <v>63</v>
      </c>
      <c r="B275" s="12" t="s">
        <v>40</v>
      </c>
      <c r="C275" s="12" t="s">
        <v>13</v>
      </c>
      <c r="D275" s="12">
        <v>3.5876164620550925</v>
      </c>
      <c r="E275" s="12">
        <v>3.8</v>
      </c>
      <c r="F275" s="12">
        <v>10</v>
      </c>
      <c r="G275" s="12">
        <v>3.8</v>
      </c>
      <c r="H275" s="12">
        <v>4.7022058823529411</v>
      </c>
      <c r="I275" s="12" t="s">
        <v>113</v>
      </c>
      <c r="J275">
        <v>1</v>
      </c>
      <c r="K275" s="6">
        <v>46240</v>
      </c>
      <c r="L275">
        <v>46240</v>
      </c>
      <c r="M275">
        <v>1.0591990643903022</v>
      </c>
      <c r="N275">
        <v>1.0591990643903022</v>
      </c>
      <c r="O275">
        <v>1.310676860831266</v>
      </c>
      <c r="P275">
        <v>0.94410959527765603</v>
      </c>
      <c r="Q275">
        <v>0.94410959527765603</v>
      </c>
      <c r="R275">
        <v>1.2374226006191951</v>
      </c>
      <c r="S275">
        <v>0.80813135261923374</v>
      </c>
      <c r="T275">
        <v>0.80813135261923374</v>
      </c>
      <c r="U275">
        <v>0.76296456425252945</v>
      </c>
    </row>
    <row r="276" spans="1:21" x14ac:dyDescent="0.25">
      <c r="A276" s="12" t="s">
        <v>63</v>
      </c>
      <c r="B276" s="12" t="s">
        <v>40</v>
      </c>
      <c r="C276" s="12" t="s">
        <v>15</v>
      </c>
      <c r="D276" s="12">
        <v>0</v>
      </c>
      <c r="E276" s="12">
        <v>0</v>
      </c>
      <c r="F276" s="12">
        <v>10</v>
      </c>
      <c r="G276" s="12">
        <v>0</v>
      </c>
      <c r="H276" s="12">
        <v>0</v>
      </c>
      <c r="I276" s="12" t="s">
        <v>112</v>
      </c>
      <c r="J276">
        <v>1</v>
      </c>
      <c r="K276" s="6">
        <v>46240</v>
      </c>
      <c r="L276">
        <v>46240</v>
      </c>
    </row>
    <row r="277" spans="1:21" x14ac:dyDescent="0.25">
      <c r="A277" s="12" t="s">
        <v>63</v>
      </c>
      <c r="B277" s="12" t="s">
        <v>40</v>
      </c>
      <c r="C277" s="12" t="s">
        <v>14</v>
      </c>
      <c r="D277" s="12">
        <v>3.1779578349000128</v>
      </c>
      <c r="E277" s="12">
        <v>2.8499999999999996</v>
      </c>
      <c r="F277" s="12">
        <v>10</v>
      </c>
      <c r="G277" s="12">
        <v>2.8499999999999996</v>
      </c>
      <c r="H277" s="12">
        <v>4.6332179930795849</v>
      </c>
      <c r="I277" s="12" t="s">
        <v>114</v>
      </c>
      <c r="J277">
        <v>1</v>
      </c>
      <c r="K277" s="6">
        <v>46240</v>
      </c>
      <c r="L277">
        <v>46240</v>
      </c>
      <c r="M277">
        <v>0.89680233283827326</v>
      </c>
      <c r="N277">
        <v>0.89680233283827326</v>
      </c>
      <c r="O277">
        <v>1.4579230542954509</v>
      </c>
      <c r="P277">
        <v>1.1150729245263205</v>
      </c>
      <c r="Q277">
        <v>1.1150729245263205</v>
      </c>
      <c r="R277">
        <v>1.6256905238875738</v>
      </c>
      <c r="S277">
        <v>0.61512322628827476</v>
      </c>
      <c r="T277">
        <v>0.61512322628827476</v>
      </c>
      <c r="U277">
        <v>0.68590725488133208</v>
      </c>
    </row>
    <row r="278" spans="1:21" x14ac:dyDescent="0.25">
      <c r="A278" s="12" t="s">
        <v>59</v>
      </c>
      <c r="B278" s="12" t="s">
        <v>40</v>
      </c>
      <c r="C278" s="12" t="s">
        <v>15</v>
      </c>
      <c r="D278" s="12">
        <v>0</v>
      </c>
      <c r="E278" s="12">
        <v>0</v>
      </c>
      <c r="F278" s="12">
        <v>10</v>
      </c>
      <c r="G278" s="12">
        <v>0</v>
      </c>
      <c r="H278" s="12">
        <v>0</v>
      </c>
      <c r="I278" s="12" t="s">
        <v>116</v>
      </c>
      <c r="K278" s="6">
        <v>46241</v>
      </c>
      <c r="L278">
        <v>46241</v>
      </c>
    </row>
    <row r="279" spans="1:21" x14ac:dyDescent="0.25">
      <c r="A279" s="12" t="s">
        <v>59</v>
      </c>
      <c r="B279" s="12" t="s">
        <v>40</v>
      </c>
      <c r="C279" s="12" t="s">
        <v>14</v>
      </c>
      <c r="D279" s="12">
        <v>3.1779578349000133</v>
      </c>
      <c r="E279" s="12">
        <v>3.8</v>
      </c>
      <c r="F279" s="12">
        <v>10</v>
      </c>
      <c r="G279" s="12">
        <v>3.8</v>
      </c>
      <c r="H279" s="12">
        <v>4.6332179930795849</v>
      </c>
      <c r="I279" s="12" t="s">
        <v>115</v>
      </c>
      <c r="K279" s="6">
        <v>46241</v>
      </c>
      <c r="L279">
        <v>46241</v>
      </c>
      <c r="M279">
        <v>1.1957364437843643</v>
      </c>
      <c r="N279">
        <v>1.1957364437843643</v>
      </c>
      <c r="O279">
        <v>1.4579230542954507</v>
      </c>
      <c r="P279">
        <v>0.83630469339474034</v>
      </c>
      <c r="Q279">
        <v>0.83630469339474034</v>
      </c>
      <c r="R279">
        <v>1.2192678929156804</v>
      </c>
      <c r="S279">
        <v>0.82016430171769972</v>
      </c>
      <c r="T279">
        <v>0.82016430171769972</v>
      </c>
      <c r="U279">
        <v>0.6859072548813322</v>
      </c>
    </row>
    <row r="280" spans="1:21" x14ac:dyDescent="0.25">
      <c r="A280" s="12" t="s">
        <v>59</v>
      </c>
      <c r="B280" s="12" t="s">
        <v>40</v>
      </c>
      <c r="C280" s="12" t="s">
        <v>13</v>
      </c>
      <c r="D280" s="12">
        <v>3.587616462055093</v>
      </c>
      <c r="E280" s="12">
        <v>3.8</v>
      </c>
      <c r="F280" s="12">
        <v>10</v>
      </c>
      <c r="G280" s="12">
        <v>3.8</v>
      </c>
      <c r="H280" s="12">
        <v>4.7022058823529393</v>
      </c>
      <c r="I280" s="12" t="s">
        <v>117</v>
      </c>
      <c r="K280" s="6">
        <v>46241</v>
      </c>
      <c r="L280">
        <v>46241</v>
      </c>
      <c r="M280">
        <v>1.059199064390302</v>
      </c>
      <c r="N280">
        <v>1.059199064390302</v>
      </c>
      <c r="O280">
        <v>1.3106768608312653</v>
      </c>
      <c r="P280">
        <v>0.94410959527765614</v>
      </c>
      <c r="Q280">
        <v>0.94410959527765614</v>
      </c>
      <c r="R280">
        <v>1.2374226006191946</v>
      </c>
      <c r="S280">
        <v>0.80813135261923408</v>
      </c>
      <c r="T280">
        <v>0.80813135261923408</v>
      </c>
      <c r="U280">
        <v>0.7629645642525299</v>
      </c>
    </row>
    <row r="281" spans="1:21" x14ac:dyDescent="0.25">
      <c r="A281" s="12" t="s">
        <v>63</v>
      </c>
      <c r="B281" s="12" t="s">
        <v>40</v>
      </c>
      <c r="C281" s="12" t="s">
        <v>15</v>
      </c>
      <c r="D281" s="12">
        <v>0</v>
      </c>
      <c r="E281" s="12">
        <v>0</v>
      </c>
      <c r="F281" s="12">
        <v>10</v>
      </c>
      <c r="G281" s="12">
        <v>0</v>
      </c>
      <c r="H281" s="12">
        <v>0</v>
      </c>
      <c r="I281" s="12" t="s">
        <v>116</v>
      </c>
      <c r="J281">
        <v>1</v>
      </c>
      <c r="K281" s="6">
        <v>46241</v>
      </c>
      <c r="L281">
        <v>46241</v>
      </c>
    </row>
    <row r="282" spans="1:21" x14ac:dyDescent="0.25">
      <c r="A282" s="12" t="s">
        <v>63</v>
      </c>
      <c r="B282" s="12" t="s">
        <v>40</v>
      </c>
      <c r="C282" s="12" t="s">
        <v>14</v>
      </c>
      <c r="D282" s="12">
        <v>3.1779578349000133</v>
      </c>
      <c r="E282" s="12">
        <v>3.8</v>
      </c>
      <c r="F282" s="12">
        <v>10</v>
      </c>
      <c r="G282" s="12">
        <v>3.8</v>
      </c>
      <c r="H282" s="12">
        <v>4.6332179930795849</v>
      </c>
      <c r="I282" s="12" t="s">
        <v>115</v>
      </c>
      <c r="J282">
        <v>1</v>
      </c>
      <c r="K282" s="6">
        <v>46241</v>
      </c>
      <c r="L282">
        <v>46241</v>
      </c>
      <c r="M282">
        <v>1.1957364437843643</v>
      </c>
      <c r="N282">
        <v>1.1957364437843643</v>
      </c>
      <c r="O282">
        <v>1.4579230542954507</v>
      </c>
      <c r="P282">
        <v>0.83630469339474034</v>
      </c>
      <c r="Q282">
        <v>0.83630469339474034</v>
      </c>
      <c r="R282">
        <v>1.2192678929156804</v>
      </c>
      <c r="S282">
        <v>0.82016430171769972</v>
      </c>
      <c r="T282">
        <v>0.82016430171769972</v>
      </c>
      <c r="U282">
        <v>0.6859072548813322</v>
      </c>
    </row>
    <row r="283" spans="1:21" x14ac:dyDescent="0.25">
      <c r="A283" s="12" t="s">
        <v>63</v>
      </c>
      <c r="B283" s="12" t="s">
        <v>40</v>
      </c>
      <c r="C283" s="12" t="s">
        <v>13</v>
      </c>
      <c r="D283" s="12">
        <v>3.587616462055093</v>
      </c>
      <c r="E283" s="12">
        <v>3.8</v>
      </c>
      <c r="F283" s="12">
        <v>10</v>
      </c>
      <c r="G283" s="12">
        <v>3.8</v>
      </c>
      <c r="H283" s="12">
        <v>4.7022058823529393</v>
      </c>
      <c r="I283" s="12" t="s">
        <v>117</v>
      </c>
      <c r="J283">
        <v>1</v>
      </c>
      <c r="K283" s="6">
        <v>46241</v>
      </c>
      <c r="L283">
        <v>46241</v>
      </c>
      <c r="M283">
        <v>1.059199064390302</v>
      </c>
      <c r="N283">
        <v>1.059199064390302</v>
      </c>
      <c r="O283">
        <v>1.3106768608312653</v>
      </c>
      <c r="P283">
        <v>0.94410959527765614</v>
      </c>
      <c r="Q283">
        <v>0.94410959527765614</v>
      </c>
      <c r="R283">
        <v>1.2374226006191946</v>
      </c>
      <c r="S283">
        <v>0.80813135261923408</v>
      </c>
      <c r="T283">
        <v>0.80813135261923408</v>
      </c>
      <c r="U283">
        <v>0.7629645642525299</v>
      </c>
    </row>
    <row r="284" spans="1:21" x14ac:dyDescent="0.25">
      <c r="A284" s="12" t="s">
        <v>59</v>
      </c>
      <c r="B284" s="12" t="s">
        <v>40</v>
      </c>
      <c r="C284" s="12" t="s">
        <v>14</v>
      </c>
      <c r="D284" s="12">
        <v>3.1779578349000133</v>
      </c>
      <c r="E284" s="12">
        <v>2.8499999999999996</v>
      </c>
      <c r="F284" s="12">
        <v>10</v>
      </c>
      <c r="G284" s="12">
        <v>2.8499999999999996</v>
      </c>
      <c r="H284" s="12">
        <v>4.6332179930795849</v>
      </c>
      <c r="I284" s="12" t="s">
        <v>118</v>
      </c>
      <c r="K284" s="6">
        <v>46242</v>
      </c>
      <c r="L284">
        <v>46242</v>
      </c>
      <c r="M284">
        <v>0.89680233283827315</v>
      </c>
      <c r="N284">
        <v>0.89680233283827315</v>
      </c>
      <c r="O284">
        <v>1.4579230542954507</v>
      </c>
      <c r="P284">
        <v>1.1150729245263207</v>
      </c>
      <c r="Q284">
        <v>1.1150729245263207</v>
      </c>
      <c r="R284">
        <v>1.6256905238875738</v>
      </c>
      <c r="S284">
        <v>0.61512322628827476</v>
      </c>
      <c r="T284">
        <v>0.61512322628827476</v>
      </c>
      <c r="U284">
        <v>0.6859072548813322</v>
      </c>
    </row>
    <row r="285" spans="1:21" x14ac:dyDescent="0.25">
      <c r="A285" s="12" t="s">
        <v>59</v>
      </c>
      <c r="B285" s="12" t="s">
        <v>40</v>
      </c>
      <c r="C285" s="12" t="s">
        <v>15</v>
      </c>
      <c r="D285" s="12">
        <v>0</v>
      </c>
      <c r="E285" s="12">
        <v>0.95</v>
      </c>
      <c r="F285" s="12">
        <v>10</v>
      </c>
      <c r="G285" s="12">
        <v>0.95</v>
      </c>
      <c r="H285" s="12">
        <v>0</v>
      </c>
      <c r="I285" s="12" t="s">
        <v>120</v>
      </c>
      <c r="K285" s="6">
        <v>46242</v>
      </c>
      <c r="L285">
        <v>46242</v>
      </c>
      <c r="P285">
        <v>0</v>
      </c>
      <c r="Q285">
        <v>0</v>
      </c>
      <c r="R285">
        <v>0</v>
      </c>
    </row>
    <row r="286" spans="1:21" x14ac:dyDescent="0.25">
      <c r="A286" s="12" t="s">
        <v>59</v>
      </c>
      <c r="B286" s="12" t="s">
        <v>40</v>
      </c>
      <c r="C286" s="12" t="s">
        <v>13</v>
      </c>
      <c r="D286" s="12">
        <v>3.5876164620550925</v>
      </c>
      <c r="E286" s="12">
        <v>3.8</v>
      </c>
      <c r="F286" s="12">
        <v>10</v>
      </c>
      <c r="G286" s="12">
        <v>3.8</v>
      </c>
      <c r="H286" s="12">
        <v>4.702205882352942</v>
      </c>
      <c r="I286" s="12" t="s">
        <v>119</v>
      </c>
      <c r="K286" s="6">
        <v>46242</v>
      </c>
      <c r="L286">
        <v>46242</v>
      </c>
      <c r="M286">
        <v>1.0591990643903022</v>
      </c>
      <c r="N286">
        <v>1.0591990643903022</v>
      </c>
      <c r="O286">
        <v>1.3106768608312662</v>
      </c>
      <c r="P286">
        <v>0.94410959527765603</v>
      </c>
      <c r="Q286">
        <v>0.94410959527765603</v>
      </c>
      <c r="R286">
        <v>1.2374226006191953</v>
      </c>
      <c r="S286">
        <v>0.80813135261923363</v>
      </c>
      <c r="T286">
        <v>0.80813135261923363</v>
      </c>
      <c r="U286">
        <v>0.76296456425252934</v>
      </c>
    </row>
    <row r="287" spans="1:21" x14ac:dyDescent="0.25">
      <c r="A287" s="12" t="s">
        <v>63</v>
      </c>
      <c r="B287" s="12" t="s">
        <v>40</v>
      </c>
      <c r="C287" s="12" t="s">
        <v>14</v>
      </c>
      <c r="D287" s="12">
        <v>3.1779578349000133</v>
      </c>
      <c r="E287" s="12">
        <v>2.8499999999999996</v>
      </c>
      <c r="F287" s="12">
        <v>10</v>
      </c>
      <c r="G287" s="12">
        <v>2.8499999999999996</v>
      </c>
      <c r="H287" s="12">
        <v>4.6332179930795849</v>
      </c>
      <c r="I287" s="12" t="s">
        <v>118</v>
      </c>
      <c r="J287">
        <v>1</v>
      </c>
      <c r="K287" s="6">
        <v>46242</v>
      </c>
      <c r="L287">
        <v>46242</v>
      </c>
      <c r="M287">
        <v>0.89680233283827315</v>
      </c>
      <c r="N287">
        <v>0.89680233283827315</v>
      </c>
      <c r="O287">
        <v>1.4579230542954507</v>
      </c>
      <c r="P287">
        <v>1.1150729245263207</v>
      </c>
      <c r="Q287">
        <v>1.1150729245263207</v>
      </c>
      <c r="R287">
        <v>1.6256905238875738</v>
      </c>
      <c r="S287">
        <v>0.61512322628827476</v>
      </c>
      <c r="T287">
        <v>0.61512322628827476</v>
      </c>
      <c r="U287">
        <v>0.6859072548813322</v>
      </c>
    </row>
    <row r="288" spans="1:21" x14ac:dyDescent="0.25">
      <c r="A288" s="12" t="s">
        <v>63</v>
      </c>
      <c r="B288" s="12" t="s">
        <v>40</v>
      </c>
      <c r="C288" s="12" t="s">
        <v>15</v>
      </c>
      <c r="D288" s="12">
        <v>0</v>
      </c>
      <c r="E288" s="12">
        <v>0.95</v>
      </c>
      <c r="F288" s="12">
        <v>10</v>
      </c>
      <c r="G288" s="12">
        <v>0.95</v>
      </c>
      <c r="H288" s="12">
        <v>0</v>
      </c>
      <c r="I288" s="12" t="s">
        <v>120</v>
      </c>
      <c r="J288">
        <v>1</v>
      </c>
      <c r="K288" s="6">
        <v>46242</v>
      </c>
      <c r="L288">
        <v>46242</v>
      </c>
      <c r="P288">
        <v>0</v>
      </c>
      <c r="Q288">
        <v>0</v>
      </c>
      <c r="R288">
        <v>0</v>
      </c>
    </row>
    <row r="289" spans="1:21" x14ac:dyDescent="0.25">
      <c r="A289" s="12" t="s">
        <v>63</v>
      </c>
      <c r="B289" s="12" t="s">
        <v>40</v>
      </c>
      <c r="C289" s="12" t="s">
        <v>13</v>
      </c>
      <c r="D289" s="12">
        <v>3.5876164620550925</v>
      </c>
      <c r="E289" s="12">
        <v>3.8</v>
      </c>
      <c r="F289" s="12">
        <v>10</v>
      </c>
      <c r="G289" s="12">
        <v>3.8</v>
      </c>
      <c r="H289" s="12">
        <v>4.702205882352942</v>
      </c>
      <c r="I289" s="12" t="s">
        <v>119</v>
      </c>
      <c r="J289">
        <v>1</v>
      </c>
      <c r="K289" s="6">
        <v>46242</v>
      </c>
      <c r="L289">
        <v>46242</v>
      </c>
      <c r="M289">
        <v>1.0591990643903022</v>
      </c>
      <c r="N289">
        <v>1.0591990643903022</v>
      </c>
      <c r="O289">
        <v>1.3106768608312662</v>
      </c>
      <c r="P289">
        <v>0.94410959527765603</v>
      </c>
      <c r="Q289">
        <v>0.94410959527765603</v>
      </c>
      <c r="R289">
        <v>1.2374226006191953</v>
      </c>
      <c r="S289">
        <v>0.80813135261923363</v>
      </c>
      <c r="T289">
        <v>0.80813135261923363</v>
      </c>
      <c r="U289">
        <v>0.76296456425252934</v>
      </c>
    </row>
    <row r="290" spans="1:21" x14ac:dyDescent="0.25">
      <c r="A290" s="12" t="s">
        <v>59</v>
      </c>
      <c r="B290" s="12" t="s">
        <v>40</v>
      </c>
      <c r="C290" s="12" t="s">
        <v>15</v>
      </c>
      <c r="D290" s="12">
        <v>0</v>
      </c>
      <c r="E290" s="12">
        <v>0.95</v>
      </c>
      <c r="F290" s="12">
        <v>10</v>
      </c>
      <c r="G290" s="12">
        <v>0.95</v>
      </c>
      <c r="H290" s="12">
        <v>0</v>
      </c>
      <c r="I290" s="12" t="s">
        <v>123</v>
      </c>
      <c r="K290" s="6">
        <v>46243</v>
      </c>
      <c r="L290">
        <v>46243</v>
      </c>
      <c r="P290">
        <v>0</v>
      </c>
      <c r="Q290">
        <v>0</v>
      </c>
      <c r="R290">
        <v>0</v>
      </c>
    </row>
    <row r="291" spans="1:21" x14ac:dyDescent="0.25">
      <c r="A291" s="12" t="s">
        <v>59</v>
      </c>
      <c r="B291" s="12" t="s">
        <v>40</v>
      </c>
      <c r="C291" s="12" t="s">
        <v>13</v>
      </c>
      <c r="D291" s="12">
        <v>3.5876164620550925</v>
      </c>
      <c r="E291" s="12">
        <v>3.8</v>
      </c>
      <c r="F291" s="12">
        <v>10</v>
      </c>
      <c r="G291" s="12">
        <v>3.8</v>
      </c>
      <c r="H291" s="12">
        <v>4.702205882352942</v>
      </c>
      <c r="I291" s="12" t="s">
        <v>122</v>
      </c>
      <c r="K291" s="6">
        <v>46243</v>
      </c>
      <c r="L291">
        <v>46243</v>
      </c>
      <c r="M291">
        <v>1.0591990643903022</v>
      </c>
      <c r="N291">
        <v>1.0591990643903022</v>
      </c>
      <c r="O291">
        <v>1.3106768608312662</v>
      </c>
      <c r="P291">
        <v>0.94410959527765603</v>
      </c>
      <c r="Q291">
        <v>0.94410959527765603</v>
      </c>
      <c r="R291">
        <v>1.2374226006191953</v>
      </c>
      <c r="S291">
        <v>0.80813135261923363</v>
      </c>
      <c r="T291">
        <v>0.80813135261923363</v>
      </c>
      <c r="U291">
        <v>0.76296456425252934</v>
      </c>
    </row>
    <row r="292" spans="1:21" x14ac:dyDescent="0.25">
      <c r="A292" s="12" t="s">
        <v>59</v>
      </c>
      <c r="B292" s="12" t="s">
        <v>40</v>
      </c>
      <c r="C292" s="12" t="s">
        <v>14</v>
      </c>
      <c r="D292" s="12">
        <v>3.1779578349000133</v>
      </c>
      <c r="E292" s="12">
        <v>2.8499999999999996</v>
      </c>
      <c r="F292" s="12">
        <v>10</v>
      </c>
      <c r="G292" s="12">
        <v>2.8499999999999996</v>
      </c>
      <c r="H292" s="12">
        <v>4.6332179930795849</v>
      </c>
      <c r="I292" s="12" t="s">
        <v>121</v>
      </c>
      <c r="K292" s="6">
        <v>46243</v>
      </c>
      <c r="L292">
        <v>46243</v>
      </c>
      <c r="M292">
        <v>0.89680233283827315</v>
      </c>
      <c r="N292">
        <v>0.89680233283827315</v>
      </c>
      <c r="O292">
        <v>1.4579230542954507</v>
      </c>
      <c r="P292">
        <v>1.1150729245263207</v>
      </c>
      <c r="Q292">
        <v>1.1150729245263207</v>
      </c>
      <c r="R292">
        <v>1.6256905238875738</v>
      </c>
      <c r="S292">
        <v>0.61512322628827476</v>
      </c>
      <c r="T292">
        <v>0.61512322628827476</v>
      </c>
      <c r="U292">
        <v>0.6859072548813322</v>
      </c>
    </row>
    <row r="293" spans="1:21" x14ac:dyDescent="0.25">
      <c r="A293" s="12" t="s">
        <v>63</v>
      </c>
      <c r="B293" s="12" t="s">
        <v>40</v>
      </c>
      <c r="C293" s="12" t="s">
        <v>15</v>
      </c>
      <c r="D293" s="12">
        <v>0</v>
      </c>
      <c r="E293" s="12">
        <v>0.95</v>
      </c>
      <c r="F293" s="12">
        <v>10</v>
      </c>
      <c r="G293" s="12">
        <v>0.95</v>
      </c>
      <c r="H293" s="12">
        <v>0</v>
      </c>
      <c r="I293" s="12" t="s">
        <v>123</v>
      </c>
      <c r="J293">
        <v>1</v>
      </c>
      <c r="K293" s="6">
        <v>46243</v>
      </c>
      <c r="L293">
        <v>46243</v>
      </c>
      <c r="P293">
        <v>0</v>
      </c>
      <c r="Q293">
        <v>0</v>
      </c>
      <c r="R293">
        <v>0</v>
      </c>
    </row>
    <row r="294" spans="1:21" x14ac:dyDescent="0.25">
      <c r="A294" s="12" t="s">
        <v>63</v>
      </c>
      <c r="B294" s="12" t="s">
        <v>40</v>
      </c>
      <c r="C294" s="12" t="s">
        <v>13</v>
      </c>
      <c r="D294" s="12">
        <v>3.5876164620550925</v>
      </c>
      <c r="E294" s="12">
        <v>3.8</v>
      </c>
      <c r="F294" s="12">
        <v>10</v>
      </c>
      <c r="G294" s="12">
        <v>3.8</v>
      </c>
      <c r="H294" s="12">
        <v>4.702205882352942</v>
      </c>
      <c r="I294" s="12" t="s">
        <v>122</v>
      </c>
      <c r="J294">
        <v>1</v>
      </c>
      <c r="K294" s="6">
        <v>46243</v>
      </c>
      <c r="L294">
        <v>46243</v>
      </c>
      <c r="M294">
        <v>1.0591990643903022</v>
      </c>
      <c r="N294">
        <v>1.0591990643903022</v>
      </c>
      <c r="O294">
        <v>1.3106768608312662</v>
      </c>
      <c r="P294">
        <v>0.94410959527765603</v>
      </c>
      <c r="Q294">
        <v>0.94410959527765603</v>
      </c>
      <c r="R294">
        <v>1.2374226006191953</v>
      </c>
      <c r="S294">
        <v>0.80813135261923363</v>
      </c>
      <c r="T294">
        <v>0.80813135261923363</v>
      </c>
      <c r="U294">
        <v>0.76296456425252934</v>
      </c>
    </row>
    <row r="295" spans="1:21" x14ac:dyDescent="0.25">
      <c r="A295" s="12" t="s">
        <v>63</v>
      </c>
      <c r="B295" s="12" t="s">
        <v>40</v>
      </c>
      <c r="C295" s="12" t="s">
        <v>14</v>
      </c>
      <c r="D295" s="12">
        <v>3.1779578349000133</v>
      </c>
      <c r="E295" s="12">
        <v>2.8499999999999996</v>
      </c>
      <c r="F295" s="12">
        <v>10</v>
      </c>
      <c r="G295" s="12">
        <v>2.8499999999999996</v>
      </c>
      <c r="H295" s="12">
        <v>4.6332179930795849</v>
      </c>
      <c r="I295" s="12" t="s">
        <v>121</v>
      </c>
      <c r="J295">
        <v>1</v>
      </c>
      <c r="K295" s="6">
        <v>46243</v>
      </c>
      <c r="L295">
        <v>46243</v>
      </c>
      <c r="M295">
        <v>0.89680233283827315</v>
      </c>
      <c r="N295">
        <v>0.89680233283827315</v>
      </c>
      <c r="O295">
        <v>1.4579230542954507</v>
      </c>
      <c r="P295">
        <v>1.1150729245263207</v>
      </c>
      <c r="Q295">
        <v>1.1150729245263207</v>
      </c>
      <c r="R295">
        <v>1.6256905238875738</v>
      </c>
      <c r="S295">
        <v>0.61512322628827476</v>
      </c>
      <c r="T295">
        <v>0.61512322628827476</v>
      </c>
      <c r="U295">
        <v>0.6859072548813322</v>
      </c>
    </row>
    <row r="296" spans="1:21" x14ac:dyDescent="0.25">
      <c r="A296" s="12" t="s">
        <v>59</v>
      </c>
      <c r="B296" s="12" t="s">
        <v>40</v>
      </c>
      <c r="C296" s="12" t="s">
        <v>15</v>
      </c>
      <c r="D296" s="12">
        <v>0</v>
      </c>
      <c r="E296" s="12">
        <v>0</v>
      </c>
      <c r="F296" s="12">
        <v>10</v>
      </c>
      <c r="G296" s="12">
        <v>0</v>
      </c>
      <c r="H296" s="12">
        <v>0</v>
      </c>
      <c r="I296" s="12" t="s">
        <v>125</v>
      </c>
      <c r="K296" s="6">
        <v>46244</v>
      </c>
      <c r="L296">
        <v>46244</v>
      </c>
    </row>
    <row r="297" spans="1:21" x14ac:dyDescent="0.25">
      <c r="A297" s="12" t="s">
        <v>59</v>
      </c>
      <c r="B297" s="12" t="s">
        <v>40</v>
      </c>
      <c r="C297" s="12" t="s">
        <v>14</v>
      </c>
      <c r="D297" s="12">
        <v>3.1779578349000128</v>
      </c>
      <c r="E297" s="12">
        <v>2.8499999999999996</v>
      </c>
      <c r="F297" s="12">
        <v>10</v>
      </c>
      <c r="G297" s="12">
        <v>2.8499999999999996</v>
      </c>
      <c r="H297" s="12">
        <v>4.6332179930795849</v>
      </c>
      <c r="I297" s="12" t="s">
        <v>126</v>
      </c>
      <c r="K297" s="6">
        <v>46244</v>
      </c>
      <c r="L297">
        <v>46244</v>
      </c>
      <c r="M297">
        <v>0.89680233283827326</v>
      </c>
      <c r="N297">
        <v>0.89680233283827326</v>
      </c>
      <c r="O297">
        <v>1.4579230542954509</v>
      </c>
      <c r="P297">
        <v>1.1150729245263205</v>
      </c>
      <c r="Q297">
        <v>1.1150729245263205</v>
      </c>
      <c r="R297">
        <v>1.6256905238875738</v>
      </c>
      <c r="S297">
        <v>0.61512322628827476</v>
      </c>
      <c r="T297">
        <v>0.61512322628827476</v>
      </c>
      <c r="U297">
        <v>0.68590725488133208</v>
      </c>
    </row>
    <row r="298" spans="1:21" x14ac:dyDescent="0.25">
      <c r="A298" s="12" t="s">
        <v>59</v>
      </c>
      <c r="B298" s="12" t="s">
        <v>40</v>
      </c>
      <c r="C298" s="12" t="s">
        <v>13</v>
      </c>
      <c r="D298" s="12">
        <v>3.5876164620550925</v>
      </c>
      <c r="E298" s="12">
        <v>3.8</v>
      </c>
      <c r="F298" s="12">
        <v>10</v>
      </c>
      <c r="G298" s="12">
        <v>3.8</v>
      </c>
      <c r="H298" s="12">
        <v>4.7022058823529411</v>
      </c>
      <c r="I298" s="12" t="s">
        <v>124</v>
      </c>
      <c r="K298" s="6">
        <v>46244</v>
      </c>
      <c r="L298">
        <v>46244</v>
      </c>
      <c r="M298">
        <v>1.0591990643903022</v>
      </c>
      <c r="N298">
        <v>1.0591990643903022</v>
      </c>
      <c r="O298">
        <v>1.310676860831266</v>
      </c>
      <c r="P298">
        <v>0.94410959527765603</v>
      </c>
      <c r="Q298">
        <v>0.94410959527765603</v>
      </c>
      <c r="R298">
        <v>1.2374226006191951</v>
      </c>
      <c r="S298">
        <v>0.80813135261923374</v>
      </c>
      <c r="T298">
        <v>0.80813135261923374</v>
      </c>
      <c r="U298">
        <v>0.76296456425252945</v>
      </c>
    </row>
    <row r="299" spans="1:21" x14ac:dyDescent="0.25">
      <c r="A299" s="12" t="s">
        <v>63</v>
      </c>
      <c r="B299" s="12" t="s">
        <v>40</v>
      </c>
      <c r="C299" s="12" t="s">
        <v>15</v>
      </c>
      <c r="D299" s="12">
        <v>0</v>
      </c>
      <c r="E299" s="12">
        <v>0</v>
      </c>
      <c r="F299" s="12">
        <v>10</v>
      </c>
      <c r="G299" s="12">
        <v>0</v>
      </c>
      <c r="H299" s="12">
        <v>0</v>
      </c>
      <c r="I299" s="12" t="s">
        <v>125</v>
      </c>
      <c r="J299">
        <v>1</v>
      </c>
      <c r="K299" s="6">
        <v>46244</v>
      </c>
      <c r="L299">
        <v>46244</v>
      </c>
    </row>
    <row r="300" spans="1:21" x14ac:dyDescent="0.25">
      <c r="A300" s="12" t="s">
        <v>63</v>
      </c>
      <c r="B300" s="12" t="s">
        <v>40</v>
      </c>
      <c r="C300" s="12" t="s">
        <v>14</v>
      </c>
      <c r="D300" s="12">
        <v>3.1779578349000128</v>
      </c>
      <c r="E300" s="12">
        <v>2.8499999999999996</v>
      </c>
      <c r="F300" s="12">
        <v>10</v>
      </c>
      <c r="G300" s="12">
        <v>2.8499999999999996</v>
      </c>
      <c r="H300" s="12">
        <v>4.6332179930795849</v>
      </c>
      <c r="I300" s="12" t="s">
        <v>126</v>
      </c>
      <c r="J300">
        <v>1</v>
      </c>
      <c r="K300" s="6">
        <v>46244</v>
      </c>
      <c r="L300">
        <v>46244</v>
      </c>
      <c r="M300">
        <v>0.89680233283827326</v>
      </c>
      <c r="N300">
        <v>0.89680233283827326</v>
      </c>
      <c r="O300">
        <v>1.4579230542954509</v>
      </c>
      <c r="P300">
        <v>1.1150729245263205</v>
      </c>
      <c r="Q300">
        <v>1.1150729245263205</v>
      </c>
      <c r="R300">
        <v>1.6256905238875738</v>
      </c>
      <c r="S300">
        <v>0.61512322628827476</v>
      </c>
      <c r="T300">
        <v>0.61512322628827476</v>
      </c>
      <c r="U300">
        <v>0.68590725488133208</v>
      </c>
    </row>
    <row r="301" spans="1:21" x14ac:dyDescent="0.25">
      <c r="A301" s="12" t="s">
        <v>63</v>
      </c>
      <c r="B301" s="12" t="s">
        <v>40</v>
      </c>
      <c r="C301" s="12" t="s">
        <v>13</v>
      </c>
      <c r="D301" s="12">
        <v>3.5876164620550925</v>
      </c>
      <c r="E301" s="12">
        <v>3.8</v>
      </c>
      <c r="F301" s="12">
        <v>10</v>
      </c>
      <c r="G301" s="12">
        <v>3.8</v>
      </c>
      <c r="H301" s="12">
        <v>4.7022058823529411</v>
      </c>
      <c r="I301" s="12" t="s">
        <v>124</v>
      </c>
      <c r="J301">
        <v>1</v>
      </c>
      <c r="K301" s="6">
        <v>46244</v>
      </c>
      <c r="L301">
        <v>46244</v>
      </c>
      <c r="M301">
        <v>1.0591990643903022</v>
      </c>
      <c r="N301">
        <v>1.0591990643903022</v>
      </c>
      <c r="O301">
        <v>1.310676860831266</v>
      </c>
      <c r="P301">
        <v>0.94410959527765603</v>
      </c>
      <c r="Q301">
        <v>0.94410959527765603</v>
      </c>
      <c r="R301">
        <v>1.2374226006191951</v>
      </c>
      <c r="S301">
        <v>0.80813135261923374</v>
      </c>
      <c r="T301">
        <v>0.80813135261923374</v>
      </c>
      <c r="U301">
        <v>0.76296456425252945</v>
      </c>
    </row>
    <row r="302" spans="1:21" x14ac:dyDescent="0.25">
      <c r="A302" s="12" t="s">
        <v>59</v>
      </c>
      <c r="B302" s="12" t="s">
        <v>40</v>
      </c>
      <c r="C302" s="12" t="s">
        <v>14</v>
      </c>
      <c r="D302" s="12">
        <v>3.1779578349000128</v>
      </c>
      <c r="E302" s="12">
        <v>2.8499999999999996</v>
      </c>
      <c r="F302" s="12">
        <v>10</v>
      </c>
      <c r="G302" s="12">
        <v>2.8499999999999996</v>
      </c>
      <c r="H302" s="12">
        <v>4.6332179930795849</v>
      </c>
      <c r="I302" s="12" t="s">
        <v>127</v>
      </c>
      <c r="K302" s="6">
        <v>46245</v>
      </c>
      <c r="L302">
        <v>46245</v>
      </c>
      <c r="M302">
        <v>0.89680233283827326</v>
      </c>
      <c r="N302">
        <v>0.89680233283827326</v>
      </c>
      <c r="O302">
        <v>1.4579230542954509</v>
      </c>
      <c r="P302">
        <v>1.1150729245263205</v>
      </c>
      <c r="Q302">
        <v>1.1150729245263205</v>
      </c>
      <c r="R302">
        <v>1.6256905238875738</v>
      </c>
      <c r="S302">
        <v>0.61512322628827476</v>
      </c>
      <c r="T302">
        <v>0.61512322628827476</v>
      </c>
      <c r="U302">
        <v>0.68590725488133208</v>
      </c>
    </row>
    <row r="303" spans="1:21" x14ac:dyDescent="0.25">
      <c r="A303" s="12" t="s">
        <v>59</v>
      </c>
      <c r="B303" s="12" t="s">
        <v>40</v>
      </c>
      <c r="C303" s="12" t="s">
        <v>15</v>
      </c>
      <c r="D303" s="12">
        <v>0</v>
      </c>
      <c r="E303" s="12">
        <v>0.95</v>
      </c>
      <c r="F303" s="12">
        <v>10</v>
      </c>
      <c r="G303" s="12">
        <v>0.95</v>
      </c>
      <c r="H303" s="12">
        <v>0</v>
      </c>
      <c r="I303" s="12" t="s">
        <v>129</v>
      </c>
      <c r="K303" s="6">
        <v>46245</v>
      </c>
      <c r="L303">
        <v>46245</v>
      </c>
      <c r="P303">
        <v>0</v>
      </c>
      <c r="Q303">
        <v>0</v>
      </c>
      <c r="R303">
        <v>0</v>
      </c>
    </row>
    <row r="304" spans="1:21" x14ac:dyDescent="0.25">
      <c r="A304" s="12" t="s">
        <v>59</v>
      </c>
      <c r="B304" s="12" t="s">
        <v>40</v>
      </c>
      <c r="C304" s="12" t="s">
        <v>13</v>
      </c>
      <c r="D304" s="12">
        <v>3.5876164620550925</v>
      </c>
      <c r="E304" s="12">
        <v>5.6999999999999993</v>
      </c>
      <c r="F304" s="12">
        <v>10</v>
      </c>
      <c r="G304" s="12">
        <v>5.6999999999999993</v>
      </c>
      <c r="H304" s="12">
        <v>4.7022058823529402</v>
      </c>
      <c r="I304" s="12" t="s">
        <v>128</v>
      </c>
      <c r="K304" s="6">
        <v>46245</v>
      </c>
      <c r="L304">
        <v>46245</v>
      </c>
      <c r="M304">
        <v>1.588798596585453</v>
      </c>
      <c r="N304">
        <v>1.588798596585453</v>
      </c>
      <c r="O304">
        <v>1.3106768608312656</v>
      </c>
      <c r="P304">
        <v>0.62940639685177069</v>
      </c>
      <c r="Q304">
        <v>0.62940639685177069</v>
      </c>
      <c r="R304">
        <v>0.8249484004127966</v>
      </c>
      <c r="S304">
        <v>1.2121970289288508</v>
      </c>
      <c r="T304">
        <v>1.2121970289288508</v>
      </c>
      <c r="U304">
        <v>0.76296456425252956</v>
      </c>
    </row>
    <row r="305" spans="1:21" x14ac:dyDescent="0.25">
      <c r="A305" s="12" t="s">
        <v>63</v>
      </c>
      <c r="B305" s="12" t="s">
        <v>40</v>
      </c>
      <c r="C305" s="12" t="s">
        <v>14</v>
      </c>
      <c r="D305" s="12">
        <v>3.1779578349000128</v>
      </c>
      <c r="E305" s="12">
        <v>2.8499999999999996</v>
      </c>
      <c r="F305" s="12">
        <v>10</v>
      </c>
      <c r="G305" s="12">
        <v>2.8499999999999996</v>
      </c>
      <c r="H305" s="12">
        <v>4.6332179930795849</v>
      </c>
      <c r="I305" s="12" t="s">
        <v>127</v>
      </c>
      <c r="J305">
        <v>1</v>
      </c>
      <c r="K305" s="6">
        <v>46245</v>
      </c>
      <c r="L305">
        <v>46245</v>
      </c>
      <c r="M305">
        <v>0.89680233283827326</v>
      </c>
      <c r="N305">
        <v>0.89680233283827326</v>
      </c>
      <c r="O305">
        <v>1.4579230542954509</v>
      </c>
      <c r="P305">
        <v>1.1150729245263205</v>
      </c>
      <c r="Q305">
        <v>1.1150729245263205</v>
      </c>
      <c r="R305">
        <v>1.6256905238875738</v>
      </c>
      <c r="S305">
        <v>0.61512322628827476</v>
      </c>
      <c r="T305">
        <v>0.61512322628827476</v>
      </c>
      <c r="U305">
        <v>0.68590725488133208</v>
      </c>
    </row>
    <row r="306" spans="1:21" x14ac:dyDescent="0.25">
      <c r="A306" s="12" t="s">
        <v>63</v>
      </c>
      <c r="B306" s="12" t="s">
        <v>40</v>
      </c>
      <c r="C306" s="12" t="s">
        <v>15</v>
      </c>
      <c r="D306" s="12">
        <v>0</v>
      </c>
      <c r="E306" s="12">
        <v>0.95</v>
      </c>
      <c r="F306" s="12">
        <v>10</v>
      </c>
      <c r="G306" s="12">
        <v>0.95</v>
      </c>
      <c r="H306" s="12">
        <v>0</v>
      </c>
      <c r="I306" s="12" t="s">
        <v>129</v>
      </c>
      <c r="J306">
        <v>1</v>
      </c>
      <c r="K306" s="6">
        <v>46245</v>
      </c>
      <c r="L306">
        <v>46245</v>
      </c>
      <c r="P306">
        <v>0</v>
      </c>
      <c r="Q306">
        <v>0</v>
      </c>
      <c r="R306">
        <v>0</v>
      </c>
    </row>
    <row r="307" spans="1:21" x14ac:dyDescent="0.25">
      <c r="A307" s="12" t="s">
        <v>63</v>
      </c>
      <c r="B307" s="12" t="s">
        <v>40</v>
      </c>
      <c r="C307" s="12" t="s">
        <v>13</v>
      </c>
      <c r="D307" s="12">
        <v>3.5876164620550925</v>
      </c>
      <c r="E307" s="12">
        <v>5.6999999999999993</v>
      </c>
      <c r="F307" s="12">
        <v>10</v>
      </c>
      <c r="G307" s="12">
        <v>5.6999999999999993</v>
      </c>
      <c r="H307" s="12">
        <v>4.7022058823529402</v>
      </c>
      <c r="I307" s="12" t="s">
        <v>128</v>
      </c>
      <c r="J307">
        <v>1</v>
      </c>
      <c r="K307" s="6">
        <v>46245</v>
      </c>
      <c r="L307">
        <v>46245</v>
      </c>
      <c r="M307">
        <v>1.588798596585453</v>
      </c>
      <c r="N307">
        <v>1.588798596585453</v>
      </c>
      <c r="O307">
        <v>1.3106768608312656</v>
      </c>
      <c r="P307">
        <v>0.62940639685177069</v>
      </c>
      <c r="Q307">
        <v>0.62940639685177069</v>
      </c>
      <c r="R307">
        <v>0.8249484004127966</v>
      </c>
      <c r="S307">
        <v>1.2121970289288508</v>
      </c>
      <c r="T307">
        <v>1.2121970289288508</v>
      </c>
      <c r="U307">
        <v>0.76296456425252956</v>
      </c>
    </row>
    <row r="308" spans="1:21" x14ac:dyDescent="0.25">
      <c r="A308" s="12" t="s">
        <v>59</v>
      </c>
      <c r="B308" s="12" t="s">
        <v>40</v>
      </c>
      <c r="C308" s="12" t="s">
        <v>13</v>
      </c>
      <c r="D308" s="12">
        <v>3.5876164620550925</v>
      </c>
      <c r="E308" s="12">
        <v>3.8</v>
      </c>
      <c r="F308" s="12">
        <v>10</v>
      </c>
      <c r="G308" s="12">
        <v>3.8</v>
      </c>
      <c r="H308" s="12">
        <v>4.7022058823529402</v>
      </c>
      <c r="I308" s="12" t="s">
        <v>130</v>
      </c>
      <c r="K308" s="6">
        <v>46246</v>
      </c>
      <c r="L308">
        <v>46246</v>
      </c>
      <c r="M308">
        <v>1.0591990643903022</v>
      </c>
      <c r="N308">
        <v>1.0591990643903022</v>
      </c>
      <c r="O308">
        <v>1.3106768608312656</v>
      </c>
      <c r="P308">
        <v>0.94410959527765603</v>
      </c>
      <c r="Q308">
        <v>0.94410959527765603</v>
      </c>
      <c r="R308">
        <v>1.2374226006191948</v>
      </c>
      <c r="S308">
        <v>0.80813135261923386</v>
      </c>
      <c r="T308">
        <v>0.80813135261923386</v>
      </c>
      <c r="U308">
        <v>0.76296456425252956</v>
      </c>
    </row>
    <row r="309" spans="1:21" x14ac:dyDescent="0.25">
      <c r="A309" s="12" t="s">
        <v>59</v>
      </c>
      <c r="B309" s="12" t="s">
        <v>40</v>
      </c>
      <c r="C309" s="12" t="s">
        <v>15</v>
      </c>
      <c r="D309" s="12">
        <v>0</v>
      </c>
      <c r="E309" s="12">
        <v>0</v>
      </c>
      <c r="F309" s="12">
        <v>10</v>
      </c>
      <c r="G309" s="12">
        <v>0</v>
      </c>
      <c r="H309" s="12">
        <v>0</v>
      </c>
      <c r="I309" s="12" t="s">
        <v>131</v>
      </c>
      <c r="K309" s="6">
        <v>46246</v>
      </c>
      <c r="L309">
        <v>46246</v>
      </c>
    </row>
    <row r="310" spans="1:21" x14ac:dyDescent="0.25">
      <c r="A310" s="12" t="s">
        <v>59</v>
      </c>
      <c r="B310" s="12" t="s">
        <v>40</v>
      </c>
      <c r="C310" s="12" t="s">
        <v>14</v>
      </c>
      <c r="D310" s="12">
        <v>3.1779578349000128</v>
      </c>
      <c r="E310" s="12">
        <v>2.8499999999999996</v>
      </c>
      <c r="F310" s="12">
        <v>10</v>
      </c>
      <c r="G310" s="12">
        <v>2.8499999999999996</v>
      </c>
      <c r="H310" s="12">
        <v>4.6332179930795849</v>
      </c>
      <c r="I310" s="12" t="s">
        <v>132</v>
      </c>
      <c r="K310" s="6">
        <v>46246</v>
      </c>
      <c r="L310">
        <v>46246</v>
      </c>
      <c r="M310">
        <v>0.89680233283827326</v>
      </c>
      <c r="N310">
        <v>0.89680233283827326</v>
      </c>
      <c r="O310">
        <v>1.4579230542954509</v>
      </c>
      <c r="P310">
        <v>1.1150729245263205</v>
      </c>
      <c r="Q310">
        <v>1.1150729245263205</v>
      </c>
      <c r="R310">
        <v>1.6256905238875738</v>
      </c>
      <c r="S310">
        <v>0.61512322628827476</v>
      </c>
      <c r="T310">
        <v>0.61512322628827476</v>
      </c>
      <c r="U310">
        <v>0.68590725488133208</v>
      </c>
    </row>
    <row r="311" spans="1:21" x14ac:dyDescent="0.25">
      <c r="A311" s="12" t="s">
        <v>63</v>
      </c>
      <c r="B311" s="12" t="s">
        <v>40</v>
      </c>
      <c r="C311" s="12" t="s">
        <v>13</v>
      </c>
      <c r="D311" s="12">
        <v>3.5876164620550925</v>
      </c>
      <c r="E311" s="12">
        <v>3.8</v>
      </c>
      <c r="F311" s="12">
        <v>10</v>
      </c>
      <c r="G311" s="12">
        <v>3.8</v>
      </c>
      <c r="H311" s="12">
        <v>4.7022058823529402</v>
      </c>
      <c r="I311" s="12" t="s">
        <v>130</v>
      </c>
      <c r="J311">
        <v>1</v>
      </c>
      <c r="K311" s="6">
        <v>46246</v>
      </c>
      <c r="L311">
        <v>46246</v>
      </c>
      <c r="M311">
        <v>1.0591990643903022</v>
      </c>
      <c r="N311">
        <v>1.0591990643903022</v>
      </c>
      <c r="O311">
        <v>1.3106768608312656</v>
      </c>
      <c r="P311">
        <v>0.94410959527765603</v>
      </c>
      <c r="Q311">
        <v>0.94410959527765603</v>
      </c>
      <c r="R311">
        <v>1.2374226006191948</v>
      </c>
      <c r="S311">
        <v>0.80813135261923386</v>
      </c>
      <c r="T311">
        <v>0.80813135261923386</v>
      </c>
      <c r="U311">
        <v>0.76296456425252956</v>
      </c>
    </row>
    <row r="312" spans="1:21" x14ac:dyDescent="0.25">
      <c r="A312" s="12" t="s">
        <v>63</v>
      </c>
      <c r="B312" s="12" t="s">
        <v>40</v>
      </c>
      <c r="C312" s="12" t="s">
        <v>15</v>
      </c>
      <c r="D312" s="12">
        <v>0</v>
      </c>
      <c r="E312" s="12">
        <v>0</v>
      </c>
      <c r="F312" s="12">
        <v>10</v>
      </c>
      <c r="G312" s="12">
        <v>0</v>
      </c>
      <c r="H312" s="12">
        <v>0</v>
      </c>
      <c r="I312" s="12" t="s">
        <v>131</v>
      </c>
      <c r="J312">
        <v>1</v>
      </c>
      <c r="K312" s="6">
        <v>46246</v>
      </c>
      <c r="L312">
        <v>46246</v>
      </c>
    </row>
    <row r="313" spans="1:21" x14ac:dyDescent="0.25">
      <c r="A313" s="12" t="s">
        <v>63</v>
      </c>
      <c r="B313" s="12" t="s">
        <v>40</v>
      </c>
      <c r="C313" s="12" t="s">
        <v>14</v>
      </c>
      <c r="D313" s="12">
        <v>3.1779578349000128</v>
      </c>
      <c r="E313" s="12">
        <v>2.8499999999999996</v>
      </c>
      <c r="F313" s="12">
        <v>10</v>
      </c>
      <c r="G313" s="12">
        <v>2.8499999999999996</v>
      </c>
      <c r="H313" s="12">
        <v>4.6332179930795849</v>
      </c>
      <c r="I313" s="12" t="s">
        <v>132</v>
      </c>
      <c r="J313">
        <v>1</v>
      </c>
      <c r="K313" s="6">
        <v>46246</v>
      </c>
      <c r="L313">
        <v>46246</v>
      </c>
      <c r="M313">
        <v>0.89680233283827326</v>
      </c>
      <c r="N313">
        <v>0.89680233283827326</v>
      </c>
      <c r="O313">
        <v>1.4579230542954509</v>
      </c>
      <c r="P313">
        <v>1.1150729245263205</v>
      </c>
      <c r="Q313">
        <v>1.1150729245263205</v>
      </c>
      <c r="R313">
        <v>1.6256905238875738</v>
      </c>
      <c r="S313">
        <v>0.61512322628827476</v>
      </c>
      <c r="T313">
        <v>0.61512322628827476</v>
      </c>
      <c r="U313">
        <v>0.68590725488133208</v>
      </c>
    </row>
    <row r="314" spans="1:21" x14ac:dyDescent="0.25">
      <c r="A314" s="12" t="s">
        <v>59</v>
      </c>
      <c r="B314" s="12" t="s">
        <v>40</v>
      </c>
      <c r="C314" s="12" t="s">
        <v>14</v>
      </c>
      <c r="D314" s="12">
        <v>3.1779578349000128</v>
      </c>
      <c r="E314" s="12">
        <v>2.8499999999999996</v>
      </c>
      <c r="F314" s="12">
        <v>10</v>
      </c>
      <c r="G314" s="12">
        <v>2.8499999999999996</v>
      </c>
      <c r="H314" s="12">
        <v>4.6332179930795849</v>
      </c>
      <c r="I314" s="12" t="s">
        <v>133</v>
      </c>
      <c r="K314" s="6">
        <v>46247</v>
      </c>
      <c r="L314">
        <v>46247</v>
      </c>
      <c r="M314">
        <v>0.89680233283827326</v>
      </c>
      <c r="N314">
        <v>0.89680233283827326</v>
      </c>
      <c r="O314">
        <v>1.4579230542954509</v>
      </c>
      <c r="P314">
        <v>1.1150729245263205</v>
      </c>
      <c r="Q314">
        <v>1.1150729245263205</v>
      </c>
      <c r="R314">
        <v>1.6256905238875738</v>
      </c>
      <c r="S314">
        <v>0.61512322628827476</v>
      </c>
      <c r="T314">
        <v>0.61512322628827476</v>
      </c>
      <c r="U314">
        <v>0.68590725488133208</v>
      </c>
    </row>
    <row r="315" spans="1:21" x14ac:dyDescent="0.25">
      <c r="A315" s="12" t="s">
        <v>59</v>
      </c>
      <c r="B315" s="12" t="s">
        <v>40</v>
      </c>
      <c r="C315" s="12" t="s">
        <v>15</v>
      </c>
      <c r="D315" s="12">
        <v>0</v>
      </c>
      <c r="E315" s="12">
        <v>0</v>
      </c>
      <c r="F315" s="12">
        <v>10</v>
      </c>
      <c r="G315" s="12">
        <v>0</v>
      </c>
      <c r="H315" s="12">
        <v>0</v>
      </c>
      <c r="I315" s="12" t="s">
        <v>134</v>
      </c>
      <c r="K315" s="6">
        <v>46247</v>
      </c>
      <c r="L315">
        <v>46247</v>
      </c>
    </row>
    <row r="316" spans="1:21" x14ac:dyDescent="0.25">
      <c r="A316" s="12" t="s">
        <v>59</v>
      </c>
      <c r="B316" s="12" t="s">
        <v>40</v>
      </c>
      <c r="C316" s="12" t="s">
        <v>13</v>
      </c>
      <c r="D316" s="12">
        <v>3.587616462055093</v>
      </c>
      <c r="E316" s="12">
        <v>3.8</v>
      </c>
      <c r="F316" s="12">
        <v>10</v>
      </c>
      <c r="G316" s="12">
        <v>3.8</v>
      </c>
      <c r="H316" s="12">
        <v>4.7022058823529411</v>
      </c>
      <c r="I316" s="12" t="s">
        <v>135</v>
      </c>
      <c r="K316" s="6">
        <v>46247</v>
      </c>
      <c r="L316">
        <v>46247</v>
      </c>
      <c r="M316">
        <v>1.059199064390302</v>
      </c>
      <c r="N316">
        <v>1.059199064390302</v>
      </c>
      <c r="O316">
        <v>1.3106768608312658</v>
      </c>
      <c r="P316">
        <v>0.94410959527765614</v>
      </c>
      <c r="Q316">
        <v>0.94410959527765614</v>
      </c>
      <c r="R316">
        <v>1.2374226006191951</v>
      </c>
      <c r="S316">
        <v>0.80813135261923374</v>
      </c>
      <c r="T316">
        <v>0.80813135261923374</v>
      </c>
      <c r="U316">
        <v>0.76296456425252956</v>
      </c>
    </row>
    <row r="317" spans="1:21" x14ac:dyDescent="0.25">
      <c r="A317" s="12" t="s">
        <v>63</v>
      </c>
      <c r="B317" s="12" t="s">
        <v>40</v>
      </c>
      <c r="C317" s="12" t="s">
        <v>14</v>
      </c>
      <c r="D317" s="12">
        <v>3.1779578349000128</v>
      </c>
      <c r="E317" s="12">
        <v>2.8499999999999996</v>
      </c>
      <c r="F317" s="12">
        <v>10</v>
      </c>
      <c r="G317" s="12">
        <v>2.8499999999999996</v>
      </c>
      <c r="H317" s="12">
        <v>4.6332179930795849</v>
      </c>
      <c r="I317" s="12" t="s">
        <v>133</v>
      </c>
      <c r="J317">
        <v>1</v>
      </c>
      <c r="K317" s="6">
        <v>46247</v>
      </c>
      <c r="L317">
        <v>46247</v>
      </c>
      <c r="M317">
        <v>0.89680233283827326</v>
      </c>
      <c r="N317">
        <v>0.89680233283827326</v>
      </c>
      <c r="O317">
        <v>1.4579230542954509</v>
      </c>
      <c r="P317">
        <v>1.1150729245263205</v>
      </c>
      <c r="Q317">
        <v>1.1150729245263205</v>
      </c>
      <c r="R317">
        <v>1.6256905238875738</v>
      </c>
      <c r="S317">
        <v>0.61512322628827476</v>
      </c>
      <c r="T317">
        <v>0.61512322628827476</v>
      </c>
      <c r="U317">
        <v>0.68590725488133208</v>
      </c>
    </row>
    <row r="318" spans="1:21" x14ac:dyDescent="0.25">
      <c r="A318" s="12" t="s">
        <v>63</v>
      </c>
      <c r="B318" s="12" t="s">
        <v>40</v>
      </c>
      <c r="C318" s="12" t="s">
        <v>15</v>
      </c>
      <c r="D318" s="12">
        <v>0</v>
      </c>
      <c r="E318" s="12">
        <v>0</v>
      </c>
      <c r="F318" s="12">
        <v>10</v>
      </c>
      <c r="G318" s="12">
        <v>0</v>
      </c>
      <c r="H318" s="12">
        <v>0</v>
      </c>
      <c r="I318" s="12" t="s">
        <v>134</v>
      </c>
      <c r="J318">
        <v>1</v>
      </c>
      <c r="K318" s="6">
        <v>46247</v>
      </c>
      <c r="L318">
        <v>46247</v>
      </c>
    </row>
    <row r="319" spans="1:21" x14ac:dyDescent="0.25">
      <c r="A319" s="12" t="s">
        <v>63</v>
      </c>
      <c r="B319" s="12" t="s">
        <v>40</v>
      </c>
      <c r="C319" s="12" t="s">
        <v>13</v>
      </c>
      <c r="D319" s="12">
        <v>3.587616462055093</v>
      </c>
      <c r="E319" s="12">
        <v>3.8</v>
      </c>
      <c r="F319" s="12">
        <v>10</v>
      </c>
      <c r="G319" s="12">
        <v>3.8</v>
      </c>
      <c r="H319" s="12">
        <v>4.7022058823529411</v>
      </c>
      <c r="I319" s="12" t="s">
        <v>135</v>
      </c>
      <c r="J319">
        <v>1</v>
      </c>
      <c r="K319" s="6">
        <v>46247</v>
      </c>
      <c r="L319">
        <v>46247</v>
      </c>
      <c r="M319">
        <v>1.059199064390302</v>
      </c>
      <c r="N319">
        <v>1.059199064390302</v>
      </c>
      <c r="O319">
        <v>1.3106768608312658</v>
      </c>
      <c r="P319">
        <v>0.94410959527765614</v>
      </c>
      <c r="Q319">
        <v>0.94410959527765614</v>
      </c>
      <c r="R319">
        <v>1.2374226006191951</v>
      </c>
      <c r="S319">
        <v>0.80813135261923374</v>
      </c>
      <c r="T319">
        <v>0.80813135261923374</v>
      </c>
      <c r="U319">
        <v>0.76296456425252956</v>
      </c>
    </row>
    <row r="320" spans="1:21" x14ac:dyDescent="0.25">
      <c r="A320" s="12" t="s">
        <v>59</v>
      </c>
      <c r="B320" s="12" t="s">
        <v>40</v>
      </c>
      <c r="C320" s="12" t="s">
        <v>14</v>
      </c>
      <c r="D320" s="12">
        <v>3.1779578349000128</v>
      </c>
      <c r="E320" s="12">
        <v>3.8</v>
      </c>
      <c r="F320" s="12">
        <v>10</v>
      </c>
      <c r="G320" s="12">
        <v>3.8</v>
      </c>
      <c r="H320" s="12">
        <v>4.6332179930795849</v>
      </c>
      <c r="I320" s="12" t="s">
        <v>136</v>
      </c>
      <c r="K320" s="6">
        <v>46248</v>
      </c>
      <c r="L320">
        <v>46248</v>
      </c>
      <c r="M320">
        <v>1.1957364437843645</v>
      </c>
      <c r="N320">
        <v>1.1957364437843645</v>
      </c>
      <c r="O320">
        <v>1.4579230542954509</v>
      </c>
      <c r="P320">
        <v>0.83630469339474023</v>
      </c>
      <c r="Q320">
        <v>0.83630469339474023</v>
      </c>
      <c r="R320">
        <v>1.2192678929156804</v>
      </c>
      <c r="S320">
        <v>0.82016430171769972</v>
      </c>
      <c r="T320">
        <v>0.82016430171769972</v>
      </c>
      <c r="U320">
        <v>0.68590725488133208</v>
      </c>
    </row>
    <row r="321" spans="1:21" x14ac:dyDescent="0.25">
      <c r="A321" s="12" t="s">
        <v>59</v>
      </c>
      <c r="B321" s="12" t="s">
        <v>40</v>
      </c>
      <c r="C321" s="12" t="s">
        <v>15</v>
      </c>
      <c r="D321" s="12">
        <v>0</v>
      </c>
      <c r="E321" s="12">
        <v>0</v>
      </c>
      <c r="F321" s="12">
        <v>10</v>
      </c>
      <c r="G321" s="12">
        <v>0</v>
      </c>
      <c r="H321" s="12">
        <v>0</v>
      </c>
      <c r="I321" s="12" t="s">
        <v>137</v>
      </c>
      <c r="K321" s="6">
        <v>46248</v>
      </c>
      <c r="L321">
        <v>46248</v>
      </c>
    </row>
    <row r="322" spans="1:21" x14ac:dyDescent="0.25">
      <c r="A322" s="12" t="s">
        <v>59</v>
      </c>
      <c r="B322" s="12" t="s">
        <v>40</v>
      </c>
      <c r="C322" s="12" t="s">
        <v>13</v>
      </c>
      <c r="D322" s="12">
        <v>3.5876164620550925</v>
      </c>
      <c r="E322" s="12">
        <v>3.8</v>
      </c>
      <c r="F322" s="12">
        <v>10</v>
      </c>
      <c r="G322" s="12">
        <v>3.8</v>
      </c>
      <c r="H322" s="12">
        <v>4.7022058823529402</v>
      </c>
      <c r="I322" s="12" t="s">
        <v>138</v>
      </c>
      <c r="K322" s="6">
        <v>46248</v>
      </c>
      <c r="L322">
        <v>46248</v>
      </c>
      <c r="M322">
        <v>1.0591990643903022</v>
      </c>
      <c r="N322">
        <v>1.0591990643903022</v>
      </c>
      <c r="O322">
        <v>1.3106768608312656</v>
      </c>
      <c r="P322">
        <v>0.94410959527765603</v>
      </c>
      <c r="Q322">
        <v>0.94410959527765603</v>
      </c>
      <c r="R322">
        <v>1.2374226006191948</v>
      </c>
      <c r="S322">
        <v>0.80813135261923386</v>
      </c>
      <c r="T322">
        <v>0.80813135261923386</v>
      </c>
      <c r="U322">
        <v>0.76296456425252956</v>
      </c>
    </row>
    <row r="323" spans="1:21" x14ac:dyDescent="0.25">
      <c r="A323" s="12" t="s">
        <v>63</v>
      </c>
      <c r="B323" s="12" t="s">
        <v>40</v>
      </c>
      <c r="C323" s="12" t="s">
        <v>14</v>
      </c>
      <c r="D323" s="12">
        <v>3.1779578349000128</v>
      </c>
      <c r="E323" s="12">
        <v>3.8</v>
      </c>
      <c r="F323" s="12">
        <v>10</v>
      </c>
      <c r="G323" s="12">
        <v>3.8</v>
      </c>
      <c r="H323" s="12">
        <v>4.6332179930795849</v>
      </c>
      <c r="I323" s="12" t="s">
        <v>136</v>
      </c>
      <c r="J323">
        <v>1</v>
      </c>
      <c r="K323" s="6">
        <v>46248</v>
      </c>
      <c r="L323">
        <v>46248</v>
      </c>
      <c r="M323">
        <v>1.1957364437843645</v>
      </c>
      <c r="N323">
        <v>1.1957364437843645</v>
      </c>
      <c r="O323">
        <v>1.4579230542954509</v>
      </c>
      <c r="P323">
        <v>0.83630469339474023</v>
      </c>
      <c r="Q323">
        <v>0.83630469339474023</v>
      </c>
      <c r="R323">
        <v>1.2192678929156804</v>
      </c>
      <c r="S323">
        <v>0.82016430171769972</v>
      </c>
      <c r="T323">
        <v>0.82016430171769972</v>
      </c>
      <c r="U323">
        <v>0.68590725488133208</v>
      </c>
    </row>
    <row r="324" spans="1:21" x14ac:dyDescent="0.25">
      <c r="A324" s="12" t="s">
        <v>63</v>
      </c>
      <c r="B324" s="12" t="s">
        <v>40</v>
      </c>
      <c r="C324" s="12" t="s">
        <v>15</v>
      </c>
      <c r="D324" s="12">
        <v>0</v>
      </c>
      <c r="E324" s="12">
        <v>0</v>
      </c>
      <c r="F324" s="12">
        <v>10</v>
      </c>
      <c r="G324" s="12">
        <v>0</v>
      </c>
      <c r="H324" s="12">
        <v>0</v>
      </c>
      <c r="I324" s="12" t="s">
        <v>137</v>
      </c>
      <c r="J324">
        <v>1</v>
      </c>
      <c r="K324" s="6">
        <v>46248</v>
      </c>
      <c r="L324">
        <v>46248</v>
      </c>
    </row>
    <row r="325" spans="1:21" x14ac:dyDescent="0.25">
      <c r="A325" s="12" t="s">
        <v>63</v>
      </c>
      <c r="B325" s="12" t="s">
        <v>40</v>
      </c>
      <c r="C325" s="12" t="s">
        <v>13</v>
      </c>
      <c r="D325" s="12">
        <v>3.5876164620550925</v>
      </c>
      <c r="E325" s="12">
        <v>3.8</v>
      </c>
      <c r="F325" s="12">
        <v>10</v>
      </c>
      <c r="G325" s="12">
        <v>3.8</v>
      </c>
      <c r="H325" s="12">
        <v>4.7022058823529402</v>
      </c>
      <c r="I325" s="12" t="s">
        <v>138</v>
      </c>
      <c r="J325">
        <v>1</v>
      </c>
      <c r="K325" s="6">
        <v>46248</v>
      </c>
      <c r="L325">
        <v>46248</v>
      </c>
      <c r="M325">
        <v>1.0591990643903022</v>
      </c>
      <c r="N325">
        <v>1.0591990643903022</v>
      </c>
      <c r="O325">
        <v>1.3106768608312656</v>
      </c>
      <c r="P325">
        <v>0.94410959527765603</v>
      </c>
      <c r="Q325">
        <v>0.94410959527765603</v>
      </c>
      <c r="R325">
        <v>1.2374226006191948</v>
      </c>
      <c r="S325">
        <v>0.80813135261923386</v>
      </c>
      <c r="T325">
        <v>0.80813135261923386</v>
      </c>
      <c r="U325">
        <v>0.76296456425252956</v>
      </c>
    </row>
    <row r="326" spans="1:21" x14ac:dyDescent="0.25">
      <c r="A326" s="12" t="s">
        <v>59</v>
      </c>
      <c r="B326" s="12" t="s">
        <v>40</v>
      </c>
      <c r="C326" s="12" t="s">
        <v>14</v>
      </c>
      <c r="D326" s="12">
        <v>3.2276134260703255</v>
      </c>
      <c r="E326" s="12">
        <v>2.8499999999999996</v>
      </c>
      <c r="F326" s="12">
        <v>10</v>
      </c>
      <c r="G326" s="12">
        <v>2.8499999999999996</v>
      </c>
      <c r="H326" s="12">
        <v>4.6920415224913494</v>
      </c>
      <c r="I326" s="12" t="s">
        <v>139</v>
      </c>
      <c r="K326" s="6">
        <v>46249</v>
      </c>
      <c r="L326">
        <v>46249</v>
      </c>
      <c r="M326">
        <v>0.88300537387153066</v>
      </c>
      <c r="N326">
        <v>0.88300537387153066</v>
      </c>
      <c r="O326">
        <v>1.4537185539607791</v>
      </c>
      <c r="P326">
        <v>1.1324959389720441</v>
      </c>
      <c r="Q326">
        <v>1.1324959389720441</v>
      </c>
      <c r="R326">
        <v>1.6463303587688947</v>
      </c>
      <c r="S326">
        <v>0.60741150442477865</v>
      </c>
      <c r="T326">
        <v>0.60741150442477865</v>
      </c>
      <c r="U326">
        <v>0.68789106204596173</v>
      </c>
    </row>
    <row r="327" spans="1:21" x14ac:dyDescent="0.25">
      <c r="A327" s="12" t="s">
        <v>59</v>
      </c>
      <c r="B327" s="12" t="s">
        <v>40</v>
      </c>
      <c r="C327" s="12" t="s">
        <v>13</v>
      </c>
      <c r="D327" s="12">
        <v>3.5876164620550925</v>
      </c>
      <c r="E327" s="12">
        <v>3.8</v>
      </c>
      <c r="F327" s="12">
        <v>10</v>
      </c>
      <c r="G327" s="12">
        <v>3.8</v>
      </c>
      <c r="H327" s="12">
        <v>4.7647058823529385</v>
      </c>
      <c r="I327" s="12" t="s">
        <v>141</v>
      </c>
      <c r="K327" s="6">
        <v>46249</v>
      </c>
      <c r="L327">
        <v>46249</v>
      </c>
      <c r="M327">
        <v>1.0591990643903022</v>
      </c>
      <c r="N327">
        <v>1.0591990643903022</v>
      </c>
      <c r="O327">
        <v>1.3280978980745268</v>
      </c>
      <c r="P327">
        <v>0.94410959527765603</v>
      </c>
      <c r="Q327">
        <v>0.94410959527765603</v>
      </c>
      <c r="R327">
        <v>1.2538699690402471</v>
      </c>
      <c r="S327">
        <v>0.79753086419753128</v>
      </c>
      <c r="T327">
        <v>0.79753086419753128</v>
      </c>
      <c r="U327">
        <v>0.7529565414189705</v>
      </c>
    </row>
    <row r="328" spans="1:21" x14ac:dyDescent="0.25">
      <c r="A328" s="12" t="s">
        <v>59</v>
      </c>
      <c r="B328" s="12" t="s">
        <v>40</v>
      </c>
      <c r="C328" s="12" t="s">
        <v>15</v>
      </c>
      <c r="D328" s="12">
        <v>0</v>
      </c>
      <c r="E328" s="12">
        <v>0.95</v>
      </c>
      <c r="F328" s="12">
        <v>10</v>
      </c>
      <c r="G328" s="12">
        <v>0.95</v>
      </c>
      <c r="H328" s="12">
        <v>0</v>
      </c>
      <c r="I328" s="12" t="s">
        <v>140</v>
      </c>
      <c r="K328" s="6">
        <v>46249</v>
      </c>
      <c r="L328">
        <v>46249</v>
      </c>
      <c r="P328">
        <v>0</v>
      </c>
      <c r="Q328">
        <v>0</v>
      </c>
      <c r="R328">
        <v>0</v>
      </c>
    </row>
    <row r="329" spans="1:21" x14ac:dyDescent="0.25">
      <c r="A329" s="12" t="s">
        <v>63</v>
      </c>
      <c r="B329" s="12" t="s">
        <v>40</v>
      </c>
      <c r="C329" s="12" t="s">
        <v>14</v>
      </c>
      <c r="D329" s="12">
        <v>3.2276134260703255</v>
      </c>
      <c r="E329" s="12">
        <v>2.8499999999999996</v>
      </c>
      <c r="F329" s="12">
        <v>10</v>
      </c>
      <c r="G329" s="12">
        <v>2.8499999999999996</v>
      </c>
      <c r="H329" s="12">
        <v>4.6920415224913494</v>
      </c>
      <c r="I329" s="12" t="s">
        <v>139</v>
      </c>
      <c r="J329">
        <v>1</v>
      </c>
      <c r="K329" s="6">
        <v>46249</v>
      </c>
      <c r="L329">
        <v>46249</v>
      </c>
      <c r="M329">
        <v>0.88300537387153066</v>
      </c>
      <c r="N329">
        <v>0.88300537387153066</v>
      </c>
      <c r="O329">
        <v>1.4537185539607791</v>
      </c>
      <c r="P329">
        <v>1.1324959389720441</v>
      </c>
      <c r="Q329">
        <v>1.1324959389720441</v>
      </c>
      <c r="R329">
        <v>1.6463303587688947</v>
      </c>
      <c r="S329">
        <v>0.60741150442477865</v>
      </c>
      <c r="T329">
        <v>0.60741150442477865</v>
      </c>
      <c r="U329">
        <v>0.68789106204596173</v>
      </c>
    </row>
    <row r="330" spans="1:21" x14ac:dyDescent="0.25">
      <c r="A330" s="12" t="s">
        <v>63</v>
      </c>
      <c r="B330" s="12" t="s">
        <v>40</v>
      </c>
      <c r="C330" s="12" t="s">
        <v>13</v>
      </c>
      <c r="D330" s="12">
        <v>3.5876164620550925</v>
      </c>
      <c r="E330" s="12">
        <v>3.8</v>
      </c>
      <c r="F330" s="12">
        <v>10</v>
      </c>
      <c r="G330" s="12">
        <v>3.8</v>
      </c>
      <c r="H330" s="12">
        <v>4.7647058823529385</v>
      </c>
      <c r="I330" s="12" t="s">
        <v>141</v>
      </c>
      <c r="J330">
        <v>1</v>
      </c>
      <c r="K330" s="6">
        <v>46249</v>
      </c>
      <c r="L330">
        <v>46249</v>
      </c>
      <c r="M330">
        <v>1.0591990643903022</v>
      </c>
      <c r="N330">
        <v>1.0591990643903022</v>
      </c>
      <c r="O330">
        <v>1.3280978980745268</v>
      </c>
      <c r="P330">
        <v>0.94410959527765603</v>
      </c>
      <c r="Q330">
        <v>0.94410959527765603</v>
      </c>
      <c r="R330">
        <v>1.2538699690402471</v>
      </c>
      <c r="S330">
        <v>0.79753086419753128</v>
      </c>
      <c r="T330">
        <v>0.79753086419753128</v>
      </c>
      <c r="U330">
        <v>0.7529565414189705</v>
      </c>
    </row>
    <row r="331" spans="1:21" x14ac:dyDescent="0.25">
      <c r="A331" s="12" t="s">
        <v>63</v>
      </c>
      <c r="B331" s="12" t="s">
        <v>40</v>
      </c>
      <c r="C331" s="12" t="s">
        <v>15</v>
      </c>
      <c r="D331" s="12">
        <v>0</v>
      </c>
      <c r="E331" s="12">
        <v>0.95</v>
      </c>
      <c r="F331" s="12">
        <v>10</v>
      </c>
      <c r="G331" s="12">
        <v>0.95</v>
      </c>
      <c r="H331" s="12">
        <v>0</v>
      </c>
      <c r="I331" s="12" t="s">
        <v>140</v>
      </c>
      <c r="J331">
        <v>1</v>
      </c>
      <c r="K331" s="6">
        <v>46249</v>
      </c>
      <c r="L331">
        <v>46249</v>
      </c>
      <c r="P331">
        <v>0</v>
      </c>
      <c r="Q331">
        <v>0</v>
      </c>
      <c r="R331">
        <v>0</v>
      </c>
    </row>
    <row r="332" spans="1:21" x14ac:dyDescent="0.25">
      <c r="A332" s="12" t="s">
        <v>59</v>
      </c>
      <c r="B332" s="12" t="s">
        <v>40</v>
      </c>
      <c r="C332" s="12" t="s">
        <v>13</v>
      </c>
      <c r="D332" s="12">
        <v>3.5876164620550925</v>
      </c>
      <c r="E332" s="12">
        <v>3.8</v>
      </c>
      <c r="F332" s="12">
        <v>10</v>
      </c>
      <c r="G332" s="12">
        <v>3.8</v>
      </c>
      <c r="H332" s="12">
        <v>4.7022058823529402</v>
      </c>
      <c r="I332" s="12" t="s">
        <v>142</v>
      </c>
      <c r="K332" s="6">
        <v>46250</v>
      </c>
      <c r="L332">
        <v>46250</v>
      </c>
      <c r="M332">
        <v>1.0591990643903022</v>
      </c>
      <c r="N332">
        <v>1.0591990643903022</v>
      </c>
      <c r="O332">
        <v>1.3106768608312656</v>
      </c>
      <c r="P332">
        <v>0.94410959527765603</v>
      </c>
      <c r="Q332">
        <v>0.94410959527765603</v>
      </c>
      <c r="R332">
        <v>1.2374226006191948</v>
      </c>
      <c r="S332">
        <v>0.80813135261923386</v>
      </c>
      <c r="T332">
        <v>0.80813135261923386</v>
      </c>
      <c r="U332">
        <v>0.76296456425252956</v>
      </c>
    </row>
    <row r="333" spans="1:21" x14ac:dyDescent="0.25">
      <c r="A333" s="12" t="s">
        <v>59</v>
      </c>
      <c r="B333" s="12" t="s">
        <v>40</v>
      </c>
      <c r="C333" s="12" t="s">
        <v>15</v>
      </c>
      <c r="D333" s="12">
        <v>0</v>
      </c>
      <c r="E333" s="12">
        <v>0.95</v>
      </c>
      <c r="F333" s="12">
        <v>10</v>
      </c>
      <c r="G333" s="12">
        <v>0.95</v>
      </c>
      <c r="H333" s="12">
        <v>0</v>
      </c>
      <c r="I333" s="12" t="s">
        <v>143</v>
      </c>
      <c r="K333" s="6">
        <v>46250</v>
      </c>
      <c r="L333">
        <v>46250</v>
      </c>
      <c r="P333">
        <v>0</v>
      </c>
      <c r="Q333">
        <v>0</v>
      </c>
      <c r="R333">
        <v>0</v>
      </c>
    </row>
    <row r="334" spans="1:21" x14ac:dyDescent="0.25">
      <c r="A334" s="12" t="s">
        <v>59</v>
      </c>
      <c r="B334" s="12" t="s">
        <v>40</v>
      </c>
      <c r="C334" s="12" t="s">
        <v>14</v>
      </c>
      <c r="D334" s="12">
        <v>3.1779578349000133</v>
      </c>
      <c r="E334" s="12">
        <v>2.8499999999999996</v>
      </c>
      <c r="F334" s="12">
        <v>10</v>
      </c>
      <c r="G334" s="12">
        <v>2.8499999999999996</v>
      </c>
      <c r="H334" s="12">
        <v>4.6332179930795849</v>
      </c>
      <c r="I334" s="12" t="s">
        <v>144</v>
      </c>
      <c r="K334" s="6">
        <v>46250</v>
      </c>
      <c r="L334">
        <v>46250</v>
      </c>
      <c r="M334">
        <v>0.89680233283827315</v>
      </c>
      <c r="N334">
        <v>0.89680233283827315</v>
      </c>
      <c r="O334">
        <v>1.4579230542954507</v>
      </c>
      <c r="P334">
        <v>1.1150729245263207</v>
      </c>
      <c r="Q334">
        <v>1.1150729245263207</v>
      </c>
      <c r="R334">
        <v>1.6256905238875738</v>
      </c>
      <c r="S334">
        <v>0.61512322628827476</v>
      </c>
      <c r="T334">
        <v>0.61512322628827476</v>
      </c>
      <c r="U334">
        <v>0.6859072548813322</v>
      </c>
    </row>
    <row r="335" spans="1:21" x14ac:dyDescent="0.25">
      <c r="A335" s="12" t="s">
        <v>63</v>
      </c>
      <c r="B335" s="12" t="s">
        <v>40</v>
      </c>
      <c r="C335" s="12" t="s">
        <v>13</v>
      </c>
      <c r="D335" s="12">
        <v>3.5876164620550925</v>
      </c>
      <c r="E335" s="12">
        <v>3.8</v>
      </c>
      <c r="F335" s="12">
        <v>10</v>
      </c>
      <c r="G335" s="12">
        <v>3.8</v>
      </c>
      <c r="H335" s="12">
        <v>4.7022058823529402</v>
      </c>
      <c r="I335" s="12" t="s">
        <v>142</v>
      </c>
      <c r="J335">
        <v>1</v>
      </c>
      <c r="K335" s="6">
        <v>46250</v>
      </c>
      <c r="L335">
        <v>46250</v>
      </c>
      <c r="M335">
        <v>1.0591990643903022</v>
      </c>
      <c r="N335">
        <v>1.0591990643903022</v>
      </c>
      <c r="O335">
        <v>1.3106768608312656</v>
      </c>
      <c r="P335">
        <v>0.94410959527765603</v>
      </c>
      <c r="Q335">
        <v>0.94410959527765603</v>
      </c>
      <c r="R335">
        <v>1.2374226006191948</v>
      </c>
      <c r="S335">
        <v>0.80813135261923386</v>
      </c>
      <c r="T335">
        <v>0.80813135261923386</v>
      </c>
      <c r="U335">
        <v>0.76296456425252956</v>
      </c>
    </row>
    <row r="336" spans="1:21" x14ac:dyDescent="0.25">
      <c r="A336" s="12" t="s">
        <v>63</v>
      </c>
      <c r="B336" s="12" t="s">
        <v>40</v>
      </c>
      <c r="C336" s="12" t="s">
        <v>15</v>
      </c>
      <c r="D336" s="12">
        <v>0</v>
      </c>
      <c r="E336" s="12">
        <v>0.95</v>
      </c>
      <c r="F336" s="12">
        <v>10</v>
      </c>
      <c r="G336" s="12">
        <v>0.95</v>
      </c>
      <c r="H336" s="12">
        <v>0</v>
      </c>
      <c r="I336" s="12" t="s">
        <v>143</v>
      </c>
      <c r="J336">
        <v>1</v>
      </c>
      <c r="K336" s="6">
        <v>46250</v>
      </c>
      <c r="L336">
        <v>46250</v>
      </c>
      <c r="P336">
        <v>0</v>
      </c>
      <c r="Q336">
        <v>0</v>
      </c>
      <c r="R336">
        <v>0</v>
      </c>
    </row>
    <row r="337" spans="1:21" x14ac:dyDescent="0.25">
      <c r="A337" s="12" t="s">
        <v>63</v>
      </c>
      <c r="B337" s="12" t="s">
        <v>40</v>
      </c>
      <c r="C337" s="12" t="s">
        <v>14</v>
      </c>
      <c r="D337" s="12">
        <v>3.1779578349000133</v>
      </c>
      <c r="E337" s="12">
        <v>2.8499999999999996</v>
      </c>
      <c r="F337" s="12">
        <v>10</v>
      </c>
      <c r="G337" s="12">
        <v>2.8499999999999996</v>
      </c>
      <c r="H337" s="12">
        <v>4.6332179930795849</v>
      </c>
      <c r="I337" s="12" t="s">
        <v>144</v>
      </c>
      <c r="J337">
        <v>1</v>
      </c>
      <c r="K337" s="6">
        <v>46250</v>
      </c>
      <c r="L337">
        <v>46250</v>
      </c>
      <c r="M337">
        <v>0.89680233283827315</v>
      </c>
      <c r="N337">
        <v>0.89680233283827315</v>
      </c>
      <c r="O337">
        <v>1.4579230542954507</v>
      </c>
      <c r="P337">
        <v>1.1150729245263207</v>
      </c>
      <c r="Q337">
        <v>1.1150729245263207</v>
      </c>
      <c r="R337">
        <v>1.6256905238875738</v>
      </c>
      <c r="S337">
        <v>0.61512322628827476</v>
      </c>
      <c r="T337">
        <v>0.61512322628827476</v>
      </c>
      <c r="U337">
        <v>0.6859072548813322</v>
      </c>
    </row>
    <row r="338" spans="1:21" x14ac:dyDescent="0.25">
      <c r="A338" s="12" t="s">
        <v>59</v>
      </c>
      <c r="B338" s="12" t="s">
        <v>39</v>
      </c>
      <c r="C338" s="12" t="s">
        <v>15</v>
      </c>
      <c r="D338" s="12">
        <v>1.2742252699784016</v>
      </c>
      <c r="E338" s="12">
        <v>0</v>
      </c>
      <c r="F338" s="12">
        <v>10</v>
      </c>
      <c r="G338" s="12">
        <v>0</v>
      </c>
      <c r="H338" s="12">
        <v>0.94117647058823517</v>
      </c>
      <c r="I338" s="12" t="s">
        <v>60</v>
      </c>
      <c r="K338" s="6">
        <v>46223</v>
      </c>
      <c r="L338">
        <v>46223</v>
      </c>
      <c r="M338">
        <v>0</v>
      </c>
      <c r="N338">
        <v>0</v>
      </c>
      <c r="O338">
        <v>0.73862643659875649</v>
      </c>
      <c r="S338">
        <v>0</v>
      </c>
      <c r="T338">
        <v>0</v>
      </c>
      <c r="U338">
        <v>1.3538643493520519</v>
      </c>
    </row>
    <row r="339" spans="1:21" x14ac:dyDescent="0.25">
      <c r="A339" s="12" t="s">
        <v>59</v>
      </c>
      <c r="B339" s="12" t="s">
        <v>39</v>
      </c>
      <c r="C339" s="12" t="s">
        <v>14</v>
      </c>
      <c r="D339" s="12">
        <v>3.3729492440604751</v>
      </c>
      <c r="E339" s="12">
        <v>2.8499999999999996</v>
      </c>
      <c r="F339" s="12">
        <v>10</v>
      </c>
      <c r="G339" s="12">
        <v>2.8499999999999996</v>
      </c>
      <c r="H339" s="12">
        <v>4.4273356401384074</v>
      </c>
      <c r="I339" s="12" t="s">
        <v>61</v>
      </c>
      <c r="K339" s="6">
        <v>46223</v>
      </c>
      <c r="L339">
        <v>46223</v>
      </c>
      <c r="M339">
        <v>0.84495786736745238</v>
      </c>
      <c r="N339">
        <v>0.84495786736745238</v>
      </c>
      <c r="O339">
        <v>1.3126007300390399</v>
      </c>
      <c r="P339">
        <v>1.1834909628282371</v>
      </c>
      <c r="Q339">
        <v>1.1834909628282371</v>
      </c>
      <c r="R339">
        <v>1.5534511018029502</v>
      </c>
      <c r="S339">
        <v>0.6437280187573271</v>
      </c>
      <c r="T339">
        <v>0.6437280187573271</v>
      </c>
      <c r="U339">
        <v>0.76184629271862248</v>
      </c>
    </row>
    <row r="340" spans="1:21" x14ac:dyDescent="0.25">
      <c r="A340" s="12" t="s">
        <v>59</v>
      </c>
      <c r="B340" s="12" t="s">
        <v>39</v>
      </c>
      <c r="C340" s="12" t="s">
        <v>13</v>
      </c>
      <c r="D340" s="12">
        <v>5.8323914011879046</v>
      </c>
      <c r="E340" s="12">
        <v>5.6999999999999993</v>
      </c>
      <c r="F340" s="12">
        <v>10</v>
      </c>
      <c r="G340" s="12">
        <v>5.6999999999999993</v>
      </c>
      <c r="H340" s="12">
        <v>4.2297794117647056</v>
      </c>
      <c r="I340" s="12" t="s">
        <v>62</v>
      </c>
      <c r="K340" s="6">
        <v>46223</v>
      </c>
      <c r="L340">
        <v>46223</v>
      </c>
      <c r="M340">
        <v>0.97730066587078834</v>
      </c>
      <c r="N340">
        <v>0.97730066587078834</v>
      </c>
      <c r="O340">
        <v>0.72522214659722783</v>
      </c>
      <c r="P340">
        <v>1.0232265616119132</v>
      </c>
      <c r="Q340">
        <v>1.0232265616119132</v>
      </c>
      <c r="R340">
        <v>0.74206656346749233</v>
      </c>
      <c r="S340">
        <v>1.3475880052151237</v>
      </c>
      <c r="T340">
        <v>1.3475880052151237</v>
      </c>
      <c r="U340">
        <v>1.3788878410457281</v>
      </c>
    </row>
    <row r="341" spans="1:21" x14ac:dyDescent="0.25">
      <c r="A341" s="12" t="s">
        <v>63</v>
      </c>
      <c r="B341" s="12" t="s">
        <v>39</v>
      </c>
      <c r="C341" s="12" t="s">
        <v>15</v>
      </c>
      <c r="D341" s="12">
        <v>1.2742252699784016</v>
      </c>
      <c r="E341" s="12">
        <v>0</v>
      </c>
      <c r="F341" s="12">
        <v>10</v>
      </c>
      <c r="G341" s="12">
        <v>0</v>
      </c>
      <c r="H341" s="12">
        <v>0.94117647058823517</v>
      </c>
      <c r="I341" s="12" t="s">
        <v>60</v>
      </c>
      <c r="J341">
        <v>1</v>
      </c>
      <c r="K341" s="6">
        <v>46223</v>
      </c>
      <c r="L341">
        <v>46223</v>
      </c>
      <c r="M341">
        <v>0</v>
      </c>
      <c r="N341">
        <v>0</v>
      </c>
      <c r="O341">
        <v>0.73862643659875649</v>
      </c>
      <c r="S341">
        <v>0</v>
      </c>
      <c r="T341">
        <v>0</v>
      </c>
      <c r="U341">
        <v>1.3538643493520519</v>
      </c>
    </row>
    <row r="342" spans="1:21" x14ac:dyDescent="0.25">
      <c r="A342" s="12" t="s">
        <v>63</v>
      </c>
      <c r="B342" s="12" t="s">
        <v>39</v>
      </c>
      <c r="C342" s="12" t="s">
        <v>14</v>
      </c>
      <c r="D342" s="12">
        <v>3.3729492440604751</v>
      </c>
      <c r="E342" s="12">
        <v>2.8499999999999996</v>
      </c>
      <c r="F342" s="12">
        <v>10</v>
      </c>
      <c r="G342" s="12">
        <v>2.8499999999999996</v>
      </c>
      <c r="H342" s="12">
        <v>4.4273356401384074</v>
      </c>
      <c r="I342" s="12" t="s">
        <v>61</v>
      </c>
      <c r="J342">
        <v>1</v>
      </c>
      <c r="K342" s="6">
        <v>46223</v>
      </c>
      <c r="L342">
        <v>46223</v>
      </c>
      <c r="M342">
        <v>0.84495786736745238</v>
      </c>
      <c r="N342">
        <v>0.84495786736745238</v>
      </c>
      <c r="O342">
        <v>1.3126007300390399</v>
      </c>
      <c r="P342">
        <v>1.1834909628282371</v>
      </c>
      <c r="Q342">
        <v>1.1834909628282371</v>
      </c>
      <c r="R342">
        <v>1.5534511018029502</v>
      </c>
      <c r="S342">
        <v>0.6437280187573271</v>
      </c>
      <c r="T342">
        <v>0.6437280187573271</v>
      </c>
      <c r="U342">
        <v>0.76184629271862248</v>
      </c>
    </row>
    <row r="343" spans="1:21" x14ac:dyDescent="0.25">
      <c r="A343" s="12" t="s">
        <v>63</v>
      </c>
      <c r="B343" s="12" t="s">
        <v>39</v>
      </c>
      <c r="C343" s="12" t="s">
        <v>13</v>
      </c>
      <c r="D343" s="12">
        <v>5.8323914011879046</v>
      </c>
      <c r="E343" s="12">
        <v>5.6999999999999993</v>
      </c>
      <c r="F343" s="12">
        <v>10</v>
      </c>
      <c r="G343" s="12">
        <v>5.6999999999999993</v>
      </c>
      <c r="H343" s="12">
        <v>4.2297794117647056</v>
      </c>
      <c r="I343" s="12" t="s">
        <v>62</v>
      </c>
      <c r="J343">
        <v>1</v>
      </c>
      <c r="K343" s="6">
        <v>46223</v>
      </c>
      <c r="L343">
        <v>46223</v>
      </c>
      <c r="M343">
        <v>0.97730066587078834</v>
      </c>
      <c r="N343">
        <v>0.97730066587078834</v>
      </c>
      <c r="O343">
        <v>0.72522214659722783</v>
      </c>
      <c r="P343">
        <v>1.0232265616119132</v>
      </c>
      <c r="Q343">
        <v>1.0232265616119132</v>
      </c>
      <c r="R343">
        <v>0.74206656346749233</v>
      </c>
      <c r="S343">
        <v>1.3475880052151237</v>
      </c>
      <c r="T343">
        <v>1.3475880052151237</v>
      </c>
      <c r="U343">
        <v>1.3788878410457281</v>
      </c>
    </row>
    <row r="344" spans="1:21" x14ac:dyDescent="0.25">
      <c r="A344" s="12" t="s">
        <v>59</v>
      </c>
      <c r="B344" s="12" t="s">
        <v>39</v>
      </c>
      <c r="C344" s="12" t="s">
        <v>13</v>
      </c>
      <c r="D344" s="12">
        <v>5.8323914011879054</v>
      </c>
      <c r="E344" s="12">
        <v>5.6999999999999993</v>
      </c>
      <c r="F344" s="12">
        <v>10</v>
      </c>
      <c r="G344" s="12">
        <v>5.6999999999999993</v>
      </c>
      <c r="H344" s="12">
        <v>4.2886029411764692</v>
      </c>
      <c r="I344" s="12" t="s">
        <v>65</v>
      </c>
      <c r="K344" s="6">
        <v>46224</v>
      </c>
      <c r="L344">
        <v>46224</v>
      </c>
      <c r="M344">
        <v>0.97730066587078823</v>
      </c>
      <c r="N344">
        <v>0.97730066587078823</v>
      </c>
      <c r="O344">
        <v>0.7353078087837166</v>
      </c>
      <c r="P344">
        <v>1.0232265616119134</v>
      </c>
      <c r="Q344">
        <v>1.0232265616119134</v>
      </c>
      <c r="R344">
        <v>0.75238648090815263</v>
      </c>
      <c r="S344">
        <v>1.3291041577368199</v>
      </c>
      <c r="T344">
        <v>1.3291041577368199</v>
      </c>
      <c r="U344">
        <v>1.3599746773451442</v>
      </c>
    </row>
    <row r="345" spans="1:21" x14ac:dyDescent="0.25">
      <c r="A345" s="12" t="s">
        <v>59</v>
      </c>
      <c r="B345" s="12" t="s">
        <v>39</v>
      </c>
      <c r="C345" s="12" t="s">
        <v>14</v>
      </c>
      <c r="D345" s="12">
        <v>3.3729492440604751</v>
      </c>
      <c r="E345" s="12">
        <v>0.95</v>
      </c>
      <c r="F345" s="12">
        <v>10</v>
      </c>
      <c r="G345" s="12">
        <v>0.95</v>
      </c>
      <c r="H345" s="12">
        <v>3.4861591695501715</v>
      </c>
      <c r="I345" s="12" t="s">
        <v>66</v>
      </c>
      <c r="K345" s="6">
        <v>46224</v>
      </c>
      <c r="L345">
        <v>46224</v>
      </c>
      <c r="M345">
        <v>0.28165262245581746</v>
      </c>
      <c r="N345">
        <v>0.28165262245581746</v>
      </c>
      <c r="O345">
        <v>1.0335640762128429</v>
      </c>
      <c r="P345">
        <v>3.5504728884847108</v>
      </c>
      <c r="Q345">
        <v>3.5504728884847108</v>
      </c>
      <c r="R345">
        <v>3.6696412311054436</v>
      </c>
      <c r="S345">
        <v>0.2725062034739455</v>
      </c>
      <c r="T345">
        <v>0.2725062034739455</v>
      </c>
      <c r="U345">
        <v>0.96752588737814171</v>
      </c>
    </row>
    <row r="346" spans="1:21" x14ac:dyDescent="0.25">
      <c r="A346" s="12" t="s">
        <v>59</v>
      </c>
      <c r="B346" s="12" t="s">
        <v>39</v>
      </c>
      <c r="C346" s="12" t="s">
        <v>15</v>
      </c>
      <c r="D346" s="12">
        <v>1.2742252699784016</v>
      </c>
      <c r="E346" s="12">
        <v>0</v>
      </c>
      <c r="F346" s="12">
        <v>10</v>
      </c>
      <c r="G346" s="12">
        <v>0</v>
      </c>
      <c r="H346" s="12">
        <v>0.94117647058823517</v>
      </c>
      <c r="I346" s="12" t="s">
        <v>64</v>
      </c>
      <c r="K346" s="6">
        <v>46224</v>
      </c>
      <c r="L346">
        <v>46224</v>
      </c>
      <c r="M346">
        <v>0</v>
      </c>
      <c r="N346">
        <v>0</v>
      </c>
      <c r="O346">
        <v>0.73862643659875649</v>
      </c>
      <c r="S346">
        <v>0</v>
      </c>
      <c r="T346">
        <v>0</v>
      </c>
      <c r="U346">
        <v>1.3538643493520519</v>
      </c>
    </row>
    <row r="347" spans="1:21" x14ac:dyDescent="0.25">
      <c r="A347" s="12" t="s">
        <v>63</v>
      </c>
      <c r="B347" s="12" t="s">
        <v>39</v>
      </c>
      <c r="C347" s="12" t="s">
        <v>13</v>
      </c>
      <c r="D347" s="12">
        <v>5.8323914011879054</v>
      </c>
      <c r="E347" s="12">
        <v>5.6999999999999993</v>
      </c>
      <c r="F347" s="12">
        <v>10</v>
      </c>
      <c r="G347" s="12">
        <v>5.6999999999999993</v>
      </c>
      <c r="H347" s="12">
        <v>4.2886029411764692</v>
      </c>
      <c r="I347" s="12" t="s">
        <v>65</v>
      </c>
      <c r="J347">
        <v>1</v>
      </c>
      <c r="K347" s="6">
        <v>46224</v>
      </c>
      <c r="L347">
        <v>46224</v>
      </c>
      <c r="M347">
        <v>0.97730066587078823</v>
      </c>
      <c r="N347">
        <v>0.97730066587078823</v>
      </c>
      <c r="O347">
        <v>0.7353078087837166</v>
      </c>
      <c r="P347">
        <v>1.0232265616119134</v>
      </c>
      <c r="Q347">
        <v>1.0232265616119134</v>
      </c>
      <c r="R347">
        <v>0.75238648090815263</v>
      </c>
      <c r="S347">
        <v>1.3291041577368199</v>
      </c>
      <c r="T347">
        <v>1.3291041577368199</v>
      </c>
      <c r="U347">
        <v>1.3599746773451442</v>
      </c>
    </row>
    <row r="348" spans="1:21" x14ac:dyDescent="0.25">
      <c r="A348" s="12" t="s">
        <v>63</v>
      </c>
      <c r="B348" s="12" t="s">
        <v>39</v>
      </c>
      <c r="C348" s="12" t="s">
        <v>14</v>
      </c>
      <c r="D348" s="12">
        <v>3.3729492440604751</v>
      </c>
      <c r="E348" s="12">
        <v>0.95</v>
      </c>
      <c r="F348" s="12">
        <v>10</v>
      </c>
      <c r="G348" s="12">
        <v>0.95</v>
      </c>
      <c r="H348" s="12">
        <v>3.4861591695501715</v>
      </c>
      <c r="I348" s="12" t="s">
        <v>66</v>
      </c>
      <c r="J348">
        <v>1</v>
      </c>
      <c r="K348" s="6">
        <v>46224</v>
      </c>
      <c r="L348">
        <v>46224</v>
      </c>
      <c r="M348">
        <v>0.28165262245581746</v>
      </c>
      <c r="N348">
        <v>0.28165262245581746</v>
      </c>
      <c r="O348">
        <v>1.0335640762128429</v>
      </c>
      <c r="P348">
        <v>3.5504728884847108</v>
      </c>
      <c r="Q348">
        <v>3.5504728884847108</v>
      </c>
      <c r="R348">
        <v>3.6696412311054436</v>
      </c>
      <c r="S348">
        <v>0.2725062034739455</v>
      </c>
      <c r="T348">
        <v>0.2725062034739455</v>
      </c>
      <c r="U348">
        <v>0.96752588737814171</v>
      </c>
    </row>
    <row r="349" spans="1:21" x14ac:dyDescent="0.25">
      <c r="A349" s="12" t="s">
        <v>63</v>
      </c>
      <c r="B349" s="12" t="s">
        <v>39</v>
      </c>
      <c r="C349" s="12" t="s">
        <v>15</v>
      </c>
      <c r="D349" s="12">
        <v>1.2742252699784016</v>
      </c>
      <c r="E349" s="12">
        <v>0</v>
      </c>
      <c r="F349" s="12">
        <v>10</v>
      </c>
      <c r="G349" s="12">
        <v>0</v>
      </c>
      <c r="H349" s="12">
        <v>0.94117647058823517</v>
      </c>
      <c r="I349" s="12" t="s">
        <v>64</v>
      </c>
      <c r="J349">
        <v>1</v>
      </c>
      <c r="K349" s="6">
        <v>46224</v>
      </c>
      <c r="L349">
        <v>46224</v>
      </c>
      <c r="M349">
        <v>0</v>
      </c>
      <c r="N349">
        <v>0</v>
      </c>
      <c r="O349">
        <v>0.73862643659875649</v>
      </c>
      <c r="S349">
        <v>0</v>
      </c>
      <c r="T349">
        <v>0</v>
      </c>
      <c r="U349">
        <v>1.3538643493520519</v>
      </c>
    </row>
    <row r="350" spans="1:21" x14ac:dyDescent="0.25">
      <c r="A350" s="12" t="s">
        <v>59</v>
      </c>
      <c r="B350" s="12" t="s">
        <v>39</v>
      </c>
      <c r="C350" s="12" t="s">
        <v>14</v>
      </c>
      <c r="D350" s="12">
        <v>3.902039321560157</v>
      </c>
      <c r="E350" s="12">
        <v>4.75</v>
      </c>
      <c r="F350" s="12">
        <v>10</v>
      </c>
      <c r="G350" s="12">
        <v>4.75</v>
      </c>
      <c r="H350" s="12">
        <v>3.8019031141868487</v>
      </c>
      <c r="I350" s="12" t="s">
        <v>68</v>
      </c>
      <c r="K350" s="6">
        <v>46225</v>
      </c>
      <c r="L350">
        <v>46225</v>
      </c>
      <c r="M350">
        <v>1.2173121818005672</v>
      </c>
      <c r="N350">
        <v>1.2173121818005672</v>
      </c>
      <c r="O350">
        <v>0.97433746840529767</v>
      </c>
      <c r="P350">
        <v>0.82148196243371729</v>
      </c>
      <c r="Q350">
        <v>0.82148196243371729</v>
      </c>
      <c r="R350">
        <v>0.80040065561828388</v>
      </c>
      <c r="S350">
        <v>1.2493742889647335</v>
      </c>
      <c r="T350">
        <v>1.2493742889647335</v>
      </c>
      <c r="U350">
        <v>1.0263384427129794</v>
      </c>
    </row>
    <row r="351" spans="1:21" x14ac:dyDescent="0.25">
      <c r="A351" s="12" t="s">
        <v>59</v>
      </c>
      <c r="B351" s="12" t="s">
        <v>39</v>
      </c>
      <c r="C351" s="12" t="s">
        <v>15</v>
      </c>
      <c r="D351" s="12">
        <v>1.2742252699784016</v>
      </c>
      <c r="E351" s="12">
        <v>0</v>
      </c>
      <c r="F351" s="12">
        <v>10</v>
      </c>
      <c r="G351" s="12">
        <v>0</v>
      </c>
      <c r="H351" s="12">
        <v>0.94117647058823517</v>
      </c>
      <c r="I351" s="12" t="s">
        <v>69</v>
      </c>
      <c r="K351" s="6">
        <v>46225</v>
      </c>
      <c r="L351">
        <v>46225</v>
      </c>
      <c r="M351">
        <v>0</v>
      </c>
      <c r="N351">
        <v>0</v>
      </c>
      <c r="O351">
        <v>0.73862643659875649</v>
      </c>
      <c r="S351">
        <v>0</v>
      </c>
      <c r="T351">
        <v>0</v>
      </c>
      <c r="U351">
        <v>1.3538643493520519</v>
      </c>
    </row>
    <row r="352" spans="1:21" x14ac:dyDescent="0.25">
      <c r="A352" s="12" t="s">
        <v>59</v>
      </c>
      <c r="B352" s="12" t="s">
        <v>39</v>
      </c>
      <c r="C352" s="12" t="s">
        <v>13</v>
      </c>
      <c r="D352" s="12">
        <v>4.6378052105831538</v>
      </c>
      <c r="E352" s="12">
        <v>3.8</v>
      </c>
      <c r="F352" s="12">
        <v>10</v>
      </c>
      <c r="G352" s="12">
        <v>3.8</v>
      </c>
      <c r="H352" s="12">
        <v>2.7656250000000009</v>
      </c>
      <c r="I352" s="12" t="s">
        <v>67</v>
      </c>
      <c r="K352" s="6">
        <v>46225</v>
      </c>
      <c r="L352">
        <v>46225</v>
      </c>
      <c r="M352">
        <v>0.81935308350783254</v>
      </c>
      <c r="N352">
        <v>0.81935308350783254</v>
      </c>
      <c r="O352">
        <v>0.59632193988851323</v>
      </c>
      <c r="P352">
        <v>1.2204750554166195</v>
      </c>
      <c r="Q352">
        <v>1.2204750554166195</v>
      </c>
      <c r="R352">
        <v>0.7277960526315792</v>
      </c>
      <c r="S352">
        <v>1.3740112994350278</v>
      </c>
      <c r="T352">
        <v>1.3740112994350278</v>
      </c>
      <c r="U352">
        <v>1.6769465168210269</v>
      </c>
    </row>
    <row r="353" spans="1:21" x14ac:dyDescent="0.25">
      <c r="A353" s="12" t="s">
        <v>63</v>
      </c>
      <c r="B353" s="12" t="s">
        <v>39</v>
      </c>
      <c r="C353" s="12" t="s">
        <v>14</v>
      </c>
      <c r="D353" s="12">
        <v>3.902039321560157</v>
      </c>
      <c r="E353" s="12">
        <v>4.75</v>
      </c>
      <c r="F353" s="12">
        <v>10</v>
      </c>
      <c r="G353" s="12">
        <v>4.75</v>
      </c>
      <c r="H353" s="12">
        <v>3.8019031141868487</v>
      </c>
      <c r="I353" s="12" t="s">
        <v>68</v>
      </c>
      <c r="J353">
        <v>1</v>
      </c>
      <c r="K353" s="6">
        <v>46225</v>
      </c>
      <c r="L353">
        <v>46225</v>
      </c>
      <c r="M353">
        <v>1.2173121818005672</v>
      </c>
      <c r="N353">
        <v>1.2173121818005672</v>
      </c>
      <c r="O353">
        <v>0.97433746840529767</v>
      </c>
      <c r="P353">
        <v>0.82148196243371729</v>
      </c>
      <c r="Q353">
        <v>0.82148196243371729</v>
      </c>
      <c r="R353">
        <v>0.80040065561828388</v>
      </c>
      <c r="S353">
        <v>1.2493742889647335</v>
      </c>
      <c r="T353">
        <v>1.2493742889647335</v>
      </c>
      <c r="U353">
        <v>1.0263384427129794</v>
      </c>
    </row>
    <row r="354" spans="1:21" x14ac:dyDescent="0.25">
      <c r="A354" s="12" t="s">
        <v>63</v>
      </c>
      <c r="B354" s="12" t="s">
        <v>39</v>
      </c>
      <c r="C354" s="12" t="s">
        <v>15</v>
      </c>
      <c r="D354" s="12">
        <v>1.2742252699784016</v>
      </c>
      <c r="E354" s="12">
        <v>0</v>
      </c>
      <c r="F354" s="12">
        <v>10</v>
      </c>
      <c r="G354" s="12">
        <v>0</v>
      </c>
      <c r="H354" s="12">
        <v>0.94117647058823517</v>
      </c>
      <c r="I354" s="12" t="s">
        <v>69</v>
      </c>
      <c r="J354">
        <v>1</v>
      </c>
      <c r="K354" s="6">
        <v>46225</v>
      </c>
      <c r="L354">
        <v>46225</v>
      </c>
      <c r="M354">
        <v>0</v>
      </c>
      <c r="N354">
        <v>0</v>
      </c>
      <c r="O354">
        <v>0.73862643659875649</v>
      </c>
      <c r="S354">
        <v>0</v>
      </c>
      <c r="T354">
        <v>0</v>
      </c>
      <c r="U354">
        <v>1.3538643493520519</v>
      </c>
    </row>
    <row r="355" spans="1:21" x14ac:dyDescent="0.25">
      <c r="A355" s="12" t="s">
        <v>63</v>
      </c>
      <c r="B355" s="12" t="s">
        <v>39</v>
      </c>
      <c r="C355" s="12" t="s">
        <v>13</v>
      </c>
      <c r="D355" s="12">
        <v>4.6378052105831538</v>
      </c>
      <c r="E355" s="12">
        <v>3.8</v>
      </c>
      <c r="F355" s="12">
        <v>10</v>
      </c>
      <c r="G355" s="12">
        <v>3.8</v>
      </c>
      <c r="H355" s="12">
        <v>2.7656250000000009</v>
      </c>
      <c r="I355" s="12" t="s">
        <v>67</v>
      </c>
      <c r="J355">
        <v>1</v>
      </c>
      <c r="K355" s="6">
        <v>46225</v>
      </c>
      <c r="L355">
        <v>46225</v>
      </c>
      <c r="M355">
        <v>0.81935308350783254</v>
      </c>
      <c r="N355">
        <v>0.81935308350783254</v>
      </c>
      <c r="O355">
        <v>0.59632193988851323</v>
      </c>
      <c r="P355">
        <v>1.2204750554166195</v>
      </c>
      <c r="Q355">
        <v>1.2204750554166195</v>
      </c>
      <c r="R355">
        <v>0.7277960526315792</v>
      </c>
      <c r="S355">
        <v>1.3740112994350278</v>
      </c>
      <c r="T355">
        <v>1.3740112994350278</v>
      </c>
      <c r="U355">
        <v>1.6769465168210269</v>
      </c>
    </row>
    <row r="356" spans="1:21" x14ac:dyDescent="0.25">
      <c r="A356" s="12" t="s">
        <v>59</v>
      </c>
      <c r="B356" s="12" t="s">
        <v>39</v>
      </c>
      <c r="C356" s="12" t="s">
        <v>14</v>
      </c>
      <c r="D356" s="12">
        <v>3.505221763435395</v>
      </c>
      <c r="E356" s="12">
        <v>3.8</v>
      </c>
      <c r="F356" s="12">
        <v>10</v>
      </c>
      <c r="G356" s="12">
        <v>3.8</v>
      </c>
      <c r="H356" s="12">
        <v>3.1619012930249499</v>
      </c>
      <c r="I356" s="12" t="s">
        <v>70</v>
      </c>
      <c r="K356" s="6">
        <v>46226</v>
      </c>
      <c r="L356">
        <v>46226</v>
      </c>
      <c r="M356">
        <v>1.0840968864337128</v>
      </c>
      <c r="N356">
        <v>1.0840968864337128</v>
      </c>
      <c r="O356">
        <v>0.90205456499449443</v>
      </c>
      <c r="P356">
        <v>0.92242677985141974</v>
      </c>
      <c r="Q356">
        <v>0.92242677985141974</v>
      </c>
      <c r="R356">
        <v>0.83207928763814476</v>
      </c>
      <c r="S356">
        <v>1.201808547402373</v>
      </c>
      <c r="T356">
        <v>1.201808547402373</v>
      </c>
      <c r="U356">
        <v>1.1085803883782832</v>
      </c>
    </row>
    <row r="357" spans="1:21" x14ac:dyDescent="0.25">
      <c r="A357" s="12" t="s">
        <v>59</v>
      </c>
      <c r="B357" s="12" t="s">
        <v>39</v>
      </c>
      <c r="C357" s="12" t="s">
        <v>13</v>
      </c>
      <c r="D357" s="12">
        <v>5.9729309530237575</v>
      </c>
      <c r="E357" s="12">
        <v>2.8499999999999996</v>
      </c>
      <c r="F357" s="12">
        <v>10</v>
      </c>
      <c r="G357" s="12">
        <v>2.8499999999999996</v>
      </c>
      <c r="H357" s="12">
        <v>4.8831269349845199</v>
      </c>
      <c r="I357" s="12" t="s">
        <v>71</v>
      </c>
      <c r="K357" s="6">
        <v>46226</v>
      </c>
      <c r="L357">
        <v>46226</v>
      </c>
      <c r="M357">
        <v>0.47715267804279665</v>
      </c>
      <c r="N357">
        <v>0.47715267804279665</v>
      </c>
      <c r="O357">
        <v>0.81754284008799205</v>
      </c>
      <c r="P357">
        <v>2.0957652466750027</v>
      </c>
      <c r="Q357">
        <v>2.0957652466750027</v>
      </c>
      <c r="R357">
        <v>1.7133778719243931</v>
      </c>
      <c r="S357">
        <v>0.58364241559676644</v>
      </c>
      <c r="T357">
        <v>0.58364241559676644</v>
      </c>
      <c r="U357">
        <v>1.2231774910931519</v>
      </c>
    </row>
    <row r="358" spans="1:21" x14ac:dyDescent="0.25">
      <c r="A358" s="12" t="s">
        <v>59</v>
      </c>
      <c r="B358" s="12" t="s">
        <v>39</v>
      </c>
      <c r="C358" s="12" t="s">
        <v>15</v>
      </c>
      <c r="D358" s="12">
        <v>1.2742252699784016</v>
      </c>
      <c r="E358" s="12">
        <v>0</v>
      </c>
      <c r="F358" s="12">
        <v>10</v>
      </c>
      <c r="G358" s="12">
        <v>0</v>
      </c>
      <c r="H358" s="12">
        <v>0.94117647058823517</v>
      </c>
      <c r="I358" s="12" t="s">
        <v>72</v>
      </c>
      <c r="K358" s="6">
        <v>46226</v>
      </c>
      <c r="L358">
        <v>46226</v>
      </c>
      <c r="M358">
        <v>0</v>
      </c>
      <c r="N358">
        <v>0</v>
      </c>
      <c r="O358">
        <v>0.73862643659875649</v>
      </c>
      <c r="S358">
        <v>0</v>
      </c>
      <c r="T358">
        <v>0</v>
      </c>
      <c r="U358">
        <v>1.3538643493520519</v>
      </c>
    </row>
    <row r="359" spans="1:21" x14ac:dyDescent="0.25">
      <c r="A359" s="12" t="s">
        <v>63</v>
      </c>
      <c r="B359" s="12" t="s">
        <v>39</v>
      </c>
      <c r="C359" s="12" t="s">
        <v>14</v>
      </c>
      <c r="D359" s="12">
        <v>3.505221763435395</v>
      </c>
      <c r="E359" s="12">
        <v>3.8</v>
      </c>
      <c r="F359" s="12">
        <v>10</v>
      </c>
      <c r="G359" s="12">
        <v>3.8</v>
      </c>
      <c r="H359" s="12">
        <v>3.1619012930249499</v>
      </c>
      <c r="I359" s="12" t="s">
        <v>70</v>
      </c>
      <c r="J359">
        <v>1</v>
      </c>
      <c r="K359" s="6">
        <v>46226</v>
      </c>
      <c r="L359">
        <v>46226</v>
      </c>
      <c r="M359">
        <v>1.0840968864337128</v>
      </c>
      <c r="N359">
        <v>1.0840968864337128</v>
      </c>
      <c r="O359">
        <v>0.90205456499449443</v>
      </c>
      <c r="P359">
        <v>0.92242677985141974</v>
      </c>
      <c r="Q359">
        <v>0.92242677985141974</v>
      </c>
      <c r="R359">
        <v>0.83207928763814476</v>
      </c>
      <c r="S359">
        <v>1.201808547402373</v>
      </c>
      <c r="T359">
        <v>1.201808547402373</v>
      </c>
      <c r="U359">
        <v>1.1085803883782832</v>
      </c>
    </row>
    <row r="360" spans="1:21" x14ac:dyDescent="0.25">
      <c r="A360" s="12" t="s">
        <v>63</v>
      </c>
      <c r="B360" s="12" t="s">
        <v>39</v>
      </c>
      <c r="C360" s="12" t="s">
        <v>13</v>
      </c>
      <c r="D360" s="12">
        <v>5.9729309530237575</v>
      </c>
      <c r="E360" s="12">
        <v>2.8499999999999996</v>
      </c>
      <c r="F360" s="12">
        <v>10</v>
      </c>
      <c r="G360" s="12">
        <v>2.8499999999999996</v>
      </c>
      <c r="H360" s="12">
        <v>4.8831269349845199</v>
      </c>
      <c r="I360" s="12" t="s">
        <v>71</v>
      </c>
      <c r="J360">
        <v>1</v>
      </c>
      <c r="K360" s="6">
        <v>46226</v>
      </c>
      <c r="L360">
        <v>46226</v>
      </c>
      <c r="M360">
        <v>0.47715267804279665</v>
      </c>
      <c r="N360">
        <v>0.47715267804279665</v>
      </c>
      <c r="O360">
        <v>0.81754284008799205</v>
      </c>
      <c r="P360">
        <v>2.0957652466750027</v>
      </c>
      <c r="Q360">
        <v>2.0957652466750027</v>
      </c>
      <c r="R360">
        <v>1.7133778719243931</v>
      </c>
      <c r="S360">
        <v>0.58364241559676644</v>
      </c>
      <c r="T360">
        <v>0.58364241559676644</v>
      </c>
      <c r="U360">
        <v>1.2231774910931519</v>
      </c>
    </row>
    <row r="361" spans="1:21" x14ac:dyDescent="0.25">
      <c r="A361" s="12" t="s">
        <v>63</v>
      </c>
      <c r="B361" s="12" t="s">
        <v>39</v>
      </c>
      <c r="C361" s="12" t="s">
        <v>15</v>
      </c>
      <c r="D361" s="12">
        <v>1.2742252699784016</v>
      </c>
      <c r="E361" s="12">
        <v>0</v>
      </c>
      <c r="F361" s="12">
        <v>10</v>
      </c>
      <c r="G361" s="12">
        <v>0</v>
      </c>
      <c r="H361" s="12">
        <v>0.94117647058823517</v>
      </c>
      <c r="I361" s="12" t="s">
        <v>72</v>
      </c>
      <c r="J361">
        <v>1</v>
      </c>
      <c r="K361" s="6">
        <v>46226</v>
      </c>
      <c r="L361">
        <v>46226</v>
      </c>
      <c r="M361">
        <v>0</v>
      </c>
      <c r="N361">
        <v>0</v>
      </c>
      <c r="O361">
        <v>0.73862643659875649</v>
      </c>
      <c r="S361">
        <v>0</v>
      </c>
      <c r="T361">
        <v>0</v>
      </c>
      <c r="U361">
        <v>1.3538643493520519</v>
      </c>
    </row>
    <row r="362" spans="1:21" x14ac:dyDescent="0.25">
      <c r="A362" s="12" t="s">
        <v>59</v>
      </c>
      <c r="B362" s="12" t="s">
        <v>39</v>
      </c>
      <c r="C362" s="12" t="s">
        <v>14</v>
      </c>
      <c r="D362" s="12">
        <v>2.2486328293736499</v>
      </c>
      <c r="E362" s="12">
        <v>3.8</v>
      </c>
      <c r="F362" s="12">
        <v>10</v>
      </c>
      <c r="G362" s="12">
        <v>3.8</v>
      </c>
      <c r="H362" s="12">
        <v>2.9307958477508644</v>
      </c>
      <c r="I362" s="12" t="s">
        <v>75</v>
      </c>
      <c r="K362" s="6">
        <v>46227</v>
      </c>
      <c r="L362">
        <v>46227</v>
      </c>
      <c r="M362">
        <v>1.689915734734905</v>
      </c>
      <c r="N362">
        <v>1.689915734734905</v>
      </c>
      <c r="O362">
        <v>1.3033678995815554</v>
      </c>
      <c r="P362">
        <v>0.59174548141411842</v>
      </c>
      <c r="Q362">
        <v>0.59174548141411842</v>
      </c>
      <c r="R362">
        <v>0.77126206519759599</v>
      </c>
      <c r="S362">
        <v>1.2965761511216058</v>
      </c>
      <c r="T362">
        <v>1.2965761511216058</v>
      </c>
      <c r="U362">
        <v>0.76724307873551945</v>
      </c>
    </row>
    <row r="363" spans="1:21" x14ac:dyDescent="0.25">
      <c r="A363" s="12" t="s">
        <v>59</v>
      </c>
      <c r="B363" s="12" t="s">
        <v>39</v>
      </c>
      <c r="C363" s="12" t="s">
        <v>13</v>
      </c>
      <c r="D363" s="12">
        <v>4.7783447624190059</v>
      </c>
      <c r="E363" s="12">
        <v>2.8499999999999996</v>
      </c>
      <c r="F363" s="12">
        <v>10</v>
      </c>
      <c r="G363" s="12">
        <v>2.8499999999999996</v>
      </c>
      <c r="H363" s="12">
        <v>1.9411764705882353</v>
      </c>
      <c r="I363" s="12" t="s">
        <v>73</v>
      </c>
      <c r="K363" s="6">
        <v>46227</v>
      </c>
      <c r="L363">
        <v>46227</v>
      </c>
      <c r="M363">
        <v>0.5964408475534958</v>
      </c>
      <c r="N363">
        <v>0.5964408475534958</v>
      </c>
      <c r="O363">
        <v>0.4062445401293161</v>
      </c>
      <c r="P363">
        <v>1.6766121973400023</v>
      </c>
      <c r="Q363">
        <v>1.6766121973400023</v>
      </c>
      <c r="R363">
        <v>0.68111455108359142</v>
      </c>
      <c r="S363">
        <v>1.468181818181818</v>
      </c>
      <c r="T363">
        <v>1.468181818181818</v>
      </c>
      <c r="U363">
        <v>2.4615715442764574</v>
      </c>
    </row>
    <row r="364" spans="1:21" x14ac:dyDescent="0.25">
      <c r="A364" s="12" t="s">
        <v>59</v>
      </c>
      <c r="B364" s="12" t="s">
        <v>39</v>
      </c>
      <c r="C364" s="12" t="s">
        <v>15</v>
      </c>
      <c r="D364" s="12">
        <v>1.2742252699784016</v>
      </c>
      <c r="E364" s="12">
        <v>0</v>
      </c>
      <c r="F364" s="12">
        <v>10</v>
      </c>
      <c r="G364" s="12">
        <v>0</v>
      </c>
      <c r="H364" s="12">
        <v>0.94117647058823517</v>
      </c>
      <c r="I364" s="12" t="s">
        <v>74</v>
      </c>
      <c r="K364" s="6">
        <v>46227</v>
      </c>
      <c r="L364">
        <v>46227</v>
      </c>
      <c r="M364">
        <v>0</v>
      </c>
      <c r="N364">
        <v>0</v>
      </c>
      <c r="O364">
        <v>0.73862643659875649</v>
      </c>
      <c r="S364">
        <v>0</v>
      </c>
      <c r="T364">
        <v>0</v>
      </c>
      <c r="U364">
        <v>1.3538643493520519</v>
      </c>
    </row>
    <row r="365" spans="1:21" x14ac:dyDescent="0.25">
      <c r="A365" s="12" t="s">
        <v>63</v>
      </c>
      <c r="B365" s="12" t="s">
        <v>39</v>
      </c>
      <c r="C365" s="12" t="s">
        <v>14</v>
      </c>
      <c r="D365" s="12">
        <v>2.2486328293736499</v>
      </c>
      <c r="E365" s="12">
        <v>3.8</v>
      </c>
      <c r="F365" s="12">
        <v>10</v>
      </c>
      <c r="G365" s="12">
        <v>3.8</v>
      </c>
      <c r="H365" s="12">
        <v>2.9307958477508644</v>
      </c>
      <c r="I365" s="12" t="s">
        <v>75</v>
      </c>
      <c r="J365">
        <v>1</v>
      </c>
      <c r="K365" s="6">
        <v>46227</v>
      </c>
      <c r="L365">
        <v>46227</v>
      </c>
      <c r="M365">
        <v>1.689915734734905</v>
      </c>
      <c r="N365">
        <v>1.689915734734905</v>
      </c>
      <c r="O365">
        <v>1.3033678995815554</v>
      </c>
      <c r="P365">
        <v>0.59174548141411842</v>
      </c>
      <c r="Q365">
        <v>0.59174548141411842</v>
      </c>
      <c r="R365">
        <v>0.77126206519759599</v>
      </c>
      <c r="S365">
        <v>1.2965761511216058</v>
      </c>
      <c r="T365">
        <v>1.2965761511216058</v>
      </c>
      <c r="U365">
        <v>0.76724307873551945</v>
      </c>
    </row>
    <row r="366" spans="1:21" x14ac:dyDescent="0.25">
      <c r="A366" s="12" t="s">
        <v>63</v>
      </c>
      <c r="B366" s="12" t="s">
        <v>39</v>
      </c>
      <c r="C366" s="12" t="s">
        <v>13</v>
      </c>
      <c r="D366" s="12">
        <v>4.7783447624190059</v>
      </c>
      <c r="E366" s="12">
        <v>2.8499999999999996</v>
      </c>
      <c r="F366" s="12">
        <v>10</v>
      </c>
      <c r="G366" s="12">
        <v>2.8499999999999996</v>
      </c>
      <c r="H366" s="12">
        <v>1.9411764705882353</v>
      </c>
      <c r="I366" s="12" t="s">
        <v>73</v>
      </c>
      <c r="J366">
        <v>1</v>
      </c>
      <c r="K366" s="6">
        <v>46227</v>
      </c>
      <c r="L366">
        <v>46227</v>
      </c>
      <c r="M366">
        <v>0.5964408475534958</v>
      </c>
      <c r="N366">
        <v>0.5964408475534958</v>
      </c>
      <c r="O366">
        <v>0.4062445401293161</v>
      </c>
      <c r="P366">
        <v>1.6766121973400023</v>
      </c>
      <c r="Q366">
        <v>1.6766121973400023</v>
      </c>
      <c r="R366">
        <v>0.68111455108359142</v>
      </c>
      <c r="S366">
        <v>1.468181818181818</v>
      </c>
      <c r="T366">
        <v>1.468181818181818</v>
      </c>
      <c r="U366">
        <v>2.4615715442764574</v>
      </c>
    </row>
    <row r="367" spans="1:21" x14ac:dyDescent="0.25">
      <c r="A367" s="12" t="s">
        <v>63</v>
      </c>
      <c r="B367" s="12" t="s">
        <v>39</v>
      </c>
      <c r="C367" s="12" t="s">
        <v>15</v>
      </c>
      <c r="D367" s="12">
        <v>1.2742252699784016</v>
      </c>
      <c r="E367" s="12">
        <v>0</v>
      </c>
      <c r="F367" s="12">
        <v>10</v>
      </c>
      <c r="G367" s="12">
        <v>0</v>
      </c>
      <c r="H367" s="12">
        <v>0.94117647058823517</v>
      </c>
      <c r="I367" s="12" t="s">
        <v>74</v>
      </c>
      <c r="J367">
        <v>1</v>
      </c>
      <c r="K367" s="6">
        <v>46227</v>
      </c>
      <c r="L367">
        <v>46227</v>
      </c>
      <c r="M367">
        <v>0</v>
      </c>
      <c r="N367">
        <v>0</v>
      </c>
      <c r="O367">
        <v>0.73862643659875649</v>
      </c>
      <c r="S367">
        <v>0</v>
      </c>
      <c r="T367">
        <v>0</v>
      </c>
      <c r="U367">
        <v>1.3538643493520519</v>
      </c>
    </row>
    <row r="368" spans="1:21" x14ac:dyDescent="0.25">
      <c r="A368" s="12" t="s">
        <v>59</v>
      </c>
      <c r="B368" s="12" t="s">
        <v>39</v>
      </c>
      <c r="C368" s="12" t="s">
        <v>13</v>
      </c>
      <c r="D368" s="12">
        <v>2.3891723812095034</v>
      </c>
      <c r="E368" s="12">
        <v>2.8499999999999996</v>
      </c>
      <c r="F368" s="12">
        <v>10</v>
      </c>
      <c r="G368" s="12">
        <v>2.8499999999999996</v>
      </c>
      <c r="H368" s="12">
        <v>3.8235294117647038</v>
      </c>
      <c r="I368" s="12" t="s">
        <v>76</v>
      </c>
      <c r="K368" s="6">
        <v>46228</v>
      </c>
      <c r="L368">
        <v>46228</v>
      </c>
      <c r="M368">
        <v>1.1928816951069914</v>
      </c>
      <c r="N368">
        <v>1.1928816951069914</v>
      </c>
      <c r="O368">
        <v>1.6003572792973046</v>
      </c>
      <c r="P368">
        <v>0.83830609867000128</v>
      </c>
      <c r="Q368">
        <v>0.83830609867000128</v>
      </c>
      <c r="R368">
        <v>1.3415892672858611</v>
      </c>
      <c r="S368">
        <v>0.74538461538461565</v>
      </c>
      <c r="T368">
        <v>0.74538461538461565</v>
      </c>
      <c r="U368">
        <v>0.62486046893171665</v>
      </c>
    </row>
    <row r="369" spans="1:21" x14ac:dyDescent="0.25">
      <c r="A369" s="12" t="s">
        <v>59</v>
      </c>
      <c r="B369" s="12" t="s">
        <v>39</v>
      </c>
      <c r="C369" s="12" t="s">
        <v>15</v>
      </c>
      <c r="D369" s="12">
        <v>1.2742252699784016</v>
      </c>
      <c r="E369" s="12">
        <v>0</v>
      </c>
      <c r="F369" s="12">
        <v>10</v>
      </c>
      <c r="G369" s="12">
        <v>0</v>
      </c>
      <c r="H369" s="12">
        <v>0.94117647058823517</v>
      </c>
      <c r="I369" s="12" t="s">
        <v>77</v>
      </c>
      <c r="K369" s="6">
        <v>46228</v>
      </c>
      <c r="L369">
        <v>46228</v>
      </c>
      <c r="M369">
        <v>0</v>
      </c>
      <c r="N369">
        <v>0</v>
      </c>
      <c r="O369">
        <v>0.73862643659875649</v>
      </c>
      <c r="S369">
        <v>0</v>
      </c>
      <c r="T369">
        <v>0</v>
      </c>
      <c r="U369">
        <v>1.3538643493520519</v>
      </c>
    </row>
    <row r="370" spans="1:21" x14ac:dyDescent="0.25">
      <c r="A370" s="12" t="s">
        <v>59</v>
      </c>
      <c r="B370" s="12" t="s">
        <v>39</v>
      </c>
      <c r="C370" s="12" t="s">
        <v>14</v>
      </c>
      <c r="D370" s="12">
        <v>3.3729492440604751</v>
      </c>
      <c r="E370" s="12">
        <v>2.8499999999999996</v>
      </c>
      <c r="F370" s="12">
        <v>10</v>
      </c>
      <c r="G370" s="12">
        <v>2.8499999999999996</v>
      </c>
      <c r="H370" s="12">
        <v>3.1003460207612457</v>
      </c>
      <c r="I370" s="12" t="s">
        <v>78</v>
      </c>
      <c r="K370" s="6">
        <v>46228</v>
      </c>
      <c r="L370">
        <v>46228</v>
      </c>
      <c r="M370">
        <v>0.84495786736745238</v>
      </c>
      <c r="N370">
        <v>0.84495786736745238</v>
      </c>
      <c r="O370">
        <v>0.91917956554511915</v>
      </c>
      <c r="P370">
        <v>1.1834909628282371</v>
      </c>
      <c r="Q370">
        <v>1.1834909628282371</v>
      </c>
      <c r="R370">
        <v>1.0878407090390336</v>
      </c>
      <c r="S370">
        <v>0.91925223214285701</v>
      </c>
      <c r="T370">
        <v>0.91925223214285701</v>
      </c>
      <c r="U370">
        <v>1.0879267093007559</v>
      </c>
    </row>
    <row r="371" spans="1:21" x14ac:dyDescent="0.25">
      <c r="A371" s="12" t="s">
        <v>63</v>
      </c>
      <c r="B371" s="12" t="s">
        <v>39</v>
      </c>
      <c r="C371" s="12" t="s">
        <v>13</v>
      </c>
      <c r="D371" s="12">
        <v>2.3891723812095034</v>
      </c>
      <c r="E371" s="12">
        <v>2.8499999999999996</v>
      </c>
      <c r="F371" s="12">
        <v>10</v>
      </c>
      <c r="G371" s="12">
        <v>2.8499999999999996</v>
      </c>
      <c r="H371" s="12">
        <v>3.8235294117647038</v>
      </c>
      <c r="I371" s="12" t="s">
        <v>76</v>
      </c>
      <c r="J371">
        <v>1</v>
      </c>
      <c r="K371" s="6">
        <v>46228</v>
      </c>
      <c r="L371">
        <v>46228</v>
      </c>
      <c r="M371">
        <v>1.1928816951069914</v>
      </c>
      <c r="N371">
        <v>1.1928816951069914</v>
      </c>
      <c r="O371">
        <v>1.6003572792973046</v>
      </c>
      <c r="P371">
        <v>0.83830609867000128</v>
      </c>
      <c r="Q371">
        <v>0.83830609867000128</v>
      </c>
      <c r="R371">
        <v>1.3415892672858611</v>
      </c>
      <c r="S371">
        <v>0.74538461538461565</v>
      </c>
      <c r="T371">
        <v>0.74538461538461565</v>
      </c>
      <c r="U371">
        <v>0.62486046893171665</v>
      </c>
    </row>
    <row r="372" spans="1:21" x14ac:dyDescent="0.25">
      <c r="A372" s="12" t="s">
        <v>63</v>
      </c>
      <c r="B372" s="12" t="s">
        <v>39</v>
      </c>
      <c r="C372" s="12" t="s">
        <v>15</v>
      </c>
      <c r="D372" s="12">
        <v>1.2742252699784016</v>
      </c>
      <c r="E372" s="12">
        <v>0</v>
      </c>
      <c r="F372" s="12">
        <v>10</v>
      </c>
      <c r="G372" s="12">
        <v>0</v>
      </c>
      <c r="H372" s="12">
        <v>0.94117647058823517</v>
      </c>
      <c r="I372" s="12" t="s">
        <v>77</v>
      </c>
      <c r="J372">
        <v>1</v>
      </c>
      <c r="K372" s="6">
        <v>46228</v>
      </c>
      <c r="L372">
        <v>46228</v>
      </c>
      <c r="M372">
        <v>0</v>
      </c>
      <c r="N372">
        <v>0</v>
      </c>
      <c r="O372">
        <v>0.73862643659875649</v>
      </c>
      <c r="S372">
        <v>0</v>
      </c>
      <c r="T372">
        <v>0</v>
      </c>
      <c r="U372">
        <v>1.3538643493520519</v>
      </c>
    </row>
    <row r="373" spans="1:21" x14ac:dyDescent="0.25">
      <c r="A373" s="12" t="s">
        <v>63</v>
      </c>
      <c r="B373" s="12" t="s">
        <v>39</v>
      </c>
      <c r="C373" s="12" t="s">
        <v>14</v>
      </c>
      <c r="D373" s="12">
        <v>3.3729492440604751</v>
      </c>
      <c r="E373" s="12">
        <v>2.8499999999999996</v>
      </c>
      <c r="F373" s="12">
        <v>10</v>
      </c>
      <c r="G373" s="12">
        <v>2.8499999999999996</v>
      </c>
      <c r="H373" s="12">
        <v>3.1003460207612457</v>
      </c>
      <c r="I373" s="12" t="s">
        <v>78</v>
      </c>
      <c r="J373">
        <v>1</v>
      </c>
      <c r="K373" s="6">
        <v>46228</v>
      </c>
      <c r="L373">
        <v>46228</v>
      </c>
      <c r="M373">
        <v>0.84495786736745238</v>
      </c>
      <c r="N373">
        <v>0.84495786736745238</v>
      </c>
      <c r="O373">
        <v>0.91917956554511915</v>
      </c>
      <c r="P373">
        <v>1.1834909628282371</v>
      </c>
      <c r="Q373">
        <v>1.1834909628282371</v>
      </c>
      <c r="R373">
        <v>1.0878407090390336</v>
      </c>
      <c r="S373">
        <v>0.91925223214285701</v>
      </c>
      <c r="T373">
        <v>0.91925223214285701</v>
      </c>
      <c r="U373">
        <v>1.0879267093007559</v>
      </c>
    </row>
    <row r="374" spans="1:21" x14ac:dyDescent="0.25">
      <c r="A374" s="12" t="s">
        <v>59</v>
      </c>
      <c r="B374" s="12" t="s">
        <v>39</v>
      </c>
      <c r="C374" s="12" t="s">
        <v>13</v>
      </c>
      <c r="D374" s="12">
        <v>3.5134887958963281</v>
      </c>
      <c r="E374" s="12">
        <v>4.75</v>
      </c>
      <c r="F374" s="12">
        <v>10</v>
      </c>
      <c r="G374" s="12">
        <v>4.75</v>
      </c>
      <c r="H374" s="12">
        <v>3.5854779411764701</v>
      </c>
      <c r="I374" s="12" t="s">
        <v>81</v>
      </c>
      <c r="K374" s="6">
        <v>46229</v>
      </c>
      <c r="L374">
        <v>46229</v>
      </c>
      <c r="M374">
        <v>1.351932587787924</v>
      </c>
      <c r="N374">
        <v>1.351932587787924</v>
      </c>
      <c r="O374">
        <v>1.0204893624149944</v>
      </c>
      <c r="P374">
        <v>0.739681851767648</v>
      </c>
      <c r="Q374">
        <v>0.739681851767648</v>
      </c>
      <c r="R374">
        <v>0.75483746130030949</v>
      </c>
      <c r="S374">
        <v>1.3247885157651886</v>
      </c>
      <c r="T374">
        <v>1.3247885157651886</v>
      </c>
      <c r="U374">
        <v>0.97992202254170868</v>
      </c>
    </row>
    <row r="375" spans="1:21" x14ac:dyDescent="0.25">
      <c r="A375" s="12" t="s">
        <v>59</v>
      </c>
      <c r="B375" s="12" t="s">
        <v>39</v>
      </c>
      <c r="C375" s="12" t="s">
        <v>15</v>
      </c>
      <c r="D375" s="12">
        <v>1.2742252699784016</v>
      </c>
      <c r="E375" s="12">
        <v>0</v>
      </c>
      <c r="F375" s="12">
        <v>10</v>
      </c>
      <c r="G375" s="12">
        <v>0</v>
      </c>
      <c r="H375" s="12">
        <v>0.94117647058823517</v>
      </c>
      <c r="I375" s="12" t="s">
        <v>79</v>
      </c>
      <c r="K375" s="6">
        <v>46229</v>
      </c>
      <c r="L375">
        <v>46229</v>
      </c>
      <c r="M375">
        <v>0</v>
      </c>
      <c r="N375">
        <v>0</v>
      </c>
      <c r="O375">
        <v>0.73862643659875649</v>
      </c>
      <c r="S375">
        <v>0</v>
      </c>
      <c r="T375">
        <v>0</v>
      </c>
      <c r="U375">
        <v>1.3538643493520519</v>
      </c>
    </row>
    <row r="376" spans="1:21" x14ac:dyDescent="0.25">
      <c r="A376" s="12" t="s">
        <v>59</v>
      </c>
      <c r="B376" s="12" t="s">
        <v>39</v>
      </c>
      <c r="C376" s="12" t="s">
        <v>14</v>
      </c>
      <c r="D376" s="12">
        <v>3.3729492440604751</v>
      </c>
      <c r="E376" s="12">
        <v>1.9</v>
      </c>
      <c r="F376" s="12">
        <v>10</v>
      </c>
      <c r="G376" s="12">
        <v>1.9</v>
      </c>
      <c r="H376" s="12">
        <v>3.2655709342560537</v>
      </c>
      <c r="I376" s="12" t="s">
        <v>80</v>
      </c>
      <c r="K376" s="6">
        <v>46229</v>
      </c>
      <c r="L376">
        <v>46229</v>
      </c>
      <c r="M376">
        <v>0.56330524491163492</v>
      </c>
      <c r="N376">
        <v>0.56330524491163492</v>
      </c>
      <c r="O376">
        <v>0.96816486047232786</v>
      </c>
      <c r="P376">
        <v>1.7752364442423554</v>
      </c>
      <c r="Q376">
        <v>1.7752364442423554</v>
      </c>
      <c r="R376">
        <v>1.7187215443452915</v>
      </c>
      <c r="S376">
        <v>0.58182781456953669</v>
      </c>
      <c r="T376">
        <v>0.58182781456953669</v>
      </c>
      <c r="U376">
        <v>1.0328819406977248</v>
      </c>
    </row>
    <row r="377" spans="1:21" x14ac:dyDescent="0.25">
      <c r="A377" s="12" t="s">
        <v>63</v>
      </c>
      <c r="B377" s="12" t="s">
        <v>39</v>
      </c>
      <c r="C377" s="12" t="s">
        <v>13</v>
      </c>
      <c r="D377" s="12">
        <v>3.5134887958963281</v>
      </c>
      <c r="E377" s="12">
        <v>4.75</v>
      </c>
      <c r="F377" s="12">
        <v>10</v>
      </c>
      <c r="G377" s="12">
        <v>4.75</v>
      </c>
      <c r="H377" s="12">
        <v>3.5854779411764701</v>
      </c>
      <c r="I377" s="12" t="s">
        <v>81</v>
      </c>
      <c r="J377">
        <v>1</v>
      </c>
      <c r="K377" s="6">
        <v>46229</v>
      </c>
      <c r="L377">
        <v>46229</v>
      </c>
      <c r="M377">
        <v>1.351932587787924</v>
      </c>
      <c r="N377">
        <v>1.351932587787924</v>
      </c>
      <c r="O377">
        <v>1.0204893624149944</v>
      </c>
      <c r="P377">
        <v>0.739681851767648</v>
      </c>
      <c r="Q377">
        <v>0.739681851767648</v>
      </c>
      <c r="R377">
        <v>0.75483746130030949</v>
      </c>
      <c r="S377">
        <v>1.3247885157651886</v>
      </c>
      <c r="T377">
        <v>1.3247885157651886</v>
      </c>
      <c r="U377">
        <v>0.97992202254170868</v>
      </c>
    </row>
    <row r="378" spans="1:21" x14ac:dyDescent="0.25">
      <c r="A378" s="12" t="s">
        <v>63</v>
      </c>
      <c r="B378" s="12" t="s">
        <v>39</v>
      </c>
      <c r="C378" s="12" t="s">
        <v>15</v>
      </c>
      <c r="D378" s="12">
        <v>1.2742252699784016</v>
      </c>
      <c r="E378" s="12">
        <v>0</v>
      </c>
      <c r="F378" s="12">
        <v>10</v>
      </c>
      <c r="G378" s="12">
        <v>0</v>
      </c>
      <c r="H378" s="12">
        <v>0.94117647058823517</v>
      </c>
      <c r="I378" s="12" t="s">
        <v>79</v>
      </c>
      <c r="J378">
        <v>1</v>
      </c>
      <c r="K378" s="6">
        <v>46229</v>
      </c>
      <c r="L378">
        <v>46229</v>
      </c>
      <c r="M378">
        <v>0</v>
      </c>
      <c r="N378">
        <v>0</v>
      </c>
      <c r="O378">
        <v>0.73862643659875649</v>
      </c>
      <c r="S378">
        <v>0</v>
      </c>
      <c r="T378">
        <v>0</v>
      </c>
      <c r="U378">
        <v>1.3538643493520519</v>
      </c>
    </row>
    <row r="379" spans="1:21" x14ac:dyDescent="0.25">
      <c r="A379" s="12" t="s">
        <v>63</v>
      </c>
      <c r="B379" s="12" t="s">
        <v>39</v>
      </c>
      <c r="C379" s="12" t="s">
        <v>14</v>
      </c>
      <c r="D379" s="12">
        <v>3.3729492440604751</v>
      </c>
      <c r="E379" s="12">
        <v>1.9</v>
      </c>
      <c r="F379" s="12">
        <v>10</v>
      </c>
      <c r="G379" s="12">
        <v>1.9</v>
      </c>
      <c r="H379" s="12">
        <v>3.2655709342560537</v>
      </c>
      <c r="I379" s="12" t="s">
        <v>80</v>
      </c>
      <c r="J379">
        <v>1</v>
      </c>
      <c r="K379" s="6">
        <v>46229</v>
      </c>
      <c r="L379">
        <v>46229</v>
      </c>
      <c r="M379">
        <v>0.56330524491163492</v>
      </c>
      <c r="N379">
        <v>0.56330524491163492</v>
      </c>
      <c r="O379">
        <v>0.96816486047232786</v>
      </c>
      <c r="P379">
        <v>1.7752364442423554</v>
      </c>
      <c r="Q379">
        <v>1.7752364442423554</v>
      </c>
      <c r="R379">
        <v>1.7187215443452915</v>
      </c>
      <c r="S379">
        <v>0.58182781456953669</v>
      </c>
      <c r="T379">
        <v>0.58182781456953669</v>
      </c>
      <c r="U379">
        <v>1.0328819406977248</v>
      </c>
    </row>
    <row r="380" spans="1:21" x14ac:dyDescent="0.25">
      <c r="A380" s="12" t="s">
        <v>59</v>
      </c>
      <c r="B380" s="12" t="s">
        <v>39</v>
      </c>
      <c r="C380" s="12" t="s">
        <v>14</v>
      </c>
      <c r="D380" s="12">
        <v>3.3729492440604751</v>
      </c>
      <c r="E380" s="12">
        <v>3.8</v>
      </c>
      <c r="F380" s="12">
        <v>10</v>
      </c>
      <c r="G380" s="12">
        <v>3.8</v>
      </c>
      <c r="H380" s="12">
        <v>3.1548442906574392</v>
      </c>
      <c r="I380" s="12" t="s">
        <v>82</v>
      </c>
      <c r="K380" s="6">
        <v>46230</v>
      </c>
      <c r="L380">
        <v>46230</v>
      </c>
      <c r="M380">
        <v>1.1266104898232698</v>
      </c>
      <c r="N380">
        <v>1.1266104898232698</v>
      </c>
      <c r="O380">
        <v>0.93533701884571685</v>
      </c>
      <c r="P380">
        <v>0.88761822212117769</v>
      </c>
      <c r="Q380">
        <v>0.88761822212117769</v>
      </c>
      <c r="R380">
        <v>0.83022218175195772</v>
      </c>
      <c r="S380">
        <v>1.2044968467233343</v>
      </c>
      <c r="T380">
        <v>1.2044968467233343</v>
      </c>
      <c r="U380">
        <v>1.0691333496391306</v>
      </c>
    </row>
    <row r="381" spans="1:21" x14ac:dyDescent="0.25">
      <c r="A381" s="12" t="s">
        <v>59</v>
      </c>
      <c r="B381" s="12" t="s">
        <v>39</v>
      </c>
      <c r="C381" s="12" t="s">
        <v>15</v>
      </c>
      <c r="D381" s="12">
        <v>1.2742252699784016</v>
      </c>
      <c r="E381" s="12">
        <v>0</v>
      </c>
      <c r="F381" s="12">
        <v>10</v>
      </c>
      <c r="G381" s="12">
        <v>0</v>
      </c>
      <c r="H381" s="12">
        <v>0.94117647058823517</v>
      </c>
      <c r="I381" s="12" t="s">
        <v>84</v>
      </c>
      <c r="K381" s="6">
        <v>46230</v>
      </c>
      <c r="L381">
        <v>46230</v>
      </c>
      <c r="M381">
        <v>0</v>
      </c>
      <c r="N381">
        <v>0</v>
      </c>
      <c r="O381">
        <v>0.73862643659875649</v>
      </c>
      <c r="S381">
        <v>0</v>
      </c>
      <c r="T381">
        <v>0</v>
      </c>
      <c r="U381">
        <v>1.3538643493520519</v>
      </c>
    </row>
    <row r="382" spans="1:21" x14ac:dyDescent="0.25">
      <c r="A382" s="12" t="s">
        <v>59</v>
      </c>
      <c r="B382" s="12" t="s">
        <v>39</v>
      </c>
      <c r="C382" s="12" t="s">
        <v>13</v>
      </c>
      <c r="D382" s="12">
        <v>3.5134887958963268</v>
      </c>
      <c r="E382" s="12">
        <v>4.75</v>
      </c>
      <c r="F382" s="12">
        <v>10</v>
      </c>
      <c r="G382" s="12">
        <v>4.75</v>
      </c>
      <c r="H382" s="12">
        <v>1.703125</v>
      </c>
      <c r="I382" s="12" t="s">
        <v>83</v>
      </c>
      <c r="K382" s="6">
        <v>46230</v>
      </c>
      <c r="L382">
        <v>46230</v>
      </c>
      <c r="M382">
        <v>1.3519325877879245</v>
      </c>
      <c r="N382">
        <v>1.3519325877879245</v>
      </c>
      <c r="O382">
        <v>0.48473898706869661</v>
      </c>
      <c r="P382">
        <v>0.73968185176764778</v>
      </c>
      <c r="Q382">
        <v>0.73968185176764778</v>
      </c>
      <c r="R382">
        <v>0.35855263157894735</v>
      </c>
      <c r="S382">
        <v>2.7889908256880735</v>
      </c>
      <c r="T382">
        <v>2.7889908256880735</v>
      </c>
      <c r="U382">
        <v>2.0629658985079349</v>
      </c>
    </row>
    <row r="383" spans="1:21" x14ac:dyDescent="0.25">
      <c r="A383" s="12" t="s">
        <v>63</v>
      </c>
      <c r="B383" s="12" t="s">
        <v>39</v>
      </c>
      <c r="C383" s="12" t="s">
        <v>14</v>
      </c>
      <c r="D383" s="12">
        <v>3.3729492440604751</v>
      </c>
      <c r="E383" s="12">
        <v>3.8</v>
      </c>
      <c r="F383" s="12">
        <v>10</v>
      </c>
      <c r="G383" s="12">
        <v>3.8</v>
      </c>
      <c r="H383" s="12">
        <v>3.1548442906574392</v>
      </c>
      <c r="I383" s="12" t="s">
        <v>82</v>
      </c>
      <c r="J383">
        <v>1</v>
      </c>
      <c r="K383" s="6">
        <v>46230</v>
      </c>
      <c r="L383">
        <v>46230</v>
      </c>
      <c r="M383">
        <v>1.1266104898232698</v>
      </c>
      <c r="N383">
        <v>1.1266104898232698</v>
      </c>
      <c r="O383">
        <v>0.93533701884571685</v>
      </c>
      <c r="P383">
        <v>0.88761822212117769</v>
      </c>
      <c r="Q383">
        <v>0.88761822212117769</v>
      </c>
      <c r="R383">
        <v>0.83022218175195772</v>
      </c>
      <c r="S383">
        <v>1.2044968467233343</v>
      </c>
      <c r="T383">
        <v>1.2044968467233343</v>
      </c>
      <c r="U383">
        <v>1.0691333496391306</v>
      </c>
    </row>
    <row r="384" spans="1:21" x14ac:dyDescent="0.25">
      <c r="A384" s="12" t="s">
        <v>63</v>
      </c>
      <c r="B384" s="12" t="s">
        <v>39</v>
      </c>
      <c r="C384" s="12" t="s">
        <v>15</v>
      </c>
      <c r="D384" s="12">
        <v>1.2742252699784016</v>
      </c>
      <c r="E384" s="12">
        <v>0</v>
      </c>
      <c r="F384" s="12">
        <v>10</v>
      </c>
      <c r="G384" s="12">
        <v>0</v>
      </c>
      <c r="H384" s="12">
        <v>0.94117647058823517</v>
      </c>
      <c r="I384" s="12" t="s">
        <v>84</v>
      </c>
      <c r="J384">
        <v>1</v>
      </c>
      <c r="K384" s="6">
        <v>46230</v>
      </c>
      <c r="L384">
        <v>46230</v>
      </c>
      <c r="M384">
        <v>0</v>
      </c>
      <c r="N384">
        <v>0</v>
      </c>
      <c r="O384">
        <v>0.73862643659875649</v>
      </c>
      <c r="S384">
        <v>0</v>
      </c>
      <c r="T384">
        <v>0</v>
      </c>
      <c r="U384">
        <v>1.3538643493520519</v>
      </c>
    </row>
    <row r="385" spans="1:21" x14ac:dyDescent="0.25">
      <c r="A385" s="12" t="s">
        <v>63</v>
      </c>
      <c r="B385" s="12" t="s">
        <v>39</v>
      </c>
      <c r="C385" s="12" t="s">
        <v>13</v>
      </c>
      <c r="D385" s="12">
        <v>3.5134887958963268</v>
      </c>
      <c r="E385" s="12">
        <v>4.75</v>
      </c>
      <c r="F385" s="12">
        <v>10</v>
      </c>
      <c r="G385" s="12">
        <v>4.75</v>
      </c>
      <c r="H385" s="12">
        <v>1.703125</v>
      </c>
      <c r="I385" s="12" t="s">
        <v>83</v>
      </c>
      <c r="J385">
        <v>1</v>
      </c>
      <c r="K385" s="6">
        <v>46230</v>
      </c>
      <c r="L385">
        <v>46230</v>
      </c>
      <c r="M385">
        <v>1.3519325877879245</v>
      </c>
      <c r="N385">
        <v>1.3519325877879245</v>
      </c>
      <c r="O385">
        <v>0.48473898706869661</v>
      </c>
      <c r="P385">
        <v>0.73968185176764778</v>
      </c>
      <c r="Q385">
        <v>0.73968185176764778</v>
      </c>
      <c r="R385">
        <v>0.35855263157894735</v>
      </c>
      <c r="S385">
        <v>2.7889908256880735</v>
      </c>
      <c r="T385">
        <v>2.7889908256880735</v>
      </c>
      <c r="U385">
        <v>2.0629658985079349</v>
      </c>
    </row>
    <row r="386" spans="1:21" x14ac:dyDescent="0.25">
      <c r="A386" s="12" t="s">
        <v>59</v>
      </c>
      <c r="B386" s="12" t="s">
        <v>39</v>
      </c>
      <c r="C386" s="12" t="s">
        <v>15</v>
      </c>
      <c r="D386" s="12">
        <v>1.2742252699784016</v>
      </c>
      <c r="E386" s="12">
        <v>0</v>
      </c>
      <c r="F386" s="12">
        <v>10</v>
      </c>
      <c r="G386" s="12">
        <v>0</v>
      </c>
      <c r="H386" s="12">
        <v>0.94117647058823517</v>
      </c>
      <c r="I386" s="12" t="s">
        <v>86</v>
      </c>
      <c r="K386" s="6">
        <v>46231</v>
      </c>
      <c r="L386">
        <v>46231</v>
      </c>
      <c r="M386">
        <v>0</v>
      </c>
      <c r="N386">
        <v>0</v>
      </c>
      <c r="O386">
        <v>0.73862643659875649</v>
      </c>
      <c r="S386">
        <v>0</v>
      </c>
      <c r="T386">
        <v>0</v>
      </c>
      <c r="U386">
        <v>1.3538643493520519</v>
      </c>
    </row>
    <row r="387" spans="1:21" x14ac:dyDescent="0.25">
      <c r="A387" s="12" t="s">
        <v>59</v>
      </c>
      <c r="B387" s="12" t="s">
        <v>39</v>
      </c>
      <c r="C387" s="12" t="s">
        <v>14</v>
      </c>
      <c r="D387" s="12">
        <v>3.3729492440604751</v>
      </c>
      <c r="E387" s="12">
        <v>1.9</v>
      </c>
      <c r="F387" s="12">
        <v>10</v>
      </c>
      <c r="G387" s="12">
        <v>1.9</v>
      </c>
      <c r="H387" s="12">
        <v>3.5415224913494807</v>
      </c>
      <c r="I387" s="12" t="s">
        <v>85</v>
      </c>
      <c r="K387" s="6">
        <v>46231</v>
      </c>
      <c r="L387">
        <v>46231</v>
      </c>
      <c r="M387">
        <v>0.56330524491163492</v>
      </c>
      <c r="N387">
        <v>0.56330524491163492</v>
      </c>
      <c r="O387">
        <v>1.0499779970261489</v>
      </c>
      <c r="P387">
        <v>1.7752364442423554</v>
      </c>
      <c r="Q387">
        <v>1.7752364442423554</v>
      </c>
      <c r="R387">
        <v>1.8639592059734109</v>
      </c>
      <c r="S387">
        <v>0.53649242794333174</v>
      </c>
      <c r="T387">
        <v>0.53649242794333174</v>
      </c>
      <c r="U387">
        <v>0.95240091014506822</v>
      </c>
    </row>
    <row r="388" spans="1:21" x14ac:dyDescent="0.25">
      <c r="A388" s="12" t="s">
        <v>59</v>
      </c>
      <c r="B388" s="12" t="s">
        <v>39</v>
      </c>
      <c r="C388" s="12" t="s">
        <v>13</v>
      </c>
      <c r="D388" s="12">
        <v>7.0269775917926545</v>
      </c>
      <c r="E388" s="12">
        <v>4.75</v>
      </c>
      <c r="F388" s="12">
        <v>10</v>
      </c>
      <c r="G388" s="12">
        <v>4.75</v>
      </c>
      <c r="H388" s="12">
        <v>5.2297794117647047</v>
      </c>
      <c r="I388" s="12" t="s">
        <v>87</v>
      </c>
      <c r="K388" s="6">
        <v>46231</v>
      </c>
      <c r="L388">
        <v>46231</v>
      </c>
      <c r="M388">
        <v>0.67596629389396212</v>
      </c>
      <c r="N388">
        <v>0.67596629389396212</v>
      </c>
      <c r="O388">
        <v>0.74424307512705956</v>
      </c>
      <c r="P388">
        <v>1.4793637035352958</v>
      </c>
      <c r="Q388">
        <v>1.4793637035352958</v>
      </c>
      <c r="R388">
        <v>1.1010061919504641</v>
      </c>
      <c r="S388">
        <v>0.90826010544815483</v>
      </c>
      <c r="T388">
        <v>0.90826010544815483</v>
      </c>
      <c r="U388">
        <v>1.3436470333691406</v>
      </c>
    </row>
    <row r="389" spans="1:21" x14ac:dyDescent="0.25">
      <c r="A389" s="12" t="s">
        <v>63</v>
      </c>
      <c r="B389" s="12" t="s">
        <v>39</v>
      </c>
      <c r="C389" s="12" t="s">
        <v>15</v>
      </c>
      <c r="D389" s="12">
        <v>1.2742252699784016</v>
      </c>
      <c r="E389" s="12">
        <v>0</v>
      </c>
      <c r="F389" s="12">
        <v>10</v>
      </c>
      <c r="G389" s="12">
        <v>0</v>
      </c>
      <c r="H389" s="12">
        <v>0.94117647058823517</v>
      </c>
      <c r="I389" s="12" t="s">
        <v>86</v>
      </c>
      <c r="J389">
        <v>1</v>
      </c>
      <c r="K389" s="6">
        <v>46231</v>
      </c>
      <c r="L389">
        <v>46231</v>
      </c>
      <c r="M389">
        <v>0</v>
      </c>
      <c r="N389">
        <v>0</v>
      </c>
      <c r="O389">
        <v>0.73862643659875649</v>
      </c>
      <c r="S389">
        <v>0</v>
      </c>
      <c r="T389">
        <v>0</v>
      </c>
      <c r="U389">
        <v>1.3538643493520519</v>
      </c>
    </row>
    <row r="390" spans="1:21" x14ac:dyDescent="0.25">
      <c r="A390" s="12" t="s">
        <v>63</v>
      </c>
      <c r="B390" s="12" t="s">
        <v>39</v>
      </c>
      <c r="C390" s="12" t="s">
        <v>14</v>
      </c>
      <c r="D390" s="12">
        <v>3.3729492440604751</v>
      </c>
      <c r="E390" s="12">
        <v>1.9</v>
      </c>
      <c r="F390" s="12">
        <v>10</v>
      </c>
      <c r="G390" s="12">
        <v>1.9</v>
      </c>
      <c r="H390" s="12">
        <v>3.5415224913494807</v>
      </c>
      <c r="I390" s="12" t="s">
        <v>85</v>
      </c>
      <c r="J390">
        <v>1</v>
      </c>
      <c r="K390" s="6">
        <v>46231</v>
      </c>
      <c r="L390">
        <v>46231</v>
      </c>
      <c r="M390">
        <v>0.56330524491163492</v>
      </c>
      <c r="N390">
        <v>0.56330524491163492</v>
      </c>
      <c r="O390">
        <v>1.0499779970261489</v>
      </c>
      <c r="P390">
        <v>1.7752364442423554</v>
      </c>
      <c r="Q390">
        <v>1.7752364442423554</v>
      </c>
      <c r="R390">
        <v>1.8639592059734109</v>
      </c>
      <c r="S390">
        <v>0.53649242794333174</v>
      </c>
      <c r="T390">
        <v>0.53649242794333174</v>
      </c>
      <c r="U390">
        <v>0.95240091014506822</v>
      </c>
    </row>
    <row r="391" spans="1:21" x14ac:dyDescent="0.25">
      <c r="A391" s="12" t="s">
        <v>63</v>
      </c>
      <c r="B391" s="12" t="s">
        <v>39</v>
      </c>
      <c r="C391" s="12" t="s">
        <v>13</v>
      </c>
      <c r="D391" s="12">
        <v>7.0269775917926545</v>
      </c>
      <c r="E391" s="12">
        <v>4.75</v>
      </c>
      <c r="F391" s="12">
        <v>10</v>
      </c>
      <c r="G391" s="12">
        <v>4.75</v>
      </c>
      <c r="H391" s="12">
        <v>5.2297794117647047</v>
      </c>
      <c r="I391" s="12" t="s">
        <v>87</v>
      </c>
      <c r="J391">
        <v>1</v>
      </c>
      <c r="K391" s="6">
        <v>46231</v>
      </c>
      <c r="L391">
        <v>46231</v>
      </c>
      <c r="M391">
        <v>0.67596629389396212</v>
      </c>
      <c r="N391">
        <v>0.67596629389396212</v>
      </c>
      <c r="O391">
        <v>0.74424307512705956</v>
      </c>
      <c r="P391">
        <v>1.4793637035352958</v>
      </c>
      <c r="Q391">
        <v>1.4793637035352958</v>
      </c>
      <c r="R391">
        <v>1.1010061919504641</v>
      </c>
      <c r="S391">
        <v>0.90826010544815483</v>
      </c>
      <c r="T391">
        <v>0.90826010544815483</v>
      </c>
      <c r="U391">
        <v>1.3436470333691406</v>
      </c>
    </row>
    <row r="392" spans="1:21" x14ac:dyDescent="0.25">
      <c r="A392" s="12" t="s">
        <v>59</v>
      </c>
      <c r="B392" s="12" t="s">
        <v>39</v>
      </c>
      <c r="C392" s="12" t="s">
        <v>14</v>
      </c>
      <c r="D392" s="12">
        <v>2.2486328293736499</v>
      </c>
      <c r="E392" s="12">
        <v>4.75</v>
      </c>
      <c r="F392" s="12">
        <v>10</v>
      </c>
      <c r="G392" s="12">
        <v>4.75</v>
      </c>
      <c r="H392" s="12">
        <v>2.5449826989619382</v>
      </c>
      <c r="I392" s="12" t="s">
        <v>89</v>
      </c>
      <c r="K392" s="6">
        <v>46232</v>
      </c>
      <c r="L392">
        <v>46232</v>
      </c>
      <c r="M392">
        <v>2.1123946684186312</v>
      </c>
      <c r="N392">
        <v>2.1123946684186312</v>
      </c>
      <c r="O392">
        <v>1.1317911335799697</v>
      </c>
      <c r="P392">
        <v>0.47339638513129473</v>
      </c>
      <c r="Q392">
        <v>0.47339638513129473</v>
      </c>
      <c r="R392">
        <v>0.53578583136040803</v>
      </c>
      <c r="S392">
        <v>1.8664174031271241</v>
      </c>
      <c r="T392">
        <v>1.8664174031271241</v>
      </c>
      <c r="U392">
        <v>0.88355525178651895</v>
      </c>
    </row>
    <row r="393" spans="1:21" x14ac:dyDescent="0.25">
      <c r="A393" s="12" t="s">
        <v>59</v>
      </c>
      <c r="B393" s="12" t="s">
        <v>39</v>
      </c>
      <c r="C393" s="12" t="s">
        <v>15</v>
      </c>
      <c r="D393" s="12">
        <v>1.2742252699784016</v>
      </c>
      <c r="E393" s="12">
        <v>0</v>
      </c>
      <c r="F393" s="12">
        <v>10</v>
      </c>
      <c r="G393" s="12">
        <v>0</v>
      </c>
      <c r="H393" s="12">
        <v>0.94117647058823517</v>
      </c>
      <c r="I393" s="12" t="s">
        <v>88</v>
      </c>
      <c r="K393" s="6">
        <v>46232</v>
      </c>
      <c r="L393">
        <v>46232</v>
      </c>
      <c r="M393">
        <v>0</v>
      </c>
      <c r="N393">
        <v>0</v>
      </c>
      <c r="O393">
        <v>0.73862643659875649</v>
      </c>
      <c r="S393">
        <v>0</v>
      </c>
      <c r="T393">
        <v>0</v>
      </c>
      <c r="U393">
        <v>1.3538643493520519</v>
      </c>
    </row>
    <row r="394" spans="1:21" x14ac:dyDescent="0.25">
      <c r="A394" s="12" t="s">
        <v>59</v>
      </c>
      <c r="B394" s="12" t="s">
        <v>39</v>
      </c>
      <c r="C394" s="12" t="s">
        <v>13</v>
      </c>
      <c r="D394" s="12">
        <v>5.8323914011879054</v>
      </c>
      <c r="E394" s="12">
        <v>3.8</v>
      </c>
      <c r="F394" s="12">
        <v>10</v>
      </c>
      <c r="G394" s="12">
        <v>3.8</v>
      </c>
      <c r="H394" s="12">
        <v>4.2886029411764683</v>
      </c>
      <c r="I394" s="12" t="s">
        <v>90</v>
      </c>
      <c r="K394" s="6">
        <v>46232</v>
      </c>
      <c r="L394">
        <v>46232</v>
      </c>
      <c r="M394">
        <v>0.65153377724719219</v>
      </c>
      <c r="N394">
        <v>0.65153377724719219</v>
      </c>
      <c r="O394">
        <v>0.73530780878371649</v>
      </c>
      <c r="P394">
        <v>1.53483984241787</v>
      </c>
      <c r="Q394">
        <v>1.53483984241787</v>
      </c>
      <c r="R394">
        <v>1.1285797213622286</v>
      </c>
      <c r="S394">
        <v>0.88606943849121345</v>
      </c>
      <c r="T394">
        <v>0.88606943849121345</v>
      </c>
      <c r="U394">
        <v>1.3599746773451447</v>
      </c>
    </row>
    <row r="395" spans="1:21" x14ac:dyDescent="0.25">
      <c r="A395" s="12" t="s">
        <v>63</v>
      </c>
      <c r="B395" s="12" t="s">
        <v>39</v>
      </c>
      <c r="C395" s="12" t="s">
        <v>14</v>
      </c>
      <c r="D395" s="12">
        <v>2.2486328293736499</v>
      </c>
      <c r="E395" s="12">
        <v>4.75</v>
      </c>
      <c r="F395" s="12">
        <v>10</v>
      </c>
      <c r="G395" s="12">
        <v>4.75</v>
      </c>
      <c r="H395" s="12">
        <v>2.5449826989619382</v>
      </c>
      <c r="I395" s="12" t="s">
        <v>89</v>
      </c>
      <c r="J395">
        <v>1</v>
      </c>
      <c r="K395" s="6">
        <v>46232</v>
      </c>
      <c r="L395">
        <v>46232</v>
      </c>
      <c r="M395">
        <v>2.1123946684186312</v>
      </c>
      <c r="N395">
        <v>2.1123946684186312</v>
      </c>
      <c r="O395">
        <v>1.1317911335799697</v>
      </c>
      <c r="P395">
        <v>0.47339638513129473</v>
      </c>
      <c r="Q395">
        <v>0.47339638513129473</v>
      </c>
      <c r="R395">
        <v>0.53578583136040803</v>
      </c>
      <c r="S395">
        <v>1.8664174031271241</v>
      </c>
      <c r="T395">
        <v>1.8664174031271241</v>
      </c>
      <c r="U395">
        <v>0.88355525178651895</v>
      </c>
    </row>
    <row r="396" spans="1:21" x14ac:dyDescent="0.25">
      <c r="A396" s="12" t="s">
        <v>63</v>
      </c>
      <c r="B396" s="12" t="s">
        <v>39</v>
      </c>
      <c r="C396" s="12" t="s">
        <v>15</v>
      </c>
      <c r="D396" s="12">
        <v>1.2742252699784016</v>
      </c>
      <c r="E396" s="12">
        <v>0</v>
      </c>
      <c r="F396" s="12">
        <v>10</v>
      </c>
      <c r="G396" s="12">
        <v>0</v>
      </c>
      <c r="H396" s="12">
        <v>0.94117647058823517</v>
      </c>
      <c r="I396" s="12" t="s">
        <v>88</v>
      </c>
      <c r="J396">
        <v>1</v>
      </c>
      <c r="K396" s="6">
        <v>46232</v>
      </c>
      <c r="L396">
        <v>46232</v>
      </c>
      <c r="M396">
        <v>0</v>
      </c>
      <c r="N396">
        <v>0</v>
      </c>
      <c r="O396">
        <v>0.73862643659875649</v>
      </c>
      <c r="S396">
        <v>0</v>
      </c>
      <c r="T396">
        <v>0</v>
      </c>
      <c r="U396">
        <v>1.3538643493520519</v>
      </c>
    </row>
    <row r="397" spans="1:21" x14ac:dyDescent="0.25">
      <c r="A397" s="12" t="s">
        <v>63</v>
      </c>
      <c r="B397" s="12" t="s">
        <v>39</v>
      </c>
      <c r="C397" s="12" t="s">
        <v>13</v>
      </c>
      <c r="D397" s="12">
        <v>5.8323914011879054</v>
      </c>
      <c r="E397" s="12">
        <v>3.8</v>
      </c>
      <c r="F397" s="12">
        <v>10</v>
      </c>
      <c r="G397" s="12">
        <v>3.8</v>
      </c>
      <c r="H397" s="12">
        <v>4.2886029411764683</v>
      </c>
      <c r="I397" s="12" t="s">
        <v>90</v>
      </c>
      <c r="J397">
        <v>1</v>
      </c>
      <c r="K397" s="6">
        <v>46232</v>
      </c>
      <c r="L397">
        <v>46232</v>
      </c>
      <c r="M397">
        <v>0.65153377724719219</v>
      </c>
      <c r="N397">
        <v>0.65153377724719219</v>
      </c>
      <c r="O397">
        <v>0.73530780878371649</v>
      </c>
      <c r="P397">
        <v>1.53483984241787</v>
      </c>
      <c r="Q397">
        <v>1.53483984241787</v>
      </c>
      <c r="R397">
        <v>1.1285797213622286</v>
      </c>
      <c r="S397">
        <v>0.88606943849121345</v>
      </c>
      <c r="T397">
        <v>0.88606943849121345</v>
      </c>
      <c r="U397">
        <v>1.3599746773451447</v>
      </c>
    </row>
    <row r="398" spans="1:21" x14ac:dyDescent="0.25">
      <c r="A398" s="12" t="s">
        <v>59</v>
      </c>
      <c r="B398" s="12" t="s">
        <v>39</v>
      </c>
      <c r="C398" s="12" t="s">
        <v>14</v>
      </c>
      <c r="D398" s="12">
        <v>3.3729492440604751</v>
      </c>
      <c r="E398" s="12">
        <v>3.8</v>
      </c>
      <c r="F398" s="12">
        <v>10</v>
      </c>
      <c r="G398" s="12">
        <v>3.8</v>
      </c>
      <c r="H398" s="12">
        <v>3.5949826989619371</v>
      </c>
      <c r="I398" s="12" t="s">
        <v>91</v>
      </c>
      <c r="K398" s="6">
        <v>46233</v>
      </c>
      <c r="L398">
        <v>46233</v>
      </c>
      <c r="M398">
        <v>1.1266104898232698</v>
      </c>
      <c r="N398">
        <v>1.1266104898232698</v>
      </c>
      <c r="O398">
        <v>1.0658276893114971</v>
      </c>
      <c r="P398">
        <v>0.88761822212117769</v>
      </c>
      <c r="Q398">
        <v>0.88761822212117769</v>
      </c>
      <c r="R398">
        <v>0.94604807867419405</v>
      </c>
      <c r="S398">
        <v>1.0570287309302662</v>
      </c>
      <c r="T398">
        <v>1.0570287309302662</v>
      </c>
      <c r="U398">
        <v>0.9382379628793277</v>
      </c>
    </row>
    <row r="399" spans="1:21" x14ac:dyDescent="0.25">
      <c r="A399" s="12" t="s">
        <v>59</v>
      </c>
      <c r="B399" s="12" t="s">
        <v>39</v>
      </c>
      <c r="C399" s="12" t="s">
        <v>15</v>
      </c>
      <c r="D399" s="12">
        <v>1.2742252699784016</v>
      </c>
      <c r="E399" s="12">
        <v>0</v>
      </c>
      <c r="F399" s="12">
        <v>10</v>
      </c>
      <c r="G399" s="12">
        <v>0</v>
      </c>
      <c r="H399" s="12">
        <v>0.94117647058823517</v>
      </c>
      <c r="I399" s="12" t="s">
        <v>93</v>
      </c>
      <c r="K399" s="6">
        <v>46233</v>
      </c>
      <c r="L399">
        <v>46233</v>
      </c>
      <c r="M399">
        <v>0</v>
      </c>
      <c r="N399">
        <v>0</v>
      </c>
      <c r="O399">
        <v>0.73862643659875649</v>
      </c>
      <c r="S399">
        <v>0</v>
      </c>
      <c r="T399">
        <v>0</v>
      </c>
      <c r="U399">
        <v>1.3538643493520519</v>
      </c>
    </row>
    <row r="400" spans="1:21" x14ac:dyDescent="0.25">
      <c r="A400" s="12" t="s">
        <v>59</v>
      </c>
      <c r="B400" s="12" t="s">
        <v>39</v>
      </c>
      <c r="C400" s="12" t="s">
        <v>13</v>
      </c>
      <c r="D400" s="12">
        <v>5.7621216252699776</v>
      </c>
      <c r="E400" s="12">
        <v>2.8499999999999996</v>
      </c>
      <c r="F400" s="12">
        <v>10</v>
      </c>
      <c r="G400" s="12">
        <v>2.8499999999999996</v>
      </c>
      <c r="H400" s="12">
        <v>4.1104779411764714</v>
      </c>
      <c r="I400" s="12" t="s">
        <v>92</v>
      </c>
      <c r="K400" s="6">
        <v>46233</v>
      </c>
      <c r="L400">
        <v>46233</v>
      </c>
      <c r="M400">
        <v>0.49460948333704535</v>
      </c>
      <c r="N400">
        <v>0.49460948333704535</v>
      </c>
      <c r="O400">
        <v>0.71336188447495319</v>
      </c>
      <c r="P400">
        <v>2.0217970614982379</v>
      </c>
      <c r="Q400">
        <v>2.0217970614982379</v>
      </c>
      <c r="R400">
        <v>1.4422729618163059</v>
      </c>
      <c r="S400">
        <v>0.69335002906846721</v>
      </c>
      <c r="T400">
        <v>0.69335002906846721</v>
      </c>
      <c r="U400">
        <v>1.4018130513603448</v>
      </c>
    </row>
    <row r="401" spans="1:21" x14ac:dyDescent="0.25">
      <c r="A401" s="12" t="s">
        <v>63</v>
      </c>
      <c r="B401" s="12" t="s">
        <v>39</v>
      </c>
      <c r="C401" s="12" t="s">
        <v>14</v>
      </c>
      <c r="D401" s="12">
        <v>3.3729492440604751</v>
      </c>
      <c r="E401" s="12">
        <v>3.8</v>
      </c>
      <c r="F401" s="12">
        <v>10</v>
      </c>
      <c r="G401" s="12">
        <v>3.8</v>
      </c>
      <c r="H401" s="12">
        <v>3.5949826989619371</v>
      </c>
      <c r="I401" s="12" t="s">
        <v>91</v>
      </c>
      <c r="J401">
        <v>1</v>
      </c>
      <c r="K401" s="6">
        <v>46233</v>
      </c>
      <c r="L401">
        <v>46233</v>
      </c>
      <c r="M401">
        <v>1.1266104898232698</v>
      </c>
      <c r="N401">
        <v>1.1266104898232698</v>
      </c>
      <c r="O401">
        <v>1.0658276893114971</v>
      </c>
      <c r="P401">
        <v>0.88761822212117769</v>
      </c>
      <c r="Q401">
        <v>0.88761822212117769</v>
      </c>
      <c r="R401">
        <v>0.94604807867419405</v>
      </c>
      <c r="S401">
        <v>1.0570287309302662</v>
      </c>
      <c r="T401">
        <v>1.0570287309302662</v>
      </c>
      <c r="U401">
        <v>0.9382379628793277</v>
      </c>
    </row>
    <row r="402" spans="1:21" x14ac:dyDescent="0.25">
      <c r="A402" s="12" t="s">
        <v>63</v>
      </c>
      <c r="B402" s="12" t="s">
        <v>39</v>
      </c>
      <c r="C402" s="12" t="s">
        <v>15</v>
      </c>
      <c r="D402" s="12">
        <v>1.2742252699784016</v>
      </c>
      <c r="E402" s="12">
        <v>0</v>
      </c>
      <c r="F402" s="12">
        <v>10</v>
      </c>
      <c r="G402" s="12">
        <v>0</v>
      </c>
      <c r="H402" s="12">
        <v>0.94117647058823517</v>
      </c>
      <c r="I402" s="12" t="s">
        <v>93</v>
      </c>
      <c r="J402">
        <v>1</v>
      </c>
      <c r="K402" s="6">
        <v>46233</v>
      </c>
      <c r="L402">
        <v>46233</v>
      </c>
      <c r="M402">
        <v>0</v>
      </c>
      <c r="N402">
        <v>0</v>
      </c>
      <c r="O402">
        <v>0.73862643659875649</v>
      </c>
      <c r="S402">
        <v>0</v>
      </c>
      <c r="T402">
        <v>0</v>
      </c>
      <c r="U402">
        <v>1.3538643493520519</v>
      </c>
    </row>
    <row r="403" spans="1:21" x14ac:dyDescent="0.25">
      <c r="A403" s="12" t="s">
        <v>63</v>
      </c>
      <c r="B403" s="12" t="s">
        <v>39</v>
      </c>
      <c r="C403" s="12" t="s">
        <v>13</v>
      </c>
      <c r="D403" s="12">
        <v>5.7621216252699776</v>
      </c>
      <c r="E403" s="12">
        <v>2.8499999999999996</v>
      </c>
      <c r="F403" s="12">
        <v>10</v>
      </c>
      <c r="G403" s="12">
        <v>2.8499999999999996</v>
      </c>
      <c r="H403" s="12">
        <v>4.1104779411764714</v>
      </c>
      <c r="I403" s="12" t="s">
        <v>92</v>
      </c>
      <c r="J403">
        <v>1</v>
      </c>
      <c r="K403" s="6">
        <v>46233</v>
      </c>
      <c r="L403">
        <v>46233</v>
      </c>
      <c r="M403">
        <v>0.49460948333704535</v>
      </c>
      <c r="N403">
        <v>0.49460948333704535</v>
      </c>
      <c r="O403">
        <v>0.71336188447495319</v>
      </c>
      <c r="P403">
        <v>2.0217970614982379</v>
      </c>
      <c r="Q403">
        <v>2.0217970614982379</v>
      </c>
      <c r="R403">
        <v>1.4422729618163059</v>
      </c>
      <c r="S403">
        <v>0.69335002906846721</v>
      </c>
      <c r="T403">
        <v>0.69335002906846721</v>
      </c>
      <c r="U403">
        <v>1.4018130513603448</v>
      </c>
    </row>
    <row r="404" spans="1:21" x14ac:dyDescent="0.25">
      <c r="A404" s="12" t="s">
        <v>59</v>
      </c>
      <c r="B404" s="12" t="s">
        <v>39</v>
      </c>
      <c r="C404" s="12" t="s">
        <v>13</v>
      </c>
      <c r="D404" s="12">
        <v>4.5675354346652268</v>
      </c>
      <c r="E404" s="12">
        <v>3.8</v>
      </c>
      <c r="F404" s="12">
        <v>10</v>
      </c>
      <c r="G404" s="12">
        <v>3.8</v>
      </c>
      <c r="H404" s="12">
        <v>3.1104779411764705</v>
      </c>
      <c r="I404" s="12" t="s">
        <v>94</v>
      </c>
      <c r="K404" s="6">
        <v>46234</v>
      </c>
      <c r="L404">
        <v>46234</v>
      </c>
      <c r="M404">
        <v>0.83195851556179934</v>
      </c>
      <c r="N404">
        <v>0.83195851556179934</v>
      </c>
      <c r="O404">
        <v>0.68099700279707842</v>
      </c>
      <c r="P404">
        <v>1.2019830091224282</v>
      </c>
      <c r="Q404">
        <v>1.2019830091224282</v>
      </c>
      <c r="R404">
        <v>0.81854682662538703</v>
      </c>
      <c r="S404">
        <v>1.2216772058388985</v>
      </c>
      <c r="T404">
        <v>1.2216772058388985</v>
      </c>
      <c r="U404">
        <v>1.4684352440505191</v>
      </c>
    </row>
    <row r="405" spans="1:21" x14ac:dyDescent="0.25">
      <c r="A405" s="12" t="s">
        <v>59</v>
      </c>
      <c r="B405" s="12" t="s">
        <v>39</v>
      </c>
      <c r="C405" s="12" t="s">
        <v>15</v>
      </c>
      <c r="D405" s="12">
        <v>1.2742252699784016</v>
      </c>
      <c r="E405" s="12">
        <v>0</v>
      </c>
      <c r="F405" s="12">
        <v>10</v>
      </c>
      <c r="G405" s="12">
        <v>0</v>
      </c>
      <c r="H405" s="12">
        <v>0.94117647058823517</v>
      </c>
      <c r="I405" s="12" t="s">
        <v>95</v>
      </c>
      <c r="K405" s="6">
        <v>46234</v>
      </c>
      <c r="L405">
        <v>46234</v>
      </c>
      <c r="M405">
        <v>0</v>
      </c>
      <c r="N405">
        <v>0</v>
      </c>
      <c r="O405">
        <v>0.73862643659875649</v>
      </c>
      <c r="S405">
        <v>0</v>
      </c>
      <c r="T405">
        <v>0</v>
      </c>
      <c r="U405">
        <v>1.3538643493520519</v>
      </c>
    </row>
    <row r="406" spans="1:21" x14ac:dyDescent="0.25">
      <c r="A406" s="12" t="s">
        <v>59</v>
      </c>
      <c r="B406" s="12" t="s">
        <v>39</v>
      </c>
      <c r="C406" s="12" t="s">
        <v>14</v>
      </c>
      <c r="D406" s="12">
        <v>2.2486328293736499</v>
      </c>
      <c r="E406" s="12">
        <v>2.8499999999999996</v>
      </c>
      <c r="F406" s="12">
        <v>10</v>
      </c>
      <c r="G406" s="12">
        <v>2.8499999999999996</v>
      </c>
      <c r="H406" s="12">
        <v>2.6538062283737021</v>
      </c>
      <c r="I406" s="12" t="s">
        <v>96</v>
      </c>
      <c r="K406" s="6">
        <v>46234</v>
      </c>
      <c r="L406">
        <v>46234</v>
      </c>
      <c r="M406">
        <v>1.2674368010511787</v>
      </c>
      <c r="N406">
        <v>1.2674368010511787</v>
      </c>
      <c r="O406">
        <v>1.1801865532279505</v>
      </c>
      <c r="P406">
        <v>0.78899397521882464</v>
      </c>
      <c r="Q406">
        <v>0.78899397521882464</v>
      </c>
      <c r="R406">
        <v>0.93116008013112361</v>
      </c>
      <c r="S406">
        <v>1.0739292000782319</v>
      </c>
      <c r="T406">
        <v>1.0739292000782319</v>
      </c>
      <c r="U406">
        <v>0.84732366867329667</v>
      </c>
    </row>
    <row r="407" spans="1:21" x14ac:dyDescent="0.25">
      <c r="A407" s="12" t="s">
        <v>63</v>
      </c>
      <c r="B407" s="12" t="s">
        <v>39</v>
      </c>
      <c r="C407" s="12" t="s">
        <v>13</v>
      </c>
      <c r="D407" s="12">
        <v>4.5675354346652268</v>
      </c>
      <c r="E407" s="12">
        <v>3.8</v>
      </c>
      <c r="F407" s="12">
        <v>10</v>
      </c>
      <c r="G407" s="12">
        <v>3.8</v>
      </c>
      <c r="H407" s="12">
        <v>3.1104779411764705</v>
      </c>
      <c r="I407" s="12" t="s">
        <v>94</v>
      </c>
      <c r="J407">
        <v>1</v>
      </c>
      <c r="K407" s="6">
        <v>46234</v>
      </c>
      <c r="L407">
        <v>46234</v>
      </c>
      <c r="M407">
        <v>0.83195851556179934</v>
      </c>
      <c r="N407">
        <v>0.83195851556179934</v>
      </c>
      <c r="O407">
        <v>0.68099700279707842</v>
      </c>
      <c r="P407">
        <v>1.2019830091224282</v>
      </c>
      <c r="Q407">
        <v>1.2019830091224282</v>
      </c>
      <c r="R407">
        <v>0.81854682662538703</v>
      </c>
      <c r="S407">
        <v>1.2216772058388985</v>
      </c>
      <c r="T407">
        <v>1.2216772058388985</v>
      </c>
      <c r="U407">
        <v>1.4684352440505191</v>
      </c>
    </row>
    <row r="408" spans="1:21" x14ac:dyDescent="0.25">
      <c r="A408" s="12" t="s">
        <v>63</v>
      </c>
      <c r="B408" s="12" t="s">
        <v>39</v>
      </c>
      <c r="C408" s="12" t="s">
        <v>15</v>
      </c>
      <c r="D408" s="12">
        <v>1.2742252699784016</v>
      </c>
      <c r="E408" s="12">
        <v>0</v>
      </c>
      <c r="F408" s="12">
        <v>10</v>
      </c>
      <c r="G408" s="12">
        <v>0</v>
      </c>
      <c r="H408" s="12">
        <v>0.94117647058823517</v>
      </c>
      <c r="I408" s="12" t="s">
        <v>95</v>
      </c>
      <c r="J408">
        <v>1</v>
      </c>
      <c r="K408" s="6">
        <v>46234</v>
      </c>
      <c r="L408">
        <v>46234</v>
      </c>
      <c r="M408">
        <v>0</v>
      </c>
      <c r="N408">
        <v>0</v>
      </c>
      <c r="O408">
        <v>0.73862643659875649</v>
      </c>
      <c r="S408">
        <v>0</v>
      </c>
      <c r="T408">
        <v>0</v>
      </c>
      <c r="U408">
        <v>1.3538643493520519</v>
      </c>
    </row>
    <row r="409" spans="1:21" x14ac:dyDescent="0.25">
      <c r="A409" s="12" t="s">
        <v>63</v>
      </c>
      <c r="B409" s="12" t="s">
        <v>39</v>
      </c>
      <c r="C409" s="12" t="s">
        <v>14</v>
      </c>
      <c r="D409" s="12">
        <v>2.2486328293736499</v>
      </c>
      <c r="E409" s="12">
        <v>2.8499999999999996</v>
      </c>
      <c r="F409" s="12">
        <v>10</v>
      </c>
      <c r="G409" s="12">
        <v>2.8499999999999996</v>
      </c>
      <c r="H409" s="12">
        <v>2.6538062283737021</v>
      </c>
      <c r="I409" s="12" t="s">
        <v>96</v>
      </c>
      <c r="J409">
        <v>1</v>
      </c>
      <c r="K409" s="6">
        <v>46234</v>
      </c>
      <c r="L409">
        <v>46234</v>
      </c>
      <c r="M409">
        <v>1.2674368010511787</v>
      </c>
      <c r="N409">
        <v>1.2674368010511787</v>
      </c>
      <c r="O409">
        <v>1.1801865532279505</v>
      </c>
      <c r="P409">
        <v>0.78899397521882464</v>
      </c>
      <c r="Q409">
        <v>0.78899397521882464</v>
      </c>
      <c r="R409">
        <v>0.93116008013112361</v>
      </c>
      <c r="S409">
        <v>1.0739292000782319</v>
      </c>
      <c r="T409">
        <v>1.0739292000782319</v>
      </c>
      <c r="U409">
        <v>0.84732366867329667</v>
      </c>
    </row>
    <row r="410" spans="1:21" x14ac:dyDescent="0.25">
      <c r="A410" s="12" t="s">
        <v>59</v>
      </c>
      <c r="B410" s="12" t="s">
        <v>39</v>
      </c>
      <c r="C410" s="12" t="s">
        <v>15</v>
      </c>
      <c r="D410" s="12">
        <v>1.2742252699784016</v>
      </c>
      <c r="E410" s="12">
        <v>0</v>
      </c>
      <c r="F410" s="12">
        <v>10</v>
      </c>
      <c r="G410" s="12">
        <v>0</v>
      </c>
      <c r="H410" s="12">
        <v>0.94117647058823517</v>
      </c>
      <c r="I410" s="12" t="s">
        <v>99</v>
      </c>
      <c r="K410" s="6">
        <v>46235</v>
      </c>
      <c r="L410">
        <v>46235</v>
      </c>
      <c r="M410">
        <v>0</v>
      </c>
      <c r="N410">
        <v>0</v>
      </c>
      <c r="O410">
        <v>0.73862643659875649</v>
      </c>
      <c r="S410">
        <v>0</v>
      </c>
      <c r="T410">
        <v>0</v>
      </c>
      <c r="U410">
        <v>1.3538643493520519</v>
      </c>
    </row>
    <row r="411" spans="1:21" x14ac:dyDescent="0.25">
      <c r="A411" s="12" t="s">
        <v>59</v>
      </c>
      <c r="B411" s="12" t="s">
        <v>39</v>
      </c>
      <c r="C411" s="12" t="s">
        <v>13</v>
      </c>
      <c r="D411" s="12">
        <v>5.3405029697624178</v>
      </c>
      <c r="E411" s="12">
        <v>4.75</v>
      </c>
      <c r="F411" s="12">
        <v>10</v>
      </c>
      <c r="G411" s="12">
        <v>4.75</v>
      </c>
      <c r="H411" s="12">
        <v>4.3235294117647047</v>
      </c>
      <c r="I411" s="12" t="s">
        <v>97</v>
      </c>
      <c r="K411" s="6">
        <v>46235</v>
      </c>
      <c r="L411">
        <v>46235</v>
      </c>
      <c r="M411">
        <v>0.88942933407100278</v>
      </c>
      <c r="N411">
        <v>0.88942933407100278</v>
      </c>
      <c r="O411">
        <v>0.80957344958784749</v>
      </c>
      <c r="P411">
        <v>1.1243164146868247</v>
      </c>
      <c r="Q411">
        <v>1.1243164146868247</v>
      </c>
      <c r="R411">
        <v>0.91021671826625361</v>
      </c>
      <c r="S411">
        <v>1.0986394557823131</v>
      </c>
      <c r="T411">
        <v>1.0986394557823131</v>
      </c>
      <c r="U411">
        <v>1.2352183739586549</v>
      </c>
    </row>
    <row r="412" spans="1:21" x14ac:dyDescent="0.25">
      <c r="A412" s="12" t="s">
        <v>59</v>
      </c>
      <c r="B412" s="12" t="s">
        <v>39</v>
      </c>
      <c r="C412" s="12" t="s">
        <v>14</v>
      </c>
      <c r="D412" s="12">
        <v>2.2486328293736499</v>
      </c>
      <c r="E412" s="12">
        <v>0.95</v>
      </c>
      <c r="F412" s="12">
        <v>10</v>
      </c>
      <c r="G412" s="12">
        <v>0.95</v>
      </c>
      <c r="H412" s="12">
        <v>2.1591695501730106</v>
      </c>
      <c r="I412" s="12" t="s">
        <v>98</v>
      </c>
      <c r="K412" s="6">
        <v>46235</v>
      </c>
      <c r="L412">
        <v>46235</v>
      </c>
      <c r="M412">
        <v>0.42247893368372624</v>
      </c>
      <c r="N412">
        <v>0.42247893368372624</v>
      </c>
      <c r="O412">
        <v>0.96021436757838363</v>
      </c>
      <c r="P412">
        <v>2.3669819256564737</v>
      </c>
      <c r="Q412">
        <v>2.3669819256564737</v>
      </c>
      <c r="R412">
        <v>2.2728100528136954</v>
      </c>
      <c r="S412">
        <v>0.43998397435897429</v>
      </c>
      <c r="T412">
        <v>0.43998397435897429</v>
      </c>
      <c r="U412">
        <v>1.0414341148861936</v>
      </c>
    </row>
    <row r="413" spans="1:21" x14ac:dyDescent="0.25">
      <c r="A413" s="12" t="s">
        <v>63</v>
      </c>
      <c r="B413" s="12" t="s">
        <v>39</v>
      </c>
      <c r="C413" s="12" t="s">
        <v>15</v>
      </c>
      <c r="D413" s="12">
        <v>1.2742252699784016</v>
      </c>
      <c r="E413" s="12">
        <v>0</v>
      </c>
      <c r="F413" s="12">
        <v>10</v>
      </c>
      <c r="G413" s="12">
        <v>0</v>
      </c>
      <c r="H413" s="12">
        <v>0.94117647058823517</v>
      </c>
      <c r="I413" s="12" t="s">
        <v>99</v>
      </c>
      <c r="J413">
        <v>1</v>
      </c>
      <c r="K413" s="6">
        <v>46235</v>
      </c>
      <c r="L413">
        <v>46235</v>
      </c>
      <c r="M413">
        <v>0</v>
      </c>
      <c r="N413">
        <v>0</v>
      </c>
      <c r="O413">
        <v>0.73862643659875649</v>
      </c>
      <c r="S413">
        <v>0</v>
      </c>
      <c r="T413">
        <v>0</v>
      </c>
      <c r="U413">
        <v>1.3538643493520519</v>
      </c>
    </row>
    <row r="414" spans="1:21" x14ac:dyDescent="0.25">
      <c r="A414" s="12" t="s">
        <v>63</v>
      </c>
      <c r="B414" s="12" t="s">
        <v>39</v>
      </c>
      <c r="C414" s="12" t="s">
        <v>13</v>
      </c>
      <c r="D414" s="12">
        <v>5.3405029697624178</v>
      </c>
      <c r="E414" s="12">
        <v>4.75</v>
      </c>
      <c r="F414" s="12">
        <v>10</v>
      </c>
      <c r="G414" s="12">
        <v>4.75</v>
      </c>
      <c r="H414" s="12">
        <v>4.3235294117647047</v>
      </c>
      <c r="I414" s="12" t="s">
        <v>97</v>
      </c>
      <c r="J414">
        <v>1</v>
      </c>
      <c r="K414" s="6">
        <v>46235</v>
      </c>
      <c r="L414">
        <v>46235</v>
      </c>
      <c r="M414">
        <v>0.88942933407100278</v>
      </c>
      <c r="N414">
        <v>0.88942933407100278</v>
      </c>
      <c r="O414">
        <v>0.80957344958784749</v>
      </c>
      <c r="P414">
        <v>1.1243164146868247</v>
      </c>
      <c r="Q414">
        <v>1.1243164146868247</v>
      </c>
      <c r="R414">
        <v>0.91021671826625361</v>
      </c>
      <c r="S414">
        <v>1.0986394557823131</v>
      </c>
      <c r="T414">
        <v>1.0986394557823131</v>
      </c>
      <c r="U414">
        <v>1.2352183739586549</v>
      </c>
    </row>
    <row r="415" spans="1:21" x14ac:dyDescent="0.25">
      <c r="A415" s="12" t="s">
        <v>63</v>
      </c>
      <c r="B415" s="12" t="s">
        <v>39</v>
      </c>
      <c r="C415" s="12" t="s">
        <v>14</v>
      </c>
      <c r="D415" s="12">
        <v>2.2486328293736499</v>
      </c>
      <c r="E415" s="12">
        <v>0.95</v>
      </c>
      <c r="F415" s="12">
        <v>10</v>
      </c>
      <c r="G415" s="12">
        <v>0.95</v>
      </c>
      <c r="H415" s="12">
        <v>2.1591695501730106</v>
      </c>
      <c r="I415" s="12" t="s">
        <v>98</v>
      </c>
      <c r="J415">
        <v>1</v>
      </c>
      <c r="K415" s="6">
        <v>46235</v>
      </c>
      <c r="L415">
        <v>46235</v>
      </c>
      <c r="M415">
        <v>0.42247893368372624</v>
      </c>
      <c r="N415">
        <v>0.42247893368372624</v>
      </c>
      <c r="O415">
        <v>0.96021436757838363</v>
      </c>
      <c r="P415">
        <v>2.3669819256564737</v>
      </c>
      <c r="Q415">
        <v>2.3669819256564737</v>
      </c>
      <c r="R415">
        <v>2.2728100528136954</v>
      </c>
      <c r="S415">
        <v>0.43998397435897429</v>
      </c>
      <c r="T415">
        <v>0.43998397435897429</v>
      </c>
      <c r="U415">
        <v>1.0414341148861936</v>
      </c>
    </row>
    <row r="416" spans="1:21" x14ac:dyDescent="0.25">
      <c r="A416" s="12" t="s">
        <v>59</v>
      </c>
      <c r="B416" s="12" t="s">
        <v>39</v>
      </c>
      <c r="C416" s="12" t="s">
        <v>14</v>
      </c>
      <c r="D416" s="12">
        <v>2.2486328293736499</v>
      </c>
      <c r="E416" s="12">
        <v>0.95</v>
      </c>
      <c r="F416" s="12">
        <v>10</v>
      </c>
      <c r="G416" s="12">
        <v>0.95</v>
      </c>
      <c r="H416" s="12">
        <v>2.0484429065743952</v>
      </c>
      <c r="I416" s="12" t="s">
        <v>100</v>
      </c>
      <c r="K416" s="6">
        <v>46236</v>
      </c>
      <c r="L416">
        <v>46236</v>
      </c>
      <c r="M416">
        <v>0.42247893368372624</v>
      </c>
      <c r="N416">
        <v>0.42247893368372624</v>
      </c>
      <c r="O416">
        <v>0.91097260513846667</v>
      </c>
      <c r="P416">
        <v>2.3669819256564737</v>
      </c>
      <c r="Q416">
        <v>2.3669819256564737</v>
      </c>
      <c r="R416">
        <v>2.1562556911309425</v>
      </c>
      <c r="S416">
        <v>0.46376689189189169</v>
      </c>
      <c r="T416">
        <v>0.46376689189189169</v>
      </c>
      <c r="U416">
        <v>1.0977278508259876</v>
      </c>
    </row>
    <row r="417" spans="1:21" x14ac:dyDescent="0.25">
      <c r="A417" s="12" t="s">
        <v>59</v>
      </c>
      <c r="B417" s="12" t="s">
        <v>39</v>
      </c>
      <c r="C417" s="12" t="s">
        <v>15</v>
      </c>
      <c r="D417" s="12">
        <v>1.2742252699784016</v>
      </c>
      <c r="E417" s="12">
        <v>0</v>
      </c>
      <c r="F417" s="12">
        <v>10</v>
      </c>
      <c r="G417" s="12">
        <v>0</v>
      </c>
      <c r="H417" s="12">
        <v>0.94117647058823517</v>
      </c>
      <c r="I417" s="12" t="s">
        <v>101</v>
      </c>
      <c r="K417" s="6">
        <v>46236</v>
      </c>
      <c r="L417">
        <v>46236</v>
      </c>
      <c r="M417">
        <v>0</v>
      </c>
      <c r="N417">
        <v>0</v>
      </c>
      <c r="O417">
        <v>0.73862643659875649</v>
      </c>
      <c r="S417">
        <v>0</v>
      </c>
      <c r="T417">
        <v>0</v>
      </c>
      <c r="U417">
        <v>1.3538643493520519</v>
      </c>
    </row>
    <row r="418" spans="1:21" x14ac:dyDescent="0.25">
      <c r="A418" s="12" t="s">
        <v>59</v>
      </c>
      <c r="B418" s="12" t="s">
        <v>39</v>
      </c>
      <c r="C418" s="12" t="s">
        <v>13</v>
      </c>
      <c r="D418" s="12">
        <v>3.5134887958963272</v>
      </c>
      <c r="E418" s="12">
        <v>4.75</v>
      </c>
      <c r="F418" s="12">
        <v>10</v>
      </c>
      <c r="G418" s="12">
        <v>4.75</v>
      </c>
      <c r="H418" s="12">
        <v>2.9411764705882346</v>
      </c>
      <c r="I418" s="12" t="s">
        <v>102</v>
      </c>
      <c r="K418" s="6">
        <v>46236</v>
      </c>
      <c r="L418">
        <v>46236</v>
      </c>
      <c r="M418">
        <v>1.3519325877879242</v>
      </c>
      <c r="N418">
        <v>1.3519325877879242</v>
      </c>
      <c r="O418">
        <v>0.83710996147859074</v>
      </c>
      <c r="P418">
        <v>0.73968185176764789</v>
      </c>
      <c r="Q418">
        <v>0.73968185176764789</v>
      </c>
      <c r="R418">
        <v>0.6191950464396283</v>
      </c>
      <c r="S418">
        <v>1.6150000000000004</v>
      </c>
      <c r="T418">
        <v>1.6150000000000004</v>
      </c>
      <c r="U418">
        <v>1.1945861906047515</v>
      </c>
    </row>
    <row r="419" spans="1:21" x14ac:dyDescent="0.25">
      <c r="A419" s="12" t="s">
        <v>63</v>
      </c>
      <c r="B419" s="12" t="s">
        <v>39</v>
      </c>
      <c r="C419" s="12" t="s">
        <v>14</v>
      </c>
      <c r="D419" s="12">
        <v>2.2486328293736499</v>
      </c>
      <c r="E419" s="12">
        <v>0.95</v>
      </c>
      <c r="F419" s="12">
        <v>10</v>
      </c>
      <c r="G419" s="12">
        <v>0.95</v>
      </c>
      <c r="H419" s="12">
        <v>2.0484429065743952</v>
      </c>
      <c r="I419" s="12" t="s">
        <v>100</v>
      </c>
      <c r="J419">
        <v>1</v>
      </c>
      <c r="K419" s="6">
        <v>46236</v>
      </c>
      <c r="L419">
        <v>46236</v>
      </c>
      <c r="M419">
        <v>0.42247893368372624</v>
      </c>
      <c r="N419">
        <v>0.42247893368372624</v>
      </c>
      <c r="O419">
        <v>0.91097260513846667</v>
      </c>
      <c r="P419">
        <v>2.3669819256564737</v>
      </c>
      <c r="Q419">
        <v>2.3669819256564737</v>
      </c>
      <c r="R419">
        <v>2.1562556911309425</v>
      </c>
      <c r="S419">
        <v>0.46376689189189169</v>
      </c>
      <c r="T419">
        <v>0.46376689189189169</v>
      </c>
      <c r="U419">
        <v>1.0977278508259876</v>
      </c>
    </row>
    <row r="420" spans="1:21" x14ac:dyDescent="0.25">
      <c r="A420" s="12" t="s">
        <v>63</v>
      </c>
      <c r="B420" s="12" t="s">
        <v>39</v>
      </c>
      <c r="C420" s="12" t="s">
        <v>15</v>
      </c>
      <c r="D420" s="12">
        <v>1.2742252699784016</v>
      </c>
      <c r="E420" s="12">
        <v>0</v>
      </c>
      <c r="F420" s="12">
        <v>10</v>
      </c>
      <c r="G420" s="12">
        <v>0</v>
      </c>
      <c r="H420" s="12">
        <v>0.94117647058823517</v>
      </c>
      <c r="I420" s="12" t="s">
        <v>101</v>
      </c>
      <c r="J420">
        <v>1</v>
      </c>
      <c r="K420" s="6">
        <v>46236</v>
      </c>
      <c r="L420">
        <v>46236</v>
      </c>
      <c r="M420">
        <v>0</v>
      </c>
      <c r="N420">
        <v>0</v>
      </c>
      <c r="O420">
        <v>0.73862643659875649</v>
      </c>
      <c r="S420">
        <v>0</v>
      </c>
      <c r="T420">
        <v>0</v>
      </c>
      <c r="U420">
        <v>1.3538643493520519</v>
      </c>
    </row>
    <row r="421" spans="1:21" x14ac:dyDescent="0.25">
      <c r="A421" s="12" t="s">
        <v>63</v>
      </c>
      <c r="B421" s="12" t="s">
        <v>39</v>
      </c>
      <c r="C421" s="12" t="s">
        <v>13</v>
      </c>
      <c r="D421" s="12">
        <v>3.5134887958963272</v>
      </c>
      <c r="E421" s="12">
        <v>4.75</v>
      </c>
      <c r="F421" s="12">
        <v>10</v>
      </c>
      <c r="G421" s="12">
        <v>4.75</v>
      </c>
      <c r="H421" s="12">
        <v>2.9411764705882346</v>
      </c>
      <c r="I421" s="12" t="s">
        <v>102</v>
      </c>
      <c r="J421">
        <v>1</v>
      </c>
      <c r="K421" s="6">
        <v>46236</v>
      </c>
      <c r="L421">
        <v>46236</v>
      </c>
      <c r="M421">
        <v>1.3519325877879242</v>
      </c>
      <c r="N421">
        <v>1.3519325877879242</v>
      </c>
      <c r="O421">
        <v>0.83710996147859074</v>
      </c>
      <c r="P421">
        <v>0.73968185176764789</v>
      </c>
      <c r="Q421">
        <v>0.73968185176764789</v>
      </c>
      <c r="R421">
        <v>0.6191950464396283</v>
      </c>
      <c r="S421">
        <v>1.6150000000000004</v>
      </c>
      <c r="T421">
        <v>1.6150000000000004</v>
      </c>
      <c r="U421">
        <v>1.1945861906047515</v>
      </c>
    </row>
    <row r="422" spans="1:21" x14ac:dyDescent="0.25">
      <c r="A422" s="12" t="s">
        <v>59</v>
      </c>
      <c r="B422" s="12" t="s">
        <v>39</v>
      </c>
      <c r="C422" s="12" t="s">
        <v>13</v>
      </c>
      <c r="D422" s="12">
        <v>5.8323914011879037</v>
      </c>
      <c r="E422" s="12">
        <v>0</v>
      </c>
      <c r="F422" s="12">
        <v>10</v>
      </c>
      <c r="G422" s="12">
        <v>0</v>
      </c>
      <c r="H422" s="12">
        <v>4.2886029411764701</v>
      </c>
      <c r="I422" s="12" t="s">
        <v>103</v>
      </c>
      <c r="K422" s="6">
        <v>46237</v>
      </c>
      <c r="L422">
        <v>46237</v>
      </c>
      <c r="M422">
        <v>0</v>
      </c>
      <c r="N422">
        <v>0</v>
      </c>
      <c r="O422">
        <v>0.73530780878371693</v>
      </c>
      <c r="S422">
        <v>0</v>
      </c>
      <c r="T422">
        <v>0</v>
      </c>
      <c r="U422">
        <v>1.3599746773451435</v>
      </c>
    </row>
    <row r="423" spans="1:21" x14ac:dyDescent="0.25">
      <c r="A423" s="12" t="s">
        <v>59</v>
      </c>
      <c r="B423" s="12" t="s">
        <v>39</v>
      </c>
      <c r="C423" s="12" t="s">
        <v>15</v>
      </c>
      <c r="D423" s="12">
        <v>1.2742252699784016</v>
      </c>
      <c r="E423" s="12">
        <v>0</v>
      </c>
      <c r="F423" s="12">
        <v>10</v>
      </c>
      <c r="G423" s="12">
        <v>0</v>
      </c>
      <c r="H423" s="12">
        <v>0.94117647058823517</v>
      </c>
      <c r="I423" s="12" t="s">
        <v>104</v>
      </c>
      <c r="K423" s="6">
        <v>46237</v>
      </c>
      <c r="L423">
        <v>46237</v>
      </c>
      <c r="M423">
        <v>0</v>
      </c>
      <c r="N423">
        <v>0</v>
      </c>
      <c r="O423">
        <v>0.73862643659875649</v>
      </c>
      <c r="S423">
        <v>0</v>
      </c>
      <c r="T423">
        <v>0</v>
      </c>
      <c r="U423">
        <v>1.3538643493520519</v>
      </c>
    </row>
    <row r="424" spans="1:21" x14ac:dyDescent="0.25">
      <c r="A424" s="12" t="s">
        <v>59</v>
      </c>
      <c r="B424" s="12" t="s">
        <v>39</v>
      </c>
      <c r="C424" s="12" t="s">
        <v>14</v>
      </c>
      <c r="D424" s="12">
        <v>3.3729492440604751</v>
      </c>
      <c r="E424" s="12">
        <v>0</v>
      </c>
      <c r="F424" s="12">
        <v>10</v>
      </c>
      <c r="G424" s="12">
        <v>0</v>
      </c>
      <c r="H424" s="12">
        <v>3.4861591695501724</v>
      </c>
      <c r="I424" s="12" t="s">
        <v>105</v>
      </c>
      <c r="K424" s="6">
        <v>46237</v>
      </c>
      <c r="L424">
        <v>46237</v>
      </c>
      <c r="M424">
        <v>0</v>
      </c>
      <c r="N424">
        <v>0</v>
      </c>
      <c r="O424">
        <v>1.0335640762128431</v>
      </c>
      <c r="S424">
        <v>0</v>
      </c>
      <c r="T424">
        <v>0</v>
      </c>
      <c r="U424">
        <v>0.96752588737814149</v>
      </c>
    </row>
    <row r="425" spans="1:21" x14ac:dyDescent="0.25">
      <c r="A425" s="12" t="s">
        <v>63</v>
      </c>
      <c r="B425" s="12" t="s">
        <v>39</v>
      </c>
      <c r="C425" s="12" t="s">
        <v>13</v>
      </c>
      <c r="D425" s="12">
        <v>5.8323914011879037</v>
      </c>
      <c r="E425" s="12">
        <v>0</v>
      </c>
      <c r="F425" s="12">
        <v>10</v>
      </c>
      <c r="G425" s="12">
        <v>0</v>
      </c>
      <c r="H425" s="12">
        <v>4.2886029411764701</v>
      </c>
      <c r="I425" s="12" t="s">
        <v>103</v>
      </c>
      <c r="J425">
        <v>1</v>
      </c>
      <c r="K425" s="6">
        <v>46237</v>
      </c>
      <c r="L425">
        <v>46237</v>
      </c>
      <c r="M425">
        <v>0</v>
      </c>
      <c r="N425">
        <v>0</v>
      </c>
      <c r="O425">
        <v>0.73530780878371693</v>
      </c>
      <c r="S425">
        <v>0</v>
      </c>
      <c r="T425">
        <v>0</v>
      </c>
      <c r="U425">
        <v>1.3599746773451435</v>
      </c>
    </row>
    <row r="426" spans="1:21" x14ac:dyDescent="0.25">
      <c r="A426" s="12" t="s">
        <v>63</v>
      </c>
      <c r="B426" s="12" t="s">
        <v>39</v>
      </c>
      <c r="C426" s="12" t="s">
        <v>15</v>
      </c>
      <c r="D426" s="12">
        <v>1.2742252699784016</v>
      </c>
      <c r="E426" s="12">
        <v>0</v>
      </c>
      <c r="F426" s="12">
        <v>10</v>
      </c>
      <c r="G426" s="12">
        <v>0</v>
      </c>
      <c r="H426" s="12">
        <v>0.94117647058823517</v>
      </c>
      <c r="I426" s="12" t="s">
        <v>104</v>
      </c>
      <c r="J426">
        <v>1</v>
      </c>
      <c r="K426" s="6">
        <v>46237</v>
      </c>
      <c r="L426">
        <v>46237</v>
      </c>
      <c r="M426">
        <v>0</v>
      </c>
      <c r="N426">
        <v>0</v>
      </c>
      <c r="O426">
        <v>0.73862643659875649</v>
      </c>
      <c r="S426">
        <v>0</v>
      </c>
      <c r="T426">
        <v>0</v>
      </c>
      <c r="U426">
        <v>1.3538643493520519</v>
      </c>
    </row>
    <row r="427" spans="1:21" x14ac:dyDescent="0.25">
      <c r="A427" s="12" t="s">
        <v>63</v>
      </c>
      <c r="B427" s="12" t="s">
        <v>39</v>
      </c>
      <c r="C427" s="12" t="s">
        <v>14</v>
      </c>
      <c r="D427" s="12">
        <v>3.3729492440604751</v>
      </c>
      <c r="E427" s="12">
        <v>0</v>
      </c>
      <c r="F427" s="12">
        <v>10</v>
      </c>
      <c r="G427" s="12">
        <v>0</v>
      </c>
      <c r="H427" s="12">
        <v>3.4861591695501724</v>
      </c>
      <c r="I427" s="12" t="s">
        <v>105</v>
      </c>
      <c r="J427">
        <v>1</v>
      </c>
      <c r="K427" s="6">
        <v>46237</v>
      </c>
      <c r="L427">
        <v>46237</v>
      </c>
      <c r="M427">
        <v>0</v>
      </c>
      <c r="N427">
        <v>0</v>
      </c>
      <c r="O427">
        <v>1.0335640762128431</v>
      </c>
      <c r="S427">
        <v>0</v>
      </c>
      <c r="T427">
        <v>0</v>
      </c>
      <c r="U427">
        <v>0.96752588737814149</v>
      </c>
    </row>
    <row r="428" spans="1:21" x14ac:dyDescent="0.25">
      <c r="A428" s="12" t="s">
        <v>59</v>
      </c>
      <c r="B428" s="12" t="s">
        <v>39</v>
      </c>
      <c r="C428" s="12" t="s">
        <v>14</v>
      </c>
      <c r="D428" s="12">
        <v>3.3729492440604751</v>
      </c>
      <c r="E428" s="12">
        <v>0</v>
      </c>
      <c r="F428" s="12">
        <v>10</v>
      </c>
      <c r="G428" s="12">
        <v>0</v>
      </c>
      <c r="H428" s="12">
        <v>3.4861591695501724</v>
      </c>
      <c r="I428" s="12" t="s">
        <v>106</v>
      </c>
      <c r="K428" s="6">
        <v>46238</v>
      </c>
      <c r="L428">
        <v>46238</v>
      </c>
      <c r="M428">
        <v>0</v>
      </c>
      <c r="N428">
        <v>0</v>
      </c>
      <c r="O428">
        <v>1.0335640762128431</v>
      </c>
      <c r="S428">
        <v>0</v>
      </c>
      <c r="T428">
        <v>0</v>
      </c>
      <c r="U428">
        <v>0.96752588737814149</v>
      </c>
    </row>
    <row r="429" spans="1:21" x14ac:dyDescent="0.25">
      <c r="A429" s="12" t="s">
        <v>59</v>
      </c>
      <c r="B429" s="12" t="s">
        <v>39</v>
      </c>
      <c r="C429" s="12" t="s">
        <v>13</v>
      </c>
      <c r="D429" s="12">
        <v>5.8323914011879046</v>
      </c>
      <c r="E429" s="12">
        <v>0</v>
      </c>
      <c r="F429" s="12">
        <v>10</v>
      </c>
      <c r="G429" s="12">
        <v>0</v>
      </c>
      <c r="H429" s="12">
        <v>4.2886029411764701</v>
      </c>
      <c r="I429" s="12" t="s">
        <v>108</v>
      </c>
      <c r="K429" s="6">
        <v>46238</v>
      </c>
      <c r="L429">
        <v>46238</v>
      </c>
      <c r="M429">
        <v>0</v>
      </c>
      <c r="N429">
        <v>0</v>
      </c>
      <c r="O429">
        <v>0.73530780878371682</v>
      </c>
      <c r="S429">
        <v>0</v>
      </c>
      <c r="T429">
        <v>0</v>
      </c>
      <c r="U429">
        <v>1.3599746773451438</v>
      </c>
    </row>
    <row r="430" spans="1:21" x14ac:dyDescent="0.25">
      <c r="A430" s="12" t="s">
        <v>59</v>
      </c>
      <c r="B430" s="12" t="s">
        <v>39</v>
      </c>
      <c r="C430" s="12" t="s">
        <v>15</v>
      </c>
      <c r="D430" s="12">
        <v>1.2742252699784016</v>
      </c>
      <c r="E430" s="12">
        <v>0</v>
      </c>
      <c r="F430" s="12">
        <v>10</v>
      </c>
      <c r="G430" s="12">
        <v>0</v>
      </c>
      <c r="H430" s="12">
        <v>0.94117647058823517</v>
      </c>
      <c r="I430" s="12" t="s">
        <v>107</v>
      </c>
      <c r="K430" s="6">
        <v>46238</v>
      </c>
      <c r="L430">
        <v>46238</v>
      </c>
      <c r="M430">
        <v>0</v>
      </c>
      <c r="N430">
        <v>0</v>
      </c>
      <c r="O430">
        <v>0.73862643659875649</v>
      </c>
      <c r="S430">
        <v>0</v>
      </c>
      <c r="T430">
        <v>0</v>
      </c>
      <c r="U430">
        <v>1.3538643493520519</v>
      </c>
    </row>
    <row r="431" spans="1:21" x14ac:dyDescent="0.25">
      <c r="A431" s="12" t="s">
        <v>63</v>
      </c>
      <c r="B431" s="12" t="s">
        <v>39</v>
      </c>
      <c r="C431" s="12" t="s">
        <v>14</v>
      </c>
      <c r="D431" s="12">
        <v>3.3729492440604751</v>
      </c>
      <c r="E431" s="12">
        <v>0</v>
      </c>
      <c r="F431" s="12">
        <v>10</v>
      </c>
      <c r="G431" s="12">
        <v>0</v>
      </c>
      <c r="H431" s="12">
        <v>3.4861591695501724</v>
      </c>
      <c r="I431" s="12" t="s">
        <v>106</v>
      </c>
      <c r="J431">
        <v>1</v>
      </c>
      <c r="K431" s="6">
        <v>46238</v>
      </c>
      <c r="L431">
        <v>46238</v>
      </c>
      <c r="M431">
        <v>0</v>
      </c>
      <c r="N431">
        <v>0</v>
      </c>
      <c r="O431">
        <v>1.0335640762128431</v>
      </c>
      <c r="S431">
        <v>0</v>
      </c>
      <c r="T431">
        <v>0</v>
      </c>
      <c r="U431">
        <v>0.96752588737814149</v>
      </c>
    </row>
    <row r="432" spans="1:21" x14ac:dyDescent="0.25">
      <c r="A432" s="12" t="s">
        <v>63</v>
      </c>
      <c r="B432" s="12" t="s">
        <v>39</v>
      </c>
      <c r="C432" s="12" t="s">
        <v>13</v>
      </c>
      <c r="D432" s="12">
        <v>5.8323914011879046</v>
      </c>
      <c r="E432" s="12">
        <v>0</v>
      </c>
      <c r="F432" s="12">
        <v>10</v>
      </c>
      <c r="G432" s="12">
        <v>0</v>
      </c>
      <c r="H432" s="12">
        <v>4.2886029411764701</v>
      </c>
      <c r="I432" s="12" t="s">
        <v>108</v>
      </c>
      <c r="J432">
        <v>1</v>
      </c>
      <c r="K432" s="6">
        <v>46238</v>
      </c>
      <c r="L432">
        <v>46238</v>
      </c>
      <c r="M432">
        <v>0</v>
      </c>
      <c r="N432">
        <v>0</v>
      </c>
      <c r="O432">
        <v>0.73530780878371682</v>
      </c>
      <c r="S432">
        <v>0</v>
      </c>
      <c r="T432">
        <v>0</v>
      </c>
      <c r="U432">
        <v>1.3599746773451438</v>
      </c>
    </row>
    <row r="433" spans="1:21" x14ac:dyDescent="0.25">
      <c r="A433" s="12" t="s">
        <v>63</v>
      </c>
      <c r="B433" s="12" t="s">
        <v>39</v>
      </c>
      <c r="C433" s="12" t="s">
        <v>15</v>
      </c>
      <c r="D433" s="12">
        <v>1.2742252699784016</v>
      </c>
      <c r="E433" s="12">
        <v>0</v>
      </c>
      <c r="F433" s="12">
        <v>10</v>
      </c>
      <c r="G433" s="12">
        <v>0</v>
      </c>
      <c r="H433" s="12">
        <v>0.94117647058823517</v>
      </c>
      <c r="I433" s="12" t="s">
        <v>107</v>
      </c>
      <c r="J433">
        <v>1</v>
      </c>
      <c r="K433" s="6">
        <v>46238</v>
      </c>
      <c r="L433">
        <v>46238</v>
      </c>
      <c r="M433">
        <v>0</v>
      </c>
      <c r="N433">
        <v>0</v>
      </c>
      <c r="O433">
        <v>0.73862643659875649</v>
      </c>
      <c r="S433">
        <v>0</v>
      </c>
      <c r="T433">
        <v>0</v>
      </c>
      <c r="U433">
        <v>1.3538643493520519</v>
      </c>
    </row>
    <row r="434" spans="1:21" x14ac:dyDescent="0.25">
      <c r="A434" s="12" t="s">
        <v>59</v>
      </c>
      <c r="B434" s="12" t="s">
        <v>39</v>
      </c>
      <c r="C434" s="12" t="s">
        <v>15</v>
      </c>
      <c r="D434" s="12">
        <v>1.2742252699784016</v>
      </c>
      <c r="E434" s="12">
        <v>0</v>
      </c>
      <c r="F434" s="12">
        <v>10</v>
      </c>
      <c r="G434" s="12">
        <v>0</v>
      </c>
      <c r="H434" s="12">
        <v>0.94117647058823517</v>
      </c>
      <c r="I434" s="12" t="s">
        <v>109</v>
      </c>
      <c r="K434" s="6">
        <v>46239</v>
      </c>
      <c r="L434">
        <v>46239</v>
      </c>
      <c r="M434">
        <v>0</v>
      </c>
      <c r="N434">
        <v>0</v>
      </c>
      <c r="O434">
        <v>0.73862643659875649</v>
      </c>
      <c r="S434">
        <v>0</v>
      </c>
      <c r="T434">
        <v>0</v>
      </c>
      <c r="U434">
        <v>1.3538643493520519</v>
      </c>
    </row>
    <row r="435" spans="1:21" x14ac:dyDescent="0.25">
      <c r="A435" s="12" t="s">
        <v>59</v>
      </c>
      <c r="B435" s="12" t="s">
        <v>39</v>
      </c>
      <c r="C435" s="12" t="s">
        <v>14</v>
      </c>
      <c r="D435" s="12">
        <v>3.902039321560157</v>
      </c>
      <c r="E435" s="12">
        <v>0</v>
      </c>
      <c r="F435" s="12">
        <v>10</v>
      </c>
      <c r="G435" s="12">
        <v>0</v>
      </c>
      <c r="H435" s="12">
        <v>3.8460207612456743</v>
      </c>
      <c r="I435" s="12" t="s">
        <v>110</v>
      </c>
      <c r="K435" s="6">
        <v>46239</v>
      </c>
      <c r="L435">
        <v>46239</v>
      </c>
      <c r="M435">
        <v>0</v>
      </c>
      <c r="N435">
        <v>0</v>
      </c>
      <c r="O435">
        <v>0.98564377349942112</v>
      </c>
      <c r="S435">
        <v>0</v>
      </c>
      <c r="T435">
        <v>0</v>
      </c>
      <c r="U435">
        <v>1.0145653296724115</v>
      </c>
    </row>
    <row r="436" spans="1:21" x14ac:dyDescent="0.25">
      <c r="A436" s="12" t="s">
        <v>59</v>
      </c>
      <c r="B436" s="12" t="s">
        <v>39</v>
      </c>
      <c r="C436" s="12" t="s">
        <v>13</v>
      </c>
      <c r="D436" s="12">
        <v>4.6378052105831538</v>
      </c>
      <c r="E436" s="12">
        <v>0</v>
      </c>
      <c r="F436" s="12">
        <v>10</v>
      </c>
      <c r="G436" s="12">
        <v>0</v>
      </c>
      <c r="H436" s="12">
        <v>2.40625</v>
      </c>
      <c r="I436" s="12" t="s">
        <v>111</v>
      </c>
      <c r="K436" s="6">
        <v>46239</v>
      </c>
      <c r="L436">
        <v>46239</v>
      </c>
      <c r="M436">
        <v>0</v>
      </c>
      <c r="N436">
        <v>0</v>
      </c>
      <c r="O436">
        <v>0.51883377820808485</v>
      </c>
      <c r="S436">
        <v>0</v>
      </c>
      <c r="T436">
        <v>0</v>
      </c>
      <c r="U436">
        <v>1.9273995680345575</v>
      </c>
    </row>
    <row r="437" spans="1:21" x14ac:dyDescent="0.25">
      <c r="A437" s="12" t="s">
        <v>63</v>
      </c>
      <c r="B437" s="12" t="s">
        <v>39</v>
      </c>
      <c r="C437" s="12" t="s">
        <v>15</v>
      </c>
      <c r="D437" s="12">
        <v>1.2742252699784016</v>
      </c>
      <c r="E437" s="12">
        <v>0</v>
      </c>
      <c r="F437" s="12">
        <v>10</v>
      </c>
      <c r="G437" s="12">
        <v>0</v>
      </c>
      <c r="H437" s="12">
        <v>0.94117647058823517</v>
      </c>
      <c r="I437" s="12" t="s">
        <v>109</v>
      </c>
      <c r="J437">
        <v>1</v>
      </c>
      <c r="K437" s="6">
        <v>46239</v>
      </c>
      <c r="L437">
        <v>46239</v>
      </c>
      <c r="M437">
        <v>0</v>
      </c>
      <c r="N437">
        <v>0</v>
      </c>
      <c r="O437">
        <v>0.73862643659875649</v>
      </c>
      <c r="S437">
        <v>0</v>
      </c>
      <c r="T437">
        <v>0</v>
      </c>
      <c r="U437">
        <v>1.3538643493520519</v>
      </c>
    </row>
    <row r="438" spans="1:21" x14ac:dyDescent="0.25">
      <c r="A438" s="12" t="s">
        <v>63</v>
      </c>
      <c r="B438" s="12" t="s">
        <v>39</v>
      </c>
      <c r="C438" s="12" t="s">
        <v>14</v>
      </c>
      <c r="D438" s="12">
        <v>3.902039321560157</v>
      </c>
      <c r="E438" s="12">
        <v>0</v>
      </c>
      <c r="F438" s="12">
        <v>10</v>
      </c>
      <c r="G438" s="12">
        <v>0</v>
      </c>
      <c r="H438" s="12">
        <v>3.8460207612456743</v>
      </c>
      <c r="I438" s="12" t="s">
        <v>110</v>
      </c>
      <c r="J438">
        <v>1</v>
      </c>
      <c r="K438" s="6">
        <v>46239</v>
      </c>
      <c r="L438">
        <v>46239</v>
      </c>
      <c r="M438">
        <v>0</v>
      </c>
      <c r="N438">
        <v>0</v>
      </c>
      <c r="O438">
        <v>0.98564377349942112</v>
      </c>
      <c r="S438">
        <v>0</v>
      </c>
      <c r="T438">
        <v>0</v>
      </c>
      <c r="U438">
        <v>1.0145653296724115</v>
      </c>
    </row>
    <row r="439" spans="1:21" x14ac:dyDescent="0.25">
      <c r="A439" s="12" t="s">
        <v>63</v>
      </c>
      <c r="B439" s="12" t="s">
        <v>39</v>
      </c>
      <c r="C439" s="12" t="s">
        <v>13</v>
      </c>
      <c r="D439" s="12">
        <v>4.6378052105831538</v>
      </c>
      <c r="E439" s="12">
        <v>0</v>
      </c>
      <c r="F439" s="12">
        <v>10</v>
      </c>
      <c r="G439" s="12">
        <v>0</v>
      </c>
      <c r="H439" s="12">
        <v>2.40625</v>
      </c>
      <c r="I439" s="12" t="s">
        <v>111</v>
      </c>
      <c r="J439">
        <v>1</v>
      </c>
      <c r="K439" s="6">
        <v>46239</v>
      </c>
      <c r="L439">
        <v>46239</v>
      </c>
      <c r="M439">
        <v>0</v>
      </c>
      <c r="N439">
        <v>0</v>
      </c>
      <c r="O439">
        <v>0.51883377820808485</v>
      </c>
      <c r="S439">
        <v>0</v>
      </c>
      <c r="T439">
        <v>0</v>
      </c>
      <c r="U439">
        <v>1.9273995680345575</v>
      </c>
    </row>
    <row r="440" spans="1:21" x14ac:dyDescent="0.25">
      <c r="A440" s="12" t="s">
        <v>59</v>
      </c>
      <c r="B440" s="12" t="s">
        <v>39</v>
      </c>
      <c r="C440" s="12" t="s">
        <v>13</v>
      </c>
      <c r="D440" s="12">
        <v>5.9729309530237575</v>
      </c>
      <c r="E440" s="12">
        <v>0</v>
      </c>
      <c r="F440" s="12">
        <v>10</v>
      </c>
      <c r="G440" s="12">
        <v>0</v>
      </c>
      <c r="H440" s="12">
        <v>3.9419504643962866</v>
      </c>
      <c r="I440" s="12" t="s">
        <v>113</v>
      </c>
      <c r="K440" s="6">
        <v>46240</v>
      </c>
      <c r="L440">
        <v>46240</v>
      </c>
      <c r="M440">
        <v>0</v>
      </c>
      <c r="N440">
        <v>0</v>
      </c>
      <c r="O440">
        <v>0.65996920028025763</v>
      </c>
      <c r="S440">
        <v>0</v>
      </c>
      <c r="T440">
        <v>0</v>
      </c>
      <c r="U440">
        <v>1.5152222248785963</v>
      </c>
    </row>
    <row r="441" spans="1:21" x14ac:dyDescent="0.25">
      <c r="A441" s="12" t="s">
        <v>59</v>
      </c>
      <c r="B441" s="12" t="s">
        <v>39</v>
      </c>
      <c r="C441" s="12" t="s">
        <v>15</v>
      </c>
      <c r="D441" s="12">
        <v>1.2742252699784016</v>
      </c>
      <c r="E441" s="12">
        <v>0</v>
      </c>
      <c r="F441" s="12">
        <v>10</v>
      </c>
      <c r="G441" s="12">
        <v>0</v>
      </c>
      <c r="H441" s="12">
        <v>0.94117647058823517</v>
      </c>
      <c r="I441" s="12" t="s">
        <v>112</v>
      </c>
      <c r="K441" s="6">
        <v>46240</v>
      </c>
      <c r="L441">
        <v>46240</v>
      </c>
      <c r="M441">
        <v>0</v>
      </c>
      <c r="N441">
        <v>0</v>
      </c>
      <c r="O441">
        <v>0.73862643659875649</v>
      </c>
      <c r="S441">
        <v>0</v>
      </c>
      <c r="T441">
        <v>0</v>
      </c>
      <c r="U441">
        <v>1.3538643493520519</v>
      </c>
    </row>
    <row r="442" spans="1:21" x14ac:dyDescent="0.25">
      <c r="A442" s="12" t="s">
        <v>59</v>
      </c>
      <c r="B442" s="12" t="s">
        <v>39</v>
      </c>
      <c r="C442" s="12" t="s">
        <v>14</v>
      </c>
      <c r="D442" s="12">
        <v>3.505221763435395</v>
      </c>
      <c r="E442" s="12">
        <v>0</v>
      </c>
      <c r="F442" s="12">
        <v>10</v>
      </c>
      <c r="G442" s="12">
        <v>0</v>
      </c>
      <c r="H442" s="12">
        <v>3.1065379712256411</v>
      </c>
      <c r="I442" s="12" t="s">
        <v>114</v>
      </c>
      <c r="K442" s="6">
        <v>46240</v>
      </c>
      <c r="L442">
        <v>46240</v>
      </c>
      <c r="M442">
        <v>0</v>
      </c>
      <c r="N442">
        <v>0</v>
      </c>
      <c r="O442">
        <v>0.88626003741942638</v>
      </c>
      <c r="S442">
        <v>0</v>
      </c>
      <c r="T442">
        <v>0</v>
      </c>
      <c r="U442">
        <v>1.1283370092052856</v>
      </c>
    </row>
    <row r="443" spans="1:21" x14ac:dyDescent="0.25">
      <c r="A443" s="12" t="s">
        <v>63</v>
      </c>
      <c r="B443" s="12" t="s">
        <v>39</v>
      </c>
      <c r="C443" s="12" t="s">
        <v>13</v>
      </c>
      <c r="D443" s="12">
        <v>5.9729309530237575</v>
      </c>
      <c r="E443" s="12">
        <v>0</v>
      </c>
      <c r="F443" s="12">
        <v>10</v>
      </c>
      <c r="G443" s="12">
        <v>0</v>
      </c>
      <c r="H443" s="12">
        <v>3.9419504643962866</v>
      </c>
      <c r="I443" s="12" t="s">
        <v>113</v>
      </c>
      <c r="J443">
        <v>1</v>
      </c>
      <c r="K443" s="6">
        <v>46240</v>
      </c>
      <c r="L443">
        <v>46240</v>
      </c>
      <c r="M443">
        <v>0</v>
      </c>
      <c r="N443">
        <v>0</v>
      </c>
      <c r="O443">
        <v>0.65996920028025763</v>
      </c>
      <c r="S443">
        <v>0</v>
      </c>
      <c r="T443">
        <v>0</v>
      </c>
      <c r="U443">
        <v>1.5152222248785963</v>
      </c>
    </row>
    <row r="444" spans="1:21" x14ac:dyDescent="0.25">
      <c r="A444" s="12" t="s">
        <v>63</v>
      </c>
      <c r="B444" s="12" t="s">
        <v>39</v>
      </c>
      <c r="C444" s="12" t="s">
        <v>15</v>
      </c>
      <c r="D444" s="12">
        <v>1.2742252699784016</v>
      </c>
      <c r="E444" s="12">
        <v>0</v>
      </c>
      <c r="F444" s="12">
        <v>10</v>
      </c>
      <c r="G444" s="12">
        <v>0</v>
      </c>
      <c r="H444" s="12">
        <v>0.94117647058823517</v>
      </c>
      <c r="I444" s="12" t="s">
        <v>112</v>
      </c>
      <c r="J444">
        <v>1</v>
      </c>
      <c r="K444" s="6">
        <v>46240</v>
      </c>
      <c r="L444">
        <v>46240</v>
      </c>
      <c r="M444">
        <v>0</v>
      </c>
      <c r="N444">
        <v>0</v>
      </c>
      <c r="O444">
        <v>0.73862643659875649</v>
      </c>
      <c r="S444">
        <v>0</v>
      </c>
      <c r="T444">
        <v>0</v>
      </c>
      <c r="U444">
        <v>1.3538643493520519</v>
      </c>
    </row>
    <row r="445" spans="1:21" x14ac:dyDescent="0.25">
      <c r="A445" s="12" t="s">
        <v>63</v>
      </c>
      <c r="B445" s="12" t="s">
        <v>39</v>
      </c>
      <c r="C445" s="12" t="s">
        <v>14</v>
      </c>
      <c r="D445" s="12">
        <v>3.505221763435395</v>
      </c>
      <c r="E445" s="12">
        <v>0</v>
      </c>
      <c r="F445" s="12">
        <v>10</v>
      </c>
      <c r="G445" s="12">
        <v>0</v>
      </c>
      <c r="H445" s="12">
        <v>3.1065379712256411</v>
      </c>
      <c r="I445" s="12" t="s">
        <v>114</v>
      </c>
      <c r="J445">
        <v>1</v>
      </c>
      <c r="K445" s="6">
        <v>46240</v>
      </c>
      <c r="L445">
        <v>46240</v>
      </c>
      <c r="M445">
        <v>0</v>
      </c>
      <c r="N445">
        <v>0</v>
      </c>
      <c r="O445">
        <v>0.88626003741942638</v>
      </c>
      <c r="S445">
        <v>0</v>
      </c>
      <c r="T445">
        <v>0</v>
      </c>
      <c r="U445">
        <v>1.1283370092052856</v>
      </c>
    </row>
    <row r="446" spans="1:21" x14ac:dyDescent="0.25">
      <c r="A446" s="12" t="s">
        <v>59</v>
      </c>
      <c r="B446" s="12" t="s">
        <v>39</v>
      </c>
      <c r="C446" s="12" t="s">
        <v>14</v>
      </c>
      <c r="D446" s="12">
        <v>2.2486328293736499</v>
      </c>
      <c r="E446" s="12">
        <v>0</v>
      </c>
      <c r="F446" s="12">
        <v>10</v>
      </c>
      <c r="G446" s="12">
        <v>0</v>
      </c>
      <c r="H446" s="12">
        <v>2.1038062283737027</v>
      </c>
      <c r="I446" s="12" t="s">
        <v>115</v>
      </c>
      <c r="K446" s="6">
        <v>46241</v>
      </c>
      <c r="L446">
        <v>46241</v>
      </c>
      <c r="M446">
        <v>0</v>
      </c>
      <c r="N446">
        <v>0</v>
      </c>
      <c r="O446">
        <v>0.9355934863584251</v>
      </c>
      <c r="S446">
        <v>0</v>
      </c>
      <c r="T446">
        <v>0</v>
      </c>
      <c r="U446">
        <v>1.0688402758042512</v>
      </c>
    </row>
    <row r="447" spans="1:21" x14ac:dyDescent="0.25">
      <c r="A447" s="12" t="s">
        <v>59</v>
      </c>
      <c r="B447" s="12" t="s">
        <v>39</v>
      </c>
      <c r="C447" s="12" t="s">
        <v>13</v>
      </c>
      <c r="D447" s="12">
        <v>4.7783447624190067</v>
      </c>
      <c r="E447" s="12">
        <v>0</v>
      </c>
      <c r="F447" s="12">
        <v>10</v>
      </c>
      <c r="G447" s="12">
        <v>0</v>
      </c>
      <c r="H447" s="12">
        <v>2.8823529411764706</v>
      </c>
      <c r="I447" s="12" t="s">
        <v>117</v>
      </c>
      <c r="K447" s="6">
        <v>46241</v>
      </c>
      <c r="L447">
        <v>46241</v>
      </c>
      <c r="M447">
        <v>0</v>
      </c>
      <c r="N447">
        <v>0</v>
      </c>
      <c r="O447">
        <v>0.60321158988898438</v>
      </c>
      <c r="S447">
        <v>0</v>
      </c>
      <c r="T447">
        <v>0</v>
      </c>
      <c r="U447">
        <v>1.6577930808392471</v>
      </c>
    </row>
    <row r="448" spans="1:21" x14ac:dyDescent="0.25">
      <c r="A448" s="12" t="s">
        <v>59</v>
      </c>
      <c r="B448" s="12" t="s">
        <v>39</v>
      </c>
      <c r="C448" s="12" t="s">
        <v>15</v>
      </c>
      <c r="D448" s="12">
        <v>1.2742252699784016</v>
      </c>
      <c r="E448" s="12">
        <v>0</v>
      </c>
      <c r="F448" s="12">
        <v>10</v>
      </c>
      <c r="G448" s="12">
        <v>0</v>
      </c>
      <c r="H448" s="12">
        <v>0.94117647058823517</v>
      </c>
      <c r="I448" s="12" t="s">
        <v>116</v>
      </c>
      <c r="K448" s="6">
        <v>46241</v>
      </c>
      <c r="L448">
        <v>46241</v>
      </c>
      <c r="M448">
        <v>0</v>
      </c>
      <c r="N448">
        <v>0</v>
      </c>
      <c r="O448">
        <v>0.73862643659875649</v>
      </c>
      <c r="S448">
        <v>0</v>
      </c>
      <c r="T448">
        <v>0</v>
      </c>
      <c r="U448">
        <v>1.3538643493520519</v>
      </c>
    </row>
    <row r="449" spans="1:21" x14ac:dyDescent="0.25">
      <c r="A449" s="12" t="s">
        <v>63</v>
      </c>
      <c r="B449" s="12" t="s">
        <v>39</v>
      </c>
      <c r="C449" s="12" t="s">
        <v>14</v>
      </c>
      <c r="D449" s="12">
        <v>2.2486328293736499</v>
      </c>
      <c r="E449" s="12">
        <v>0</v>
      </c>
      <c r="F449" s="12">
        <v>10</v>
      </c>
      <c r="G449" s="12">
        <v>0</v>
      </c>
      <c r="H449" s="12">
        <v>2.1038062283737027</v>
      </c>
      <c r="I449" s="12" t="s">
        <v>115</v>
      </c>
      <c r="J449">
        <v>1</v>
      </c>
      <c r="K449" s="6">
        <v>46241</v>
      </c>
      <c r="L449">
        <v>46241</v>
      </c>
      <c r="M449">
        <v>0</v>
      </c>
      <c r="N449">
        <v>0</v>
      </c>
      <c r="O449">
        <v>0.9355934863584251</v>
      </c>
      <c r="S449">
        <v>0</v>
      </c>
      <c r="T449">
        <v>0</v>
      </c>
      <c r="U449">
        <v>1.0688402758042512</v>
      </c>
    </row>
    <row r="450" spans="1:21" x14ac:dyDescent="0.25">
      <c r="A450" s="12" t="s">
        <v>63</v>
      </c>
      <c r="B450" s="12" t="s">
        <v>39</v>
      </c>
      <c r="C450" s="12" t="s">
        <v>13</v>
      </c>
      <c r="D450" s="12">
        <v>4.7783447624190067</v>
      </c>
      <c r="E450" s="12">
        <v>0</v>
      </c>
      <c r="F450" s="12">
        <v>10</v>
      </c>
      <c r="G450" s="12">
        <v>0</v>
      </c>
      <c r="H450" s="12">
        <v>2.8823529411764706</v>
      </c>
      <c r="I450" s="12" t="s">
        <v>117</v>
      </c>
      <c r="J450">
        <v>1</v>
      </c>
      <c r="K450" s="6">
        <v>46241</v>
      </c>
      <c r="L450">
        <v>46241</v>
      </c>
      <c r="M450">
        <v>0</v>
      </c>
      <c r="N450">
        <v>0</v>
      </c>
      <c r="O450">
        <v>0.60321158988898438</v>
      </c>
      <c r="S450">
        <v>0</v>
      </c>
      <c r="T450">
        <v>0</v>
      </c>
      <c r="U450">
        <v>1.6577930808392471</v>
      </c>
    </row>
    <row r="451" spans="1:21" x14ac:dyDescent="0.25">
      <c r="A451" s="12" t="s">
        <v>63</v>
      </c>
      <c r="B451" s="12" t="s">
        <v>39</v>
      </c>
      <c r="C451" s="12" t="s">
        <v>15</v>
      </c>
      <c r="D451" s="12">
        <v>1.2742252699784016</v>
      </c>
      <c r="E451" s="12">
        <v>0</v>
      </c>
      <c r="F451" s="12">
        <v>10</v>
      </c>
      <c r="G451" s="12">
        <v>0</v>
      </c>
      <c r="H451" s="12">
        <v>0.94117647058823517</v>
      </c>
      <c r="I451" s="12" t="s">
        <v>116</v>
      </c>
      <c r="J451">
        <v>1</v>
      </c>
      <c r="K451" s="6">
        <v>46241</v>
      </c>
      <c r="L451">
        <v>46241</v>
      </c>
      <c r="M451">
        <v>0</v>
      </c>
      <c r="N451">
        <v>0</v>
      </c>
      <c r="O451">
        <v>0.73862643659875649</v>
      </c>
      <c r="S451">
        <v>0</v>
      </c>
      <c r="T451">
        <v>0</v>
      </c>
      <c r="U451">
        <v>1.3538643493520519</v>
      </c>
    </row>
    <row r="452" spans="1:21" x14ac:dyDescent="0.25">
      <c r="A452" s="12" t="s">
        <v>59</v>
      </c>
      <c r="B452" s="12" t="s">
        <v>39</v>
      </c>
      <c r="C452" s="12" t="s">
        <v>14</v>
      </c>
      <c r="D452" s="12">
        <v>3.3729492440604751</v>
      </c>
      <c r="E452" s="12">
        <v>0</v>
      </c>
      <c r="F452" s="12">
        <v>10</v>
      </c>
      <c r="G452" s="12">
        <v>0</v>
      </c>
      <c r="H452" s="12">
        <v>3.0449826989619369</v>
      </c>
      <c r="I452" s="12" t="s">
        <v>118</v>
      </c>
      <c r="K452" s="6">
        <v>46242</v>
      </c>
      <c r="L452">
        <v>46242</v>
      </c>
      <c r="M452">
        <v>0</v>
      </c>
      <c r="N452">
        <v>0</v>
      </c>
      <c r="O452">
        <v>0.9027656447318132</v>
      </c>
      <c r="S452">
        <v>0</v>
      </c>
      <c r="T452">
        <v>0</v>
      </c>
      <c r="U452">
        <v>1.1077071949244064</v>
      </c>
    </row>
    <row r="453" spans="1:21" x14ac:dyDescent="0.25">
      <c r="A453" s="12" t="s">
        <v>59</v>
      </c>
      <c r="B453" s="12" t="s">
        <v>39</v>
      </c>
      <c r="C453" s="12" t="s">
        <v>15</v>
      </c>
      <c r="D453" s="12">
        <v>1.2742252699784016</v>
      </c>
      <c r="E453" s="12">
        <v>0</v>
      </c>
      <c r="F453" s="12">
        <v>10</v>
      </c>
      <c r="G453" s="12">
        <v>0</v>
      </c>
      <c r="H453" s="12">
        <v>0.94117647058823517</v>
      </c>
      <c r="I453" s="12" t="s">
        <v>120</v>
      </c>
      <c r="K453" s="6">
        <v>46242</v>
      </c>
      <c r="L453">
        <v>46242</v>
      </c>
      <c r="M453">
        <v>0</v>
      </c>
      <c r="N453">
        <v>0</v>
      </c>
      <c r="O453">
        <v>0.73862643659875649</v>
      </c>
      <c r="S453">
        <v>0</v>
      </c>
      <c r="T453">
        <v>0</v>
      </c>
      <c r="U453">
        <v>1.3538643493520519</v>
      </c>
    </row>
    <row r="454" spans="1:21" x14ac:dyDescent="0.25">
      <c r="A454" s="12" t="s">
        <v>59</v>
      </c>
      <c r="B454" s="12" t="s">
        <v>39</v>
      </c>
      <c r="C454" s="12" t="s">
        <v>13</v>
      </c>
      <c r="D454" s="12">
        <v>2.3891723812095034</v>
      </c>
      <c r="E454" s="12">
        <v>0</v>
      </c>
      <c r="F454" s="12">
        <v>10</v>
      </c>
      <c r="G454" s="12">
        <v>0</v>
      </c>
      <c r="H454" s="12">
        <v>2.882352941176471</v>
      </c>
      <c r="I454" s="12" t="s">
        <v>119</v>
      </c>
      <c r="K454" s="6">
        <v>46242</v>
      </c>
      <c r="L454">
        <v>46242</v>
      </c>
      <c r="M454">
        <v>0</v>
      </c>
      <c r="N454">
        <v>0</v>
      </c>
      <c r="O454">
        <v>1.206423179777969</v>
      </c>
      <c r="S454">
        <v>0</v>
      </c>
      <c r="T454">
        <v>0</v>
      </c>
      <c r="U454">
        <v>0.82889654041962346</v>
      </c>
    </row>
    <row r="455" spans="1:21" x14ac:dyDescent="0.25">
      <c r="A455" s="12" t="s">
        <v>63</v>
      </c>
      <c r="B455" s="12" t="s">
        <v>39</v>
      </c>
      <c r="C455" s="12" t="s">
        <v>14</v>
      </c>
      <c r="D455" s="12">
        <v>3.3729492440604751</v>
      </c>
      <c r="E455" s="12">
        <v>0</v>
      </c>
      <c r="F455" s="12">
        <v>10</v>
      </c>
      <c r="G455" s="12">
        <v>0</v>
      </c>
      <c r="H455" s="12">
        <v>3.0449826989619369</v>
      </c>
      <c r="I455" s="12" t="s">
        <v>118</v>
      </c>
      <c r="J455">
        <v>1</v>
      </c>
      <c r="K455" s="6">
        <v>46242</v>
      </c>
      <c r="L455">
        <v>46242</v>
      </c>
      <c r="M455">
        <v>0</v>
      </c>
      <c r="N455">
        <v>0</v>
      </c>
      <c r="O455">
        <v>0.9027656447318132</v>
      </c>
      <c r="S455">
        <v>0</v>
      </c>
      <c r="T455">
        <v>0</v>
      </c>
      <c r="U455">
        <v>1.1077071949244064</v>
      </c>
    </row>
    <row r="456" spans="1:21" x14ac:dyDescent="0.25">
      <c r="A456" s="12" t="s">
        <v>63</v>
      </c>
      <c r="B456" s="12" t="s">
        <v>39</v>
      </c>
      <c r="C456" s="12" t="s">
        <v>15</v>
      </c>
      <c r="D456" s="12">
        <v>1.2742252699784016</v>
      </c>
      <c r="E456" s="12">
        <v>0</v>
      </c>
      <c r="F456" s="12">
        <v>10</v>
      </c>
      <c r="G456" s="12">
        <v>0</v>
      </c>
      <c r="H456" s="12">
        <v>0.94117647058823517</v>
      </c>
      <c r="I456" s="12" t="s">
        <v>120</v>
      </c>
      <c r="J456">
        <v>1</v>
      </c>
      <c r="K456" s="6">
        <v>46242</v>
      </c>
      <c r="L456">
        <v>46242</v>
      </c>
      <c r="M456">
        <v>0</v>
      </c>
      <c r="N456">
        <v>0</v>
      </c>
      <c r="O456">
        <v>0.73862643659875649</v>
      </c>
      <c r="S456">
        <v>0</v>
      </c>
      <c r="T456">
        <v>0</v>
      </c>
      <c r="U456">
        <v>1.3538643493520519</v>
      </c>
    </row>
    <row r="457" spans="1:21" x14ac:dyDescent="0.25">
      <c r="A457" s="12" t="s">
        <v>63</v>
      </c>
      <c r="B457" s="12" t="s">
        <v>39</v>
      </c>
      <c r="C457" s="12" t="s">
        <v>13</v>
      </c>
      <c r="D457" s="12">
        <v>2.3891723812095034</v>
      </c>
      <c r="E457" s="12">
        <v>0</v>
      </c>
      <c r="F457" s="12">
        <v>10</v>
      </c>
      <c r="G457" s="12">
        <v>0</v>
      </c>
      <c r="H457" s="12">
        <v>2.882352941176471</v>
      </c>
      <c r="I457" s="12" t="s">
        <v>119</v>
      </c>
      <c r="J457">
        <v>1</v>
      </c>
      <c r="K457" s="6">
        <v>46242</v>
      </c>
      <c r="L457">
        <v>46242</v>
      </c>
      <c r="M457">
        <v>0</v>
      </c>
      <c r="N457">
        <v>0</v>
      </c>
      <c r="O457">
        <v>1.206423179777969</v>
      </c>
      <c r="S457">
        <v>0</v>
      </c>
      <c r="T457">
        <v>0</v>
      </c>
      <c r="U457">
        <v>0.82889654041962346</v>
      </c>
    </row>
    <row r="458" spans="1:21" x14ac:dyDescent="0.25">
      <c r="A458" s="12" t="s">
        <v>59</v>
      </c>
      <c r="B458" s="12" t="s">
        <v>39</v>
      </c>
      <c r="C458" s="12" t="s">
        <v>13</v>
      </c>
      <c r="D458" s="12">
        <v>3.5134887958963272</v>
      </c>
      <c r="E458" s="12">
        <v>0</v>
      </c>
      <c r="F458" s="12">
        <v>10</v>
      </c>
      <c r="G458" s="12">
        <v>0</v>
      </c>
      <c r="H458" s="12">
        <v>2.882352941176471</v>
      </c>
      <c r="I458" s="12" t="s">
        <v>122</v>
      </c>
      <c r="K458" s="6">
        <v>46243</v>
      </c>
      <c r="L458">
        <v>46243</v>
      </c>
      <c r="M458">
        <v>0</v>
      </c>
      <c r="N458">
        <v>0</v>
      </c>
      <c r="O458">
        <v>0.82036776224901919</v>
      </c>
      <c r="S458">
        <v>0</v>
      </c>
      <c r="T458">
        <v>0</v>
      </c>
      <c r="U458">
        <v>1.218965500617093</v>
      </c>
    </row>
    <row r="459" spans="1:21" x14ac:dyDescent="0.25">
      <c r="A459" s="12" t="s">
        <v>59</v>
      </c>
      <c r="B459" s="12" t="s">
        <v>39</v>
      </c>
      <c r="C459" s="12" t="s">
        <v>15</v>
      </c>
      <c r="D459" s="12">
        <v>1.2742252699784016</v>
      </c>
      <c r="E459" s="12">
        <v>0</v>
      </c>
      <c r="F459" s="12">
        <v>10</v>
      </c>
      <c r="G459" s="12">
        <v>0</v>
      </c>
      <c r="H459" s="12">
        <v>0.94117647058823517</v>
      </c>
      <c r="I459" s="12" t="s">
        <v>123</v>
      </c>
      <c r="K459" s="6">
        <v>46243</v>
      </c>
      <c r="L459">
        <v>46243</v>
      </c>
      <c r="M459">
        <v>0</v>
      </c>
      <c r="N459">
        <v>0</v>
      </c>
      <c r="O459">
        <v>0.73862643659875649</v>
      </c>
      <c r="S459">
        <v>0</v>
      </c>
      <c r="T459">
        <v>0</v>
      </c>
      <c r="U459">
        <v>1.3538643493520519</v>
      </c>
    </row>
    <row r="460" spans="1:21" x14ac:dyDescent="0.25">
      <c r="A460" s="12" t="s">
        <v>59</v>
      </c>
      <c r="B460" s="12" t="s">
        <v>39</v>
      </c>
      <c r="C460" s="12" t="s">
        <v>14</v>
      </c>
      <c r="D460" s="12">
        <v>3.3729492440604751</v>
      </c>
      <c r="E460" s="12">
        <v>0</v>
      </c>
      <c r="F460" s="12">
        <v>10</v>
      </c>
      <c r="G460" s="12">
        <v>0</v>
      </c>
      <c r="H460" s="12">
        <v>3.0449826989619369</v>
      </c>
      <c r="I460" s="12" t="s">
        <v>121</v>
      </c>
      <c r="K460" s="6">
        <v>46243</v>
      </c>
      <c r="L460">
        <v>46243</v>
      </c>
      <c r="M460">
        <v>0</v>
      </c>
      <c r="N460">
        <v>0</v>
      </c>
      <c r="O460">
        <v>0.9027656447318132</v>
      </c>
      <c r="S460">
        <v>0</v>
      </c>
      <c r="T460">
        <v>0</v>
      </c>
      <c r="U460">
        <v>1.1077071949244064</v>
      </c>
    </row>
    <row r="461" spans="1:21" x14ac:dyDescent="0.25">
      <c r="A461" s="12" t="s">
        <v>63</v>
      </c>
      <c r="B461" s="12" t="s">
        <v>39</v>
      </c>
      <c r="C461" s="12" t="s">
        <v>13</v>
      </c>
      <c r="D461" s="12">
        <v>3.5134887958963272</v>
      </c>
      <c r="E461" s="12">
        <v>0</v>
      </c>
      <c r="F461" s="12">
        <v>10</v>
      </c>
      <c r="G461" s="12">
        <v>0</v>
      </c>
      <c r="H461" s="12">
        <v>2.882352941176471</v>
      </c>
      <c r="I461" s="12" t="s">
        <v>122</v>
      </c>
      <c r="J461">
        <v>1</v>
      </c>
      <c r="K461" s="6">
        <v>46243</v>
      </c>
      <c r="L461">
        <v>46243</v>
      </c>
      <c r="M461">
        <v>0</v>
      </c>
      <c r="N461">
        <v>0</v>
      </c>
      <c r="O461">
        <v>0.82036776224901919</v>
      </c>
      <c r="S461">
        <v>0</v>
      </c>
      <c r="T461">
        <v>0</v>
      </c>
      <c r="U461">
        <v>1.218965500617093</v>
      </c>
    </row>
    <row r="462" spans="1:21" x14ac:dyDescent="0.25">
      <c r="A462" s="12" t="s">
        <v>63</v>
      </c>
      <c r="B462" s="12" t="s">
        <v>39</v>
      </c>
      <c r="C462" s="12" t="s">
        <v>15</v>
      </c>
      <c r="D462" s="12">
        <v>1.2742252699784016</v>
      </c>
      <c r="E462" s="12">
        <v>0</v>
      </c>
      <c r="F462" s="12">
        <v>10</v>
      </c>
      <c r="G462" s="12">
        <v>0</v>
      </c>
      <c r="H462" s="12">
        <v>0.94117647058823517</v>
      </c>
      <c r="I462" s="12" t="s">
        <v>123</v>
      </c>
      <c r="J462">
        <v>1</v>
      </c>
      <c r="K462" s="6">
        <v>46243</v>
      </c>
      <c r="L462">
        <v>46243</v>
      </c>
      <c r="M462">
        <v>0</v>
      </c>
      <c r="N462">
        <v>0</v>
      </c>
      <c r="O462">
        <v>0.73862643659875649</v>
      </c>
      <c r="S462">
        <v>0</v>
      </c>
      <c r="T462">
        <v>0</v>
      </c>
      <c r="U462">
        <v>1.3538643493520519</v>
      </c>
    </row>
    <row r="463" spans="1:21" x14ac:dyDescent="0.25">
      <c r="A463" s="12" t="s">
        <v>63</v>
      </c>
      <c r="B463" s="12" t="s">
        <v>39</v>
      </c>
      <c r="C463" s="12" t="s">
        <v>14</v>
      </c>
      <c r="D463" s="12">
        <v>3.3729492440604751</v>
      </c>
      <c r="E463" s="12">
        <v>0</v>
      </c>
      <c r="F463" s="12">
        <v>10</v>
      </c>
      <c r="G463" s="12">
        <v>0</v>
      </c>
      <c r="H463" s="12">
        <v>3.0449826989619369</v>
      </c>
      <c r="I463" s="12" t="s">
        <v>121</v>
      </c>
      <c r="J463">
        <v>1</v>
      </c>
      <c r="K463" s="6">
        <v>46243</v>
      </c>
      <c r="L463">
        <v>46243</v>
      </c>
      <c r="M463">
        <v>0</v>
      </c>
      <c r="N463">
        <v>0</v>
      </c>
      <c r="O463">
        <v>0.9027656447318132</v>
      </c>
      <c r="S463">
        <v>0</v>
      </c>
      <c r="T463">
        <v>0</v>
      </c>
      <c r="U463">
        <v>1.1077071949244064</v>
      </c>
    </row>
    <row r="464" spans="1:21" x14ac:dyDescent="0.25">
      <c r="A464" s="12" t="s">
        <v>59</v>
      </c>
      <c r="B464" s="12" t="s">
        <v>39</v>
      </c>
      <c r="C464" s="12" t="s">
        <v>13</v>
      </c>
      <c r="D464" s="12">
        <v>3.5134887958963272</v>
      </c>
      <c r="E464" s="12">
        <v>0</v>
      </c>
      <c r="F464" s="12">
        <v>10</v>
      </c>
      <c r="G464" s="12">
        <v>0</v>
      </c>
      <c r="H464" s="12">
        <v>2.6443014705882351</v>
      </c>
      <c r="I464" s="12" t="s">
        <v>124</v>
      </c>
      <c r="K464" s="6">
        <v>46244</v>
      </c>
      <c r="L464">
        <v>46244</v>
      </c>
      <c r="M464">
        <v>0</v>
      </c>
      <c r="N464">
        <v>0</v>
      </c>
      <c r="O464">
        <v>0.75261417474184555</v>
      </c>
      <c r="S464">
        <v>0</v>
      </c>
      <c r="T464">
        <v>0</v>
      </c>
      <c r="U464">
        <v>1.3287020542006271</v>
      </c>
    </row>
    <row r="465" spans="1:21" x14ac:dyDescent="0.25">
      <c r="A465" s="12" t="s">
        <v>59</v>
      </c>
      <c r="B465" s="12" t="s">
        <v>39</v>
      </c>
      <c r="C465" s="12" t="s">
        <v>15</v>
      </c>
      <c r="D465" s="12">
        <v>1.2742252699784016</v>
      </c>
      <c r="E465" s="12">
        <v>0</v>
      </c>
      <c r="F465" s="12">
        <v>10</v>
      </c>
      <c r="G465" s="12">
        <v>0</v>
      </c>
      <c r="H465" s="12">
        <v>0.94117647058823517</v>
      </c>
      <c r="I465" s="12" t="s">
        <v>125</v>
      </c>
      <c r="K465" s="6">
        <v>46244</v>
      </c>
      <c r="L465">
        <v>46244</v>
      </c>
      <c r="M465">
        <v>0</v>
      </c>
      <c r="N465">
        <v>0</v>
      </c>
      <c r="O465">
        <v>0.73862643659875649</v>
      </c>
      <c r="S465">
        <v>0</v>
      </c>
      <c r="T465">
        <v>0</v>
      </c>
      <c r="U465">
        <v>1.3538643493520519</v>
      </c>
    </row>
    <row r="466" spans="1:21" x14ac:dyDescent="0.25">
      <c r="A466" s="12" t="s">
        <v>59</v>
      </c>
      <c r="B466" s="12" t="s">
        <v>39</v>
      </c>
      <c r="C466" s="12" t="s">
        <v>14</v>
      </c>
      <c r="D466" s="12">
        <v>3.3729492440604751</v>
      </c>
      <c r="E466" s="12">
        <v>0</v>
      </c>
      <c r="F466" s="12">
        <v>10</v>
      </c>
      <c r="G466" s="12">
        <v>0</v>
      </c>
      <c r="H466" s="12">
        <v>3.2102076124567458</v>
      </c>
      <c r="I466" s="12" t="s">
        <v>126</v>
      </c>
      <c r="K466" s="6">
        <v>46244</v>
      </c>
      <c r="L466">
        <v>46244</v>
      </c>
      <c r="M466">
        <v>0</v>
      </c>
      <c r="N466">
        <v>0</v>
      </c>
      <c r="O466">
        <v>0.95175093965902224</v>
      </c>
      <c r="S466">
        <v>0</v>
      </c>
      <c r="T466">
        <v>0</v>
      </c>
      <c r="U466">
        <v>1.0506950488100004</v>
      </c>
    </row>
    <row r="467" spans="1:21" x14ac:dyDescent="0.25">
      <c r="A467" s="12" t="s">
        <v>63</v>
      </c>
      <c r="B467" s="12" t="s">
        <v>39</v>
      </c>
      <c r="C467" s="12" t="s">
        <v>13</v>
      </c>
      <c r="D467" s="12">
        <v>3.5134887958963272</v>
      </c>
      <c r="E467" s="12">
        <v>0</v>
      </c>
      <c r="F467" s="12">
        <v>10</v>
      </c>
      <c r="G467" s="12">
        <v>0</v>
      </c>
      <c r="H467" s="12">
        <v>2.6443014705882351</v>
      </c>
      <c r="I467" s="12" t="s">
        <v>124</v>
      </c>
      <c r="J467">
        <v>1</v>
      </c>
      <c r="K467" s="6">
        <v>46244</v>
      </c>
      <c r="L467">
        <v>46244</v>
      </c>
      <c r="M467">
        <v>0</v>
      </c>
      <c r="N467">
        <v>0</v>
      </c>
      <c r="O467">
        <v>0.75261417474184555</v>
      </c>
      <c r="S467">
        <v>0</v>
      </c>
      <c r="T467">
        <v>0</v>
      </c>
      <c r="U467">
        <v>1.3287020542006271</v>
      </c>
    </row>
    <row r="468" spans="1:21" x14ac:dyDescent="0.25">
      <c r="A468" s="12" t="s">
        <v>63</v>
      </c>
      <c r="B468" s="12" t="s">
        <v>39</v>
      </c>
      <c r="C468" s="12" t="s">
        <v>15</v>
      </c>
      <c r="D468" s="12">
        <v>1.2742252699784016</v>
      </c>
      <c r="E468" s="12">
        <v>0</v>
      </c>
      <c r="F468" s="12">
        <v>10</v>
      </c>
      <c r="G468" s="12">
        <v>0</v>
      </c>
      <c r="H468" s="12">
        <v>0.94117647058823517</v>
      </c>
      <c r="I468" s="12" t="s">
        <v>125</v>
      </c>
      <c r="J468">
        <v>1</v>
      </c>
      <c r="K468" s="6">
        <v>46244</v>
      </c>
      <c r="L468">
        <v>46244</v>
      </c>
      <c r="M468">
        <v>0</v>
      </c>
      <c r="N468">
        <v>0</v>
      </c>
      <c r="O468">
        <v>0.73862643659875649</v>
      </c>
      <c r="S468">
        <v>0</v>
      </c>
      <c r="T468">
        <v>0</v>
      </c>
      <c r="U468">
        <v>1.3538643493520519</v>
      </c>
    </row>
    <row r="469" spans="1:21" x14ac:dyDescent="0.25">
      <c r="A469" s="12" t="s">
        <v>63</v>
      </c>
      <c r="B469" s="12" t="s">
        <v>39</v>
      </c>
      <c r="C469" s="12" t="s">
        <v>14</v>
      </c>
      <c r="D469" s="12">
        <v>3.3729492440604751</v>
      </c>
      <c r="E469" s="12">
        <v>0</v>
      </c>
      <c r="F469" s="12">
        <v>10</v>
      </c>
      <c r="G469" s="12">
        <v>0</v>
      </c>
      <c r="H469" s="12">
        <v>3.2102076124567458</v>
      </c>
      <c r="I469" s="12" t="s">
        <v>126</v>
      </c>
      <c r="J469">
        <v>1</v>
      </c>
      <c r="K469" s="6">
        <v>46244</v>
      </c>
      <c r="L469">
        <v>46244</v>
      </c>
      <c r="M469">
        <v>0</v>
      </c>
      <c r="N469">
        <v>0</v>
      </c>
      <c r="O469">
        <v>0.95175093965902224</v>
      </c>
      <c r="S469">
        <v>0</v>
      </c>
      <c r="T469">
        <v>0</v>
      </c>
      <c r="U469">
        <v>1.0506950488100004</v>
      </c>
    </row>
    <row r="470" spans="1:21" x14ac:dyDescent="0.25">
      <c r="A470" s="12" t="s">
        <v>59</v>
      </c>
      <c r="B470" s="12" t="s">
        <v>39</v>
      </c>
      <c r="C470" s="12" t="s">
        <v>14</v>
      </c>
      <c r="D470" s="12">
        <v>3.3729492440604751</v>
      </c>
      <c r="E470" s="12">
        <v>0</v>
      </c>
      <c r="F470" s="12">
        <v>10</v>
      </c>
      <c r="G470" s="12">
        <v>0</v>
      </c>
      <c r="H470" s="12">
        <v>3.5415224913494798</v>
      </c>
      <c r="I470" s="12" t="s">
        <v>127</v>
      </c>
      <c r="K470" s="6">
        <v>46245</v>
      </c>
      <c r="L470">
        <v>46245</v>
      </c>
      <c r="M470">
        <v>0</v>
      </c>
      <c r="N470">
        <v>0</v>
      </c>
      <c r="O470">
        <v>1.0499779970261487</v>
      </c>
      <c r="S470">
        <v>0</v>
      </c>
      <c r="T470">
        <v>0</v>
      </c>
      <c r="U470">
        <v>0.95240091014506856</v>
      </c>
    </row>
    <row r="471" spans="1:21" x14ac:dyDescent="0.25">
      <c r="A471" s="12" t="s">
        <v>59</v>
      </c>
      <c r="B471" s="12" t="s">
        <v>39</v>
      </c>
      <c r="C471" s="12" t="s">
        <v>15</v>
      </c>
      <c r="D471" s="12">
        <v>1.2742252699784016</v>
      </c>
      <c r="E471" s="12">
        <v>0</v>
      </c>
      <c r="F471" s="12">
        <v>10</v>
      </c>
      <c r="G471" s="12">
        <v>0</v>
      </c>
      <c r="H471" s="12">
        <v>0.94117647058823517</v>
      </c>
      <c r="I471" s="12" t="s">
        <v>129</v>
      </c>
      <c r="K471" s="6">
        <v>46245</v>
      </c>
      <c r="L471">
        <v>46245</v>
      </c>
      <c r="M471">
        <v>0</v>
      </c>
      <c r="N471">
        <v>0</v>
      </c>
      <c r="O471">
        <v>0.73862643659875649</v>
      </c>
      <c r="S471">
        <v>0</v>
      </c>
      <c r="T471">
        <v>0</v>
      </c>
      <c r="U471">
        <v>1.3538643493520519</v>
      </c>
    </row>
    <row r="472" spans="1:21" x14ac:dyDescent="0.25">
      <c r="A472" s="12" t="s">
        <v>59</v>
      </c>
      <c r="B472" s="12" t="s">
        <v>39</v>
      </c>
      <c r="C472" s="12" t="s">
        <v>13</v>
      </c>
      <c r="D472" s="12">
        <v>7.0269775917926545</v>
      </c>
      <c r="E472" s="12">
        <v>0</v>
      </c>
      <c r="F472" s="12">
        <v>10</v>
      </c>
      <c r="G472" s="12">
        <v>0</v>
      </c>
      <c r="H472" s="12">
        <v>5.2297794117647056</v>
      </c>
      <c r="I472" s="12" t="s">
        <v>128</v>
      </c>
      <c r="K472" s="6">
        <v>46245</v>
      </c>
      <c r="L472">
        <v>46245</v>
      </c>
      <c r="M472">
        <v>0</v>
      </c>
      <c r="N472">
        <v>0</v>
      </c>
      <c r="O472">
        <v>0.74424307512705967</v>
      </c>
      <c r="S472">
        <v>0</v>
      </c>
      <c r="T472">
        <v>0</v>
      </c>
      <c r="U472">
        <v>1.3436470333691404</v>
      </c>
    </row>
    <row r="473" spans="1:21" x14ac:dyDescent="0.25">
      <c r="A473" s="12" t="s">
        <v>63</v>
      </c>
      <c r="B473" s="12" t="s">
        <v>39</v>
      </c>
      <c r="C473" s="12" t="s">
        <v>14</v>
      </c>
      <c r="D473" s="12">
        <v>3.3729492440604751</v>
      </c>
      <c r="E473" s="12">
        <v>0</v>
      </c>
      <c r="F473" s="12">
        <v>10</v>
      </c>
      <c r="G473" s="12">
        <v>0</v>
      </c>
      <c r="H473" s="12">
        <v>3.5415224913494798</v>
      </c>
      <c r="I473" s="12" t="s">
        <v>127</v>
      </c>
      <c r="J473">
        <v>1</v>
      </c>
      <c r="K473" s="6">
        <v>46245</v>
      </c>
      <c r="L473">
        <v>46245</v>
      </c>
      <c r="M473">
        <v>0</v>
      </c>
      <c r="N473">
        <v>0</v>
      </c>
      <c r="O473">
        <v>1.0499779970261487</v>
      </c>
      <c r="S473">
        <v>0</v>
      </c>
      <c r="T473">
        <v>0</v>
      </c>
      <c r="U473">
        <v>0.95240091014506856</v>
      </c>
    </row>
    <row r="474" spans="1:21" x14ac:dyDescent="0.25">
      <c r="A474" s="12" t="s">
        <v>63</v>
      </c>
      <c r="B474" s="12" t="s">
        <v>39</v>
      </c>
      <c r="C474" s="12" t="s">
        <v>15</v>
      </c>
      <c r="D474" s="12">
        <v>1.2742252699784016</v>
      </c>
      <c r="E474" s="12">
        <v>0</v>
      </c>
      <c r="F474" s="12">
        <v>10</v>
      </c>
      <c r="G474" s="12">
        <v>0</v>
      </c>
      <c r="H474" s="12">
        <v>0.94117647058823517</v>
      </c>
      <c r="I474" s="12" t="s">
        <v>129</v>
      </c>
      <c r="J474">
        <v>1</v>
      </c>
      <c r="K474" s="6">
        <v>46245</v>
      </c>
      <c r="L474">
        <v>46245</v>
      </c>
      <c r="M474">
        <v>0</v>
      </c>
      <c r="N474">
        <v>0</v>
      </c>
      <c r="O474">
        <v>0.73862643659875649</v>
      </c>
      <c r="S474">
        <v>0</v>
      </c>
      <c r="T474">
        <v>0</v>
      </c>
      <c r="U474">
        <v>1.3538643493520519</v>
      </c>
    </row>
    <row r="475" spans="1:21" x14ac:dyDescent="0.25">
      <c r="A475" s="12" t="s">
        <v>63</v>
      </c>
      <c r="B475" s="12" t="s">
        <v>39</v>
      </c>
      <c r="C475" s="12" t="s">
        <v>13</v>
      </c>
      <c r="D475" s="12">
        <v>7.0269775917926545</v>
      </c>
      <c r="E475" s="12">
        <v>0</v>
      </c>
      <c r="F475" s="12">
        <v>10</v>
      </c>
      <c r="G475" s="12">
        <v>0</v>
      </c>
      <c r="H475" s="12">
        <v>5.2297794117647056</v>
      </c>
      <c r="I475" s="12" t="s">
        <v>128</v>
      </c>
      <c r="J475">
        <v>1</v>
      </c>
      <c r="K475" s="6">
        <v>46245</v>
      </c>
      <c r="L475">
        <v>46245</v>
      </c>
      <c r="M475">
        <v>0</v>
      </c>
      <c r="N475">
        <v>0</v>
      </c>
      <c r="O475">
        <v>0.74424307512705967</v>
      </c>
      <c r="S475">
        <v>0</v>
      </c>
      <c r="T475">
        <v>0</v>
      </c>
      <c r="U475">
        <v>1.3436470333691404</v>
      </c>
    </row>
    <row r="476" spans="1:21" x14ac:dyDescent="0.25">
      <c r="A476" s="12" t="s">
        <v>59</v>
      </c>
      <c r="B476" s="12" t="s">
        <v>39</v>
      </c>
      <c r="C476" s="12" t="s">
        <v>13</v>
      </c>
      <c r="D476" s="12">
        <v>5.8323914011879037</v>
      </c>
      <c r="E476" s="12">
        <v>0</v>
      </c>
      <c r="F476" s="12">
        <v>10</v>
      </c>
      <c r="G476" s="12">
        <v>0</v>
      </c>
      <c r="H476" s="12">
        <v>4.2886029411764692</v>
      </c>
      <c r="I476" s="12" t="s">
        <v>130</v>
      </c>
      <c r="K476" s="6">
        <v>46246</v>
      </c>
      <c r="L476">
        <v>46246</v>
      </c>
      <c r="M476">
        <v>0</v>
      </c>
      <c r="N476">
        <v>0</v>
      </c>
      <c r="O476">
        <v>0.73530780878371682</v>
      </c>
      <c r="S476">
        <v>0</v>
      </c>
      <c r="T476">
        <v>0</v>
      </c>
      <c r="U476">
        <v>1.3599746773451438</v>
      </c>
    </row>
    <row r="477" spans="1:21" x14ac:dyDescent="0.25">
      <c r="A477" s="12" t="s">
        <v>59</v>
      </c>
      <c r="B477" s="12" t="s">
        <v>39</v>
      </c>
      <c r="C477" s="12" t="s">
        <v>15</v>
      </c>
      <c r="D477" s="12">
        <v>1.2742252699784016</v>
      </c>
      <c r="E477" s="12">
        <v>0</v>
      </c>
      <c r="F477" s="12">
        <v>10</v>
      </c>
      <c r="G477" s="12">
        <v>0</v>
      </c>
      <c r="H477" s="12">
        <v>0.94117647058823517</v>
      </c>
      <c r="I477" s="12" t="s">
        <v>131</v>
      </c>
      <c r="K477" s="6">
        <v>46246</v>
      </c>
      <c r="L477">
        <v>46246</v>
      </c>
      <c r="M477">
        <v>0</v>
      </c>
      <c r="N477">
        <v>0</v>
      </c>
      <c r="O477">
        <v>0.73862643659875649</v>
      </c>
      <c r="S477">
        <v>0</v>
      </c>
      <c r="T477">
        <v>0</v>
      </c>
      <c r="U477">
        <v>1.3538643493520519</v>
      </c>
    </row>
    <row r="478" spans="1:21" x14ac:dyDescent="0.25">
      <c r="A478" s="12" t="s">
        <v>59</v>
      </c>
      <c r="B478" s="12" t="s">
        <v>39</v>
      </c>
      <c r="C478" s="12" t="s">
        <v>14</v>
      </c>
      <c r="D478" s="12">
        <v>2.2486328293736499</v>
      </c>
      <c r="E478" s="12">
        <v>0</v>
      </c>
      <c r="F478" s="12">
        <v>10</v>
      </c>
      <c r="G478" s="12">
        <v>0</v>
      </c>
      <c r="H478" s="12">
        <v>2.5449826989619373</v>
      </c>
      <c r="I478" s="12" t="s">
        <v>132</v>
      </c>
      <c r="K478" s="6">
        <v>46246</v>
      </c>
      <c r="L478">
        <v>46246</v>
      </c>
      <c r="M478">
        <v>0</v>
      </c>
      <c r="N478">
        <v>0</v>
      </c>
      <c r="O478">
        <v>1.1317911335799695</v>
      </c>
      <c r="S478">
        <v>0</v>
      </c>
      <c r="T478">
        <v>0</v>
      </c>
      <c r="U478">
        <v>0.88355525178651928</v>
      </c>
    </row>
    <row r="479" spans="1:21" x14ac:dyDescent="0.25">
      <c r="A479" s="12" t="s">
        <v>63</v>
      </c>
      <c r="B479" s="12" t="s">
        <v>39</v>
      </c>
      <c r="C479" s="12" t="s">
        <v>13</v>
      </c>
      <c r="D479" s="12">
        <v>5.8323914011879037</v>
      </c>
      <c r="E479" s="12">
        <v>0</v>
      </c>
      <c r="F479" s="12">
        <v>10</v>
      </c>
      <c r="G479" s="12">
        <v>0</v>
      </c>
      <c r="H479" s="12">
        <v>4.2886029411764692</v>
      </c>
      <c r="I479" s="12" t="s">
        <v>130</v>
      </c>
      <c r="J479">
        <v>1</v>
      </c>
      <c r="K479" s="6">
        <v>46246</v>
      </c>
      <c r="L479">
        <v>46246</v>
      </c>
      <c r="M479">
        <v>0</v>
      </c>
      <c r="N479">
        <v>0</v>
      </c>
      <c r="O479">
        <v>0.73530780878371682</v>
      </c>
      <c r="S479">
        <v>0</v>
      </c>
      <c r="T479">
        <v>0</v>
      </c>
      <c r="U479">
        <v>1.3599746773451438</v>
      </c>
    </row>
    <row r="480" spans="1:21" x14ac:dyDescent="0.25">
      <c r="A480" s="12" t="s">
        <v>63</v>
      </c>
      <c r="B480" s="12" t="s">
        <v>39</v>
      </c>
      <c r="C480" s="12" t="s">
        <v>15</v>
      </c>
      <c r="D480" s="12">
        <v>1.2742252699784016</v>
      </c>
      <c r="E480" s="12">
        <v>0</v>
      </c>
      <c r="F480" s="12">
        <v>10</v>
      </c>
      <c r="G480" s="12">
        <v>0</v>
      </c>
      <c r="H480" s="12">
        <v>0.94117647058823517</v>
      </c>
      <c r="I480" s="12" t="s">
        <v>131</v>
      </c>
      <c r="J480">
        <v>1</v>
      </c>
      <c r="K480" s="6">
        <v>46246</v>
      </c>
      <c r="L480">
        <v>46246</v>
      </c>
      <c r="M480">
        <v>0</v>
      </c>
      <c r="N480">
        <v>0</v>
      </c>
      <c r="O480">
        <v>0.73862643659875649</v>
      </c>
      <c r="S480">
        <v>0</v>
      </c>
      <c r="T480">
        <v>0</v>
      </c>
      <c r="U480">
        <v>1.3538643493520519</v>
      </c>
    </row>
    <row r="481" spans="1:21" x14ac:dyDescent="0.25">
      <c r="A481" s="12" t="s">
        <v>63</v>
      </c>
      <c r="B481" s="12" t="s">
        <v>39</v>
      </c>
      <c r="C481" s="12" t="s">
        <v>14</v>
      </c>
      <c r="D481" s="12">
        <v>2.2486328293736499</v>
      </c>
      <c r="E481" s="12">
        <v>0</v>
      </c>
      <c r="F481" s="12">
        <v>10</v>
      </c>
      <c r="G481" s="12">
        <v>0</v>
      </c>
      <c r="H481" s="12">
        <v>2.5449826989619373</v>
      </c>
      <c r="I481" s="12" t="s">
        <v>132</v>
      </c>
      <c r="J481">
        <v>1</v>
      </c>
      <c r="K481" s="6">
        <v>46246</v>
      </c>
      <c r="L481">
        <v>46246</v>
      </c>
      <c r="M481">
        <v>0</v>
      </c>
      <c r="N481">
        <v>0</v>
      </c>
      <c r="O481">
        <v>1.1317911335799695</v>
      </c>
      <c r="S481">
        <v>0</v>
      </c>
      <c r="T481">
        <v>0</v>
      </c>
      <c r="U481">
        <v>0.88355525178651928</v>
      </c>
    </row>
    <row r="482" spans="1:21" x14ac:dyDescent="0.25">
      <c r="A482" s="12" t="s">
        <v>59</v>
      </c>
      <c r="B482" s="12" t="s">
        <v>39</v>
      </c>
      <c r="C482" s="12" t="s">
        <v>14</v>
      </c>
      <c r="D482" s="12">
        <v>3.3729492440604751</v>
      </c>
      <c r="E482" s="12">
        <v>0</v>
      </c>
      <c r="F482" s="12">
        <v>10</v>
      </c>
      <c r="G482" s="12">
        <v>0</v>
      </c>
      <c r="H482" s="12">
        <v>3.5949826989619371</v>
      </c>
      <c r="I482" s="12" t="s">
        <v>133</v>
      </c>
      <c r="K482" s="6">
        <v>46247</v>
      </c>
      <c r="L482">
        <v>46247</v>
      </c>
      <c r="M482">
        <v>0</v>
      </c>
      <c r="N482">
        <v>0</v>
      </c>
      <c r="O482">
        <v>1.0658276893114971</v>
      </c>
      <c r="S482">
        <v>0</v>
      </c>
      <c r="T482">
        <v>0</v>
      </c>
      <c r="U482">
        <v>0.9382379628793277</v>
      </c>
    </row>
    <row r="483" spans="1:21" x14ac:dyDescent="0.25">
      <c r="A483" s="12" t="s">
        <v>59</v>
      </c>
      <c r="B483" s="12" t="s">
        <v>39</v>
      </c>
      <c r="C483" s="12" t="s">
        <v>13</v>
      </c>
      <c r="D483" s="12">
        <v>5.7621216252699776</v>
      </c>
      <c r="E483" s="12">
        <v>0</v>
      </c>
      <c r="F483" s="12">
        <v>10</v>
      </c>
      <c r="G483" s="12">
        <v>0</v>
      </c>
      <c r="H483" s="12">
        <v>4.1104779411764714</v>
      </c>
      <c r="I483" s="12" t="s">
        <v>135</v>
      </c>
      <c r="K483" s="6">
        <v>46247</v>
      </c>
      <c r="L483">
        <v>46247</v>
      </c>
      <c r="M483">
        <v>0</v>
      </c>
      <c r="N483">
        <v>0</v>
      </c>
      <c r="O483">
        <v>0.71336188447495319</v>
      </c>
      <c r="S483">
        <v>0</v>
      </c>
      <c r="T483">
        <v>0</v>
      </c>
      <c r="U483">
        <v>1.4018130513603448</v>
      </c>
    </row>
    <row r="484" spans="1:21" x14ac:dyDescent="0.25">
      <c r="A484" s="12" t="s">
        <v>59</v>
      </c>
      <c r="B484" s="12" t="s">
        <v>39</v>
      </c>
      <c r="C484" s="12" t="s">
        <v>15</v>
      </c>
      <c r="D484" s="12">
        <v>1.2742252699784016</v>
      </c>
      <c r="E484" s="12">
        <v>0</v>
      </c>
      <c r="F484" s="12">
        <v>10</v>
      </c>
      <c r="G484" s="12">
        <v>0</v>
      </c>
      <c r="H484" s="12">
        <v>0.94117647058823517</v>
      </c>
      <c r="I484" s="12" t="s">
        <v>134</v>
      </c>
      <c r="K484" s="6">
        <v>46247</v>
      </c>
      <c r="L484">
        <v>46247</v>
      </c>
      <c r="M484">
        <v>0</v>
      </c>
      <c r="N484">
        <v>0</v>
      </c>
      <c r="O484">
        <v>0.73862643659875649</v>
      </c>
      <c r="S484">
        <v>0</v>
      </c>
      <c r="T484">
        <v>0</v>
      </c>
      <c r="U484">
        <v>1.3538643493520519</v>
      </c>
    </row>
    <row r="485" spans="1:21" x14ac:dyDescent="0.25">
      <c r="A485" s="12" t="s">
        <v>63</v>
      </c>
      <c r="B485" s="12" t="s">
        <v>39</v>
      </c>
      <c r="C485" s="12" t="s">
        <v>14</v>
      </c>
      <c r="D485" s="12">
        <v>3.3729492440604751</v>
      </c>
      <c r="E485" s="12">
        <v>0</v>
      </c>
      <c r="F485" s="12">
        <v>10</v>
      </c>
      <c r="G485" s="12">
        <v>0</v>
      </c>
      <c r="H485" s="12">
        <v>3.5949826989619371</v>
      </c>
      <c r="I485" s="12" t="s">
        <v>133</v>
      </c>
      <c r="J485">
        <v>1</v>
      </c>
      <c r="K485" s="6">
        <v>46247</v>
      </c>
      <c r="L485">
        <v>46247</v>
      </c>
      <c r="M485">
        <v>0</v>
      </c>
      <c r="N485">
        <v>0</v>
      </c>
      <c r="O485">
        <v>1.0658276893114971</v>
      </c>
      <c r="S485">
        <v>0</v>
      </c>
      <c r="T485">
        <v>0</v>
      </c>
      <c r="U485">
        <v>0.9382379628793277</v>
      </c>
    </row>
    <row r="486" spans="1:21" x14ac:dyDescent="0.25">
      <c r="A486" s="12" t="s">
        <v>63</v>
      </c>
      <c r="B486" s="12" t="s">
        <v>39</v>
      </c>
      <c r="C486" s="12" t="s">
        <v>13</v>
      </c>
      <c r="D486" s="12">
        <v>5.7621216252699776</v>
      </c>
      <c r="E486" s="12">
        <v>0</v>
      </c>
      <c r="F486" s="12">
        <v>10</v>
      </c>
      <c r="G486" s="12">
        <v>0</v>
      </c>
      <c r="H486" s="12">
        <v>4.1104779411764714</v>
      </c>
      <c r="I486" s="12" t="s">
        <v>135</v>
      </c>
      <c r="J486">
        <v>1</v>
      </c>
      <c r="K486" s="6">
        <v>46247</v>
      </c>
      <c r="L486">
        <v>46247</v>
      </c>
      <c r="M486">
        <v>0</v>
      </c>
      <c r="N486">
        <v>0</v>
      </c>
      <c r="O486">
        <v>0.71336188447495319</v>
      </c>
      <c r="S486">
        <v>0</v>
      </c>
      <c r="T486">
        <v>0</v>
      </c>
      <c r="U486">
        <v>1.4018130513603448</v>
      </c>
    </row>
    <row r="487" spans="1:21" x14ac:dyDescent="0.25">
      <c r="A487" s="12" t="s">
        <v>63</v>
      </c>
      <c r="B487" s="12" t="s">
        <v>39</v>
      </c>
      <c r="C487" s="12" t="s">
        <v>15</v>
      </c>
      <c r="D487" s="12">
        <v>1.2742252699784016</v>
      </c>
      <c r="E487" s="12">
        <v>0</v>
      </c>
      <c r="F487" s="12">
        <v>10</v>
      </c>
      <c r="G487" s="12">
        <v>0</v>
      </c>
      <c r="H487" s="12">
        <v>0.94117647058823517</v>
      </c>
      <c r="I487" s="12" t="s">
        <v>134</v>
      </c>
      <c r="J487">
        <v>1</v>
      </c>
      <c r="K487" s="6">
        <v>46247</v>
      </c>
      <c r="L487">
        <v>46247</v>
      </c>
      <c r="M487">
        <v>0</v>
      </c>
      <c r="N487">
        <v>0</v>
      </c>
      <c r="O487">
        <v>0.73862643659875649</v>
      </c>
      <c r="S487">
        <v>0</v>
      </c>
      <c r="T487">
        <v>0</v>
      </c>
      <c r="U487">
        <v>1.3538643493520519</v>
      </c>
    </row>
    <row r="488" spans="1:21" x14ac:dyDescent="0.25">
      <c r="A488" s="12" t="s">
        <v>59</v>
      </c>
      <c r="B488" s="12" t="s">
        <v>39</v>
      </c>
      <c r="C488" s="12" t="s">
        <v>14</v>
      </c>
      <c r="D488" s="12">
        <v>2.2486328293736499</v>
      </c>
      <c r="E488" s="12">
        <v>0</v>
      </c>
      <c r="F488" s="12">
        <v>10</v>
      </c>
      <c r="G488" s="12">
        <v>0</v>
      </c>
      <c r="H488" s="12">
        <v>2.6538062283737021</v>
      </c>
      <c r="I488" s="12" t="s">
        <v>136</v>
      </c>
      <c r="K488" s="6">
        <v>46248</v>
      </c>
      <c r="L488">
        <v>46248</v>
      </c>
      <c r="M488">
        <v>0</v>
      </c>
      <c r="N488">
        <v>0</v>
      </c>
      <c r="O488">
        <v>1.1801865532279505</v>
      </c>
      <c r="S488">
        <v>0</v>
      </c>
      <c r="T488">
        <v>0</v>
      </c>
      <c r="U488">
        <v>0.84732366867329667</v>
      </c>
    </row>
    <row r="489" spans="1:21" x14ac:dyDescent="0.25">
      <c r="A489" s="12" t="s">
        <v>59</v>
      </c>
      <c r="B489" s="12" t="s">
        <v>39</v>
      </c>
      <c r="C489" s="12" t="s">
        <v>13</v>
      </c>
      <c r="D489" s="12">
        <v>4.5675354346652259</v>
      </c>
      <c r="E489" s="12">
        <v>0</v>
      </c>
      <c r="F489" s="12">
        <v>10</v>
      </c>
      <c r="G489" s="12">
        <v>0</v>
      </c>
      <c r="H489" s="12">
        <v>3.1104779411764705</v>
      </c>
      <c r="I489" s="12" t="s">
        <v>138</v>
      </c>
      <c r="K489" s="6">
        <v>46248</v>
      </c>
      <c r="L489">
        <v>46248</v>
      </c>
      <c r="M489">
        <v>0</v>
      </c>
      <c r="N489">
        <v>0</v>
      </c>
      <c r="O489">
        <v>0.68099700279707864</v>
      </c>
      <c r="S489">
        <v>0</v>
      </c>
      <c r="T489">
        <v>0</v>
      </c>
      <c r="U489">
        <v>1.4684352440505188</v>
      </c>
    </row>
    <row r="490" spans="1:21" x14ac:dyDescent="0.25">
      <c r="A490" s="12" t="s">
        <v>59</v>
      </c>
      <c r="B490" s="12" t="s">
        <v>39</v>
      </c>
      <c r="C490" s="12" t="s">
        <v>15</v>
      </c>
      <c r="D490" s="12">
        <v>1.2742252699784016</v>
      </c>
      <c r="E490" s="12">
        <v>0</v>
      </c>
      <c r="F490" s="12">
        <v>10</v>
      </c>
      <c r="G490" s="12">
        <v>0</v>
      </c>
      <c r="H490" s="12">
        <v>0.94117647058823517</v>
      </c>
      <c r="I490" s="12" t="s">
        <v>137</v>
      </c>
      <c r="K490" s="6">
        <v>46248</v>
      </c>
      <c r="L490">
        <v>46248</v>
      </c>
      <c r="M490">
        <v>0</v>
      </c>
      <c r="N490">
        <v>0</v>
      </c>
      <c r="O490">
        <v>0.73862643659875649</v>
      </c>
      <c r="S490">
        <v>0</v>
      </c>
      <c r="T490">
        <v>0</v>
      </c>
      <c r="U490">
        <v>1.3538643493520519</v>
      </c>
    </row>
    <row r="491" spans="1:21" x14ac:dyDescent="0.25">
      <c r="A491" s="12" t="s">
        <v>63</v>
      </c>
      <c r="B491" s="12" t="s">
        <v>39</v>
      </c>
      <c r="C491" s="12" t="s">
        <v>14</v>
      </c>
      <c r="D491" s="12">
        <v>2.2486328293736499</v>
      </c>
      <c r="E491" s="12">
        <v>0</v>
      </c>
      <c r="F491" s="12">
        <v>10</v>
      </c>
      <c r="G491" s="12">
        <v>0</v>
      </c>
      <c r="H491" s="12">
        <v>2.6538062283737021</v>
      </c>
      <c r="I491" s="12" t="s">
        <v>136</v>
      </c>
      <c r="J491">
        <v>1</v>
      </c>
      <c r="K491" s="6">
        <v>46248</v>
      </c>
      <c r="L491">
        <v>46248</v>
      </c>
      <c r="M491">
        <v>0</v>
      </c>
      <c r="N491">
        <v>0</v>
      </c>
      <c r="O491">
        <v>1.1801865532279505</v>
      </c>
      <c r="S491">
        <v>0</v>
      </c>
      <c r="T491">
        <v>0</v>
      </c>
      <c r="U491">
        <v>0.84732366867329667</v>
      </c>
    </row>
    <row r="492" spans="1:21" x14ac:dyDescent="0.25">
      <c r="A492" s="12" t="s">
        <v>63</v>
      </c>
      <c r="B492" s="12" t="s">
        <v>39</v>
      </c>
      <c r="C492" s="12" t="s">
        <v>13</v>
      </c>
      <c r="D492" s="12">
        <v>4.5675354346652259</v>
      </c>
      <c r="E492" s="12">
        <v>0</v>
      </c>
      <c r="F492" s="12">
        <v>10</v>
      </c>
      <c r="G492" s="12">
        <v>0</v>
      </c>
      <c r="H492" s="12">
        <v>3.1104779411764705</v>
      </c>
      <c r="I492" s="12" t="s">
        <v>138</v>
      </c>
      <c r="J492">
        <v>1</v>
      </c>
      <c r="K492" s="6">
        <v>46248</v>
      </c>
      <c r="L492">
        <v>46248</v>
      </c>
      <c r="M492">
        <v>0</v>
      </c>
      <c r="N492">
        <v>0</v>
      </c>
      <c r="O492">
        <v>0.68099700279707864</v>
      </c>
      <c r="S492">
        <v>0</v>
      </c>
      <c r="T492">
        <v>0</v>
      </c>
      <c r="U492">
        <v>1.4684352440505188</v>
      </c>
    </row>
    <row r="493" spans="1:21" x14ac:dyDescent="0.25">
      <c r="A493" s="12" t="s">
        <v>63</v>
      </c>
      <c r="B493" s="12" t="s">
        <v>39</v>
      </c>
      <c r="C493" s="12" t="s">
        <v>15</v>
      </c>
      <c r="D493" s="12">
        <v>1.2742252699784016</v>
      </c>
      <c r="E493" s="12">
        <v>0</v>
      </c>
      <c r="F493" s="12">
        <v>10</v>
      </c>
      <c r="G493" s="12">
        <v>0</v>
      </c>
      <c r="H493" s="12">
        <v>0.94117647058823517</v>
      </c>
      <c r="I493" s="12" t="s">
        <v>137</v>
      </c>
      <c r="J493">
        <v>1</v>
      </c>
      <c r="K493" s="6">
        <v>46248</v>
      </c>
      <c r="L493">
        <v>46248</v>
      </c>
      <c r="M493">
        <v>0</v>
      </c>
      <c r="N493">
        <v>0</v>
      </c>
      <c r="O493">
        <v>0.73862643659875649</v>
      </c>
      <c r="S493">
        <v>0</v>
      </c>
      <c r="T493">
        <v>0</v>
      </c>
      <c r="U493">
        <v>1.3538643493520519</v>
      </c>
    </row>
    <row r="494" spans="1:21" x14ac:dyDescent="0.25">
      <c r="A494" s="12" t="s">
        <v>59</v>
      </c>
      <c r="B494" s="12" t="s">
        <v>39</v>
      </c>
      <c r="C494" s="12" t="s">
        <v>14</v>
      </c>
      <c r="D494" s="12">
        <v>2.2486328293736499</v>
      </c>
      <c r="E494" s="12">
        <v>0</v>
      </c>
      <c r="F494" s="12">
        <v>10</v>
      </c>
      <c r="G494" s="12">
        <v>0</v>
      </c>
      <c r="H494" s="12">
        <v>2.1591695501730106</v>
      </c>
      <c r="I494" s="12" t="s">
        <v>139</v>
      </c>
      <c r="K494" s="6">
        <v>46249</v>
      </c>
      <c r="L494">
        <v>46249</v>
      </c>
      <c r="M494">
        <v>0</v>
      </c>
      <c r="N494">
        <v>0</v>
      </c>
      <c r="O494">
        <v>0.96021436757838363</v>
      </c>
      <c r="S494">
        <v>0</v>
      </c>
      <c r="T494">
        <v>0</v>
      </c>
      <c r="U494">
        <v>1.0414341148861936</v>
      </c>
    </row>
    <row r="495" spans="1:21" x14ac:dyDescent="0.25">
      <c r="A495" s="12" t="s">
        <v>59</v>
      </c>
      <c r="B495" s="12" t="s">
        <v>39</v>
      </c>
      <c r="C495" s="12" t="s">
        <v>15</v>
      </c>
      <c r="D495" s="12">
        <v>1.2742252699784016</v>
      </c>
      <c r="E495" s="12">
        <v>0</v>
      </c>
      <c r="F495" s="12">
        <v>10</v>
      </c>
      <c r="G495" s="12">
        <v>0</v>
      </c>
      <c r="H495" s="12">
        <v>0.94117647058823517</v>
      </c>
      <c r="I495" s="12" t="s">
        <v>140</v>
      </c>
      <c r="K495" s="6">
        <v>46249</v>
      </c>
      <c r="L495">
        <v>46249</v>
      </c>
      <c r="M495">
        <v>0</v>
      </c>
      <c r="N495">
        <v>0</v>
      </c>
      <c r="O495">
        <v>0.73862643659875649</v>
      </c>
      <c r="S495">
        <v>0</v>
      </c>
      <c r="T495">
        <v>0</v>
      </c>
      <c r="U495">
        <v>1.3538643493520519</v>
      </c>
    </row>
    <row r="496" spans="1:21" x14ac:dyDescent="0.25">
      <c r="A496" s="12" t="s">
        <v>59</v>
      </c>
      <c r="B496" s="12" t="s">
        <v>39</v>
      </c>
      <c r="C496" s="12" t="s">
        <v>13</v>
      </c>
      <c r="D496" s="12">
        <v>5.3405029697624178</v>
      </c>
      <c r="E496" s="12">
        <v>0</v>
      </c>
      <c r="F496" s="12">
        <v>10</v>
      </c>
      <c r="G496" s="12">
        <v>0</v>
      </c>
      <c r="H496" s="12">
        <v>4.3235294117647038</v>
      </c>
      <c r="I496" s="12" t="s">
        <v>141</v>
      </c>
      <c r="K496" s="6">
        <v>46249</v>
      </c>
      <c r="L496">
        <v>46249</v>
      </c>
      <c r="M496">
        <v>0</v>
      </c>
      <c r="N496">
        <v>0</v>
      </c>
      <c r="O496">
        <v>0.80957344958784738</v>
      </c>
      <c r="S496">
        <v>0</v>
      </c>
      <c r="T496">
        <v>0</v>
      </c>
      <c r="U496">
        <v>1.2352183739586551</v>
      </c>
    </row>
    <row r="497" spans="1:21" x14ac:dyDescent="0.25">
      <c r="A497" s="12" t="s">
        <v>63</v>
      </c>
      <c r="B497" s="12" t="s">
        <v>39</v>
      </c>
      <c r="C497" s="12" t="s">
        <v>14</v>
      </c>
      <c r="D497" s="12">
        <v>2.2486328293736499</v>
      </c>
      <c r="E497" s="12">
        <v>0</v>
      </c>
      <c r="F497" s="12">
        <v>10</v>
      </c>
      <c r="G497" s="12">
        <v>0</v>
      </c>
      <c r="H497" s="12">
        <v>2.1591695501730106</v>
      </c>
      <c r="I497" s="12" t="s">
        <v>139</v>
      </c>
      <c r="J497">
        <v>1</v>
      </c>
      <c r="K497" s="6">
        <v>46249</v>
      </c>
      <c r="L497">
        <v>46249</v>
      </c>
      <c r="M497">
        <v>0</v>
      </c>
      <c r="N497">
        <v>0</v>
      </c>
      <c r="O497">
        <v>0.96021436757838363</v>
      </c>
      <c r="S497">
        <v>0</v>
      </c>
      <c r="T497">
        <v>0</v>
      </c>
      <c r="U497">
        <v>1.0414341148861936</v>
      </c>
    </row>
    <row r="498" spans="1:21" x14ac:dyDescent="0.25">
      <c r="A498" s="12" t="s">
        <v>63</v>
      </c>
      <c r="B498" s="12" t="s">
        <v>39</v>
      </c>
      <c r="C498" s="12" t="s">
        <v>15</v>
      </c>
      <c r="D498" s="12">
        <v>1.2742252699784016</v>
      </c>
      <c r="E498" s="12">
        <v>0</v>
      </c>
      <c r="F498" s="12">
        <v>10</v>
      </c>
      <c r="G498" s="12">
        <v>0</v>
      </c>
      <c r="H498" s="12">
        <v>0.94117647058823517</v>
      </c>
      <c r="I498" s="12" t="s">
        <v>140</v>
      </c>
      <c r="J498">
        <v>1</v>
      </c>
      <c r="K498" s="6">
        <v>46249</v>
      </c>
      <c r="L498">
        <v>46249</v>
      </c>
      <c r="M498">
        <v>0</v>
      </c>
      <c r="N498">
        <v>0</v>
      </c>
      <c r="O498">
        <v>0.73862643659875649</v>
      </c>
      <c r="S498">
        <v>0</v>
      </c>
      <c r="T498">
        <v>0</v>
      </c>
      <c r="U498">
        <v>1.3538643493520519</v>
      </c>
    </row>
    <row r="499" spans="1:21" x14ac:dyDescent="0.25">
      <c r="A499" s="12" t="s">
        <v>63</v>
      </c>
      <c r="B499" s="12" t="s">
        <v>39</v>
      </c>
      <c r="C499" s="12" t="s">
        <v>13</v>
      </c>
      <c r="D499" s="12">
        <v>5.3405029697624178</v>
      </c>
      <c r="E499" s="12">
        <v>0</v>
      </c>
      <c r="F499" s="12">
        <v>10</v>
      </c>
      <c r="G499" s="12">
        <v>0</v>
      </c>
      <c r="H499" s="12">
        <v>4.3235294117647038</v>
      </c>
      <c r="I499" s="12" t="s">
        <v>141</v>
      </c>
      <c r="J499">
        <v>1</v>
      </c>
      <c r="K499" s="6">
        <v>46249</v>
      </c>
      <c r="L499">
        <v>46249</v>
      </c>
      <c r="M499">
        <v>0</v>
      </c>
      <c r="N499">
        <v>0</v>
      </c>
      <c r="O499">
        <v>0.80957344958784738</v>
      </c>
      <c r="S499">
        <v>0</v>
      </c>
      <c r="T499">
        <v>0</v>
      </c>
      <c r="U499">
        <v>1.2352183739586551</v>
      </c>
    </row>
    <row r="500" spans="1:21" x14ac:dyDescent="0.25">
      <c r="A500" s="12" t="s">
        <v>59</v>
      </c>
      <c r="B500" s="12" t="s">
        <v>39</v>
      </c>
      <c r="C500" s="12" t="s">
        <v>15</v>
      </c>
      <c r="D500" s="12">
        <v>1.2742252699784016</v>
      </c>
      <c r="E500" s="12">
        <v>0</v>
      </c>
      <c r="F500" s="12">
        <v>10</v>
      </c>
      <c r="G500" s="12">
        <v>0</v>
      </c>
      <c r="H500" s="12">
        <v>0.94117647058823517</v>
      </c>
      <c r="I500" s="12" t="s">
        <v>143</v>
      </c>
      <c r="K500" s="6">
        <v>46250</v>
      </c>
      <c r="L500">
        <v>46250</v>
      </c>
      <c r="M500">
        <v>0</v>
      </c>
      <c r="N500">
        <v>0</v>
      </c>
      <c r="O500">
        <v>0.73862643659875649</v>
      </c>
      <c r="S500">
        <v>0</v>
      </c>
      <c r="T500">
        <v>0</v>
      </c>
      <c r="U500">
        <v>1.3538643493520519</v>
      </c>
    </row>
    <row r="501" spans="1:21" x14ac:dyDescent="0.25">
      <c r="A501" s="12" t="s">
        <v>59</v>
      </c>
      <c r="B501" s="12" t="s">
        <v>39</v>
      </c>
      <c r="C501" s="12" t="s">
        <v>14</v>
      </c>
      <c r="D501" s="12">
        <v>2.2486328293736499</v>
      </c>
      <c r="E501" s="12">
        <v>0</v>
      </c>
      <c r="F501" s="12">
        <v>10</v>
      </c>
      <c r="G501" s="12">
        <v>0</v>
      </c>
      <c r="H501" s="12">
        <v>2.0484429065743952</v>
      </c>
      <c r="I501" s="12" t="s">
        <v>144</v>
      </c>
      <c r="K501" s="6">
        <v>46250</v>
      </c>
      <c r="L501">
        <v>46250</v>
      </c>
      <c r="M501">
        <v>0</v>
      </c>
      <c r="N501">
        <v>0</v>
      </c>
      <c r="O501">
        <v>0.91097260513846667</v>
      </c>
      <c r="S501">
        <v>0</v>
      </c>
      <c r="T501">
        <v>0</v>
      </c>
      <c r="U501">
        <v>1.0977278508259876</v>
      </c>
    </row>
    <row r="502" spans="1:21" x14ac:dyDescent="0.25">
      <c r="A502" s="12" t="s">
        <v>59</v>
      </c>
      <c r="B502" s="12" t="s">
        <v>39</v>
      </c>
      <c r="C502" s="12" t="s">
        <v>13</v>
      </c>
      <c r="D502" s="12">
        <v>3.5134887958963272</v>
      </c>
      <c r="E502" s="12">
        <v>0</v>
      </c>
      <c r="F502" s="12">
        <v>10</v>
      </c>
      <c r="G502" s="12">
        <v>0</v>
      </c>
      <c r="H502" s="12">
        <v>2.9411764705882346</v>
      </c>
      <c r="I502" s="12" t="s">
        <v>142</v>
      </c>
      <c r="K502" s="6">
        <v>46250</v>
      </c>
      <c r="L502">
        <v>46250</v>
      </c>
      <c r="M502">
        <v>0</v>
      </c>
      <c r="N502">
        <v>0</v>
      </c>
      <c r="O502">
        <v>0.83710996147859074</v>
      </c>
      <c r="S502">
        <v>0</v>
      </c>
      <c r="T502">
        <v>0</v>
      </c>
      <c r="U502">
        <v>1.1945861906047515</v>
      </c>
    </row>
    <row r="503" spans="1:21" x14ac:dyDescent="0.25">
      <c r="A503" s="12" t="s">
        <v>63</v>
      </c>
      <c r="B503" s="12" t="s">
        <v>39</v>
      </c>
      <c r="C503" s="12" t="s">
        <v>15</v>
      </c>
      <c r="D503" s="12">
        <v>1.2742252699784016</v>
      </c>
      <c r="E503" s="12">
        <v>0</v>
      </c>
      <c r="F503" s="12">
        <v>10</v>
      </c>
      <c r="G503" s="12">
        <v>0</v>
      </c>
      <c r="H503" s="12">
        <v>0.94117647058823517</v>
      </c>
      <c r="I503" s="12" t="s">
        <v>143</v>
      </c>
      <c r="J503">
        <v>1</v>
      </c>
      <c r="K503" s="6">
        <v>46250</v>
      </c>
      <c r="L503">
        <v>46250</v>
      </c>
      <c r="M503">
        <v>0</v>
      </c>
      <c r="N503">
        <v>0</v>
      </c>
      <c r="O503">
        <v>0.73862643659875649</v>
      </c>
      <c r="S503">
        <v>0</v>
      </c>
      <c r="T503">
        <v>0</v>
      </c>
      <c r="U503">
        <v>1.3538643493520519</v>
      </c>
    </row>
    <row r="504" spans="1:21" x14ac:dyDescent="0.25">
      <c r="A504" s="12" t="s">
        <v>63</v>
      </c>
      <c r="B504" s="12" t="s">
        <v>39</v>
      </c>
      <c r="C504" s="12" t="s">
        <v>14</v>
      </c>
      <c r="D504" s="12">
        <v>2.2486328293736499</v>
      </c>
      <c r="E504" s="12">
        <v>0</v>
      </c>
      <c r="F504" s="12">
        <v>10</v>
      </c>
      <c r="G504" s="12">
        <v>0</v>
      </c>
      <c r="H504" s="12">
        <v>2.0484429065743952</v>
      </c>
      <c r="I504" s="12" t="s">
        <v>144</v>
      </c>
      <c r="J504">
        <v>1</v>
      </c>
      <c r="K504" s="6">
        <v>46250</v>
      </c>
      <c r="L504">
        <v>46250</v>
      </c>
      <c r="M504">
        <v>0</v>
      </c>
      <c r="N504">
        <v>0</v>
      </c>
      <c r="O504">
        <v>0.91097260513846667</v>
      </c>
      <c r="S504">
        <v>0</v>
      </c>
      <c r="T504">
        <v>0</v>
      </c>
      <c r="U504">
        <v>1.0977278508259876</v>
      </c>
    </row>
    <row r="505" spans="1:21" x14ac:dyDescent="0.25">
      <c r="A505" s="12" t="s">
        <v>63</v>
      </c>
      <c r="B505" s="12" t="s">
        <v>39</v>
      </c>
      <c r="C505" s="12" t="s">
        <v>13</v>
      </c>
      <c r="D505" s="12">
        <v>3.5134887958963272</v>
      </c>
      <c r="E505" s="12">
        <v>0</v>
      </c>
      <c r="F505" s="12">
        <v>10</v>
      </c>
      <c r="G505" s="12">
        <v>0</v>
      </c>
      <c r="H505" s="12">
        <v>2.9411764705882346</v>
      </c>
      <c r="I505" s="12" t="s">
        <v>142</v>
      </c>
      <c r="J505">
        <v>1</v>
      </c>
      <c r="K505" s="6">
        <v>46250</v>
      </c>
      <c r="L505">
        <v>46250</v>
      </c>
      <c r="M505">
        <v>0</v>
      </c>
      <c r="N505">
        <v>0</v>
      </c>
      <c r="O505">
        <v>0.83710996147859074</v>
      </c>
      <c r="S505">
        <v>0</v>
      </c>
      <c r="T505">
        <v>0</v>
      </c>
      <c r="U505">
        <v>1.1945861906047515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3C88C89-B8CA-48EA-A9D7-D701F75D985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1E1201-6DCC-4497-B063-0FAA807B9659}">
  <ds:schemaRefs>
    <ds:schemaRef ds:uri="http://schemas.microsoft.com/office/2006/metadata/properties"/>
    <ds:schemaRef ds:uri="http://schemas.microsoft.com/office/infopath/2007/PartnerControls"/>
    <ds:schemaRef ds:uri="df8b3e38-a5d6-4e8d-975c-a58e96566942"/>
    <ds:schemaRef ds:uri="7443686a-e97d-4b95-924d-9b4d820cf878"/>
    <ds:schemaRef ds:uri="cb0fa578-f870-47d6-b0d9-5a423e2a9cfb"/>
    <ds:schemaRef ds:uri="b568fc2f-4d2a-4f1a-a92d-be6ea9d479bf"/>
    <ds:schemaRef ds:uri="3be0b85a-8471-4f10-b038-505fde09e598"/>
    <ds:schemaRef ds:uri="f82d1b6b-c0e6-44b0-99a2-d357b2d50896"/>
    <ds:schemaRef ds:uri="a6ef9c2c-1ad1-4c09-9d1c-8c71a768c11f"/>
    <ds:schemaRef ds:uri="f574b478-68e4-495d-9b17-0f93d51a8ef7"/>
  </ds:schemaRefs>
</ds:datastoreItem>
</file>

<file path=customXml/itemProps3.xml><?xml version="1.0" encoding="utf-8"?>
<ds:datastoreItem xmlns:ds="http://schemas.openxmlformats.org/officeDocument/2006/customXml" ds:itemID="{EE0E2409-7D3F-4591-957E-C6595A83DD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5C8C21B-1234-41FE-A06A-AE7B112E17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5</vt:i4>
      </vt:variant>
    </vt:vector>
  </HeadingPairs>
  <TitlesOfParts>
    <vt:vector size="9" baseType="lpstr">
      <vt:lpstr>Unit1Path</vt:lpstr>
      <vt:lpstr>FILEPATH-EffortALL</vt:lpstr>
      <vt:lpstr>Table_EffortAllMatrixAG1_1D</vt:lpstr>
      <vt:lpstr>EffortOutcomesAG1-1DayShift</vt:lpstr>
      <vt:lpstr>'FILEPATH-EffortALL'!Client</vt:lpstr>
      <vt:lpstr>Unit1Path!Client</vt:lpstr>
      <vt:lpstr>FilePathUrl</vt:lpstr>
      <vt:lpstr>'FILEPATH-EffortALL'!Location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2022-12-21T04:59:52Z</dcterms:created>
  <dcterms:modified xsi:type="dcterms:W3CDTF">2026-09-11T06:13:51Z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