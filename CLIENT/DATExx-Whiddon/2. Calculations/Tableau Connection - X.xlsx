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"/>
    </mc:Choice>
  </mc:AlternateContent>
  <xr:revisionPtr revIDLastSave="0" documentId="13_ncr:1_{160A81F1-2F34-473A-BC50-7211C1109DC0}" xr6:coauthVersionLast="47" xr6:coauthVersionMax="47" xr10:uidLastSave="{00000000-0000-0000-0000-000000000000}"/>
  <bookViews>
    <workbookView xWindow="-120" yWindow="-120" windowWidth="38640" windowHeight="21120" firstSheet="4" activeTab="6" xr2:uid="{16B7FE64-7578-4206-945C-2BD2DFE73CF2}"/>
  </bookViews>
  <sheets>
    <sheet name="_mcode_path" sheetId="10" state="veryHidden" r:id="rId1"/>
    <sheet name="Unit1Path" sheetId="11" r:id="rId2"/>
    <sheet name="FILEPATH" sheetId="7" r:id="rId3"/>
    <sheet name="DateAlignment!!" sheetId="8" r:id="rId4"/>
    <sheet name="Masterlist" sheetId="13" r:id="rId5"/>
    <sheet name="IMPORT Table_Masterlist" sheetId="12" r:id="rId6"/>
    <sheet name="InefficienciesAGL2Day32" sheetId="3" r:id="rId7"/>
    <sheet name="IMPORT InefficienciesAGL2Day321" sheetId="9" r:id="rId8"/>
  </sheets>
  <externalReferences>
    <externalReference r:id="rId9"/>
    <externalReference r:id="rId10"/>
    <externalReference r:id="rId11"/>
    <externalReference r:id="rId12"/>
  </externalReferences>
  <definedNames>
    <definedName name="ABCap" localSheetId="2">#REF!</definedName>
    <definedName name="ABCap" localSheetId="1">#REF!</definedName>
    <definedName name="ABCap">[1]Factors!$B$6</definedName>
    <definedName name="ABGoal" localSheetId="2">#REF!</definedName>
    <definedName name="ABGoal" localSheetId="1">#REF!</definedName>
    <definedName name="ABGoal">[1]Factors!$B$10</definedName>
    <definedName name="Client" localSheetId="2">FILEPATH!$B$14</definedName>
    <definedName name="Client" localSheetId="1">Unit1Path!$B$18</definedName>
    <definedName name="Client">#REF!</definedName>
    <definedName name="Contractor_Margin" localSheetId="2">#REF!</definedName>
    <definedName name="Contractor_Margin" localSheetId="1">#REF!</definedName>
    <definedName name="Contractor_Margin">[1]Factors!$B$35</definedName>
    <definedName name="Date" localSheetId="2">#REF!</definedName>
    <definedName name="Date" localSheetId="1">#REF!</definedName>
    <definedName name="Date">#REF!</definedName>
    <definedName name="Directory" localSheetId="2">#REF!</definedName>
    <definedName name="Directory" localSheetId="1">#REF!</definedName>
    <definedName name="Directory">#REF!</definedName>
    <definedName name="EFCap" localSheetId="2">#REF!</definedName>
    <definedName name="EFCap" localSheetId="1">#REF!</definedName>
    <definedName name="EFCap">[1]Factors!$B$7</definedName>
    <definedName name="EFGoal" localSheetId="2">#REF!</definedName>
    <definedName name="EFGoal" localSheetId="1">#REF!</definedName>
    <definedName name="EFGoal">[1]Factors!$B$11</definedName>
    <definedName name="ExternalData_1" localSheetId="3" hidden="1">'DateAlignment!!'!$A$1:$A$2</definedName>
    <definedName name="ExternalData_1" localSheetId="1" hidden="1">Unit1Path!$A$3:$B$12</definedName>
    <definedName name="ExternalData_2" localSheetId="7" hidden="1">'IMPORT InefficienciesAGL2Day321'!$A$1:$CD$1125</definedName>
    <definedName name="ExternalData_2" localSheetId="6" hidden="1">InefficienciesAGL2Day32!$A$1:$CF$1125</definedName>
    <definedName name="ExternalData_3" localSheetId="5" hidden="1">'IMPORT Table_Masterlist'!$A$1:$U$116</definedName>
    <definedName name="ExternalData_4" localSheetId="4" hidden="1">Masterlist!$A$1:$U$116</definedName>
    <definedName name="Facility">#REF!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2">#REF!</definedName>
    <definedName name="INCap" localSheetId="1">#REF!</definedName>
    <definedName name="INCap">[1]Factors!$B$8</definedName>
    <definedName name="INGoal" localSheetId="2">#REF!</definedName>
    <definedName name="INGoal" localSheetId="1">#REF!</definedName>
    <definedName name="INGoal">[1]Factors!$B$12</definedName>
    <definedName name="LabourCost" localSheetId="2">#REF!</definedName>
    <definedName name="LabourCost" localSheetId="1">#REF!</definedName>
    <definedName name="LabourCost">[1]Factors!$B$21</definedName>
    <definedName name="LabourStretchCost" localSheetId="2">#REF!</definedName>
    <definedName name="LabourStretchCost" localSheetId="1">#REF!</definedName>
    <definedName name="LabourStretchCost">[1]Factors!$B$22</definedName>
    <definedName name="Location" localSheetId="2">FILEPATH!$B$18</definedName>
    <definedName name="Location" localSheetId="1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 localSheetId="1">#REF!</definedName>
    <definedName name="Max_HRS">#REF!</definedName>
    <definedName name="MaxCapacityFactor">[2]MaxCapacity!$A$2</definedName>
    <definedName name="Overtime" localSheetId="2">#REF!</definedName>
    <definedName name="Overtime" localSheetId="1">#REF!</definedName>
    <definedName name="Overtime">[1]Factors!$B$4</definedName>
    <definedName name="Revenue_per_labour_factor" localSheetId="2">#REF!</definedName>
    <definedName name="Revenue_per_labour_factor" localSheetId="1">#REF!</definedName>
    <definedName name="Revenue_per_labour_factor">[1]Factors!$B$19</definedName>
    <definedName name="RevenueRate" localSheetId="2">#REF!</definedName>
    <definedName name="RevenueRate" localSheetId="1">#REF!</definedName>
    <definedName name="RevenueRate">[1]Factors!$B$23</definedName>
    <definedName name="RevPerWorker" localSheetId="2">#REF!</definedName>
    <definedName name="RevPerWorker" localSheetId="1">#REF!</definedName>
    <definedName name="RevPerWorker">[1]Factors!$E$23</definedName>
    <definedName name="Role" localSheetId="1">Unit1Path!$B$39</definedName>
    <definedName name="Role">#REF!</definedName>
    <definedName name="ROLE_TITLE" localSheetId="2">#REF!</definedName>
    <definedName name="ROLE_TITLE" localSheetId="1">#REF!</definedName>
    <definedName name="ROLE_TITLE">#REF!</definedName>
    <definedName name="Type" localSheetId="2">#REF!</definedName>
    <definedName name="Type" localSheetId="1">#REF!</definedName>
    <definedName name="Type">#REF!</definedName>
    <definedName name="UNIT" localSheetId="1">#REF!</definedName>
    <definedName name="UNIT">[3]RN!$M$2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  <c r="A2" i="10" l="1"/>
  <c r="B14" i="7"/>
  <c r="B18" i="7" s="1"/>
  <c r="B26" i="7" s="1"/>
  <c r="B40" i="7"/>
  <c r="C19" i="7"/>
  <c r="B9" i="7" a="1"/>
  <c r="B9" i="7" s="1"/>
  <c r="C18" i="7" l="1"/>
  <c r="B15" i="7" a="1"/>
  <c r="B15" i="7" s="1"/>
  <c r="C15" i="7" s="1"/>
  <c r="C20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2E4F41-0ECA-4834-A623-288FF75C5B6A}" keepAlive="1" name="Query - DateAlignment" description="Connection to the 'DateAlignment' query in the workbook." type="5" refreshedVersion="8" background="1" saveData="1">
    <dbPr connection="Provider=Microsoft.Mashup.OleDb.1;Data Source=$Workbook$;Location=DateAlignment;Extended Properties=&quot;&quot;" command="SELECT * FROM [DateAlignment]"/>
  </connection>
  <connection id="2" xr16:uid="{8AF808F8-A380-4791-A641-11180D63418A}" keepAlive="1" name="Query - DateLevelPathRecord" description="Connection to the 'DateLevelPathRecord' query in the workbook." type="5" refreshedVersion="8" background="1" saveData="1">
    <dbPr connection="Provider=Microsoft.Mashup.OleDb.1;Data Source=$Workbook$;Location=DateLevelPathRecord;Extended Properties=&quot;&quot;" command="SELECT * FROM [DateLevelPathRecord]"/>
  </connection>
  <connection id="3" xr16:uid="{D0D309EC-EBD9-4F70-86E2-30DCFD9F7DDB}" keepAlive="1" name="Query - Errors in IMPORT InefficienciesAGL2Day3210" description="Connection to the 'Errors in IMPORT InefficienciesAGL2Day3210' query in the workbook." type="5" refreshedVersion="0" background="1">
    <dbPr connection="Provider=Microsoft.Mashup.OleDb.1;Data Source=$Workbook$;Location=&quot;Errors in IMPORT InefficienciesAGL2Day3210&quot;;Extended Properties=&quot;&quot;" command="SELECT * FROM [Errors in IMPORT InefficienciesAGL2Day3210]"/>
  </connection>
  <connection id="4" xr16:uid="{CFE265C2-2C0C-4570-A44D-0BF226DB4377}" keepAlive="1" name="Query - IMPORT InefficienciesAGL2Day3210" description="Connection to the 'IMPORT InefficienciesAGL2Day3210' query in the workbook." type="5" refreshedVersion="8" background="1" saveData="1">
    <dbPr connection="Provider=Microsoft.Mashup.OleDb.1;Data Source=$Workbook$;Location=&quot;IMPORT InefficienciesAGL2Day3210&quot;;Extended Properties=&quot;&quot;" command="SELECT * FROM [IMPORT InefficienciesAGL2Day3210]"/>
  </connection>
  <connection id="5" xr16:uid="{E2D7267D-1656-417C-8DC7-E724D3A41236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6" xr16:uid="{4A7BF6AE-12DB-4FF8-8902-CC2088078247}" keepAlive="1" name="Query - InefficienciesAGL2Day3210" description="Connection to the 'InefficienciesAGL2Day3210' query in the workbook." type="5" refreshedVersion="8" background="1" saveData="1">
    <dbPr connection="Provider=Microsoft.Mashup.OleDb.1;Data Source=$Workbook$;Location=InefficienciesAGL2Day3210;Extended Properties=&quot;&quot;" command="SELECT * FROM [InefficienciesAGL2Day3210]"/>
  </connection>
  <connection id="7" xr16:uid="{DD59C958-5290-4880-86DB-2AC34AF32824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<sst xmlns="http://schemas.openxmlformats.org/spreadsheetml/2006/main" count="15973" uniqueCount="504">
  <si>
    <t>Level</t>
  </si>
  <si>
    <t>Date</t>
  </si>
  <si>
    <t>D</t>
  </si>
  <si>
    <t>Cs</t>
  </si>
  <si>
    <t>CX</t>
  </si>
  <si>
    <t>A</t>
  </si>
  <si>
    <t>AB EXCESS OVER-ALLOCATION</t>
  </si>
  <si>
    <t>AB SPARE STRETCH</t>
  </si>
  <si>
    <t>AB SPARE SLACK</t>
  </si>
  <si>
    <t>AB SPARE STRETCH ALLOCATED</t>
  </si>
  <si>
    <t>AB SPARE SLACK ALLOCATED</t>
  </si>
  <si>
    <t>AB EXCESS STRETCH (ALLOCATED)</t>
  </si>
  <si>
    <t>AB EXCESS ALLOCATED SLACK</t>
  </si>
  <si>
    <t>AB EXCESS STRETCH</t>
  </si>
  <si>
    <t>AB EXCESS SLACK</t>
  </si>
  <si>
    <t>AB POTENTIAL SHORTFALL (OVER-ALLOCATED)</t>
  </si>
  <si>
    <t>AB POTENTIAL SHORTFALL</t>
  </si>
  <si>
    <t>AB WASTED STRETCH</t>
  </si>
  <si>
    <t>AB WASTED SLACK</t>
  </si>
  <si>
    <t>AB ALLOCATED STRETCH</t>
  </si>
  <si>
    <t>AB ALLOCATED SLACK</t>
  </si>
  <si>
    <t>AB UNALLOCATED SLACK</t>
  </si>
  <si>
    <t>AB LATENT</t>
  </si>
  <si>
    <t>AB LATENT.ALLOCATED</t>
  </si>
  <si>
    <t>AB  LATENT.OVERALLOCATED</t>
  </si>
  <si>
    <t>AB Potential</t>
  </si>
  <si>
    <t>Epn</t>
  </si>
  <si>
    <t>EpX</t>
  </si>
  <si>
    <t>Ein</t>
  </si>
  <si>
    <t>EF EXCESS OVER-ALLOCATION</t>
  </si>
  <si>
    <t>EF SPARE STRETCH</t>
  </si>
  <si>
    <t>EF SPARE SLACK</t>
  </si>
  <si>
    <t>EF SPARE STRETCH ALLOCATED</t>
  </si>
  <si>
    <t>EF SPARE SLACK ALLOCATED</t>
  </si>
  <si>
    <t>EF EXCESS STRETCH (ALLOCATED)</t>
  </si>
  <si>
    <t>EF EXCESS ALLOCATED SLACK</t>
  </si>
  <si>
    <t>EF EXCESS STRETCH</t>
  </si>
  <si>
    <t>EF EXCESS SLACK</t>
  </si>
  <si>
    <t>EF POTENTIAL SHORTFALL (OVER-ALLOCATED)</t>
  </si>
  <si>
    <t>EF POTENTIAL SHORTFALL</t>
  </si>
  <si>
    <t>EF WASTED STRETCH</t>
  </si>
  <si>
    <t>EF WASTED SLACK</t>
  </si>
  <si>
    <t>EF ALLOCATED STRETCH</t>
  </si>
  <si>
    <t>EF ALLOCATED SLACK</t>
  </si>
  <si>
    <t>EF UNALLOCATED SLACK</t>
  </si>
  <si>
    <t>EF LATENT</t>
  </si>
  <si>
    <t>EF LATENT.ALLOCATED</t>
  </si>
  <si>
    <t>EF LATENT.OVERALLOCATED</t>
  </si>
  <si>
    <t>EF Potential</t>
  </si>
  <si>
    <t>Ipn</t>
  </si>
  <si>
    <t>Ipx</t>
  </si>
  <si>
    <t>Iin</t>
  </si>
  <si>
    <t>IN EXCESS OVER-ALLOCATION</t>
  </si>
  <si>
    <t>IN SPARE STRETCH</t>
  </si>
  <si>
    <t>IN SPARE SLACK</t>
  </si>
  <si>
    <t>IN SPARE STRETCH ALLOCATED</t>
  </si>
  <si>
    <t>IN SPARE SLACK ALLOCATED</t>
  </si>
  <si>
    <t>IN EXCESS STRETCH (ALLOCATED)</t>
  </si>
  <si>
    <t>IN EXCESS ALLOCATED SLACK</t>
  </si>
  <si>
    <t>IN EXCESS STRETCH</t>
  </si>
  <si>
    <t>IN EXCESS SLACK</t>
  </si>
  <si>
    <t>IN POTENTIAL SHORTFALL (OVER-ALLOCATED)</t>
  </si>
  <si>
    <t>IN POTENTIAL SHORTFALL</t>
  </si>
  <si>
    <t>IN WASTED STRETCH</t>
  </si>
  <si>
    <t>IN WASTED SLACK</t>
  </si>
  <si>
    <t>IN ALLOCATED STRETCH</t>
  </si>
  <si>
    <t>IN ALLOCATED SLACK</t>
  </si>
  <si>
    <t>IN UNALLOCATED SLACK</t>
  </si>
  <si>
    <t>IN LATENT</t>
  </si>
  <si>
    <t>IN LATENT.ALLOCATED</t>
  </si>
  <si>
    <t>IN LATENT.OVERALLOCATED</t>
  </si>
  <si>
    <t>IN Potential</t>
  </si>
  <si>
    <t>3-Pool</t>
  </si>
  <si>
    <t>AM</t>
  </si>
  <si>
    <t>NIGHT</t>
  </si>
  <si>
    <t>PM</t>
  </si>
  <si>
    <t>Ability PoN AG</t>
  </si>
  <si>
    <t>Ability PoX AG</t>
  </si>
  <si>
    <t>Ability Pl AG</t>
  </si>
  <si>
    <t>Role</t>
  </si>
  <si>
    <t>Role ID</t>
  </si>
  <si>
    <t>WL EXCESS OVER-ALLOCATION</t>
  </si>
  <si>
    <t>WL SPARE STRETCH</t>
  </si>
  <si>
    <t>WL SPARE SLACK</t>
  </si>
  <si>
    <t>WL SPARE STRETCH ALLOCATED</t>
  </si>
  <si>
    <t>WL SPARE SLACK ALLOCATED</t>
  </si>
  <si>
    <t>WL EXCESS STRETCH (ALLOCATED)</t>
  </si>
  <si>
    <t>WL EXCESS ALLOCATED SLACK</t>
  </si>
  <si>
    <t>WL EXCESS STRETCH</t>
  </si>
  <si>
    <t>WL EXCESS SLACK</t>
  </si>
  <si>
    <t>WL POTENTIAL SHORTFALL (OVER-ALLOCATED)</t>
  </si>
  <si>
    <t>WL POTENTIAL SHORTFALL</t>
  </si>
  <si>
    <t>WL WASTED STRETCH</t>
  </si>
  <si>
    <t>WL WASTED SLACK</t>
  </si>
  <si>
    <t>WL ALLOCATED STRETCH</t>
  </si>
  <si>
    <t>WL ALLOCATED SLACK</t>
  </si>
  <si>
    <t>WL UNALLOCATED SLACK</t>
  </si>
  <si>
    <t>WL LATENT.ALLOCATED</t>
  </si>
  <si>
    <t>WL LATENT.OVERALLOCATED</t>
  </si>
  <si>
    <t>WL Potential</t>
  </si>
  <si>
    <t>Role Abvrev</t>
  </si>
  <si>
    <t>Shift</t>
  </si>
  <si>
    <t>WL  LATENT</t>
  </si>
  <si>
    <t>Efficiency PoN  AG</t>
  </si>
  <si>
    <t>Efficiency PoX  AG</t>
  </si>
  <si>
    <t>Efficiency Pl AG</t>
  </si>
  <si>
    <t>Workload PoN  AG</t>
  </si>
  <si>
    <t>Workload PoX AG</t>
  </si>
  <si>
    <t>Workload Pl AG</t>
  </si>
  <si>
    <t>2-Pond</t>
  </si>
  <si>
    <t>1-Lake</t>
  </si>
  <si>
    <t>Folder</t>
  </si>
  <si>
    <t>CapacityMaxHC</t>
  </si>
  <si>
    <t>DATESHIFT</t>
  </si>
  <si>
    <t>Facility</t>
  </si>
  <si>
    <t>0.1-Org</t>
  </si>
  <si>
    <t>1.1-Pond(Facility)</t>
  </si>
  <si>
    <t>3.1-Pond FacilityDay</t>
  </si>
  <si>
    <t>SharedPath</t>
  </si>
  <si>
    <t>Client</t>
  </si>
  <si>
    <t>Type</t>
  </si>
  <si>
    <t>04 Analysis</t>
  </si>
  <si>
    <t>Location</t>
  </si>
  <si>
    <t>From Computerpath</t>
  </si>
  <si>
    <t>CommonSharedPath</t>
  </si>
  <si>
    <t>Manual Entry</t>
  </si>
  <si>
    <t>Calcualted</t>
  </si>
  <si>
    <t>Version</t>
  </si>
  <si>
    <t>X</t>
  </si>
  <si>
    <t>DateAlignment</t>
  </si>
  <si>
    <t>Apn</t>
  </si>
  <si>
    <t>Apx</t>
  </si>
  <si>
    <t>Ai</t>
  </si>
  <si>
    <t>AIN</t>
  </si>
  <si>
    <t>RN</t>
  </si>
  <si>
    <t>AINC4</t>
  </si>
  <si>
    <t>DateX</t>
  </si>
  <si>
    <t>FilePath</t>
  </si>
  <si>
    <t>Value</t>
  </si>
  <si>
    <t>Username</t>
  </si>
  <si>
    <t>FilePathUrl</t>
  </si>
  <si>
    <t>CLIENT</t>
  </si>
  <si>
    <t>Alex</t>
  </si>
  <si>
    <t>Tableau Connection.xlsx</t>
  </si>
  <si>
    <t>Name</t>
  </si>
  <si>
    <t>CurrentWorkbookFolder</t>
  </si>
  <si>
    <t>C:\Users\Alex\CentriNOTSYNC\ResidentialCare\CLIENT\DATExx-Whiddon\2. Calculations</t>
  </si>
  <si>
    <t>DateRootPath</t>
  </si>
  <si>
    <t>C:\Users\Alex\CentriNOTSYNC\ResidentialCare\CLIENT\DATExx-Whiddon</t>
  </si>
  <si>
    <t>UnitsRootPath</t>
  </si>
  <si>
    <t>C:\Users\Alex\CentriNOTSYNC\ResidentialCare\CLIENT\DATExx-Whiddon\UNITS</t>
  </si>
  <si>
    <t>OrgCalculationsPath</t>
  </si>
  <si>
    <t>C:\Users\Alex\CentriNOTSYNC\ResidentialCare\CLIENT\DATExx-Whiddon\2. Calculations\[Tableau Connection.xlsx]_mcode_path</t>
  </si>
  <si>
    <t>DATExx-Whiddon</t>
  </si>
  <si>
    <t>CurrentWorkbookFileName</t>
  </si>
  <si>
    <t>24/07/2026PM</t>
  </si>
  <si>
    <t>24/07/2026NIGHT</t>
  </si>
  <si>
    <t>24/07/2026AM</t>
  </si>
  <si>
    <t>Resource</t>
  </si>
  <si>
    <t>Misalignment</t>
  </si>
  <si>
    <t>Lilly Olive</t>
  </si>
  <si>
    <t>Majal Dias</t>
  </si>
  <si>
    <t>Madi Slade</t>
  </si>
  <si>
    <t>Trevor Fisher</t>
  </si>
  <si>
    <t>MIZUE Tanaka</t>
  </si>
  <si>
    <t>Wendy Robertson</t>
  </si>
  <si>
    <t>Liane Tebbutt</t>
  </si>
  <si>
    <t>Leeanne Annis</t>
  </si>
  <si>
    <t>Tracey Leanne S</t>
  </si>
  <si>
    <t>Lee Speirs</t>
  </si>
  <si>
    <t>Korazona Joseph</t>
  </si>
  <si>
    <t>Katrina Atkinso</t>
  </si>
  <si>
    <t>Kaitlyn Bowden</t>
  </si>
  <si>
    <t>Julie Roots</t>
  </si>
  <si>
    <t>Judith Stark</t>
  </si>
  <si>
    <t>Joseph Murcia</t>
  </si>
  <si>
    <t>Jonas Blewett</t>
  </si>
  <si>
    <t>Kristy Deshon</t>
  </si>
  <si>
    <t>Mariah Swan</t>
  </si>
  <si>
    <t>Mel Greenway</t>
  </si>
  <si>
    <t>Tracey Lagerstr</t>
  </si>
  <si>
    <t>Simone White</t>
  </si>
  <si>
    <t>Sheryl Macalint</t>
  </si>
  <si>
    <t>Sharonah-Leah S</t>
  </si>
  <si>
    <t>Savannah Navin</t>
  </si>
  <si>
    <t>Sandra Spragg</t>
  </si>
  <si>
    <t>Samara Billiau</t>
  </si>
  <si>
    <t>Ross Morden</t>
  </si>
  <si>
    <t>Rosi Gaunavou</t>
  </si>
  <si>
    <t>Rosemary Yates</t>
  </si>
  <si>
    <t>Rajneet Chand</t>
  </si>
  <si>
    <t>Preet Kaur</t>
  </si>
  <si>
    <t>Piper Chamberla</t>
  </si>
  <si>
    <t>Paris Garton</t>
  </si>
  <si>
    <t>Mylyn Thomson</t>
  </si>
  <si>
    <t>Todd Bullivant</t>
  </si>
  <si>
    <t>Michael Chandle</t>
  </si>
  <si>
    <t>Mia Banks</t>
  </si>
  <si>
    <t>Jody English</t>
  </si>
  <si>
    <t>Sirjana Rai</t>
  </si>
  <si>
    <t>Joanne Bromley</t>
  </si>
  <si>
    <t>Jennifer Lumby</t>
  </si>
  <si>
    <t>Christine Felto</t>
  </si>
  <si>
    <t>Chinonso Ogu</t>
  </si>
  <si>
    <t>Charlize Lewis</t>
  </si>
  <si>
    <t>Catherine Bell</t>
  </si>
  <si>
    <t>Caitlyn Dreier</t>
  </si>
  <si>
    <t>Cait Philp</t>
  </si>
  <si>
    <t>Bweaymoosaw Mur</t>
  </si>
  <si>
    <t>Bronwyn Halsey</t>
  </si>
  <si>
    <t>Basil Vilayanik</t>
  </si>
  <si>
    <t>Ashleigh Linn</t>
  </si>
  <si>
    <t>Ashlee Gilpin</t>
  </si>
  <si>
    <t>Annette Lang</t>
  </si>
  <si>
    <t>Anju Jose</t>
  </si>
  <si>
    <t>Angela Gregg</t>
  </si>
  <si>
    <t>Amber Beutel</t>
  </si>
  <si>
    <t>Alyssa Curd</t>
  </si>
  <si>
    <t>Ally-mei Prestt</t>
  </si>
  <si>
    <t>Dale Armytage</t>
  </si>
  <si>
    <t>Jessica-Carmela</t>
  </si>
  <si>
    <t>David Reid</t>
  </si>
  <si>
    <t>Desiree Mamet</t>
  </si>
  <si>
    <t>Jayvee Jade Cos</t>
  </si>
  <si>
    <t>Jayakumar Vanda</t>
  </si>
  <si>
    <t>Janelle  Sander</t>
  </si>
  <si>
    <t>Jaidan Dennewal</t>
  </si>
  <si>
    <t>Zac Lesslie</t>
  </si>
  <si>
    <t>Jacob Barnes</t>
  </si>
  <si>
    <t>Imani Gereadi</t>
  </si>
  <si>
    <t>Isidra De Asis</t>
  </si>
  <si>
    <t>Grace Bostock</t>
  </si>
  <si>
    <t>Goma Bastiaanse</t>
  </si>
  <si>
    <t>George Smith Sm</t>
  </si>
  <si>
    <t>Gentille Nambon</t>
  </si>
  <si>
    <t>Donna Bestmann</t>
  </si>
  <si>
    <t>Diane Bewick</t>
  </si>
  <si>
    <t>Hermenegildo De</t>
  </si>
  <si>
    <t>Sofia Nabi</t>
  </si>
  <si>
    <t>Ian Perry</t>
  </si>
  <si>
    <t>Allocated Only</t>
  </si>
  <si>
    <t>Joana Marie Dri</t>
  </si>
  <si>
    <t>Juanita Kinsell</t>
  </si>
  <si>
    <t>Lisa Swagerman</t>
  </si>
  <si>
    <t>Ma Iris Angela</t>
  </si>
  <si>
    <t>Malawika Muthut</t>
  </si>
  <si>
    <t>Linda Sturges</t>
  </si>
  <si>
    <t>Yogi Yogi</t>
  </si>
  <si>
    <t>Astrid Elvera G</t>
  </si>
  <si>
    <t>Amandeep Kaur K</t>
  </si>
  <si>
    <t>Amanda Jones</t>
  </si>
  <si>
    <t>Alla Illarionov</t>
  </si>
  <si>
    <t>Princy Merlin M</t>
  </si>
  <si>
    <t>Rahna Jose</t>
  </si>
  <si>
    <t>Victoria Thomps</t>
  </si>
  <si>
    <t>Rustambir Singh</t>
  </si>
  <si>
    <t>Sreena Ranjith</t>
  </si>
  <si>
    <t>Sue Jones</t>
  </si>
  <si>
    <t>Ujjwal Sharma</t>
  </si>
  <si>
    <t>Cara Anne Balme</t>
  </si>
  <si>
    <t>Pia Vallejo</t>
  </si>
  <si>
    <t>Manpreet Kaur</t>
  </si>
  <si>
    <t>Available Only</t>
  </si>
  <si>
    <t>Mikayla Nicole Geshwend</t>
  </si>
  <si>
    <t>Mellania Ruvimbo Munyuki</t>
  </si>
  <si>
    <t>Mackenzie Niesler</t>
  </si>
  <si>
    <t>Kaela Anne Hyland</t>
  </si>
  <si>
    <t>Jacqueline Koelmeyer</t>
  </si>
  <si>
    <t>Jackie Jowa</t>
  </si>
  <si>
    <t>Deeanne Donna Tracey</t>
  </si>
  <si>
    <t>Yvonne Cheptoo Limo</t>
  </si>
  <si>
    <t>Aileen Heard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</si>
  <si>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</si>
  <si>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</si>
  <si>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</si>
  <si>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</si>
  <si>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</si>
  <si>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</si>
  <si>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</si>
  <si>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</si>
  <si>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</si>
  <si>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</si>
  <si>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</si>
  <si>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</si>
  <si>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</si>
  <si>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</si>
  <si>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</si>
  <si>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</si>
  <si>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</si>
  <si>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Availability</t>
  </si>
  <si>
    <t>20962</t>
  </si>
  <si>
    <t>BD</t>
  </si>
  <si>
    <t>Part-Time</t>
  </si>
  <si>
    <t>Found</t>
  </si>
  <si>
    <t>Contracted shifts</t>
  </si>
  <si>
    <t>25989</t>
  </si>
  <si>
    <t>Casual</t>
  </si>
  <si>
    <t>Casual fallback - Settings maximum</t>
  </si>
  <si>
    <t>23673</t>
  </si>
  <si>
    <t>22913</t>
  </si>
  <si>
    <t>22116</t>
  </si>
  <si>
    <t>25109</t>
  </si>
  <si>
    <t>Full-Time</t>
  </si>
  <si>
    <t>Settings maximum</t>
  </si>
  <si>
    <t>25003</t>
  </si>
  <si>
    <t>26243</t>
  </si>
  <si>
    <t>26384</t>
  </si>
  <si>
    <t>25376</t>
  </si>
  <si>
    <t>22035</t>
  </si>
  <si>
    <t>24562</t>
  </si>
  <si>
    <t>23964</t>
  </si>
  <si>
    <t>26319</t>
  </si>
  <si>
    <t>23522</t>
  </si>
  <si>
    <t>25239</t>
  </si>
  <si>
    <t>26014</t>
  </si>
  <si>
    <t>20950</t>
  </si>
  <si>
    <t>23520</t>
  </si>
  <si>
    <t>23204</t>
  </si>
  <si>
    <t>25161</t>
  </si>
  <si>
    <t>22263</t>
  </si>
  <si>
    <t>22769</t>
  </si>
  <si>
    <t>19440</t>
  </si>
  <si>
    <t>23282</t>
  </si>
  <si>
    <t>19822</t>
  </si>
  <si>
    <t>19835</t>
  </si>
  <si>
    <t>23266</t>
  </si>
  <si>
    <t>24627</t>
  </si>
  <si>
    <t>26401</t>
  </si>
  <si>
    <t>21589</t>
  </si>
  <si>
    <t>24830</t>
  </si>
  <si>
    <t>23973</t>
  </si>
  <si>
    <t>21327</t>
  </si>
  <si>
    <t>20784</t>
  </si>
  <si>
    <t>20863</t>
  </si>
  <si>
    <t>24059</t>
  </si>
  <si>
    <t>24060</t>
  </si>
  <si>
    <t>26340</t>
  </si>
  <si>
    <t>23898</t>
  </si>
  <si>
    <t>19458</t>
  </si>
  <si>
    <t>19136</t>
  </si>
  <si>
    <t>25988</t>
  </si>
  <si>
    <t>25209</t>
  </si>
  <si>
    <t>19843</t>
  </si>
  <si>
    <t>24217</t>
  </si>
  <si>
    <t>22914</t>
  </si>
  <si>
    <t>20862</t>
  </si>
  <si>
    <t>24900</t>
  </si>
  <si>
    <t>24479</t>
  </si>
  <si>
    <t>22301</t>
  </si>
  <si>
    <t>19442</t>
  </si>
  <si>
    <t>19255</t>
  </si>
  <si>
    <t>23484</t>
  </si>
  <si>
    <t>26372</t>
  </si>
  <si>
    <t>24241</t>
  </si>
  <si>
    <t>21439</t>
  </si>
  <si>
    <t>24635</t>
  </si>
  <si>
    <t>23245</t>
  </si>
  <si>
    <t>24105</t>
  </si>
  <si>
    <t>24136</t>
  </si>
  <si>
    <t>23091</t>
  </si>
  <si>
    <t>15957</t>
  </si>
  <si>
    <t>23249</t>
  </si>
  <si>
    <t>25167</t>
  </si>
  <si>
    <t>24049</t>
  </si>
  <si>
    <t>26072</t>
  </si>
  <si>
    <t>25859</t>
  </si>
  <si>
    <t>24880</t>
  </si>
  <si>
    <t>26407</t>
  </si>
  <si>
    <t>25302</t>
  </si>
  <si>
    <t>22350</t>
  </si>
  <si>
    <t>26320</t>
  </si>
  <si>
    <t>22612</t>
  </si>
  <si>
    <t>19242</t>
  </si>
  <si>
    <t>22772</t>
  </si>
  <si>
    <t>23975</t>
  </si>
  <si>
    <t>23242</t>
  </si>
  <si>
    <t>21381</t>
  </si>
  <si>
    <t>26448</t>
  </si>
  <si>
    <t>24819</t>
  </si>
  <si>
    <t>26358</t>
  </si>
  <si>
    <t>18462</t>
  </si>
  <si>
    <t>19161</t>
  </si>
  <si>
    <t>21916</t>
  </si>
  <si>
    <t>23179</t>
  </si>
  <si>
    <t>22690</t>
  </si>
  <si>
    <t>25930</t>
  </si>
  <si>
    <t>25911</t>
  </si>
  <si>
    <t>Allocation</t>
  </si>
  <si>
    <t>21100</t>
  </si>
  <si>
    <t>Allocation-only resource</t>
  </si>
  <si>
    <t>23679</t>
  </si>
  <si>
    <t>26539</t>
  </si>
  <si>
    <t>19802</t>
  </si>
  <si>
    <t>20321</t>
  </si>
  <si>
    <t>20088</t>
  </si>
  <si>
    <t>24353</t>
  </si>
  <si>
    <t>17989</t>
  </si>
  <si>
    <t>19381</t>
  </si>
  <si>
    <t>24531</t>
  </si>
  <si>
    <t>23839</t>
  </si>
  <si>
    <t>25182</t>
  </si>
  <si>
    <t>24504</t>
  </si>
  <si>
    <t>24336</t>
  </si>
  <si>
    <t>25175</t>
  </si>
  <si>
    <t>24192</t>
  </si>
  <si>
    <t>24780</t>
  </si>
  <si>
    <t>24984</t>
  </si>
  <si>
    <t>24983</t>
  </si>
  <si>
    <t>22121</t>
  </si>
  <si>
    <t>21895</t>
  </si>
  <si>
    <t>23461</t>
  </si>
  <si>
    <t>19423</t>
  </si>
  <si>
    <t>23174</t>
  </si>
  <si>
    <t>24208</t>
  </si>
  <si>
    <t>20696</t>
  </si>
  <si>
    <t>Damien Stewart</t>
  </si>
  <si>
    <t>Mana Tuikilakil</t>
  </si>
  <si>
    <t>Mandy Manpreet</t>
  </si>
  <si>
    <t>Mani Kaur</t>
  </si>
  <si>
    <t>Robert Steven R</t>
  </si>
  <si>
    <t>EN</t>
  </si>
  <si>
    <t>JH-RY</t>
  </si>
  <si>
    <t>TE</t>
  </si>
  <si>
    <t>20/07/2026AM</t>
  </si>
  <si>
    <t>20/07/2026NIGHT</t>
  </si>
  <si>
    <t>20/07/2026PM</t>
  </si>
  <si>
    <t>21/07/2026AM</t>
  </si>
  <si>
    <t>21/07/2026NIGHT</t>
  </si>
  <si>
    <t>21/07/2026PM</t>
  </si>
  <si>
    <t>22/07/2026AM</t>
  </si>
  <si>
    <t>22/07/2026NIGHT</t>
  </si>
  <si>
    <t>22/07/2026PM</t>
  </si>
  <si>
    <t>23/07/2026AM</t>
  </si>
  <si>
    <t>23/07/2026NIGHT</t>
  </si>
  <si>
    <t>23/07/2026PM</t>
  </si>
  <si>
    <t>25/07/2026AM</t>
  </si>
  <si>
    <t>25/07/2026NIGHT</t>
  </si>
  <si>
    <t>25/07/2026PM</t>
  </si>
  <si>
    <t>26/07/2026AM</t>
  </si>
  <si>
    <t>26/07/2026NIGHT</t>
  </si>
  <si>
    <t>26/07/2026PM</t>
  </si>
  <si>
    <t>27/07/2026AM</t>
  </si>
  <si>
    <t>27/07/2026NIGHT</t>
  </si>
  <si>
    <t>27/07/2026PM</t>
  </si>
  <si>
    <t>28/07/2026AM</t>
  </si>
  <si>
    <t>28/07/2026NIGHT</t>
  </si>
  <si>
    <t>28/07/2026PM</t>
  </si>
  <si>
    <t>29/07/2026AM</t>
  </si>
  <si>
    <t>29/07/2026NIGHT</t>
  </si>
  <si>
    <t>29/07/2026PM</t>
  </si>
  <si>
    <t>30/07/2026AM</t>
  </si>
  <si>
    <t>30/07/2026NIGHT</t>
  </si>
  <si>
    <t>30/07/2026PM</t>
  </si>
  <si>
    <t>31/07/2026AM</t>
  </si>
  <si>
    <t>31/07/2026NIGHT</t>
  </si>
  <si>
    <t>31/07/2026PM</t>
  </si>
  <si>
    <t>1/08/2026AM</t>
  </si>
  <si>
    <t>1/08/2026NIGHT</t>
  </si>
  <si>
    <t>1/08/2026PM</t>
  </si>
  <si>
    <t>2/08/2026AM</t>
  </si>
  <si>
    <t>2/08/2026NIGHT</t>
  </si>
  <si>
    <t>2/08/2026PM</t>
  </si>
  <si>
    <t>3/08/2026AM</t>
  </si>
  <si>
    <t>3/08/2026NIGHT</t>
  </si>
  <si>
    <t>3/08/2026PM</t>
  </si>
  <si>
    <t>4/08/2026AM</t>
  </si>
  <si>
    <t>4/08/2026NIGHT</t>
  </si>
  <si>
    <t>4/08/2026PM</t>
  </si>
  <si>
    <t>5/08/2026AM</t>
  </si>
  <si>
    <t>5/08/2026NIGHT</t>
  </si>
  <si>
    <t>5/08/2026PM</t>
  </si>
  <si>
    <t>6/08/2026AM</t>
  </si>
  <si>
    <t>6/08/2026NIGHT</t>
  </si>
  <si>
    <t>6/08/2026PM</t>
  </si>
  <si>
    <t>7/08/2026AM</t>
  </si>
  <si>
    <t>7/08/2026NIGHT</t>
  </si>
  <si>
    <t>7/08/2026PM</t>
  </si>
  <si>
    <t>8/08/2026AM</t>
  </si>
  <si>
    <t>8/08/2026NIGHT</t>
  </si>
  <si>
    <t>8/08/2026PM</t>
  </si>
  <si>
    <t>9/08/2026AM</t>
  </si>
  <si>
    <t>9/08/2026NIGHT</t>
  </si>
  <si>
    <t>9/08/2026PM</t>
  </si>
  <si>
    <t>10/08/2026AM</t>
  </si>
  <si>
    <t>10/08/2026NIGHT</t>
  </si>
  <si>
    <t>10/08/2026PM</t>
  </si>
  <si>
    <t>11/08/2026AM</t>
  </si>
  <si>
    <t>11/08/2026NIGHT</t>
  </si>
  <si>
    <t>11/08/2026PM</t>
  </si>
  <si>
    <t>12/08/2026AM</t>
  </si>
  <si>
    <t>12/08/2026NIGHT</t>
  </si>
  <si>
    <t>12/08/2026PM</t>
  </si>
  <si>
    <t>13/08/2026AM</t>
  </si>
  <si>
    <t>13/08/2026NIGHT</t>
  </si>
  <si>
    <t>13/08/2026PM</t>
  </si>
  <si>
    <t>14/08/2026AM</t>
  </si>
  <si>
    <t>14/08/2026NIGHT</t>
  </si>
  <si>
    <t>14/08/2026PM</t>
  </si>
  <si>
    <t>15/08/2026AM</t>
  </si>
  <si>
    <t>15/08/2026NIGHT</t>
  </si>
  <si>
    <t>15/08/2026PM</t>
  </si>
  <si>
    <t>16/08/2026AM</t>
  </si>
  <si>
    <t>16/08/2026NIGHT</t>
  </si>
  <si>
    <t>16/08/2026PM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</si>
</sst>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1" fillId="2" borderId="0" xfId="1" applyFill="1" applyAlignment="1">
      <alignment horizontal="left" vertical="top"/>
    </xf>
    <xf numFmtId="164" fontId="0" fillId="3" borderId="1" xfId="0" applyNumberFormat="1" applyFill="1" applyBorder="1"/>
    <xf numFmtId="164" fontId="0" fillId="3" borderId="3" xfId="0" applyNumberFormat="1" applyFill="1" applyBorder="1"/>
    <xf numFmtId="164" fontId="0" fillId="0" borderId="0" xfId="0" applyNumberFormat="1"/>
    <xf numFmtId="0" fontId="7" fillId="0" borderId="4" xfId="0" applyFont="1" applyBorder="1"/>
    <xf numFmtId="0" fontId="0" fillId="0" borderId="0" xfId="0" applyNumberFormat="1"/>
  </cellXfs>
  <cellStyles count="2">
    <cellStyle name="Normal" xfId="0" builtinId="0"/>
    <cellStyle name="Normal 2" xfId="1" xr:uid="{83C5B7E5-09E6-4BFC-9C44-EB85DD0E2394}"/>
  </cellStyles>
  <dxfs count="24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theme="9" tint="0.39997558519241921"/>
        </bottom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ntri001.sharepoint.com/sites/2.0Accounts/Shared%20Documents/IndoChinese%20Aged%20Care/4.%20Analysis/221223/2.%20Calculations/P6%20AEM-Inefficiency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NSITY"/>
      <sheetName val="Months Days"/>
      <sheetName val="Input"/>
      <sheetName val="Factors"/>
      <sheetName val="Role Consol"/>
      <sheetName val="Names"/>
      <sheetName val="Transpose"/>
      <sheetName val="Demand"/>
      <sheetName val="NamesXPeriod"/>
      <sheetName val="NamesByDate+Leave"/>
      <sheetName val="Capacity"/>
      <sheetName val="Allocation"/>
      <sheetName val="Effort+Outcomes"/>
      <sheetName val="Pivot Check"/>
      <sheetName val="1Pool-AB-Op"/>
      <sheetName val="1Pool-EF-Op"/>
      <sheetName val="1Pool-IN-Op"/>
      <sheetName val="2Pond-Unit-AB"/>
      <sheetName val="2Pond-Unit-EF"/>
      <sheetName val="2Pond-Unit-IN"/>
      <sheetName val="2Pond-Role-AB"/>
      <sheetName val="2Pond-Role-EF"/>
      <sheetName val="2Pond-Role-IN"/>
      <sheetName val="3LakeAB"/>
      <sheetName val="3LakeEF"/>
      <sheetName val="3LakeIN"/>
      <sheetName val="SDTX PoolREG.ROLE"/>
      <sheetName val="SD PondROLE+IMP"/>
      <sheetName val="SD PondROLEBase"/>
      <sheetName val="SD PondROLES1"/>
      <sheetName val="IMP PondROLE"/>
      <sheetName val="WGT PondROLESBaseLake"/>
      <sheetName val="WGT PondROLES1Lake"/>
      <sheetName val="SD LakeBase"/>
      <sheetName val="SD LakeS1"/>
      <sheetName val="IMP Lake"/>
      <sheetName val="INTERVENTIONS"/>
      <sheetName val="Value"/>
      <sheetName val="$PoolMPACT"/>
      <sheetName val="$PoolIMPACTTranspose"/>
      <sheetName val="Sheet1"/>
      <sheetName val="Check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1.25</v>
          </cell>
        </row>
        <row r="6">
          <cell r="B6">
            <v>1.25</v>
          </cell>
        </row>
        <row r="7">
          <cell r="B7">
            <v>1.5</v>
          </cell>
        </row>
        <row r="8">
          <cell r="B8">
            <v>1.5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9">
          <cell r="B19">
            <v>2.5</v>
          </cell>
        </row>
        <row r="21">
          <cell r="B21">
            <v>12500</v>
          </cell>
        </row>
        <row r="22">
          <cell r="B22">
            <v>18750</v>
          </cell>
        </row>
        <row r="23">
          <cell r="B23">
            <v>31250</v>
          </cell>
          <cell r="E23">
            <v>3000000</v>
          </cell>
        </row>
        <row r="35">
          <cell r="B35">
            <v>0.02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  <sheetName val="FILEPATH"/>
      <sheetName val="ShiftHours"/>
      <sheetName val="Metadata"/>
      <sheetName val="Query3"/>
      <sheetName val="AllocationExtracted"/>
    </sheetNames>
    <sheetDataSet>
      <sheetData sheetId="0">
        <row r="20">
          <cell r="B20" t="str">
            <v>C:\Users\Alex\Centri\4. Production - Documents\WFEffectiveness\4.1.1 AGED CARE\01 Christadelphian Aged Care\240715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1C1C57-2D34-49E7-B8FC-A89BBCDAF77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9300F8-297B-4BCB-B6B3-844C385F2B6C}" autoFormatId="16" applyNumberFormats="0" applyBorderFormats="0" applyFontFormats="0" applyPatternFormats="0" applyAlignmentFormats="0" applyWidthHeightFormats="0">
  <queryTableRefresh nextId="2">
    <queryTableFields count="1">
      <queryTableField id="1" name="DateAlignmen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79F65F95-4913-4B18-9F87-275109E39C80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C41DA12-2D3C-4762-AEA0-12C7AE97135F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5BC247A-79FC-4DB0-82F9-112F895E3E20}" autoFormatId="16" applyNumberFormats="0" applyBorderFormats="0" applyFontFormats="0" applyPatternFormats="0" applyAlignmentFormats="0" applyWidthHeightFormats="0">
  <queryTableRefresh nextId="113">
    <queryTableFields count="84">
      <queryTableField id="96" name="Version" tableColumnId="83"/>
      <queryTableField id="91" name="Facility" tableColumnId="78"/>
      <queryTableField id="1" name="Level" tableColumnId="1"/>
      <queryTableField id="2" name="Date" tableColumnId="2"/>
      <queryTableField id="3" name="Role" tableColumnId="3"/>
      <queryTableField id="4" name="Role ID" tableColumnId="4"/>
      <queryTableField id="5" name="Role Abvrev" tableColumnId="5"/>
      <queryTableField id="6" name="Shift" tableColumnId="6"/>
      <queryTableField id="86" name="CapacityMaxHC" tableColumnId="79"/>
      <queryTableField id="7" name="D" tableColumnId="7"/>
      <queryTableField id="107" name="DateX" tableColumnId="85"/>
      <queryTableField id="89" name="DATESHIFT" tableColumnId="82"/>
      <queryTableField id="8" name="Cs" tableColumnId="8"/>
      <queryTableField id="9" name="CX" tableColumnId="9"/>
      <queryTableField id="10" name="A" tableColumnId="10"/>
      <queryTableField id="11" name="Ability PoN AG" tableColumnId="11"/>
      <queryTableField id="12" name="Ability PoX AG" tableColumnId="12"/>
      <queryTableField id="13" name="Ability Pl AG" tableColumnId="13"/>
      <queryTableField id="14" name="AB EXCESS OVER-ALLOCATION" tableColumnId="14"/>
      <queryTableField id="15" name="AB SPARE STRETCH" tableColumnId="15"/>
      <queryTableField id="16" name="AB SPARE SLACK" tableColumnId="16"/>
      <queryTableField id="17" name="AB SPARE STRETCH ALLOCATED" tableColumnId="17"/>
      <queryTableField id="18" name="AB SPARE SLACK ALLOCATED" tableColumnId="18"/>
      <queryTableField id="19" name="AB EXCESS STRETCH (ALLOCATED)" tableColumnId="19"/>
      <queryTableField id="20" name="AB EXCESS ALLOCATED SLACK" tableColumnId="20"/>
      <queryTableField id="21" name="AB EXCESS STRETCH" tableColumnId="21"/>
      <queryTableField id="22" name="AB EXCESS SLACK" tableColumnId="22"/>
      <queryTableField id="23" name="AB POTENTIAL SHORTFALL (OVER-ALLOCATED)" tableColumnId="23"/>
      <queryTableField id="24" name="AB POTENTIAL SHORTFALL" tableColumnId="24"/>
      <queryTableField id="25" name="AB WASTED STRETCH" tableColumnId="25"/>
      <queryTableField id="26" name="AB WASTED SLACK" tableColumnId="26"/>
      <queryTableField id="27" name="AB ALLOCATED STRETCH" tableColumnId="27"/>
      <queryTableField id="28" name="AB ALLOCATED SLACK" tableColumnId="28"/>
      <queryTableField id="29" name="AB UNALLOCATED SLACK" tableColumnId="29"/>
      <queryTableField id="30" name="AB LATENT" tableColumnId="30"/>
      <queryTableField id="31" name="AB LATENT.ALLOCATED" tableColumnId="31"/>
      <queryTableField id="32" name="AB  LATENT.OVERALLOCATED" tableColumnId="32"/>
      <queryTableField id="33" name="AB Potential" tableColumnId="33"/>
      <queryTableField id="34" name="Efficiency PoN  AG" tableColumnId="34"/>
      <queryTableField id="35" name="Efficiency PoX  AG" tableColumnId="35"/>
      <queryTableField id="36" name="Efficiency Pl AG" tableColumnId="36"/>
      <queryTableField id="37" name="EF EXCESS OVER-ALLOCATION" tableColumnId="37"/>
      <queryTableField id="38" name="EF SPARE STRETCH" tableColumnId="38"/>
      <queryTableField id="39" name="EF SPARE SLACK" tableColumnId="39"/>
      <queryTableField id="40" name="EF SPARE STRETCH ALLOCATED" tableColumnId="40"/>
      <queryTableField id="41" name="EF SPARE SLACK ALLOCATED" tableColumnId="41"/>
      <queryTableField id="42" name="EF EXCESS STRETCH (ALLOCATED)" tableColumnId="42"/>
      <queryTableField id="43" name="EF EXCESS ALLOCATED SLACK" tableColumnId="43"/>
      <queryTableField id="44" name="EF EXCESS STRETCH" tableColumnId="44"/>
      <queryTableField id="45" name="EF EXCESS SLACK" tableColumnId="45"/>
      <queryTableField id="46" name="EF POTENTIAL SHORTFALL (OVER-ALLOCATED)" tableColumnId="46"/>
      <queryTableField id="47" name="EF POTENTIAL SHORTFALL" tableColumnId="47"/>
      <queryTableField id="48" name="EF WASTED STRETCH" tableColumnId="48"/>
      <queryTableField id="49" name="EF WASTED SLACK" tableColumnId="49"/>
      <queryTableField id="50" name="EF ALLOCATED STRETCH" tableColumnId="50"/>
      <queryTableField id="51" name="EF ALLOCATED SLACK" tableColumnId="51"/>
      <queryTableField id="52" name="EF UNALLOCATED SLACK" tableColumnId="52"/>
      <queryTableField id="53" name="EF LATENT" tableColumnId="53"/>
      <queryTableField id="54" name="EF LATENT.ALLOCATED" tableColumnId="54"/>
      <queryTableField id="55" name="EF LATENT.OVERALLOCATED" tableColumnId="55"/>
      <queryTableField id="56" name="EF Potential" tableColumnId="56"/>
      <queryTableField id="57" name="Workload PoN  AG" tableColumnId="57"/>
      <queryTableField id="58" name="Workload PoX AG" tableColumnId="58"/>
      <queryTableField id="59" name="Workload Pl AG" tableColumnId="59"/>
      <queryTableField id="60" name="WL EXCESS OVER-ALLOCATION" tableColumnId="60"/>
      <queryTableField id="61" name="WL SPARE STRETCH" tableColumnId="61"/>
      <queryTableField id="62" name="WL SPARE SLACK" tableColumnId="62"/>
      <queryTableField id="63" name="WL SPARE STRETCH ALLOCATED" tableColumnId="63"/>
      <queryTableField id="64" name="WL SPARE SLACK ALLOCATED" tableColumnId="64"/>
      <queryTableField id="65" name="WL EXCESS STRETCH (ALLOCATED)" tableColumnId="65"/>
      <queryTableField id="66" name="WL EXCESS ALLOCATED SLACK" tableColumnId="66"/>
      <queryTableField id="67" name="WL EXCESS STRETCH" tableColumnId="67"/>
      <queryTableField id="68" name="WL EXCESS SLACK" tableColumnId="68"/>
      <queryTableField id="69" name="WL POTENTIAL SHORTFALL (OVER-ALLOCATED)" tableColumnId="69"/>
      <queryTableField id="70" name="WL POTENTIAL SHORTFALL" tableColumnId="70"/>
      <queryTableField id="71" name="WL WASTED STRETCH" tableColumnId="71"/>
      <queryTableField id="72" name="WL WASTED SLACK" tableColumnId="72"/>
      <queryTableField id="73" name="WL ALLOCATED STRETCH" tableColumnId="73"/>
      <queryTableField id="74" name="WL ALLOCATED SLACK" tableColumnId="74"/>
      <queryTableField id="75" name="WL UNALLOCATED SLACK" tableColumnId="75"/>
      <queryTableField id="76" name="WL  LATENT" tableColumnId="76"/>
      <queryTableField id="77" name="WL LATENT.ALLOCATED" tableColumnId="77"/>
      <queryTableField id="80" name="WL LATENT.OVERALLOCATED" tableColumnId="80"/>
      <queryTableField id="81" name="WL Potential" tableColumnId="8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3C29C30-634A-4548-88F6-4438B4AD8EAF}" autoFormatId="16" applyNumberFormats="0" applyBorderFormats="0" applyFontFormats="0" applyPatternFormats="0" applyAlignmentFormats="0" applyWidthHeightFormats="0">
  <queryTableRefresh nextId="89">
    <queryTableFields count="82">
      <queryTableField id="1" name="Version" tableColumnId="1"/>
      <queryTableField id="2" name="Facility" tableColumnId="2"/>
      <queryTableField id="3" name="Level" tableColumnId="3"/>
      <queryTableField id="4" name="Date" tableColumnId="4"/>
      <queryTableField id="5" name="Role" tableColumnId="5"/>
      <queryTableField id="6" name="Shift" tableColumnId="6"/>
      <queryTableField id="7" name="D" tableColumnId="7"/>
      <queryTableField id="8" name="Cs" tableColumnId="8"/>
      <queryTableField id="9" name="CapacityMaxHC" tableColumnId="9"/>
      <queryTableField id="10" name="CX" tableColumnId="10"/>
      <queryTableField id="87" name="DateX" tableColumnId="83"/>
      <queryTableField id="12" name="DATESHIFT" tableColumnId="12"/>
      <queryTableField id="13" name="A" tableColumnId="13"/>
      <queryTableField id="14" name="Apn" tableColumnId="14"/>
      <queryTableField id="15" name="Apx" tableColumnId="15"/>
      <queryTableField id="16" name="Ai" tableColumnId="16"/>
      <queryTableField id="17" name="AB EXCESS OVER-ALLOCATION" tableColumnId="17"/>
      <queryTableField id="18" name="AB SPARE STRETCH" tableColumnId="18"/>
      <queryTableField id="19" name="AB SPARE SLACK" tableColumnId="19"/>
      <queryTableField id="20" name="AB SPARE STRETCH ALLOCATED" tableColumnId="20"/>
      <queryTableField id="21" name="AB SPARE SLACK ALLOCATED" tableColumnId="21"/>
      <queryTableField id="22" name="AB EXCESS STRETCH (ALLOCATED)" tableColumnId="22"/>
      <queryTableField id="23" name="AB EXCESS ALLOCATED SLACK" tableColumnId="23"/>
      <queryTableField id="24" name="AB EXCESS STRETCH" tableColumnId="24"/>
      <queryTableField id="25" name="AB EXCESS SLACK" tableColumnId="25"/>
      <queryTableField id="26" name="AB POTENTIAL SHORTFALL (OVER-ALLOCATED)" tableColumnId="26"/>
      <queryTableField id="27" name="AB POTENTIAL SHORTFALL" tableColumnId="27"/>
      <queryTableField id="28" name="AB WASTED STRETCH" tableColumnId="28"/>
      <queryTableField id="29" name="AB WASTED SLACK" tableColumnId="29"/>
      <queryTableField id="30" name="AB ALLOCATED STRETCH" tableColumnId="30"/>
      <queryTableField id="31" name="AB ALLOCATED SLACK" tableColumnId="31"/>
      <queryTableField id="32" name="AB UNALLOCATED SLACK" tableColumnId="32"/>
      <queryTableField id="33" name="AB LATENT" tableColumnId="33"/>
      <queryTableField id="34" name="AB LATENT.ALLOCATED" tableColumnId="34"/>
      <queryTableField id="35" name="AB  LATENT.OVERALLOCATED" tableColumnId="35"/>
      <queryTableField id="36" name="AB Potential" tableColumnId="36"/>
      <queryTableField id="37" name="Epn" tableColumnId="37"/>
      <queryTableField id="38" name="EpX" tableColumnId="38"/>
      <queryTableField id="39" name="Ein" tableColumnId="39"/>
      <queryTableField id="40" name="EF EXCESS OVER-ALLOCATION" tableColumnId="40"/>
      <queryTableField id="41" name="EF SPARE STRETCH" tableColumnId="41"/>
      <queryTableField id="42" name="EF SPARE SLACK" tableColumnId="42"/>
      <queryTableField id="43" name="EF SPARE STRETCH ALLOCATED" tableColumnId="43"/>
      <queryTableField id="44" name="EF SPARE SLACK ALLOCATED" tableColumnId="44"/>
      <queryTableField id="45" name="EF EXCESS STRETCH (ALLOCATED)" tableColumnId="45"/>
      <queryTableField id="46" name="EF EXCESS ALLOCATED SLACK" tableColumnId="46"/>
      <queryTableField id="47" name="EF EXCESS STRETCH" tableColumnId="47"/>
      <queryTableField id="48" name="EF EXCESS SLACK" tableColumnId="48"/>
      <queryTableField id="49" name="EF POTENTIAL SHORTFALL (OVER-ALLOCATED)" tableColumnId="49"/>
      <queryTableField id="50" name="EF POTENTIAL SHORTFALL" tableColumnId="50"/>
      <queryTableField id="51" name="EF WASTED STRETCH" tableColumnId="51"/>
      <queryTableField id="52" name="EF WASTED SLACK" tableColumnId="52"/>
      <queryTableField id="53" name="EF ALLOCATED STRETCH" tableColumnId="53"/>
      <queryTableField id="54" name="EF ALLOCATED SLACK" tableColumnId="54"/>
      <queryTableField id="55" name="EF UNALLOCATED SLACK" tableColumnId="55"/>
      <queryTableField id="56" name="EF LATENT" tableColumnId="56"/>
      <queryTableField id="57" name="EF LATENT.ALLOCATED" tableColumnId="57"/>
      <queryTableField id="58" name="EF LATENT.OVERALLOCATED" tableColumnId="58"/>
      <queryTableField id="59" name="EF Potential" tableColumnId="59"/>
      <queryTableField id="60" name="Ipn" tableColumnId="60"/>
      <queryTableField id="61" name="Ipx" tableColumnId="61"/>
      <queryTableField id="62" name="Iin" tableColumnId="62"/>
      <queryTableField id="63" name="IN EXCESS OVER-ALLOCATION" tableColumnId="63"/>
      <queryTableField id="64" name="IN SPARE STRETCH" tableColumnId="64"/>
      <queryTableField id="65" name="IN SPARE SLACK" tableColumnId="65"/>
      <queryTableField id="66" name="IN SPARE STRETCH ALLOCATED" tableColumnId="66"/>
      <queryTableField id="67" name="IN SPARE SLACK ALLOCATED" tableColumnId="67"/>
      <queryTableField id="68" name="IN EXCESS STRETCH (ALLOCATED)" tableColumnId="68"/>
      <queryTableField id="69" name="IN EXCESS ALLOCATED SLACK" tableColumnId="69"/>
      <queryTableField id="70" name="IN EXCESS STRETCH" tableColumnId="70"/>
      <queryTableField id="71" name="IN EXCESS SLACK" tableColumnId="71"/>
      <queryTableField id="72" name="IN POTENTIAL SHORTFALL (OVER-ALLOCATED)" tableColumnId="72"/>
      <queryTableField id="73" name="IN POTENTIAL SHORTFALL" tableColumnId="73"/>
      <queryTableField id="74" name="IN WASTED STRETCH" tableColumnId="74"/>
      <queryTableField id="75" name="IN WASTED SLACK" tableColumnId="75"/>
      <queryTableField id="76" name="IN ALLOCATED STRETCH" tableColumnId="76"/>
      <queryTableField id="77" name="IN ALLOCATED SLACK" tableColumnId="77"/>
      <queryTableField id="78" name="IN UNALLOCATED SLACK" tableColumnId="78"/>
      <queryTableField id="79" name="IN LATENT" tableColumnId="79"/>
      <queryTableField id="80" name="IN LATENT.ALLOCATED" tableColumnId="80"/>
      <queryTableField id="81" name="IN LATENT.OVERALLOCATED" tableColumnId="81"/>
      <queryTableField id="82" name="IN Potential" tableColumnId="8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063F1B-E502-4F4D-9715-51BD4B0CAC45}" name="FilePathUrl" displayName="FilePathUrl" ref="A1:A2" totalsRowShown="0">
  <autoFilter ref="A1:A2" xr:uid="{A5063F1B-E502-4F4D-9715-51BD4B0CAC45}"/>
  <tableColumns count="1">
    <tableColumn id="1" xr3:uid="{0FF65D8D-224D-4F51-AC60-FCDF015CA161}" name="FilePath">
      <calculatedColumnFormula>CELL("filename",A1)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8CEAB3-E46E-4354-8D00-8393ED9E592D}" name="DateLevelPathRecord" displayName="DateLevelPathRecord" ref="A3:B12" tableType="queryTable" totalsRowShown="0" headerRowDxfId="23" dataDxfId="22" headerRowCellStyle="Normal 2" dataCellStyle="Normal 2">
  <autoFilter ref="A3:B12" xr:uid="{138CEAB3-E46E-4354-8D00-8393ED9E592D}"/>
  <tableColumns count="2">
    <tableColumn id="1" xr3:uid="{A5E69D19-4AF4-451D-8058-7338C091EF25}" uniqueName="1" name="Name" queryTableFieldId="1" dataDxfId="11" dataCellStyle="Normal 2"/>
    <tableColumn id="2" xr3:uid="{23049015-6355-4C57-B785-18CED17ACE86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87FDCB-9122-462D-BCEE-ACAF4D8AC1CA}" name="Folder" displayName="Folder" ref="B25:B26" totalsRowShown="0" dataDxfId="21">
  <autoFilter ref="B25:B26" xr:uid="{336E7093-3530-42C5-AF8A-E29B36BB2C09}"/>
  <tableColumns count="1">
    <tableColumn id="1" xr3:uid="{75F30B5E-891B-42C3-9DC3-539A214C413A}" name="Folder" dataDxfId="20">
      <calculatedColumnFormula>$B$18&amp;"\"&amp;B21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E1E0D-191E-4395-B952-3E4B78792422}" name="Table1" displayName="Table1" ref="B39:B42" totalsRowShown="0" headerRowDxfId="19" tableBorderDxfId="18" headerRowCellStyle="Normal 2">
  <autoFilter ref="B39:B42" xr:uid="{A44E1E0D-191E-4395-B952-3E4B78792422}"/>
  <tableColumns count="1">
    <tableColumn id="1" xr3:uid="{082B569F-D13D-469E-8CDA-4EA267864220}" name="DateAlign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952E80-328A-40C8-AA3F-1D0E1237DE32}" name="DateAlignment" displayName="DateAlignment" ref="A1:A2" tableType="queryTable" totalsRowShown="0">
  <autoFilter ref="A1:A2" xr:uid="{D0952E80-328A-40C8-AA3F-1D0E1237DE32}"/>
  <tableColumns count="1">
    <tableColumn id="1" xr3:uid="{8846D437-78CF-46B8-A134-2E5E96C35701}" uniqueName="1" name="DateAlignment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1209AD-8983-4F37-B72D-F80DFBF4ED37}" name="Masterlist" displayName="Masterlist" ref="A1:U116" tableType="queryTable" totalsRowShown="0">
  <autoFilter ref="A1:U116" xr:uid="{3B1209AD-8983-4F37-B72D-F80DFBF4ED37}"/>
  <tableColumns count="21">
    <tableColumn id="2" xr3:uid="{21D4F8F3-CE94-48B6-842A-24E270300EC8}" uniqueName="2" name="Name" queryTableFieldId="2" dataDxfId="17"/>
    <tableColumn id="1" xr3:uid="{9BB29320-EF28-4C01-81DC-B5F2EDA4FFC1}" uniqueName="1" name="Role" queryTableFieldId="1" dataDxfId="16"/>
    <tableColumn id="3" xr3:uid="{375B606E-30CA-4E19-A7EC-F99D866E9E95}" uniqueName="3" name="Resource" queryTableFieldId="3"/>
    <tableColumn id="4" xr3:uid="{F2FB0EAE-1E03-4135-83FC-48DC8AA9E00D}" uniqueName="4" name="Misalignment" queryTableFieldId="4" dataDxfId="15"/>
    <tableColumn id="5" xr3:uid="{0EF5133C-DCA9-420B-A1EB-8DCBF4D49B60}" uniqueName="5" name="Source" queryTableFieldId="5"/>
    <tableColumn id="6" xr3:uid="{F31C8B2F-8882-47E2-8A2F-0F7228E19B2D}" uniqueName="6" name="EmployeeID" queryTableFieldId="6"/>
    <tableColumn id="7" xr3:uid="{B77EC2A2-7F1E-4135-B4FE-78F98441DA46}" uniqueName="7" name="Facility-Abbrev" queryTableFieldId="7"/>
    <tableColumn id="8" xr3:uid="{997777EA-32E9-44AC-9AA4-D44801576B93}" uniqueName="8" name="EmploymentType" queryTableFieldId="8"/>
    <tableColumn id="9" xr3:uid="{BED53493-FF69-4AB5-B80C-C5D92E30B13F}" uniqueName="9" name="PreferredRole" queryTableFieldId="9"/>
    <tableColumn id="10" xr3:uid="{E9A6FF08-9C27-498F-A76F-7453F2C4B9DE}" uniqueName="10" name="Worker Record Status" queryTableFieldId="10"/>
    <tableColumn id="11" xr3:uid="{1D40E3BA-D63A-4556-92A9-4D0C39F793BE}" uniqueName="11" name="Worker Contract Issue" queryTableFieldId="11"/>
    <tableColumn id="12" xr3:uid="{95B40C7F-D2F7-448B-AEE4-5E52F9D645A8}" uniqueName="12" name="Contracted FN Hours" queryTableFieldId="12"/>
    <tableColumn id="13" xr3:uid="{C6A99C07-B36F-4885-85A8-522E25E2B5BD}" uniqueName="13" name="Roster Start" queryTableFieldId="13"/>
    <tableColumn id="14" xr3:uid="{0B83CCB0-D8F7-42F4-8599-09E8574CEADA}" uniqueName="14" name="Roster End" queryTableFieldId="14"/>
    <tableColumn id="15" xr3:uid="{26291827-8A8E-424A-8F60-E790CF1A661F}" uniqueName="15" name="Roster Fortnights" queryTableFieldId="15"/>
    <tableColumn id="16" xr3:uid="{4A7358AA-B928-45FF-AA85-015EF76E1F1D}" uniqueName="16" name="Contracted Roster Hours" queryTableFieldId="16"/>
    <tableColumn id="17" xr3:uid="{FF2B079F-D418-4DD9-8F46-978EF0942BD0}" uniqueName="17" name="Contracted Shift Equivalent" queryTableFieldId="17"/>
    <tableColumn id="18" xr3:uid="{197EB7EB-5EA2-4B12-ABCA-33179DCF5472}" uniqueName="18" name="Contracted Shifts" queryTableFieldId="18"/>
    <tableColumn id="19" xr3:uid="{F23E6E90-441F-4A66-85A3-61D1AE36D9FC}" uniqueName="19" name="Settings Max Availability" queryTableFieldId="19"/>
    <tableColumn id="20" xr3:uid="{C66FF3FA-6278-4EC4-BF4C-0C9832063C34}" uniqueName="20" name="Effective Shift Cap" queryTableFieldId="20"/>
    <tableColumn id="21" xr3:uid="{62FFCEF1-7D6F-46CC-91E0-997CC8A7FECF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577824-87D5-479F-B1FB-4A6C0777B684}" name="IMPORT_Table_Masterlist" displayName="IMPORT_Table_Masterlist" ref="A1:U116" tableType="queryTable" totalsRowShown="0">
  <autoFilter ref="A1:U116" xr:uid="{63577824-87D5-479F-B1FB-4A6C0777B684}"/>
  <tableColumns count="21">
    <tableColumn id="2" xr3:uid="{F79DCDFD-D2D1-4BD2-BA64-AA3F43036487}" uniqueName="2" name="Name" queryTableFieldId="2" dataDxfId="14"/>
    <tableColumn id="1" xr3:uid="{A0C70810-E456-4CC8-8F2E-69D2A799B3C8}" uniqueName="1" name="Role" queryTableFieldId="1" dataDxfId="13"/>
    <tableColumn id="3" xr3:uid="{C44C26E2-0D69-43DE-9383-A8F0C6006C05}" uniqueName="3" name="Resource" queryTableFieldId="3"/>
    <tableColumn id="4" xr3:uid="{E70EF5F0-D976-469E-9810-3FB1B84718B8}" uniqueName="4" name="Misalignment" queryTableFieldId="4" dataDxfId="12"/>
    <tableColumn id="5" xr3:uid="{C783E163-C98B-454D-A731-0811DC2C739B}" uniqueName="5" name="Source" queryTableFieldId="5"/>
    <tableColumn id="6" xr3:uid="{54001F6D-AD07-4CF2-9462-C95EDB178AE2}" uniqueName="6" name="EmployeeID" queryTableFieldId="6"/>
    <tableColumn id="7" xr3:uid="{1B8B5C2E-1B9B-49BD-8A9B-E60EE6884891}" uniqueName="7" name="Facility-Abbrev" queryTableFieldId="7"/>
    <tableColumn id="8" xr3:uid="{08F42409-1F6A-418B-ABD0-07CD60D3C849}" uniqueName="8" name="EmploymentType" queryTableFieldId="8"/>
    <tableColumn id="9" xr3:uid="{BFC4B20D-50C8-408A-AA5C-E666DC383163}" uniqueName="9" name="PreferredRole" queryTableFieldId="9"/>
    <tableColumn id="10" xr3:uid="{BD02EDB3-7B66-4876-BCA8-EF2604134A72}" uniqueName="10" name="Worker Record Status" queryTableFieldId="10"/>
    <tableColumn id="11" xr3:uid="{E2D25F98-C59B-4A2E-8E12-690E4B8C1EE3}" uniqueName="11" name="Worker Contract Issue" queryTableFieldId="11"/>
    <tableColumn id="12" xr3:uid="{8BE82F5E-B0DA-49B0-BA01-99C4E8B7AF83}" uniqueName="12" name="Contracted FN Hours" queryTableFieldId="12"/>
    <tableColumn id="13" xr3:uid="{FA33E23E-15FE-48E4-B804-14D357D83A78}" uniqueName="13" name="Roster Start" queryTableFieldId="13"/>
    <tableColumn id="14" xr3:uid="{7C0BC3C0-8B6D-4005-AA84-60B31B41A0B6}" uniqueName="14" name="Roster End" queryTableFieldId="14"/>
    <tableColumn id="15" xr3:uid="{EC2D405A-A517-4071-B537-4759B8B4C437}" uniqueName="15" name="Roster Fortnights" queryTableFieldId="15"/>
    <tableColumn id="16" xr3:uid="{D74587B3-74DA-41CB-BF6B-B9E5B66E5529}" uniqueName="16" name="Contracted Roster Hours" queryTableFieldId="16"/>
    <tableColumn id="17" xr3:uid="{0F5194DD-A836-472B-BF13-8DDEAA5F2CBD}" uniqueName="17" name="Contracted Shift Equivalent" queryTableFieldId="17"/>
    <tableColumn id="18" xr3:uid="{E4F10AAC-17C2-4B7B-A858-40FE4F11D5E0}" uniqueName="18" name="Contracted Shifts" queryTableFieldId="18"/>
    <tableColumn id="19" xr3:uid="{398ED370-6BCE-4F69-AB8A-10DF7875F320}" uniqueName="19" name="Settings Max Availability" queryTableFieldId="19"/>
    <tableColumn id="20" xr3:uid="{122189DB-8356-49AE-9B99-DFCBE5768148}" uniqueName="20" name="Effective Shift Cap" queryTableFieldId="20"/>
    <tableColumn id="21" xr3:uid="{7282E283-B3EC-46A0-8707-E6E8A7A4774A}" uniqueName="21" name="Limit Basis" queryTableFieldId="2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0BBA9-3FD7-4B48-A21D-9C1A7A742037}" name="InefficienciesAGL2Day3210" displayName="InefficienciesAGL2Day3210" ref="A1:CF1125" tableType="queryTable" totalsRowShown="0">
  <autoFilter ref="A1:CF1125" xr:uid="{F920BBA9-3FD7-4B48-A21D-9C1A7A742037}"/>
  <tableColumns count="84">
    <tableColumn id="83" xr3:uid="{54310CFA-1854-4943-8BFA-EEB4C69B2872}" uniqueName="83" name="Version" queryTableFieldId="96"/>
    <tableColumn id="78" xr3:uid="{CB928C26-C9B9-43C8-955C-08BB78648114}" uniqueName="78" name="Facility" queryTableFieldId="91"/>
    <tableColumn id="1" xr3:uid="{049645FA-D809-4AE6-B47A-AEF820BB9073}" uniqueName="1" name="Level" queryTableFieldId="1" dataDxfId="9"/>
    <tableColumn id="2" xr3:uid="{10A68B55-0964-428C-AF8A-B46CE57C592B}" uniqueName="2" name="Date" queryTableFieldId="2" dataDxfId="8"/>
    <tableColumn id="3" xr3:uid="{DA455563-069B-4788-8F36-1A15C6E941EA}" uniqueName="3" name="Role" queryTableFieldId="3" dataDxfId="7"/>
    <tableColumn id="4" xr3:uid="{C7A5102E-30B2-4843-B59C-C935311B8C60}" uniqueName="4" name="Role ID" queryTableFieldId="4" dataDxfId="6"/>
    <tableColumn id="5" xr3:uid="{DD2A1E21-54F0-4DED-9682-2A0BA8705790}" uniqueName="5" name="Role Abvrev" queryTableFieldId="5" dataDxfId="5"/>
    <tableColumn id="6" xr3:uid="{ED67227D-FE65-4A40-B04E-1C6DCC8E65A4}" uniqueName="6" name="Shift" queryTableFieldId="6" dataDxfId="4"/>
    <tableColumn id="79" xr3:uid="{1205560D-6B9C-4DC8-BD46-8C1E20039EFA}" uniqueName="79" name="CapacityMaxHC" queryTableFieldId="86"/>
    <tableColumn id="7" xr3:uid="{D9E3B1D5-F3CE-4DE4-942F-714BCC8332F4}" uniqueName="7" name="D" queryTableFieldId="7"/>
    <tableColumn id="85" xr3:uid="{5D799388-9837-4094-8A5D-886E2EC95801}" uniqueName="85" name="DateX" queryTableFieldId="107"/>
    <tableColumn id="82" xr3:uid="{53F2EB7D-0F67-464C-9287-67D241447E3F}" uniqueName="82" name="DATESHIFT" queryTableFieldId="89"/>
    <tableColumn id="8" xr3:uid="{A306FFDA-6233-4F9C-B034-1D9849B637C0}" uniqueName="8" name="Cs" queryTableFieldId="8"/>
    <tableColumn id="9" xr3:uid="{52224AC6-90D6-4CE0-99C3-D4EF45C1F31E}" uniqueName="9" name="CX" queryTableFieldId="9"/>
    <tableColumn id="10" xr3:uid="{7681CE8D-A36C-414D-B276-8B36AE4C7632}" uniqueName="10" name="A" queryTableFieldId="10"/>
    <tableColumn id="11" xr3:uid="{972D776A-404A-4F13-BF69-5B3461464ACF}" uniqueName="11" name="Ability PoN AG" queryTableFieldId="11"/>
    <tableColumn id="12" xr3:uid="{04325ACF-E594-44C5-AC61-1A09286A177E}" uniqueName="12" name="Ability PoX AG" queryTableFieldId="12"/>
    <tableColumn id="13" xr3:uid="{34F142C4-A439-4F24-9587-648FEA51D9F6}" uniqueName="13" name="Ability Pl AG" queryTableFieldId="13"/>
    <tableColumn id="14" xr3:uid="{78D41C17-8545-4812-9980-BD96DB2F6E10}" uniqueName="14" name="AB EXCESS OVER-ALLOCATION" queryTableFieldId="14"/>
    <tableColumn id="15" xr3:uid="{56E12FA5-E0F7-418A-B960-3A89DD9186CA}" uniqueName="15" name="AB SPARE STRETCH" queryTableFieldId="15"/>
    <tableColumn id="16" xr3:uid="{181DDAFA-982E-4A03-BB1D-405916373C89}" uniqueName="16" name="AB SPARE SLACK" queryTableFieldId="16"/>
    <tableColumn id="17" xr3:uid="{3A3E5FB7-4F59-4FA1-BBF8-4C092816171A}" uniqueName="17" name="AB SPARE STRETCH ALLOCATED" queryTableFieldId="17"/>
    <tableColumn id="18" xr3:uid="{BD2C67A9-A677-45C8-A827-AF5DF1E7AA63}" uniqueName="18" name="AB SPARE SLACK ALLOCATED" queryTableFieldId="18"/>
    <tableColumn id="19" xr3:uid="{CB331616-7909-467A-A3B3-1B67C5EB0D54}" uniqueName="19" name="AB EXCESS STRETCH (ALLOCATED)" queryTableFieldId="19"/>
    <tableColumn id="20" xr3:uid="{5EEAC05D-9301-49F1-9985-112F1A46EFED}" uniqueName="20" name="AB EXCESS ALLOCATED SLACK" queryTableFieldId="20"/>
    <tableColumn id="21" xr3:uid="{A485733F-9DB3-4DBE-B017-8033D770F7FD}" uniqueName="21" name="AB EXCESS STRETCH" queryTableFieldId="21"/>
    <tableColumn id="22" xr3:uid="{DD0FA0BE-97D0-4A60-9E7D-E80BAF0A59BD}" uniqueName="22" name="AB EXCESS SLACK" queryTableFieldId="22"/>
    <tableColumn id="23" xr3:uid="{8695A2E7-FCF7-43AA-942A-5FA3A021458B}" uniqueName="23" name="AB POTENTIAL SHORTFALL (OVER-ALLOCATED)" queryTableFieldId="23"/>
    <tableColumn id="24" xr3:uid="{9DAFAE42-924B-4289-9286-F06B36C7EEA1}" uniqueName="24" name="AB POTENTIAL SHORTFALL" queryTableFieldId="24"/>
    <tableColumn id="25" xr3:uid="{A7C497F8-80B7-43F3-8BC8-2938D0C9F9F1}" uniqueName="25" name="AB WASTED STRETCH" queryTableFieldId="25"/>
    <tableColumn id="26" xr3:uid="{509762EE-107B-4C92-A9F7-4EB1BFCB898E}" uniqueName="26" name="AB WASTED SLACK" queryTableFieldId="26"/>
    <tableColumn id="27" xr3:uid="{68497E17-03EB-4D5D-87AF-ECB4CB5358AE}" uniqueName="27" name="AB ALLOCATED STRETCH" queryTableFieldId="27"/>
    <tableColumn id="28" xr3:uid="{F6FDEBC0-16B2-43F3-B194-B11ED438F8FA}" uniqueName="28" name="AB ALLOCATED SLACK" queryTableFieldId="28"/>
    <tableColumn id="29" xr3:uid="{717C2AB6-C3F2-4064-83D4-1E8E872F2C5A}" uniqueName="29" name="AB UNALLOCATED SLACK" queryTableFieldId="29"/>
    <tableColumn id="30" xr3:uid="{432DD3EE-62B4-47DB-9434-F5A93CFE5941}" uniqueName="30" name="AB LATENT" queryTableFieldId="30"/>
    <tableColumn id="31" xr3:uid="{CAC6E41A-94DF-4DF6-AC43-E8FBB1AC826A}" uniqueName="31" name="AB LATENT.ALLOCATED" queryTableFieldId="31"/>
    <tableColumn id="32" xr3:uid="{73E8E3C0-4FA3-4179-8219-CD677BBBF748}" uniqueName="32" name="AB  LATENT.OVERALLOCATED" queryTableFieldId="32"/>
    <tableColumn id="33" xr3:uid="{89BD200C-68D3-420A-85B1-F530B38C6E8D}" uniqueName="33" name="AB Potential" queryTableFieldId="33"/>
    <tableColumn id="34" xr3:uid="{CF0372A9-6406-45E5-8174-A0245FA1F8B0}" uniqueName="34" name="Efficiency PoN  AG" queryTableFieldId="34"/>
    <tableColumn id="35" xr3:uid="{26F403D1-AC80-4D02-A504-A37351A59026}" uniqueName="35" name="Efficiency PoX  AG" queryTableFieldId="35"/>
    <tableColumn id="36" xr3:uid="{CE526E1C-CA71-48C0-BCB2-6B206994A62B}" uniqueName="36" name="Efficiency Pl AG" queryTableFieldId="36"/>
    <tableColumn id="37" xr3:uid="{428F1239-1A5C-419C-AEB5-29BBD8F4C867}" uniqueName="37" name="EF EXCESS OVER-ALLOCATION" queryTableFieldId="37"/>
    <tableColumn id="38" xr3:uid="{FB7AEF3A-3101-457C-A65F-92096320C379}" uniqueName="38" name="EF SPARE STRETCH" queryTableFieldId="38"/>
    <tableColumn id="39" xr3:uid="{BC3188DA-42BB-4EF8-9594-DD8A21EBA110}" uniqueName="39" name="EF SPARE SLACK" queryTableFieldId="39"/>
    <tableColumn id="40" xr3:uid="{FCAB23A0-1984-4020-AC11-F5EC2A3747EB}" uniqueName="40" name="EF SPARE STRETCH ALLOCATED" queryTableFieldId="40"/>
    <tableColumn id="41" xr3:uid="{2F555755-7AD8-4AE3-A5E7-D374C8AA2912}" uniqueName="41" name="EF SPARE SLACK ALLOCATED" queryTableFieldId="41"/>
    <tableColumn id="42" xr3:uid="{62E05BCB-D2DA-4CC2-BF7A-2BCF4C9681BD}" uniqueName="42" name="EF EXCESS STRETCH (ALLOCATED)" queryTableFieldId="42"/>
    <tableColumn id="43" xr3:uid="{1A292E61-9694-4C46-9636-8EEEABC2C541}" uniqueName="43" name="EF EXCESS ALLOCATED SLACK" queryTableFieldId="43"/>
    <tableColumn id="44" xr3:uid="{172E2B9A-EAB5-41CD-831C-C7AA239AD1EE}" uniqueName="44" name="EF EXCESS STRETCH" queryTableFieldId="44"/>
    <tableColumn id="45" xr3:uid="{148987C5-A3CA-4A38-80C6-29F9CC7635E5}" uniqueName="45" name="EF EXCESS SLACK" queryTableFieldId="45"/>
    <tableColumn id="46" xr3:uid="{82E726C3-819D-415B-972C-B1C6B2E7DBFE}" uniqueName="46" name="EF POTENTIAL SHORTFALL (OVER-ALLOCATED)" queryTableFieldId="46"/>
    <tableColumn id="47" xr3:uid="{B8C072E0-B1B4-4261-ADC8-81C93B89D213}" uniqueName="47" name="EF POTENTIAL SHORTFALL" queryTableFieldId="47"/>
    <tableColumn id="48" xr3:uid="{D87E5A3C-6FF0-4E15-92F4-B7D808E27214}" uniqueName="48" name="EF WASTED STRETCH" queryTableFieldId="48"/>
    <tableColumn id="49" xr3:uid="{18F2F47C-1347-49DF-8580-F43A96055EB1}" uniqueName="49" name="EF WASTED SLACK" queryTableFieldId="49"/>
    <tableColumn id="50" xr3:uid="{E03ADD95-2B3F-4E47-A875-A1A956E0D0CE}" uniqueName="50" name="EF ALLOCATED STRETCH" queryTableFieldId="50"/>
    <tableColumn id="51" xr3:uid="{704F58D5-6914-483D-886F-06E4655D0654}" uniqueName="51" name="EF ALLOCATED SLACK" queryTableFieldId="51"/>
    <tableColumn id="52" xr3:uid="{4C6E6405-9B7C-48F8-889F-3FBCFC8C006F}" uniqueName="52" name="EF UNALLOCATED SLACK" queryTableFieldId="52"/>
    <tableColumn id="53" xr3:uid="{DB30C10E-4673-40E3-9088-B724564419FB}" uniqueName="53" name="EF LATENT" queryTableFieldId="53"/>
    <tableColumn id="54" xr3:uid="{1AC02DA3-8A28-44EC-8A4A-29AF5E79B315}" uniqueName="54" name="EF LATENT.ALLOCATED" queryTableFieldId="54"/>
    <tableColumn id="55" xr3:uid="{D81BDF5A-9039-4911-BAC0-203792DF575C}" uniqueName="55" name="EF LATENT.OVERALLOCATED" queryTableFieldId="55"/>
    <tableColumn id="56" xr3:uid="{E5381729-BD37-42C2-9184-E4DB4619F576}" uniqueName="56" name="EF Potential" queryTableFieldId="56"/>
    <tableColumn id="57" xr3:uid="{51F722AB-83EE-47F9-93B6-56DE27FE485C}" uniqueName="57" name="Workload PoN  AG" queryTableFieldId="57"/>
    <tableColumn id="58" xr3:uid="{53E4E011-C58B-47ED-A559-94B64C9B470E}" uniqueName="58" name="Workload PoX AG" queryTableFieldId="58"/>
    <tableColumn id="59" xr3:uid="{9320B868-66B7-42BB-8135-59095DADF38B}" uniqueName="59" name="Workload Pl AG" queryTableFieldId="59"/>
    <tableColumn id="60" xr3:uid="{63E4AA46-E147-487B-95D3-8B725949A6BE}" uniqueName="60" name="WL EXCESS OVER-ALLOCATION" queryTableFieldId="60"/>
    <tableColumn id="61" xr3:uid="{EF3F515C-B2A1-4736-926D-7E8B0C0DAAA9}" uniqueName="61" name="WL SPARE STRETCH" queryTableFieldId="61"/>
    <tableColumn id="62" xr3:uid="{4C8EF0BE-4944-4415-B1EE-8FA252E0CABE}" uniqueName="62" name="WL SPARE SLACK" queryTableFieldId="62"/>
    <tableColumn id="63" xr3:uid="{725A57D1-9767-4506-BE6E-FDEF25B5C542}" uniqueName="63" name="WL SPARE STRETCH ALLOCATED" queryTableFieldId="63"/>
    <tableColumn id="64" xr3:uid="{9E9E0EF1-4DD0-43DE-B5C2-F47425AE1F80}" uniqueName="64" name="WL SPARE SLACK ALLOCATED" queryTableFieldId="64"/>
    <tableColumn id="65" xr3:uid="{B80842EB-4223-4ECD-B818-0DE46DD813D4}" uniqueName="65" name="WL EXCESS STRETCH (ALLOCATED)" queryTableFieldId="65"/>
    <tableColumn id="66" xr3:uid="{64E3AE9D-1F8F-4E34-9158-3C590106AC3F}" uniqueName="66" name="WL EXCESS ALLOCATED SLACK" queryTableFieldId="66"/>
    <tableColumn id="67" xr3:uid="{AF98C6CD-506E-43C6-B394-F20349FBDC11}" uniqueName="67" name="WL EXCESS STRETCH" queryTableFieldId="67"/>
    <tableColumn id="68" xr3:uid="{513CAF0E-E380-4494-9BAC-D08E26B2E09F}" uniqueName="68" name="WL EXCESS SLACK" queryTableFieldId="68"/>
    <tableColumn id="69" xr3:uid="{FA921A5F-A554-4529-81F4-377BE28D0C8E}" uniqueName="69" name="WL POTENTIAL SHORTFALL (OVER-ALLOCATED)" queryTableFieldId="69"/>
    <tableColumn id="70" xr3:uid="{557A88FE-0077-42A0-9C74-9F5BE83FB09D}" uniqueName="70" name="WL POTENTIAL SHORTFALL" queryTableFieldId="70"/>
    <tableColumn id="71" xr3:uid="{3C48FB70-EC2A-4E43-8720-B4A9D002D966}" uniqueName="71" name="WL WASTED STRETCH" queryTableFieldId="71"/>
    <tableColumn id="72" xr3:uid="{01A204B4-AF46-404F-9E82-8C29014957DF}" uniqueName="72" name="WL WASTED SLACK" queryTableFieldId="72"/>
    <tableColumn id="73" xr3:uid="{FBFA3448-ADB0-4A4F-BBF8-247189DE2E2B}" uniqueName="73" name="WL ALLOCATED STRETCH" queryTableFieldId="73"/>
    <tableColumn id="74" xr3:uid="{0D51CD15-23FF-408F-B7AB-5A30DA8B21C0}" uniqueName="74" name="WL ALLOCATED SLACK" queryTableFieldId="74"/>
    <tableColumn id="75" xr3:uid="{859A20DF-0684-4952-BE47-2702D16DF3F6}" uniqueName="75" name="WL UNALLOCATED SLACK" queryTableFieldId="75"/>
    <tableColumn id="76" xr3:uid="{BB72C4D6-B9AA-4A06-B46F-78FC2EB94925}" uniqueName="76" name="WL  LATENT" queryTableFieldId="76"/>
    <tableColumn id="77" xr3:uid="{3FB03E1F-D82A-4D24-AD41-894D0FB9D410}" uniqueName="77" name="WL LATENT.ALLOCATED" queryTableFieldId="77"/>
    <tableColumn id="80" xr3:uid="{88300AE4-C6FA-4327-A452-185E9E77A079}" uniqueName="80" name="WL LATENT.OVERALLOCATED" queryTableFieldId="80"/>
    <tableColumn id="81" xr3:uid="{C89F5DCC-95FA-4B35-BABC-5DAA5B90FDAE}" uniqueName="81" name="WL Potential" queryTableFieldId="8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DF3B8-B15E-49EB-9C3C-A129936E86AE}" name="IMPORT_InefficienciesAGL2Day3210" displayName="IMPORT_InefficienciesAGL2Day3210" ref="A1:CD1125" tableType="queryTable" totalsRowShown="0">
  <autoFilter ref="A1:CD1125" xr:uid="{A9BDF3B8-B15E-49EB-9C3C-A129936E86AE}">
    <filterColumn colId="19">
      <filters blank="1"/>
    </filterColumn>
  </autoFilter>
  <tableColumns count="82">
    <tableColumn id="1" xr3:uid="{D19464A7-AEDA-4444-9CFA-24791C18AD28}" uniqueName="1" name="Version" queryTableFieldId="1"/>
    <tableColumn id="2" xr3:uid="{83A4FAA0-10AE-4306-A66C-0D583B753912}" uniqueName="2" name="Facility" queryTableFieldId="2"/>
    <tableColumn id="3" xr3:uid="{28D23393-26BC-4464-A29E-575F31B48AAF}" uniqueName="3" name="Level" queryTableFieldId="3" dataDxfId="3"/>
    <tableColumn id="4" xr3:uid="{82F15C90-4A6C-45A6-A89B-CE17CEFBFF0B}" uniqueName="4" name="Date" queryTableFieldId="4" dataDxfId="2"/>
    <tableColumn id="5" xr3:uid="{1AE32F02-99C2-474B-A773-FA7E57105791}" uniqueName="5" name="Role" queryTableFieldId="5" dataDxfId="1"/>
    <tableColumn id="6" xr3:uid="{F88A35DC-CF93-4CC6-972F-B785F7DC87A7}" uniqueName="6" name="Shift" queryTableFieldId="6" dataDxfId="0"/>
    <tableColumn id="7" xr3:uid="{B32B3313-D9FA-468C-824F-373CB80F1D96}" uniqueName="7" name="D" queryTableFieldId="7"/>
    <tableColumn id="8" xr3:uid="{3498C20C-1E03-425B-9E93-0ABBE89F8F4A}" uniqueName="8" name="Cs" queryTableFieldId="8"/>
    <tableColumn id="9" xr3:uid="{5367F9F7-E68F-4218-9334-03052B1F9E65}" uniqueName="9" name="CapacityMaxHC" queryTableFieldId="9"/>
    <tableColumn id="10" xr3:uid="{7575DD2B-02A8-4033-A8B2-3C9C717F4F8D}" uniqueName="10" name="CX" queryTableFieldId="10"/>
    <tableColumn id="83" xr3:uid="{B27EBF3F-8260-4F19-A072-AA0695CF3CBA}" uniqueName="83" name="DateX" queryTableFieldId="87"/>
    <tableColumn id="12" xr3:uid="{DAAE081B-D4A5-462E-B307-E57FB2E45FA9}" uniqueName="12" name="DATESHIFT" queryTableFieldId="12"/>
    <tableColumn id="13" xr3:uid="{AEE0BA10-51CA-45F7-B8B4-CD66971B691E}" uniqueName="13" name="A" queryTableFieldId="13"/>
    <tableColumn id="14" xr3:uid="{A070BE14-4654-478E-BB19-13AEA3754873}" uniqueName="14" name="Apn" queryTableFieldId="14"/>
    <tableColumn id="15" xr3:uid="{CEC56192-7D85-4C90-BC1A-5B36D9EF021B}" uniqueName="15" name="Apx" queryTableFieldId="15"/>
    <tableColumn id="16" xr3:uid="{047366BF-4FD6-4130-90D8-BFE00A1DBE9D}" uniqueName="16" name="Ai" queryTableFieldId="16"/>
    <tableColumn id="17" xr3:uid="{DBDA5360-1ECF-40EC-91FA-E56C77205F37}" uniqueName="17" name="AB EXCESS OVER-ALLOCATION" queryTableFieldId="17"/>
    <tableColumn id="18" xr3:uid="{33A10272-44DA-4F6A-BAB2-A9F737ACA50F}" uniqueName="18" name="AB SPARE STRETCH" queryTableFieldId="18"/>
    <tableColumn id="19" xr3:uid="{ED1C37E1-5F15-422D-994C-5F021AFA15CC}" uniqueName="19" name="AB SPARE SLACK" queryTableFieldId="19"/>
    <tableColumn id="20" xr3:uid="{FCEE4271-678A-46D6-A127-3FCC3682C9B0}" uniqueName="20" name="AB SPARE STRETCH ALLOCATED" queryTableFieldId="20"/>
    <tableColumn id="21" xr3:uid="{B24ACDD6-EB9F-4FB5-8A9B-D33CB97581B7}" uniqueName="21" name="AB SPARE SLACK ALLOCATED" queryTableFieldId="21"/>
    <tableColumn id="22" xr3:uid="{69E6BE32-83C6-4EE5-AF5C-F7B6E2EC361B}" uniqueName="22" name="AB EXCESS STRETCH (ALLOCATED)" queryTableFieldId="22"/>
    <tableColumn id="23" xr3:uid="{748AF03A-A57D-4433-9CEA-EF952FABD906}" uniqueName="23" name="AB EXCESS ALLOCATED SLACK" queryTableFieldId="23"/>
    <tableColumn id="24" xr3:uid="{3C065404-1DB4-4892-99F6-6E2DD9D7727E}" uniqueName="24" name="AB EXCESS STRETCH" queryTableFieldId="24"/>
    <tableColumn id="25" xr3:uid="{EAE4BFC1-55C7-459F-AC74-E7BD3CB18F20}" uniqueName="25" name="AB EXCESS SLACK" queryTableFieldId="25"/>
    <tableColumn id="26" xr3:uid="{3C53AF78-26F7-48BC-8572-DBCBE19DEF33}" uniqueName="26" name="AB POTENTIAL SHORTFALL (OVER-ALLOCATED)" queryTableFieldId="26"/>
    <tableColumn id="27" xr3:uid="{2621335D-57D8-4680-97C7-DB0135987D3A}" uniqueName="27" name="AB POTENTIAL SHORTFALL" queryTableFieldId="27"/>
    <tableColumn id="28" xr3:uid="{5E963A65-E6EA-4356-B07A-28ACB8B1127F}" uniqueName="28" name="AB WASTED STRETCH" queryTableFieldId="28"/>
    <tableColumn id="29" xr3:uid="{5CD6EDFC-9865-45C5-9DC7-7CA4F2A11EFA}" uniqueName="29" name="AB WASTED SLACK" queryTableFieldId="29"/>
    <tableColumn id="30" xr3:uid="{934A603E-D476-497B-AE2A-4B2E5C5E812D}" uniqueName="30" name="AB ALLOCATED STRETCH" queryTableFieldId="30"/>
    <tableColumn id="31" xr3:uid="{547171A0-333D-4D5E-BDF7-380AB89D28CE}" uniqueName="31" name="AB ALLOCATED SLACK" queryTableFieldId="31"/>
    <tableColumn id="32" xr3:uid="{5CE63C77-2BCA-4AA1-BF2C-29F6DE01F5CF}" uniqueName="32" name="AB UNALLOCATED SLACK" queryTableFieldId="32"/>
    <tableColumn id="33" xr3:uid="{49277E72-2ABA-4AA5-82F1-ECD8D7C3474C}" uniqueName="33" name="AB LATENT" queryTableFieldId="33"/>
    <tableColumn id="34" xr3:uid="{1B956CB4-95D7-4EF0-89D3-4533BDCCC536}" uniqueName="34" name="AB LATENT.ALLOCATED" queryTableFieldId="34"/>
    <tableColumn id="35" xr3:uid="{22F92320-45DF-484E-A4C6-5DA0E21EC3BB}" uniqueName="35" name="AB  LATENT.OVERALLOCATED" queryTableFieldId="35"/>
    <tableColumn id="36" xr3:uid="{6BC23BFF-AA01-466D-8E41-EBC6CC03FF97}" uniqueName="36" name="AB Potential" queryTableFieldId="36"/>
    <tableColumn id="37" xr3:uid="{9DDF8AAA-E40D-4C4E-B14F-A7F61C9A79C6}" uniqueName="37" name="Epn" queryTableFieldId="37"/>
    <tableColumn id="38" xr3:uid="{D92F6933-762E-4E61-A663-D9729E3A2087}" uniqueName="38" name="EpX" queryTableFieldId="38"/>
    <tableColumn id="39" xr3:uid="{B383A118-78AD-4D12-ACE0-98AE4C0C50E6}" uniqueName="39" name="Ein" queryTableFieldId="39"/>
    <tableColumn id="40" xr3:uid="{F63E0A2F-E4C0-43B8-B41B-D331E4A0A2D8}" uniqueName="40" name="EF EXCESS OVER-ALLOCATION" queryTableFieldId="40"/>
    <tableColumn id="41" xr3:uid="{7B5A3A1E-E239-4E7F-989B-B51CDA2C2667}" uniqueName="41" name="EF SPARE STRETCH" queryTableFieldId="41"/>
    <tableColumn id="42" xr3:uid="{1BA0B331-0705-410B-B7A2-77F34A059C3F}" uniqueName="42" name="EF SPARE SLACK" queryTableFieldId="42"/>
    <tableColumn id="43" xr3:uid="{BAFE5A08-ECC2-4F6B-80CB-497593BB9BB4}" uniqueName="43" name="EF SPARE STRETCH ALLOCATED" queryTableFieldId="43"/>
    <tableColumn id="44" xr3:uid="{9A5262E8-D251-4B32-A84B-0F2E297E3D2A}" uniqueName="44" name="EF SPARE SLACK ALLOCATED" queryTableFieldId="44"/>
    <tableColumn id="45" xr3:uid="{C50860CF-0267-4F4F-A896-873DD8ABD9D3}" uniqueName="45" name="EF EXCESS STRETCH (ALLOCATED)" queryTableFieldId="45"/>
    <tableColumn id="46" xr3:uid="{DAD69095-CEF5-40E4-AAA6-2B6F337A8212}" uniqueName="46" name="EF EXCESS ALLOCATED SLACK" queryTableFieldId="46"/>
    <tableColumn id="47" xr3:uid="{A16536EA-4DC5-47B6-B02E-0963CE65931F}" uniqueName="47" name="EF EXCESS STRETCH" queryTableFieldId="47"/>
    <tableColumn id="48" xr3:uid="{296252C5-9764-4CA3-8780-950322D2B5C3}" uniqueName="48" name="EF EXCESS SLACK" queryTableFieldId="48"/>
    <tableColumn id="49" xr3:uid="{BA36F8B7-99E7-48AD-825F-1C5FD7F6C6B6}" uniqueName="49" name="EF POTENTIAL SHORTFALL (OVER-ALLOCATED)" queryTableFieldId="49"/>
    <tableColumn id="50" xr3:uid="{DBE20F44-1846-42E1-9888-9DF3923EE819}" uniqueName="50" name="EF POTENTIAL SHORTFALL" queryTableFieldId="50"/>
    <tableColumn id="51" xr3:uid="{2814D582-0BC8-4A1D-B9E7-F565DB3856EB}" uniqueName="51" name="EF WASTED STRETCH" queryTableFieldId="51"/>
    <tableColumn id="52" xr3:uid="{F94A9029-59F1-4359-8828-EC484AD2B797}" uniqueName="52" name="EF WASTED SLACK" queryTableFieldId="52"/>
    <tableColumn id="53" xr3:uid="{A263EA35-2A05-4F4C-AFC7-904C28112DE3}" uniqueName="53" name="EF ALLOCATED STRETCH" queryTableFieldId="53"/>
    <tableColumn id="54" xr3:uid="{CD7F1DFA-42F7-4118-BF41-F3948FCF43A2}" uniqueName="54" name="EF ALLOCATED SLACK" queryTableFieldId="54"/>
    <tableColumn id="55" xr3:uid="{EB11B797-BCE8-4A22-B144-08A0CC98767B}" uniqueName="55" name="EF UNALLOCATED SLACK" queryTableFieldId="55"/>
    <tableColumn id="56" xr3:uid="{7A16EB7C-53B3-4B0E-8D33-10AE424BF06C}" uniqueName="56" name="EF LATENT" queryTableFieldId="56"/>
    <tableColumn id="57" xr3:uid="{E73F6347-B1AC-4503-A429-3ACE5959E89F}" uniqueName="57" name="EF LATENT.ALLOCATED" queryTableFieldId="57"/>
    <tableColumn id="58" xr3:uid="{5A279DB7-7435-462F-A8ED-5C5F390A85CD}" uniqueName="58" name="EF LATENT.OVERALLOCATED" queryTableFieldId="58"/>
    <tableColumn id="59" xr3:uid="{2B8492B9-1869-4B93-9701-034FDE96091E}" uniqueName="59" name="EF Potential" queryTableFieldId="59"/>
    <tableColumn id="60" xr3:uid="{C4C47431-2E55-4D6F-85A9-519AA1426957}" uniqueName="60" name="Ipn" queryTableFieldId="60"/>
    <tableColumn id="61" xr3:uid="{220F05E2-2B74-4BF0-83E3-E2260337BEAD}" uniqueName="61" name="Ipx" queryTableFieldId="61"/>
    <tableColumn id="62" xr3:uid="{271E1474-003E-4659-B4D6-DF8B25D6E885}" uniqueName="62" name="Iin" queryTableFieldId="62"/>
    <tableColumn id="63" xr3:uid="{50D0DB3A-F22D-4C86-AF49-6FAB4422FF90}" uniqueName="63" name="IN EXCESS OVER-ALLOCATION" queryTableFieldId="63"/>
    <tableColumn id="64" xr3:uid="{E428E516-2B56-4E05-B528-434AB2C427C3}" uniqueName="64" name="IN SPARE STRETCH" queryTableFieldId="64"/>
    <tableColumn id="65" xr3:uid="{F0376208-F892-4D23-BBB3-699746FF6875}" uniqueName="65" name="IN SPARE SLACK" queryTableFieldId="65"/>
    <tableColumn id="66" xr3:uid="{D67D7A43-961B-48E2-B05C-7AF6AF376512}" uniqueName="66" name="IN SPARE STRETCH ALLOCATED" queryTableFieldId="66"/>
    <tableColumn id="67" xr3:uid="{5CC4EAFF-F908-4478-9A8D-4C41469DA494}" uniqueName="67" name="IN SPARE SLACK ALLOCATED" queryTableFieldId="67"/>
    <tableColumn id="68" xr3:uid="{81E0DAB2-3D88-43D0-9E2F-2AAFC7C84367}" uniqueName="68" name="IN EXCESS STRETCH (ALLOCATED)" queryTableFieldId="68"/>
    <tableColumn id="69" xr3:uid="{86D71F9D-3608-4D3C-A864-42B5F0560169}" uniqueName="69" name="IN EXCESS ALLOCATED SLACK" queryTableFieldId="69"/>
    <tableColumn id="70" xr3:uid="{DFB2D968-B641-4C6C-9307-82A1D5D0B5F6}" uniqueName="70" name="IN EXCESS STRETCH" queryTableFieldId="70"/>
    <tableColumn id="71" xr3:uid="{7253B572-874F-47A7-A8BD-29DBC56E846D}" uniqueName="71" name="IN EXCESS SLACK" queryTableFieldId="71"/>
    <tableColumn id="72" xr3:uid="{A9A1DFA9-6FA3-4107-92DC-FC5AF635C904}" uniqueName="72" name="IN POTENTIAL SHORTFALL (OVER-ALLOCATED)" queryTableFieldId="72"/>
    <tableColumn id="73" xr3:uid="{FC1CA099-6664-4011-AC5F-AF7812D5C6F4}" uniqueName="73" name="IN POTENTIAL SHORTFALL" queryTableFieldId="73"/>
    <tableColumn id="74" xr3:uid="{9BB1AAB2-C39E-4A85-9680-95B3B89ED497}" uniqueName="74" name="IN WASTED STRETCH" queryTableFieldId="74"/>
    <tableColumn id="75" xr3:uid="{E726BB19-ACAD-4B5D-AAF1-BB2715C7C6D5}" uniqueName="75" name="IN WASTED SLACK" queryTableFieldId="75"/>
    <tableColumn id="76" xr3:uid="{CB023A27-4521-42AA-83C2-89E8A8EBF9ED}" uniqueName="76" name="IN ALLOCATED STRETCH" queryTableFieldId="76"/>
    <tableColumn id="77" xr3:uid="{B310E5FD-3F0B-4E00-B822-BE45B5B7693D}" uniqueName="77" name="IN ALLOCATED SLACK" queryTableFieldId="77"/>
    <tableColumn id="78" xr3:uid="{CF9D96CE-C2B2-4360-92FC-7AC95152A5AC}" uniqueName="78" name="IN UNALLOCATED SLACK" queryTableFieldId="78"/>
    <tableColumn id="79" xr3:uid="{0641B3F0-0B18-4C5B-AD41-310D49AB597F}" uniqueName="79" name="IN LATENT" queryTableFieldId="79"/>
    <tableColumn id="80" xr3:uid="{2DAB38D8-E538-492A-83B1-92872D559224}" uniqueName="80" name="IN LATENT.ALLOCATED" queryTableFieldId="80"/>
    <tableColumn id="81" xr3:uid="{DD081863-3067-4A52-A275-5D6277C1F77B}" uniqueName="81" name="IN LATENT.OVERALLOCATED" queryTableFieldId="81"/>
    <tableColumn id="82" xr3:uid="{626EC8BA-3A2D-4A83-AF52-E33B566E740B}" uniqueName="82" name="IN Potential" queryTableFieldId="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10F5-92B1-4E1B-8BEC-0DC6A06BC0D0}">
  <dimension ref="A1:A2"/>
  <sheetViews>
    <sheetView workbookViewId="0"/>
  </sheetViews>
  <sheetFormatPr defaultRowHeight="15" x14ac:dyDescent="0.25"/>
  <cols>
    <col min="1" max="1" width="10.42578125" customWidth="1"/>
  </cols>
  <sheetData>
    <row r="1" spans="1:1" x14ac:dyDescent="0.25">
      <c r="A1" t="s">
        <v>137</v>
      </c>
    </row>
    <row r="2" spans="1:1" x14ac:dyDescent="0.25">
      <c r="A2" t="str">
        <f ca="1">CELL("filename",A1)</f>
        <v>C:\Users\Alex\CentriNOTSYNC\ResidentialCare\CLIENT\DATExx-Whiddon\2. Calculations\[Tableau Connection.xlsx]_mcode_path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476D-3764-416E-923D-4DC3EAEA5377}">
  <sheetPr>
    <tabColor rgb="FFFFFF00"/>
  </sheetPr>
  <dimension ref="A1:D30"/>
  <sheetViews>
    <sheetView workbookViewId="0">
      <selection activeCell="M30" sqref="M30"/>
    </sheetView>
  </sheetViews>
  <sheetFormatPr defaultColWidth="8" defaultRowHeight="12.75" x14ac:dyDescent="0.25"/>
  <cols>
    <col min="1" max="1" width="22.2851562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3" t="s">
        <v>118</v>
      </c>
      <c r="B1" s="13" t="str" cm="1">
        <f t="array" aca="1" ref="B1" ca="1">CELL("filename")</f>
        <v>C:\Users\Alex\CentriNOTSYNC\ResidentialCare\CLIENT\DATExx-Whiddon\2. Calculations\[Tableau Connection.xlsx]InefficienciesAGL2Day32</v>
      </c>
    </row>
    <row r="2" spans="1:4" x14ac:dyDescent="0.25">
      <c r="A2" s="3"/>
      <c r="B2" s="3"/>
    </row>
    <row r="3" spans="1:4" x14ac:dyDescent="0.25">
      <c r="A3" s="2" t="s">
        <v>144</v>
      </c>
      <c r="B3" s="2" t="s">
        <v>138</v>
      </c>
    </row>
    <row r="4" spans="1:4" x14ac:dyDescent="0.25">
      <c r="A4" s="2" t="s">
        <v>139</v>
      </c>
      <c r="B4" s="2" t="s">
        <v>142</v>
      </c>
    </row>
    <row r="5" spans="1:4" x14ac:dyDescent="0.25">
      <c r="A5" s="2" t="s">
        <v>145</v>
      </c>
      <c r="B5" s="2" t="s">
        <v>146</v>
      </c>
    </row>
    <row r="6" spans="1:4" x14ac:dyDescent="0.25">
      <c r="A6" s="2" t="s">
        <v>147</v>
      </c>
      <c r="B6" s="2" t="s">
        <v>148</v>
      </c>
    </row>
    <row r="7" spans="1:4" x14ac:dyDescent="0.25">
      <c r="A7" s="2" t="s">
        <v>149</v>
      </c>
      <c r="B7" s="2" t="s">
        <v>150</v>
      </c>
    </row>
    <row r="8" spans="1:4" x14ac:dyDescent="0.25">
      <c r="A8" s="2" t="s">
        <v>151</v>
      </c>
      <c r="B8" s="2" t="s">
        <v>146</v>
      </c>
    </row>
    <row r="9" spans="1:4" x14ac:dyDescent="0.25">
      <c r="A9" s="2" t="s">
        <v>140</v>
      </c>
      <c r="B9" s="2" t="s">
        <v>152</v>
      </c>
    </row>
    <row r="10" spans="1:4" x14ac:dyDescent="0.25">
      <c r="A10" s="2" t="s">
        <v>119</v>
      </c>
      <c r="B10" s="2" t="s">
        <v>141</v>
      </c>
    </row>
    <row r="11" spans="1:4" x14ac:dyDescent="0.25">
      <c r="A11" s="2" t="s">
        <v>1</v>
      </c>
      <c r="B11" s="2" t="s">
        <v>153</v>
      </c>
    </row>
    <row r="12" spans="1:4" x14ac:dyDescent="0.25">
      <c r="A12" s="2" t="s">
        <v>154</v>
      </c>
      <c r="B12" s="2" t="s">
        <v>143</v>
      </c>
      <c r="D12" s="1"/>
    </row>
    <row r="14" spans="1:4" x14ac:dyDescent="0.25">
      <c r="A14" s="3"/>
      <c r="B14" s="3"/>
    </row>
    <row r="15" spans="1:4" x14ac:dyDescent="0.25">
      <c r="A15" s="6"/>
      <c r="B15" s="3"/>
    </row>
    <row r="16" spans="1:4" x14ac:dyDescent="0.25">
      <c r="A16" s="3"/>
      <c r="B16" s="3"/>
    </row>
    <row r="17" spans="1:3" x14ac:dyDescent="0.25">
      <c r="A17" s="3"/>
      <c r="B17" s="3"/>
    </row>
    <row r="18" spans="1:3" ht="15" x14ac:dyDescent="0.25">
      <c r="A18" s="4"/>
      <c r="B18"/>
    </row>
    <row r="19" spans="1:3" x14ac:dyDescent="0.25">
      <c r="A19" s="3"/>
      <c r="B19" s="3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1"/>
      <c r="B23" s="1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5E76-4232-416E-A92B-276F741697A3}">
  <dimension ref="A7:D42"/>
  <sheetViews>
    <sheetView workbookViewId="0">
      <selection activeCell="B9" sqref="B9"/>
    </sheetView>
  </sheetViews>
  <sheetFormatPr defaultColWidth="8" defaultRowHeight="12.75" x14ac:dyDescent="0.25"/>
  <cols>
    <col min="1" max="1" width="23.140625" style="2" customWidth="1"/>
    <col min="2" max="2" width="131.42578125" style="2" customWidth="1"/>
    <col min="3" max="3" width="12.140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118</v>
      </c>
      <c r="B9" s="3" t="str" cm="1">
        <f t="array" aca="1" ref="B9" ca="1">CELL("filename",E16)</f>
        <v>C:\Users\Alex\CentriNOTSYNC\ResidentialCare\CLIENT\DATExx-Whiddon\2. Calculations\[Tableau Connection.xlsx]FILEPATH</v>
      </c>
    </row>
    <row r="10" spans="1:4" x14ac:dyDescent="0.25">
      <c r="A10" s="3"/>
      <c r="B10" s="3"/>
    </row>
    <row r="11" spans="1:4" x14ac:dyDescent="0.25">
      <c r="A11" s="6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4" t="s">
        <v>119</v>
      </c>
      <c r="B14" s="4" t="str">
        <f>[4]Computerpath!$B$20</f>
        <v>C:\Users\Alex\Centri\4. Production - Documents\WFEffectiveness\4.1.1 AGED CARE\01 Christadelphian Aged Care\240715</v>
      </c>
      <c r="D14" s="2" t="s">
        <v>123</v>
      </c>
    </row>
    <row r="15" spans="1:4" x14ac:dyDescent="0.25">
      <c r="A15" s="3" t="s">
        <v>124</v>
      </c>
      <c r="B15" s="3" t="e" cm="1">
        <f t="array" aca="1" ref="B15" ca="1">LEFT(CELL("filename",B9),FIND(Client,CELL("filename",B9),1)-1)</f>
        <v>#VALUE!</v>
      </c>
      <c r="C15" s="7" t="e">
        <f ca="1">LEN(B15)</f>
        <v>#VALUE!</v>
      </c>
    </row>
    <row r="16" spans="1:4" x14ac:dyDescent="0.25">
      <c r="C16" s="7"/>
    </row>
    <row r="17" spans="1:4" x14ac:dyDescent="0.25">
      <c r="C17" s="7"/>
    </row>
    <row r="18" spans="1:4" x14ac:dyDescent="0.25">
      <c r="A18" s="4" t="s">
        <v>122</v>
      </c>
      <c r="B18" s="4" t="str">
        <f>Client</f>
        <v>C:\Users\Alex\Centri\4. Production - Documents\WFEffectiveness\4.1.1 AGED CARE\01 Christadelphian Aged Care\240715</v>
      </c>
      <c r="C18" s="7">
        <f>LEN(B14)</f>
        <v>114</v>
      </c>
      <c r="D18" s="2" t="s">
        <v>123</v>
      </c>
    </row>
    <row r="19" spans="1:4" x14ac:dyDescent="0.25">
      <c r="A19" s="1" t="s">
        <v>120</v>
      </c>
      <c r="B19" s="1" t="s">
        <v>121</v>
      </c>
      <c r="C19" s="8">
        <f>LEN(B19)</f>
        <v>11</v>
      </c>
      <c r="D19" s="2" t="s">
        <v>125</v>
      </c>
    </row>
    <row r="20" spans="1:4" x14ac:dyDescent="0.25">
      <c r="C20" s="7" t="e">
        <f ca="1">SUM(C15:C19)</f>
        <v>#VALUE!</v>
      </c>
    </row>
    <row r="21" spans="1:4" x14ac:dyDescent="0.25">
      <c r="A21" s="2" t="s">
        <v>114</v>
      </c>
      <c r="C21" s="7"/>
    </row>
    <row r="22" spans="1:4" x14ac:dyDescent="0.25">
      <c r="A22" s="2" t="s">
        <v>1</v>
      </c>
      <c r="B22" s="5"/>
      <c r="C22" s="7"/>
    </row>
    <row r="23" spans="1:4" x14ac:dyDescent="0.25">
      <c r="D23" s="2" t="s">
        <v>126</v>
      </c>
    </row>
    <row r="25" spans="1:4" x14ac:dyDescent="0.25">
      <c r="B25" s="2" t="s">
        <v>111</v>
      </c>
    </row>
    <row r="26" spans="1:4" x14ac:dyDescent="0.25">
      <c r="B26" s="5" t="str">
        <f>$B$18&amp;"\"&amp;B21</f>
        <v>C:\Users\Alex\Centri\4. Production - Documents\WFEffectiveness\4.1.1 AGED CARE\01 Christadelphian Aged Care\240715\</v>
      </c>
    </row>
    <row r="28" spans="1:4" x14ac:dyDescent="0.25">
      <c r="B28" s="9"/>
    </row>
    <row r="39" spans="2:2" x14ac:dyDescent="0.25">
      <c r="B39" s="2" t="s">
        <v>129</v>
      </c>
    </row>
    <row r="40" spans="2:2" x14ac:dyDescent="0.25">
      <c r="B40" s="2">
        <f>B42-B41</f>
        <v>27</v>
      </c>
    </row>
    <row r="41" spans="2:2" ht="15" x14ac:dyDescent="0.25">
      <c r="B41" s="10">
        <v>45096</v>
      </c>
    </row>
    <row r="42" spans="2:2" ht="15" x14ac:dyDescent="0.25">
      <c r="B42" s="11">
        <v>45123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45C9-80F4-46CD-B6AA-8FDE3F47F68F}">
  <dimension ref="A1:A2"/>
  <sheetViews>
    <sheetView workbookViewId="0">
      <selection sqref="A1:A2"/>
    </sheetView>
  </sheetViews>
  <sheetFormatPr defaultRowHeight="15" x14ac:dyDescent="0.25"/>
  <cols>
    <col min="1" max="1" width="16.85546875" bestFit="1" customWidth="1"/>
  </cols>
  <sheetData>
    <row r="1" spans="1:1" x14ac:dyDescent="0.25">
      <c r="A1" t="s">
        <v>129</v>
      </c>
    </row>
    <row r="2" spans="1:1" x14ac:dyDescent="0.25">
      <c r="A2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48CC-FE8D-4D5F-B7C9-2F681BA344E1}">
  <dimension ref="A1:U116"/>
  <sheetViews>
    <sheetView workbookViewId="0">
      <selection activeCell="AC8" sqref="AC8"/>
    </sheetView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158</v>
      </c>
      <c r="D1" t="s">
        <v>159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</row>
    <row r="2" spans="1:21" x14ac:dyDescent="0.25">
      <c r="A2" t="s">
        <v>271</v>
      </c>
      <c r="B2" t="s">
        <v>133</v>
      </c>
      <c r="C2">
        <v>1</v>
      </c>
      <c r="D2" t="s">
        <v>262</v>
      </c>
      <c r="E2" t="s">
        <v>289</v>
      </c>
      <c r="F2" t="s">
        <v>290</v>
      </c>
      <c r="G2" t="s">
        <v>291</v>
      </c>
      <c r="H2" t="s">
        <v>292</v>
      </c>
      <c r="I2" t="s">
        <v>133</v>
      </c>
      <c r="J2" t="s">
        <v>293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294</v>
      </c>
    </row>
    <row r="3" spans="1:21" x14ac:dyDescent="0.25">
      <c r="A3" t="s">
        <v>218</v>
      </c>
      <c r="B3" t="s">
        <v>133</v>
      </c>
      <c r="C3">
        <v>2</v>
      </c>
      <c r="E3" t="s">
        <v>289</v>
      </c>
      <c r="F3" t="s">
        <v>295</v>
      </c>
      <c r="G3" t="s">
        <v>291</v>
      </c>
      <c r="H3" t="s">
        <v>296</v>
      </c>
      <c r="I3" t="s">
        <v>133</v>
      </c>
      <c r="J3" t="s">
        <v>293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297</v>
      </c>
    </row>
    <row r="4" spans="1:21" x14ac:dyDescent="0.25">
      <c r="A4" t="s">
        <v>217</v>
      </c>
      <c r="B4" t="s">
        <v>135</v>
      </c>
      <c r="C4">
        <v>3</v>
      </c>
      <c r="E4" t="s">
        <v>289</v>
      </c>
      <c r="F4" t="s">
        <v>298</v>
      </c>
      <c r="G4" t="s">
        <v>291</v>
      </c>
      <c r="H4" t="s">
        <v>292</v>
      </c>
      <c r="I4" t="s">
        <v>135</v>
      </c>
      <c r="J4" t="s">
        <v>293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294</v>
      </c>
    </row>
    <row r="5" spans="1:21" x14ac:dyDescent="0.25">
      <c r="A5" t="s">
        <v>216</v>
      </c>
      <c r="B5" t="s">
        <v>133</v>
      </c>
      <c r="C5">
        <v>4</v>
      </c>
      <c r="E5" t="s">
        <v>289</v>
      </c>
      <c r="F5" t="s">
        <v>299</v>
      </c>
      <c r="G5" t="s">
        <v>291</v>
      </c>
      <c r="H5" t="s">
        <v>292</v>
      </c>
      <c r="I5" t="s">
        <v>133</v>
      </c>
      <c r="J5" t="s">
        <v>293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294</v>
      </c>
    </row>
    <row r="6" spans="1:21" x14ac:dyDescent="0.25">
      <c r="A6" t="s">
        <v>215</v>
      </c>
      <c r="B6" t="s">
        <v>133</v>
      </c>
      <c r="C6">
        <v>5</v>
      </c>
      <c r="E6" t="s">
        <v>289</v>
      </c>
      <c r="F6" t="s">
        <v>300</v>
      </c>
      <c r="G6" t="s">
        <v>291</v>
      </c>
      <c r="H6" t="s">
        <v>292</v>
      </c>
      <c r="I6" t="s">
        <v>133</v>
      </c>
      <c r="J6" t="s">
        <v>293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294</v>
      </c>
    </row>
    <row r="7" spans="1:21" x14ac:dyDescent="0.25">
      <c r="A7" t="s">
        <v>214</v>
      </c>
      <c r="B7" t="s">
        <v>133</v>
      </c>
      <c r="C7">
        <v>6</v>
      </c>
      <c r="E7" t="s">
        <v>289</v>
      </c>
      <c r="F7" t="s">
        <v>301</v>
      </c>
      <c r="G7" t="s">
        <v>291</v>
      </c>
      <c r="H7" t="s">
        <v>302</v>
      </c>
      <c r="I7" t="s">
        <v>133</v>
      </c>
      <c r="J7" t="s">
        <v>293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303</v>
      </c>
    </row>
    <row r="8" spans="1:21" x14ac:dyDescent="0.25">
      <c r="A8" t="s">
        <v>213</v>
      </c>
      <c r="B8" t="s">
        <v>135</v>
      </c>
      <c r="C8">
        <v>7</v>
      </c>
      <c r="E8" t="s">
        <v>289</v>
      </c>
      <c r="F8" t="s">
        <v>304</v>
      </c>
      <c r="G8" t="s">
        <v>291</v>
      </c>
      <c r="H8" t="s">
        <v>292</v>
      </c>
      <c r="I8" t="s">
        <v>135</v>
      </c>
      <c r="J8" t="s">
        <v>293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294</v>
      </c>
    </row>
    <row r="9" spans="1:21" x14ac:dyDescent="0.25">
      <c r="A9" t="s">
        <v>212</v>
      </c>
      <c r="B9" t="s">
        <v>135</v>
      </c>
      <c r="C9">
        <v>8</v>
      </c>
      <c r="E9" t="s">
        <v>289</v>
      </c>
      <c r="F9" t="s">
        <v>305</v>
      </c>
      <c r="G9" t="s">
        <v>291</v>
      </c>
      <c r="H9" t="s">
        <v>292</v>
      </c>
      <c r="I9" t="s">
        <v>135</v>
      </c>
      <c r="J9" t="s">
        <v>293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294</v>
      </c>
    </row>
    <row r="10" spans="1:21" x14ac:dyDescent="0.25">
      <c r="A10" t="s">
        <v>211</v>
      </c>
      <c r="B10" t="s">
        <v>133</v>
      </c>
      <c r="C10">
        <v>9</v>
      </c>
      <c r="E10" t="s">
        <v>289</v>
      </c>
      <c r="F10" t="s">
        <v>306</v>
      </c>
      <c r="G10" t="s">
        <v>291</v>
      </c>
      <c r="H10" t="s">
        <v>296</v>
      </c>
      <c r="I10" t="s">
        <v>133</v>
      </c>
      <c r="J10" t="s">
        <v>293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297</v>
      </c>
    </row>
    <row r="11" spans="1:21" x14ac:dyDescent="0.25">
      <c r="A11" t="s">
        <v>210</v>
      </c>
      <c r="B11" t="s">
        <v>133</v>
      </c>
      <c r="C11">
        <v>10</v>
      </c>
      <c r="E11" t="s">
        <v>289</v>
      </c>
      <c r="F11" t="s">
        <v>307</v>
      </c>
      <c r="G11" t="s">
        <v>291</v>
      </c>
      <c r="H11" t="s">
        <v>292</v>
      </c>
      <c r="I11" t="s">
        <v>133</v>
      </c>
      <c r="J11" t="s">
        <v>293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294</v>
      </c>
    </row>
    <row r="12" spans="1:21" x14ac:dyDescent="0.25">
      <c r="A12" t="s">
        <v>209</v>
      </c>
      <c r="B12" t="s">
        <v>135</v>
      </c>
      <c r="C12">
        <v>11</v>
      </c>
      <c r="E12" t="s">
        <v>289</v>
      </c>
      <c r="F12" t="s">
        <v>308</v>
      </c>
      <c r="G12" t="s">
        <v>291</v>
      </c>
      <c r="H12" t="s">
        <v>292</v>
      </c>
      <c r="I12" t="s">
        <v>135</v>
      </c>
      <c r="J12" t="s">
        <v>293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294</v>
      </c>
    </row>
    <row r="13" spans="1:21" x14ac:dyDescent="0.25">
      <c r="A13" t="s">
        <v>208</v>
      </c>
      <c r="B13" t="s">
        <v>133</v>
      </c>
      <c r="C13">
        <v>12</v>
      </c>
      <c r="E13" t="s">
        <v>289</v>
      </c>
      <c r="F13" t="s">
        <v>309</v>
      </c>
      <c r="G13" t="s">
        <v>291</v>
      </c>
      <c r="H13" t="s">
        <v>292</v>
      </c>
      <c r="I13" t="s">
        <v>133</v>
      </c>
      <c r="J13" t="s">
        <v>293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294</v>
      </c>
    </row>
    <row r="14" spans="1:21" x14ac:dyDescent="0.25">
      <c r="A14" t="s">
        <v>207</v>
      </c>
      <c r="B14" t="s">
        <v>133</v>
      </c>
      <c r="C14">
        <v>13</v>
      </c>
      <c r="E14" t="s">
        <v>289</v>
      </c>
      <c r="F14" t="s">
        <v>310</v>
      </c>
      <c r="G14" t="s">
        <v>291</v>
      </c>
      <c r="H14" t="s">
        <v>292</v>
      </c>
      <c r="I14" t="s">
        <v>133</v>
      </c>
      <c r="J14" t="s">
        <v>293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294</v>
      </c>
    </row>
    <row r="15" spans="1:21" x14ac:dyDescent="0.25">
      <c r="A15" t="s">
        <v>206</v>
      </c>
      <c r="B15" t="s">
        <v>135</v>
      </c>
      <c r="C15">
        <v>14</v>
      </c>
      <c r="E15" t="s">
        <v>289</v>
      </c>
      <c r="F15" t="s">
        <v>311</v>
      </c>
      <c r="G15" t="s">
        <v>291</v>
      </c>
      <c r="H15" t="s">
        <v>292</v>
      </c>
      <c r="I15" t="s">
        <v>135</v>
      </c>
      <c r="J15" t="s">
        <v>293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294</v>
      </c>
    </row>
    <row r="16" spans="1:21" x14ac:dyDescent="0.25">
      <c r="A16" t="s">
        <v>205</v>
      </c>
      <c r="B16" t="s">
        <v>133</v>
      </c>
      <c r="C16">
        <v>15</v>
      </c>
      <c r="E16" t="s">
        <v>289</v>
      </c>
      <c r="F16" t="s">
        <v>312</v>
      </c>
      <c r="G16" t="s">
        <v>291</v>
      </c>
      <c r="H16" t="s">
        <v>292</v>
      </c>
      <c r="I16" t="s">
        <v>133</v>
      </c>
      <c r="J16" t="s">
        <v>293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294</v>
      </c>
    </row>
    <row r="17" spans="1:21" x14ac:dyDescent="0.25">
      <c r="A17" t="s">
        <v>204</v>
      </c>
      <c r="B17" t="s">
        <v>133</v>
      </c>
      <c r="C17">
        <v>16</v>
      </c>
      <c r="E17" t="s">
        <v>289</v>
      </c>
      <c r="F17" t="s">
        <v>313</v>
      </c>
      <c r="G17" t="s">
        <v>291</v>
      </c>
      <c r="H17" t="s">
        <v>296</v>
      </c>
      <c r="I17" t="s">
        <v>133</v>
      </c>
      <c r="J17" t="s">
        <v>293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297</v>
      </c>
    </row>
    <row r="18" spans="1:21" x14ac:dyDescent="0.25">
      <c r="A18" t="s">
        <v>203</v>
      </c>
      <c r="B18" t="s">
        <v>133</v>
      </c>
      <c r="C18">
        <v>17</v>
      </c>
      <c r="E18" t="s">
        <v>289</v>
      </c>
      <c r="F18" t="s">
        <v>314</v>
      </c>
      <c r="G18" t="s">
        <v>291</v>
      </c>
      <c r="H18" t="s">
        <v>292</v>
      </c>
      <c r="I18" t="s">
        <v>133</v>
      </c>
      <c r="J18" t="s">
        <v>293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294</v>
      </c>
    </row>
    <row r="19" spans="1:21" x14ac:dyDescent="0.25">
      <c r="A19" t="s">
        <v>202</v>
      </c>
      <c r="B19" t="s">
        <v>135</v>
      </c>
      <c r="C19">
        <v>18</v>
      </c>
      <c r="E19" t="s">
        <v>289</v>
      </c>
      <c r="F19" t="s">
        <v>315</v>
      </c>
      <c r="G19" t="s">
        <v>291</v>
      </c>
      <c r="H19" t="s">
        <v>292</v>
      </c>
      <c r="I19" t="s">
        <v>135</v>
      </c>
      <c r="J19" t="s">
        <v>293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294</v>
      </c>
    </row>
    <row r="20" spans="1:21" x14ac:dyDescent="0.25">
      <c r="A20" t="s">
        <v>219</v>
      </c>
      <c r="B20" t="s">
        <v>133</v>
      </c>
      <c r="C20">
        <v>19</v>
      </c>
      <c r="E20" t="s">
        <v>289</v>
      </c>
      <c r="F20" t="s">
        <v>316</v>
      </c>
      <c r="G20" t="s">
        <v>291</v>
      </c>
      <c r="H20" t="s">
        <v>292</v>
      </c>
      <c r="I20" t="s">
        <v>133</v>
      </c>
      <c r="J20" t="s">
        <v>293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294</v>
      </c>
    </row>
    <row r="21" spans="1:21" x14ac:dyDescent="0.25">
      <c r="A21" t="s">
        <v>221</v>
      </c>
      <c r="B21" t="s">
        <v>133</v>
      </c>
      <c r="C21">
        <v>20</v>
      </c>
      <c r="E21" t="s">
        <v>289</v>
      </c>
      <c r="F21" t="s">
        <v>317</v>
      </c>
      <c r="G21" t="s">
        <v>291</v>
      </c>
      <c r="H21" t="s">
        <v>292</v>
      </c>
      <c r="I21" t="s">
        <v>133</v>
      </c>
      <c r="J21" t="s">
        <v>293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294</v>
      </c>
    </row>
    <row r="22" spans="1:21" x14ac:dyDescent="0.25">
      <c r="A22" t="s">
        <v>269</v>
      </c>
      <c r="B22" t="s">
        <v>133</v>
      </c>
      <c r="C22">
        <v>21</v>
      </c>
      <c r="D22" t="s">
        <v>262</v>
      </c>
      <c r="E22" t="s">
        <v>289</v>
      </c>
      <c r="F22" t="s">
        <v>318</v>
      </c>
      <c r="G22" t="s">
        <v>291</v>
      </c>
      <c r="H22" t="s">
        <v>292</v>
      </c>
      <c r="I22" t="s">
        <v>133</v>
      </c>
      <c r="J22" t="s">
        <v>293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294</v>
      </c>
    </row>
    <row r="23" spans="1:21" x14ac:dyDescent="0.25">
      <c r="A23" t="s">
        <v>222</v>
      </c>
      <c r="B23" t="s">
        <v>133</v>
      </c>
      <c r="C23">
        <v>22</v>
      </c>
      <c r="E23" t="s">
        <v>289</v>
      </c>
      <c r="F23" t="s">
        <v>319</v>
      </c>
      <c r="G23" t="s">
        <v>291</v>
      </c>
      <c r="H23" t="s">
        <v>292</v>
      </c>
      <c r="I23" t="s">
        <v>133</v>
      </c>
      <c r="J23" t="s">
        <v>293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294</v>
      </c>
    </row>
    <row r="24" spans="1:21" x14ac:dyDescent="0.25">
      <c r="A24" t="s">
        <v>236</v>
      </c>
      <c r="B24" t="s">
        <v>135</v>
      </c>
      <c r="C24">
        <v>23</v>
      </c>
      <c r="E24" t="s">
        <v>289</v>
      </c>
      <c r="F24" t="s">
        <v>320</v>
      </c>
      <c r="G24" t="s">
        <v>291</v>
      </c>
      <c r="H24" t="s">
        <v>292</v>
      </c>
      <c r="I24" t="s">
        <v>135</v>
      </c>
      <c r="J24" t="s">
        <v>293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294</v>
      </c>
    </row>
    <row r="25" spans="1:21" x14ac:dyDescent="0.25">
      <c r="A25" t="s">
        <v>235</v>
      </c>
      <c r="B25" t="s">
        <v>133</v>
      </c>
      <c r="C25">
        <v>24</v>
      </c>
      <c r="E25" t="s">
        <v>289</v>
      </c>
      <c r="F25" t="s">
        <v>321</v>
      </c>
      <c r="G25" t="s">
        <v>291</v>
      </c>
      <c r="H25" t="s">
        <v>292</v>
      </c>
      <c r="I25" t="s">
        <v>133</v>
      </c>
      <c r="J25" t="s">
        <v>293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294</v>
      </c>
    </row>
    <row r="26" spans="1:21" x14ac:dyDescent="0.25">
      <c r="A26" t="s">
        <v>234</v>
      </c>
      <c r="B26" t="s">
        <v>133</v>
      </c>
      <c r="C26">
        <v>25</v>
      </c>
      <c r="E26" t="s">
        <v>289</v>
      </c>
      <c r="F26" t="s">
        <v>322</v>
      </c>
      <c r="G26" t="s">
        <v>291</v>
      </c>
      <c r="H26" t="s">
        <v>292</v>
      </c>
      <c r="I26" t="s">
        <v>133</v>
      </c>
      <c r="J26" t="s">
        <v>293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294</v>
      </c>
    </row>
    <row r="27" spans="1:21" x14ac:dyDescent="0.25">
      <c r="A27" t="s">
        <v>233</v>
      </c>
      <c r="B27" t="s">
        <v>133</v>
      </c>
      <c r="C27">
        <v>26</v>
      </c>
      <c r="E27" t="s">
        <v>289</v>
      </c>
      <c r="F27" t="s">
        <v>323</v>
      </c>
      <c r="G27" t="s">
        <v>291</v>
      </c>
      <c r="H27" t="s">
        <v>292</v>
      </c>
      <c r="I27" t="s">
        <v>133</v>
      </c>
      <c r="J27" t="s">
        <v>293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294</v>
      </c>
    </row>
    <row r="28" spans="1:21" x14ac:dyDescent="0.25">
      <c r="A28" t="s">
        <v>232</v>
      </c>
      <c r="B28" t="s">
        <v>133</v>
      </c>
      <c r="C28">
        <v>27</v>
      </c>
      <c r="E28" t="s">
        <v>289</v>
      </c>
      <c r="F28" t="s">
        <v>324</v>
      </c>
      <c r="G28" t="s">
        <v>291</v>
      </c>
      <c r="H28" t="s">
        <v>292</v>
      </c>
      <c r="I28" t="s">
        <v>133</v>
      </c>
      <c r="J28" t="s">
        <v>293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294</v>
      </c>
    </row>
    <row r="29" spans="1:21" x14ac:dyDescent="0.25">
      <c r="A29" t="s">
        <v>231</v>
      </c>
      <c r="B29" t="s">
        <v>133</v>
      </c>
      <c r="C29">
        <v>28</v>
      </c>
      <c r="E29" t="s">
        <v>289</v>
      </c>
      <c r="F29" t="s">
        <v>325</v>
      </c>
      <c r="G29" t="s">
        <v>291</v>
      </c>
      <c r="H29" t="s">
        <v>292</v>
      </c>
      <c r="I29" t="s">
        <v>133</v>
      </c>
      <c r="J29" t="s">
        <v>293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294</v>
      </c>
    </row>
    <row r="30" spans="1:21" x14ac:dyDescent="0.25">
      <c r="A30" t="s">
        <v>237</v>
      </c>
      <c r="B30" t="s">
        <v>133</v>
      </c>
      <c r="C30">
        <v>29</v>
      </c>
      <c r="E30" t="s">
        <v>289</v>
      </c>
      <c r="F30" t="s">
        <v>326</v>
      </c>
      <c r="G30" t="s">
        <v>291</v>
      </c>
      <c r="H30" t="s">
        <v>292</v>
      </c>
      <c r="I30" t="s">
        <v>133</v>
      </c>
      <c r="J30" t="s">
        <v>293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294</v>
      </c>
    </row>
    <row r="31" spans="1:21" x14ac:dyDescent="0.25">
      <c r="A31" t="s">
        <v>229</v>
      </c>
      <c r="B31" t="s">
        <v>133</v>
      </c>
      <c r="C31">
        <v>30</v>
      </c>
      <c r="E31" t="s">
        <v>289</v>
      </c>
      <c r="F31" t="s">
        <v>327</v>
      </c>
      <c r="G31" t="s">
        <v>291</v>
      </c>
      <c r="H31" t="s">
        <v>292</v>
      </c>
      <c r="I31" t="s">
        <v>133</v>
      </c>
      <c r="J31" t="s">
        <v>293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294</v>
      </c>
    </row>
    <row r="32" spans="1:21" x14ac:dyDescent="0.25">
      <c r="A32" t="s">
        <v>230</v>
      </c>
      <c r="B32" t="s">
        <v>133</v>
      </c>
      <c r="C32">
        <v>31</v>
      </c>
      <c r="E32" t="s">
        <v>289</v>
      </c>
      <c r="F32" t="s">
        <v>328</v>
      </c>
      <c r="G32" t="s">
        <v>291</v>
      </c>
      <c r="H32" t="s">
        <v>292</v>
      </c>
      <c r="I32" t="s">
        <v>133</v>
      </c>
      <c r="J32" t="s">
        <v>293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294</v>
      </c>
    </row>
    <row r="33" spans="1:21" x14ac:dyDescent="0.25">
      <c r="A33" t="s">
        <v>268</v>
      </c>
      <c r="B33" t="s">
        <v>133</v>
      </c>
      <c r="C33">
        <v>32</v>
      </c>
      <c r="D33" t="s">
        <v>262</v>
      </c>
      <c r="E33" t="s">
        <v>289</v>
      </c>
      <c r="F33" t="s">
        <v>329</v>
      </c>
      <c r="G33" t="s">
        <v>291</v>
      </c>
      <c r="H33" t="s">
        <v>292</v>
      </c>
      <c r="I33" t="s">
        <v>133</v>
      </c>
      <c r="J33" t="s">
        <v>293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294</v>
      </c>
    </row>
    <row r="34" spans="1:21" x14ac:dyDescent="0.25">
      <c r="A34" t="s">
        <v>228</v>
      </c>
      <c r="B34" t="s">
        <v>135</v>
      </c>
      <c r="C34">
        <v>33</v>
      </c>
      <c r="E34" t="s">
        <v>289</v>
      </c>
      <c r="F34" t="s">
        <v>330</v>
      </c>
      <c r="G34" t="s">
        <v>291</v>
      </c>
      <c r="H34" t="s">
        <v>292</v>
      </c>
      <c r="I34" t="s">
        <v>135</v>
      </c>
      <c r="J34" t="s">
        <v>293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294</v>
      </c>
    </row>
    <row r="35" spans="1:21" x14ac:dyDescent="0.25">
      <c r="A35" t="s">
        <v>267</v>
      </c>
      <c r="B35" t="s">
        <v>135</v>
      </c>
      <c r="C35">
        <v>34</v>
      </c>
      <c r="D35" t="s">
        <v>262</v>
      </c>
      <c r="E35" t="s">
        <v>289</v>
      </c>
      <c r="F35" t="s">
        <v>331</v>
      </c>
      <c r="G35" t="s">
        <v>291</v>
      </c>
      <c r="H35" t="s">
        <v>292</v>
      </c>
      <c r="I35" t="s">
        <v>135</v>
      </c>
      <c r="J35" t="s">
        <v>293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294</v>
      </c>
    </row>
    <row r="36" spans="1:21" x14ac:dyDescent="0.25">
      <c r="A36" t="s">
        <v>226</v>
      </c>
      <c r="B36" t="s">
        <v>135</v>
      </c>
      <c r="C36">
        <v>35</v>
      </c>
      <c r="E36" t="s">
        <v>289</v>
      </c>
      <c r="F36" t="s">
        <v>332</v>
      </c>
      <c r="G36" t="s">
        <v>291</v>
      </c>
      <c r="H36" t="s">
        <v>292</v>
      </c>
      <c r="I36" t="s">
        <v>135</v>
      </c>
      <c r="J36" t="s">
        <v>293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294</v>
      </c>
    </row>
    <row r="37" spans="1:21" x14ac:dyDescent="0.25">
      <c r="A37" t="s">
        <v>225</v>
      </c>
      <c r="B37" t="s">
        <v>133</v>
      </c>
      <c r="C37">
        <v>36</v>
      </c>
      <c r="E37" t="s">
        <v>289</v>
      </c>
      <c r="F37" t="s">
        <v>333</v>
      </c>
      <c r="G37" t="s">
        <v>291</v>
      </c>
      <c r="H37" t="s">
        <v>292</v>
      </c>
      <c r="I37" t="s">
        <v>133</v>
      </c>
      <c r="J37" t="s">
        <v>293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294</v>
      </c>
    </row>
    <row r="38" spans="1:21" x14ac:dyDescent="0.25">
      <c r="A38" t="s">
        <v>224</v>
      </c>
      <c r="B38" t="s">
        <v>133</v>
      </c>
      <c r="C38">
        <v>37</v>
      </c>
      <c r="E38" t="s">
        <v>289</v>
      </c>
      <c r="F38" t="s">
        <v>334</v>
      </c>
      <c r="G38" t="s">
        <v>291</v>
      </c>
      <c r="H38" t="s">
        <v>296</v>
      </c>
      <c r="I38" t="s">
        <v>133</v>
      </c>
      <c r="J38" t="s">
        <v>293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297</v>
      </c>
    </row>
    <row r="39" spans="1:21" x14ac:dyDescent="0.25">
      <c r="A39" t="s">
        <v>223</v>
      </c>
      <c r="B39" t="s">
        <v>133</v>
      </c>
      <c r="C39">
        <v>38</v>
      </c>
      <c r="E39" t="s">
        <v>289</v>
      </c>
      <c r="F39" t="s">
        <v>335</v>
      </c>
      <c r="G39" t="s">
        <v>291</v>
      </c>
      <c r="H39" t="s">
        <v>292</v>
      </c>
      <c r="I39" t="s">
        <v>133</v>
      </c>
      <c r="J39" t="s">
        <v>293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294</v>
      </c>
    </row>
    <row r="40" spans="1:21" x14ac:dyDescent="0.25">
      <c r="A40" t="s">
        <v>201</v>
      </c>
      <c r="B40" t="s">
        <v>135</v>
      </c>
      <c r="C40">
        <v>39</v>
      </c>
      <c r="E40" t="s">
        <v>289</v>
      </c>
      <c r="F40" t="s">
        <v>336</v>
      </c>
      <c r="G40" t="s">
        <v>291</v>
      </c>
      <c r="H40" t="s">
        <v>296</v>
      </c>
      <c r="I40" t="s">
        <v>135</v>
      </c>
      <c r="J40" t="s">
        <v>293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297</v>
      </c>
    </row>
    <row r="41" spans="1:21" x14ac:dyDescent="0.25">
      <c r="A41" t="s">
        <v>220</v>
      </c>
      <c r="B41" t="s">
        <v>133</v>
      </c>
      <c r="C41">
        <v>40</v>
      </c>
      <c r="E41" t="s">
        <v>289</v>
      </c>
      <c r="F41" t="s">
        <v>337</v>
      </c>
      <c r="G41" t="s">
        <v>291</v>
      </c>
      <c r="H41" t="s">
        <v>292</v>
      </c>
      <c r="I41" t="s">
        <v>133</v>
      </c>
      <c r="J41" t="s">
        <v>293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294</v>
      </c>
    </row>
    <row r="42" spans="1:21" x14ac:dyDescent="0.25">
      <c r="A42" t="s">
        <v>200</v>
      </c>
      <c r="B42" t="s">
        <v>133</v>
      </c>
      <c r="C42">
        <v>41</v>
      </c>
      <c r="E42" t="s">
        <v>289</v>
      </c>
      <c r="F42" t="s">
        <v>338</v>
      </c>
      <c r="G42" t="s">
        <v>291</v>
      </c>
      <c r="H42" t="s">
        <v>292</v>
      </c>
      <c r="I42" t="s">
        <v>133</v>
      </c>
      <c r="J42" t="s">
        <v>293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294</v>
      </c>
    </row>
    <row r="43" spans="1:21" x14ac:dyDescent="0.25">
      <c r="A43" t="s">
        <v>198</v>
      </c>
      <c r="B43" t="s">
        <v>133</v>
      </c>
      <c r="C43">
        <v>42</v>
      </c>
      <c r="E43" t="s">
        <v>289</v>
      </c>
      <c r="F43" t="s">
        <v>339</v>
      </c>
      <c r="G43" t="s">
        <v>291</v>
      </c>
      <c r="H43" t="s">
        <v>292</v>
      </c>
      <c r="I43" t="s">
        <v>133</v>
      </c>
      <c r="J43" t="s">
        <v>293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294</v>
      </c>
    </row>
    <row r="44" spans="1:21" x14ac:dyDescent="0.25">
      <c r="A44" t="s">
        <v>176</v>
      </c>
      <c r="B44" t="s">
        <v>133</v>
      </c>
      <c r="C44">
        <v>43</v>
      </c>
      <c r="E44" t="s">
        <v>289</v>
      </c>
      <c r="F44" t="s">
        <v>340</v>
      </c>
      <c r="G44" t="s">
        <v>291</v>
      </c>
      <c r="H44" t="s">
        <v>296</v>
      </c>
      <c r="I44" t="s">
        <v>133</v>
      </c>
      <c r="J44" t="s">
        <v>293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297</v>
      </c>
    </row>
    <row r="45" spans="1:21" x14ac:dyDescent="0.25">
      <c r="A45" t="s">
        <v>175</v>
      </c>
      <c r="B45" t="s">
        <v>133</v>
      </c>
      <c r="C45">
        <v>44</v>
      </c>
      <c r="E45" t="s">
        <v>289</v>
      </c>
      <c r="F45" t="s">
        <v>341</v>
      </c>
      <c r="G45" t="s">
        <v>291</v>
      </c>
      <c r="H45" t="s">
        <v>292</v>
      </c>
      <c r="I45" t="s">
        <v>133</v>
      </c>
      <c r="J45" t="s">
        <v>293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294</v>
      </c>
    </row>
    <row r="46" spans="1:21" x14ac:dyDescent="0.25">
      <c r="A46" t="s">
        <v>174</v>
      </c>
      <c r="B46" t="s">
        <v>135</v>
      </c>
      <c r="C46">
        <v>45</v>
      </c>
      <c r="E46" t="s">
        <v>289</v>
      </c>
      <c r="F46" t="s">
        <v>342</v>
      </c>
      <c r="G46" t="s">
        <v>291</v>
      </c>
      <c r="H46" t="s">
        <v>292</v>
      </c>
      <c r="I46" t="s">
        <v>135</v>
      </c>
      <c r="J46" t="s">
        <v>293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294</v>
      </c>
    </row>
    <row r="47" spans="1:21" x14ac:dyDescent="0.25">
      <c r="A47" t="s">
        <v>173</v>
      </c>
      <c r="B47" t="s">
        <v>133</v>
      </c>
      <c r="C47">
        <v>46</v>
      </c>
      <c r="E47" t="s">
        <v>289</v>
      </c>
      <c r="F47" t="s">
        <v>343</v>
      </c>
      <c r="G47" t="s">
        <v>291</v>
      </c>
      <c r="H47" t="s">
        <v>292</v>
      </c>
      <c r="I47" t="s">
        <v>133</v>
      </c>
      <c r="J47" t="s">
        <v>293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294</v>
      </c>
    </row>
    <row r="48" spans="1:21" x14ac:dyDescent="0.25">
      <c r="A48" t="s">
        <v>266</v>
      </c>
      <c r="B48" t="s">
        <v>134</v>
      </c>
      <c r="C48">
        <v>47</v>
      </c>
      <c r="D48" t="s">
        <v>262</v>
      </c>
      <c r="E48" t="s">
        <v>289</v>
      </c>
      <c r="F48" t="s">
        <v>344</v>
      </c>
      <c r="G48" t="s">
        <v>291</v>
      </c>
      <c r="H48" t="s">
        <v>292</v>
      </c>
      <c r="I48" t="s">
        <v>134</v>
      </c>
      <c r="J48" t="s">
        <v>293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294</v>
      </c>
    </row>
    <row r="49" spans="1:21" x14ac:dyDescent="0.25">
      <c r="A49" t="s">
        <v>172</v>
      </c>
      <c r="B49" t="s">
        <v>135</v>
      </c>
      <c r="C49">
        <v>48</v>
      </c>
      <c r="E49" t="s">
        <v>289</v>
      </c>
      <c r="F49" t="s">
        <v>345</v>
      </c>
      <c r="G49" t="s">
        <v>291</v>
      </c>
      <c r="H49" t="s">
        <v>292</v>
      </c>
      <c r="I49" t="s">
        <v>135</v>
      </c>
      <c r="J49" t="s">
        <v>293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294</v>
      </c>
    </row>
    <row r="50" spans="1:21" x14ac:dyDescent="0.25">
      <c r="A50" t="s">
        <v>171</v>
      </c>
      <c r="B50" t="s">
        <v>133</v>
      </c>
      <c r="C50">
        <v>49</v>
      </c>
      <c r="E50" t="s">
        <v>289</v>
      </c>
      <c r="F50" t="s">
        <v>346</v>
      </c>
      <c r="G50" t="s">
        <v>291</v>
      </c>
      <c r="H50" t="s">
        <v>292</v>
      </c>
      <c r="I50" t="s">
        <v>133</v>
      </c>
      <c r="J50" t="s">
        <v>293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294</v>
      </c>
    </row>
    <row r="51" spans="1:21" x14ac:dyDescent="0.25">
      <c r="A51" t="s">
        <v>170</v>
      </c>
      <c r="B51" t="s">
        <v>135</v>
      </c>
      <c r="C51">
        <v>50</v>
      </c>
      <c r="E51" t="s">
        <v>289</v>
      </c>
      <c r="F51" t="s">
        <v>347</v>
      </c>
      <c r="G51" t="s">
        <v>291</v>
      </c>
      <c r="H51" t="s">
        <v>292</v>
      </c>
      <c r="I51" t="s">
        <v>135</v>
      </c>
      <c r="J51" t="s">
        <v>293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294</v>
      </c>
    </row>
    <row r="52" spans="1:21" x14ac:dyDescent="0.25">
      <c r="A52" t="s">
        <v>177</v>
      </c>
      <c r="B52" t="s">
        <v>133</v>
      </c>
      <c r="C52">
        <v>51</v>
      </c>
      <c r="E52" t="s">
        <v>289</v>
      </c>
      <c r="F52" t="s">
        <v>348</v>
      </c>
      <c r="G52" t="s">
        <v>291</v>
      </c>
      <c r="H52" t="s">
        <v>292</v>
      </c>
      <c r="I52" t="s">
        <v>133</v>
      </c>
      <c r="J52" t="s">
        <v>293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294</v>
      </c>
    </row>
    <row r="53" spans="1:21" x14ac:dyDescent="0.25">
      <c r="A53" t="s">
        <v>169</v>
      </c>
      <c r="B53" t="s">
        <v>133</v>
      </c>
      <c r="C53">
        <v>52</v>
      </c>
      <c r="E53" t="s">
        <v>289</v>
      </c>
      <c r="F53" t="s">
        <v>349</v>
      </c>
      <c r="G53" t="s">
        <v>291</v>
      </c>
      <c r="H53" t="s">
        <v>292</v>
      </c>
      <c r="I53" t="s">
        <v>133</v>
      </c>
      <c r="J53" t="s">
        <v>293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294</v>
      </c>
    </row>
    <row r="54" spans="1:21" x14ac:dyDescent="0.25">
      <c r="A54" t="s">
        <v>167</v>
      </c>
      <c r="B54" t="s">
        <v>135</v>
      </c>
      <c r="C54">
        <v>53</v>
      </c>
      <c r="E54" t="s">
        <v>289</v>
      </c>
      <c r="F54" t="s">
        <v>350</v>
      </c>
      <c r="G54" t="s">
        <v>291</v>
      </c>
      <c r="H54" t="s">
        <v>292</v>
      </c>
      <c r="I54" t="s">
        <v>135</v>
      </c>
      <c r="J54" t="s">
        <v>293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294</v>
      </c>
    </row>
    <row r="55" spans="1:21" x14ac:dyDescent="0.25">
      <c r="A55" t="s">
        <v>166</v>
      </c>
      <c r="B55" t="s">
        <v>133</v>
      </c>
      <c r="C55">
        <v>54</v>
      </c>
      <c r="E55" t="s">
        <v>289</v>
      </c>
      <c r="F55" t="s">
        <v>351</v>
      </c>
      <c r="G55" t="s">
        <v>291</v>
      </c>
      <c r="H55" t="s">
        <v>292</v>
      </c>
      <c r="I55" t="s">
        <v>133</v>
      </c>
      <c r="J55" t="s">
        <v>293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294</v>
      </c>
    </row>
    <row r="56" spans="1:21" x14ac:dyDescent="0.25">
      <c r="A56" t="s">
        <v>160</v>
      </c>
      <c r="B56" t="s">
        <v>135</v>
      </c>
      <c r="C56">
        <v>55</v>
      </c>
      <c r="E56" t="s">
        <v>289</v>
      </c>
      <c r="F56" t="s">
        <v>352</v>
      </c>
      <c r="G56" t="s">
        <v>291</v>
      </c>
      <c r="H56" t="s">
        <v>296</v>
      </c>
      <c r="I56" t="s">
        <v>135</v>
      </c>
      <c r="J56" t="s">
        <v>293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297</v>
      </c>
    </row>
    <row r="57" spans="1:21" x14ac:dyDescent="0.25">
      <c r="A57" t="s">
        <v>164</v>
      </c>
      <c r="B57" t="s">
        <v>133</v>
      </c>
      <c r="C57">
        <v>56</v>
      </c>
      <c r="E57" t="s">
        <v>289</v>
      </c>
      <c r="F57" t="s">
        <v>353</v>
      </c>
      <c r="G57" t="s">
        <v>291</v>
      </c>
      <c r="H57" t="s">
        <v>292</v>
      </c>
      <c r="I57" t="s">
        <v>133</v>
      </c>
      <c r="J57" t="s">
        <v>293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294</v>
      </c>
    </row>
    <row r="58" spans="1:21" x14ac:dyDescent="0.25">
      <c r="A58" t="s">
        <v>265</v>
      </c>
      <c r="B58" t="s">
        <v>134</v>
      </c>
      <c r="C58">
        <v>57</v>
      </c>
      <c r="D58" t="s">
        <v>262</v>
      </c>
      <c r="E58" t="s">
        <v>289</v>
      </c>
      <c r="F58" t="s">
        <v>354</v>
      </c>
      <c r="G58" t="s">
        <v>291</v>
      </c>
      <c r="H58" t="s">
        <v>292</v>
      </c>
      <c r="I58" t="s">
        <v>134</v>
      </c>
      <c r="J58" t="s">
        <v>293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294</v>
      </c>
    </row>
    <row r="59" spans="1:21" x14ac:dyDescent="0.25">
      <c r="A59" t="s">
        <v>162</v>
      </c>
      <c r="B59" t="s">
        <v>135</v>
      </c>
      <c r="C59">
        <v>58</v>
      </c>
      <c r="E59" t="s">
        <v>289</v>
      </c>
      <c r="F59" t="s">
        <v>355</v>
      </c>
      <c r="G59" t="s">
        <v>291</v>
      </c>
      <c r="H59" t="s">
        <v>292</v>
      </c>
      <c r="I59" t="s">
        <v>135</v>
      </c>
      <c r="J59" t="s">
        <v>293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294</v>
      </c>
    </row>
    <row r="60" spans="1:21" x14ac:dyDescent="0.25">
      <c r="A60" t="s">
        <v>161</v>
      </c>
      <c r="B60" t="s">
        <v>133</v>
      </c>
      <c r="C60">
        <v>59</v>
      </c>
      <c r="E60" t="s">
        <v>289</v>
      </c>
      <c r="F60" t="s">
        <v>356</v>
      </c>
      <c r="G60" t="s">
        <v>291</v>
      </c>
      <c r="H60" t="s">
        <v>292</v>
      </c>
      <c r="I60" t="s">
        <v>133</v>
      </c>
      <c r="J60" t="s">
        <v>293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294</v>
      </c>
    </row>
    <row r="61" spans="1:21" x14ac:dyDescent="0.25">
      <c r="A61" t="s">
        <v>261</v>
      </c>
      <c r="B61" t="s">
        <v>133</v>
      </c>
      <c r="C61">
        <v>60</v>
      </c>
      <c r="D61" t="s">
        <v>262</v>
      </c>
      <c r="E61" t="s">
        <v>289</v>
      </c>
      <c r="F61" t="s">
        <v>357</v>
      </c>
      <c r="G61" t="s">
        <v>291</v>
      </c>
      <c r="H61" t="s">
        <v>292</v>
      </c>
      <c r="I61" t="s">
        <v>133</v>
      </c>
      <c r="J61" t="s">
        <v>293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294</v>
      </c>
    </row>
    <row r="62" spans="1:21" x14ac:dyDescent="0.25">
      <c r="A62" t="s">
        <v>178</v>
      </c>
      <c r="B62" t="s">
        <v>135</v>
      </c>
      <c r="C62">
        <v>61</v>
      </c>
      <c r="E62" t="s">
        <v>289</v>
      </c>
      <c r="F62" t="s">
        <v>358</v>
      </c>
      <c r="G62" t="s">
        <v>291</v>
      </c>
      <c r="H62" t="s">
        <v>292</v>
      </c>
      <c r="I62" t="s">
        <v>135</v>
      </c>
      <c r="J62" t="s">
        <v>293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294</v>
      </c>
    </row>
    <row r="63" spans="1:21" x14ac:dyDescent="0.25">
      <c r="A63" t="s">
        <v>179</v>
      </c>
      <c r="B63" t="s">
        <v>135</v>
      </c>
      <c r="C63">
        <v>62</v>
      </c>
      <c r="E63" t="s">
        <v>289</v>
      </c>
      <c r="F63" t="s">
        <v>359</v>
      </c>
      <c r="G63" t="s">
        <v>291</v>
      </c>
      <c r="H63" t="s">
        <v>292</v>
      </c>
      <c r="I63" t="s">
        <v>135</v>
      </c>
      <c r="J63" t="s">
        <v>293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294</v>
      </c>
    </row>
    <row r="64" spans="1:21" x14ac:dyDescent="0.25">
      <c r="A64" t="s">
        <v>264</v>
      </c>
      <c r="B64" t="s">
        <v>133</v>
      </c>
      <c r="C64">
        <v>63</v>
      </c>
      <c r="D64" t="s">
        <v>262</v>
      </c>
      <c r="E64" t="s">
        <v>289</v>
      </c>
      <c r="F64" t="s">
        <v>360</v>
      </c>
      <c r="G64" t="s">
        <v>291</v>
      </c>
      <c r="H64" t="s">
        <v>296</v>
      </c>
      <c r="I64" t="s">
        <v>133</v>
      </c>
      <c r="J64" t="s">
        <v>293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297</v>
      </c>
    </row>
    <row r="65" spans="1:21" x14ac:dyDescent="0.25">
      <c r="A65" t="s">
        <v>197</v>
      </c>
      <c r="B65" t="s">
        <v>135</v>
      </c>
      <c r="C65">
        <v>64</v>
      </c>
      <c r="E65" t="s">
        <v>289</v>
      </c>
      <c r="F65" t="s">
        <v>361</v>
      </c>
      <c r="G65" t="s">
        <v>291</v>
      </c>
      <c r="H65" t="s">
        <v>292</v>
      </c>
      <c r="I65" t="s">
        <v>135</v>
      </c>
      <c r="J65" t="s">
        <v>293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294</v>
      </c>
    </row>
    <row r="66" spans="1:21" x14ac:dyDescent="0.25">
      <c r="A66" t="s">
        <v>196</v>
      </c>
      <c r="B66" t="s">
        <v>133</v>
      </c>
      <c r="C66">
        <v>65</v>
      </c>
      <c r="E66" t="s">
        <v>289</v>
      </c>
      <c r="F66" t="s">
        <v>362</v>
      </c>
      <c r="G66" t="s">
        <v>291</v>
      </c>
      <c r="H66" t="s">
        <v>292</v>
      </c>
      <c r="I66" t="s">
        <v>133</v>
      </c>
      <c r="J66" t="s">
        <v>293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294</v>
      </c>
    </row>
    <row r="67" spans="1:21" x14ac:dyDescent="0.25">
      <c r="A67" t="s">
        <v>263</v>
      </c>
      <c r="B67" t="s">
        <v>133</v>
      </c>
      <c r="C67">
        <v>66</v>
      </c>
      <c r="D67" t="s">
        <v>262</v>
      </c>
      <c r="E67" t="s">
        <v>289</v>
      </c>
      <c r="F67" t="s">
        <v>363</v>
      </c>
      <c r="G67" t="s">
        <v>291</v>
      </c>
      <c r="H67" t="s">
        <v>292</v>
      </c>
      <c r="I67" t="s">
        <v>133</v>
      </c>
      <c r="J67" t="s">
        <v>293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294</v>
      </c>
    </row>
    <row r="68" spans="1:21" x14ac:dyDescent="0.25">
      <c r="A68" t="s">
        <v>194</v>
      </c>
      <c r="B68" t="s">
        <v>133</v>
      </c>
      <c r="C68">
        <v>67</v>
      </c>
      <c r="E68" t="s">
        <v>289</v>
      </c>
      <c r="F68" t="s">
        <v>364</v>
      </c>
      <c r="G68" t="s">
        <v>291</v>
      </c>
      <c r="H68" t="s">
        <v>292</v>
      </c>
      <c r="I68" t="s">
        <v>133</v>
      </c>
      <c r="J68" t="s">
        <v>293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294</v>
      </c>
    </row>
    <row r="69" spans="1:21" x14ac:dyDescent="0.25">
      <c r="A69" t="s">
        <v>193</v>
      </c>
      <c r="B69" t="s">
        <v>133</v>
      </c>
      <c r="C69">
        <v>68</v>
      </c>
      <c r="E69" t="s">
        <v>289</v>
      </c>
      <c r="F69" t="s">
        <v>365</v>
      </c>
      <c r="G69" t="s">
        <v>291</v>
      </c>
      <c r="H69" t="s">
        <v>296</v>
      </c>
      <c r="I69" t="s">
        <v>133</v>
      </c>
      <c r="J69" t="s">
        <v>293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297</v>
      </c>
    </row>
    <row r="70" spans="1:21" x14ac:dyDescent="0.25">
      <c r="A70" t="s">
        <v>192</v>
      </c>
      <c r="B70" t="s">
        <v>133</v>
      </c>
      <c r="C70">
        <v>69</v>
      </c>
      <c r="E70" t="s">
        <v>289</v>
      </c>
      <c r="F70" t="s">
        <v>366</v>
      </c>
      <c r="G70" t="s">
        <v>291</v>
      </c>
      <c r="H70" t="s">
        <v>292</v>
      </c>
      <c r="I70" t="s">
        <v>133</v>
      </c>
      <c r="J70" t="s">
        <v>293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294</v>
      </c>
    </row>
    <row r="71" spans="1:21" x14ac:dyDescent="0.25">
      <c r="A71" t="s">
        <v>191</v>
      </c>
      <c r="B71" t="s">
        <v>133</v>
      </c>
      <c r="C71">
        <v>70</v>
      </c>
      <c r="E71" t="s">
        <v>289</v>
      </c>
      <c r="F71" t="s">
        <v>367</v>
      </c>
      <c r="G71" t="s">
        <v>291</v>
      </c>
      <c r="H71" t="s">
        <v>292</v>
      </c>
      <c r="I71" t="s">
        <v>133</v>
      </c>
      <c r="J71" t="s">
        <v>293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294</v>
      </c>
    </row>
    <row r="72" spans="1:21" x14ac:dyDescent="0.25">
      <c r="A72" t="s">
        <v>190</v>
      </c>
      <c r="B72" t="s">
        <v>133</v>
      </c>
      <c r="C72">
        <v>71</v>
      </c>
      <c r="E72" t="s">
        <v>289</v>
      </c>
      <c r="F72" t="s">
        <v>368</v>
      </c>
      <c r="G72" t="s">
        <v>291</v>
      </c>
      <c r="H72" t="s">
        <v>292</v>
      </c>
      <c r="I72" t="s">
        <v>133</v>
      </c>
      <c r="J72" t="s">
        <v>293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294</v>
      </c>
    </row>
    <row r="73" spans="1:21" x14ac:dyDescent="0.25">
      <c r="A73" t="s">
        <v>189</v>
      </c>
      <c r="B73" t="s">
        <v>133</v>
      </c>
      <c r="C73">
        <v>72</v>
      </c>
      <c r="E73" t="s">
        <v>289</v>
      </c>
      <c r="F73" t="s">
        <v>369</v>
      </c>
      <c r="G73" t="s">
        <v>291</v>
      </c>
      <c r="H73" t="s">
        <v>292</v>
      </c>
      <c r="I73" t="s">
        <v>133</v>
      </c>
      <c r="J73" t="s">
        <v>293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294</v>
      </c>
    </row>
    <row r="74" spans="1:21" x14ac:dyDescent="0.25">
      <c r="A74" t="s">
        <v>188</v>
      </c>
      <c r="B74" t="s">
        <v>133</v>
      </c>
      <c r="C74">
        <v>73</v>
      </c>
      <c r="E74" t="s">
        <v>289</v>
      </c>
      <c r="F74" t="s">
        <v>370</v>
      </c>
      <c r="G74" t="s">
        <v>291</v>
      </c>
      <c r="H74" t="s">
        <v>296</v>
      </c>
      <c r="I74" t="s">
        <v>133</v>
      </c>
      <c r="J74" t="s">
        <v>293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297</v>
      </c>
    </row>
    <row r="75" spans="1:21" x14ac:dyDescent="0.25">
      <c r="A75" t="s">
        <v>187</v>
      </c>
      <c r="B75" t="s">
        <v>133</v>
      </c>
      <c r="C75">
        <v>74</v>
      </c>
      <c r="E75" t="s">
        <v>289</v>
      </c>
      <c r="F75" t="s">
        <v>371</v>
      </c>
      <c r="G75" t="s">
        <v>291</v>
      </c>
      <c r="H75" t="s">
        <v>292</v>
      </c>
      <c r="I75" t="s">
        <v>133</v>
      </c>
      <c r="J75" t="s">
        <v>293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294</v>
      </c>
    </row>
    <row r="76" spans="1:21" x14ac:dyDescent="0.25">
      <c r="A76" t="s">
        <v>186</v>
      </c>
      <c r="B76" t="s">
        <v>133</v>
      </c>
      <c r="C76">
        <v>75</v>
      </c>
      <c r="E76" t="s">
        <v>289</v>
      </c>
      <c r="F76" t="s">
        <v>372</v>
      </c>
      <c r="G76" t="s">
        <v>291</v>
      </c>
      <c r="H76" t="s">
        <v>292</v>
      </c>
      <c r="I76" t="s">
        <v>133</v>
      </c>
      <c r="J76" t="s">
        <v>293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294</v>
      </c>
    </row>
    <row r="77" spans="1:21" x14ac:dyDescent="0.25">
      <c r="A77" t="s">
        <v>185</v>
      </c>
      <c r="B77" t="s">
        <v>133</v>
      </c>
      <c r="C77">
        <v>76</v>
      </c>
      <c r="E77" t="s">
        <v>289</v>
      </c>
      <c r="F77" t="s">
        <v>373</v>
      </c>
      <c r="G77" t="s">
        <v>291</v>
      </c>
      <c r="H77" t="s">
        <v>292</v>
      </c>
      <c r="I77" t="s">
        <v>133</v>
      </c>
      <c r="J77" t="s">
        <v>293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294</v>
      </c>
    </row>
    <row r="78" spans="1:21" x14ac:dyDescent="0.25">
      <c r="A78" t="s">
        <v>184</v>
      </c>
      <c r="B78" t="s">
        <v>135</v>
      </c>
      <c r="C78">
        <v>77</v>
      </c>
      <c r="E78" t="s">
        <v>289</v>
      </c>
      <c r="F78" t="s">
        <v>374</v>
      </c>
      <c r="G78" t="s">
        <v>291</v>
      </c>
      <c r="H78" t="s">
        <v>292</v>
      </c>
      <c r="I78" t="s">
        <v>135</v>
      </c>
      <c r="J78" t="s">
        <v>293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294</v>
      </c>
    </row>
    <row r="79" spans="1:21" x14ac:dyDescent="0.25">
      <c r="A79" t="s">
        <v>183</v>
      </c>
      <c r="B79" t="s">
        <v>133</v>
      </c>
      <c r="C79">
        <v>78</v>
      </c>
      <c r="E79" t="s">
        <v>289</v>
      </c>
      <c r="F79" t="s">
        <v>375</v>
      </c>
      <c r="G79" t="s">
        <v>291</v>
      </c>
      <c r="H79" t="s">
        <v>292</v>
      </c>
      <c r="I79" t="s">
        <v>133</v>
      </c>
      <c r="J79" t="s">
        <v>293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294</v>
      </c>
    </row>
    <row r="80" spans="1:21" x14ac:dyDescent="0.25">
      <c r="A80" t="s">
        <v>182</v>
      </c>
      <c r="B80" t="s">
        <v>133</v>
      </c>
      <c r="C80">
        <v>79</v>
      </c>
      <c r="E80" t="s">
        <v>289</v>
      </c>
      <c r="F80" t="s">
        <v>376</v>
      </c>
      <c r="G80" t="s">
        <v>291</v>
      </c>
      <c r="H80" t="s">
        <v>292</v>
      </c>
      <c r="I80" t="s">
        <v>133</v>
      </c>
      <c r="J80" t="s">
        <v>293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294</v>
      </c>
    </row>
    <row r="81" spans="1:21" x14ac:dyDescent="0.25">
      <c r="A81" t="s">
        <v>181</v>
      </c>
      <c r="B81" t="s">
        <v>135</v>
      </c>
      <c r="C81">
        <v>80</v>
      </c>
      <c r="E81" t="s">
        <v>289</v>
      </c>
      <c r="F81" t="s">
        <v>377</v>
      </c>
      <c r="G81" t="s">
        <v>291</v>
      </c>
      <c r="H81" t="s">
        <v>296</v>
      </c>
      <c r="I81" t="s">
        <v>135</v>
      </c>
      <c r="J81" t="s">
        <v>293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297</v>
      </c>
    </row>
    <row r="82" spans="1:21" x14ac:dyDescent="0.25">
      <c r="A82" t="s">
        <v>199</v>
      </c>
      <c r="B82" t="s">
        <v>133</v>
      </c>
      <c r="C82">
        <v>81</v>
      </c>
      <c r="E82" t="s">
        <v>289</v>
      </c>
      <c r="F82" t="s">
        <v>378</v>
      </c>
      <c r="G82" t="s">
        <v>291</v>
      </c>
      <c r="H82" t="s">
        <v>302</v>
      </c>
      <c r="I82" t="s">
        <v>133</v>
      </c>
      <c r="J82" t="s">
        <v>293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303</v>
      </c>
    </row>
    <row r="83" spans="1:21" x14ac:dyDescent="0.25">
      <c r="A83" t="s">
        <v>238</v>
      </c>
      <c r="B83" t="s">
        <v>133</v>
      </c>
      <c r="C83">
        <v>82</v>
      </c>
      <c r="E83" t="s">
        <v>289</v>
      </c>
      <c r="F83" t="s">
        <v>379</v>
      </c>
      <c r="G83" t="s">
        <v>291</v>
      </c>
      <c r="H83" t="s">
        <v>296</v>
      </c>
      <c r="I83" t="s">
        <v>133</v>
      </c>
      <c r="J83" t="s">
        <v>293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297</v>
      </c>
    </row>
    <row r="84" spans="1:21" x14ac:dyDescent="0.25">
      <c r="A84" t="s">
        <v>195</v>
      </c>
      <c r="B84" t="s">
        <v>133</v>
      </c>
      <c r="C84">
        <v>83</v>
      </c>
      <c r="E84" t="s">
        <v>289</v>
      </c>
      <c r="F84" t="s">
        <v>380</v>
      </c>
      <c r="G84" t="s">
        <v>291</v>
      </c>
      <c r="H84" t="s">
        <v>292</v>
      </c>
      <c r="I84" t="s">
        <v>133</v>
      </c>
      <c r="J84" t="s">
        <v>293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294</v>
      </c>
    </row>
    <row r="85" spans="1:21" x14ac:dyDescent="0.25">
      <c r="A85" t="s">
        <v>180</v>
      </c>
      <c r="B85" t="s">
        <v>133</v>
      </c>
      <c r="C85">
        <v>84</v>
      </c>
      <c r="E85" t="s">
        <v>289</v>
      </c>
      <c r="F85" t="s">
        <v>381</v>
      </c>
      <c r="G85" t="s">
        <v>291</v>
      </c>
      <c r="H85" t="s">
        <v>292</v>
      </c>
      <c r="I85" t="s">
        <v>133</v>
      </c>
      <c r="J85" t="s">
        <v>293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294</v>
      </c>
    </row>
    <row r="86" spans="1:21" x14ac:dyDescent="0.25">
      <c r="A86" t="s">
        <v>168</v>
      </c>
      <c r="B86" t="s">
        <v>135</v>
      </c>
      <c r="C86">
        <v>85</v>
      </c>
      <c r="E86" t="s">
        <v>289</v>
      </c>
      <c r="F86" t="s">
        <v>382</v>
      </c>
      <c r="G86" t="s">
        <v>291</v>
      </c>
      <c r="H86" t="s">
        <v>292</v>
      </c>
      <c r="I86" t="s">
        <v>135</v>
      </c>
      <c r="J86" t="s">
        <v>293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294</v>
      </c>
    </row>
    <row r="87" spans="1:21" x14ac:dyDescent="0.25">
      <c r="A87" t="s">
        <v>163</v>
      </c>
      <c r="B87" t="s">
        <v>133</v>
      </c>
      <c r="C87">
        <v>86</v>
      </c>
      <c r="E87" t="s">
        <v>289</v>
      </c>
      <c r="F87" t="s">
        <v>383</v>
      </c>
      <c r="G87" t="s">
        <v>291</v>
      </c>
      <c r="H87" t="s">
        <v>292</v>
      </c>
      <c r="I87" t="s">
        <v>133</v>
      </c>
      <c r="J87" t="s">
        <v>293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294</v>
      </c>
    </row>
    <row r="88" spans="1:21" x14ac:dyDescent="0.25">
      <c r="A88" t="s">
        <v>165</v>
      </c>
      <c r="B88" t="s">
        <v>133</v>
      </c>
      <c r="C88">
        <v>87</v>
      </c>
      <c r="E88" t="s">
        <v>289</v>
      </c>
      <c r="F88" t="s">
        <v>384</v>
      </c>
      <c r="G88" t="s">
        <v>291</v>
      </c>
      <c r="H88" t="s">
        <v>292</v>
      </c>
      <c r="I88" t="s">
        <v>133</v>
      </c>
      <c r="J88" t="s">
        <v>293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294</v>
      </c>
    </row>
    <row r="89" spans="1:21" x14ac:dyDescent="0.25">
      <c r="A89" t="s">
        <v>270</v>
      </c>
      <c r="B89" t="s">
        <v>133</v>
      </c>
      <c r="C89">
        <v>88</v>
      </c>
      <c r="D89" t="s">
        <v>262</v>
      </c>
      <c r="E89" t="s">
        <v>289</v>
      </c>
      <c r="F89" t="s">
        <v>385</v>
      </c>
      <c r="G89" t="s">
        <v>291</v>
      </c>
      <c r="H89" t="s">
        <v>296</v>
      </c>
      <c r="I89" t="s">
        <v>133</v>
      </c>
      <c r="J89" t="s">
        <v>293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297</v>
      </c>
    </row>
    <row r="90" spans="1:21" x14ac:dyDescent="0.25">
      <c r="A90" t="s">
        <v>227</v>
      </c>
      <c r="B90" t="s">
        <v>133</v>
      </c>
      <c r="C90">
        <v>89</v>
      </c>
      <c r="E90" t="s">
        <v>289</v>
      </c>
      <c r="F90" t="s">
        <v>386</v>
      </c>
      <c r="G90" t="s">
        <v>291</v>
      </c>
      <c r="H90" t="s">
        <v>296</v>
      </c>
      <c r="I90" t="s">
        <v>133</v>
      </c>
      <c r="J90" t="s">
        <v>293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297</v>
      </c>
    </row>
    <row r="91" spans="1:21" x14ac:dyDescent="0.25">
      <c r="A91" t="s">
        <v>251</v>
      </c>
      <c r="B91" t="s">
        <v>134</v>
      </c>
      <c r="C91">
        <v>90</v>
      </c>
      <c r="D91" t="s">
        <v>240</v>
      </c>
      <c r="E91" t="s">
        <v>387</v>
      </c>
      <c r="F91" t="s">
        <v>388</v>
      </c>
      <c r="J91" t="s">
        <v>293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389</v>
      </c>
    </row>
    <row r="92" spans="1:21" x14ac:dyDescent="0.25">
      <c r="A92" t="s">
        <v>250</v>
      </c>
      <c r="B92" t="s">
        <v>134</v>
      </c>
      <c r="C92">
        <v>91</v>
      </c>
      <c r="D92" t="s">
        <v>240</v>
      </c>
      <c r="E92" t="s">
        <v>387</v>
      </c>
      <c r="F92" t="s">
        <v>390</v>
      </c>
      <c r="J92" t="s">
        <v>293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389</v>
      </c>
    </row>
    <row r="93" spans="1:21" x14ac:dyDescent="0.25">
      <c r="A93" t="s">
        <v>249</v>
      </c>
      <c r="B93" t="s">
        <v>134</v>
      </c>
      <c r="C93">
        <v>92</v>
      </c>
      <c r="D93" t="s">
        <v>240</v>
      </c>
      <c r="E93" t="s">
        <v>387</v>
      </c>
      <c r="F93" t="s">
        <v>391</v>
      </c>
      <c r="J93" t="s">
        <v>293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389</v>
      </c>
    </row>
    <row r="94" spans="1:21" x14ac:dyDescent="0.25">
      <c r="A94" t="s">
        <v>248</v>
      </c>
      <c r="B94" t="s">
        <v>133</v>
      </c>
      <c r="C94">
        <v>93</v>
      </c>
      <c r="D94" t="s">
        <v>240</v>
      </c>
      <c r="E94" t="s">
        <v>387</v>
      </c>
      <c r="F94" t="s">
        <v>392</v>
      </c>
      <c r="J94" t="s">
        <v>293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389</v>
      </c>
    </row>
    <row r="95" spans="1:21" x14ac:dyDescent="0.25">
      <c r="A95" t="s">
        <v>259</v>
      </c>
      <c r="B95" t="s">
        <v>134</v>
      </c>
      <c r="C95">
        <v>94</v>
      </c>
      <c r="D95" t="s">
        <v>240</v>
      </c>
      <c r="E95" t="s">
        <v>387</v>
      </c>
      <c r="F95" t="s">
        <v>393</v>
      </c>
      <c r="J95" t="s">
        <v>293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389</v>
      </c>
    </row>
    <row r="96" spans="1:21" x14ac:dyDescent="0.25">
      <c r="A96" t="s">
        <v>415</v>
      </c>
      <c r="B96" t="s">
        <v>133</v>
      </c>
      <c r="C96">
        <v>95</v>
      </c>
      <c r="D96" t="s">
        <v>240</v>
      </c>
      <c r="E96" t="s">
        <v>387</v>
      </c>
      <c r="F96" t="s">
        <v>394</v>
      </c>
      <c r="J96" t="s">
        <v>293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389</v>
      </c>
    </row>
    <row r="97" spans="1:21" x14ac:dyDescent="0.25">
      <c r="A97" t="s">
        <v>239</v>
      </c>
      <c r="B97" t="s">
        <v>134</v>
      </c>
      <c r="C97">
        <v>96</v>
      </c>
      <c r="D97" t="s">
        <v>240</v>
      </c>
      <c r="E97" t="s">
        <v>387</v>
      </c>
      <c r="F97" t="s">
        <v>395</v>
      </c>
      <c r="J97" t="s">
        <v>293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389</v>
      </c>
    </row>
    <row r="98" spans="1:21" x14ac:dyDescent="0.25">
      <c r="A98" t="s">
        <v>241</v>
      </c>
      <c r="B98" t="s">
        <v>134</v>
      </c>
      <c r="C98">
        <v>97</v>
      </c>
      <c r="D98" t="s">
        <v>240</v>
      </c>
      <c r="E98" t="s">
        <v>387</v>
      </c>
      <c r="F98" t="s">
        <v>396</v>
      </c>
      <c r="J98" t="s">
        <v>293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389</v>
      </c>
    </row>
    <row r="99" spans="1:21" x14ac:dyDescent="0.25">
      <c r="A99" t="s">
        <v>242</v>
      </c>
      <c r="B99" t="s">
        <v>133</v>
      </c>
      <c r="C99">
        <v>98</v>
      </c>
      <c r="D99" t="s">
        <v>240</v>
      </c>
      <c r="E99" t="s">
        <v>387</v>
      </c>
      <c r="F99" t="s">
        <v>397</v>
      </c>
      <c r="J99" t="s">
        <v>293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389</v>
      </c>
    </row>
    <row r="100" spans="1:21" x14ac:dyDescent="0.25">
      <c r="A100" t="s">
        <v>246</v>
      </c>
      <c r="B100" t="s">
        <v>134</v>
      </c>
      <c r="C100">
        <v>99</v>
      </c>
      <c r="D100" t="s">
        <v>240</v>
      </c>
      <c r="E100" t="s">
        <v>387</v>
      </c>
      <c r="F100" t="s">
        <v>398</v>
      </c>
      <c r="J100" t="s">
        <v>293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389</v>
      </c>
    </row>
    <row r="101" spans="1:21" x14ac:dyDescent="0.25">
      <c r="A101" t="s">
        <v>243</v>
      </c>
      <c r="B101" t="s">
        <v>134</v>
      </c>
      <c r="C101">
        <v>100</v>
      </c>
      <c r="D101" t="s">
        <v>240</v>
      </c>
      <c r="E101" t="s">
        <v>387</v>
      </c>
      <c r="F101" t="s">
        <v>399</v>
      </c>
      <c r="J101" t="s">
        <v>293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389</v>
      </c>
    </row>
    <row r="102" spans="1:21" x14ac:dyDescent="0.25">
      <c r="A102" t="s">
        <v>244</v>
      </c>
      <c r="B102" t="s">
        <v>134</v>
      </c>
      <c r="C102">
        <v>101</v>
      </c>
      <c r="D102" t="s">
        <v>240</v>
      </c>
      <c r="E102" t="s">
        <v>387</v>
      </c>
      <c r="F102" t="s">
        <v>400</v>
      </c>
      <c r="J102" t="s">
        <v>293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389</v>
      </c>
    </row>
    <row r="103" spans="1:21" x14ac:dyDescent="0.25">
      <c r="A103" t="s">
        <v>245</v>
      </c>
      <c r="B103" t="s">
        <v>134</v>
      </c>
      <c r="C103">
        <v>102</v>
      </c>
      <c r="D103" t="s">
        <v>240</v>
      </c>
      <c r="E103" t="s">
        <v>387</v>
      </c>
      <c r="F103" t="s">
        <v>401</v>
      </c>
      <c r="J103" t="s">
        <v>293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389</v>
      </c>
    </row>
    <row r="104" spans="1:21" x14ac:dyDescent="0.25">
      <c r="A104" t="s">
        <v>416</v>
      </c>
      <c r="B104" t="s">
        <v>133</v>
      </c>
      <c r="C104">
        <v>103</v>
      </c>
      <c r="D104" t="s">
        <v>240</v>
      </c>
      <c r="E104" t="s">
        <v>387</v>
      </c>
      <c r="F104" t="s">
        <v>402</v>
      </c>
      <c r="J104" t="s">
        <v>293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389</v>
      </c>
    </row>
    <row r="105" spans="1:21" x14ac:dyDescent="0.25">
      <c r="A105" t="s">
        <v>417</v>
      </c>
      <c r="B105" t="s">
        <v>133</v>
      </c>
      <c r="C105">
        <v>104</v>
      </c>
      <c r="D105" t="s">
        <v>240</v>
      </c>
      <c r="E105" t="s">
        <v>387</v>
      </c>
      <c r="F105" t="s">
        <v>403</v>
      </c>
      <c r="J105" t="s">
        <v>293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389</v>
      </c>
    </row>
    <row r="106" spans="1:21" x14ac:dyDescent="0.25">
      <c r="A106" t="s">
        <v>418</v>
      </c>
      <c r="B106" t="s">
        <v>133</v>
      </c>
      <c r="C106">
        <v>105</v>
      </c>
      <c r="D106" t="s">
        <v>240</v>
      </c>
      <c r="E106" t="s">
        <v>387</v>
      </c>
      <c r="F106" t="s">
        <v>404</v>
      </c>
      <c r="J106" t="s">
        <v>293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389</v>
      </c>
    </row>
    <row r="107" spans="1:21" x14ac:dyDescent="0.25">
      <c r="A107" t="s">
        <v>260</v>
      </c>
      <c r="B107" t="s">
        <v>134</v>
      </c>
      <c r="C107">
        <v>106</v>
      </c>
      <c r="D107" t="s">
        <v>240</v>
      </c>
      <c r="E107" t="s">
        <v>387</v>
      </c>
      <c r="F107" t="s">
        <v>405</v>
      </c>
      <c r="J107" t="s">
        <v>293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389</v>
      </c>
    </row>
    <row r="108" spans="1:21" x14ac:dyDescent="0.25">
      <c r="A108" t="s">
        <v>252</v>
      </c>
      <c r="B108" t="s">
        <v>134</v>
      </c>
      <c r="C108">
        <v>107</v>
      </c>
      <c r="D108" t="s">
        <v>240</v>
      </c>
      <c r="E108" t="s">
        <v>387</v>
      </c>
      <c r="F108" t="s">
        <v>406</v>
      </c>
      <c r="J108" t="s">
        <v>293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389</v>
      </c>
    </row>
    <row r="109" spans="1:21" x14ac:dyDescent="0.25">
      <c r="A109" t="s">
        <v>253</v>
      </c>
      <c r="B109" t="s">
        <v>134</v>
      </c>
      <c r="C109">
        <v>108</v>
      </c>
      <c r="D109" t="s">
        <v>240</v>
      </c>
      <c r="E109" t="s">
        <v>387</v>
      </c>
      <c r="F109" t="s">
        <v>407</v>
      </c>
      <c r="J109" t="s">
        <v>293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389</v>
      </c>
    </row>
    <row r="110" spans="1:21" x14ac:dyDescent="0.25">
      <c r="A110" t="s">
        <v>419</v>
      </c>
      <c r="B110" t="s">
        <v>133</v>
      </c>
      <c r="C110">
        <v>109</v>
      </c>
      <c r="D110" t="s">
        <v>240</v>
      </c>
      <c r="E110" t="s">
        <v>387</v>
      </c>
      <c r="F110" t="s">
        <v>408</v>
      </c>
      <c r="J110" t="s">
        <v>293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389</v>
      </c>
    </row>
    <row r="111" spans="1:21" x14ac:dyDescent="0.25">
      <c r="A111" t="s">
        <v>255</v>
      </c>
      <c r="B111" t="s">
        <v>134</v>
      </c>
      <c r="C111">
        <v>110</v>
      </c>
      <c r="D111" t="s">
        <v>240</v>
      </c>
      <c r="E111" t="s">
        <v>387</v>
      </c>
      <c r="F111" t="s">
        <v>409</v>
      </c>
      <c r="J111" t="s">
        <v>293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389</v>
      </c>
    </row>
    <row r="112" spans="1:21" x14ac:dyDescent="0.25">
      <c r="A112" t="s">
        <v>256</v>
      </c>
      <c r="B112" t="s">
        <v>134</v>
      </c>
      <c r="C112">
        <v>111</v>
      </c>
      <c r="D112" t="s">
        <v>240</v>
      </c>
      <c r="E112" t="s">
        <v>387</v>
      </c>
      <c r="F112" t="s">
        <v>410</v>
      </c>
      <c r="J112" t="s">
        <v>293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389</v>
      </c>
    </row>
    <row r="113" spans="1:21" x14ac:dyDescent="0.25">
      <c r="A113" t="s">
        <v>257</v>
      </c>
      <c r="B113" t="s">
        <v>134</v>
      </c>
      <c r="C113">
        <v>112</v>
      </c>
      <c r="D113" t="s">
        <v>240</v>
      </c>
      <c r="E113" t="s">
        <v>387</v>
      </c>
      <c r="F113" t="s">
        <v>411</v>
      </c>
      <c r="J113" t="s">
        <v>293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389</v>
      </c>
    </row>
    <row r="114" spans="1:21" x14ac:dyDescent="0.25">
      <c r="A114" t="s">
        <v>258</v>
      </c>
      <c r="B114" t="s">
        <v>134</v>
      </c>
      <c r="C114">
        <v>113</v>
      </c>
      <c r="D114" t="s">
        <v>240</v>
      </c>
      <c r="E114" t="s">
        <v>387</v>
      </c>
      <c r="F114" t="s">
        <v>412</v>
      </c>
      <c r="J114" t="s">
        <v>293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389</v>
      </c>
    </row>
    <row r="115" spans="1:21" x14ac:dyDescent="0.25">
      <c r="A115" t="s">
        <v>254</v>
      </c>
      <c r="B115" t="s">
        <v>134</v>
      </c>
      <c r="C115">
        <v>114</v>
      </c>
      <c r="D115" t="s">
        <v>240</v>
      </c>
      <c r="E115" t="s">
        <v>387</v>
      </c>
      <c r="F115" t="s">
        <v>413</v>
      </c>
      <c r="J115" t="s">
        <v>293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389</v>
      </c>
    </row>
    <row r="116" spans="1:21" x14ac:dyDescent="0.25">
      <c r="A116" t="s">
        <v>247</v>
      </c>
      <c r="B116" t="s">
        <v>134</v>
      </c>
      <c r="C116">
        <v>115</v>
      </c>
      <c r="D116" t="s">
        <v>240</v>
      </c>
      <c r="E116" t="s">
        <v>387</v>
      </c>
      <c r="F116" t="s">
        <v>414</v>
      </c>
      <c r="J116" t="s">
        <v>293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389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6632-5B15-4C73-A3F4-3E5A67AA56BB}">
  <dimension ref="A1:U116"/>
  <sheetViews>
    <sheetView workbookViewId="0"/>
  </sheetViews>
  <sheetFormatPr defaultRowHeight="15" x14ac:dyDescent="0.25"/>
  <cols>
    <col min="1" max="1" width="25.71093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144</v>
      </c>
      <c r="B1" t="s">
        <v>79</v>
      </c>
      <c r="C1" t="s">
        <v>158</v>
      </c>
      <c r="D1" t="s">
        <v>159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</row>
    <row r="2" spans="1:21" x14ac:dyDescent="0.25">
      <c r="A2" t="s">
        <v>271</v>
      </c>
      <c r="B2" t="s">
        <v>133</v>
      </c>
      <c r="C2">
        <v>1</v>
      </c>
      <c r="D2" t="s">
        <v>262</v>
      </c>
      <c r="E2" t="s">
        <v>289</v>
      </c>
      <c r="F2" t="s">
        <v>290</v>
      </c>
      <c r="G2" t="s">
        <v>291</v>
      </c>
      <c r="H2" t="s">
        <v>292</v>
      </c>
      <c r="I2" t="s">
        <v>133</v>
      </c>
      <c r="J2" t="s">
        <v>293</v>
      </c>
      <c r="L2">
        <v>60</v>
      </c>
      <c r="M2">
        <v>46223</v>
      </c>
      <c r="N2">
        <v>46250</v>
      </c>
      <c r="O2">
        <v>2</v>
      </c>
      <c r="P2">
        <v>120</v>
      </c>
      <c r="Q2">
        <v>15.789473684210527</v>
      </c>
      <c r="R2">
        <v>15</v>
      </c>
      <c r="S2">
        <v>20</v>
      </c>
      <c r="T2">
        <v>15</v>
      </c>
      <c r="U2" t="s">
        <v>294</v>
      </c>
    </row>
    <row r="3" spans="1:21" x14ac:dyDescent="0.25">
      <c r="A3" t="s">
        <v>218</v>
      </c>
      <c r="B3" t="s">
        <v>133</v>
      </c>
      <c r="C3">
        <v>2</v>
      </c>
      <c r="E3" t="s">
        <v>289</v>
      </c>
      <c r="F3" t="s">
        <v>295</v>
      </c>
      <c r="G3" t="s">
        <v>291</v>
      </c>
      <c r="H3" t="s">
        <v>296</v>
      </c>
      <c r="I3" t="s">
        <v>133</v>
      </c>
      <c r="J3" t="s">
        <v>293</v>
      </c>
      <c r="L3">
        <v>0</v>
      </c>
      <c r="M3">
        <v>46223</v>
      </c>
      <c r="N3">
        <v>46250</v>
      </c>
      <c r="O3">
        <v>2</v>
      </c>
      <c r="P3">
        <v>0</v>
      </c>
      <c r="Q3">
        <v>0</v>
      </c>
      <c r="R3">
        <v>0</v>
      </c>
      <c r="S3">
        <v>20</v>
      </c>
      <c r="T3">
        <v>20</v>
      </c>
      <c r="U3" t="s">
        <v>297</v>
      </c>
    </row>
    <row r="4" spans="1:21" x14ac:dyDescent="0.25">
      <c r="A4" t="s">
        <v>217</v>
      </c>
      <c r="B4" t="s">
        <v>135</v>
      </c>
      <c r="C4">
        <v>3</v>
      </c>
      <c r="E4" t="s">
        <v>289</v>
      </c>
      <c r="F4" t="s">
        <v>298</v>
      </c>
      <c r="G4" t="s">
        <v>291</v>
      </c>
      <c r="H4" t="s">
        <v>292</v>
      </c>
      <c r="I4" t="s">
        <v>135</v>
      </c>
      <c r="J4" t="s">
        <v>293</v>
      </c>
      <c r="L4">
        <v>54</v>
      </c>
      <c r="M4">
        <v>46223</v>
      </c>
      <c r="N4">
        <v>46250</v>
      </c>
      <c r="O4">
        <v>2</v>
      </c>
      <c r="P4">
        <v>108</v>
      </c>
      <c r="Q4">
        <v>14.210526315789474</v>
      </c>
      <c r="R4">
        <v>14</v>
      </c>
      <c r="S4">
        <v>20</v>
      </c>
      <c r="T4">
        <v>14</v>
      </c>
      <c r="U4" t="s">
        <v>294</v>
      </c>
    </row>
    <row r="5" spans="1:21" x14ac:dyDescent="0.25">
      <c r="A5" t="s">
        <v>216</v>
      </c>
      <c r="B5" t="s">
        <v>133</v>
      </c>
      <c r="C5">
        <v>4</v>
      </c>
      <c r="E5" t="s">
        <v>289</v>
      </c>
      <c r="F5" t="s">
        <v>299</v>
      </c>
      <c r="G5" t="s">
        <v>291</v>
      </c>
      <c r="H5" t="s">
        <v>292</v>
      </c>
      <c r="I5" t="s">
        <v>133</v>
      </c>
      <c r="J5" t="s">
        <v>293</v>
      </c>
      <c r="L5">
        <v>37.5</v>
      </c>
      <c r="M5">
        <v>46223</v>
      </c>
      <c r="N5">
        <v>46250</v>
      </c>
      <c r="O5">
        <v>2</v>
      </c>
      <c r="P5">
        <v>75</v>
      </c>
      <c r="Q5">
        <v>9.8684210526315788</v>
      </c>
      <c r="R5">
        <v>9</v>
      </c>
      <c r="S5">
        <v>20</v>
      </c>
      <c r="T5">
        <v>9</v>
      </c>
      <c r="U5" t="s">
        <v>294</v>
      </c>
    </row>
    <row r="6" spans="1:21" x14ac:dyDescent="0.25">
      <c r="A6" t="s">
        <v>215</v>
      </c>
      <c r="B6" t="s">
        <v>133</v>
      </c>
      <c r="C6">
        <v>5</v>
      </c>
      <c r="E6" t="s">
        <v>289</v>
      </c>
      <c r="F6" t="s">
        <v>300</v>
      </c>
      <c r="G6" t="s">
        <v>291</v>
      </c>
      <c r="H6" t="s">
        <v>292</v>
      </c>
      <c r="I6" t="s">
        <v>133</v>
      </c>
      <c r="J6" t="s">
        <v>293</v>
      </c>
      <c r="L6">
        <v>60</v>
      </c>
      <c r="M6">
        <v>46223</v>
      </c>
      <c r="N6">
        <v>46250</v>
      </c>
      <c r="O6">
        <v>2</v>
      </c>
      <c r="P6">
        <v>120</v>
      </c>
      <c r="Q6">
        <v>15.789473684210527</v>
      </c>
      <c r="R6">
        <v>15</v>
      </c>
      <c r="S6">
        <v>20</v>
      </c>
      <c r="T6">
        <v>15</v>
      </c>
      <c r="U6" t="s">
        <v>294</v>
      </c>
    </row>
    <row r="7" spans="1:21" x14ac:dyDescent="0.25">
      <c r="A7" t="s">
        <v>214</v>
      </c>
      <c r="B7" t="s">
        <v>133</v>
      </c>
      <c r="C7">
        <v>6</v>
      </c>
      <c r="E7" t="s">
        <v>289</v>
      </c>
      <c r="F7" t="s">
        <v>301</v>
      </c>
      <c r="G7" t="s">
        <v>291</v>
      </c>
      <c r="H7" t="s">
        <v>302</v>
      </c>
      <c r="I7" t="s">
        <v>133</v>
      </c>
      <c r="J7" t="s">
        <v>293</v>
      </c>
      <c r="L7">
        <v>76</v>
      </c>
      <c r="M7">
        <v>46223</v>
      </c>
      <c r="N7">
        <v>46250</v>
      </c>
      <c r="O7">
        <v>2</v>
      </c>
      <c r="P7">
        <v>152</v>
      </c>
      <c r="Q7">
        <v>20</v>
      </c>
      <c r="R7">
        <v>20</v>
      </c>
      <c r="S7">
        <v>20</v>
      </c>
      <c r="T7">
        <v>20</v>
      </c>
      <c r="U7" t="s">
        <v>303</v>
      </c>
    </row>
    <row r="8" spans="1:21" x14ac:dyDescent="0.25">
      <c r="A8" t="s">
        <v>213</v>
      </c>
      <c r="B8" t="s">
        <v>135</v>
      </c>
      <c r="C8">
        <v>7</v>
      </c>
      <c r="E8" t="s">
        <v>289</v>
      </c>
      <c r="F8" t="s">
        <v>304</v>
      </c>
      <c r="G8" t="s">
        <v>291</v>
      </c>
      <c r="H8" t="s">
        <v>292</v>
      </c>
      <c r="I8" t="s">
        <v>135</v>
      </c>
      <c r="J8" t="s">
        <v>293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294</v>
      </c>
    </row>
    <row r="9" spans="1:21" x14ac:dyDescent="0.25">
      <c r="A9" t="s">
        <v>212</v>
      </c>
      <c r="B9" t="s">
        <v>135</v>
      </c>
      <c r="C9">
        <v>8</v>
      </c>
      <c r="E9" t="s">
        <v>289</v>
      </c>
      <c r="F9" t="s">
        <v>305</v>
      </c>
      <c r="G9" t="s">
        <v>291</v>
      </c>
      <c r="H9" t="s">
        <v>292</v>
      </c>
      <c r="I9" t="s">
        <v>135</v>
      </c>
      <c r="J9" t="s">
        <v>293</v>
      </c>
      <c r="L9">
        <v>39.5</v>
      </c>
      <c r="M9">
        <v>46223</v>
      </c>
      <c r="N9">
        <v>46250</v>
      </c>
      <c r="O9">
        <v>2</v>
      </c>
      <c r="P9">
        <v>79</v>
      </c>
      <c r="Q9">
        <v>10.394736842105264</v>
      </c>
      <c r="R9">
        <v>10</v>
      </c>
      <c r="S9">
        <v>20</v>
      </c>
      <c r="T9">
        <v>10</v>
      </c>
      <c r="U9" t="s">
        <v>294</v>
      </c>
    </row>
    <row r="10" spans="1:21" x14ac:dyDescent="0.25">
      <c r="A10" t="s">
        <v>211</v>
      </c>
      <c r="B10" t="s">
        <v>133</v>
      </c>
      <c r="C10">
        <v>9</v>
      </c>
      <c r="E10" t="s">
        <v>289</v>
      </c>
      <c r="F10" t="s">
        <v>306</v>
      </c>
      <c r="G10" t="s">
        <v>291</v>
      </c>
      <c r="H10" t="s">
        <v>296</v>
      </c>
      <c r="I10" t="s">
        <v>133</v>
      </c>
      <c r="J10" t="s">
        <v>293</v>
      </c>
      <c r="L10">
        <v>0</v>
      </c>
      <c r="M10">
        <v>46223</v>
      </c>
      <c r="N10">
        <v>46250</v>
      </c>
      <c r="O10">
        <v>2</v>
      </c>
      <c r="P10">
        <v>0</v>
      </c>
      <c r="Q10">
        <v>0</v>
      </c>
      <c r="R10">
        <v>0</v>
      </c>
      <c r="S10">
        <v>20</v>
      </c>
      <c r="T10">
        <v>20</v>
      </c>
      <c r="U10" t="s">
        <v>297</v>
      </c>
    </row>
    <row r="11" spans="1:21" x14ac:dyDescent="0.25">
      <c r="A11" t="s">
        <v>210</v>
      </c>
      <c r="B11" t="s">
        <v>133</v>
      </c>
      <c r="C11">
        <v>10</v>
      </c>
      <c r="E11" t="s">
        <v>289</v>
      </c>
      <c r="F11" t="s">
        <v>307</v>
      </c>
      <c r="G11" t="s">
        <v>291</v>
      </c>
      <c r="H11" t="s">
        <v>292</v>
      </c>
      <c r="I11" t="s">
        <v>133</v>
      </c>
      <c r="J11" t="s">
        <v>293</v>
      </c>
      <c r="L11">
        <v>52.5</v>
      </c>
      <c r="M11">
        <v>46223</v>
      </c>
      <c r="N11">
        <v>46250</v>
      </c>
      <c r="O11">
        <v>2</v>
      </c>
      <c r="P11">
        <v>105</v>
      </c>
      <c r="Q11">
        <v>13.815789473684212</v>
      </c>
      <c r="R11">
        <v>13</v>
      </c>
      <c r="S11">
        <v>20</v>
      </c>
      <c r="T11">
        <v>13</v>
      </c>
      <c r="U11" t="s">
        <v>294</v>
      </c>
    </row>
    <row r="12" spans="1:21" x14ac:dyDescent="0.25">
      <c r="A12" t="s">
        <v>209</v>
      </c>
      <c r="B12" t="s">
        <v>135</v>
      </c>
      <c r="C12">
        <v>11</v>
      </c>
      <c r="E12" t="s">
        <v>289</v>
      </c>
      <c r="F12" t="s">
        <v>308</v>
      </c>
      <c r="G12" t="s">
        <v>291</v>
      </c>
      <c r="H12" t="s">
        <v>292</v>
      </c>
      <c r="I12" t="s">
        <v>135</v>
      </c>
      <c r="J12" t="s">
        <v>293</v>
      </c>
      <c r="L12">
        <v>66.5</v>
      </c>
      <c r="M12">
        <v>46223</v>
      </c>
      <c r="N12">
        <v>46250</v>
      </c>
      <c r="O12">
        <v>2</v>
      </c>
      <c r="P12">
        <v>133</v>
      </c>
      <c r="Q12">
        <v>17.5</v>
      </c>
      <c r="R12">
        <v>17</v>
      </c>
      <c r="S12">
        <v>20</v>
      </c>
      <c r="T12">
        <v>17</v>
      </c>
      <c r="U12" t="s">
        <v>294</v>
      </c>
    </row>
    <row r="13" spans="1:21" x14ac:dyDescent="0.25">
      <c r="A13" t="s">
        <v>208</v>
      </c>
      <c r="B13" t="s">
        <v>133</v>
      </c>
      <c r="C13">
        <v>12</v>
      </c>
      <c r="E13" t="s">
        <v>289</v>
      </c>
      <c r="F13" t="s">
        <v>309</v>
      </c>
      <c r="G13" t="s">
        <v>291</v>
      </c>
      <c r="H13" t="s">
        <v>292</v>
      </c>
      <c r="I13" t="s">
        <v>133</v>
      </c>
      <c r="J13" t="s">
        <v>293</v>
      </c>
      <c r="L13">
        <v>52.5</v>
      </c>
      <c r="M13">
        <v>46223</v>
      </c>
      <c r="N13">
        <v>46250</v>
      </c>
      <c r="O13">
        <v>2</v>
      </c>
      <c r="P13">
        <v>105</v>
      </c>
      <c r="Q13">
        <v>13.815789473684212</v>
      </c>
      <c r="R13">
        <v>13</v>
      </c>
      <c r="S13">
        <v>20</v>
      </c>
      <c r="T13">
        <v>13</v>
      </c>
      <c r="U13" t="s">
        <v>294</v>
      </c>
    </row>
    <row r="14" spans="1:21" x14ac:dyDescent="0.25">
      <c r="A14" t="s">
        <v>207</v>
      </c>
      <c r="B14" t="s">
        <v>133</v>
      </c>
      <c r="C14">
        <v>13</v>
      </c>
      <c r="E14" t="s">
        <v>289</v>
      </c>
      <c r="F14" t="s">
        <v>310</v>
      </c>
      <c r="G14" t="s">
        <v>291</v>
      </c>
      <c r="H14" t="s">
        <v>292</v>
      </c>
      <c r="I14" t="s">
        <v>133</v>
      </c>
      <c r="J14" t="s">
        <v>293</v>
      </c>
      <c r="L14">
        <v>52.5</v>
      </c>
      <c r="M14">
        <v>46223</v>
      </c>
      <c r="N14">
        <v>46250</v>
      </c>
      <c r="O14">
        <v>2</v>
      </c>
      <c r="P14">
        <v>105</v>
      </c>
      <c r="Q14">
        <v>13.815789473684212</v>
      </c>
      <c r="R14">
        <v>13</v>
      </c>
      <c r="S14">
        <v>20</v>
      </c>
      <c r="T14">
        <v>13</v>
      </c>
      <c r="U14" t="s">
        <v>294</v>
      </c>
    </row>
    <row r="15" spans="1:21" x14ac:dyDescent="0.25">
      <c r="A15" t="s">
        <v>206</v>
      </c>
      <c r="B15" t="s">
        <v>135</v>
      </c>
      <c r="C15">
        <v>14</v>
      </c>
      <c r="E15" t="s">
        <v>289</v>
      </c>
      <c r="F15" t="s">
        <v>311</v>
      </c>
      <c r="G15" t="s">
        <v>291</v>
      </c>
      <c r="H15" t="s">
        <v>292</v>
      </c>
      <c r="I15" t="s">
        <v>135</v>
      </c>
      <c r="J15" t="s">
        <v>293</v>
      </c>
      <c r="L15">
        <v>48</v>
      </c>
      <c r="M15">
        <v>46223</v>
      </c>
      <c r="N15">
        <v>46250</v>
      </c>
      <c r="O15">
        <v>2</v>
      </c>
      <c r="P15">
        <v>96</v>
      </c>
      <c r="Q15">
        <v>12.631578947368419</v>
      </c>
      <c r="R15">
        <v>12</v>
      </c>
      <c r="S15">
        <v>20</v>
      </c>
      <c r="T15">
        <v>12</v>
      </c>
      <c r="U15" t="s">
        <v>294</v>
      </c>
    </row>
    <row r="16" spans="1:21" x14ac:dyDescent="0.25">
      <c r="A16" t="s">
        <v>205</v>
      </c>
      <c r="B16" t="s">
        <v>133</v>
      </c>
      <c r="C16">
        <v>15</v>
      </c>
      <c r="E16" t="s">
        <v>289</v>
      </c>
      <c r="F16" t="s">
        <v>312</v>
      </c>
      <c r="G16" t="s">
        <v>291</v>
      </c>
      <c r="H16" t="s">
        <v>292</v>
      </c>
      <c r="I16" t="s">
        <v>133</v>
      </c>
      <c r="J16" t="s">
        <v>293</v>
      </c>
      <c r="L16">
        <v>60</v>
      </c>
      <c r="M16">
        <v>46223</v>
      </c>
      <c r="N16">
        <v>46250</v>
      </c>
      <c r="O16">
        <v>2</v>
      </c>
      <c r="P16">
        <v>120</v>
      </c>
      <c r="Q16">
        <v>15.789473684210527</v>
      </c>
      <c r="R16">
        <v>15</v>
      </c>
      <c r="S16">
        <v>20</v>
      </c>
      <c r="T16">
        <v>15</v>
      </c>
      <c r="U16" t="s">
        <v>294</v>
      </c>
    </row>
    <row r="17" spans="1:21" x14ac:dyDescent="0.25">
      <c r="A17" t="s">
        <v>204</v>
      </c>
      <c r="B17" t="s">
        <v>133</v>
      </c>
      <c r="C17">
        <v>16</v>
      </c>
      <c r="E17" t="s">
        <v>289</v>
      </c>
      <c r="F17" t="s">
        <v>313</v>
      </c>
      <c r="G17" t="s">
        <v>291</v>
      </c>
      <c r="H17" t="s">
        <v>296</v>
      </c>
      <c r="I17" t="s">
        <v>133</v>
      </c>
      <c r="J17" t="s">
        <v>293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297</v>
      </c>
    </row>
    <row r="18" spans="1:21" x14ac:dyDescent="0.25">
      <c r="A18" t="s">
        <v>203</v>
      </c>
      <c r="B18" t="s">
        <v>133</v>
      </c>
      <c r="C18">
        <v>17</v>
      </c>
      <c r="E18" t="s">
        <v>289</v>
      </c>
      <c r="F18" t="s">
        <v>314</v>
      </c>
      <c r="G18" t="s">
        <v>291</v>
      </c>
      <c r="H18" t="s">
        <v>292</v>
      </c>
      <c r="I18" t="s">
        <v>133</v>
      </c>
      <c r="J18" t="s">
        <v>293</v>
      </c>
      <c r="L18">
        <v>30</v>
      </c>
      <c r="M18">
        <v>46223</v>
      </c>
      <c r="N18">
        <v>46250</v>
      </c>
      <c r="O18">
        <v>2</v>
      </c>
      <c r="P18">
        <v>60</v>
      </c>
      <c r="Q18">
        <v>7.8947368421052637</v>
      </c>
      <c r="R18">
        <v>7</v>
      </c>
      <c r="S18">
        <v>20</v>
      </c>
      <c r="T18">
        <v>7</v>
      </c>
      <c r="U18" t="s">
        <v>294</v>
      </c>
    </row>
    <row r="19" spans="1:21" x14ac:dyDescent="0.25">
      <c r="A19" t="s">
        <v>202</v>
      </c>
      <c r="B19" t="s">
        <v>135</v>
      </c>
      <c r="C19">
        <v>18</v>
      </c>
      <c r="E19" t="s">
        <v>289</v>
      </c>
      <c r="F19" t="s">
        <v>315</v>
      </c>
      <c r="G19" t="s">
        <v>291</v>
      </c>
      <c r="H19" t="s">
        <v>292</v>
      </c>
      <c r="I19" t="s">
        <v>135</v>
      </c>
      <c r="J19" t="s">
        <v>293</v>
      </c>
      <c r="L19">
        <v>52.5</v>
      </c>
      <c r="M19">
        <v>46223</v>
      </c>
      <c r="N19">
        <v>46250</v>
      </c>
      <c r="O19">
        <v>2</v>
      </c>
      <c r="P19">
        <v>105</v>
      </c>
      <c r="Q19">
        <v>13.815789473684212</v>
      </c>
      <c r="R19">
        <v>13</v>
      </c>
      <c r="S19">
        <v>20</v>
      </c>
      <c r="T19">
        <v>13</v>
      </c>
      <c r="U19" t="s">
        <v>294</v>
      </c>
    </row>
    <row r="20" spans="1:21" x14ac:dyDescent="0.25">
      <c r="A20" t="s">
        <v>219</v>
      </c>
      <c r="B20" t="s">
        <v>133</v>
      </c>
      <c r="C20">
        <v>19</v>
      </c>
      <c r="E20" t="s">
        <v>289</v>
      </c>
      <c r="F20" t="s">
        <v>316</v>
      </c>
      <c r="G20" t="s">
        <v>291</v>
      </c>
      <c r="H20" t="s">
        <v>292</v>
      </c>
      <c r="I20" t="s">
        <v>133</v>
      </c>
      <c r="J20" t="s">
        <v>293</v>
      </c>
      <c r="L20">
        <v>67.5</v>
      </c>
      <c r="M20">
        <v>46223</v>
      </c>
      <c r="N20">
        <v>46250</v>
      </c>
      <c r="O20">
        <v>2</v>
      </c>
      <c r="P20">
        <v>135</v>
      </c>
      <c r="Q20">
        <v>17.763157894736842</v>
      </c>
      <c r="R20">
        <v>17</v>
      </c>
      <c r="S20">
        <v>20</v>
      </c>
      <c r="T20">
        <v>17</v>
      </c>
      <c r="U20" t="s">
        <v>294</v>
      </c>
    </row>
    <row r="21" spans="1:21" x14ac:dyDescent="0.25">
      <c r="A21" t="s">
        <v>221</v>
      </c>
      <c r="B21" t="s">
        <v>133</v>
      </c>
      <c r="C21">
        <v>20</v>
      </c>
      <c r="E21" t="s">
        <v>289</v>
      </c>
      <c r="F21" t="s">
        <v>317</v>
      </c>
      <c r="G21" t="s">
        <v>291</v>
      </c>
      <c r="H21" t="s">
        <v>292</v>
      </c>
      <c r="I21" t="s">
        <v>133</v>
      </c>
      <c r="J21" t="s">
        <v>293</v>
      </c>
      <c r="L21">
        <v>75</v>
      </c>
      <c r="M21">
        <v>46223</v>
      </c>
      <c r="N21">
        <v>46250</v>
      </c>
      <c r="O21">
        <v>2</v>
      </c>
      <c r="P21">
        <v>150</v>
      </c>
      <c r="Q21">
        <v>19.736842105263161</v>
      </c>
      <c r="R21">
        <v>19</v>
      </c>
      <c r="S21">
        <v>20</v>
      </c>
      <c r="T21">
        <v>19</v>
      </c>
      <c r="U21" t="s">
        <v>294</v>
      </c>
    </row>
    <row r="22" spans="1:21" x14ac:dyDescent="0.25">
      <c r="A22" t="s">
        <v>269</v>
      </c>
      <c r="B22" t="s">
        <v>133</v>
      </c>
      <c r="C22">
        <v>21</v>
      </c>
      <c r="D22" t="s">
        <v>262</v>
      </c>
      <c r="E22" t="s">
        <v>289</v>
      </c>
      <c r="F22" t="s">
        <v>318</v>
      </c>
      <c r="G22" t="s">
        <v>291</v>
      </c>
      <c r="H22" t="s">
        <v>292</v>
      </c>
      <c r="I22" t="s">
        <v>133</v>
      </c>
      <c r="J22" t="s">
        <v>293</v>
      </c>
      <c r="L22">
        <v>30</v>
      </c>
      <c r="M22">
        <v>46223</v>
      </c>
      <c r="N22">
        <v>46250</v>
      </c>
      <c r="O22">
        <v>2</v>
      </c>
      <c r="P22">
        <v>60</v>
      </c>
      <c r="Q22">
        <v>7.8947368421052637</v>
      </c>
      <c r="R22">
        <v>7</v>
      </c>
      <c r="S22">
        <v>20</v>
      </c>
      <c r="T22">
        <v>7</v>
      </c>
      <c r="U22" t="s">
        <v>294</v>
      </c>
    </row>
    <row r="23" spans="1:21" x14ac:dyDescent="0.25">
      <c r="A23" t="s">
        <v>222</v>
      </c>
      <c r="B23" t="s">
        <v>133</v>
      </c>
      <c r="C23">
        <v>22</v>
      </c>
      <c r="E23" t="s">
        <v>289</v>
      </c>
      <c r="F23" t="s">
        <v>319</v>
      </c>
      <c r="G23" t="s">
        <v>291</v>
      </c>
      <c r="H23" t="s">
        <v>292</v>
      </c>
      <c r="I23" t="s">
        <v>133</v>
      </c>
      <c r="J23" t="s">
        <v>293</v>
      </c>
      <c r="L23">
        <v>52.5</v>
      </c>
      <c r="M23">
        <v>46223</v>
      </c>
      <c r="N23">
        <v>46250</v>
      </c>
      <c r="O23">
        <v>2</v>
      </c>
      <c r="P23">
        <v>105</v>
      </c>
      <c r="Q23">
        <v>13.815789473684212</v>
      </c>
      <c r="R23">
        <v>13</v>
      </c>
      <c r="S23">
        <v>20</v>
      </c>
      <c r="T23">
        <v>13</v>
      </c>
      <c r="U23" t="s">
        <v>294</v>
      </c>
    </row>
    <row r="24" spans="1:21" x14ac:dyDescent="0.25">
      <c r="A24" t="s">
        <v>236</v>
      </c>
      <c r="B24" t="s">
        <v>135</v>
      </c>
      <c r="C24">
        <v>23</v>
      </c>
      <c r="E24" t="s">
        <v>289</v>
      </c>
      <c r="F24" t="s">
        <v>320</v>
      </c>
      <c r="G24" t="s">
        <v>291</v>
      </c>
      <c r="H24" t="s">
        <v>292</v>
      </c>
      <c r="I24" t="s">
        <v>135</v>
      </c>
      <c r="J24" t="s">
        <v>293</v>
      </c>
      <c r="L24">
        <v>72</v>
      </c>
      <c r="M24">
        <v>46223</v>
      </c>
      <c r="N24">
        <v>46250</v>
      </c>
      <c r="O24">
        <v>2</v>
      </c>
      <c r="P24">
        <v>144</v>
      </c>
      <c r="Q24">
        <v>18.947368421052634</v>
      </c>
      <c r="R24">
        <v>18</v>
      </c>
      <c r="S24">
        <v>20</v>
      </c>
      <c r="T24">
        <v>18</v>
      </c>
      <c r="U24" t="s">
        <v>294</v>
      </c>
    </row>
    <row r="25" spans="1:21" x14ac:dyDescent="0.25">
      <c r="A25" t="s">
        <v>235</v>
      </c>
      <c r="B25" t="s">
        <v>133</v>
      </c>
      <c r="C25">
        <v>24</v>
      </c>
      <c r="E25" t="s">
        <v>289</v>
      </c>
      <c r="F25" t="s">
        <v>321</v>
      </c>
      <c r="G25" t="s">
        <v>291</v>
      </c>
      <c r="H25" t="s">
        <v>292</v>
      </c>
      <c r="I25" t="s">
        <v>133</v>
      </c>
      <c r="J25" t="s">
        <v>293</v>
      </c>
      <c r="L25">
        <v>60</v>
      </c>
      <c r="M25">
        <v>46223</v>
      </c>
      <c r="N25">
        <v>46250</v>
      </c>
      <c r="O25">
        <v>2</v>
      </c>
      <c r="P25">
        <v>120</v>
      </c>
      <c r="Q25">
        <v>15.789473684210527</v>
      </c>
      <c r="R25">
        <v>15</v>
      </c>
      <c r="S25">
        <v>20</v>
      </c>
      <c r="T25">
        <v>15</v>
      </c>
      <c r="U25" t="s">
        <v>294</v>
      </c>
    </row>
    <row r="26" spans="1:21" x14ac:dyDescent="0.25">
      <c r="A26" t="s">
        <v>234</v>
      </c>
      <c r="B26" t="s">
        <v>133</v>
      </c>
      <c r="C26">
        <v>25</v>
      </c>
      <c r="E26" t="s">
        <v>289</v>
      </c>
      <c r="F26" t="s">
        <v>322</v>
      </c>
      <c r="G26" t="s">
        <v>291</v>
      </c>
      <c r="H26" t="s">
        <v>292</v>
      </c>
      <c r="I26" t="s">
        <v>133</v>
      </c>
      <c r="J26" t="s">
        <v>293</v>
      </c>
      <c r="L26">
        <v>37.5</v>
      </c>
      <c r="M26">
        <v>46223</v>
      </c>
      <c r="N26">
        <v>46250</v>
      </c>
      <c r="O26">
        <v>2</v>
      </c>
      <c r="P26">
        <v>75</v>
      </c>
      <c r="Q26">
        <v>9.8684210526315788</v>
      </c>
      <c r="R26">
        <v>9</v>
      </c>
      <c r="S26">
        <v>20</v>
      </c>
      <c r="T26">
        <v>9</v>
      </c>
      <c r="U26" t="s">
        <v>294</v>
      </c>
    </row>
    <row r="27" spans="1:21" x14ac:dyDescent="0.25">
      <c r="A27" t="s">
        <v>233</v>
      </c>
      <c r="B27" t="s">
        <v>133</v>
      </c>
      <c r="C27">
        <v>26</v>
      </c>
      <c r="E27" t="s">
        <v>289</v>
      </c>
      <c r="F27" t="s">
        <v>323</v>
      </c>
      <c r="G27" t="s">
        <v>291</v>
      </c>
      <c r="H27" t="s">
        <v>292</v>
      </c>
      <c r="I27" t="s">
        <v>133</v>
      </c>
      <c r="J27" t="s">
        <v>293</v>
      </c>
      <c r="L27">
        <v>67.5</v>
      </c>
      <c r="M27">
        <v>46223</v>
      </c>
      <c r="N27">
        <v>46250</v>
      </c>
      <c r="O27">
        <v>2</v>
      </c>
      <c r="P27">
        <v>135</v>
      </c>
      <c r="Q27">
        <v>17.763157894736842</v>
      </c>
      <c r="R27">
        <v>17</v>
      </c>
      <c r="S27">
        <v>20</v>
      </c>
      <c r="T27">
        <v>17</v>
      </c>
      <c r="U27" t="s">
        <v>294</v>
      </c>
    </row>
    <row r="28" spans="1:21" x14ac:dyDescent="0.25">
      <c r="A28" t="s">
        <v>232</v>
      </c>
      <c r="B28" t="s">
        <v>133</v>
      </c>
      <c r="C28">
        <v>27</v>
      </c>
      <c r="E28" t="s">
        <v>289</v>
      </c>
      <c r="F28" t="s">
        <v>324</v>
      </c>
      <c r="G28" t="s">
        <v>291</v>
      </c>
      <c r="H28" t="s">
        <v>292</v>
      </c>
      <c r="I28" t="s">
        <v>133</v>
      </c>
      <c r="J28" t="s">
        <v>293</v>
      </c>
      <c r="L28">
        <v>60</v>
      </c>
      <c r="M28">
        <v>46223</v>
      </c>
      <c r="N28">
        <v>46250</v>
      </c>
      <c r="O28">
        <v>2</v>
      </c>
      <c r="P28">
        <v>120</v>
      </c>
      <c r="Q28">
        <v>15.789473684210527</v>
      </c>
      <c r="R28">
        <v>15</v>
      </c>
      <c r="S28">
        <v>20</v>
      </c>
      <c r="T28">
        <v>15</v>
      </c>
      <c r="U28" t="s">
        <v>294</v>
      </c>
    </row>
    <row r="29" spans="1:21" x14ac:dyDescent="0.25">
      <c r="A29" t="s">
        <v>231</v>
      </c>
      <c r="B29" t="s">
        <v>133</v>
      </c>
      <c r="C29">
        <v>28</v>
      </c>
      <c r="E29" t="s">
        <v>289</v>
      </c>
      <c r="F29" t="s">
        <v>325</v>
      </c>
      <c r="G29" t="s">
        <v>291</v>
      </c>
      <c r="H29" t="s">
        <v>292</v>
      </c>
      <c r="I29" t="s">
        <v>133</v>
      </c>
      <c r="J29" t="s">
        <v>293</v>
      </c>
      <c r="L29">
        <v>30</v>
      </c>
      <c r="M29">
        <v>46223</v>
      </c>
      <c r="N29">
        <v>46250</v>
      </c>
      <c r="O29">
        <v>2</v>
      </c>
      <c r="P29">
        <v>60</v>
      </c>
      <c r="Q29">
        <v>7.8947368421052637</v>
      </c>
      <c r="R29">
        <v>7</v>
      </c>
      <c r="S29">
        <v>20</v>
      </c>
      <c r="T29">
        <v>7</v>
      </c>
      <c r="U29" t="s">
        <v>294</v>
      </c>
    </row>
    <row r="30" spans="1:21" x14ac:dyDescent="0.25">
      <c r="A30" t="s">
        <v>237</v>
      </c>
      <c r="B30" t="s">
        <v>133</v>
      </c>
      <c r="C30">
        <v>29</v>
      </c>
      <c r="E30" t="s">
        <v>289</v>
      </c>
      <c r="F30" t="s">
        <v>326</v>
      </c>
      <c r="G30" t="s">
        <v>291</v>
      </c>
      <c r="H30" t="s">
        <v>292</v>
      </c>
      <c r="I30" t="s">
        <v>133</v>
      </c>
      <c r="J30" t="s">
        <v>293</v>
      </c>
      <c r="L30">
        <v>60</v>
      </c>
      <c r="M30">
        <v>46223</v>
      </c>
      <c r="N30">
        <v>46250</v>
      </c>
      <c r="O30">
        <v>2</v>
      </c>
      <c r="P30">
        <v>120</v>
      </c>
      <c r="Q30">
        <v>15.789473684210527</v>
      </c>
      <c r="R30">
        <v>15</v>
      </c>
      <c r="S30">
        <v>20</v>
      </c>
      <c r="T30">
        <v>15</v>
      </c>
      <c r="U30" t="s">
        <v>294</v>
      </c>
    </row>
    <row r="31" spans="1:21" x14ac:dyDescent="0.25">
      <c r="A31" t="s">
        <v>229</v>
      </c>
      <c r="B31" t="s">
        <v>133</v>
      </c>
      <c r="C31">
        <v>30</v>
      </c>
      <c r="E31" t="s">
        <v>289</v>
      </c>
      <c r="F31" t="s">
        <v>327</v>
      </c>
      <c r="G31" t="s">
        <v>291</v>
      </c>
      <c r="H31" t="s">
        <v>292</v>
      </c>
      <c r="I31" t="s">
        <v>133</v>
      </c>
      <c r="J31" t="s">
        <v>293</v>
      </c>
      <c r="L31">
        <v>67.5</v>
      </c>
      <c r="M31">
        <v>46223</v>
      </c>
      <c r="N31">
        <v>46250</v>
      </c>
      <c r="O31">
        <v>2</v>
      </c>
      <c r="P31">
        <v>135</v>
      </c>
      <c r="Q31">
        <v>17.763157894736842</v>
      </c>
      <c r="R31">
        <v>17</v>
      </c>
      <c r="S31">
        <v>20</v>
      </c>
      <c r="T31">
        <v>17</v>
      </c>
      <c r="U31" t="s">
        <v>294</v>
      </c>
    </row>
    <row r="32" spans="1:21" x14ac:dyDescent="0.25">
      <c r="A32" t="s">
        <v>230</v>
      </c>
      <c r="B32" t="s">
        <v>133</v>
      </c>
      <c r="C32">
        <v>31</v>
      </c>
      <c r="E32" t="s">
        <v>289</v>
      </c>
      <c r="F32" t="s">
        <v>328</v>
      </c>
      <c r="G32" t="s">
        <v>291</v>
      </c>
      <c r="H32" t="s">
        <v>292</v>
      </c>
      <c r="I32" t="s">
        <v>133</v>
      </c>
      <c r="J32" t="s">
        <v>293</v>
      </c>
      <c r="L32">
        <v>60</v>
      </c>
      <c r="M32">
        <v>46223</v>
      </c>
      <c r="N32">
        <v>46250</v>
      </c>
      <c r="O32">
        <v>2</v>
      </c>
      <c r="P32">
        <v>120</v>
      </c>
      <c r="Q32">
        <v>15.789473684210527</v>
      </c>
      <c r="R32">
        <v>15</v>
      </c>
      <c r="S32">
        <v>20</v>
      </c>
      <c r="T32">
        <v>15</v>
      </c>
      <c r="U32" t="s">
        <v>294</v>
      </c>
    </row>
    <row r="33" spans="1:21" x14ac:dyDescent="0.25">
      <c r="A33" t="s">
        <v>268</v>
      </c>
      <c r="B33" t="s">
        <v>133</v>
      </c>
      <c r="C33">
        <v>32</v>
      </c>
      <c r="D33" t="s">
        <v>262</v>
      </c>
      <c r="E33" t="s">
        <v>289</v>
      </c>
      <c r="F33" t="s">
        <v>329</v>
      </c>
      <c r="G33" t="s">
        <v>291</v>
      </c>
      <c r="H33" t="s">
        <v>292</v>
      </c>
      <c r="I33" t="s">
        <v>133</v>
      </c>
      <c r="J33" t="s">
        <v>293</v>
      </c>
      <c r="L33">
        <v>30</v>
      </c>
      <c r="M33">
        <v>46223</v>
      </c>
      <c r="N33">
        <v>46250</v>
      </c>
      <c r="O33">
        <v>2</v>
      </c>
      <c r="P33">
        <v>60</v>
      </c>
      <c r="Q33">
        <v>7.8947368421052637</v>
      </c>
      <c r="R33">
        <v>7</v>
      </c>
      <c r="S33">
        <v>20</v>
      </c>
      <c r="T33">
        <v>7</v>
      </c>
      <c r="U33" t="s">
        <v>294</v>
      </c>
    </row>
    <row r="34" spans="1:21" x14ac:dyDescent="0.25">
      <c r="A34" t="s">
        <v>228</v>
      </c>
      <c r="B34" t="s">
        <v>135</v>
      </c>
      <c r="C34">
        <v>33</v>
      </c>
      <c r="E34" t="s">
        <v>289</v>
      </c>
      <c r="F34" t="s">
        <v>330</v>
      </c>
      <c r="G34" t="s">
        <v>291</v>
      </c>
      <c r="H34" t="s">
        <v>292</v>
      </c>
      <c r="I34" t="s">
        <v>135</v>
      </c>
      <c r="J34" t="s">
        <v>293</v>
      </c>
      <c r="L34">
        <v>52.5</v>
      </c>
      <c r="M34">
        <v>46223</v>
      </c>
      <c r="N34">
        <v>46250</v>
      </c>
      <c r="O34">
        <v>2</v>
      </c>
      <c r="P34">
        <v>105</v>
      </c>
      <c r="Q34">
        <v>13.815789473684212</v>
      </c>
      <c r="R34">
        <v>13</v>
      </c>
      <c r="S34">
        <v>20</v>
      </c>
      <c r="T34">
        <v>13</v>
      </c>
      <c r="U34" t="s">
        <v>294</v>
      </c>
    </row>
    <row r="35" spans="1:21" x14ac:dyDescent="0.25">
      <c r="A35" t="s">
        <v>267</v>
      </c>
      <c r="B35" t="s">
        <v>135</v>
      </c>
      <c r="C35">
        <v>34</v>
      </c>
      <c r="D35" t="s">
        <v>262</v>
      </c>
      <c r="E35" t="s">
        <v>289</v>
      </c>
      <c r="F35" t="s">
        <v>331</v>
      </c>
      <c r="G35" t="s">
        <v>291</v>
      </c>
      <c r="H35" t="s">
        <v>292</v>
      </c>
      <c r="I35" t="s">
        <v>135</v>
      </c>
      <c r="J35" t="s">
        <v>293</v>
      </c>
      <c r="L35">
        <v>60</v>
      </c>
      <c r="M35">
        <v>46223</v>
      </c>
      <c r="N35">
        <v>46250</v>
      </c>
      <c r="O35">
        <v>2</v>
      </c>
      <c r="P35">
        <v>120</v>
      </c>
      <c r="Q35">
        <v>15.789473684210527</v>
      </c>
      <c r="R35">
        <v>15</v>
      </c>
      <c r="S35">
        <v>20</v>
      </c>
      <c r="T35">
        <v>15</v>
      </c>
      <c r="U35" t="s">
        <v>294</v>
      </c>
    </row>
    <row r="36" spans="1:21" x14ac:dyDescent="0.25">
      <c r="A36" t="s">
        <v>226</v>
      </c>
      <c r="B36" t="s">
        <v>135</v>
      </c>
      <c r="C36">
        <v>35</v>
      </c>
      <c r="E36" t="s">
        <v>289</v>
      </c>
      <c r="F36" t="s">
        <v>332</v>
      </c>
      <c r="G36" t="s">
        <v>291</v>
      </c>
      <c r="H36" t="s">
        <v>292</v>
      </c>
      <c r="I36" t="s">
        <v>135</v>
      </c>
      <c r="J36" t="s">
        <v>293</v>
      </c>
      <c r="L36">
        <v>16</v>
      </c>
      <c r="M36">
        <v>46223</v>
      </c>
      <c r="N36">
        <v>46250</v>
      </c>
      <c r="O36">
        <v>2</v>
      </c>
      <c r="P36">
        <v>32</v>
      </c>
      <c r="Q36">
        <v>4.2105263157894735</v>
      </c>
      <c r="R36">
        <v>4</v>
      </c>
      <c r="S36">
        <v>20</v>
      </c>
      <c r="T36">
        <v>4</v>
      </c>
      <c r="U36" t="s">
        <v>294</v>
      </c>
    </row>
    <row r="37" spans="1:21" x14ac:dyDescent="0.25">
      <c r="A37" t="s">
        <v>225</v>
      </c>
      <c r="B37" t="s">
        <v>133</v>
      </c>
      <c r="C37">
        <v>36</v>
      </c>
      <c r="E37" t="s">
        <v>289</v>
      </c>
      <c r="F37" t="s">
        <v>333</v>
      </c>
      <c r="G37" t="s">
        <v>291</v>
      </c>
      <c r="H37" t="s">
        <v>292</v>
      </c>
      <c r="I37" t="s">
        <v>133</v>
      </c>
      <c r="J37" t="s">
        <v>293</v>
      </c>
      <c r="L37">
        <v>75</v>
      </c>
      <c r="M37">
        <v>46223</v>
      </c>
      <c r="N37">
        <v>46250</v>
      </c>
      <c r="O37">
        <v>2</v>
      </c>
      <c r="P37">
        <v>150</v>
      </c>
      <c r="Q37">
        <v>19.736842105263161</v>
      </c>
      <c r="R37">
        <v>19</v>
      </c>
      <c r="S37">
        <v>20</v>
      </c>
      <c r="T37">
        <v>19</v>
      </c>
      <c r="U37" t="s">
        <v>294</v>
      </c>
    </row>
    <row r="38" spans="1:21" x14ac:dyDescent="0.25">
      <c r="A38" t="s">
        <v>224</v>
      </c>
      <c r="B38" t="s">
        <v>133</v>
      </c>
      <c r="C38">
        <v>37</v>
      </c>
      <c r="E38" t="s">
        <v>289</v>
      </c>
      <c r="F38" t="s">
        <v>334</v>
      </c>
      <c r="G38" t="s">
        <v>291</v>
      </c>
      <c r="H38" t="s">
        <v>296</v>
      </c>
      <c r="I38" t="s">
        <v>133</v>
      </c>
      <c r="J38" t="s">
        <v>293</v>
      </c>
      <c r="L38">
        <v>0</v>
      </c>
      <c r="M38">
        <v>46223</v>
      </c>
      <c r="N38">
        <v>46250</v>
      </c>
      <c r="O38">
        <v>2</v>
      </c>
      <c r="P38">
        <v>0</v>
      </c>
      <c r="Q38">
        <v>0</v>
      </c>
      <c r="R38">
        <v>0</v>
      </c>
      <c r="S38">
        <v>20</v>
      </c>
      <c r="T38">
        <v>20</v>
      </c>
      <c r="U38" t="s">
        <v>297</v>
      </c>
    </row>
    <row r="39" spans="1:21" x14ac:dyDescent="0.25">
      <c r="A39" t="s">
        <v>223</v>
      </c>
      <c r="B39" t="s">
        <v>133</v>
      </c>
      <c r="C39">
        <v>38</v>
      </c>
      <c r="E39" t="s">
        <v>289</v>
      </c>
      <c r="F39" t="s">
        <v>335</v>
      </c>
      <c r="G39" t="s">
        <v>291</v>
      </c>
      <c r="H39" t="s">
        <v>292</v>
      </c>
      <c r="I39" t="s">
        <v>133</v>
      </c>
      <c r="J39" t="s">
        <v>293</v>
      </c>
      <c r="L39">
        <v>60</v>
      </c>
      <c r="M39">
        <v>46223</v>
      </c>
      <c r="N39">
        <v>46250</v>
      </c>
      <c r="O39">
        <v>2</v>
      </c>
      <c r="P39">
        <v>120</v>
      </c>
      <c r="Q39">
        <v>15.789473684210527</v>
      </c>
      <c r="R39">
        <v>15</v>
      </c>
      <c r="S39">
        <v>20</v>
      </c>
      <c r="T39">
        <v>15</v>
      </c>
      <c r="U39" t="s">
        <v>294</v>
      </c>
    </row>
    <row r="40" spans="1:21" x14ac:dyDescent="0.25">
      <c r="A40" t="s">
        <v>201</v>
      </c>
      <c r="B40" t="s">
        <v>135</v>
      </c>
      <c r="C40">
        <v>39</v>
      </c>
      <c r="E40" t="s">
        <v>289</v>
      </c>
      <c r="F40" t="s">
        <v>336</v>
      </c>
      <c r="G40" t="s">
        <v>291</v>
      </c>
      <c r="H40" t="s">
        <v>296</v>
      </c>
      <c r="I40" t="s">
        <v>135</v>
      </c>
      <c r="J40" t="s">
        <v>293</v>
      </c>
      <c r="L40">
        <v>0</v>
      </c>
      <c r="M40">
        <v>46223</v>
      </c>
      <c r="N40">
        <v>46250</v>
      </c>
      <c r="O40">
        <v>2</v>
      </c>
      <c r="P40">
        <v>0</v>
      </c>
      <c r="Q40">
        <v>0</v>
      </c>
      <c r="R40">
        <v>0</v>
      </c>
      <c r="S40">
        <v>20</v>
      </c>
      <c r="T40">
        <v>20</v>
      </c>
      <c r="U40" t="s">
        <v>297</v>
      </c>
    </row>
    <row r="41" spans="1:21" x14ac:dyDescent="0.25">
      <c r="A41" t="s">
        <v>220</v>
      </c>
      <c r="B41" t="s">
        <v>133</v>
      </c>
      <c r="C41">
        <v>40</v>
      </c>
      <c r="E41" t="s">
        <v>289</v>
      </c>
      <c r="F41" t="s">
        <v>337</v>
      </c>
      <c r="G41" t="s">
        <v>291</v>
      </c>
      <c r="H41" t="s">
        <v>292</v>
      </c>
      <c r="I41" t="s">
        <v>133</v>
      </c>
      <c r="J41" t="s">
        <v>293</v>
      </c>
      <c r="L41">
        <v>22.5</v>
      </c>
      <c r="M41">
        <v>46223</v>
      </c>
      <c r="N41">
        <v>46250</v>
      </c>
      <c r="O41">
        <v>2</v>
      </c>
      <c r="P41">
        <v>45</v>
      </c>
      <c r="Q41">
        <v>5.9210526315789478</v>
      </c>
      <c r="R41">
        <v>5</v>
      </c>
      <c r="S41">
        <v>20</v>
      </c>
      <c r="T41">
        <v>5</v>
      </c>
      <c r="U41" t="s">
        <v>294</v>
      </c>
    </row>
    <row r="42" spans="1:21" x14ac:dyDescent="0.25">
      <c r="A42" t="s">
        <v>200</v>
      </c>
      <c r="B42" t="s">
        <v>133</v>
      </c>
      <c r="C42">
        <v>41</v>
      </c>
      <c r="E42" t="s">
        <v>289</v>
      </c>
      <c r="F42" t="s">
        <v>338</v>
      </c>
      <c r="G42" t="s">
        <v>291</v>
      </c>
      <c r="H42" t="s">
        <v>292</v>
      </c>
      <c r="I42" t="s">
        <v>133</v>
      </c>
      <c r="J42" t="s">
        <v>293</v>
      </c>
      <c r="L42">
        <v>52.5</v>
      </c>
      <c r="M42">
        <v>46223</v>
      </c>
      <c r="N42">
        <v>46250</v>
      </c>
      <c r="O42">
        <v>2</v>
      </c>
      <c r="P42">
        <v>105</v>
      </c>
      <c r="Q42">
        <v>13.815789473684212</v>
      </c>
      <c r="R42">
        <v>13</v>
      </c>
      <c r="S42">
        <v>20</v>
      </c>
      <c r="T42">
        <v>13</v>
      </c>
      <c r="U42" t="s">
        <v>294</v>
      </c>
    </row>
    <row r="43" spans="1:21" x14ac:dyDescent="0.25">
      <c r="A43" t="s">
        <v>198</v>
      </c>
      <c r="B43" t="s">
        <v>133</v>
      </c>
      <c r="C43">
        <v>42</v>
      </c>
      <c r="E43" t="s">
        <v>289</v>
      </c>
      <c r="F43" t="s">
        <v>339</v>
      </c>
      <c r="G43" t="s">
        <v>291</v>
      </c>
      <c r="H43" t="s">
        <v>292</v>
      </c>
      <c r="I43" t="s">
        <v>133</v>
      </c>
      <c r="J43" t="s">
        <v>293</v>
      </c>
      <c r="L43">
        <v>52.5</v>
      </c>
      <c r="M43">
        <v>46223</v>
      </c>
      <c r="N43">
        <v>46250</v>
      </c>
      <c r="O43">
        <v>2</v>
      </c>
      <c r="P43">
        <v>105</v>
      </c>
      <c r="Q43">
        <v>13.815789473684212</v>
      </c>
      <c r="R43">
        <v>13</v>
      </c>
      <c r="S43">
        <v>20</v>
      </c>
      <c r="T43">
        <v>13</v>
      </c>
      <c r="U43" t="s">
        <v>294</v>
      </c>
    </row>
    <row r="44" spans="1:21" x14ac:dyDescent="0.25">
      <c r="A44" t="s">
        <v>176</v>
      </c>
      <c r="B44" t="s">
        <v>133</v>
      </c>
      <c r="C44">
        <v>43</v>
      </c>
      <c r="E44" t="s">
        <v>289</v>
      </c>
      <c r="F44" t="s">
        <v>340</v>
      </c>
      <c r="G44" t="s">
        <v>291</v>
      </c>
      <c r="H44" t="s">
        <v>296</v>
      </c>
      <c r="I44" t="s">
        <v>133</v>
      </c>
      <c r="J44" t="s">
        <v>293</v>
      </c>
      <c r="L44">
        <v>0</v>
      </c>
      <c r="M44">
        <v>46223</v>
      </c>
      <c r="N44">
        <v>46250</v>
      </c>
      <c r="O44">
        <v>2</v>
      </c>
      <c r="P44">
        <v>0</v>
      </c>
      <c r="Q44">
        <v>0</v>
      </c>
      <c r="R44">
        <v>0</v>
      </c>
      <c r="S44">
        <v>20</v>
      </c>
      <c r="T44">
        <v>20</v>
      </c>
      <c r="U44" t="s">
        <v>297</v>
      </c>
    </row>
    <row r="45" spans="1:21" x14ac:dyDescent="0.25">
      <c r="A45" t="s">
        <v>175</v>
      </c>
      <c r="B45" t="s">
        <v>133</v>
      </c>
      <c r="C45">
        <v>44</v>
      </c>
      <c r="E45" t="s">
        <v>289</v>
      </c>
      <c r="F45" t="s">
        <v>341</v>
      </c>
      <c r="G45" t="s">
        <v>291</v>
      </c>
      <c r="H45" t="s">
        <v>292</v>
      </c>
      <c r="I45" t="s">
        <v>133</v>
      </c>
      <c r="J45" t="s">
        <v>293</v>
      </c>
      <c r="L45">
        <v>37.5</v>
      </c>
      <c r="M45">
        <v>46223</v>
      </c>
      <c r="N45">
        <v>46250</v>
      </c>
      <c r="O45">
        <v>2</v>
      </c>
      <c r="P45">
        <v>75</v>
      </c>
      <c r="Q45">
        <v>9.8684210526315788</v>
      </c>
      <c r="R45">
        <v>9</v>
      </c>
      <c r="S45">
        <v>20</v>
      </c>
      <c r="T45">
        <v>9</v>
      </c>
      <c r="U45" t="s">
        <v>294</v>
      </c>
    </row>
    <row r="46" spans="1:21" x14ac:dyDescent="0.25">
      <c r="A46" t="s">
        <v>174</v>
      </c>
      <c r="B46" t="s">
        <v>135</v>
      </c>
      <c r="C46">
        <v>45</v>
      </c>
      <c r="E46" t="s">
        <v>289</v>
      </c>
      <c r="F46" t="s">
        <v>342</v>
      </c>
      <c r="G46" t="s">
        <v>291</v>
      </c>
      <c r="H46" t="s">
        <v>292</v>
      </c>
      <c r="I46" t="s">
        <v>135</v>
      </c>
      <c r="J46" t="s">
        <v>293</v>
      </c>
      <c r="L46">
        <v>70</v>
      </c>
      <c r="M46">
        <v>46223</v>
      </c>
      <c r="N46">
        <v>46250</v>
      </c>
      <c r="O46">
        <v>2</v>
      </c>
      <c r="P46">
        <v>140</v>
      </c>
      <c r="Q46">
        <v>18.421052631578949</v>
      </c>
      <c r="R46">
        <v>18</v>
      </c>
      <c r="S46">
        <v>20</v>
      </c>
      <c r="T46">
        <v>18</v>
      </c>
      <c r="U46" t="s">
        <v>294</v>
      </c>
    </row>
    <row r="47" spans="1:21" x14ac:dyDescent="0.25">
      <c r="A47" t="s">
        <v>173</v>
      </c>
      <c r="B47" t="s">
        <v>133</v>
      </c>
      <c r="C47">
        <v>46</v>
      </c>
      <c r="E47" t="s">
        <v>289</v>
      </c>
      <c r="F47" t="s">
        <v>343</v>
      </c>
      <c r="G47" t="s">
        <v>291</v>
      </c>
      <c r="H47" t="s">
        <v>292</v>
      </c>
      <c r="I47" t="s">
        <v>133</v>
      </c>
      <c r="J47" t="s">
        <v>293</v>
      </c>
      <c r="L47">
        <v>67.5</v>
      </c>
      <c r="M47">
        <v>46223</v>
      </c>
      <c r="N47">
        <v>46250</v>
      </c>
      <c r="O47">
        <v>2</v>
      </c>
      <c r="P47">
        <v>135</v>
      </c>
      <c r="Q47">
        <v>17.763157894736842</v>
      </c>
      <c r="R47">
        <v>17</v>
      </c>
      <c r="S47">
        <v>20</v>
      </c>
      <c r="T47">
        <v>17</v>
      </c>
      <c r="U47" t="s">
        <v>294</v>
      </c>
    </row>
    <row r="48" spans="1:21" x14ac:dyDescent="0.25">
      <c r="A48" t="s">
        <v>266</v>
      </c>
      <c r="B48" t="s">
        <v>134</v>
      </c>
      <c r="C48">
        <v>47</v>
      </c>
      <c r="D48" t="s">
        <v>262</v>
      </c>
      <c r="E48" t="s">
        <v>289</v>
      </c>
      <c r="F48" t="s">
        <v>344</v>
      </c>
      <c r="G48" t="s">
        <v>291</v>
      </c>
      <c r="H48" t="s">
        <v>292</v>
      </c>
      <c r="I48" t="s">
        <v>134</v>
      </c>
      <c r="J48" t="s">
        <v>293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294</v>
      </c>
    </row>
    <row r="49" spans="1:21" x14ac:dyDescent="0.25">
      <c r="A49" t="s">
        <v>172</v>
      </c>
      <c r="B49" t="s">
        <v>135</v>
      </c>
      <c r="C49">
        <v>48</v>
      </c>
      <c r="E49" t="s">
        <v>289</v>
      </c>
      <c r="F49" t="s">
        <v>345</v>
      </c>
      <c r="G49" t="s">
        <v>291</v>
      </c>
      <c r="H49" t="s">
        <v>292</v>
      </c>
      <c r="I49" t="s">
        <v>135</v>
      </c>
      <c r="J49" t="s">
        <v>293</v>
      </c>
      <c r="L49">
        <v>70</v>
      </c>
      <c r="M49">
        <v>46223</v>
      </c>
      <c r="N49">
        <v>46250</v>
      </c>
      <c r="O49">
        <v>2</v>
      </c>
      <c r="P49">
        <v>140</v>
      </c>
      <c r="Q49">
        <v>18.421052631578949</v>
      </c>
      <c r="R49">
        <v>18</v>
      </c>
      <c r="S49">
        <v>20</v>
      </c>
      <c r="T49">
        <v>18</v>
      </c>
      <c r="U49" t="s">
        <v>294</v>
      </c>
    </row>
    <row r="50" spans="1:21" x14ac:dyDescent="0.25">
      <c r="A50" t="s">
        <v>171</v>
      </c>
      <c r="B50" t="s">
        <v>133</v>
      </c>
      <c r="C50">
        <v>49</v>
      </c>
      <c r="E50" t="s">
        <v>289</v>
      </c>
      <c r="F50" t="s">
        <v>346</v>
      </c>
      <c r="G50" t="s">
        <v>291</v>
      </c>
      <c r="H50" t="s">
        <v>292</v>
      </c>
      <c r="I50" t="s">
        <v>133</v>
      </c>
      <c r="J50" t="s">
        <v>293</v>
      </c>
      <c r="L50">
        <v>30</v>
      </c>
      <c r="M50">
        <v>46223</v>
      </c>
      <c r="N50">
        <v>46250</v>
      </c>
      <c r="O50">
        <v>2</v>
      </c>
      <c r="P50">
        <v>60</v>
      </c>
      <c r="Q50">
        <v>7.8947368421052637</v>
      </c>
      <c r="R50">
        <v>7</v>
      </c>
      <c r="S50">
        <v>20</v>
      </c>
      <c r="T50">
        <v>7</v>
      </c>
      <c r="U50" t="s">
        <v>294</v>
      </c>
    </row>
    <row r="51" spans="1:21" x14ac:dyDescent="0.25">
      <c r="A51" t="s">
        <v>170</v>
      </c>
      <c r="B51" t="s">
        <v>135</v>
      </c>
      <c r="C51">
        <v>50</v>
      </c>
      <c r="E51" t="s">
        <v>289</v>
      </c>
      <c r="F51" t="s">
        <v>347</v>
      </c>
      <c r="G51" t="s">
        <v>291</v>
      </c>
      <c r="H51" t="s">
        <v>292</v>
      </c>
      <c r="I51" t="s">
        <v>135</v>
      </c>
      <c r="J51" t="s">
        <v>293</v>
      </c>
      <c r="L51">
        <v>67.5</v>
      </c>
      <c r="M51">
        <v>46223</v>
      </c>
      <c r="N51">
        <v>46250</v>
      </c>
      <c r="O51">
        <v>2</v>
      </c>
      <c r="P51">
        <v>135</v>
      </c>
      <c r="Q51">
        <v>17.763157894736842</v>
      </c>
      <c r="R51">
        <v>17</v>
      </c>
      <c r="S51">
        <v>20</v>
      </c>
      <c r="T51">
        <v>17</v>
      </c>
      <c r="U51" t="s">
        <v>294</v>
      </c>
    </row>
    <row r="52" spans="1:21" x14ac:dyDescent="0.25">
      <c r="A52" t="s">
        <v>177</v>
      </c>
      <c r="B52" t="s">
        <v>133</v>
      </c>
      <c r="C52">
        <v>51</v>
      </c>
      <c r="E52" t="s">
        <v>289</v>
      </c>
      <c r="F52" t="s">
        <v>348</v>
      </c>
      <c r="G52" t="s">
        <v>291</v>
      </c>
      <c r="H52" t="s">
        <v>292</v>
      </c>
      <c r="I52" t="s">
        <v>133</v>
      </c>
      <c r="J52" t="s">
        <v>293</v>
      </c>
      <c r="L52">
        <v>45</v>
      </c>
      <c r="M52">
        <v>46223</v>
      </c>
      <c r="N52">
        <v>46250</v>
      </c>
      <c r="O52">
        <v>2</v>
      </c>
      <c r="P52">
        <v>90</v>
      </c>
      <c r="Q52">
        <v>11.842105263157896</v>
      </c>
      <c r="R52">
        <v>11</v>
      </c>
      <c r="S52">
        <v>20</v>
      </c>
      <c r="T52">
        <v>11</v>
      </c>
      <c r="U52" t="s">
        <v>294</v>
      </c>
    </row>
    <row r="53" spans="1:21" x14ac:dyDescent="0.25">
      <c r="A53" t="s">
        <v>169</v>
      </c>
      <c r="B53" t="s">
        <v>133</v>
      </c>
      <c r="C53">
        <v>52</v>
      </c>
      <c r="E53" t="s">
        <v>289</v>
      </c>
      <c r="F53" t="s">
        <v>349</v>
      </c>
      <c r="G53" t="s">
        <v>291</v>
      </c>
      <c r="H53" t="s">
        <v>292</v>
      </c>
      <c r="I53" t="s">
        <v>133</v>
      </c>
      <c r="J53" t="s">
        <v>293</v>
      </c>
      <c r="L53">
        <v>67.5</v>
      </c>
      <c r="M53">
        <v>46223</v>
      </c>
      <c r="N53">
        <v>46250</v>
      </c>
      <c r="O53">
        <v>2</v>
      </c>
      <c r="P53">
        <v>135</v>
      </c>
      <c r="Q53">
        <v>17.763157894736842</v>
      </c>
      <c r="R53">
        <v>17</v>
      </c>
      <c r="S53">
        <v>20</v>
      </c>
      <c r="T53">
        <v>17</v>
      </c>
      <c r="U53" t="s">
        <v>294</v>
      </c>
    </row>
    <row r="54" spans="1:21" x14ac:dyDescent="0.25">
      <c r="A54" t="s">
        <v>167</v>
      </c>
      <c r="B54" t="s">
        <v>135</v>
      </c>
      <c r="C54">
        <v>53</v>
      </c>
      <c r="E54" t="s">
        <v>289</v>
      </c>
      <c r="F54" t="s">
        <v>350</v>
      </c>
      <c r="G54" t="s">
        <v>291</v>
      </c>
      <c r="H54" t="s">
        <v>292</v>
      </c>
      <c r="I54" t="s">
        <v>135</v>
      </c>
      <c r="J54" t="s">
        <v>293</v>
      </c>
      <c r="L54">
        <v>67.5</v>
      </c>
      <c r="M54">
        <v>46223</v>
      </c>
      <c r="N54">
        <v>46250</v>
      </c>
      <c r="O54">
        <v>2</v>
      </c>
      <c r="P54">
        <v>135</v>
      </c>
      <c r="Q54">
        <v>17.763157894736842</v>
      </c>
      <c r="R54">
        <v>17</v>
      </c>
      <c r="S54">
        <v>20</v>
      </c>
      <c r="T54">
        <v>17</v>
      </c>
      <c r="U54" t="s">
        <v>294</v>
      </c>
    </row>
    <row r="55" spans="1:21" x14ac:dyDescent="0.25">
      <c r="A55" t="s">
        <v>166</v>
      </c>
      <c r="B55" t="s">
        <v>133</v>
      </c>
      <c r="C55">
        <v>54</v>
      </c>
      <c r="E55" t="s">
        <v>289</v>
      </c>
      <c r="F55" t="s">
        <v>351</v>
      </c>
      <c r="G55" t="s">
        <v>291</v>
      </c>
      <c r="H55" t="s">
        <v>292</v>
      </c>
      <c r="I55" t="s">
        <v>133</v>
      </c>
      <c r="J55" t="s">
        <v>293</v>
      </c>
      <c r="L55">
        <v>52.5</v>
      </c>
      <c r="M55">
        <v>46223</v>
      </c>
      <c r="N55">
        <v>46250</v>
      </c>
      <c r="O55">
        <v>2</v>
      </c>
      <c r="P55">
        <v>105</v>
      </c>
      <c r="Q55">
        <v>13.815789473684212</v>
      </c>
      <c r="R55">
        <v>13</v>
      </c>
      <c r="S55">
        <v>20</v>
      </c>
      <c r="T55">
        <v>13</v>
      </c>
      <c r="U55" t="s">
        <v>294</v>
      </c>
    </row>
    <row r="56" spans="1:21" x14ac:dyDescent="0.25">
      <c r="A56" t="s">
        <v>160</v>
      </c>
      <c r="B56" t="s">
        <v>135</v>
      </c>
      <c r="C56">
        <v>55</v>
      </c>
      <c r="E56" t="s">
        <v>289</v>
      </c>
      <c r="F56" t="s">
        <v>352</v>
      </c>
      <c r="G56" t="s">
        <v>291</v>
      </c>
      <c r="H56" t="s">
        <v>296</v>
      </c>
      <c r="I56" t="s">
        <v>135</v>
      </c>
      <c r="J56" t="s">
        <v>293</v>
      </c>
      <c r="L56">
        <v>0</v>
      </c>
      <c r="M56">
        <v>46223</v>
      </c>
      <c r="N56">
        <v>46250</v>
      </c>
      <c r="O56">
        <v>2</v>
      </c>
      <c r="P56">
        <v>0</v>
      </c>
      <c r="Q56">
        <v>0</v>
      </c>
      <c r="R56">
        <v>0</v>
      </c>
      <c r="S56">
        <v>20</v>
      </c>
      <c r="T56">
        <v>20</v>
      </c>
      <c r="U56" t="s">
        <v>297</v>
      </c>
    </row>
    <row r="57" spans="1:21" x14ac:dyDescent="0.25">
      <c r="A57" t="s">
        <v>164</v>
      </c>
      <c r="B57" t="s">
        <v>133</v>
      </c>
      <c r="C57">
        <v>56</v>
      </c>
      <c r="E57" t="s">
        <v>289</v>
      </c>
      <c r="F57" t="s">
        <v>353</v>
      </c>
      <c r="G57" t="s">
        <v>291</v>
      </c>
      <c r="H57" t="s">
        <v>292</v>
      </c>
      <c r="I57" t="s">
        <v>133</v>
      </c>
      <c r="J57" t="s">
        <v>293</v>
      </c>
      <c r="L57">
        <v>60</v>
      </c>
      <c r="M57">
        <v>46223</v>
      </c>
      <c r="N57">
        <v>46250</v>
      </c>
      <c r="O57">
        <v>2</v>
      </c>
      <c r="P57">
        <v>120</v>
      </c>
      <c r="Q57">
        <v>15.789473684210527</v>
      </c>
      <c r="R57">
        <v>15</v>
      </c>
      <c r="S57">
        <v>20</v>
      </c>
      <c r="T57">
        <v>15</v>
      </c>
      <c r="U57" t="s">
        <v>294</v>
      </c>
    </row>
    <row r="58" spans="1:21" x14ac:dyDescent="0.25">
      <c r="A58" t="s">
        <v>265</v>
      </c>
      <c r="B58" t="s">
        <v>134</v>
      </c>
      <c r="C58">
        <v>57</v>
      </c>
      <c r="D58" t="s">
        <v>262</v>
      </c>
      <c r="E58" t="s">
        <v>289</v>
      </c>
      <c r="F58" t="s">
        <v>354</v>
      </c>
      <c r="G58" t="s">
        <v>291</v>
      </c>
      <c r="H58" t="s">
        <v>292</v>
      </c>
      <c r="I58" t="s">
        <v>134</v>
      </c>
      <c r="J58" t="s">
        <v>293</v>
      </c>
      <c r="L58">
        <v>62</v>
      </c>
      <c r="M58">
        <v>46223</v>
      </c>
      <c r="N58">
        <v>46250</v>
      </c>
      <c r="O58">
        <v>2</v>
      </c>
      <c r="P58">
        <v>124</v>
      </c>
      <c r="Q58">
        <v>16.315789473684212</v>
      </c>
      <c r="R58">
        <v>16</v>
      </c>
      <c r="S58">
        <v>20</v>
      </c>
      <c r="T58">
        <v>16</v>
      </c>
      <c r="U58" t="s">
        <v>294</v>
      </c>
    </row>
    <row r="59" spans="1:21" x14ac:dyDescent="0.25">
      <c r="A59" t="s">
        <v>162</v>
      </c>
      <c r="B59" t="s">
        <v>135</v>
      </c>
      <c r="C59">
        <v>58</v>
      </c>
      <c r="E59" t="s">
        <v>289</v>
      </c>
      <c r="F59" t="s">
        <v>355</v>
      </c>
      <c r="G59" t="s">
        <v>291</v>
      </c>
      <c r="H59" t="s">
        <v>292</v>
      </c>
      <c r="I59" t="s">
        <v>135</v>
      </c>
      <c r="J59" t="s">
        <v>293</v>
      </c>
      <c r="L59">
        <v>47.5</v>
      </c>
      <c r="M59">
        <v>46223</v>
      </c>
      <c r="N59">
        <v>46250</v>
      </c>
      <c r="O59">
        <v>2</v>
      </c>
      <c r="P59">
        <v>95</v>
      </c>
      <c r="Q59">
        <v>12.5</v>
      </c>
      <c r="R59">
        <v>12</v>
      </c>
      <c r="S59">
        <v>20</v>
      </c>
      <c r="T59">
        <v>12</v>
      </c>
      <c r="U59" t="s">
        <v>294</v>
      </c>
    </row>
    <row r="60" spans="1:21" x14ac:dyDescent="0.25">
      <c r="A60" t="s">
        <v>161</v>
      </c>
      <c r="B60" t="s">
        <v>133</v>
      </c>
      <c r="C60">
        <v>59</v>
      </c>
      <c r="E60" t="s">
        <v>289</v>
      </c>
      <c r="F60" t="s">
        <v>356</v>
      </c>
      <c r="G60" t="s">
        <v>291</v>
      </c>
      <c r="H60" t="s">
        <v>292</v>
      </c>
      <c r="I60" t="s">
        <v>133</v>
      </c>
      <c r="J60" t="s">
        <v>293</v>
      </c>
      <c r="L60">
        <v>52.5</v>
      </c>
      <c r="M60">
        <v>46223</v>
      </c>
      <c r="N60">
        <v>46250</v>
      </c>
      <c r="O60">
        <v>2</v>
      </c>
      <c r="P60">
        <v>105</v>
      </c>
      <c r="Q60">
        <v>13.815789473684212</v>
      </c>
      <c r="R60">
        <v>13</v>
      </c>
      <c r="S60">
        <v>20</v>
      </c>
      <c r="T60">
        <v>13</v>
      </c>
      <c r="U60" t="s">
        <v>294</v>
      </c>
    </row>
    <row r="61" spans="1:21" x14ac:dyDescent="0.25">
      <c r="A61" t="s">
        <v>261</v>
      </c>
      <c r="B61" t="s">
        <v>133</v>
      </c>
      <c r="C61">
        <v>60</v>
      </c>
      <c r="D61" t="s">
        <v>262</v>
      </c>
      <c r="E61" t="s">
        <v>289</v>
      </c>
      <c r="F61" t="s">
        <v>357</v>
      </c>
      <c r="G61" t="s">
        <v>291</v>
      </c>
      <c r="H61" t="s">
        <v>292</v>
      </c>
      <c r="I61" t="s">
        <v>133</v>
      </c>
      <c r="J61" t="s">
        <v>293</v>
      </c>
      <c r="L61">
        <v>30</v>
      </c>
      <c r="M61">
        <v>46223</v>
      </c>
      <c r="N61">
        <v>46250</v>
      </c>
      <c r="O61">
        <v>2</v>
      </c>
      <c r="P61">
        <v>60</v>
      </c>
      <c r="Q61">
        <v>7.8947368421052637</v>
      </c>
      <c r="R61">
        <v>7</v>
      </c>
      <c r="S61">
        <v>20</v>
      </c>
      <c r="T61">
        <v>7</v>
      </c>
      <c r="U61" t="s">
        <v>294</v>
      </c>
    </row>
    <row r="62" spans="1:21" x14ac:dyDescent="0.25">
      <c r="A62" t="s">
        <v>178</v>
      </c>
      <c r="B62" t="s">
        <v>135</v>
      </c>
      <c r="C62">
        <v>61</v>
      </c>
      <c r="E62" t="s">
        <v>289</v>
      </c>
      <c r="F62" t="s">
        <v>358</v>
      </c>
      <c r="G62" t="s">
        <v>291</v>
      </c>
      <c r="H62" t="s">
        <v>292</v>
      </c>
      <c r="I62" t="s">
        <v>135</v>
      </c>
      <c r="J62" t="s">
        <v>293</v>
      </c>
      <c r="L62">
        <v>46.5</v>
      </c>
      <c r="M62">
        <v>46223</v>
      </c>
      <c r="N62">
        <v>46250</v>
      </c>
      <c r="O62">
        <v>2</v>
      </c>
      <c r="P62">
        <v>93</v>
      </c>
      <c r="Q62">
        <v>12.236842105263159</v>
      </c>
      <c r="R62">
        <v>12</v>
      </c>
      <c r="S62">
        <v>20</v>
      </c>
      <c r="T62">
        <v>12</v>
      </c>
      <c r="U62" t="s">
        <v>294</v>
      </c>
    </row>
    <row r="63" spans="1:21" x14ac:dyDescent="0.25">
      <c r="A63" t="s">
        <v>179</v>
      </c>
      <c r="B63" t="s">
        <v>135</v>
      </c>
      <c r="C63">
        <v>62</v>
      </c>
      <c r="E63" t="s">
        <v>289</v>
      </c>
      <c r="F63" t="s">
        <v>359</v>
      </c>
      <c r="G63" t="s">
        <v>291</v>
      </c>
      <c r="H63" t="s">
        <v>292</v>
      </c>
      <c r="I63" t="s">
        <v>135</v>
      </c>
      <c r="J63" t="s">
        <v>293</v>
      </c>
      <c r="L63">
        <v>31.5</v>
      </c>
      <c r="M63">
        <v>46223</v>
      </c>
      <c r="N63">
        <v>46250</v>
      </c>
      <c r="O63">
        <v>2</v>
      </c>
      <c r="P63">
        <v>63</v>
      </c>
      <c r="Q63">
        <v>8.2894736842105274</v>
      </c>
      <c r="R63">
        <v>8</v>
      </c>
      <c r="S63">
        <v>20</v>
      </c>
      <c r="T63">
        <v>8</v>
      </c>
      <c r="U63" t="s">
        <v>294</v>
      </c>
    </row>
    <row r="64" spans="1:21" x14ac:dyDescent="0.25">
      <c r="A64" t="s">
        <v>264</v>
      </c>
      <c r="B64" t="s">
        <v>133</v>
      </c>
      <c r="C64">
        <v>63</v>
      </c>
      <c r="D64" t="s">
        <v>262</v>
      </c>
      <c r="E64" t="s">
        <v>289</v>
      </c>
      <c r="F64" t="s">
        <v>360</v>
      </c>
      <c r="G64" t="s">
        <v>291</v>
      </c>
      <c r="H64" t="s">
        <v>296</v>
      </c>
      <c r="I64" t="s">
        <v>133</v>
      </c>
      <c r="J64" t="s">
        <v>293</v>
      </c>
      <c r="L64">
        <v>0</v>
      </c>
      <c r="M64">
        <v>46223</v>
      </c>
      <c r="N64">
        <v>46250</v>
      </c>
      <c r="O64">
        <v>2</v>
      </c>
      <c r="P64">
        <v>0</v>
      </c>
      <c r="Q64">
        <v>0</v>
      </c>
      <c r="R64">
        <v>0</v>
      </c>
      <c r="S64">
        <v>20</v>
      </c>
      <c r="T64">
        <v>20</v>
      </c>
      <c r="U64" t="s">
        <v>297</v>
      </c>
    </row>
    <row r="65" spans="1:21" x14ac:dyDescent="0.25">
      <c r="A65" t="s">
        <v>197</v>
      </c>
      <c r="B65" t="s">
        <v>135</v>
      </c>
      <c r="C65">
        <v>64</v>
      </c>
      <c r="E65" t="s">
        <v>289</v>
      </c>
      <c r="F65" t="s">
        <v>361</v>
      </c>
      <c r="G65" t="s">
        <v>291</v>
      </c>
      <c r="H65" t="s">
        <v>292</v>
      </c>
      <c r="I65" t="s">
        <v>135</v>
      </c>
      <c r="J65" t="s">
        <v>293</v>
      </c>
      <c r="L65">
        <v>48</v>
      </c>
      <c r="M65">
        <v>46223</v>
      </c>
      <c r="N65">
        <v>46250</v>
      </c>
      <c r="O65">
        <v>2</v>
      </c>
      <c r="P65">
        <v>96</v>
      </c>
      <c r="Q65">
        <v>12.631578947368419</v>
      </c>
      <c r="R65">
        <v>12</v>
      </c>
      <c r="S65">
        <v>20</v>
      </c>
      <c r="T65">
        <v>12</v>
      </c>
      <c r="U65" t="s">
        <v>294</v>
      </c>
    </row>
    <row r="66" spans="1:21" x14ac:dyDescent="0.25">
      <c r="A66" t="s">
        <v>196</v>
      </c>
      <c r="B66" t="s">
        <v>133</v>
      </c>
      <c r="C66">
        <v>65</v>
      </c>
      <c r="E66" t="s">
        <v>289</v>
      </c>
      <c r="F66" t="s">
        <v>362</v>
      </c>
      <c r="G66" t="s">
        <v>291</v>
      </c>
      <c r="H66" t="s">
        <v>292</v>
      </c>
      <c r="I66" t="s">
        <v>133</v>
      </c>
      <c r="J66" t="s">
        <v>293</v>
      </c>
      <c r="L66">
        <v>60</v>
      </c>
      <c r="M66">
        <v>46223</v>
      </c>
      <c r="N66">
        <v>46250</v>
      </c>
      <c r="O66">
        <v>2</v>
      </c>
      <c r="P66">
        <v>120</v>
      </c>
      <c r="Q66">
        <v>15.789473684210527</v>
      </c>
      <c r="R66">
        <v>15</v>
      </c>
      <c r="S66">
        <v>20</v>
      </c>
      <c r="T66">
        <v>15</v>
      </c>
      <c r="U66" t="s">
        <v>294</v>
      </c>
    </row>
    <row r="67" spans="1:21" x14ac:dyDescent="0.25">
      <c r="A67" t="s">
        <v>263</v>
      </c>
      <c r="B67" t="s">
        <v>133</v>
      </c>
      <c r="C67">
        <v>66</v>
      </c>
      <c r="D67" t="s">
        <v>262</v>
      </c>
      <c r="E67" t="s">
        <v>289</v>
      </c>
      <c r="F67" t="s">
        <v>363</v>
      </c>
      <c r="G67" t="s">
        <v>291</v>
      </c>
      <c r="H67" t="s">
        <v>292</v>
      </c>
      <c r="I67" t="s">
        <v>133</v>
      </c>
      <c r="J67" t="s">
        <v>293</v>
      </c>
      <c r="L67">
        <v>45</v>
      </c>
      <c r="M67">
        <v>46223</v>
      </c>
      <c r="N67">
        <v>46250</v>
      </c>
      <c r="O67">
        <v>2</v>
      </c>
      <c r="P67">
        <v>90</v>
      </c>
      <c r="Q67">
        <v>11.842105263157896</v>
      </c>
      <c r="R67">
        <v>11</v>
      </c>
      <c r="S67">
        <v>20</v>
      </c>
      <c r="T67">
        <v>11</v>
      </c>
      <c r="U67" t="s">
        <v>294</v>
      </c>
    </row>
    <row r="68" spans="1:21" x14ac:dyDescent="0.25">
      <c r="A68" t="s">
        <v>194</v>
      </c>
      <c r="B68" t="s">
        <v>133</v>
      </c>
      <c r="C68">
        <v>67</v>
      </c>
      <c r="E68" t="s">
        <v>289</v>
      </c>
      <c r="F68" t="s">
        <v>364</v>
      </c>
      <c r="G68" t="s">
        <v>291</v>
      </c>
      <c r="H68" t="s">
        <v>292</v>
      </c>
      <c r="I68" t="s">
        <v>133</v>
      </c>
      <c r="J68" t="s">
        <v>293</v>
      </c>
      <c r="L68">
        <v>45</v>
      </c>
      <c r="M68">
        <v>46223</v>
      </c>
      <c r="N68">
        <v>46250</v>
      </c>
      <c r="O68">
        <v>2</v>
      </c>
      <c r="P68">
        <v>90</v>
      </c>
      <c r="Q68">
        <v>11.842105263157896</v>
      </c>
      <c r="R68">
        <v>11</v>
      </c>
      <c r="S68">
        <v>20</v>
      </c>
      <c r="T68">
        <v>11</v>
      </c>
      <c r="U68" t="s">
        <v>294</v>
      </c>
    </row>
    <row r="69" spans="1:21" x14ac:dyDescent="0.25">
      <c r="A69" t="s">
        <v>193</v>
      </c>
      <c r="B69" t="s">
        <v>133</v>
      </c>
      <c r="C69">
        <v>68</v>
      </c>
      <c r="E69" t="s">
        <v>289</v>
      </c>
      <c r="F69" t="s">
        <v>365</v>
      </c>
      <c r="G69" t="s">
        <v>291</v>
      </c>
      <c r="H69" t="s">
        <v>296</v>
      </c>
      <c r="I69" t="s">
        <v>133</v>
      </c>
      <c r="J69" t="s">
        <v>293</v>
      </c>
      <c r="L69">
        <v>0</v>
      </c>
      <c r="M69">
        <v>46223</v>
      </c>
      <c r="N69">
        <v>46250</v>
      </c>
      <c r="O69">
        <v>2</v>
      </c>
      <c r="P69">
        <v>0</v>
      </c>
      <c r="Q69">
        <v>0</v>
      </c>
      <c r="R69">
        <v>0</v>
      </c>
      <c r="S69">
        <v>20</v>
      </c>
      <c r="T69">
        <v>20</v>
      </c>
      <c r="U69" t="s">
        <v>297</v>
      </c>
    </row>
    <row r="70" spans="1:21" x14ac:dyDescent="0.25">
      <c r="A70" t="s">
        <v>192</v>
      </c>
      <c r="B70" t="s">
        <v>133</v>
      </c>
      <c r="C70">
        <v>69</v>
      </c>
      <c r="E70" t="s">
        <v>289</v>
      </c>
      <c r="F70" t="s">
        <v>366</v>
      </c>
      <c r="G70" t="s">
        <v>291</v>
      </c>
      <c r="H70" t="s">
        <v>292</v>
      </c>
      <c r="I70" t="s">
        <v>133</v>
      </c>
      <c r="J70" t="s">
        <v>293</v>
      </c>
      <c r="L70">
        <v>22.5</v>
      </c>
      <c r="M70">
        <v>46223</v>
      </c>
      <c r="N70">
        <v>46250</v>
      </c>
      <c r="O70">
        <v>2</v>
      </c>
      <c r="P70">
        <v>45</v>
      </c>
      <c r="Q70">
        <v>5.9210526315789478</v>
      </c>
      <c r="R70">
        <v>5</v>
      </c>
      <c r="S70">
        <v>20</v>
      </c>
      <c r="T70">
        <v>5</v>
      </c>
      <c r="U70" t="s">
        <v>294</v>
      </c>
    </row>
    <row r="71" spans="1:21" x14ac:dyDescent="0.25">
      <c r="A71" t="s">
        <v>191</v>
      </c>
      <c r="B71" t="s">
        <v>133</v>
      </c>
      <c r="C71">
        <v>70</v>
      </c>
      <c r="E71" t="s">
        <v>289</v>
      </c>
      <c r="F71" t="s">
        <v>367</v>
      </c>
      <c r="G71" t="s">
        <v>291</v>
      </c>
      <c r="H71" t="s">
        <v>292</v>
      </c>
      <c r="I71" t="s">
        <v>133</v>
      </c>
      <c r="J71" t="s">
        <v>293</v>
      </c>
      <c r="L71">
        <v>45</v>
      </c>
      <c r="M71">
        <v>46223</v>
      </c>
      <c r="N71">
        <v>46250</v>
      </c>
      <c r="O71">
        <v>2</v>
      </c>
      <c r="P71">
        <v>90</v>
      </c>
      <c r="Q71">
        <v>11.842105263157896</v>
      </c>
      <c r="R71">
        <v>11</v>
      </c>
      <c r="S71">
        <v>20</v>
      </c>
      <c r="T71">
        <v>11</v>
      </c>
      <c r="U71" t="s">
        <v>294</v>
      </c>
    </row>
    <row r="72" spans="1:21" x14ac:dyDescent="0.25">
      <c r="A72" t="s">
        <v>190</v>
      </c>
      <c r="B72" t="s">
        <v>133</v>
      </c>
      <c r="C72">
        <v>71</v>
      </c>
      <c r="E72" t="s">
        <v>289</v>
      </c>
      <c r="F72" t="s">
        <v>368</v>
      </c>
      <c r="G72" t="s">
        <v>291</v>
      </c>
      <c r="H72" t="s">
        <v>292</v>
      </c>
      <c r="I72" t="s">
        <v>133</v>
      </c>
      <c r="J72" t="s">
        <v>293</v>
      </c>
      <c r="L72">
        <v>60</v>
      </c>
      <c r="M72">
        <v>46223</v>
      </c>
      <c r="N72">
        <v>46250</v>
      </c>
      <c r="O72">
        <v>2</v>
      </c>
      <c r="P72">
        <v>120</v>
      </c>
      <c r="Q72">
        <v>15.789473684210527</v>
      </c>
      <c r="R72">
        <v>15</v>
      </c>
      <c r="S72">
        <v>20</v>
      </c>
      <c r="T72">
        <v>15</v>
      </c>
      <c r="U72" t="s">
        <v>294</v>
      </c>
    </row>
    <row r="73" spans="1:21" x14ac:dyDescent="0.25">
      <c r="A73" t="s">
        <v>189</v>
      </c>
      <c r="B73" t="s">
        <v>133</v>
      </c>
      <c r="C73">
        <v>72</v>
      </c>
      <c r="E73" t="s">
        <v>289</v>
      </c>
      <c r="F73" t="s">
        <v>369</v>
      </c>
      <c r="G73" t="s">
        <v>291</v>
      </c>
      <c r="H73" t="s">
        <v>292</v>
      </c>
      <c r="I73" t="s">
        <v>133</v>
      </c>
      <c r="J73" t="s">
        <v>293</v>
      </c>
      <c r="L73">
        <v>67.5</v>
      </c>
      <c r="M73">
        <v>46223</v>
      </c>
      <c r="N73">
        <v>46250</v>
      </c>
      <c r="O73">
        <v>2</v>
      </c>
      <c r="P73">
        <v>135</v>
      </c>
      <c r="Q73">
        <v>17.763157894736842</v>
      </c>
      <c r="R73">
        <v>17</v>
      </c>
      <c r="S73">
        <v>20</v>
      </c>
      <c r="T73">
        <v>17</v>
      </c>
      <c r="U73" t="s">
        <v>294</v>
      </c>
    </row>
    <row r="74" spans="1:21" x14ac:dyDescent="0.25">
      <c r="A74" t="s">
        <v>188</v>
      </c>
      <c r="B74" t="s">
        <v>133</v>
      </c>
      <c r="C74">
        <v>73</v>
      </c>
      <c r="E74" t="s">
        <v>289</v>
      </c>
      <c r="F74" t="s">
        <v>370</v>
      </c>
      <c r="G74" t="s">
        <v>291</v>
      </c>
      <c r="H74" t="s">
        <v>296</v>
      </c>
      <c r="I74" t="s">
        <v>133</v>
      </c>
      <c r="J74" t="s">
        <v>293</v>
      </c>
      <c r="L74">
        <v>0</v>
      </c>
      <c r="M74">
        <v>46223</v>
      </c>
      <c r="N74">
        <v>46250</v>
      </c>
      <c r="O74">
        <v>2</v>
      </c>
      <c r="P74">
        <v>0</v>
      </c>
      <c r="Q74">
        <v>0</v>
      </c>
      <c r="R74">
        <v>0</v>
      </c>
      <c r="S74">
        <v>20</v>
      </c>
      <c r="T74">
        <v>20</v>
      </c>
      <c r="U74" t="s">
        <v>297</v>
      </c>
    </row>
    <row r="75" spans="1:21" x14ac:dyDescent="0.25">
      <c r="A75" t="s">
        <v>187</v>
      </c>
      <c r="B75" t="s">
        <v>133</v>
      </c>
      <c r="C75">
        <v>74</v>
      </c>
      <c r="E75" t="s">
        <v>289</v>
      </c>
      <c r="F75" t="s">
        <v>371</v>
      </c>
      <c r="G75" t="s">
        <v>291</v>
      </c>
      <c r="H75" t="s">
        <v>292</v>
      </c>
      <c r="I75" t="s">
        <v>133</v>
      </c>
      <c r="J75" t="s">
        <v>293</v>
      </c>
      <c r="L75">
        <v>30</v>
      </c>
      <c r="M75">
        <v>46223</v>
      </c>
      <c r="N75">
        <v>46250</v>
      </c>
      <c r="O75">
        <v>2</v>
      </c>
      <c r="P75">
        <v>60</v>
      </c>
      <c r="Q75">
        <v>7.8947368421052637</v>
      </c>
      <c r="R75">
        <v>7</v>
      </c>
      <c r="S75">
        <v>20</v>
      </c>
      <c r="T75">
        <v>7</v>
      </c>
      <c r="U75" t="s">
        <v>294</v>
      </c>
    </row>
    <row r="76" spans="1:21" x14ac:dyDescent="0.25">
      <c r="A76" t="s">
        <v>186</v>
      </c>
      <c r="B76" t="s">
        <v>133</v>
      </c>
      <c r="C76">
        <v>75</v>
      </c>
      <c r="E76" t="s">
        <v>289</v>
      </c>
      <c r="F76" t="s">
        <v>372</v>
      </c>
      <c r="G76" t="s">
        <v>291</v>
      </c>
      <c r="H76" t="s">
        <v>292</v>
      </c>
      <c r="I76" t="s">
        <v>133</v>
      </c>
      <c r="J76" t="s">
        <v>293</v>
      </c>
      <c r="L76">
        <v>20.5</v>
      </c>
      <c r="M76">
        <v>46223</v>
      </c>
      <c r="N76">
        <v>46250</v>
      </c>
      <c r="O76">
        <v>2</v>
      </c>
      <c r="P76">
        <v>41</v>
      </c>
      <c r="Q76">
        <v>5.3947368421052637</v>
      </c>
      <c r="R76">
        <v>5</v>
      </c>
      <c r="S76">
        <v>20</v>
      </c>
      <c r="T76">
        <v>5</v>
      </c>
      <c r="U76" t="s">
        <v>294</v>
      </c>
    </row>
    <row r="77" spans="1:21" x14ac:dyDescent="0.25">
      <c r="A77" t="s">
        <v>185</v>
      </c>
      <c r="B77" t="s">
        <v>133</v>
      </c>
      <c r="C77">
        <v>76</v>
      </c>
      <c r="E77" t="s">
        <v>289</v>
      </c>
      <c r="F77" t="s">
        <v>373</v>
      </c>
      <c r="G77" t="s">
        <v>291</v>
      </c>
      <c r="H77" t="s">
        <v>292</v>
      </c>
      <c r="I77" t="s">
        <v>133</v>
      </c>
      <c r="J77" t="s">
        <v>293</v>
      </c>
      <c r="L77">
        <v>67.5</v>
      </c>
      <c r="M77">
        <v>46223</v>
      </c>
      <c r="N77">
        <v>46250</v>
      </c>
      <c r="O77">
        <v>2</v>
      </c>
      <c r="P77">
        <v>135</v>
      </c>
      <c r="Q77">
        <v>17.763157894736842</v>
      </c>
      <c r="R77">
        <v>17</v>
      </c>
      <c r="S77">
        <v>20</v>
      </c>
      <c r="T77">
        <v>17</v>
      </c>
      <c r="U77" t="s">
        <v>294</v>
      </c>
    </row>
    <row r="78" spans="1:21" x14ac:dyDescent="0.25">
      <c r="A78" t="s">
        <v>184</v>
      </c>
      <c r="B78" t="s">
        <v>135</v>
      </c>
      <c r="C78">
        <v>77</v>
      </c>
      <c r="E78" t="s">
        <v>289</v>
      </c>
      <c r="F78" t="s">
        <v>374</v>
      </c>
      <c r="G78" t="s">
        <v>291</v>
      </c>
      <c r="H78" t="s">
        <v>292</v>
      </c>
      <c r="I78" t="s">
        <v>135</v>
      </c>
      <c r="J78" t="s">
        <v>293</v>
      </c>
      <c r="L78">
        <v>45</v>
      </c>
      <c r="M78">
        <v>46223</v>
      </c>
      <c r="N78">
        <v>46250</v>
      </c>
      <c r="O78">
        <v>2</v>
      </c>
      <c r="P78">
        <v>90</v>
      </c>
      <c r="Q78">
        <v>11.842105263157896</v>
      </c>
      <c r="R78">
        <v>11</v>
      </c>
      <c r="S78">
        <v>20</v>
      </c>
      <c r="T78">
        <v>11</v>
      </c>
      <c r="U78" t="s">
        <v>294</v>
      </c>
    </row>
    <row r="79" spans="1:21" x14ac:dyDescent="0.25">
      <c r="A79" t="s">
        <v>183</v>
      </c>
      <c r="B79" t="s">
        <v>133</v>
      </c>
      <c r="C79">
        <v>78</v>
      </c>
      <c r="E79" t="s">
        <v>289</v>
      </c>
      <c r="F79" t="s">
        <v>375</v>
      </c>
      <c r="G79" t="s">
        <v>291</v>
      </c>
      <c r="H79" t="s">
        <v>292</v>
      </c>
      <c r="I79" t="s">
        <v>133</v>
      </c>
      <c r="J79" t="s">
        <v>293</v>
      </c>
      <c r="L79">
        <v>45</v>
      </c>
      <c r="M79">
        <v>46223</v>
      </c>
      <c r="N79">
        <v>46250</v>
      </c>
      <c r="O79">
        <v>2</v>
      </c>
      <c r="P79">
        <v>90</v>
      </c>
      <c r="Q79">
        <v>11.842105263157896</v>
      </c>
      <c r="R79">
        <v>11</v>
      </c>
      <c r="S79">
        <v>20</v>
      </c>
      <c r="T79">
        <v>11</v>
      </c>
      <c r="U79" t="s">
        <v>294</v>
      </c>
    </row>
    <row r="80" spans="1:21" x14ac:dyDescent="0.25">
      <c r="A80" t="s">
        <v>182</v>
      </c>
      <c r="B80" t="s">
        <v>133</v>
      </c>
      <c r="C80">
        <v>79</v>
      </c>
      <c r="E80" t="s">
        <v>289</v>
      </c>
      <c r="F80" t="s">
        <v>376</v>
      </c>
      <c r="G80" t="s">
        <v>291</v>
      </c>
      <c r="H80" t="s">
        <v>292</v>
      </c>
      <c r="I80" t="s">
        <v>133</v>
      </c>
      <c r="J80" t="s">
        <v>293</v>
      </c>
      <c r="L80">
        <v>60</v>
      </c>
      <c r="M80">
        <v>46223</v>
      </c>
      <c r="N80">
        <v>46250</v>
      </c>
      <c r="O80">
        <v>2</v>
      </c>
      <c r="P80">
        <v>120</v>
      </c>
      <c r="Q80">
        <v>15.789473684210527</v>
      </c>
      <c r="R80">
        <v>15</v>
      </c>
      <c r="S80">
        <v>20</v>
      </c>
      <c r="T80">
        <v>15</v>
      </c>
      <c r="U80" t="s">
        <v>294</v>
      </c>
    </row>
    <row r="81" spans="1:21" x14ac:dyDescent="0.25">
      <c r="A81" t="s">
        <v>181</v>
      </c>
      <c r="B81" t="s">
        <v>135</v>
      </c>
      <c r="C81">
        <v>80</v>
      </c>
      <c r="E81" t="s">
        <v>289</v>
      </c>
      <c r="F81" t="s">
        <v>377</v>
      </c>
      <c r="G81" t="s">
        <v>291</v>
      </c>
      <c r="H81" t="s">
        <v>296</v>
      </c>
      <c r="I81" t="s">
        <v>135</v>
      </c>
      <c r="J81" t="s">
        <v>293</v>
      </c>
      <c r="L81">
        <v>0</v>
      </c>
      <c r="M81">
        <v>46223</v>
      </c>
      <c r="N81">
        <v>46250</v>
      </c>
      <c r="O81">
        <v>2</v>
      </c>
      <c r="P81">
        <v>0</v>
      </c>
      <c r="Q81">
        <v>0</v>
      </c>
      <c r="R81">
        <v>0</v>
      </c>
      <c r="S81">
        <v>20</v>
      </c>
      <c r="T81">
        <v>20</v>
      </c>
      <c r="U81" t="s">
        <v>297</v>
      </c>
    </row>
    <row r="82" spans="1:21" x14ac:dyDescent="0.25">
      <c r="A82" t="s">
        <v>199</v>
      </c>
      <c r="B82" t="s">
        <v>133</v>
      </c>
      <c r="C82">
        <v>81</v>
      </c>
      <c r="E82" t="s">
        <v>289</v>
      </c>
      <c r="F82" t="s">
        <v>378</v>
      </c>
      <c r="G82" t="s">
        <v>291</v>
      </c>
      <c r="H82" t="s">
        <v>302</v>
      </c>
      <c r="I82" t="s">
        <v>133</v>
      </c>
      <c r="J82" t="s">
        <v>293</v>
      </c>
      <c r="L82">
        <v>76</v>
      </c>
      <c r="M82">
        <v>46223</v>
      </c>
      <c r="N82">
        <v>46250</v>
      </c>
      <c r="O82">
        <v>2</v>
      </c>
      <c r="P82">
        <v>152</v>
      </c>
      <c r="Q82">
        <v>20</v>
      </c>
      <c r="R82">
        <v>20</v>
      </c>
      <c r="S82">
        <v>20</v>
      </c>
      <c r="T82">
        <v>20</v>
      </c>
      <c r="U82" t="s">
        <v>303</v>
      </c>
    </row>
    <row r="83" spans="1:21" x14ac:dyDescent="0.25">
      <c r="A83" t="s">
        <v>238</v>
      </c>
      <c r="B83" t="s">
        <v>133</v>
      </c>
      <c r="C83">
        <v>82</v>
      </c>
      <c r="E83" t="s">
        <v>289</v>
      </c>
      <c r="F83" t="s">
        <v>379</v>
      </c>
      <c r="G83" t="s">
        <v>291</v>
      </c>
      <c r="H83" t="s">
        <v>296</v>
      </c>
      <c r="I83" t="s">
        <v>133</v>
      </c>
      <c r="J83" t="s">
        <v>293</v>
      </c>
      <c r="L83">
        <v>0</v>
      </c>
      <c r="M83">
        <v>46223</v>
      </c>
      <c r="N83">
        <v>46250</v>
      </c>
      <c r="O83">
        <v>2</v>
      </c>
      <c r="P83">
        <v>0</v>
      </c>
      <c r="Q83">
        <v>0</v>
      </c>
      <c r="R83">
        <v>0</v>
      </c>
      <c r="S83">
        <v>20</v>
      </c>
      <c r="T83">
        <v>20</v>
      </c>
      <c r="U83" t="s">
        <v>297</v>
      </c>
    </row>
    <row r="84" spans="1:21" x14ac:dyDescent="0.25">
      <c r="A84" t="s">
        <v>195</v>
      </c>
      <c r="B84" t="s">
        <v>133</v>
      </c>
      <c r="C84">
        <v>83</v>
      </c>
      <c r="E84" t="s">
        <v>289</v>
      </c>
      <c r="F84" t="s">
        <v>380</v>
      </c>
      <c r="G84" t="s">
        <v>291</v>
      </c>
      <c r="H84" t="s">
        <v>292</v>
      </c>
      <c r="I84" t="s">
        <v>133</v>
      </c>
      <c r="J84" t="s">
        <v>293</v>
      </c>
      <c r="L84">
        <v>60</v>
      </c>
      <c r="M84">
        <v>46223</v>
      </c>
      <c r="N84">
        <v>46250</v>
      </c>
      <c r="O84">
        <v>2</v>
      </c>
      <c r="P84">
        <v>120</v>
      </c>
      <c r="Q84">
        <v>15.789473684210527</v>
      </c>
      <c r="R84">
        <v>15</v>
      </c>
      <c r="S84">
        <v>20</v>
      </c>
      <c r="T84">
        <v>15</v>
      </c>
      <c r="U84" t="s">
        <v>294</v>
      </c>
    </row>
    <row r="85" spans="1:21" x14ac:dyDescent="0.25">
      <c r="A85" t="s">
        <v>180</v>
      </c>
      <c r="B85" t="s">
        <v>133</v>
      </c>
      <c r="C85">
        <v>84</v>
      </c>
      <c r="E85" t="s">
        <v>289</v>
      </c>
      <c r="F85" t="s">
        <v>381</v>
      </c>
      <c r="G85" t="s">
        <v>291</v>
      </c>
      <c r="H85" t="s">
        <v>292</v>
      </c>
      <c r="I85" t="s">
        <v>133</v>
      </c>
      <c r="J85" t="s">
        <v>293</v>
      </c>
      <c r="L85">
        <v>67.5</v>
      </c>
      <c r="M85">
        <v>46223</v>
      </c>
      <c r="N85">
        <v>46250</v>
      </c>
      <c r="O85">
        <v>2</v>
      </c>
      <c r="P85">
        <v>135</v>
      </c>
      <c r="Q85">
        <v>17.763157894736842</v>
      </c>
      <c r="R85">
        <v>17</v>
      </c>
      <c r="S85">
        <v>20</v>
      </c>
      <c r="T85">
        <v>17</v>
      </c>
      <c r="U85" t="s">
        <v>294</v>
      </c>
    </row>
    <row r="86" spans="1:21" x14ac:dyDescent="0.25">
      <c r="A86" t="s">
        <v>168</v>
      </c>
      <c r="B86" t="s">
        <v>135</v>
      </c>
      <c r="C86">
        <v>85</v>
      </c>
      <c r="E86" t="s">
        <v>289</v>
      </c>
      <c r="F86" t="s">
        <v>382</v>
      </c>
      <c r="G86" t="s">
        <v>291</v>
      </c>
      <c r="H86" t="s">
        <v>292</v>
      </c>
      <c r="I86" t="s">
        <v>135</v>
      </c>
      <c r="J86" t="s">
        <v>293</v>
      </c>
      <c r="L86">
        <v>60</v>
      </c>
      <c r="M86">
        <v>46223</v>
      </c>
      <c r="N86">
        <v>46250</v>
      </c>
      <c r="O86">
        <v>2</v>
      </c>
      <c r="P86">
        <v>120</v>
      </c>
      <c r="Q86">
        <v>15.789473684210527</v>
      </c>
      <c r="R86">
        <v>15</v>
      </c>
      <c r="S86">
        <v>20</v>
      </c>
      <c r="T86">
        <v>15</v>
      </c>
      <c r="U86" t="s">
        <v>294</v>
      </c>
    </row>
    <row r="87" spans="1:21" x14ac:dyDescent="0.25">
      <c r="A87" t="s">
        <v>163</v>
      </c>
      <c r="B87" t="s">
        <v>133</v>
      </c>
      <c r="C87">
        <v>86</v>
      </c>
      <c r="E87" t="s">
        <v>289</v>
      </c>
      <c r="F87" t="s">
        <v>383</v>
      </c>
      <c r="G87" t="s">
        <v>291</v>
      </c>
      <c r="H87" t="s">
        <v>292</v>
      </c>
      <c r="I87" t="s">
        <v>133</v>
      </c>
      <c r="J87" t="s">
        <v>293</v>
      </c>
      <c r="L87">
        <v>45</v>
      </c>
      <c r="M87">
        <v>46223</v>
      </c>
      <c r="N87">
        <v>46250</v>
      </c>
      <c r="O87">
        <v>2</v>
      </c>
      <c r="P87">
        <v>90</v>
      </c>
      <c r="Q87">
        <v>11.842105263157896</v>
      </c>
      <c r="R87">
        <v>11</v>
      </c>
      <c r="S87">
        <v>20</v>
      </c>
      <c r="T87">
        <v>11</v>
      </c>
      <c r="U87" t="s">
        <v>294</v>
      </c>
    </row>
    <row r="88" spans="1:21" x14ac:dyDescent="0.25">
      <c r="A88" t="s">
        <v>165</v>
      </c>
      <c r="B88" t="s">
        <v>133</v>
      </c>
      <c r="C88">
        <v>87</v>
      </c>
      <c r="E88" t="s">
        <v>289</v>
      </c>
      <c r="F88" t="s">
        <v>384</v>
      </c>
      <c r="G88" t="s">
        <v>291</v>
      </c>
      <c r="H88" t="s">
        <v>292</v>
      </c>
      <c r="I88" t="s">
        <v>133</v>
      </c>
      <c r="J88" t="s">
        <v>293</v>
      </c>
      <c r="L88">
        <v>45</v>
      </c>
      <c r="M88">
        <v>46223</v>
      </c>
      <c r="N88">
        <v>46250</v>
      </c>
      <c r="O88">
        <v>2</v>
      </c>
      <c r="P88">
        <v>90</v>
      </c>
      <c r="Q88">
        <v>11.842105263157896</v>
      </c>
      <c r="R88">
        <v>11</v>
      </c>
      <c r="S88">
        <v>20</v>
      </c>
      <c r="T88">
        <v>11</v>
      </c>
      <c r="U88" t="s">
        <v>294</v>
      </c>
    </row>
    <row r="89" spans="1:21" x14ac:dyDescent="0.25">
      <c r="A89" t="s">
        <v>270</v>
      </c>
      <c r="B89" t="s">
        <v>133</v>
      </c>
      <c r="C89">
        <v>88</v>
      </c>
      <c r="D89" t="s">
        <v>262</v>
      </c>
      <c r="E89" t="s">
        <v>289</v>
      </c>
      <c r="F89" t="s">
        <v>385</v>
      </c>
      <c r="G89" t="s">
        <v>291</v>
      </c>
      <c r="H89" t="s">
        <v>296</v>
      </c>
      <c r="I89" t="s">
        <v>133</v>
      </c>
      <c r="J89" t="s">
        <v>293</v>
      </c>
      <c r="L89">
        <v>0</v>
      </c>
      <c r="M89">
        <v>46223</v>
      </c>
      <c r="N89">
        <v>46250</v>
      </c>
      <c r="O89">
        <v>2</v>
      </c>
      <c r="P89">
        <v>0</v>
      </c>
      <c r="Q89">
        <v>0</v>
      </c>
      <c r="R89">
        <v>0</v>
      </c>
      <c r="S89">
        <v>20</v>
      </c>
      <c r="T89">
        <v>20</v>
      </c>
      <c r="U89" t="s">
        <v>297</v>
      </c>
    </row>
    <row r="90" spans="1:21" x14ac:dyDescent="0.25">
      <c r="A90" t="s">
        <v>227</v>
      </c>
      <c r="B90" t="s">
        <v>133</v>
      </c>
      <c r="C90">
        <v>89</v>
      </c>
      <c r="E90" t="s">
        <v>289</v>
      </c>
      <c r="F90" t="s">
        <v>386</v>
      </c>
      <c r="G90" t="s">
        <v>291</v>
      </c>
      <c r="H90" t="s">
        <v>296</v>
      </c>
      <c r="I90" t="s">
        <v>133</v>
      </c>
      <c r="J90" t="s">
        <v>293</v>
      </c>
      <c r="L90">
        <v>0</v>
      </c>
      <c r="M90">
        <v>46223</v>
      </c>
      <c r="N90">
        <v>46250</v>
      </c>
      <c r="O90">
        <v>2</v>
      </c>
      <c r="P90">
        <v>0</v>
      </c>
      <c r="Q90">
        <v>0</v>
      </c>
      <c r="R90">
        <v>0</v>
      </c>
      <c r="S90">
        <v>20</v>
      </c>
      <c r="T90">
        <v>20</v>
      </c>
      <c r="U90" t="s">
        <v>297</v>
      </c>
    </row>
    <row r="91" spans="1:21" x14ac:dyDescent="0.25">
      <c r="A91" t="s">
        <v>251</v>
      </c>
      <c r="B91" t="s">
        <v>134</v>
      </c>
      <c r="C91">
        <v>90</v>
      </c>
      <c r="D91" t="s">
        <v>240</v>
      </c>
      <c r="E91" t="s">
        <v>387</v>
      </c>
      <c r="F91" t="s">
        <v>388</v>
      </c>
      <c r="J91" t="s">
        <v>293</v>
      </c>
      <c r="L91">
        <v>0</v>
      </c>
      <c r="M91">
        <v>46223</v>
      </c>
      <c r="N91">
        <v>46250</v>
      </c>
      <c r="O91">
        <v>2</v>
      </c>
      <c r="P91">
        <v>0</v>
      </c>
      <c r="Q91">
        <v>0</v>
      </c>
      <c r="R91">
        <v>0</v>
      </c>
      <c r="S91">
        <v>20</v>
      </c>
      <c r="U91" t="s">
        <v>389</v>
      </c>
    </row>
    <row r="92" spans="1:21" x14ac:dyDescent="0.25">
      <c r="A92" t="s">
        <v>250</v>
      </c>
      <c r="B92" t="s">
        <v>134</v>
      </c>
      <c r="C92">
        <v>91</v>
      </c>
      <c r="D92" t="s">
        <v>240</v>
      </c>
      <c r="E92" t="s">
        <v>387</v>
      </c>
      <c r="F92" t="s">
        <v>390</v>
      </c>
      <c r="J92" t="s">
        <v>293</v>
      </c>
      <c r="L92">
        <v>64</v>
      </c>
      <c r="M92">
        <v>46223</v>
      </c>
      <c r="N92">
        <v>46250</v>
      </c>
      <c r="O92">
        <v>2</v>
      </c>
      <c r="P92">
        <v>128</v>
      </c>
      <c r="Q92">
        <v>16.842105263157894</v>
      </c>
      <c r="R92">
        <v>16</v>
      </c>
      <c r="S92">
        <v>20</v>
      </c>
      <c r="U92" t="s">
        <v>389</v>
      </c>
    </row>
    <row r="93" spans="1:21" x14ac:dyDescent="0.25">
      <c r="A93" t="s">
        <v>249</v>
      </c>
      <c r="B93" t="s">
        <v>134</v>
      </c>
      <c r="C93">
        <v>92</v>
      </c>
      <c r="D93" t="s">
        <v>240</v>
      </c>
      <c r="E93" t="s">
        <v>387</v>
      </c>
      <c r="F93" t="s">
        <v>391</v>
      </c>
      <c r="J93" t="s">
        <v>293</v>
      </c>
      <c r="L93">
        <v>0</v>
      </c>
      <c r="M93">
        <v>46223</v>
      </c>
      <c r="N93">
        <v>46250</v>
      </c>
      <c r="O93">
        <v>2</v>
      </c>
      <c r="P93">
        <v>0</v>
      </c>
      <c r="Q93">
        <v>0</v>
      </c>
      <c r="R93">
        <v>0</v>
      </c>
      <c r="S93">
        <v>20</v>
      </c>
      <c r="U93" t="s">
        <v>389</v>
      </c>
    </row>
    <row r="94" spans="1:21" x14ac:dyDescent="0.25">
      <c r="A94" t="s">
        <v>248</v>
      </c>
      <c r="B94" t="s">
        <v>133</v>
      </c>
      <c r="C94">
        <v>93</v>
      </c>
      <c r="D94" t="s">
        <v>240</v>
      </c>
      <c r="E94" t="s">
        <v>387</v>
      </c>
      <c r="F94" t="s">
        <v>392</v>
      </c>
      <c r="J94" t="s">
        <v>293</v>
      </c>
      <c r="L94">
        <v>75</v>
      </c>
      <c r="M94">
        <v>46223</v>
      </c>
      <c r="N94">
        <v>46250</v>
      </c>
      <c r="O94">
        <v>2</v>
      </c>
      <c r="P94">
        <v>150</v>
      </c>
      <c r="Q94">
        <v>19.736842105263161</v>
      </c>
      <c r="R94">
        <v>19</v>
      </c>
      <c r="S94">
        <v>20</v>
      </c>
      <c r="U94" t="s">
        <v>389</v>
      </c>
    </row>
    <row r="95" spans="1:21" x14ac:dyDescent="0.25">
      <c r="A95" t="s">
        <v>259</v>
      </c>
      <c r="B95" t="s">
        <v>134</v>
      </c>
      <c r="C95">
        <v>94</v>
      </c>
      <c r="D95" t="s">
        <v>240</v>
      </c>
      <c r="E95" t="s">
        <v>387</v>
      </c>
      <c r="F95" t="s">
        <v>393</v>
      </c>
      <c r="J95" t="s">
        <v>293</v>
      </c>
      <c r="L95">
        <v>45</v>
      </c>
      <c r="M95">
        <v>46223</v>
      </c>
      <c r="N95">
        <v>46250</v>
      </c>
      <c r="O95">
        <v>2</v>
      </c>
      <c r="P95">
        <v>90</v>
      </c>
      <c r="Q95">
        <v>11.842105263157896</v>
      </c>
      <c r="R95">
        <v>11</v>
      </c>
      <c r="S95">
        <v>20</v>
      </c>
      <c r="U95" t="s">
        <v>389</v>
      </c>
    </row>
    <row r="96" spans="1:21" x14ac:dyDescent="0.25">
      <c r="A96" t="s">
        <v>415</v>
      </c>
      <c r="B96" t="s">
        <v>133</v>
      </c>
      <c r="C96">
        <v>95</v>
      </c>
      <c r="D96" t="s">
        <v>240</v>
      </c>
      <c r="E96" t="s">
        <v>387</v>
      </c>
      <c r="F96" t="s">
        <v>394</v>
      </c>
      <c r="J96" t="s">
        <v>293</v>
      </c>
      <c r="L96">
        <v>45</v>
      </c>
      <c r="M96">
        <v>46223</v>
      </c>
      <c r="N96">
        <v>46250</v>
      </c>
      <c r="O96">
        <v>2</v>
      </c>
      <c r="P96">
        <v>90</v>
      </c>
      <c r="Q96">
        <v>11.842105263157896</v>
      </c>
      <c r="R96">
        <v>11</v>
      </c>
      <c r="S96">
        <v>20</v>
      </c>
      <c r="U96" t="s">
        <v>389</v>
      </c>
    </row>
    <row r="97" spans="1:21" x14ac:dyDescent="0.25">
      <c r="A97" t="s">
        <v>239</v>
      </c>
      <c r="B97" t="s">
        <v>134</v>
      </c>
      <c r="C97">
        <v>96</v>
      </c>
      <c r="D97" t="s">
        <v>240</v>
      </c>
      <c r="E97" t="s">
        <v>387</v>
      </c>
      <c r="F97" t="s">
        <v>395</v>
      </c>
      <c r="J97" t="s">
        <v>293</v>
      </c>
      <c r="L97">
        <v>0</v>
      </c>
      <c r="M97">
        <v>46223</v>
      </c>
      <c r="N97">
        <v>46250</v>
      </c>
      <c r="O97">
        <v>2</v>
      </c>
      <c r="P97">
        <v>0</v>
      </c>
      <c r="Q97">
        <v>0</v>
      </c>
      <c r="R97">
        <v>0</v>
      </c>
      <c r="S97">
        <v>20</v>
      </c>
      <c r="U97" t="s">
        <v>389</v>
      </c>
    </row>
    <row r="98" spans="1:21" x14ac:dyDescent="0.25">
      <c r="A98" t="s">
        <v>241</v>
      </c>
      <c r="B98" t="s">
        <v>134</v>
      </c>
      <c r="C98">
        <v>97</v>
      </c>
      <c r="D98" t="s">
        <v>240</v>
      </c>
      <c r="E98" t="s">
        <v>387</v>
      </c>
      <c r="F98" t="s">
        <v>396</v>
      </c>
      <c r="J98" t="s">
        <v>293</v>
      </c>
      <c r="L98">
        <v>40</v>
      </c>
      <c r="M98">
        <v>46223</v>
      </c>
      <c r="N98">
        <v>46250</v>
      </c>
      <c r="O98">
        <v>2</v>
      </c>
      <c r="P98">
        <v>80</v>
      </c>
      <c r="Q98">
        <v>10.526315789473683</v>
      </c>
      <c r="R98">
        <v>10</v>
      </c>
      <c r="S98">
        <v>20</v>
      </c>
      <c r="U98" t="s">
        <v>389</v>
      </c>
    </row>
    <row r="99" spans="1:21" x14ac:dyDescent="0.25">
      <c r="A99" t="s">
        <v>242</v>
      </c>
      <c r="B99" t="s">
        <v>133</v>
      </c>
      <c r="C99">
        <v>98</v>
      </c>
      <c r="D99" t="s">
        <v>240</v>
      </c>
      <c r="E99" t="s">
        <v>387</v>
      </c>
      <c r="F99" t="s">
        <v>397</v>
      </c>
      <c r="J99" t="s">
        <v>293</v>
      </c>
      <c r="L99">
        <v>60</v>
      </c>
      <c r="M99">
        <v>46223</v>
      </c>
      <c r="N99">
        <v>46250</v>
      </c>
      <c r="O99">
        <v>2</v>
      </c>
      <c r="P99">
        <v>120</v>
      </c>
      <c r="Q99">
        <v>15.789473684210527</v>
      </c>
      <c r="R99">
        <v>15</v>
      </c>
      <c r="S99">
        <v>20</v>
      </c>
      <c r="U99" t="s">
        <v>389</v>
      </c>
    </row>
    <row r="100" spans="1:21" x14ac:dyDescent="0.25">
      <c r="A100" t="s">
        <v>246</v>
      </c>
      <c r="B100" t="s">
        <v>134</v>
      </c>
      <c r="C100">
        <v>99</v>
      </c>
      <c r="D100" t="s">
        <v>240</v>
      </c>
      <c r="E100" t="s">
        <v>387</v>
      </c>
      <c r="F100" t="s">
        <v>398</v>
      </c>
      <c r="J100" t="s">
        <v>293</v>
      </c>
      <c r="L100">
        <v>48</v>
      </c>
      <c r="M100">
        <v>46223</v>
      </c>
      <c r="N100">
        <v>46250</v>
      </c>
      <c r="O100">
        <v>2</v>
      </c>
      <c r="P100">
        <v>96</v>
      </c>
      <c r="Q100">
        <v>12.631578947368419</v>
      </c>
      <c r="R100">
        <v>12</v>
      </c>
      <c r="S100">
        <v>20</v>
      </c>
      <c r="U100" t="s">
        <v>389</v>
      </c>
    </row>
    <row r="101" spans="1:21" x14ac:dyDescent="0.25">
      <c r="A101" t="s">
        <v>243</v>
      </c>
      <c r="B101" t="s">
        <v>134</v>
      </c>
      <c r="C101">
        <v>100</v>
      </c>
      <c r="D101" t="s">
        <v>240</v>
      </c>
      <c r="E101" t="s">
        <v>387</v>
      </c>
      <c r="F101" t="s">
        <v>399</v>
      </c>
      <c r="J101" t="s">
        <v>293</v>
      </c>
      <c r="L101">
        <v>48</v>
      </c>
      <c r="M101">
        <v>46223</v>
      </c>
      <c r="N101">
        <v>46250</v>
      </c>
      <c r="O101">
        <v>2</v>
      </c>
      <c r="P101">
        <v>96</v>
      </c>
      <c r="Q101">
        <v>12.631578947368419</v>
      </c>
      <c r="R101">
        <v>12</v>
      </c>
      <c r="S101">
        <v>20</v>
      </c>
      <c r="U101" t="s">
        <v>389</v>
      </c>
    </row>
    <row r="102" spans="1:21" x14ac:dyDescent="0.25">
      <c r="A102" t="s">
        <v>244</v>
      </c>
      <c r="B102" t="s">
        <v>134</v>
      </c>
      <c r="C102">
        <v>101</v>
      </c>
      <c r="D102" t="s">
        <v>240</v>
      </c>
      <c r="E102" t="s">
        <v>387</v>
      </c>
      <c r="F102" t="s">
        <v>400</v>
      </c>
      <c r="J102" t="s">
        <v>293</v>
      </c>
      <c r="L102">
        <v>76</v>
      </c>
      <c r="M102">
        <v>46223</v>
      </c>
      <c r="N102">
        <v>46250</v>
      </c>
      <c r="O102">
        <v>2</v>
      </c>
      <c r="P102">
        <v>152</v>
      </c>
      <c r="Q102">
        <v>20</v>
      </c>
      <c r="R102">
        <v>20</v>
      </c>
      <c r="S102">
        <v>20</v>
      </c>
      <c r="U102" t="s">
        <v>389</v>
      </c>
    </row>
    <row r="103" spans="1:21" x14ac:dyDescent="0.25">
      <c r="A103" t="s">
        <v>245</v>
      </c>
      <c r="B103" t="s">
        <v>134</v>
      </c>
      <c r="C103">
        <v>102</v>
      </c>
      <c r="D103" t="s">
        <v>240</v>
      </c>
      <c r="E103" t="s">
        <v>387</v>
      </c>
      <c r="F103" t="s">
        <v>401</v>
      </c>
      <c r="J103" t="s">
        <v>293</v>
      </c>
      <c r="L103">
        <v>48</v>
      </c>
      <c r="M103">
        <v>46223</v>
      </c>
      <c r="N103">
        <v>46250</v>
      </c>
      <c r="O103">
        <v>2</v>
      </c>
      <c r="P103">
        <v>96</v>
      </c>
      <c r="Q103">
        <v>12.631578947368419</v>
      </c>
      <c r="R103">
        <v>12</v>
      </c>
      <c r="S103">
        <v>20</v>
      </c>
      <c r="U103" t="s">
        <v>389</v>
      </c>
    </row>
    <row r="104" spans="1:21" x14ac:dyDescent="0.25">
      <c r="A104" t="s">
        <v>416</v>
      </c>
      <c r="B104" t="s">
        <v>133</v>
      </c>
      <c r="C104">
        <v>103</v>
      </c>
      <c r="D104" t="s">
        <v>240</v>
      </c>
      <c r="E104" t="s">
        <v>387</v>
      </c>
      <c r="F104" t="s">
        <v>402</v>
      </c>
      <c r="J104" t="s">
        <v>293</v>
      </c>
      <c r="L104">
        <v>16</v>
      </c>
      <c r="M104">
        <v>46223</v>
      </c>
      <c r="N104">
        <v>46250</v>
      </c>
      <c r="O104">
        <v>2</v>
      </c>
      <c r="P104">
        <v>32</v>
      </c>
      <c r="Q104">
        <v>4.2105263157894735</v>
      </c>
      <c r="R104">
        <v>4</v>
      </c>
      <c r="S104">
        <v>20</v>
      </c>
      <c r="U104" t="s">
        <v>389</v>
      </c>
    </row>
    <row r="105" spans="1:21" x14ac:dyDescent="0.25">
      <c r="A105" t="s">
        <v>417</v>
      </c>
      <c r="B105" t="s">
        <v>133</v>
      </c>
      <c r="C105">
        <v>104</v>
      </c>
      <c r="D105" t="s">
        <v>240</v>
      </c>
      <c r="E105" t="s">
        <v>387</v>
      </c>
      <c r="F105" t="s">
        <v>403</v>
      </c>
      <c r="J105" t="s">
        <v>293</v>
      </c>
      <c r="L105">
        <v>75</v>
      </c>
      <c r="M105">
        <v>46223</v>
      </c>
      <c r="N105">
        <v>46250</v>
      </c>
      <c r="O105">
        <v>2</v>
      </c>
      <c r="P105">
        <v>150</v>
      </c>
      <c r="Q105">
        <v>19.736842105263161</v>
      </c>
      <c r="R105">
        <v>19</v>
      </c>
      <c r="S105">
        <v>20</v>
      </c>
      <c r="U105" t="s">
        <v>389</v>
      </c>
    </row>
    <row r="106" spans="1:21" x14ac:dyDescent="0.25">
      <c r="A106" t="s">
        <v>418</v>
      </c>
      <c r="B106" t="s">
        <v>133</v>
      </c>
      <c r="C106">
        <v>105</v>
      </c>
      <c r="D106" t="s">
        <v>240</v>
      </c>
      <c r="E106" t="s">
        <v>387</v>
      </c>
      <c r="F106" t="s">
        <v>404</v>
      </c>
      <c r="J106" t="s">
        <v>293</v>
      </c>
      <c r="L106">
        <v>76</v>
      </c>
      <c r="M106">
        <v>46223</v>
      </c>
      <c r="N106">
        <v>46250</v>
      </c>
      <c r="O106">
        <v>2</v>
      </c>
      <c r="P106">
        <v>152</v>
      </c>
      <c r="Q106">
        <v>20</v>
      </c>
      <c r="R106">
        <v>20</v>
      </c>
      <c r="S106">
        <v>20</v>
      </c>
      <c r="U106" t="s">
        <v>389</v>
      </c>
    </row>
    <row r="107" spans="1:21" x14ac:dyDescent="0.25">
      <c r="A107" t="s">
        <v>260</v>
      </c>
      <c r="B107" t="s">
        <v>134</v>
      </c>
      <c r="C107">
        <v>106</v>
      </c>
      <c r="D107" t="s">
        <v>240</v>
      </c>
      <c r="E107" t="s">
        <v>387</v>
      </c>
      <c r="F107" t="s">
        <v>405</v>
      </c>
      <c r="J107" t="s">
        <v>293</v>
      </c>
      <c r="L107">
        <v>76</v>
      </c>
      <c r="M107">
        <v>46223</v>
      </c>
      <c r="N107">
        <v>46250</v>
      </c>
      <c r="O107">
        <v>2</v>
      </c>
      <c r="P107">
        <v>152</v>
      </c>
      <c r="Q107">
        <v>20</v>
      </c>
      <c r="R107">
        <v>20</v>
      </c>
      <c r="S107">
        <v>20</v>
      </c>
      <c r="U107" t="s">
        <v>389</v>
      </c>
    </row>
    <row r="108" spans="1:21" x14ac:dyDescent="0.25">
      <c r="A108" t="s">
        <v>252</v>
      </c>
      <c r="B108" t="s">
        <v>134</v>
      </c>
      <c r="C108">
        <v>107</v>
      </c>
      <c r="D108" t="s">
        <v>240</v>
      </c>
      <c r="E108" t="s">
        <v>387</v>
      </c>
      <c r="F108" t="s">
        <v>406</v>
      </c>
      <c r="J108" t="s">
        <v>293</v>
      </c>
      <c r="L108">
        <v>76</v>
      </c>
      <c r="M108">
        <v>46223</v>
      </c>
      <c r="N108">
        <v>46250</v>
      </c>
      <c r="O108">
        <v>2</v>
      </c>
      <c r="P108">
        <v>152</v>
      </c>
      <c r="Q108">
        <v>20</v>
      </c>
      <c r="R108">
        <v>20</v>
      </c>
      <c r="S108">
        <v>20</v>
      </c>
      <c r="U108" t="s">
        <v>389</v>
      </c>
    </row>
    <row r="109" spans="1:21" x14ac:dyDescent="0.25">
      <c r="A109" t="s">
        <v>253</v>
      </c>
      <c r="B109" t="s">
        <v>134</v>
      </c>
      <c r="C109">
        <v>108</v>
      </c>
      <c r="D109" t="s">
        <v>240</v>
      </c>
      <c r="E109" t="s">
        <v>387</v>
      </c>
      <c r="F109" t="s">
        <v>407</v>
      </c>
      <c r="J109" t="s">
        <v>293</v>
      </c>
      <c r="L109">
        <v>76</v>
      </c>
      <c r="M109">
        <v>46223</v>
      </c>
      <c r="N109">
        <v>46250</v>
      </c>
      <c r="O109">
        <v>2</v>
      </c>
      <c r="P109">
        <v>152</v>
      </c>
      <c r="Q109">
        <v>20</v>
      </c>
      <c r="R109">
        <v>20</v>
      </c>
      <c r="S109">
        <v>20</v>
      </c>
      <c r="U109" t="s">
        <v>389</v>
      </c>
    </row>
    <row r="110" spans="1:21" x14ac:dyDescent="0.25">
      <c r="A110" t="s">
        <v>419</v>
      </c>
      <c r="B110" t="s">
        <v>133</v>
      </c>
      <c r="C110">
        <v>109</v>
      </c>
      <c r="D110" t="s">
        <v>240</v>
      </c>
      <c r="E110" t="s">
        <v>387</v>
      </c>
      <c r="F110" t="s">
        <v>408</v>
      </c>
      <c r="J110" t="s">
        <v>293</v>
      </c>
      <c r="L110">
        <v>75</v>
      </c>
      <c r="M110">
        <v>46223</v>
      </c>
      <c r="N110">
        <v>46250</v>
      </c>
      <c r="O110">
        <v>2</v>
      </c>
      <c r="P110">
        <v>150</v>
      </c>
      <c r="Q110">
        <v>19.736842105263161</v>
      </c>
      <c r="R110">
        <v>19</v>
      </c>
      <c r="S110">
        <v>20</v>
      </c>
      <c r="U110" t="s">
        <v>389</v>
      </c>
    </row>
    <row r="111" spans="1:21" x14ac:dyDescent="0.25">
      <c r="A111" t="s">
        <v>255</v>
      </c>
      <c r="B111" t="s">
        <v>134</v>
      </c>
      <c r="C111">
        <v>110</v>
      </c>
      <c r="D111" t="s">
        <v>240</v>
      </c>
      <c r="E111" t="s">
        <v>387</v>
      </c>
      <c r="F111" t="s">
        <v>409</v>
      </c>
      <c r="J111" t="s">
        <v>293</v>
      </c>
      <c r="L111">
        <v>72</v>
      </c>
      <c r="M111">
        <v>46223</v>
      </c>
      <c r="N111">
        <v>46250</v>
      </c>
      <c r="O111">
        <v>2</v>
      </c>
      <c r="P111">
        <v>144</v>
      </c>
      <c r="Q111">
        <v>18.947368421052634</v>
      </c>
      <c r="R111">
        <v>18</v>
      </c>
      <c r="S111">
        <v>20</v>
      </c>
      <c r="U111" t="s">
        <v>389</v>
      </c>
    </row>
    <row r="112" spans="1:21" x14ac:dyDescent="0.25">
      <c r="A112" t="s">
        <v>256</v>
      </c>
      <c r="B112" t="s">
        <v>134</v>
      </c>
      <c r="C112">
        <v>111</v>
      </c>
      <c r="D112" t="s">
        <v>240</v>
      </c>
      <c r="E112" t="s">
        <v>387</v>
      </c>
      <c r="F112" t="s">
        <v>410</v>
      </c>
      <c r="J112" t="s">
        <v>293</v>
      </c>
      <c r="L112">
        <v>40</v>
      </c>
      <c r="M112">
        <v>46223</v>
      </c>
      <c r="N112">
        <v>46250</v>
      </c>
      <c r="O112">
        <v>2</v>
      </c>
      <c r="P112">
        <v>80</v>
      </c>
      <c r="Q112">
        <v>10.526315789473683</v>
      </c>
      <c r="R112">
        <v>10</v>
      </c>
      <c r="S112">
        <v>20</v>
      </c>
      <c r="U112" t="s">
        <v>389</v>
      </c>
    </row>
    <row r="113" spans="1:21" x14ac:dyDescent="0.25">
      <c r="A113" t="s">
        <v>257</v>
      </c>
      <c r="B113" t="s">
        <v>134</v>
      </c>
      <c r="C113">
        <v>112</v>
      </c>
      <c r="D113" t="s">
        <v>240</v>
      </c>
      <c r="E113" t="s">
        <v>387</v>
      </c>
      <c r="F113" t="s">
        <v>411</v>
      </c>
      <c r="J113" t="s">
        <v>293</v>
      </c>
      <c r="L113">
        <v>60</v>
      </c>
      <c r="M113">
        <v>46223</v>
      </c>
      <c r="N113">
        <v>46250</v>
      </c>
      <c r="O113">
        <v>2</v>
      </c>
      <c r="P113">
        <v>120</v>
      </c>
      <c r="Q113">
        <v>15.789473684210527</v>
      </c>
      <c r="R113">
        <v>15</v>
      </c>
      <c r="S113">
        <v>20</v>
      </c>
      <c r="U113" t="s">
        <v>389</v>
      </c>
    </row>
    <row r="114" spans="1:21" x14ac:dyDescent="0.25">
      <c r="A114" t="s">
        <v>258</v>
      </c>
      <c r="B114" t="s">
        <v>134</v>
      </c>
      <c r="C114">
        <v>113</v>
      </c>
      <c r="D114" t="s">
        <v>240</v>
      </c>
      <c r="E114" t="s">
        <v>387</v>
      </c>
      <c r="F114" t="s">
        <v>412</v>
      </c>
      <c r="J114" t="s">
        <v>293</v>
      </c>
      <c r="L114">
        <v>32</v>
      </c>
      <c r="M114">
        <v>46223</v>
      </c>
      <c r="N114">
        <v>46250</v>
      </c>
      <c r="O114">
        <v>2</v>
      </c>
      <c r="P114">
        <v>64</v>
      </c>
      <c r="Q114">
        <v>8.4210526315789469</v>
      </c>
      <c r="R114">
        <v>8</v>
      </c>
      <c r="S114">
        <v>20</v>
      </c>
      <c r="U114" t="s">
        <v>389</v>
      </c>
    </row>
    <row r="115" spans="1:21" x14ac:dyDescent="0.25">
      <c r="A115" t="s">
        <v>254</v>
      </c>
      <c r="B115" t="s">
        <v>134</v>
      </c>
      <c r="C115">
        <v>114</v>
      </c>
      <c r="D115" t="s">
        <v>240</v>
      </c>
      <c r="E115" t="s">
        <v>387</v>
      </c>
      <c r="F115" t="s">
        <v>413</v>
      </c>
      <c r="J115" t="s">
        <v>293</v>
      </c>
      <c r="L115">
        <v>32</v>
      </c>
      <c r="M115">
        <v>46223</v>
      </c>
      <c r="N115">
        <v>46250</v>
      </c>
      <c r="O115">
        <v>2</v>
      </c>
      <c r="P115">
        <v>64</v>
      </c>
      <c r="Q115">
        <v>8.4210526315789469</v>
      </c>
      <c r="R115">
        <v>8</v>
      </c>
      <c r="S115">
        <v>20</v>
      </c>
      <c r="U115" t="s">
        <v>389</v>
      </c>
    </row>
    <row r="116" spans="1:21" x14ac:dyDescent="0.25">
      <c r="A116" t="s">
        <v>247</v>
      </c>
      <c r="B116" t="s">
        <v>134</v>
      </c>
      <c r="C116">
        <v>115</v>
      </c>
      <c r="D116" t="s">
        <v>240</v>
      </c>
      <c r="E116" t="s">
        <v>387</v>
      </c>
      <c r="F116" t="s">
        <v>414</v>
      </c>
      <c r="J116" t="s">
        <v>293</v>
      </c>
      <c r="L116">
        <v>32</v>
      </c>
      <c r="M116">
        <v>46223</v>
      </c>
      <c r="N116">
        <v>46250</v>
      </c>
      <c r="O116">
        <v>2</v>
      </c>
      <c r="P116">
        <v>64</v>
      </c>
      <c r="Q116">
        <v>8.4210526315789469</v>
      </c>
      <c r="R116">
        <v>8</v>
      </c>
      <c r="S116">
        <v>20</v>
      </c>
      <c r="U116" t="s">
        <v>389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8B63-2485-468A-A445-A9E65D88FADD}">
  <dimension ref="A1:CF1125"/>
  <sheetViews>
    <sheetView tabSelected="1" topLeftCell="S1" workbookViewId="0">
      <selection activeCell="AA24" sqref="AA24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9.5703125" bestFit="1" customWidth="1"/>
    <col min="7" max="7" width="14" bestFit="1" customWidth="1"/>
    <col min="8" max="8" width="7.42578125" bestFit="1" customWidth="1"/>
    <col min="9" max="9" width="17.140625" bestFit="1" customWidth="1"/>
    <col min="10" max="10" width="12" bestFit="1" customWidth="1"/>
    <col min="11" max="11" width="8.5703125" bestFit="1" customWidth="1"/>
    <col min="12" max="12" width="16.42578125" bestFit="1" customWidth="1"/>
    <col min="13" max="14" width="7" bestFit="1" customWidth="1"/>
    <col min="15" max="15" width="12" bestFit="1" customWidth="1"/>
    <col min="16" max="16" width="16.5703125" bestFit="1" customWidth="1"/>
    <col min="17" max="17" width="16.28515625" bestFit="1" customWidth="1"/>
    <col min="18" max="18" width="14.42578125" bestFit="1" customWidth="1"/>
    <col min="19" max="19" width="30.28515625" bestFit="1" customWidth="1"/>
    <col min="20" max="20" width="20" bestFit="1" customWidth="1"/>
    <col min="21" max="21" width="17.7109375" bestFit="1" customWidth="1"/>
    <col min="22" max="22" width="30.85546875" bestFit="1" customWidth="1"/>
    <col min="23" max="23" width="28.7109375" bestFit="1" customWidth="1"/>
    <col min="24" max="24" width="33.140625" bestFit="1" customWidth="1"/>
    <col min="25" max="25" width="29.42578125" bestFit="1" customWidth="1"/>
    <col min="26" max="26" width="20.7109375" bestFit="1" customWidth="1"/>
    <col min="27" max="27" width="18.42578125" bestFit="1" customWidth="1"/>
    <col min="28" max="28" width="44.85546875" bestFit="1" customWidth="1"/>
    <col min="29" max="29" width="26.5703125" bestFit="1" customWidth="1"/>
    <col min="30" max="30" width="22" bestFit="1" customWidth="1"/>
    <col min="31" max="31" width="19.85546875" bestFit="1" customWidth="1"/>
    <col min="32" max="32" width="24.7109375" bestFit="1" customWidth="1"/>
    <col min="33" max="33" width="22.42578125" bestFit="1" customWidth="1"/>
    <col min="34" max="34" width="25.42578125" bestFit="1" customWidth="1"/>
    <col min="35" max="35" width="12.7109375" bestFit="1" customWidth="1"/>
    <col min="36" max="36" width="23.85546875" bestFit="1" customWidth="1"/>
    <col min="37" max="37" width="29.28515625" bestFit="1" customWidth="1"/>
    <col min="38" max="38" width="14.28515625" bestFit="1" customWidth="1"/>
    <col min="39" max="39" width="19.85546875" bestFit="1" customWidth="1"/>
    <col min="40" max="40" width="19.5703125" bestFit="1" customWidth="1"/>
    <col min="41" max="41" width="17.28515625" bestFit="1" customWidth="1"/>
    <col min="42" max="42" width="29.85546875" bestFit="1" customWidth="1"/>
    <col min="43" max="43" width="19.5703125" bestFit="1" customWidth="1"/>
    <col min="44" max="44" width="17.28515625" bestFit="1" customWidth="1"/>
    <col min="45" max="45" width="30.42578125" bestFit="1" customWidth="1"/>
    <col min="46" max="46" width="28.28515625" bestFit="1" customWidth="1"/>
    <col min="47" max="47" width="32.7109375" bestFit="1" customWidth="1"/>
    <col min="48" max="48" width="29" bestFit="1" customWidth="1"/>
    <col min="49" max="49" width="20.28515625" bestFit="1" customWidth="1"/>
    <col min="50" max="50" width="18" bestFit="1" customWidth="1"/>
    <col min="51" max="51" width="44.42578125" bestFit="1" customWidth="1"/>
    <col min="52" max="52" width="26.140625" bestFit="1" customWidth="1"/>
    <col min="53" max="53" width="21.5703125" bestFit="1" customWidth="1"/>
    <col min="54" max="54" width="19.28515625" bestFit="1" customWidth="1"/>
    <col min="55" max="55" width="24.28515625" bestFit="1" customWidth="1"/>
    <col min="56" max="56" width="22" bestFit="1" customWidth="1"/>
    <col min="57" max="57" width="25" bestFit="1" customWidth="1"/>
    <col min="58" max="58" width="12.28515625" bestFit="1" customWidth="1"/>
    <col min="59" max="59" width="23.28515625" bestFit="1" customWidth="1"/>
    <col min="60" max="60" width="28.42578125" bestFit="1" customWidth="1"/>
    <col min="61" max="61" width="13.85546875" bestFit="1" customWidth="1"/>
    <col min="62" max="62" width="20" bestFit="1" customWidth="1"/>
    <col min="63" max="63" width="19.140625" bestFit="1" customWidth="1"/>
    <col min="64" max="64" width="17.42578125" bestFit="1" customWidth="1"/>
    <col min="65" max="65" width="30.7109375" bestFit="1" customWidth="1"/>
    <col min="66" max="66" width="20.42578125" bestFit="1" customWidth="1"/>
    <col min="67" max="67" width="18.140625" bestFit="1" customWidth="1"/>
    <col min="68" max="68" width="31.28515625" bestFit="1" customWidth="1"/>
    <col min="69" max="69" width="29.140625" bestFit="1" customWidth="1"/>
    <col min="70" max="70" width="33.5703125" bestFit="1" customWidth="1"/>
    <col min="71" max="71" width="29.85546875" bestFit="1" customWidth="1"/>
    <col min="72" max="72" width="21.140625" bestFit="1" customWidth="1"/>
    <col min="73" max="73" width="18.85546875" bestFit="1" customWidth="1"/>
    <col min="74" max="74" width="45.28515625" bestFit="1" customWidth="1"/>
    <col min="75" max="75" width="27" bestFit="1" customWidth="1"/>
    <col min="76" max="76" width="22.42578125" bestFit="1" customWidth="1"/>
    <col min="77" max="77" width="20.28515625" bestFit="1" customWidth="1"/>
    <col min="78" max="78" width="25.140625" bestFit="1" customWidth="1"/>
    <col min="79" max="79" width="22.85546875" bestFit="1" customWidth="1"/>
    <col min="80" max="80" width="25.85546875" bestFit="1" customWidth="1"/>
    <col min="81" max="81" width="13.5703125" bestFit="1" customWidth="1"/>
    <col min="82" max="82" width="24.28515625" bestFit="1" customWidth="1"/>
    <col min="83" max="83" width="29.28515625" bestFit="1" customWidth="1"/>
    <col min="84" max="84" width="14.7109375" bestFit="1" customWidth="1"/>
    <col min="85" max="92" width="14.7109375" customWidth="1"/>
    <col min="93" max="93" width="29.28515625" bestFit="1" customWidth="1"/>
    <col min="94" max="94" width="14.7109375" bestFit="1" customWidth="1"/>
  </cols>
  <sheetData>
    <row r="1" spans="1:84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80</v>
      </c>
      <c r="G1" t="s">
        <v>100</v>
      </c>
      <c r="H1" t="s">
        <v>101</v>
      </c>
      <c r="I1" t="s">
        <v>112</v>
      </c>
      <c r="J1" t="s">
        <v>2</v>
      </c>
      <c r="K1" t="s">
        <v>136</v>
      </c>
      <c r="L1" t="s">
        <v>113</v>
      </c>
      <c r="M1" t="s">
        <v>3</v>
      </c>
      <c r="N1" t="s">
        <v>4</v>
      </c>
      <c r="O1" t="s">
        <v>5</v>
      </c>
      <c r="P1" t="s">
        <v>76</v>
      </c>
      <c r="Q1" t="s">
        <v>77</v>
      </c>
      <c r="R1" t="s">
        <v>78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103</v>
      </c>
      <c r="AN1" t="s">
        <v>104</v>
      </c>
      <c r="AO1" t="s">
        <v>105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106</v>
      </c>
      <c r="BK1" t="s">
        <v>107</v>
      </c>
      <c r="BL1" t="s">
        <v>108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102</v>
      </c>
      <c r="CD1" t="s">
        <v>97</v>
      </c>
      <c r="CE1" t="s">
        <v>98</v>
      </c>
      <c r="CF1" t="s">
        <v>99</v>
      </c>
    </row>
    <row r="2" spans="1:84" x14ac:dyDescent="0.25">
      <c r="A2" t="s">
        <v>128</v>
      </c>
      <c r="C2" s="14" t="s">
        <v>110</v>
      </c>
      <c r="D2" s="12">
        <v>46236</v>
      </c>
      <c r="E2" s="14"/>
      <c r="F2" s="14"/>
      <c r="G2" s="14"/>
      <c r="H2" s="14"/>
      <c r="J2">
        <v>111.10896459614645</v>
      </c>
      <c r="M2">
        <v>156.74999999999991</v>
      </c>
      <c r="N2">
        <v>156.74999999999991</v>
      </c>
      <c r="O2">
        <v>127.36528577211423</v>
      </c>
      <c r="S2">
        <v>0.220949430260132</v>
      </c>
      <c r="T2">
        <v>0</v>
      </c>
      <c r="U2">
        <v>0.57865535708234783</v>
      </c>
      <c r="V2">
        <v>0</v>
      </c>
      <c r="W2">
        <v>3.3643201717275979E-2</v>
      </c>
      <c r="X2">
        <v>0</v>
      </c>
      <c r="Y2">
        <v>4.5554522671133184E-2</v>
      </c>
      <c r="Z2">
        <v>0</v>
      </c>
      <c r="AA2">
        <v>5.429006018439797E-2</v>
      </c>
      <c r="AB2">
        <v>0.16174190034253164</v>
      </c>
      <c r="AC2">
        <v>0.13063777947969835</v>
      </c>
      <c r="AD2">
        <v>0</v>
      </c>
      <c r="AE2">
        <v>2.5075033677369473E-2</v>
      </c>
      <c r="AF2">
        <v>0</v>
      </c>
      <c r="AG2">
        <v>0.6137079227152461</v>
      </c>
      <c r="AH2">
        <v>8.5501651775175339E-3</v>
      </c>
      <c r="AI2">
        <v>0</v>
      </c>
      <c r="AJ2">
        <v>0</v>
      </c>
      <c r="AK2">
        <v>6.0287198607636844E-2</v>
      </c>
      <c r="AL2">
        <v>0</v>
      </c>
    </row>
    <row r="3" spans="1:84" x14ac:dyDescent="0.25">
      <c r="A3" t="s">
        <v>128</v>
      </c>
      <c r="C3" s="14" t="s">
        <v>110</v>
      </c>
      <c r="D3" s="12">
        <v>46250</v>
      </c>
      <c r="E3" s="14"/>
      <c r="F3" s="14"/>
      <c r="G3" s="14"/>
      <c r="H3" s="14"/>
      <c r="J3">
        <v>111.10896459614642</v>
      </c>
      <c r="M3">
        <v>219.44999999999996</v>
      </c>
      <c r="N3">
        <v>219.44999999999996</v>
      </c>
      <c r="O3">
        <v>85.937119113765405</v>
      </c>
      <c r="S3">
        <v>1.7364061706794987E-2</v>
      </c>
      <c r="T3">
        <v>0</v>
      </c>
      <c r="U3">
        <v>1.0169502810060025</v>
      </c>
      <c r="V3">
        <v>0</v>
      </c>
      <c r="W3">
        <v>2.1214179233124573E-3</v>
      </c>
      <c r="X3">
        <v>0</v>
      </c>
      <c r="Y3">
        <v>2.5888479602918547E-2</v>
      </c>
      <c r="Z3">
        <v>0</v>
      </c>
      <c r="AA3">
        <v>8.5653548499998233E-2</v>
      </c>
      <c r="AB3">
        <v>4.9415904861571457E-2</v>
      </c>
      <c r="AC3">
        <v>0.15309137104550341</v>
      </c>
      <c r="AD3">
        <v>0</v>
      </c>
      <c r="AE3">
        <v>9.0981480438087015E-2</v>
      </c>
      <c r="AF3">
        <v>0</v>
      </c>
      <c r="AG3">
        <v>0.67654146193857445</v>
      </c>
      <c r="AH3">
        <v>2.9969781716264018E-2</v>
      </c>
      <c r="AI3">
        <v>0</v>
      </c>
      <c r="AJ3">
        <v>0</v>
      </c>
      <c r="AK3">
        <v>0</v>
      </c>
      <c r="AL3">
        <v>0</v>
      </c>
    </row>
    <row r="4" spans="1:84" x14ac:dyDescent="0.25">
      <c r="A4" t="s">
        <v>128</v>
      </c>
      <c r="C4" s="14" t="s">
        <v>110</v>
      </c>
      <c r="D4" s="12">
        <v>46249</v>
      </c>
      <c r="E4" s="14"/>
      <c r="F4" s="14"/>
      <c r="G4" s="14"/>
      <c r="H4" s="14"/>
      <c r="J4">
        <v>114.62925025881343</v>
      </c>
      <c r="M4">
        <v>208.04999999999995</v>
      </c>
      <c r="N4">
        <v>208.04999999999995</v>
      </c>
      <c r="O4">
        <v>103.43322277581845</v>
      </c>
      <c r="S4">
        <v>5.8588028357140456E-2</v>
      </c>
      <c r="T4">
        <v>0</v>
      </c>
      <c r="U4">
        <v>0.83648596622763338</v>
      </c>
      <c r="V4">
        <v>0</v>
      </c>
      <c r="W4">
        <v>1.0975191574670945E-2</v>
      </c>
      <c r="X4">
        <v>0</v>
      </c>
      <c r="Y4">
        <v>3.9130058514504365E-2</v>
      </c>
      <c r="Z4">
        <v>0</v>
      </c>
      <c r="AA4">
        <v>0.10132958041853794</v>
      </c>
      <c r="AB4">
        <v>6.0820226196656064E-2</v>
      </c>
      <c r="AC4">
        <v>0.13724428433155064</v>
      </c>
      <c r="AD4">
        <v>0</v>
      </c>
      <c r="AE4">
        <v>2.9998076714015099E-2</v>
      </c>
      <c r="AF4">
        <v>0</v>
      </c>
      <c r="AG4">
        <v>0.73076219658658326</v>
      </c>
      <c r="AH4">
        <v>4.1175216171194975E-2</v>
      </c>
      <c r="AI4">
        <v>0</v>
      </c>
      <c r="AJ4">
        <v>0</v>
      </c>
      <c r="AK4">
        <v>0</v>
      </c>
      <c r="AL4">
        <v>0</v>
      </c>
    </row>
    <row r="5" spans="1:84" x14ac:dyDescent="0.25">
      <c r="A5" t="s">
        <v>128</v>
      </c>
      <c r="C5" s="14" t="s">
        <v>110</v>
      </c>
      <c r="D5" s="12">
        <v>46248</v>
      </c>
      <c r="E5" s="14"/>
      <c r="F5" s="14"/>
      <c r="G5" s="14"/>
      <c r="H5" s="14"/>
      <c r="J5">
        <v>116.8499680294815</v>
      </c>
      <c r="M5">
        <v>183.34999999999997</v>
      </c>
      <c r="N5">
        <v>183.34999999999997</v>
      </c>
      <c r="O5">
        <v>101.5366702987756</v>
      </c>
      <c r="S5">
        <v>6.0003594446650869E-2</v>
      </c>
      <c r="T5">
        <v>0</v>
      </c>
      <c r="U5">
        <v>0.64707930714328765</v>
      </c>
      <c r="V5">
        <v>0</v>
      </c>
      <c r="W5">
        <v>3.1825650365608473E-3</v>
      </c>
      <c r="X5">
        <v>0</v>
      </c>
      <c r="Y5">
        <v>1.7280107915747672E-2</v>
      </c>
      <c r="Z5">
        <v>0</v>
      </c>
      <c r="AA5">
        <v>8.3759967150816003E-2</v>
      </c>
      <c r="AB5">
        <v>0.13774448519487104</v>
      </c>
      <c r="AC5">
        <v>0.14201234398512796</v>
      </c>
      <c r="AD5">
        <v>0</v>
      </c>
      <c r="AE5">
        <v>6.9504859832079546E-2</v>
      </c>
      <c r="AF5">
        <v>0</v>
      </c>
      <c r="AG5">
        <v>0.65073831098792179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84" x14ac:dyDescent="0.25">
      <c r="A6" t="s">
        <v>128</v>
      </c>
      <c r="C6" s="14" t="s">
        <v>110</v>
      </c>
      <c r="D6" s="12">
        <v>46247</v>
      </c>
      <c r="E6" s="14"/>
      <c r="F6" s="14"/>
      <c r="G6" s="14"/>
      <c r="H6" s="14"/>
      <c r="J6">
        <v>120.03893655126777</v>
      </c>
      <c r="M6">
        <v>168.15</v>
      </c>
      <c r="N6">
        <v>168.15</v>
      </c>
      <c r="O6">
        <v>119.61657766613432</v>
      </c>
      <c r="S6">
        <v>0.12991011236919903</v>
      </c>
      <c r="T6">
        <v>0</v>
      </c>
      <c r="U6">
        <v>0.52937475012647073</v>
      </c>
      <c r="V6">
        <v>0</v>
      </c>
      <c r="W6">
        <v>1.7081818008017915E-2</v>
      </c>
      <c r="X6">
        <v>6.674655906640869E-3</v>
      </c>
      <c r="Y6">
        <v>4.0462187985567437E-2</v>
      </c>
      <c r="Z6">
        <v>0</v>
      </c>
      <c r="AA6">
        <v>4.2565947016365027E-2</v>
      </c>
      <c r="AB6">
        <v>0.19947047273267951</v>
      </c>
      <c r="AC6">
        <v>0.1400161310464996</v>
      </c>
      <c r="AD6">
        <v>0</v>
      </c>
      <c r="AE6">
        <v>4.3069002003637592E-2</v>
      </c>
      <c r="AF6">
        <v>0</v>
      </c>
      <c r="AG6">
        <v>0.56487096081496091</v>
      </c>
      <c r="AH6">
        <v>1.5577313600658541E-2</v>
      </c>
      <c r="AI6">
        <v>0</v>
      </c>
      <c r="AJ6">
        <v>0</v>
      </c>
      <c r="AK6">
        <v>0</v>
      </c>
      <c r="AL6">
        <v>0</v>
      </c>
    </row>
    <row r="7" spans="1:84" x14ac:dyDescent="0.25">
      <c r="A7" t="s">
        <v>128</v>
      </c>
      <c r="C7" s="14" t="s">
        <v>110</v>
      </c>
      <c r="D7" s="12">
        <v>46246</v>
      </c>
      <c r="E7" s="14"/>
      <c r="F7" s="14"/>
      <c r="G7" s="14"/>
      <c r="H7" s="14"/>
      <c r="J7">
        <v>122.34527984512148</v>
      </c>
      <c r="M7">
        <v>200.44999999999993</v>
      </c>
      <c r="N7">
        <v>200.44999999999993</v>
      </c>
      <c r="O7">
        <v>120.48584808357734</v>
      </c>
      <c r="S7">
        <v>0.18004405727039816</v>
      </c>
      <c r="T7">
        <v>0</v>
      </c>
      <c r="U7">
        <v>0.77049217682707594</v>
      </c>
      <c r="V7">
        <v>0</v>
      </c>
      <c r="W7">
        <v>1.495580459570872E-2</v>
      </c>
      <c r="X7">
        <v>0</v>
      </c>
      <c r="Y7">
        <v>2.8921968260454074E-2</v>
      </c>
      <c r="Z7">
        <v>0</v>
      </c>
      <c r="AA7">
        <v>3.0456544355031492E-2</v>
      </c>
      <c r="AB7">
        <v>0.13976779016866592</v>
      </c>
      <c r="AC7">
        <v>0.15984175525237201</v>
      </c>
      <c r="AD7">
        <v>0</v>
      </c>
      <c r="AE7">
        <v>6.5905099286628563E-2</v>
      </c>
      <c r="AF7">
        <v>0</v>
      </c>
      <c r="AG7">
        <v>0.62111214922217461</v>
      </c>
      <c r="AH7">
        <v>1.3373206070158909E-2</v>
      </c>
      <c r="AI7">
        <v>0</v>
      </c>
      <c r="AJ7">
        <v>0</v>
      </c>
      <c r="AK7">
        <v>0</v>
      </c>
      <c r="AL7">
        <v>0</v>
      </c>
    </row>
    <row r="8" spans="1:84" x14ac:dyDescent="0.25">
      <c r="A8" t="s">
        <v>128</v>
      </c>
      <c r="C8" s="14" t="s">
        <v>110</v>
      </c>
      <c r="D8" s="12">
        <v>46223</v>
      </c>
      <c r="E8" s="14"/>
      <c r="F8" s="14"/>
      <c r="G8" s="14"/>
      <c r="H8" s="14"/>
      <c r="J8">
        <v>122.15756185735542</v>
      </c>
      <c r="M8">
        <v>205.19999999999993</v>
      </c>
      <c r="N8">
        <v>205.19999999999993</v>
      </c>
      <c r="O8">
        <v>88.486003091847579</v>
      </c>
      <c r="S8">
        <v>2.4463259388955459E-2</v>
      </c>
      <c r="T8">
        <v>0</v>
      </c>
      <c r="U8">
        <v>0.66548480767034734</v>
      </c>
      <c r="V8">
        <v>0</v>
      </c>
      <c r="W8">
        <v>2.6935267223521819E-3</v>
      </c>
      <c r="X8">
        <v>6.5588947969868515E-3</v>
      </c>
      <c r="Y8">
        <v>1.4677131051874502E-2</v>
      </c>
      <c r="Z8">
        <v>0</v>
      </c>
      <c r="AA8">
        <v>0.10976915029701495</v>
      </c>
      <c r="AB8">
        <v>3.3536915270484649E-2</v>
      </c>
      <c r="AC8">
        <v>0.17261202877832682</v>
      </c>
      <c r="AD8">
        <v>0</v>
      </c>
      <c r="AE8">
        <v>0.12930860166264513</v>
      </c>
      <c r="AF8">
        <v>0</v>
      </c>
      <c r="AG8">
        <v>0.61263428928351948</v>
      </c>
      <c r="AH8">
        <v>1.5553683055811547E-2</v>
      </c>
      <c r="AI8">
        <v>0</v>
      </c>
      <c r="AJ8">
        <v>0</v>
      </c>
      <c r="AK8">
        <v>0</v>
      </c>
      <c r="AL8">
        <v>0</v>
      </c>
    </row>
    <row r="9" spans="1:84" x14ac:dyDescent="0.25">
      <c r="A9" t="s">
        <v>128</v>
      </c>
      <c r="C9" s="14" t="s">
        <v>110</v>
      </c>
      <c r="D9" s="12">
        <v>46245</v>
      </c>
      <c r="E9" s="14"/>
      <c r="F9" s="14"/>
      <c r="G9" s="14"/>
      <c r="H9" s="14"/>
      <c r="J9">
        <v>125.62242993113745</v>
      </c>
      <c r="M9">
        <v>166.24999999999997</v>
      </c>
      <c r="N9">
        <v>166.24999999999997</v>
      </c>
      <c r="O9">
        <v>126.99469300823648</v>
      </c>
      <c r="S9">
        <v>0.18587281698567834</v>
      </c>
      <c r="T9">
        <v>0</v>
      </c>
      <c r="U9">
        <v>0.46369754988786666</v>
      </c>
      <c r="V9">
        <v>0</v>
      </c>
      <c r="W9">
        <v>2.985188652119455E-2</v>
      </c>
      <c r="X9">
        <v>6.3779899602165995E-3</v>
      </c>
      <c r="Y9">
        <v>2.8484115608642911E-2</v>
      </c>
      <c r="Z9">
        <v>0</v>
      </c>
      <c r="AA9">
        <v>3.5452626874226366E-2</v>
      </c>
      <c r="AB9">
        <v>0.15152597563722542</v>
      </c>
      <c r="AC9">
        <v>0.18842285674864945</v>
      </c>
      <c r="AD9">
        <v>0</v>
      </c>
      <c r="AE9">
        <v>3.729990793875184E-2</v>
      </c>
      <c r="AF9">
        <v>0</v>
      </c>
      <c r="AG9">
        <v>0.5798371488716082</v>
      </c>
      <c r="AH9">
        <v>7.5623437671183584E-3</v>
      </c>
      <c r="AI9">
        <v>0</v>
      </c>
      <c r="AJ9">
        <v>0</v>
      </c>
      <c r="AK9">
        <v>0</v>
      </c>
      <c r="AL9">
        <v>0</v>
      </c>
    </row>
    <row r="10" spans="1:84" x14ac:dyDescent="0.25">
      <c r="A10" t="s">
        <v>128</v>
      </c>
      <c r="C10" s="14" t="s">
        <v>110</v>
      </c>
      <c r="D10" s="12">
        <v>46244</v>
      </c>
      <c r="E10" s="14"/>
      <c r="F10" s="14"/>
      <c r="G10" s="14"/>
      <c r="H10" s="14"/>
      <c r="J10">
        <v>117.66143868513733</v>
      </c>
      <c r="M10">
        <v>202.34999999999997</v>
      </c>
      <c r="N10">
        <v>202.34999999999997</v>
      </c>
      <c r="O10">
        <v>125.80760802058381</v>
      </c>
      <c r="S10">
        <v>0.17284740660083794</v>
      </c>
      <c r="T10">
        <v>0</v>
      </c>
      <c r="U10">
        <v>0.76232891016852933</v>
      </c>
      <c r="V10">
        <v>0</v>
      </c>
      <c r="W10">
        <v>2.0098668989611681E-2</v>
      </c>
      <c r="X10">
        <v>6.8095257531473278E-3</v>
      </c>
      <c r="Y10">
        <v>6.2119136497479709E-2</v>
      </c>
      <c r="Z10">
        <v>0</v>
      </c>
      <c r="AA10">
        <v>7.9221106459095067E-2</v>
      </c>
      <c r="AB10">
        <v>7.6655379036644572E-2</v>
      </c>
      <c r="AC10">
        <v>0.13267192740077946</v>
      </c>
      <c r="AD10">
        <v>0</v>
      </c>
      <c r="AE10">
        <v>5.3159307723417024E-2</v>
      </c>
      <c r="AF10">
        <v>0</v>
      </c>
      <c r="AG10">
        <v>0.68894596599420854</v>
      </c>
      <c r="AH10">
        <v>0</v>
      </c>
      <c r="AI10">
        <v>0</v>
      </c>
      <c r="AJ10">
        <v>0</v>
      </c>
      <c r="AK10">
        <v>1.0823746750937601E-2</v>
      </c>
      <c r="AL10">
        <v>0</v>
      </c>
    </row>
    <row r="11" spans="1:84" x14ac:dyDescent="0.25">
      <c r="A11" t="s">
        <v>128</v>
      </c>
      <c r="C11" s="14" t="s">
        <v>110</v>
      </c>
      <c r="D11" s="12">
        <v>46243</v>
      </c>
      <c r="E11" s="14"/>
      <c r="F11" s="14"/>
      <c r="G11" s="14"/>
      <c r="H11" s="14"/>
      <c r="J11">
        <v>114.8951834699771</v>
      </c>
      <c r="M11">
        <v>190.94999999999993</v>
      </c>
      <c r="N11">
        <v>190.94999999999993</v>
      </c>
      <c r="O11">
        <v>120.18404217385483</v>
      </c>
      <c r="S11">
        <v>0.12502302209377952</v>
      </c>
      <c r="T11">
        <v>0</v>
      </c>
      <c r="U11">
        <v>0.64286993206345511</v>
      </c>
      <c r="V11">
        <v>0</v>
      </c>
      <c r="W11">
        <v>3.0529460415413764E-2</v>
      </c>
      <c r="X11">
        <v>1.2056402634873431E-2</v>
      </c>
      <c r="Y11">
        <v>7.6473064464927312E-2</v>
      </c>
      <c r="Z11">
        <v>0</v>
      </c>
      <c r="AA11">
        <v>5.9978669152435132E-2</v>
      </c>
      <c r="AB11">
        <v>5.5343257401913926E-2</v>
      </c>
      <c r="AC11">
        <v>0.14216874006228841</v>
      </c>
      <c r="AD11">
        <v>0</v>
      </c>
      <c r="AE11">
        <v>3.7604271993347926E-2</v>
      </c>
      <c r="AF11">
        <v>0</v>
      </c>
      <c r="AG11">
        <v>0.6874376809741275</v>
      </c>
      <c r="AH11">
        <v>8.268405787856559E-3</v>
      </c>
      <c r="AI11">
        <v>0</v>
      </c>
      <c r="AJ11">
        <v>0</v>
      </c>
      <c r="AK11">
        <v>0</v>
      </c>
      <c r="AL11">
        <v>0</v>
      </c>
    </row>
    <row r="12" spans="1:84" x14ac:dyDescent="0.25">
      <c r="A12" t="s">
        <v>128</v>
      </c>
      <c r="C12" s="14" t="s">
        <v>110</v>
      </c>
      <c r="D12" s="12">
        <v>46242</v>
      </c>
      <c r="E12" s="14"/>
      <c r="F12" s="14"/>
      <c r="G12" s="14"/>
      <c r="H12" s="14"/>
      <c r="J12">
        <v>111.08103703818034</v>
      </c>
      <c r="M12">
        <v>188.1</v>
      </c>
      <c r="N12">
        <v>188.1</v>
      </c>
      <c r="O12">
        <v>119.52715980269367</v>
      </c>
      <c r="S12">
        <v>0.16023775135601306</v>
      </c>
      <c r="T12">
        <v>0</v>
      </c>
      <c r="U12">
        <v>0.72828439254494159</v>
      </c>
      <c r="V12">
        <v>0</v>
      </c>
      <c r="W12">
        <v>2.5441499734741892E-2</v>
      </c>
      <c r="X12">
        <v>4.7274676530611945E-3</v>
      </c>
      <c r="Y12">
        <v>6.4571221281926855E-2</v>
      </c>
      <c r="Z12">
        <v>0</v>
      </c>
      <c r="AA12">
        <v>4.3504811319594772E-2</v>
      </c>
      <c r="AB12">
        <v>6.522001849987738E-2</v>
      </c>
      <c r="AC12">
        <v>0.14598514487486475</v>
      </c>
      <c r="AD12">
        <v>0</v>
      </c>
      <c r="AE12">
        <v>3.0347862682971523E-2</v>
      </c>
      <c r="AF12">
        <v>0</v>
      </c>
      <c r="AG12">
        <v>0.72045574051400418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84" x14ac:dyDescent="0.25">
      <c r="A13" t="s">
        <v>128</v>
      </c>
      <c r="C13" s="14" t="s">
        <v>110</v>
      </c>
      <c r="D13" s="12">
        <v>46224</v>
      </c>
      <c r="E13" s="14"/>
      <c r="F13" s="14"/>
      <c r="G13" s="14"/>
      <c r="H13" s="14"/>
      <c r="J13">
        <v>125.73546275078208</v>
      </c>
      <c r="M13">
        <v>181.4499999999999</v>
      </c>
      <c r="N13">
        <v>181.4499999999999</v>
      </c>
      <c r="O13">
        <v>106.74382963309756</v>
      </c>
      <c r="S13">
        <v>8.9107974123133177E-2</v>
      </c>
      <c r="T13">
        <v>0</v>
      </c>
      <c r="U13">
        <v>0.55010533743409173</v>
      </c>
      <c r="V13">
        <v>0</v>
      </c>
      <c r="W13">
        <v>4.926737186754182E-3</v>
      </c>
      <c r="X13">
        <v>0</v>
      </c>
      <c r="Y13">
        <v>1.1047147186101225E-2</v>
      </c>
      <c r="Z13">
        <v>0</v>
      </c>
      <c r="AA13">
        <v>7.3935788643561304E-2</v>
      </c>
      <c r="AB13">
        <v>0.14914103646196891</v>
      </c>
      <c r="AC13">
        <v>0.14598688882967728</v>
      </c>
      <c r="AD13">
        <v>0</v>
      </c>
      <c r="AE13">
        <v>0.10258378915269997</v>
      </c>
      <c r="AF13">
        <v>0</v>
      </c>
      <c r="AG13">
        <v>0.59473274013341304</v>
      </c>
      <c r="AH13">
        <v>7.5555454222407982E-3</v>
      </c>
      <c r="AI13">
        <v>0</v>
      </c>
      <c r="AJ13">
        <v>0</v>
      </c>
      <c r="AK13">
        <v>0</v>
      </c>
      <c r="AL13">
        <v>0</v>
      </c>
    </row>
    <row r="14" spans="1:84" x14ac:dyDescent="0.25">
      <c r="A14" t="s">
        <v>128</v>
      </c>
      <c r="C14" s="14" t="s">
        <v>110</v>
      </c>
      <c r="D14" s="12">
        <v>46241</v>
      </c>
      <c r="E14" s="14"/>
      <c r="F14" s="14"/>
      <c r="G14" s="14"/>
      <c r="H14" s="14"/>
      <c r="J14">
        <v>117.374160305385</v>
      </c>
      <c r="M14">
        <v>157.70000000000002</v>
      </c>
      <c r="N14">
        <v>157.70000000000002</v>
      </c>
      <c r="O14">
        <v>118.35564536476356</v>
      </c>
      <c r="S14">
        <v>0.16709725946954035</v>
      </c>
      <c r="T14">
        <v>0</v>
      </c>
      <c r="U14">
        <v>0.38508295983802138</v>
      </c>
      <c r="V14">
        <v>0</v>
      </c>
      <c r="W14">
        <v>1.3718448982396389E-2</v>
      </c>
      <c r="X14">
        <v>0</v>
      </c>
      <c r="Y14">
        <v>3.9240669529949306E-2</v>
      </c>
      <c r="Z14">
        <v>0</v>
      </c>
      <c r="AA14">
        <v>1.4218903864012427E-2</v>
      </c>
      <c r="AB14">
        <v>7.9461746761407298E-2</v>
      </c>
      <c r="AC14">
        <v>0.15063926747730663</v>
      </c>
      <c r="AD14">
        <v>0</v>
      </c>
      <c r="AE14">
        <v>4.4867541401111793E-2</v>
      </c>
      <c r="AF14">
        <v>0</v>
      </c>
      <c r="AG14">
        <v>0.70884389511546375</v>
      </c>
      <c r="AH14">
        <v>1.6187549244710806E-2</v>
      </c>
      <c r="AI14">
        <v>0</v>
      </c>
      <c r="AJ14">
        <v>0</v>
      </c>
      <c r="AK14">
        <v>0</v>
      </c>
      <c r="AL14">
        <v>0</v>
      </c>
    </row>
    <row r="15" spans="1:84" x14ac:dyDescent="0.25">
      <c r="A15" t="s">
        <v>128</v>
      </c>
      <c r="C15" s="14" t="s">
        <v>110</v>
      </c>
      <c r="D15" s="12">
        <v>46225</v>
      </c>
      <c r="E15" s="14"/>
      <c r="F15" s="14"/>
      <c r="G15" s="14"/>
      <c r="H15" s="14"/>
      <c r="J15">
        <v>122.06903780919214</v>
      </c>
      <c r="M15">
        <v>182.4</v>
      </c>
      <c r="N15">
        <v>182.4</v>
      </c>
      <c r="O15">
        <v>113.68278361803162</v>
      </c>
      <c r="S15">
        <v>0.12842853313356697</v>
      </c>
      <c r="T15">
        <v>0</v>
      </c>
      <c r="U15">
        <v>0.61534283874711937</v>
      </c>
      <c r="V15">
        <v>0</v>
      </c>
      <c r="W15">
        <v>5.9588923231617035E-3</v>
      </c>
      <c r="X15">
        <v>6.5636512850310511E-3</v>
      </c>
      <c r="Y15">
        <v>2.2907535098337938E-2</v>
      </c>
      <c r="Z15">
        <v>0</v>
      </c>
      <c r="AA15">
        <v>5.8024288997855389E-2</v>
      </c>
      <c r="AB15">
        <v>0.1309254576763553</v>
      </c>
      <c r="AC15">
        <v>0.10041913807473345</v>
      </c>
      <c r="AD15">
        <v>0</v>
      </c>
      <c r="AE15">
        <v>0.11025848322021456</v>
      </c>
      <c r="AF15">
        <v>0</v>
      </c>
      <c r="AG15">
        <v>0.60669782394630389</v>
      </c>
      <c r="AH15">
        <v>1.5318250987375633E-2</v>
      </c>
      <c r="AI15">
        <v>0</v>
      </c>
      <c r="AJ15">
        <v>0</v>
      </c>
      <c r="AK15">
        <v>0</v>
      </c>
      <c r="AL15">
        <v>0</v>
      </c>
    </row>
    <row r="16" spans="1:84" x14ac:dyDescent="0.25">
      <c r="A16" t="s">
        <v>128</v>
      </c>
      <c r="C16" s="14" t="s">
        <v>110</v>
      </c>
      <c r="D16" s="12">
        <v>46240</v>
      </c>
      <c r="E16" s="14"/>
      <c r="F16" s="14"/>
      <c r="G16" s="14"/>
      <c r="H16" s="14"/>
      <c r="J16">
        <v>123.7151222653991</v>
      </c>
      <c r="M16">
        <v>124.45</v>
      </c>
      <c r="N16">
        <v>124.45</v>
      </c>
      <c r="O16">
        <v>124.8077013928289</v>
      </c>
      <c r="S16">
        <v>0.18319329538665177</v>
      </c>
      <c r="T16">
        <v>0</v>
      </c>
      <c r="U16">
        <v>0.25997395723716937</v>
      </c>
      <c r="V16">
        <v>0</v>
      </c>
      <c r="W16">
        <v>2.1135122558336356E-2</v>
      </c>
      <c r="X16">
        <v>0</v>
      </c>
      <c r="Y16">
        <v>3.4689565052308781E-2</v>
      </c>
      <c r="Z16">
        <v>0</v>
      </c>
      <c r="AA16">
        <v>4.8845179733918637E-2</v>
      </c>
      <c r="AB16">
        <v>0.22632434138696969</v>
      </c>
      <c r="AC16">
        <v>0.17845299455926519</v>
      </c>
      <c r="AD16">
        <v>0</v>
      </c>
      <c r="AE16">
        <v>3.6375713330579824E-2</v>
      </c>
      <c r="AF16">
        <v>0</v>
      </c>
      <c r="AG16">
        <v>0.54348908690501752</v>
      </c>
      <c r="AH16">
        <v>1.5357863818167974E-2</v>
      </c>
      <c r="AI16">
        <v>0</v>
      </c>
      <c r="AJ16">
        <v>0</v>
      </c>
      <c r="AK16">
        <v>0</v>
      </c>
      <c r="AL16">
        <v>0</v>
      </c>
    </row>
    <row r="17" spans="1:84" x14ac:dyDescent="0.25">
      <c r="A17" t="s">
        <v>128</v>
      </c>
      <c r="C17" s="14" t="s">
        <v>110</v>
      </c>
      <c r="D17" s="12">
        <v>46239</v>
      </c>
      <c r="E17" s="14"/>
      <c r="F17" s="14"/>
      <c r="G17" s="14"/>
      <c r="H17" s="14"/>
      <c r="J17">
        <v>122.06903780919215</v>
      </c>
      <c r="M17">
        <v>112.10000000000004</v>
      </c>
      <c r="N17">
        <v>112.10000000000004</v>
      </c>
      <c r="O17">
        <v>126.62028462805102</v>
      </c>
      <c r="S17">
        <v>0.22408957158719706</v>
      </c>
      <c r="T17">
        <v>0</v>
      </c>
      <c r="U17">
        <v>0.15367805087034561</v>
      </c>
      <c r="V17">
        <v>0</v>
      </c>
      <c r="W17">
        <v>1.3266800567064627E-2</v>
      </c>
      <c r="X17">
        <v>0</v>
      </c>
      <c r="Y17">
        <v>1.1251098806151161E-2</v>
      </c>
      <c r="Z17">
        <v>0</v>
      </c>
      <c r="AA17">
        <v>1.1981338759243775E-2</v>
      </c>
      <c r="AB17">
        <v>0.18605869267171585</v>
      </c>
      <c r="AC17">
        <v>0.13248069445530525</v>
      </c>
      <c r="AD17">
        <v>0</v>
      </c>
      <c r="AE17">
        <v>7.1060091966658509E-2</v>
      </c>
      <c r="AF17">
        <v>0</v>
      </c>
      <c r="AG17">
        <v>0.60261803963957228</v>
      </c>
      <c r="AH17">
        <v>7.7824812667480715E-3</v>
      </c>
      <c r="AI17">
        <v>0</v>
      </c>
      <c r="AJ17">
        <v>0</v>
      </c>
      <c r="AK17">
        <v>0</v>
      </c>
      <c r="AL17">
        <v>0</v>
      </c>
    </row>
    <row r="18" spans="1:84" x14ac:dyDescent="0.25">
      <c r="A18" t="s">
        <v>128</v>
      </c>
      <c r="C18" s="14" t="s">
        <v>110</v>
      </c>
      <c r="D18" s="12">
        <v>46238</v>
      </c>
      <c r="E18" s="14"/>
      <c r="F18" s="14"/>
      <c r="G18" s="14"/>
      <c r="H18" s="14"/>
      <c r="J18">
        <v>125.73546275078205</v>
      </c>
      <c r="M18">
        <v>198.5499999999999</v>
      </c>
      <c r="N18">
        <v>198.5499999999999</v>
      </c>
      <c r="O18">
        <v>125.65876658709298</v>
      </c>
      <c r="S18">
        <v>0.13612666651368605</v>
      </c>
      <c r="T18">
        <v>0</v>
      </c>
      <c r="U18">
        <v>0.61311352096188843</v>
      </c>
      <c r="V18">
        <v>0</v>
      </c>
      <c r="W18">
        <v>3.0044959147686488E-2</v>
      </c>
      <c r="X18">
        <v>6.3722563177493413E-3</v>
      </c>
      <c r="Y18">
        <v>3.8123446899049569E-2</v>
      </c>
      <c r="Z18">
        <v>0</v>
      </c>
      <c r="AA18">
        <v>5.0145198911830967E-2</v>
      </c>
      <c r="AB18">
        <v>0.14250556411528703</v>
      </c>
      <c r="AC18">
        <v>0.15336793157941656</v>
      </c>
      <c r="AD18">
        <v>0</v>
      </c>
      <c r="AE18">
        <v>5.1537121347810272E-2</v>
      </c>
      <c r="AF18">
        <v>0</v>
      </c>
      <c r="AG18">
        <v>0.61726939621432353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84" x14ac:dyDescent="0.25">
      <c r="A19" t="s">
        <v>128</v>
      </c>
      <c r="C19" s="14" t="s">
        <v>110</v>
      </c>
      <c r="D19" s="12">
        <v>46237</v>
      </c>
      <c r="E19" s="14"/>
      <c r="F19" s="14"/>
      <c r="G19" s="14"/>
      <c r="H19" s="14"/>
      <c r="J19">
        <v>122.1575618573554</v>
      </c>
      <c r="M19">
        <v>142.49999999999997</v>
      </c>
      <c r="N19">
        <v>142.49999999999997</v>
      </c>
      <c r="O19">
        <v>128.5180275984828</v>
      </c>
      <c r="S19">
        <v>0.17858880677578129</v>
      </c>
      <c r="T19">
        <v>0</v>
      </c>
      <c r="U19">
        <v>0.41649358873566988</v>
      </c>
      <c r="V19">
        <v>0</v>
      </c>
      <c r="W19">
        <v>2.866318483454719E-2</v>
      </c>
      <c r="X19">
        <v>0</v>
      </c>
      <c r="Y19">
        <v>3.4211074220755422E-2</v>
      </c>
      <c r="Z19">
        <v>0</v>
      </c>
      <c r="AA19">
        <v>5.5624926207033978E-2</v>
      </c>
      <c r="AB19">
        <v>0.20680515804804608</v>
      </c>
      <c r="AC19">
        <v>0.16166138676409453</v>
      </c>
      <c r="AD19">
        <v>0</v>
      </c>
      <c r="AE19">
        <v>3.5290404157952288E-2</v>
      </c>
      <c r="AF19">
        <v>0</v>
      </c>
      <c r="AG19">
        <v>0.59624305102990738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84" x14ac:dyDescent="0.25">
      <c r="A20" t="s">
        <v>128</v>
      </c>
      <c r="C20" s="14" t="s">
        <v>110</v>
      </c>
      <c r="D20" s="12">
        <v>46226</v>
      </c>
      <c r="E20" s="14"/>
      <c r="F20" s="14"/>
      <c r="G20" s="14"/>
      <c r="H20" s="14"/>
      <c r="J20">
        <v>123.7151222653991</v>
      </c>
      <c r="M20">
        <v>145.35000000000002</v>
      </c>
      <c r="N20">
        <v>145.35000000000002</v>
      </c>
      <c r="O20">
        <v>111.2675873054073</v>
      </c>
      <c r="S20">
        <v>0.10733933862281313</v>
      </c>
      <c r="T20">
        <v>0</v>
      </c>
      <c r="U20">
        <v>0.37850292796882123</v>
      </c>
      <c r="V20">
        <v>0</v>
      </c>
      <c r="W20">
        <v>2.3475781901973287E-3</v>
      </c>
      <c r="X20">
        <v>0</v>
      </c>
      <c r="Y20">
        <v>2.71816044523648E-2</v>
      </c>
      <c r="Z20">
        <v>0</v>
      </c>
      <c r="AA20">
        <v>4.8212069444119404E-2</v>
      </c>
      <c r="AB20">
        <v>0.20158876367977846</v>
      </c>
      <c r="AC20">
        <v>0.16424708528579823</v>
      </c>
      <c r="AD20">
        <v>0</v>
      </c>
      <c r="AE20">
        <v>5.0442567501312138E-2</v>
      </c>
      <c r="AF20">
        <v>0</v>
      </c>
      <c r="AG20">
        <v>0.56092821674566773</v>
      </c>
      <c r="AH20">
        <v>2.2793366787443432E-2</v>
      </c>
      <c r="AI20">
        <v>0</v>
      </c>
      <c r="AJ20">
        <v>0</v>
      </c>
      <c r="AK20">
        <v>0</v>
      </c>
      <c r="AL20">
        <v>0</v>
      </c>
    </row>
    <row r="21" spans="1:84" x14ac:dyDescent="0.25">
      <c r="A21" t="s">
        <v>128</v>
      </c>
      <c r="C21" s="14" t="s">
        <v>110</v>
      </c>
      <c r="D21" s="12">
        <v>46235</v>
      </c>
      <c r="E21" s="14"/>
      <c r="F21" s="14"/>
      <c r="G21" s="14"/>
      <c r="H21" s="14"/>
      <c r="J21">
        <v>114.62925025881343</v>
      </c>
      <c r="M21">
        <v>179.54999999999993</v>
      </c>
      <c r="N21">
        <v>179.54999999999993</v>
      </c>
      <c r="O21">
        <v>125.34898645544189</v>
      </c>
      <c r="S21">
        <v>0.18348179988005012</v>
      </c>
      <c r="T21">
        <v>0</v>
      </c>
      <c r="U21">
        <v>0.63563378156078931</v>
      </c>
      <c r="V21">
        <v>0</v>
      </c>
      <c r="W21">
        <v>2.35012684911843E-2</v>
      </c>
      <c r="X21">
        <v>0</v>
      </c>
      <c r="Y21">
        <v>3.5995901726615834E-2</v>
      </c>
      <c r="Z21">
        <v>0</v>
      </c>
      <c r="AA21">
        <v>5.5938043456142734E-2</v>
      </c>
      <c r="AB21">
        <v>0.15347051199083267</v>
      </c>
      <c r="AC21">
        <v>0.13898299354567045</v>
      </c>
      <c r="AD21">
        <v>0</v>
      </c>
      <c r="AE21">
        <v>1.2297172519425411E-2</v>
      </c>
      <c r="AF21">
        <v>0</v>
      </c>
      <c r="AG21">
        <v>0.6869617339344225</v>
      </c>
      <c r="AH21">
        <v>8.2875880096490284E-3</v>
      </c>
      <c r="AI21">
        <v>0</v>
      </c>
      <c r="AJ21">
        <v>0</v>
      </c>
      <c r="AK21">
        <v>0</v>
      </c>
      <c r="AL21">
        <v>0</v>
      </c>
    </row>
    <row r="22" spans="1:84" x14ac:dyDescent="0.25">
      <c r="A22" t="s">
        <v>128</v>
      </c>
      <c r="C22" s="14" t="s">
        <v>110</v>
      </c>
      <c r="D22" s="12">
        <v>46234</v>
      </c>
      <c r="E22" s="14"/>
      <c r="F22" s="14"/>
      <c r="G22" s="14"/>
      <c r="H22" s="14"/>
      <c r="J22">
        <v>116.84996802948152</v>
      </c>
      <c r="M22">
        <v>144.4</v>
      </c>
      <c r="N22">
        <v>144.4</v>
      </c>
      <c r="O22">
        <v>122.04060386880992</v>
      </c>
      <c r="S22">
        <v>0.1502380944440502</v>
      </c>
      <c r="T22">
        <v>0</v>
      </c>
      <c r="U22">
        <v>0.37136872537443388</v>
      </c>
      <c r="V22">
        <v>0</v>
      </c>
      <c r="W22">
        <v>1.3806359468468183E-2</v>
      </c>
      <c r="X22">
        <v>6.8568148574645622E-3</v>
      </c>
      <c r="Y22">
        <v>3.9483629776522124E-2</v>
      </c>
      <c r="Z22">
        <v>0</v>
      </c>
      <c r="AA22">
        <v>3.8955365281806216E-2</v>
      </c>
      <c r="AB22">
        <v>0.16747104451587891</v>
      </c>
      <c r="AC22">
        <v>8.476059012626011E-2</v>
      </c>
      <c r="AD22">
        <v>0</v>
      </c>
      <c r="AE22">
        <v>8.2245798364928249E-2</v>
      </c>
      <c r="AF22">
        <v>0</v>
      </c>
      <c r="AG22">
        <v>0.62751678100604613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84" x14ac:dyDescent="0.25">
      <c r="A23" t="s">
        <v>128</v>
      </c>
      <c r="C23" s="14" t="s">
        <v>110</v>
      </c>
      <c r="D23" s="12">
        <v>46227</v>
      </c>
      <c r="E23" s="14"/>
      <c r="F23" s="14"/>
      <c r="G23" s="14"/>
      <c r="H23" s="14"/>
      <c r="J23">
        <v>117.37416030538499</v>
      </c>
      <c r="M23">
        <v>131.1</v>
      </c>
      <c r="N23">
        <v>131.1</v>
      </c>
      <c r="O23">
        <v>119.29726414397656</v>
      </c>
      <c r="S23">
        <v>0.21091640477750861</v>
      </c>
      <c r="T23">
        <v>0</v>
      </c>
      <c r="U23">
        <v>0.33730211675875826</v>
      </c>
      <c r="V23">
        <v>0</v>
      </c>
      <c r="W23">
        <v>1.318890805754654E-2</v>
      </c>
      <c r="X23">
        <v>0</v>
      </c>
      <c r="Y23">
        <v>1.3889793871987317E-2</v>
      </c>
      <c r="Z23">
        <v>0</v>
      </c>
      <c r="AA23">
        <v>4.8936993553796576E-2</v>
      </c>
      <c r="AB23">
        <v>0.17290081429236517</v>
      </c>
      <c r="AC23">
        <v>0.12051616987972377</v>
      </c>
      <c r="AD23">
        <v>0</v>
      </c>
      <c r="AE23">
        <v>9.3000773736598638E-2</v>
      </c>
      <c r="AF23">
        <v>0</v>
      </c>
      <c r="AG23">
        <v>0.58634098803929224</v>
      </c>
      <c r="AH23">
        <v>8.0937746223554031E-3</v>
      </c>
      <c r="AI23">
        <v>0</v>
      </c>
      <c r="AJ23">
        <v>0</v>
      </c>
      <c r="AK23">
        <v>1.9147479429665219E-2</v>
      </c>
      <c r="AL23">
        <v>0</v>
      </c>
    </row>
    <row r="24" spans="1:84" x14ac:dyDescent="0.25">
      <c r="A24" t="s">
        <v>128</v>
      </c>
      <c r="C24" s="14" t="s">
        <v>110</v>
      </c>
      <c r="D24" s="12">
        <v>46228</v>
      </c>
      <c r="E24" s="14"/>
      <c r="F24" s="14"/>
      <c r="G24" s="14"/>
      <c r="H24" s="14"/>
      <c r="J24">
        <v>111.08103703818034</v>
      </c>
      <c r="M24">
        <v>137.74999999999997</v>
      </c>
      <c r="N24">
        <v>137.74999999999997</v>
      </c>
      <c r="O24">
        <v>120.40628344451463</v>
      </c>
      <c r="S24">
        <v>0.19482675345676451</v>
      </c>
      <c r="T24">
        <v>0</v>
      </c>
      <c r="U24">
        <v>0.38131844711451413</v>
      </c>
      <c r="V24">
        <v>0</v>
      </c>
      <c r="W24">
        <v>2.3966332239144461E-2</v>
      </c>
      <c r="X24">
        <v>0</v>
      </c>
      <c r="Y24">
        <v>4.1839473415446221E-2</v>
      </c>
      <c r="Z24">
        <v>0</v>
      </c>
      <c r="AA24">
        <v>2.8526663149770703E-2</v>
      </c>
      <c r="AB24">
        <v>0.10652548281508196</v>
      </c>
      <c r="AC24">
        <v>0.14614441292024843</v>
      </c>
      <c r="AD24">
        <v>0</v>
      </c>
      <c r="AE24">
        <v>2.4104111648502308E-2</v>
      </c>
      <c r="AF24">
        <v>0</v>
      </c>
      <c r="AG24">
        <v>0.71467367778970925</v>
      </c>
      <c r="AH24">
        <v>8.5523148264583602E-3</v>
      </c>
      <c r="AI24">
        <v>0</v>
      </c>
      <c r="AJ24">
        <v>0</v>
      </c>
      <c r="AK24">
        <v>0</v>
      </c>
      <c r="AL24">
        <v>0</v>
      </c>
    </row>
    <row r="25" spans="1:84" x14ac:dyDescent="0.25">
      <c r="A25" t="s">
        <v>128</v>
      </c>
      <c r="C25" s="14" t="s">
        <v>110</v>
      </c>
      <c r="D25" s="12">
        <v>46233</v>
      </c>
      <c r="E25" s="14"/>
      <c r="F25" s="14"/>
      <c r="G25" s="14"/>
      <c r="H25" s="14"/>
      <c r="J25">
        <v>120.03893655126777</v>
      </c>
      <c r="M25">
        <v>141.55000000000004</v>
      </c>
      <c r="N25">
        <v>141.55000000000004</v>
      </c>
      <c r="O25">
        <v>124.41858335930822</v>
      </c>
      <c r="S25">
        <v>0.16887528004929037</v>
      </c>
      <c r="T25">
        <v>0</v>
      </c>
      <c r="U25">
        <v>0.37399849684194308</v>
      </c>
      <c r="V25">
        <v>0</v>
      </c>
      <c r="W25">
        <v>2.2137612581287668E-2</v>
      </c>
      <c r="X25">
        <v>0</v>
      </c>
      <c r="Y25">
        <v>2.7234652260551721E-2</v>
      </c>
      <c r="Z25">
        <v>0</v>
      </c>
      <c r="AA25">
        <v>3.3077148127775145E-2</v>
      </c>
      <c r="AB25">
        <v>0.1896121013960983</v>
      </c>
      <c r="AC25">
        <v>0.12720558567041126</v>
      </c>
      <c r="AD25">
        <v>0</v>
      </c>
      <c r="AE25">
        <v>4.6669239860302636E-2</v>
      </c>
      <c r="AF25">
        <v>0</v>
      </c>
      <c r="AG25">
        <v>0.62093575947252933</v>
      </c>
      <c r="AH25">
        <v>1.5577313600658541E-2</v>
      </c>
      <c r="AI25">
        <v>0</v>
      </c>
      <c r="AJ25">
        <v>0</v>
      </c>
      <c r="AK25">
        <v>0</v>
      </c>
      <c r="AL25">
        <v>0</v>
      </c>
    </row>
    <row r="26" spans="1:84" x14ac:dyDescent="0.25">
      <c r="A26" t="s">
        <v>128</v>
      </c>
      <c r="C26" s="14" t="s">
        <v>110</v>
      </c>
      <c r="D26" s="12">
        <v>46232</v>
      </c>
      <c r="E26" s="14"/>
      <c r="F26" s="14"/>
      <c r="G26" s="14"/>
      <c r="H26" s="14"/>
      <c r="J26">
        <v>122.34527984512151</v>
      </c>
      <c r="M26">
        <v>127.3</v>
      </c>
      <c r="N26">
        <v>127.3</v>
      </c>
      <c r="O26">
        <v>117.02688882798891</v>
      </c>
      <c r="S26">
        <v>0.17408615463798871</v>
      </c>
      <c r="T26">
        <v>0</v>
      </c>
      <c r="U26">
        <v>0.27437038696027372</v>
      </c>
      <c r="V26">
        <v>0</v>
      </c>
      <c r="W26">
        <v>2.3738629164566641E-3</v>
      </c>
      <c r="X26">
        <v>0</v>
      </c>
      <c r="Y26">
        <v>6.4226327087670183E-3</v>
      </c>
      <c r="Z26">
        <v>0</v>
      </c>
      <c r="AA26">
        <v>1.2771646495411657E-2</v>
      </c>
      <c r="AB26">
        <v>0.22733718218842305</v>
      </c>
      <c r="AC26">
        <v>0.13930598430616289</v>
      </c>
      <c r="AD26">
        <v>0</v>
      </c>
      <c r="AE26">
        <v>6.6246031103348701E-2</v>
      </c>
      <c r="AF26">
        <v>0</v>
      </c>
      <c r="AG26">
        <v>0.54630982669120021</v>
      </c>
      <c r="AH26">
        <v>2.0800975710865199E-2</v>
      </c>
      <c r="AI26">
        <v>0</v>
      </c>
      <c r="AJ26">
        <v>0</v>
      </c>
      <c r="AK26">
        <v>0</v>
      </c>
      <c r="AL26">
        <v>0</v>
      </c>
    </row>
    <row r="27" spans="1:84" x14ac:dyDescent="0.25">
      <c r="A27" t="s">
        <v>128</v>
      </c>
      <c r="C27" s="14" t="s">
        <v>110</v>
      </c>
      <c r="D27" s="12">
        <v>46231</v>
      </c>
      <c r="E27" s="14"/>
      <c r="F27" s="14"/>
      <c r="G27" s="14"/>
      <c r="H27" s="14"/>
      <c r="J27">
        <v>125.62242993113745</v>
      </c>
      <c r="M27">
        <v>187.15000000000003</v>
      </c>
      <c r="N27">
        <v>187.15000000000003</v>
      </c>
      <c r="O27">
        <v>115.53515839876673</v>
      </c>
      <c r="S27">
        <v>0.11937309077333745</v>
      </c>
      <c r="T27">
        <v>0</v>
      </c>
      <c r="U27">
        <v>0.50713477708899946</v>
      </c>
      <c r="V27">
        <v>0</v>
      </c>
      <c r="W27">
        <v>2.1719836835160475E-2</v>
      </c>
      <c r="X27">
        <v>6.3779899602165995E-3</v>
      </c>
      <c r="Y27">
        <v>3.0694910452063354E-2</v>
      </c>
      <c r="Z27">
        <v>0</v>
      </c>
      <c r="AA27">
        <v>5.8700327678273018E-2</v>
      </c>
      <c r="AB27">
        <v>7.265745503975915E-2</v>
      </c>
      <c r="AC27">
        <v>0.16924583139919602</v>
      </c>
      <c r="AD27">
        <v>0</v>
      </c>
      <c r="AE27">
        <v>6.7955383698623847E-2</v>
      </c>
      <c r="AF27">
        <v>0</v>
      </c>
      <c r="AG27">
        <v>0.6399046082840284</v>
      </c>
      <c r="AH27">
        <v>1.4884954541745984E-2</v>
      </c>
      <c r="AI27">
        <v>0</v>
      </c>
      <c r="AJ27">
        <v>0</v>
      </c>
      <c r="AK27">
        <v>0</v>
      </c>
      <c r="AL27">
        <v>0</v>
      </c>
    </row>
    <row r="28" spans="1:84" x14ac:dyDescent="0.25">
      <c r="A28" t="s">
        <v>128</v>
      </c>
      <c r="C28" s="14" t="s">
        <v>115</v>
      </c>
      <c r="D28" s="12"/>
      <c r="E28" s="14"/>
      <c r="F28" s="14"/>
      <c r="G28" s="14"/>
      <c r="H28" s="14"/>
      <c r="J28">
        <v>3330.5676667867492</v>
      </c>
      <c r="M28">
        <v>4696.7999999999811</v>
      </c>
      <c r="N28">
        <v>4696.7999999999811</v>
      </c>
      <c r="O28">
        <v>3269.1471007517903</v>
      </c>
      <c r="S28">
        <v>0.1452968543024856</v>
      </c>
      <c r="T28">
        <v>0</v>
      </c>
      <c r="U28">
        <v>0.52981494967926235</v>
      </c>
      <c r="V28">
        <v>0</v>
      </c>
      <c r="W28">
        <v>1.6601183263765192E-2</v>
      </c>
      <c r="X28">
        <v>2.7386688656884399E-3</v>
      </c>
      <c r="Y28">
        <v>3.2700250217528502E-2</v>
      </c>
      <c r="Z28">
        <v>0</v>
      </c>
      <c r="AA28">
        <v>5.1929070610035301E-2</v>
      </c>
      <c r="AB28">
        <v>0.13892471740926021</v>
      </c>
      <c r="AC28">
        <v>0.14473135605621124</v>
      </c>
      <c r="AD28">
        <v>0</v>
      </c>
      <c r="AE28">
        <v>5.8208213357468022E-2</v>
      </c>
      <c r="AF28">
        <v>0</v>
      </c>
      <c r="AG28">
        <v>0.62613091931199238</v>
      </c>
      <c r="AH28">
        <v>1.2328282060732446E-2</v>
      </c>
      <c r="AI28">
        <v>0</v>
      </c>
      <c r="AJ28">
        <v>0</v>
      </c>
      <c r="AK28">
        <v>4.0224063197966918E-3</v>
      </c>
      <c r="AL28">
        <v>0</v>
      </c>
    </row>
    <row r="29" spans="1:84" x14ac:dyDescent="0.25">
      <c r="A29" t="s">
        <v>128</v>
      </c>
      <c r="C29" s="14" t="s">
        <v>110</v>
      </c>
      <c r="D29" s="12">
        <v>46229</v>
      </c>
      <c r="E29" s="14"/>
      <c r="F29" s="14"/>
      <c r="G29" s="14"/>
      <c r="H29" s="14"/>
      <c r="J29">
        <v>114.89518346997711</v>
      </c>
      <c r="M29">
        <v>144.39999999999995</v>
      </c>
      <c r="N29">
        <v>144.39999999999995</v>
      </c>
      <c r="O29">
        <v>118.11084350878359</v>
      </c>
      <c r="S29">
        <v>0.17532899789129652</v>
      </c>
      <c r="T29">
        <v>0</v>
      </c>
      <c r="U29">
        <v>0.3615954786813535</v>
      </c>
      <c r="V29">
        <v>0</v>
      </c>
      <c r="W29">
        <v>1.5512789839902908E-2</v>
      </c>
      <c r="X29">
        <v>0</v>
      </c>
      <c r="Y29">
        <v>3.0871129736580745E-2</v>
      </c>
      <c r="Z29">
        <v>0</v>
      </c>
      <c r="AA29">
        <v>5.122230878267061E-2</v>
      </c>
      <c r="AB29">
        <v>0.1731834784671113</v>
      </c>
      <c r="AC29">
        <v>0.11314571445381288</v>
      </c>
      <c r="AD29">
        <v>0</v>
      </c>
      <c r="AE29">
        <v>4.5376761800013592E-2</v>
      </c>
      <c r="AF29">
        <v>0</v>
      </c>
      <c r="AG29">
        <v>0.60338790673225751</v>
      </c>
      <c r="AH29">
        <v>3.7250572969274948E-2</v>
      </c>
      <c r="AI29">
        <v>0</v>
      </c>
      <c r="AJ29">
        <v>0</v>
      </c>
      <c r="AK29">
        <v>2.765556557752993E-2</v>
      </c>
      <c r="AL29">
        <v>0</v>
      </c>
    </row>
    <row r="30" spans="1:84" x14ac:dyDescent="0.25">
      <c r="A30" t="s">
        <v>128</v>
      </c>
      <c r="C30" s="14" t="s">
        <v>110</v>
      </c>
      <c r="D30" s="12">
        <v>46230</v>
      </c>
      <c r="E30" s="14"/>
      <c r="F30" s="14"/>
      <c r="G30" s="14"/>
      <c r="H30" s="14"/>
      <c r="J30">
        <v>117.66143868513733</v>
      </c>
      <c r="M30">
        <v>170.04999999999993</v>
      </c>
      <c r="N30">
        <v>170.04999999999993</v>
      </c>
      <c r="O30">
        <v>111.93363280903428</v>
      </c>
      <c r="S30">
        <v>0.14307024393497783</v>
      </c>
      <c r="T30">
        <v>0</v>
      </c>
      <c r="U30">
        <v>0.65331382542224015</v>
      </c>
      <c r="V30">
        <v>0</v>
      </c>
      <c r="W30">
        <v>1.9486075692613208E-2</v>
      </c>
      <c r="X30">
        <v>6.8095257531473278E-3</v>
      </c>
      <c r="Y30">
        <v>3.5405616939731294E-2</v>
      </c>
      <c r="Z30">
        <v>0</v>
      </c>
      <c r="AA30">
        <v>4.2244280550426554E-2</v>
      </c>
      <c r="AB30">
        <v>0.14949196033185003</v>
      </c>
      <c r="AC30">
        <v>0.17185751552451323</v>
      </c>
      <c r="AD30">
        <v>0</v>
      </c>
      <c r="AE30">
        <v>6.6710807718808524E-2</v>
      </c>
      <c r="AF30">
        <v>0</v>
      </c>
      <c r="AG30">
        <v>0.56612203020794183</v>
      </c>
      <c r="AH30">
        <v>8.0740131228737178E-3</v>
      </c>
      <c r="AI30">
        <v>0</v>
      </c>
      <c r="AJ30">
        <v>0</v>
      </c>
      <c r="AK30">
        <v>0</v>
      </c>
      <c r="AL30">
        <v>0</v>
      </c>
    </row>
    <row r="31" spans="1:84" x14ac:dyDescent="0.25">
      <c r="A31" t="s">
        <v>128</v>
      </c>
      <c r="B31" t="s">
        <v>291</v>
      </c>
      <c r="C31" s="14" t="s">
        <v>72</v>
      </c>
      <c r="D31" s="12">
        <v>46223</v>
      </c>
      <c r="E31" s="14" t="s">
        <v>420</v>
      </c>
      <c r="F31" s="14" t="s">
        <v>420</v>
      </c>
      <c r="G31" s="14" t="s">
        <v>420</v>
      </c>
      <c r="H31" s="14" t="s">
        <v>74</v>
      </c>
      <c r="I31">
        <v>20</v>
      </c>
      <c r="J31">
        <v>0</v>
      </c>
      <c r="K31">
        <v>46223</v>
      </c>
      <c r="L31" t="s">
        <v>424</v>
      </c>
      <c r="M31">
        <v>10.45</v>
      </c>
      <c r="N31">
        <v>10.45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F31">
        <v>0</v>
      </c>
    </row>
    <row r="32" spans="1:84" x14ac:dyDescent="0.25">
      <c r="A32" t="s">
        <v>128</v>
      </c>
      <c r="B32" t="s">
        <v>291</v>
      </c>
      <c r="C32" s="14" t="s">
        <v>72</v>
      </c>
      <c r="D32" s="12">
        <v>46250</v>
      </c>
      <c r="E32" s="14" t="s">
        <v>133</v>
      </c>
      <c r="F32" s="14" t="s">
        <v>133</v>
      </c>
      <c r="G32" s="14" t="s">
        <v>133</v>
      </c>
      <c r="H32" s="14" t="s">
        <v>74</v>
      </c>
      <c r="I32">
        <v>20</v>
      </c>
      <c r="J32">
        <v>4.220105607573192</v>
      </c>
      <c r="K32">
        <v>46250</v>
      </c>
      <c r="L32" t="s">
        <v>502</v>
      </c>
      <c r="M32">
        <v>8.5499999999999989</v>
      </c>
      <c r="N32">
        <v>8.5499999999999989</v>
      </c>
      <c r="O32">
        <v>4.7460937499999991</v>
      </c>
      <c r="P32">
        <v>2.026015648673956</v>
      </c>
      <c r="Q32">
        <v>2.026015648673956</v>
      </c>
      <c r="R32">
        <v>1.1246386207688488</v>
      </c>
      <c r="S32">
        <v>0</v>
      </c>
      <c r="T32">
        <v>0</v>
      </c>
      <c r="U32">
        <v>0.776015648673956</v>
      </c>
      <c r="V32">
        <v>0</v>
      </c>
      <c r="W32">
        <v>0</v>
      </c>
      <c r="X32">
        <v>0</v>
      </c>
      <c r="Y32">
        <v>0.1246386207688488</v>
      </c>
      <c r="Z32">
        <v>0</v>
      </c>
      <c r="AA32">
        <v>0.1253613792311512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0.49357960322493477</v>
      </c>
      <c r="AN32">
        <v>0.49357960322493477</v>
      </c>
      <c r="AO32">
        <v>0.55509868421052633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0.44490131578947367</v>
      </c>
      <c r="BA32">
        <v>0</v>
      </c>
      <c r="BB32">
        <v>0</v>
      </c>
      <c r="BC32">
        <v>0</v>
      </c>
      <c r="BD32">
        <v>0.49357960322493477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1.8014814814814817</v>
      </c>
      <c r="BK32">
        <v>1.8014814814814817</v>
      </c>
      <c r="BL32">
        <v>0.88917451484669741</v>
      </c>
      <c r="CC32">
        <v>0</v>
      </c>
      <c r="CD32">
        <v>0</v>
      </c>
      <c r="CE32">
        <v>0</v>
      </c>
    </row>
    <row r="33" spans="1:84" x14ac:dyDescent="0.25">
      <c r="A33" t="s">
        <v>128</v>
      </c>
      <c r="B33" t="s">
        <v>291</v>
      </c>
      <c r="C33" s="14" t="s">
        <v>72</v>
      </c>
      <c r="D33" s="12">
        <v>46230</v>
      </c>
      <c r="E33" s="14" t="s">
        <v>420</v>
      </c>
      <c r="F33" s="14" t="s">
        <v>420</v>
      </c>
      <c r="G33" s="14" t="s">
        <v>420</v>
      </c>
      <c r="H33" s="14" t="s">
        <v>75</v>
      </c>
      <c r="I33">
        <v>20</v>
      </c>
      <c r="J33">
        <v>3.1774912809962848</v>
      </c>
      <c r="K33">
        <v>46230</v>
      </c>
      <c r="L33" t="s">
        <v>443</v>
      </c>
      <c r="M33">
        <v>2.8499999999999996</v>
      </c>
      <c r="N33">
        <v>2.8499999999999996</v>
      </c>
      <c r="O33">
        <v>3.8062283737024223</v>
      </c>
      <c r="P33">
        <v>0.89693401113169946</v>
      </c>
      <c r="Q33">
        <v>0.89693401113169946</v>
      </c>
      <c r="R33">
        <v>1.1978721693011225</v>
      </c>
      <c r="S33">
        <v>0.1978721693011225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0.10306598886830054</v>
      </c>
      <c r="AC33">
        <v>0</v>
      </c>
      <c r="AD33">
        <v>0</v>
      </c>
      <c r="AE33">
        <v>0</v>
      </c>
      <c r="AF33">
        <v>0</v>
      </c>
      <c r="AG33">
        <v>0.89693401113169946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1.1149092214022054</v>
      </c>
      <c r="AN33">
        <v>1.1149092214022054</v>
      </c>
      <c r="AO33">
        <v>1.3355187276148852</v>
      </c>
      <c r="AP33">
        <v>0.22060950621267983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0.11490922140220539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0.74877272727272715</v>
      </c>
      <c r="BK33">
        <v>0.74877272727272715</v>
      </c>
      <c r="BL33">
        <v>0.834813618370842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0.165186381629158</v>
      </c>
      <c r="BX33">
        <v>0</v>
      </c>
      <c r="BY33">
        <v>0</v>
      </c>
      <c r="BZ33">
        <v>0</v>
      </c>
      <c r="CA33">
        <v>0.74877272727272715</v>
      </c>
      <c r="CB33">
        <v>0</v>
      </c>
      <c r="CC33">
        <v>0</v>
      </c>
      <c r="CD33">
        <v>0</v>
      </c>
      <c r="CE33">
        <v>0</v>
      </c>
      <c r="CF33">
        <v>0</v>
      </c>
    </row>
    <row r="34" spans="1:84" x14ac:dyDescent="0.25">
      <c r="A34" t="s">
        <v>128</v>
      </c>
      <c r="B34" t="s">
        <v>291</v>
      </c>
      <c r="C34" s="14" t="s">
        <v>109</v>
      </c>
      <c r="D34" s="12">
        <v>46237</v>
      </c>
      <c r="E34" s="14" t="s">
        <v>134</v>
      </c>
      <c r="F34" s="14" t="s">
        <v>134</v>
      </c>
      <c r="G34" s="14" t="s">
        <v>134</v>
      </c>
      <c r="H34" s="14"/>
      <c r="J34">
        <v>10.465131474298435</v>
      </c>
      <c r="M34">
        <v>8.5499999999999989</v>
      </c>
      <c r="N34">
        <v>8.5499999999999989</v>
      </c>
      <c r="O34">
        <v>11.750865051903112</v>
      </c>
      <c r="S34">
        <v>0.14870397604922134</v>
      </c>
      <c r="T34">
        <v>0</v>
      </c>
      <c r="U34">
        <v>0.18324156400071268</v>
      </c>
      <c r="V34">
        <v>0</v>
      </c>
      <c r="W34">
        <v>2.7752247885382338E-2</v>
      </c>
      <c r="X34">
        <v>0</v>
      </c>
      <c r="Y34">
        <v>3.0423354398523568E-2</v>
      </c>
      <c r="Z34">
        <v>0</v>
      </c>
      <c r="AA34">
        <v>0</v>
      </c>
      <c r="AB34">
        <v>0.34039758213925597</v>
      </c>
      <c r="AC34">
        <v>8.4020770418258603E-2</v>
      </c>
      <c r="AD34">
        <v>0</v>
      </c>
      <c r="AE34">
        <v>0</v>
      </c>
      <c r="AF34">
        <v>0</v>
      </c>
      <c r="AG34">
        <v>0.5755816474424853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84" x14ac:dyDescent="0.25">
      <c r="A35" t="s">
        <v>128</v>
      </c>
      <c r="B35" t="s">
        <v>291</v>
      </c>
      <c r="C35" s="14" t="s">
        <v>72</v>
      </c>
      <c r="D35" s="12">
        <v>46250</v>
      </c>
      <c r="E35" s="14" t="s">
        <v>420</v>
      </c>
      <c r="F35" s="14" t="s">
        <v>420</v>
      </c>
      <c r="G35" s="14" t="s">
        <v>420</v>
      </c>
      <c r="H35" s="14" t="s">
        <v>74</v>
      </c>
      <c r="I35">
        <v>20</v>
      </c>
      <c r="J35">
        <v>0</v>
      </c>
      <c r="K35">
        <v>46250</v>
      </c>
      <c r="L35" t="s">
        <v>502</v>
      </c>
      <c r="M35">
        <v>0.95</v>
      </c>
      <c r="N35">
        <v>0.95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F35">
        <v>0</v>
      </c>
    </row>
    <row r="36" spans="1:84" x14ac:dyDescent="0.25">
      <c r="A36" t="s">
        <v>128</v>
      </c>
      <c r="B36" t="s">
        <v>291</v>
      </c>
      <c r="C36" s="14" t="s">
        <v>109</v>
      </c>
      <c r="D36" s="12">
        <v>46229</v>
      </c>
      <c r="E36" s="14" t="s">
        <v>134</v>
      </c>
      <c r="F36" s="14" t="s">
        <v>134</v>
      </c>
      <c r="G36" s="14" t="s">
        <v>134</v>
      </c>
      <c r="H36" s="14"/>
      <c r="J36">
        <v>8.1518697913855895</v>
      </c>
      <c r="M36">
        <v>10.45</v>
      </c>
      <c r="N36">
        <v>10.45</v>
      </c>
      <c r="O36">
        <v>12.456747404844284</v>
      </c>
      <c r="S36">
        <v>0.33794526738934016</v>
      </c>
      <c r="T36">
        <v>0</v>
      </c>
      <c r="U36">
        <v>0.58593558416288538</v>
      </c>
      <c r="V36">
        <v>0</v>
      </c>
      <c r="W36">
        <v>0.15108280982573732</v>
      </c>
      <c r="X36">
        <v>0</v>
      </c>
      <c r="Y36">
        <v>3.9056610546720751E-2</v>
      </c>
      <c r="Z36">
        <v>0</v>
      </c>
      <c r="AA36">
        <v>0</v>
      </c>
      <c r="AB36">
        <v>0.49416051529228205</v>
      </c>
      <c r="AC36">
        <v>0</v>
      </c>
      <c r="AD36">
        <v>0</v>
      </c>
      <c r="AE36">
        <v>0</v>
      </c>
      <c r="AF36">
        <v>0</v>
      </c>
      <c r="AG36">
        <v>0.50583948470771789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84" x14ac:dyDescent="0.25">
      <c r="A37" t="s">
        <v>128</v>
      </c>
      <c r="B37" t="s">
        <v>291</v>
      </c>
      <c r="C37" s="14" t="s">
        <v>72</v>
      </c>
      <c r="D37" s="12">
        <v>46250</v>
      </c>
      <c r="E37" s="14" t="s">
        <v>133</v>
      </c>
      <c r="F37" s="14" t="s">
        <v>133</v>
      </c>
      <c r="G37" s="14" t="s">
        <v>133</v>
      </c>
      <c r="H37" s="14" t="s">
        <v>75</v>
      </c>
      <c r="I37">
        <v>20</v>
      </c>
      <c r="J37">
        <v>10.972274579690296</v>
      </c>
      <c r="K37">
        <v>46250</v>
      </c>
      <c r="L37" t="s">
        <v>503</v>
      </c>
      <c r="M37">
        <v>45.599999999999994</v>
      </c>
      <c r="N37">
        <v>45.599999999999994</v>
      </c>
      <c r="O37">
        <v>12.1875</v>
      </c>
      <c r="P37">
        <v>4.155929535741449</v>
      </c>
      <c r="Q37">
        <v>4.155929535741449</v>
      </c>
      <c r="R37">
        <v>1.1107541933519498</v>
      </c>
      <c r="S37">
        <v>0</v>
      </c>
      <c r="T37">
        <v>0</v>
      </c>
      <c r="U37">
        <v>2.905929535741449</v>
      </c>
      <c r="V37">
        <v>0</v>
      </c>
      <c r="W37">
        <v>0</v>
      </c>
      <c r="X37">
        <v>0</v>
      </c>
      <c r="Y37">
        <v>0.1107541933519498</v>
      </c>
      <c r="Z37">
        <v>0</v>
      </c>
      <c r="AA37">
        <v>0.1392458066480502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0.24062005657215566</v>
      </c>
      <c r="AN37">
        <v>0.24062005657215566</v>
      </c>
      <c r="AO37">
        <v>0.26726973684210531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0.73273026315789469</v>
      </c>
      <c r="BA37">
        <v>0</v>
      </c>
      <c r="BB37">
        <v>0</v>
      </c>
      <c r="BC37">
        <v>0</v>
      </c>
      <c r="BD37">
        <v>0.24062005657215566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3.741538461538461</v>
      </c>
      <c r="BK37">
        <v>3.741538461538461</v>
      </c>
      <c r="BL37">
        <v>0.90028919628228077</v>
      </c>
      <c r="CC37">
        <v>0</v>
      </c>
      <c r="CD37">
        <v>0</v>
      </c>
      <c r="CE37">
        <v>0</v>
      </c>
    </row>
    <row r="38" spans="1:84" x14ac:dyDescent="0.25">
      <c r="A38" t="s">
        <v>128</v>
      </c>
      <c r="B38" t="s">
        <v>291</v>
      </c>
      <c r="C38" s="14" t="s">
        <v>109</v>
      </c>
      <c r="D38" s="12">
        <v>46230</v>
      </c>
      <c r="E38" s="14" t="s">
        <v>133</v>
      </c>
      <c r="F38" s="14" t="s">
        <v>133</v>
      </c>
      <c r="G38" s="14" t="s">
        <v>133</v>
      </c>
      <c r="H38" s="14"/>
      <c r="J38">
        <v>27.064943963236065</v>
      </c>
      <c r="M38">
        <v>36.099999999999994</v>
      </c>
      <c r="N38">
        <v>36.099999999999994</v>
      </c>
      <c r="O38">
        <v>27.182291666666664</v>
      </c>
      <c r="S38">
        <v>0</v>
      </c>
      <c r="T38">
        <v>0</v>
      </c>
      <c r="U38">
        <v>0.56515296518295333</v>
      </c>
      <c r="V38">
        <v>0</v>
      </c>
      <c r="W38">
        <v>1.2157226619317001E-2</v>
      </c>
      <c r="X38">
        <v>0</v>
      </c>
      <c r="Y38">
        <v>3.898128898128899E-2</v>
      </c>
      <c r="Z38">
        <v>0</v>
      </c>
      <c r="AA38">
        <v>0</v>
      </c>
      <c r="AB38">
        <v>0.23939331540710765</v>
      </c>
      <c r="AC38">
        <v>4.3069429243216224E-2</v>
      </c>
      <c r="AD38">
        <v>0</v>
      </c>
      <c r="AE38">
        <v>3.7333041148696665E-3</v>
      </c>
      <c r="AF38">
        <v>0</v>
      </c>
      <c r="AG38">
        <v>0.71380395123480644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84" x14ac:dyDescent="0.25">
      <c r="A39" t="s">
        <v>128</v>
      </c>
      <c r="B39" t="s">
        <v>291</v>
      </c>
      <c r="C39" s="14" t="s">
        <v>109</v>
      </c>
      <c r="D39" s="12">
        <v>46237</v>
      </c>
      <c r="E39" s="14" t="s">
        <v>420</v>
      </c>
      <c r="F39" s="14" t="s">
        <v>420</v>
      </c>
      <c r="G39" s="14" t="s">
        <v>420</v>
      </c>
      <c r="H39" s="14"/>
      <c r="J39">
        <v>6.7786480661254069</v>
      </c>
      <c r="M39">
        <v>6.6499999999999995</v>
      </c>
      <c r="N39">
        <v>6.6499999999999995</v>
      </c>
      <c r="O39">
        <v>7.5155709342560542</v>
      </c>
      <c r="S39">
        <v>2.4127096675974773E-2</v>
      </c>
      <c r="T39">
        <v>0</v>
      </c>
      <c r="U39">
        <v>0.25493813543596827</v>
      </c>
      <c r="V39">
        <v>0</v>
      </c>
      <c r="W39">
        <v>0</v>
      </c>
      <c r="X39">
        <v>0</v>
      </c>
      <c r="Y39">
        <v>8.4585269114666253E-2</v>
      </c>
      <c r="Z39">
        <v>0</v>
      </c>
      <c r="AA39">
        <v>3.2602230885333747E-2</v>
      </c>
      <c r="AB39">
        <v>0.39110406076067189</v>
      </c>
      <c r="AC39">
        <v>0</v>
      </c>
      <c r="AD39">
        <v>0</v>
      </c>
      <c r="AE39">
        <v>0</v>
      </c>
      <c r="AF39">
        <v>0</v>
      </c>
      <c r="AG39">
        <v>0.60889593923932817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84" x14ac:dyDescent="0.25">
      <c r="A40" t="s">
        <v>128</v>
      </c>
      <c r="B40" t="s">
        <v>291</v>
      </c>
      <c r="C40" s="14" t="s">
        <v>72</v>
      </c>
      <c r="D40" s="12">
        <v>46230</v>
      </c>
      <c r="E40" s="14" t="s">
        <v>420</v>
      </c>
      <c r="F40" s="14" t="s">
        <v>420</v>
      </c>
      <c r="G40" s="14" t="s">
        <v>420</v>
      </c>
      <c r="H40" s="14" t="s">
        <v>74</v>
      </c>
      <c r="I40">
        <v>20</v>
      </c>
      <c r="J40">
        <v>0</v>
      </c>
      <c r="K40">
        <v>46230</v>
      </c>
      <c r="L40" t="s">
        <v>442</v>
      </c>
      <c r="M40">
        <v>1.9</v>
      </c>
      <c r="N40">
        <v>1.9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F40">
        <v>0</v>
      </c>
    </row>
    <row r="41" spans="1:84" x14ac:dyDescent="0.25">
      <c r="A41" t="s">
        <v>128</v>
      </c>
      <c r="B41" t="s">
        <v>291</v>
      </c>
      <c r="C41" s="14" t="s">
        <v>72</v>
      </c>
      <c r="D41" s="12">
        <v>46230</v>
      </c>
      <c r="E41" s="14" t="s">
        <v>420</v>
      </c>
      <c r="F41" s="14" t="s">
        <v>420</v>
      </c>
      <c r="G41" s="14" t="s">
        <v>420</v>
      </c>
      <c r="H41" s="14" t="s">
        <v>73</v>
      </c>
      <c r="I41">
        <v>20</v>
      </c>
      <c r="J41">
        <v>3.6011567851291222</v>
      </c>
      <c r="K41">
        <v>46230</v>
      </c>
      <c r="L41" t="s">
        <v>441</v>
      </c>
      <c r="M41">
        <v>0.95</v>
      </c>
      <c r="N41">
        <v>0.95</v>
      </c>
      <c r="O41">
        <v>4.705882352941174</v>
      </c>
      <c r="P41">
        <v>0.26380412092108813</v>
      </c>
      <c r="Q41">
        <v>0.26380412092108813</v>
      </c>
      <c r="R41">
        <v>1.3067696392375876</v>
      </c>
      <c r="S41">
        <v>0.3067696392375876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0.73619587907891182</v>
      </c>
      <c r="AC41">
        <v>0</v>
      </c>
      <c r="AD41">
        <v>0</v>
      </c>
      <c r="AE41">
        <v>0</v>
      </c>
      <c r="AF41">
        <v>0</v>
      </c>
      <c r="AG41">
        <v>0.26380412092108813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3.7906913527674972</v>
      </c>
      <c r="AN41">
        <v>3.7906913527674972</v>
      </c>
      <c r="AO41">
        <v>4.9535603715170256</v>
      </c>
      <c r="BF41">
        <v>0</v>
      </c>
      <c r="BG41">
        <v>0</v>
      </c>
      <c r="BH41">
        <v>0</v>
      </c>
      <c r="BJ41">
        <v>0.20187500000000011</v>
      </c>
      <c r="BK41">
        <v>0.20187500000000011</v>
      </c>
      <c r="BL41">
        <v>0.76524581683993886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0.23475418316006114</v>
      </c>
      <c r="BX41">
        <v>0</v>
      </c>
      <c r="BY41">
        <v>0</v>
      </c>
      <c r="BZ41">
        <v>0</v>
      </c>
      <c r="CA41">
        <v>0.20187500000000011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25">
      <c r="A42" t="s">
        <v>128</v>
      </c>
      <c r="B42" t="s">
        <v>291</v>
      </c>
      <c r="C42" s="14" t="s">
        <v>72</v>
      </c>
      <c r="D42" s="12">
        <v>46248</v>
      </c>
      <c r="E42" s="14" t="s">
        <v>420</v>
      </c>
      <c r="F42" s="14" t="s">
        <v>420</v>
      </c>
      <c r="G42" s="14" t="s">
        <v>420</v>
      </c>
      <c r="H42" s="14" t="s">
        <v>73</v>
      </c>
      <c r="I42">
        <v>20</v>
      </c>
      <c r="J42">
        <v>3.6011567851291222</v>
      </c>
      <c r="K42">
        <v>46248</v>
      </c>
      <c r="L42" t="s">
        <v>495</v>
      </c>
      <c r="M42">
        <v>2.8499999999999996</v>
      </c>
      <c r="N42">
        <v>2.8499999999999996</v>
      </c>
      <c r="O42">
        <v>3.7647058823529398</v>
      </c>
      <c r="P42">
        <v>0.79141236276326432</v>
      </c>
      <c r="Q42">
        <v>0.79141236276326432</v>
      </c>
      <c r="R42">
        <v>1.0454157113900704</v>
      </c>
      <c r="S42">
        <v>4.541571139007039E-2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0.20858763723673568</v>
      </c>
      <c r="AC42">
        <v>0</v>
      </c>
      <c r="AD42">
        <v>0</v>
      </c>
      <c r="AE42">
        <v>0</v>
      </c>
      <c r="AF42">
        <v>0</v>
      </c>
      <c r="AG42">
        <v>0.79141236276326432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1.2635637842558325</v>
      </c>
      <c r="AN42">
        <v>1.2635637842558325</v>
      </c>
      <c r="AO42">
        <v>1.3209494324045405</v>
      </c>
      <c r="AP42">
        <v>5.7385648148708057E-2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0.26356378425583249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0.75703125000000016</v>
      </c>
      <c r="BK42">
        <v>0.75703125000000016</v>
      </c>
      <c r="BL42">
        <v>0.95655727104992339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4.3442728950076615E-2</v>
      </c>
      <c r="BX42">
        <v>0</v>
      </c>
      <c r="BY42">
        <v>0</v>
      </c>
      <c r="BZ42">
        <v>0</v>
      </c>
      <c r="CA42">
        <v>0.75703125000000016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25">
      <c r="A43" t="s">
        <v>128</v>
      </c>
      <c r="B43" t="s">
        <v>291</v>
      </c>
      <c r="C43" s="14" t="s">
        <v>109</v>
      </c>
      <c r="D43" s="12">
        <v>46230</v>
      </c>
      <c r="E43" s="14" t="s">
        <v>420</v>
      </c>
      <c r="F43" s="14" t="s">
        <v>420</v>
      </c>
      <c r="G43" s="14" t="s">
        <v>420</v>
      </c>
      <c r="H43" s="14"/>
      <c r="J43">
        <v>6.7786480661254069</v>
      </c>
      <c r="M43">
        <v>5.6999999999999993</v>
      </c>
      <c r="N43">
        <v>5.6999999999999993</v>
      </c>
      <c r="O43">
        <v>8.5121107266435967</v>
      </c>
      <c r="S43">
        <v>0.25572395020486954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0.43941624304268773</v>
      </c>
      <c r="AC43">
        <v>0</v>
      </c>
      <c r="AD43">
        <v>0</v>
      </c>
      <c r="AE43">
        <v>0</v>
      </c>
      <c r="AF43">
        <v>0</v>
      </c>
      <c r="AG43">
        <v>0.56058375695731222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84" x14ac:dyDescent="0.25">
      <c r="A44" t="s">
        <v>128</v>
      </c>
      <c r="B44" t="s">
        <v>291</v>
      </c>
      <c r="C44" s="14" t="s">
        <v>72</v>
      </c>
      <c r="D44" s="12">
        <v>46240</v>
      </c>
      <c r="E44" s="14" t="s">
        <v>134</v>
      </c>
      <c r="F44" s="14" t="s">
        <v>134</v>
      </c>
      <c r="G44" s="14" t="s">
        <v>134</v>
      </c>
      <c r="H44" s="14" t="s">
        <v>74</v>
      </c>
      <c r="I44">
        <v>20</v>
      </c>
      <c r="J44">
        <v>1.2735376146788988</v>
      </c>
      <c r="K44">
        <v>46240</v>
      </c>
      <c r="L44" t="s">
        <v>472</v>
      </c>
      <c r="M44">
        <v>1.9</v>
      </c>
      <c r="N44">
        <v>1.9</v>
      </c>
      <c r="O44">
        <v>1.8823529411764703</v>
      </c>
      <c r="P44">
        <v>1.4919072496174783</v>
      </c>
      <c r="Q44">
        <v>1.4919072496174783</v>
      </c>
      <c r="R44">
        <v>1.4780505259368206</v>
      </c>
      <c r="S44">
        <v>0</v>
      </c>
      <c r="T44">
        <v>0</v>
      </c>
      <c r="U44">
        <v>1.3856723680657712E-2</v>
      </c>
      <c r="V44">
        <v>0</v>
      </c>
      <c r="W44">
        <v>0.22805052593682063</v>
      </c>
      <c r="X44">
        <v>0</v>
      </c>
      <c r="Y44">
        <v>0.25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0.67028295509415725</v>
      </c>
      <c r="AN44">
        <v>0.67028295509415725</v>
      </c>
      <c r="AO44">
        <v>0.99071207430340547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9.2879256965945345E-3</v>
      </c>
      <c r="BA44">
        <v>0</v>
      </c>
      <c r="BB44">
        <v>0</v>
      </c>
      <c r="BC44">
        <v>0</v>
      </c>
      <c r="BD44">
        <v>0.67028295509415725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1.0093750000000001</v>
      </c>
      <c r="BK44">
        <v>1.0093750000000001</v>
      </c>
      <c r="BL44">
        <v>0.67656685779816506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9.3750000000001332E-3</v>
      </c>
      <c r="BV44">
        <v>0</v>
      </c>
      <c r="BW44">
        <v>0</v>
      </c>
      <c r="BX44">
        <v>0</v>
      </c>
      <c r="BY44">
        <v>0.32343314220183494</v>
      </c>
      <c r="BZ44">
        <v>0</v>
      </c>
      <c r="CA44">
        <v>0.67656685779816506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25">
      <c r="A45" t="s">
        <v>128</v>
      </c>
      <c r="B45" t="s">
        <v>291</v>
      </c>
      <c r="C45" s="14" t="s">
        <v>72</v>
      </c>
      <c r="D45" s="12">
        <v>46229</v>
      </c>
      <c r="E45" s="14" t="s">
        <v>420</v>
      </c>
      <c r="F45" s="14" t="s">
        <v>420</v>
      </c>
      <c r="G45" s="14" t="s">
        <v>420</v>
      </c>
      <c r="H45" s="14" t="s">
        <v>75</v>
      </c>
      <c r="I45">
        <v>20</v>
      </c>
      <c r="J45">
        <v>3.1774912809962848</v>
      </c>
      <c r="K45">
        <v>46229</v>
      </c>
      <c r="L45" t="s">
        <v>440</v>
      </c>
      <c r="M45">
        <v>0</v>
      </c>
      <c r="N45">
        <v>0</v>
      </c>
      <c r="O45">
        <v>3.7543252595155705</v>
      </c>
      <c r="P45">
        <v>0</v>
      </c>
      <c r="Q45">
        <v>0</v>
      </c>
      <c r="R45">
        <v>1.1815375488106525</v>
      </c>
      <c r="S45">
        <v>0.18153754881065254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0</v>
      </c>
      <c r="BK45">
        <v>0</v>
      </c>
      <c r="BL45">
        <v>0.84635482046813493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0.15364517953186507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0.84635482046813493</v>
      </c>
      <c r="CF45">
        <v>0</v>
      </c>
    </row>
    <row r="46" spans="1:84" x14ac:dyDescent="0.25">
      <c r="A46" t="s">
        <v>128</v>
      </c>
      <c r="B46" t="s">
        <v>291</v>
      </c>
      <c r="C46" s="14" t="s">
        <v>109</v>
      </c>
      <c r="D46" s="12">
        <v>46230</v>
      </c>
      <c r="E46" s="14" t="s">
        <v>134</v>
      </c>
      <c r="F46" s="14" t="s">
        <v>134</v>
      </c>
      <c r="G46" s="14" t="s">
        <v>134</v>
      </c>
      <c r="H46" s="14"/>
      <c r="J46">
        <v>8.1518697913855895</v>
      </c>
      <c r="M46">
        <v>6.6499999999999995</v>
      </c>
      <c r="N46">
        <v>6.6499999999999995</v>
      </c>
      <c r="O46">
        <v>12.346020761245672</v>
      </c>
      <c r="S46">
        <v>0.32436229238701325</v>
      </c>
      <c r="T46">
        <v>0</v>
      </c>
      <c r="U46">
        <v>3.2471799614938617E-3</v>
      </c>
      <c r="V46">
        <v>0</v>
      </c>
      <c r="W46">
        <v>0.15108280982573732</v>
      </c>
      <c r="X46">
        <v>0</v>
      </c>
      <c r="Y46">
        <v>3.9056610546720751E-2</v>
      </c>
      <c r="Z46">
        <v>0</v>
      </c>
      <c r="AA46">
        <v>0</v>
      </c>
      <c r="AB46">
        <v>0.37762283445200379</v>
      </c>
      <c r="AC46">
        <v>0</v>
      </c>
      <c r="AD46">
        <v>0</v>
      </c>
      <c r="AE46">
        <v>0</v>
      </c>
      <c r="AF46">
        <v>0</v>
      </c>
      <c r="AG46">
        <v>0.62237716554799627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84" x14ac:dyDescent="0.25">
      <c r="A47" t="s">
        <v>128</v>
      </c>
      <c r="B47" t="s">
        <v>291</v>
      </c>
      <c r="C47" s="14" t="s">
        <v>72</v>
      </c>
      <c r="D47" s="12">
        <v>46240</v>
      </c>
      <c r="E47" s="14" t="s">
        <v>134</v>
      </c>
      <c r="F47" s="14" t="s">
        <v>134</v>
      </c>
      <c r="G47" s="14" t="s">
        <v>134</v>
      </c>
      <c r="H47" s="14" t="s">
        <v>73</v>
      </c>
      <c r="I47">
        <v>20</v>
      </c>
      <c r="J47">
        <v>5.9697075688073395</v>
      </c>
      <c r="K47">
        <v>46240</v>
      </c>
      <c r="L47" t="s">
        <v>471</v>
      </c>
      <c r="M47">
        <v>2.8499999999999996</v>
      </c>
      <c r="N47">
        <v>2.8499999999999996</v>
      </c>
      <c r="O47">
        <v>6.7654798761609918</v>
      </c>
      <c r="P47">
        <v>0.47741031987759291</v>
      </c>
      <c r="Q47">
        <v>0.47741031987759291</v>
      </c>
      <c r="R47">
        <v>1.1333017234398026</v>
      </c>
      <c r="S47">
        <v>0.13330172343980262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0.52258968012240703</v>
      </c>
      <c r="AC47">
        <v>0</v>
      </c>
      <c r="AD47">
        <v>0</v>
      </c>
      <c r="AE47">
        <v>0</v>
      </c>
      <c r="AF47">
        <v>0</v>
      </c>
      <c r="AG47">
        <v>0.47741031987759291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2.0946342346692424</v>
      </c>
      <c r="AN47">
        <v>2.0946342346692424</v>
      </c>
      <c r="AO47">
        <v>2.3738525881266641</v>
      </c>
      <c r="BF47">
        <v>0</v>
      </c>
      <c r="BG47">
        <v>0</v>
      </c>
      <c r="BH47">
        <v>0</v>
      </c>
      <c r="BJ47">
        <v>0.42125614918201565</v>
      </c>
      <c r="BK47">
        <v>0.42125614918201565</v>
      </c>
      <c r="BL47">
        <v>0.88237755164158349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0.11762244835841651</v>
      </c>
      <c r="BX47">
        <v>0</v>
      </c>
      <c r="BY47">
        <v>0</v>
      </c>
      <c r="BZ47">
        <v>0</v>
      </c>
      <c r="CA47">
        <v>0.42125614918201565</v>
      </c>
      <c r="CB47">
        <v>0</v>
      </c>
      <c r="CC47">
        <v>0</v>
      </c>
      <c r="CD47">
        <v>0</v>
      </c>
      <c r="CE47">
        <v>0</v>
      </c>
      <c r="CF47">
        <v>0</v>
      </c>
    </row>
    <row r="48" spans="1:84" x14ac:dyDescent="0.25">
      <c r="A48" t="s">
        <v>128</v>
      </c>
      <c r="B48" t="s">
        <v>291</v>
      </c>
      <c r="C48" s="14" t="s">
        <v>72</v>
      </c>
      <c r="D48" s="12">
        <v>46229</v>
      </c>
      <c r="E48" s="14" t="s">
        <v>420</v>
      </c>
      <c r="F48" s="14" t="s">
        <v>420</v>
      </c>
      <c r="G48" s="14" t="s">
        <v>420</v>
      </c>
      <c r="H48" s="14" t="s">
        <v>74</v>
      </c>
      <c r="I48">
        <v>20</v>
      </c>
      <c r="J48">
        <v>0</v>
      </c>
      <c r="K48">
        <v>46229</v>
      </c>
      <c r="L48" t="s">
        <v>439</v>
      </c>
      <c r="M48">
        <v>10.45</v>
      </c>
      <c r="N48">
        <v>10.45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F48">
        <v>0</v>
      </c>
    </row>
    <row r="49" spans="1:84" x14ac:dyDescent="0.25">
      <c r="A49" t="s">
        <v>128</v>
      </c>
      <c r="B49" t="s">
        <v>291</v>
      </c>
      <c r="C49" s="14" t="s">
        <v>109</v>
      </c>
      <c r="D49" s="12">
        <v>46231</v>
      </c>
      <c r="E49" s="14" t="s">
        <v>133</v>
      </c>
      <c r="F49" s="14" t="s">
        <v>133</v>
      </c>
      <c r="G49" s="14" t="s">
        <v>133</v>
      </c>
      <c r="H49" s="14"/>
      <c r="J49">
        <v>26.924273776316959</v>
      </c>
      <c r="M49">
        <v>62.7</v>
      </c>
      <c r="N49">
        <v>62.7</v>
      </c>
      <c r="O49">
        <v>24.4921875</v>
      </c>
      <c r="S49">
        <v>0</v>
      </c>
      <c r="T49">
        <v>0</v>
      </c>
      <c r="U49">
        <v>1.2705830081111382</v>
      </c>
      <c r="V49">
        <v>0</v>
      </c>
      <c r="W49">
        <v>0</v>
      </c>
      <c r="X49">
        <v>0</v>
      </c>
      <c r="Y49">
        <v>2.7674648494769482E-2</v>
      </c>
      <c r="Z49">
        <v>0</v>
      </c>
      <c r="AA49">
        <v>0.11339118222623365</v>
      </c>
      <c r="AB49">
        <v>0</v>
      </c>
      <c r="AC49">
        <v>8.2895219666674125E-2</v>
      </c>
      <c r="AD49">
        <v>0</v>
      </c>
      <c r="AE49">
        <v>3.5110046341584641E-2</v>
      </c>
      <c r="AF49">
        <v>0</v>
      </c>
      <c r="AG49">
        <v>0.88199473399174122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84" x14ac:dyDescent="0.25">
      <c r="A50" t="s">
        <v>128</v>
      </c>
      <c r="B50" t="s">
        <v>291</v>
      </c>
      <c r="C50" s="14" t="s">
        <v>72</v>
      </c>
      <c r="D50" s="12">
        <v>46229</v>
      </c>
      <c r="E50" s="14" t="s">
        <v>420</v>
      </c>
      <c r="F50" s="14" t="s">
        <v>420</v>
      </c>
      <c r="G50" s="14" t="s">
        <v>420</v>
      </c>
      <c r="H50" s="14" t="s">
        <v>73</v>
      </c>
      <c r="I50">
        <v>20</v>
      </c>
      <c r="J50">
        <v>3.6011567851291222</v>
      </c>
      <c r="K50">
        <v>46229</v>
      </c>
      <c r="L50" t="s">
        <v>438</v>
      </c>
      <c r="M50">
        <v>2.8499999999999996</v>
      </c>
      <c r="N50">
        <v>2.8499999999999996</v>
      </c>
      <c r="O50">
        <v>3.8235294117647038</v>
      </c>
      <c r="P50">
        <v>0.79141236276326432</v>
      </c>
      <c r="Q50">
        <v>0.79141236276326432</v>
      </c>
      <c r="R50">
        <v>1.0617503318805399</v>
      </c>
      <c r="S50">
        <v>6.175033188053991E-2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0.20858763723673568</v>
      </c>
      <c r="AC50">
        <v>0</v>
      </c>
      <c r="AD50">
        <v>0</v>
      </c>
      <c r="AE50">
        <v>0</v>
      </c>
      <c r="AF50">
        <v>0</v>
      </c>
      <c r="AG50">
        <v>0.79141236276326432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1.2635637842558325</v>
      </c>
      <c r="AN50">
        <v>1.2635637842558325</v>
      </c>
      <c r="AO50">
        <v>1.3415892672858611</v>
      </c>
      <c r="AP50">
        <v>7.8025483030028653E-2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0.26356378425583249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0.74538461538461565</v>
      </c>
      <c r="BK50">
        <v>0.74538461538461565</v>
      </c>
      <c r="BL50">
        <v>0.9418410053414632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5.81589946585368E-2</v>
      </c>
      <c r="BX50">
        <v>0</v>
      </c>
      <c r="BY50">
        <v>0</v>
      </c>
      <c r="BZ50">
        <v>0</v>
      </c>
      <c r="CA50">
        <v>0.74538461538461565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x14ac:dyDescent="0.25">
      <c r="A51" t="s">
        <v>128</v>
      </c>
      <c r="B51" t="s">
        <v>291</v>
      </c>
      <c r="C51" s="14" t="s">
        <v>109</v>
      </c>
      <c r="D51" s="12">
        <v>46238</v>
      </c>
      <c r="E51" s="14" t="s">
        <v>133</v>
      </c>
      <c r="F51" s="14" t="s">
        <v>133</v>
      </c>
      <c r="G51" s="14" t="s">
        <v>133</v>
      </c>
      <c r="H51" s="14"/>
      <c r="J51">
        <v>28.218439495972738</v>
      </c>
      <c r="M51">
        <v>64.599999999999994</v>
      </c>
      <c r="N51">
        <v>64.599999999999994</v>
      </c>
      <c r="O51">
        <v>30</v>
      </c>
      <c r="S51">
        <v>3.5062424803778175E-3</v>
      </c>
      <c r="T51">
        <v>0</v>
      </c>
      <c r="U51">
        <v>1.2796428651227896</v>
      </c>
      <c r="V51">
        <v>0</v>
      </c>
      <c r="W51">
        <v>0</v>
      </c>
      <c r="X51">
        <v>0</v>
      </c>
      <c r="Y51">
        <v>5.9628379272236125E-2</v>
      </c>
      <c r="Z51">
        <v>0</v>
      </c>
      <c r="AA51">
        <v>7.496783209366617E-2</v>
      </c>
      <c r="AB51">
        <v>0.12495585764806301</v>
      </c>
      <c r="AC51">
        <v>0</v>
      </c>
      <c r="AD51">
        <v>0</v>
      </c>
      <c r="AE51">
        <v>0</v>
      </c>
      <c r="AF51">
        <v>0</v>
      </c>
      <c r="AG51">
        <v>0.87504414235193695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84" x14ac:dyDescent="0.25">
      <c r="A52" t="s">
        <v>128</v>
      </c>
      <c r="B52" t="s">
        <v>291</v>
      </c>
      <c r="C52" s="14" t="s">
        <v>109</v>
      </c>
      <c r="D52" s="12">
        <v>46231</v>
      </c>
      <c r="E52" s="14" t="s">
        <v>420</v>
      </c>
      <c r="F52" s="14" t="s">
        <v>420</v>
      </c>
      <c r="G52" s="14" t="s">
        <v>420</v>
      </c>
      <c r="H52" s="14"/>
      <c r="J52">
        <v>6.7786480661254069</v>
      </c>
      <c r="M52">
        <v>15.2</v>
      </c>
      <c r="N52">
        <v>15.2</v>
      </c>
      <c r="O52">
        <v>8.5121107266435949</v>
      </c>
      <c r="S52">
        <v>0.25572395020486943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0.29927030380335973</v>
      </c>
      <c r="AC52">
        <v>0</v>
      </c>
      <c r="AD52">
        <v>0</v>
      </c>
      <c r="AE52">
        <v>0</v>
      </c>
      <c r="AF52">
        <v>0</v>
      </c>
      <c r="AG52">
        <v>0.70072969619664038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84" x14ac:dyDescent="0.25">
      <c r="A53" t="s">
        <v>128</v>
      </c>
      <c r="B53" t="s">
        <v>291</v>
      </c>
      <c r="C53" s="14" t="s">
        <v>72</v>
      </c>
      <c r="D53" s="12">
        <v>46237</v>
      </c>
      <c r="E53" s="14" t="s">
        <v>134</v>
      </c>
      <c r="F53" s="14" t="s">
        <v>134</v>
      </c>
      <c r="G53" s="14" t="s">
        <v>134</v>
      </c>
      <c r="H53" s="14" t="s">
        <v>75</v>
      </c>
      <c r="I53">
        <v>20</v>
      </c>
      <c r="J53">
        <v>3.3711289800323794</v>
      </c>
      <c r="K53">
        <v>46237</v>
      </c>
      <c r="L53" t="s">
        <v>464</v>
      </c>
      <c r="M53">
        <v>2.8499999999999996</v>
      </c>
      <c r="N53">
        <v>2.8499999999999996</v>
      </c>
      <c r="O53">
        <v>4.9273356401384065</v>
      </c>
      <c r="P53">
        <v>0.84541410811657103</v>
      </c>
      <c r="Q53">
        <v>0.84541410811657103</v>
      </c>
      <c r="R53">
        <v>1.4616277423152999</v>
      </c>
      <c r="S53">
        <v>0.4616277423152999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0.15458589188342897</v>
      </c>
      <c r="AC53">
        <v>0</v>
      </c>
      <c r="AD53">
        <v>0</v>
      </c>
      <c r="AE53">
        <v>0</v>
      </c>
      <c r="AF53">
        <v>0</v>
      </c>
      <c r="AG53">
        <v>0.84541410811657103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1.1828522736955718</v>
      </c>
      <c r="AN53">
        <v>1.1828522736955718</v>
      </c>
      <c r="AO53">
        <v>1.7288896982941779</v>
      </c>
      <c r="AP53">
        <v>0.54603742459860616</v>
      </c>
      <c r="AQ53">
        <v>0</v>
      </c>
      <c r="AR53">
        <v>0</v>
      </c>
      <c r="AS53">
        <v>0</v>
      </c>
      <c r="AT53">
        <v>0</v>
      </c>
      <c r="AU53">
        <v>0.31714772630442822</v>
      </c>
      <c r="AV53">
        <v>0.18285227369557178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0.57840589887640459</v>
      </c>
      <c r="BK53">
        <v>0.57840589887640459</v>
      </c>
      <c r="BL53">
        <v>0.6841687326048862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0.3158312673951138</v>
      </c>
      <c r="BX53">
        <v>0</v>
      </c>
      <c r="BY53">
        <v>0</v>
      </c>
      <c r="BZ53">
        <v>0</v>
      </c>
      <c r="CA53">
        <v>0.57840589887640459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x14ac:dyDescent="0.25">
      <c r="A54" t="s">
        <v>128</v>
      </c>
      <c r="B54" t="s">
        <v>291</v>
      </c>
      <c r="C54" s="14" t="s">
        <v>72</v>
      </c>
      <c r="D54" s="12">
        <v>46250</v>
      </c>
      <c r="E54" s="14" t="s">
        <v>133</v>
      </c>
      <c r="F54" s="14" t="s">
        <v>133</v>
      </c>
      <c r="G54" s="14" t="s">
        <v>133</v>
      </c>
      <c r="H54" s="14" t="s">
        <v>73</v>
      </c>
      <c r="I54">
        <v>20</v>
      </c>
      <c r="J54">
        <v>10.972274579690296</v>
      </c>
      <c r="K54">
        <v>46250</v>
      </c>
      <c r="L54" t="s">
        <v>501</v>
      </c>
      <c r="M54">
        <v>9.5</v>
      </c>
      <c r="N54">
        <v>9.5</v>
      </c>
      <c r="O54">
        <v>12.1875</v>
      </c>
      <c r="P54">
        <v>0.86581865327946861</v>
      </c>
      <c r="Q54">
        <v>0.86581865327946861</v>
      </c>
      <c r="R54">
        <v>1.1107541933519498</v>
      </c>
      <c r="S54">
        <v>0.1107541933519498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0.13418134672053139</v>
      </c>
      <c r="AC54">
        <v>0</v>
      </c>
      <c r="AD54">
        <v>0</v>
      </c>
      <c r="AE54">
        <v>0</v>
      </c>
      <c r="AF54">
        <v>0</v>
      </c>
      <c r="AG54">
        <v>0.86581865327946861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1.154976271546347</v>
      </c>
      <c r="AN54">
        <v>1.154976271546347</v>
      </c>
      <c r="AO54">
        <v>1.2828947368421053</v>
      </c>
      <c r="AP54">
        <v>0.12791846529575834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0.15497627154634697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0.77948717948717949</v>
      </c>
      <c r="BK54">
        <v>0.77948717948717949</v>
      </c>
      <c r="BL54">
        <v>0.90028919628228077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9.9710803717719232E-2</v>
      </c>
      <c r="BX54">
        <v>0</v>
      </c>
      <c r="BY54">
        <v>0</v>
      </c>
      <c r="BZ54">
        <v>0</v>
      </c>
      <c r="CA54">
        <v>0.77948717948717949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 x14ac:dyDescent="0.25">
      <c r="A55" t="s">
        <v>128</v>
      </c>
      <c r="B55" t="s">
        <v>291</v>
      </c>
      <c r="C55" s="14" t="s">
        <v>72</v>
      </c>
      <c r="D55" s="12">
        <v>46247</v>
      </c>
      <c r="E55" s="14" t="s">
        <v>133</v>
      </c>
      <c r="F55" s="14" t="s">
        <v>133</v>
      </c>
      <c r="G55" s="14" t="s">
        <v>133</v>
      </c>
      <c r="H55" s="14" t="s">
        <v>75</v>
      </c>
      <c r="I55">
        <v>20</v>
      </c>
      <c r="J55">
        <v>10.972274579690296</v>
      </c>
      <c r="K55">
        <v>46247</v>
      </c>
      <c r="L55" t="s">
        <v>494</v>
      </c>
      <c r="M55">
        <v>1.9</v>
      </c>
      <c r="N55">
        <v>1.9</v>
      </c>
      <c r="O55">
        <v>12.24609375</v>
      </c>
      <c r="P55">
        <v>0.17316373065589372</v>
      </c>
      <c r="Q55">
        <v>0.17316373065589372</v>
      </c>
      <c r="R55">
        <v>1.1160943577430651</v>
      </c>
      <c r="S55">
        <v>0.11609435774306509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0.82683626934410626</v>
      </c>
      <c r="AC55">
        <v>0</v>
      </c>
      <c r="AD55">
        <v>0</v>
      </c>
      <c r="AE55">
        <v>0</v>
      </c>
      <c r="AF55">
        <v>0</v>
      </c>
      <c r="AG55">
        <v>0.17316373065589372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5.7748813577317355</v>
      </c>
      <c r="AN55">
        <v>5.7748813577317355</v>
      </c>
      <c r="AO55">
        <v>6.4453125</v>
      </c>
      <c r="BF55">
        <v>0</v>
      </c>
      <c r="BG55">
        <v>0</v>
      </c>
      <c r="BH55">
        <v>0</v>
      </c>
      <c r="BJ55">
        <v>0.15515151515151515</v>
      </c>
      <c r="BK55">
        <v>0.15515151515151515</v>
      </c>
      <c r="BL55">
        <v>0.89598159247231768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0.10401840752768232</v>
      </c>
      <c r="BX55">
        <v>0</v>
      </c>
      <c r="BY55">
        <v>0</v>
      </c>
      <c r="BZ55">
        <v>0</v>
      </c>
      <c r="CA55">
        <v>0.15515151515151515</v>
      </c>
      <c r="CB55">
        <v>0</v>
      </c>
      <c r="CC55">
        <v>0</v>
      </c>
      <c r="CD55">
        <v>0</v>
      </c>
      <c r="CE55">
        <v>0</v>
      </c>
      <c r="CF55">
        <v>0</v>
      </c>
    </row>
    <row r="56" spans="1:84" x14ac:dyDescent="0.25">
      <c r="A56" t="s">
        <v>128</v>
      </c>
      <c r="B56" t="s">
        <v>291</v>
      </c>
      <c r="C56" s="14" t="s">
        <v>72</v>
      </c>
      <c r="D56" s="12">
        <v>46223</v>
      </c>
      <c r="E56" s="14" t="s">
        <v>134</v>
      </c>
      <c r="F56" s="14" t="s">
        <v>134</v>
      </c>
      <c r="G56" s="14" t="s">
        <v>134</v>
      </c>
      <c r="H56" s="14" t="s">
        <v>74</v>
      </c>
      <c r="I56">
        <v>20</v>
      </c>
      <c r="J56">
        <v>1.2735376146788988</v>
      </c>
      <c r="K56">
        <v>46223</v>
      </c>
      <c r="L56" t="s">
        <v>424</v>
      </c>
      <c r="M56">
        <v>11.4</v>
      </c>
      <c r="N56">
        <v>11.4</v>
      </c>
      <c r="O56">
        <v>0.94117647058823517</v>
      </c>
      <c r="P56">
        <v>8.9514434977048705</v>
      </c>
      <c r="Q56">
        <v>8.9514434977048705</v>
      </c>
      <c r="R56">
        <v>0.73902526296841031</v>
      </c>
      <c r="S56">
        <v>0</v>
      </c>
      <c r="T56">
        <v>0</v>
      </c>
      <c r="U56">
        <v>7.7014434977048705</v>
      </c>
      <c r="V56">
        <v>0</v>
      </c>
      <c r="W56">
        <v>0</v>
      </c>
      <c r="X56">
        <v>0</v>
      </c>
      <c r="Y56">
        <v>0</v>
      </c>
      <c r="Z56">
        <v>0</v>
      </c>
      <c r="AA56">
        <v>0.25</v>
      </c>
      <c r="AB56">
        <v>0</v>
      </c>
      <c r="AC56">
        <v>0</v>
      </c>
      <c r="AD56">
        <v>0</v>
      </c>
      <c r="AE56">
        <v>0.26097473703158969</v>
      </c>
      <c r="AF56">
        <v>0</v>
      </c>
      <c r="AG56">
        <v>0.73902526296841031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0.11171382584902623</v>
      </c>
      <c r="AN56">
        <v>0.11171382584902623</v>
      </c>
      <c r="AO56">
        <v>8.2559339525283798E-2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0.88828617415097377</v>
      </c>
      <c r="BA56">
        <v>0</v>
      </c>
      <c r="BB56">
        <v>2.9154486323742429E-2</v>
      </c>
      <c r="BC56">
        <v>0</v>
      </c>
      <c r="BD56">
        <v>8.2559339525283798E-2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12.112500000000001</v>
      </c>
      <c r="BK56">
        <v>12.112500000000001</v>
      </c>
      <c r="BL56">
        <v>1.3531337155963301</v>
      </c>
      <c r="CC56">
        <v>0</v>
      </c>
      <c r="CD56">
        <v>0</v>
      </c>
      <c r="CE56">
        <v>0</v>
      </c>
    </row>
    <row r="57" spans="1:84" x14ac:dyDescent="0.25">
      <c r="A57" t="s">
        <v>128</v>
      </c>
      <c r="B57" t="s">
        <v>291</v>
      </c>
      <c r="C57" s="14" t="s">
        <v>72</v>
      </c>
      <c r="D57" s="12">
        <v>46248</v>
      </c>
      <c r="E57" s="14" t="s">
        <v>133</v>
      </c>
      <c r="F57" s="14" t="s">
        <v>133</v>
      </c>
      <c r="G57" s="14" t="s">
        <v>133</v>
      </c>
      <c r="H57" s="14" t="s">
        <v>73</v>
      </c>
      <c r="I57">
        <v>20</v>
      </c>
      <c r="J57">
        <v>10.972274579690296</v>
      </c>
      <c r="K57">
        <v>46248</v>
      </c>
      <c r="L57" t="s">
        <v>495</v>
      </c>
      <c r="M57">
        <v>22.799999999999997</v>
      </c>
      <c r="N57">
        <v>22.799999999999997</v>
      </c>
      <c r="O57">
        <v>10.371323529411764</v>
      </c>
      <c r="P57">
        <v>2.0779647678707245</v>
      </c>
      <c r="Q57">
        <v>2.0779647678707245</v>
      </c>
      <c r="R57">
        <v>0.94523003904852199</v>
      </c>
      <c r="S57">
        <v>0</v>
      </c>
      <c r="T57">
        <v>0</v>
      </c>
      <c r="U57">
        <v>0.82796476787072448</v>
      </c>
      <c r="V57">
        <v>0</v>
      </c>
      <c r="W57">
        <v>0</v>
      </c>
      <c r="X57">
        <v>0</v>
      </c>
      <c r="Y57">
        <v>0</v>
      </c>
      <c r="Z57">
        <v>0</v>
      </c>
      <c r="AA57">
        <v>0.25</v>
      </c>
      <c r="AB57">
        <v>0</v>
      </c>
      <c r="AC57">
        <v>0</v>
      </c>
      <c r="AD57">
        <v>0</v>
      </c>
      <c r="AE57">
        <v>5.4769960951478014E-2</v>
      </c>
      <c r="AF57">
        <v>0</v>
      </c>
      <c r="AG57">
        <v>0.94523003904852199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0.48124011314431131</v>
      </c>
      <c r="AN57">
        <v>0.48124011314431131</v>
      </c>
      <c r="AO57">
        <v>0.45488261093911253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0.51875988685568863</v>
      </c>
      <c r="BA57">
        <v>0</v>
      </c>
      <c r="BB57">
        <v>2.635750220519878E-2</v>
      </c>
      <c r="BC57">
        <v>0</v>
      </c>
      <c r="BD57">
        <v>0.45488261093911253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2.1983693725629205</v>
      </c>
      <c r="BK57">
        <v>2.1983693725629205</v>
      </c>
      <c r="BL57">
        <v>1.0579435255851686</v>
      </c>
      <c r="CC57">
        <v>0</v>
      </c>
      <c r="CD57">
        <v>0</v>
      </c>
      <c r="CE57">
        <v>0</v>
      </c>
    </row>
    <row r="58" spans="1:84" x14ac:dyDescent="0.25">
      <c r="A58" t="s">
        <v>128</v>
      </c>
      <c r="B58" t="s">
        <v>291</v>
      </c>
      <c r="C58" s="14" t="s">
        <v>109</v>
      </c>
      <c r="D58" s="12">
        <v>46240</v>
      </c>
      <c r="E58" s="14" t="s">
        <v>420</v>
      </c>
      <c r="F58" s="14" t="s">
        <v>420</v>
      </c>
      <c r="G58" s="14" t="s">
        <v>420</v>
      </c>
      <c r="H58" s="14"/>
      <c r="J58">
        <v>6.7786480661254069</v>
      </c>
      <c r="M58">
        <v>6.6499999999999995</v>
      </c>
      <c r="N58">
        <v>6.6499999999999995</v>
      </c>
      <c r="O58">
        <v>7.5155709342560542</v>
      </c>
      <c r="S58">
        <v>0.10871236579064103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0.57956218228201584</v>
      </c>
      <c r="AC58">
        <v>0</v>
      </c>
      <c r="AD58">
        <v>0</v>
      </c>
      <c r="AE58">
        <v>0</v>
      </c>
      <c r="AF58">
        <v>0</v>
      </c>
      <c r="AG58">
        <v>0.42043781771798416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84" x14ac:dyDescent="0.25">
      <c r="A59" t="s">
        <v>128</v>
      </c>
      <c r="B59" t="s">
        <v>291</v>
      </c>
      <c r="C59" s="14" t="s">
        <v>72</v>
      </c>
      <c r="D59" s="12">
        <v>46248</v>
      </c>
      <c r="E59" s="14" t="s">
        <v>133</v>
      </c>
      <c r="F59" s="14" t="s">
        <v>133</v>
      </c>
      <c r="G59" s="14" t="s">
        <v>133</v>
      </c>
      <c r="H59" s="14" t="s">
        <v>74</v>
      </c>
      <c r="I59">
        <v>20</v>
      </c>
      <c r="J59">
        <v>4.220105607573192</v>
      </c>
      <c r="K59">
        <v>46248</v>
      </c>
      <c r="L59" t="s">
        <v>496</v>
      </c>
      <c r="M59">
        <v>30.4</v>
      </c>
      <c r="N59">
        <v>30.4</v>
      </c>
      <c r="O59">
        <v>3.7499999999999991</v>
      </c>
      <c r="P59">
        <v>7.2036111952851769</v>
      </c>
      <c r="Q59">
        <v>7.2036111952851769</v>
      </c>
      <c r="R59">
        <v>0.88860335468155949</v>
      </c>
      <c r="S59">
        <v>0</v>
      </c>
      <c r="T59">
        <v>0</v>
      </c>
      <c r="U59">
        <v>5.9536111952851769</v>
      </c>
      <c r="V59">
        <v>0</v>
      </c>
      <c r="W59">
        <v>0</v>
      </c>
      <c r="X59">
        <v>0</v>
      </c>
      <c r="Y59">
        <v>0</v>
      </c>
      <c r="Z59">
        <v>0</v>
      </c>
      <c r="AA59">
        <v>0.25</v>
      </c>
      <c r="AB59">
        <v>0</v>
      </c>
      <c r="AC59">
        <v>0</v>
      </c>
      <c r="AD59">
        <v>0</v>
      </c>
      <c r="AE59">
        <v>0.11139664531844051</v>
      </c>
      <c r="AF59">
        <v>0</v>
      </c>
      <c r="AG59">
        <v>0.88860335468155949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0.13881926340701289</v>
      </c>
      <c r="AN59">
        <v>0.13881926340701289</v>
      </c>
      <c r="AO59">
        <v>0.12335526315789472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0.86118073659298711</v>
      </c>
      <c r="BA59">
        <v>0</v>
      </c>
      <c r="BB59">
        <v>1.5464000249118176E-2</v>
      </c>
      <c r="BC59">
        <v>0</v>
      </c>
      <c r="BD59">
        <v>0.12335526315789472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8.1066666666666674</v>
      </c>
      <c r="BK59">
        <v>8.1066666666666674</v>
      </c>
      <c r="BL59">
        <v>1.1253614953528515</v>
      </c>
      <c r="CC59">
        <v>0</v>
      </c>
      <c r="CD59">
        <v>0</v>
      </c>
      <c r="CE59">
        <v>0</v>
      </c>
    </row>
    <row r="60" spans="1:84" x14ac:dyDescent="0.25">
      <c r="A60" t="s">
        <v>128</v>
      </c>
      <c r="B60" t="s">
        <v>291</v>
      </c>
      <c r="C60" s="14" t="s">
        <v>109</v>
      </c>
      <c r="D60" s="12">
        <v>46240</v>
      </c>
      <c r="E60" s="14" t="s">
        <v>133</v>
      </c>
      <c r="F60" s="14" t="s">
        <v>133</v>
      </c>
      <c r="G60" s="14" t="s">
        <v>133</v>
      </c>
      <c r="H60" s="14"/>
      <c r="J60">
        <v>26.924273776316959</v>
      </c>
      <c r="M60">
        <v>42.749999999999993</v>
      </c>
      <c r="N60">
        <v>42.749999999999993</v>
      </c>
      <c r="O60">
        <v>30.875</v>
      </c>
      <c r="S60">
        <v>7.9181043272989526E-2</v>
      </c>
      <c r="T60">
        <v>0</v>
      </c>
      <c r="U60">
        <v>0.76440191174700722</v>
      </c>
      <c r="V60">
        <v>0</v>
      </c>
      <c r="W60">
        <v>1.2220743999773203E-2</v>
      </c>
      <c r="X60">
        <v>0</v>
      </c>
      <c r="Y60">
        <v>5.5332949437505261E-2</v>
      </c>
      <c r="Z60">
        <v>0</v>
      </c>
      <c r="AA60">
        <v>9.2786172819548013E-2</v>
      </c>
      <c r="AB60">
        <v>0.33695521948192414</v>
      </c>
      <c r="AC60">
        <v>0</v>
      </c>
      <c r="AD60">
        <v>0</v>
      </c>
      <c r="AE60">
        <v>0</v>
      </c>
      <c r="AF60">
        <v>0</v>
      </c>
      <c r="AG60">
        <v>0.6630447805180758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84" x14ac:dyDescent="0.25">
      <c r="A61" t="s">
        <v>128</v>
      </c>
      <c r="B61" t="s">
        <v>291</v>
      </c>
      <c r="C61" s="14" t="s">
        <v>72</v>
      </c>
      <c r="D61" s="12">
        <v>46237</v>
      </c>
      <c r="E61" s="14" t="s">
        <v>134</v>
      </c>
      <c r="F61" s="14" t="s">
        <v>134</v>
      </c>
      <c r="G61" s="14" t="s">
        <v>134</v>
      </c>
      <c r="H61" s="14" t="s">
        <v>74</v>
      </c>
      <c r="I61">
        <v>20</v>
      </c>
      <c r="J61">
        <v>1.2735376146788988</v>
      </c>
      <c r="K61">
        <v>46237</v>
      </c>
      <c r="L61" t="s">
        <v>463</v>
      </c>
      <c r="M61">
        <v>3.8</v>
      </c>
      <c r="N61">
        <v>3.8</v>
      </c>
      <c r="O61">
        <v>1.8823529411764703</v>
      </c>
      <c r="P61">
        <v>2.9838144992349567</v>
      </c>
      <c r="Q61">
        <v>2.9838144992349567</v>
      </c>
      <c r="R61">
        <v>1.4780505259368206</v>
      </c>
      <c r="S61">
        <v>0</v>
      </c>
      <c r="T61">
        <v>0</v>
      </c>
      <c r="U61">
        <v>1.505763973298136</v>
      </c>
      <c r="V61">
        <v>0</v>
      </c>
      <c r="W61">
        <v>0.22805052593682063</v>
      </c>
      <c r="X61">
        <v>0</v>
      </c>
      <c r="Y61">
        <v>0.25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0.33514147754707863</v>
      </c>
      <c r="AN61">
        <v>0.33514147754707863</v>
      </c>
      <c r="AO61">
        <v>0.49535603715170273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0.50464396284829727</v>
      </c>
      <c r="BA61">
        <v>0</v>
      </c>
      <c r="BB61">
        <v>0</v>
      </c>
      <c r="BC61">
        <v>0</v>
      </c>
      <c r="BD61">
        <v>0.33514147754707863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2.0187500000000003</v>
      </c>
      <c r="BK61">
        <v>2.0187500000000003</v>
      </c>
      <c r="BL61">
        <v>0.67656685779816506</v>
      </c>
      <c r="CC61">
        <v>0</v>
      </c>
      <c r="CD61">
        <v>0</v>
      </c>
      <c r="CE61">
        <v>0</v>
      </c>
    </row>
    <row r="62" spans="1:84" x14ac:dyDescent="0.25">
      <c r="A62" t="s">
        <v>128</v>
      </c>
      <c r="B62" t="s">
        <v>291</v>
      </c>
      <c r="C62" s="14" t="s">
        <v>109</v>
      </c>
      <c r="D62" s="12">
        <v>46229</v>
      </c>
      <c r="E62" s="14" t="s">
        <v>420</v>
      </c>
      <c r="F62" s="14" t="s">
        <v>420</v>
      </c>
      <c r="G62" s="14" t="s">
        <v>420</v>
      </c>
      <c r="H62" s="14"/>
      <c r="J62">
        <v>6.7786480661254069</v>
      </c>
      <c r="M62">
        <v>13.299999999999999</v>
      </c>
      <c r="N62">
        <v>13.299999999999999</v>
      </c>
      <c r="O62">
        <v>7.5778546712802743</v>
      </c>
      <c r="S62">
        <v>0.1179005898165302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0.11081218228201582</v>
      </c>
      <c r="AC62">
        <v>0</v>
      </c>
      <c r="AD62">
        <v>0</v>
      </c>
      <c r="AE62">
        <v>0</v>
      </c>
      <c r="AF62">
        <v>0</v>
      </c>
      <c r="AG62">
        <v>0.42043781771798416</v>
      </c>
      <c r="AH62">
        <v>0</v>
      </c>
      <c r="AI62">
        <v>0</v>
      </c>
      <c r="AJ62">
        <v>0</v>
      </c>
      <c r="AK62">
        <v>0.46875000000000006</v>
      </c>
      <c r="AL62">
        <v>0</v>
      </c>
    </row>
    <row r="63" spans="1:84" x14ac:dyDescent="0.25">
      <c r="A63" t="s">
        <v>128</v>
      </c>
      <c r="B63" t="s">
        <v>291</v>
      </c>
      <c r="C63" s="14" t="s">
        <v>72</v>
      </c>
      <c r="D63" s="12">
        <v>46248</v>
      </c>
      <c r="E63" s="14" t="s">
        <v>133</v>
      </c>
      <c r="F63" s="14" t="s">
        <v>133</v>
      </c>
      <c r="G63" s="14" t="s">
        <v>133</v>
      </c>
      <c r="H63" s="14" t="s">
        <v>75</v>
      </c>
      <c r="I63">
        <v>20</v>
      </c>
      <c r="J63">
        <v>11.028542654457937</v>
      </c>
      <c r="K63">
        <v>46248</v>
      </c>
      <c r="L63" t="s">
        <v>497</v>
      </c>
      <c r="M63">
        <v>4.75</v>
      </c>
      <c r="N63">
        <v>4.75</v>
      </c>
      <c r="O63">
        <v>12.191176470588236</v>
      </c>
      <c r="P63">
        <v>0.43070060558545004</v>
      </c>
      <c r="Q63">
        <v>0.43070060558545004</v>
      </c>
      <c r="R63">
        <v>1.105420439722409</v>
      </c>
      <c r="S63">
        <v>0.105420439722409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0.56929939441454991</v>
      </c>
      <c r="AC63">
        <v>0</v>
      </c>
      <c r="AD63">
        <v>0</v>
      </c>
      <c r="AE63">
        <v>0</v>
      </c>
      <c r="AF63">
        <v>0</v>
      </c>
      <c r="AG63">
        <v>0.43070060558545004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2.321798453570092</v>
      </c>
      <c r="AN63">
        <v>2.321798453570092</v>
      </c>
      <c r="AO63">
        <v>2.5665634674922599</v>
      </c>
      <c r="BF63">
        <v>0</v>
      </c>
      <c r="BG63">
        <v>0</v>
      </c>
      <c r="BH63">
        <v>0</v>
      </c>
      <c r="BJ63">
        <v>0.3896260554885404</v>
      </c>
      <c r="BK63">
        <v>0.3896260554885404</v>
      </c>
      <c r="BL63">
        <v>0.90463317310390789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9.5366826896092105E-2</v>
      </c>
      <c r="BX63">
        <v>0</v>
      </c>
      <c r="BY63">
        <v>0</v>
      </c>
      <c r="BZ63">
        <v>0</v>
      </c>
      <c r="CA63">
        <v>0.3896260554885404</v>
      </c>
      <c r="CB63">
        <v>0</v>
      </c>
      <c r="CC63">
        <v>0</v>
      </c>
      <c r="CD63">
        <v>0</v>
      </c>
      <c r="CE63">
        <v>0</v>
      </c>
      <c r="CF63">
        <v>0</v>
      </c>
    </row>
    <row r="64" spans="1:84" x14ac:dyDescent="0.25">
      <c r="A64" t="s">
        <v>128</v>
      </c>
      <c r="B64" t="s">
        <v>291</v>
      </c>
      <c r="C64" s="14" t="s">
        <v>109</v>
      </c>
      <c r="D64" s="12">
        <v>46239</v>
      </c>
      <c r="E64" s="14" t="s">
        <v>134</v>
      </c>
      <c r="F64" s="14" t="s">
        <v>134</v>
      </c>
      <c r="G64" s="14" t="s">
        <v>134</v>
      </c>
      <c r="H64" s="14"/>
      <c r="J64">
        <v>9.8330447905423632</v>
      </c>
      <c r="M64">
        <v>7.6000000000000005</v>
      </c>
      <c r="N64">
        <v>7.6000000000000005</v>
      </c>
      <c r="O64">
        <v>11.522491349480966</v>
      </c>
      <c r="S64">
        <v>0.19156072474252578</v>
      </c>
      <c r="T64">
        <v>0</v>
      </c>
      <c r="U64">
        <v>0.18993578272112346</v>
      </c>
      <c r="V64">
        <v>0</v>
      </c>
      <c r="W64">
        <v>0.13123411418495845</v>
      </c>
      <c r="X64">
        <v>0</v>
      </c>
      <c r="Y64">
        <v>3.2379025058032251E-2</v>
      </c>
      <c r="Z64">
        <v>0</v>
      </c>
      <c r="AA64">
        <v>0</v>
      </c>
      <c r="AB64">
        <v>0.39728418867367021</v>
      </c>
      <c r="AC64">
        <v>0.18336069777645475</v>
      </c>
      <c r="AD64">
        <v>0</v>
      </c>
      <c r="AE64">
        <v>0</v>
      </c>
      <c r="AF64">
        <v>0</v>
      </c>
      <c r="AG64">
        <v>0.41935511354987492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84" x14ac:dyDescent="0.25">
      <c r="A65" t="s">
        <v>128</v>
      </c>
      <c r="B65" t="s">
        <v>291</v>
      </c>
      <c r="C65" s="14" t="s">
        <v>72</v>
      </c>
      <c r="D65" s="12">
        <v>46223</v>
      </c>
      <c r="E65" s="14" t="s">
        <v>134</v>
      </c>
      <c r="F65" s="14" t="s">
        <v>134</v>
      </c>
      <c r="G65" s="14" t="s">
        <v>134</v>
      </c>
      <c r="H65" s="14" t="s">
        <v>73</v>
      </c>
      <c r="I65">
        <v>20</v>
      </c>
      <c r="J65">
        <v>5.8204648795871554</v>
      </c>
      <c r="K65">
        <v>46223</v>
      </c>
      <c r="L65" t="s">
        <v>423</v>
      </c>
      <c r="M65">
        <v>1.9</v>
      </c>
      <c r="N65">
        <v>1.9</v>
      </c>
      <c r="O65">
        <v>2.823529411764707</v>
      </c>
      <c r="P65">
        <v>0.32643440675390978</v>
      </c>
      <c r="Q65">
        <v>0.32643440675390978</v>
      </c>
      <c r="R65">
        <v>0.48510376235875158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0.1586693556048418</v>
      </c>
      <c r="AC65">
        <v>0.51489623764124848</v>
      </c>
      <c r="AD65">
        <v>0</v>
      </c>
      <c r="AE65">
        <v>0</v>
      </c>
      <c r="AF65">
        <v>0</v>
      </c>
      <c r="AG65">
        <v>0.32643440675390978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3.0634025682037662</v>
      </c>
      <c r="AN65">
        <v>3.0634025682037662</v>
      </c>
      <c r="AO65">
        <v>1.4860681114551091</v>
      </c>
      <c r="BF65">
        <v>0</v>
      </c>
      <c r="BG65">
        <v>0</v>
      </c>
      <c r="BH65">
        <v>0</v>
      </c>
      <c r="BJ65">
        <v>0.67291666666666639</v>
      </c>
      <c r="BK65">
        <v>0.67291666666666639</v>
      </c>
      <c r="BL65">
        <v>2.0614146448537833</v>
      </c>
      <c r="BM65">
        <v>1.0614146448537833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0.67356559324609022</v>
      </c>
      <c r="BW65">
        <v>0</v>
      </c>
      <c r="BX65">
        <v>0</v>
      </c>
      <c r="BY65">
        <v>0</v>
      </c>
      <c r="BZ65">
        <v>0</v>
      </c>
      <c r="CA65">
        <v>0.67291666666666639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25">
      <c r="A66" t="s">
        <v>128</v>
      </c>
      <c r="B66" t="s">
        <v>291</v>
      </c>
      <c r="C66" s="14" t="s">
        <v>72</v>
      </c>
      <c r="D66" s="12">
        <v>46231</v>
      </c>
      <c r="E66" s="14" t="s">
        <v>420</v>
      </c>
      <c r="F66" s="14" t="s">
        <v>420</v>
      </c>
      <c r="G66" s="14" t="s">
        <v>420</v>
      </c>
      <c r="H66" s="14" t="s">
        <v>73</v>
      </c>
      <c r="I66">
        <v>20</v>
      </c>
      <c r="J66">
        <v>3.6011567851291222</v>
      </c>
      <c r="K66">
        <v>46231</v>
      </c>
      <c r="L66" t="s">
        <v>444</v>
      </c>
      <c r="M66">
        <v>1.9</v>
      </c>
      <c r="N66">
        <v>1.9</v>
      </c>
      <c r="O66">
        <v>4.7058823529411731</v>
      </c>
      <c r="P66">
        <v>0.52760824184217625</v>
      </c>
      <c r="Q66">
        <v>0.52760824184217625</v>
      </c>
      <c r="R66">
        <v>1.3067696392375874</v>
      </c>
      <c r="S66">
        <v>0.30676963923758738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0.47239175815782375</v>
      </c>
      <c r="AC66">
        <v>0</v>
      </c>
      <c r="AD66">
        <v>0</v>
      </c>
      <c r="AE66">
        <v>0</v>
      </c>
      <c r="AF66">
        <v>0</v>
      </c>
      <c r="AG66">
        <v>0.52760824184217625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1.8953456763837486</v>
      </c>
      <c r="AN66">
        <v>1.8953456763837486</v>
      </c>
      <c r="AO66">
        <v>2.4767801857585123</v>
      </c>
      <c r="BF66">
        <v>0</v>
      </c>
      <c r="BG66">
        <v>0</v>
      </c>
      <c r="BH66">
        <v>0</v>
      </c>
      <c r="BJ66">
        <v>0.40375000000000028</v>
      </c>
      <c r="BK66">
        <v>0.40375000000000028</v>
      </c>
      <c r="BL66">
        <v>0.76524581683993897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0.23475418316006103</v>
      </c>
      <c r="BX66">
        <v>0</v>
      </c>
      <c r="BY66">
        <v>0</v>
      </c>
      <c r="BZ66">
        <v>0</v>
      </c>
      <c r="CA66">
        <v>0.40375000000000028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 x14ac:dyDescent="0.25">
      <c r="A67" t="s">
        <v>128</v>
      </c>
      <c r="B67" t="s">
        <v>291</v>
      </c>
      <c r="C67" s="14" t="s">
        <v>109</v>
      </c>
      <c r="D67" s="12">
        <v>46239</v>
      </c>
      <c r="E67" s="14" t="s">
        <v>420</v>
      </c>
      <c r="F67" s="14" t="s">
        <v>420</v>
      </c>
      <c r="G67" s="14" t="s">
        <v>420</v>
      </c>
      <c r="H67" s="14"/>
      <c r="J67">
        <v>6.7786480661254069</v>
      </c>
      <c r="M67">
        <v>9.4999999999999982</v>
      </c>
      <c r="N67">
        <v>9.4999999999999982</v>
      </c>
      <c r="O67">
        <v>7.5155709342560542</v>
      </c>
      <c r="S67">
        <v>0.10871236579064103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0.43941624304268784</v>
      </c>
      <c r="AC67">
        <v>0</v>
      </c>
      <c r="AD67">
        <v>0</v>
      </c>
      <c r="AE67">
        <v>0</v>
      </c>
      <c r="AF67">
        <v>0</v>
      </c>
      <c r="AG67">
        <v>0.56058375695731222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84" x14ac:dyDescent="0.25">
      <c r="A68" t="s">
        <v>128</v>
      </c>
      <c r="B68" t="s">
        <v>291</v>
      </c>
      <c r="C68" s="14" t="s">
        <v>72</v>
      </c>
      <c r="D68" s="12">
        <v>46249</v>
      </c>
      <c r="E68" s="14" t="s">
        <v>133</v>
      </c>
      <c r="F68" s="14" t="s">
        <v>133</v>
      </c>
      <c r="G68" s="14" t="s">
        <v>133</v>
      </c>
      <c r="H68" s="14" t="s">
        <v>73</v>
      </c>
      <c r="I68">
        <v>20</v>
      </c>
      <c r="J68">
        <v>11.028542654457937</v>
      </c>
      <c r="K68">
        <v>46249</v>
      </c>
      <c r="L68" t="s">
        <v>498</v>
      </c>
      <c r="M68">
        <v>45.599999999999994</v>
      </c>
      <c r="N68">
        <v>45.599999999999994</v>
      </c>
      <c r="O68">
        <v>12.191176470588236</v>
      </c>
      <c r="P68">
        <v>4.13472581362032</v>
      </c>
      <c r="Q68">
        <v>4.13472581362032</v>
      </c>
      <c r="R68">
        <v>1.105420439722409</v>
      </c>
      <c r="S68">
        <v>0</v>
      </c>
      <c r="T68">
        <v>0</v>
      </c>
      <c r="U68">
        <v>2.88472581362032</v>
      </c>
      <c r="V68">
        <v>0</v>
      </c>
      <c r="W68">
        <v>0</v>
      </c>
      <c r="X68">
        <v>0</v>
      </c>
      <c r="Y68">
        <v>0.105420439722409</v>
      </c>
      <c r="Z68">
        <v>0</v>
      </c>
      <c r="AA68">
        <v>0.144579560277591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0.24185400558021794</v>
      </c>
      <c r="AN68">
        <v>0.24185400558021794</v>
      </c>
      <c r="AO68">
        <v>0.26735036119711048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0.73264963880288958</v>
      </c>
      <c r="BA68">
        <v>0</v>
      </c>
      <c r="BB68">
        <v>0</v>
      </c>
      <c r="BC68">
        <v>0</v>
      </c>
      <c r="BD68">
        <v>0.24185400558021794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3.7404101326899872</v>
      </c>
      <c r="BK68">
        <v>3.7404101326899872</v>
      </c>
      <c r="BL68">
        <v>0.90463317310390789</v>
      </c>
      <c r="CC68">
        <v>0</v>
      </c>
      <c r="CD68">
        <v>0</v>
      </c>
      <c r="CE68">
        <v>0</v>
      </c>
    </row>
    <row r="69" spans="1:84" x14ac:dyDescent="0.25">
      <c r="A69" t="s">
        <v>128</v>
      </c>
      <c r="B69" t="s">
        <v>291</v>
      </c>
      <c r="C69" s="14" t="s">
        <v>109</v>
      </c>
      <c r="D69" s="12">
        <v>46239</v>
      </c>
      <c r="E69" s="14" t="s">
        <v>133</v>
      </c>
      <c r="F69" s="14" t="s">
        <v>133</v>
      </c>
      <c r="G69" s="14" t="s">
        <v>133</v>
      </c>
      <c r="H69" s="14"/>
      <c r="J69">
        <v>27.599490673528674</v>
      </c>
      <c r="M69">
        <v>36.1</v>
      </c>
      <c r="N69">
        <v>36.1</v>
      </c>
      <c r="O69">
        <v>30.375</v>
      </c>
      <c r="S69">
        <v>5.0415722660868641E-2</v>
      </c>
      <c r="T69">
        <v>0</v>
      </c>
      <c r="U69">
        <v>0.48536523705423285</v>
      </c>
      <c r="V69">
        <v>0</v>
      </c>
      <c r="W69">
        <v>1.1921765553295568E-2</v>
      </c>
      <c r="X69">
        <v>0</v>
      </c>
      <c r="Y69">
        <v>3.8226299694189607E-2</v>
      </c>
      <c r="Z69">
        <v>0</v>
      </c>
      <c r="AA69">
        <v>0</v>
      </c>
      <c r="AB69">
        <v>0.22751815025261274</v>
      </c>
      <c r="AC69">
        <v>0</v>
      </c>
      <c r="AD69">
        <v>0</v>
      </c>
      <c r="AE69">
        <v>0</v>
      </c>
      <c r="AF69">
        <v>0</v>
      </c>
      <c r="AG69">
        <v>0.77248184974738709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84" x14ac:dyDescent="0.25">
      <c r="A70" t="s">
        <v>128</v>
      </c>
      <c r="B70" t="s">
        <v>291</v>
      </c>
      <c r="C70" s="14" t="s">
        <v>72</v>
      </c>
      <c r="D70" s="12">
        <v>46249</v>
      </c>
      <c r="E70" s="14" t="s">
        <v>133</v>
      </c>
      <c r="F70" s="14" t="s">
        <v>133</v>
      </c>
      <c r="G70" s="14" t="s">
        <v>133</v>
      </c>
      <c r="H70" s="14" t="s">
        <v>74</v>
      </c>
      <c r="I70">
        <v>20</v>
      </c>
      <c r="J70">
        <v>4.220105607573192</v>
      </c>
      <c r="K70">
        <v>46249</v>
      </c>
      <c r="L70" t="s">
        <v>499</v>
      </c>
      <c r="M70">
        <v>7.6</v>
      </c>
      <c r="N70">
        <v>7.6</v>
      </c>
      <c r="O70">
        <v>4.7460937499999991</v>
      </c>
      <c r="P70">
        <v>1.8009027988212942</v>
      </c>
      <c r="Q70">
        <v>1.8009027988212942</v>
      </c>
      <c r="R70">
        <v>1.1246386207688488</v>
      </c>
      <c r="S70">
        <v>0</v>
      </c>
      <c r="T70">
        <v>0</v>
      </c>
      <c r="U70">
        <v>0.55090279882129423</v>
      </c>
      <c r="V70">
        <v>0</v>
      </c>
      <c r="W70">
        <v>0</v>
      </c>
      <c r="X70">
        <v>0</v>
      </c>
      <c r="Y70">
        <v>0.1246386207688488</v>
      </c>
      <c r="Z70">
        <v>0</v>
      </c>
      <c r="AA70">
        <v>0.1253613792311512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0.55527705362805158</v>
      </c>
      <c r="AN70">
        <v>0.55527705362805158</v>
      </c>
      <c r="AO70">
        <v>0.62448601973684204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0.37551398026315796</v>
      </c>
      <c r="BA70">
        <v>0</v>
      </c>
      <c r="BB70">
        <v>0</v>
      </c>
      <c r="BC70">
        <v>0</v>
      </c>
      <c r="BD70">
        <v>0.55527705362805158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1.6013168724279838</v>
      </c>
      <c r="BK70">
        <v>1.6013168724279838</v>
      </c>
      <c r="BL70">
        <v>0.88917451484669741</v>
      </c>
      <c r="CC70">
        <v>0</v>
      </c>
      <c r="CD70">
        <v>0</v>
      </c>
      <c r="CE70">
        <v>0</v>
      </c>
    </row>
    <row r="71" spans="1:84" x14ac:dyDescent="0.25">
      <c r="A71" t="s">
        <v>128</v>
      </c>
      <c r="B71" t="s">
        <v>291</v>
      </c>
      <c r="C71" s="14" t="s">
        <v>72</v>
      </c>
      <c r="D71" s="12">
        <v>46250</v>
      </c>
      <c r="E71" s="14" t="s">
        <v>420</v>
      </c>
      <c r="F71" s="14" t="s">
        <v>420</v>
      </c>
      <c r="G71" s="14" t="s">
        <v>420</v>
      </c>
      <c r="H71" s="14" t="s">
        <v>75</v>
      </c>
      <c r="I71">
        <v>20</v>
      </c>
      <c r="J71">
        <v>3.1774912809962856</v>
      </c>
      <c r="K71">
        <v>46250</v>
      </c>
      <c r="L71" t="s">
        <v>503</v>
      </c>
      <c r="M71">
        <v>14.25</v>
      </c>
      <c r="N71">
        <v>14.25</v>
      </c>
      <c r="O71">
        <v>3.7508650519031144</v>
      </c>
      <c r="P71">
        <v>4.4846700556584969</v>
      </c>
      <c r="Q71">
        <v>4.4846700556584969</v>
      </c>
      <c r="R71">
        <v>1.1804485741112878</v>
      </c>
      <c r="S71">
        <v>0</v>
      </c>
      <c r="T71">
        <v>0</v>
      </c>
      <c r="U71">
        <v>3.2346700556584969</v>
      </c>
      <c r="V71">
        <v>0</v>
      </c>
      <c r="W71">
        <v>0</v>
      </c>
      <c r="X71">
        <v>0</v>
      </c>
      <c r="Y71">
        <v>0.18044857411128779</v>
      </c>
      <c r="Z71">
        <v>0</v>
      </c>
      <c r="AA71">
        <v>6.9551425888712215E-2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0.2229818442804411</v>
      </c>
      <c r="AN71">
        <v>0.2229818442804411</v>
      </c>
      <c r="AO71">
        <v>0.26321860013355186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0.73678139986644808</v>
      </c>
      <c r="BA71">
        <v>0</v>
      </c>
      <c r="BB71">
        <v>0</v>
      </c>
      <c r="BC71">
        <v>0</v>
      </c>
      <c r="BD71">
        <v>0.2229818442804411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3.7991236162361623</v>
      </c>
      <c r="BK71">
        <v>3.7991236162361623</v>
      </c>
      <c r="BL71">
        <v>0.84713559059771815</v>
      </c>
      <c r="CC71">
        <v>0</v>
      </c>
      <c r="CD71">
        <v>0</v>
      </c>
      <c r="CE71">
        <v>0</v>
      </c>
    </row>
    <row r="72" spans="1:84" x14ac:dyDescent="0.25">
      <c r="A72" t="s">
        <v>128</v>
      </c>
      <c r="B72" t="s">
        <v>291</v>
      </c>
      <c r="C72" s="14" t="s">
        <v>109</v>
      </c>
      <c r="D72" s="12">
        <v>46238</v>
      </c>
      <c r="E72" s="14" t="s">
        <v>134</v>
      </c>
      <c r="F72" s="14" t="s">
        <v>134</v>
      </c>
      <c r="G72" s="14" t="s">
        <v>134</v>
      </c>
      <c r="H72" s="14"/>
      <c r="J72">
        <v>10.465131474298435</v>
      </c>
      <c r="M72">
        <v>16.149999999999999</v>
      </c>
      <c r="N72">
        <v>16.149999999999999</v>
      </c>
      <c r="O72">
        <v>11.515570934256051</v>
      </c>
      <c r="S72">
        <v>0.14870397604922134</v>
      </c>
      <c r="T72">
        <v>0</v>
      </c>
      <c r="U72">
        <v>0.81868508578846011</v>
      </c>
      <c r="V72">
        <v>0</v>
      </c>
      <c r="W72">
        <v>2.7752247885382338E-2</v>
      </c>
      <c r="X72">
        <v>0</v>
      </c>
      <c r="Y72">
        <v>3.0423354398523568E-2</v>
      </c>
      <c r="Z72">
        <v>0</v>
      </c>
      <c r="AA72">
        <v>0</v>
      </c>
      <c r="AB72">
        <v>0.22713630868482768</v>
      </c>
      <c r="AC72">
        <v>0.1065043979030087</v>
      </c>
      <c r="AD72">
        <v>0</v>
      </c>
      <c r="AE72">
        <v>0</v>
      </c>
      <c r="AF72">
        <v>0</v>
      </c>
      <c r="AG72">
        <v>0.6663592934121636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84" x14ac:dyDescent="0.25">
      <c r="A73" t="s">
        <v>128</v>
      </c>
      <c r="B73" t="s">
        <v>291</v>
      </c>
      <c r="C73" s="14" t="s">
        <v>72</v>
      </c>
      <c r="D73" s="12">
        <v>46249</v>
      </c>
      <c r="E73" s="14" t="s">
        <v>133</v>
      </c>
      <c r="F73" s="14" t="s">
        <v>133</v>
      </c>
      <c r="G73" s="14" t="s">
        <v>133</v>
      </c>
      <c r="H73" s="14" t="s">
        <v>75</v>
      </c>
      <c r="I73">
        <v>20</v>
      </c>
      <c r="J73">
        <v>10.972274579690296</v>
      </c>
      <c r="K73">
        <v>46249</v>
      </c>
      <c r="L73" t="s">
        <v>500</v>
      </c>
      <c r="M73">
        <v>17.099999999999998</v>
      </c>
      <c r="N73">
        <v>17.099999999999998</v>
      </c>
      <c r="O73">
        <v>12.246323529411764</v>
      </c>
      <c r="P73">
        <v>1.5584735759030433</v>
      </c>
      <c r="Q73">
        <v>1.5584735759030433</v>
      </c>
      <c r="R73">
        <v>1.1161152995642067</v>
      </c>
      <c r="S73">
        <v>0</v>
      </c>
      <c r="T73">
        <v>0</v>
      </c>
      <c r="U73">
        <v>0.30847357590304325</v>
      </c>
      <c r="V73">
        <v>0</v>
      </c>
      <c r="W73">
        <v>0</v>
      </c>
      <c r="X73">
        <v>0</v>
      </c>
      <c r="Y73">
        <v>0.11611529956420674</v>
      </c>
      <c r="Z73">
        <v>0</v>
      </c>
      <c r="AA73">
        <v>0.13388470043579326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0.64165348419241508</v>
      </c>
      <c r="AN73">
        <v>0.64165348419241508</v>
      </c>
      <c r="AO73">
        <v>0.7161592707258343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0.2838407292741657</v>
      </c>
      <c r="BA73">
        <v>0</v>
      </c>
      <c r="BB73">
        <v>0</v>
      </c>
      <c r="BC73">
        <v>0</v>
      </c>
      <c r="BD73">
        <v>0.64165348419241508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1.3963374362053436</v>
      </c>
      <c r="BK73">
        <v>1.3963374362053436</v>
      </c>
      <c r="BL73">
        <v>0.89596478104946287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0.39633743620534356</v>
      </c>
      <c r="BV73">
        <v>0</v>
      </c>
      <c r="BW73">
        <v>0</v>
      </c>
      <c r="BX73">
        <v>0</v>
      </c>
      <c r="BY73">
        <v>0.10403521895053713</v>
      </c>
      <c r="BZ73">
        <v>0</v>
      </c>
      <c r="CA73">
        <v>0.89596478104946287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25">
      <c r="A74" t="s">
        <v>128</v>
      </c>
      <c r="B74" t="s">
        <v>291</v>
      </c>
      <c r="C74" s="14" t="s">
        <v>109</v>
      </c>
      <c r="D74" s="12">
        <v>46238</v>
      </c>
      <c r="E74" s="14" t="s">
        <v>420</v>
      </c>
      <c r="F74" s="14" t="s">
        <v>420</v>
      </c>
      <c r="G74" s="14" t="s">
        <v>420</v>
      </c>
      <c r="H74" s="14"/>
      <c r="J74">
        <v>6.8316062541420122</v>
      </c>
      <c r="M74">
        <v>17.100000000000001</v>
      </c>
      <c r="N74">
        <v>17.100000000000001</v>
      </c>
      <c r="O74">
        <v>6.6332179930795832</v>
      </c>
      <c r="S74">
        <v>2.3940064918796793E-2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0.25172248397851221</v>
      </c>
      <c r="AC74">
        <v>5.2979832973658714E-2</v>
      </c>
      <c r="AD74">
        <v>0</v>
      </c>
      <c r="AE74">
        <v>0</v>
      </c>
      <c r="AF74">
        <v>0</v>
      </c>
      <c r="AG74">
        <v>0.69529768304782913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84" x14ac:dyDescent="0.25">
      <c r="A75" t="s">
        <v>128</v>
      </c>
      <c r="B75" t="s">
        <v>291</v>
      </c>
      <c r="C75" s="14" t="s">
        <v>72</v>
      </c>
      <c r="D75" s="12">
        <v>46223</v>
      </c>
      <c r="E75" s="14" t="s">
        <v>420</v>
      </c>
      <c r="F75" s="14" t="s">
        <v>420</v>
      </c>
      <c r="G75" s="14" t="s">
        <v>420</v>
      </c>
      <c r="H75" s="14" t="s">
        <v>73</v>
      </c>
      <c r="I75">
        <v>20</v>
      </c>
      <c r="J75">
        <v>3.6011567851291222</v>
      </c>
      <c r="K75">
        <v>46223</v>
      </c>
      <c r="L75" t="s">
        <v>423</v>
      </c>
      <c r="M75">
        <v>2.8499999999999996</v>
      </c>
      <c r="N75">
        <v>2.8499999999999996</v>
      </c>
      <c r="O75">
        <v>2.823529411764707</v>
      </c>
      <c r="P75">
        <v>0.79141236276326432</v>
      </c>
      <c r="Q75">
        <v>0.79141236276326432</v>
      </c>
      <c r="R75">
        <v>0.78406178354255329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0.20858763723673568</v>
      </c>
      <c r="AD75">
        <v>0</v>
      </c>
      <c r="AE75">
        <v>7.3505792207110288E-3</v>
      </c>
      <c r="AF75">
        <v>0</v>
      </c>
      <c r="AG75">
        <v>0.78406178354255329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1.2635637842558325</v>
      </c>
      <c r="AN75">
        <v>1.2635637842558325</v>
      </c>
      <c r="AO75">
        <v>0.99071207430340602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0.26356378425583249</v>
      </c>
      <c r="AY75">
        <v>0</v>
      </c>
      <c r="AZ75">
        <v>0</v>
      </c>
      <c r="BA75">
        <v>0</v>
      </c>
      <c r="BB75">
        <v>9.2879256965939794E-3</v>
      </c>
      <c r="BC75">
        <v>0</v>
      </c>
      <c r="BD75">
        <v>0.99071207430340602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1.0093749999999995</v>
      </c>
      <c r="BK75">
        <v>1.0093749999999995</v>
      </c>
      <c r="BL75">
        <v>1.2754096947332303</v>
      </c>
      <c r="BM75">
        <v>0.26603469473323083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9.3749999999994671E-3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x14ac:dyDescent="0.25">
      <c r="A76" t="s">
        <v>128</v>
      </c>
      <c r="B76" t="s">
        <v>291</v>
      </c>
      <c r="C76" s="14" t="s">
        <v>72</v>
      </c>
      <c r="D76" s="12">
        <v>46228</v>
      </c>
      <c r="E76" s="14" t="s">
        <v>420</v>
      </c>
      <c r="F76" s="14" t="s">
        <v>420</v>
      </c>
      <c r="G76" s="14" t="s">
        <v>420</v>
      </c>
      <c r="H76" s="14" t="s">
        <v>75</v>
      </c>
      <c r="I76">
        <v>20</v>
      </c>
      <c r="J76">
        <v>3.1774912809962856</v>
      </c>
      <c r="K76">
        <v>46228</v>
      </c>
      <c r="L76" t="s">
        <v>437</v>
      </c>
      <c r="M76">
        <v>3.8</v>
      </c>
      <c r="N76">
        <v>3.8</v>
      </c>
      <c r="O76">
        <v>3.6989619377162626</v>
      </c>
      <c r="P76">
        <v>1.1959120148422657</v>
      </c>
      <c r="Q76">
        <v>1.1959120148422657</v>
      </c>
      <c r="R76">
        <v>1.1641139536208176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0.1641139536208176</v>
      </c>
      <c r="Z76">
        <v>0</v>
      </c>
      <c r="AA76">
        <v>3.1798061221448126E-2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0.83618191605165415</v>
      </c>
      <c r="AN76">
        <v>0.83618191605165415</v>
      </c>
      <c r="AO76">
        <v>0.9734110362411218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2.6588963758878204E-2</v>
      </c>
      <c r="BA76">
        <v>0</v>
      </c>
      <c r="BB76">
        <v>0</v>
      </c>
      <c r="BC76">
        <v>0</v>
      </c>
      <c r="BD76">
        <v>0.83618191605165415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1.0273152478952292</v>
      </c>
      <c r="BK76">
        <v>1.0273152478952292</v>
      </c>
      <c r="BL76">
        <v>0.85902243237411291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2.7315247895229211E-2</v>
      </c>
      <c r="BV76">
        <v>0</v>
      </c>
      <c r="BW76">
        <v>0</v>
      </c>
      <c r="BX76">
        <v>0</v>
      </c>
      <c r="BY76">
        <v>0.14097756762588709</v>
      </c>
      <c r="BZ76">
        <v>0</v>
      </c>
      <c r="CA76">
        <v>0.85902243237411291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25">
      <c r="A77" t="s">
        <v>128</v>
      </c>
      <c r="B77" t="s">
        <v>291</v>
      </c>
      <c r="C77" s="14" t="s">
        <v>109</v>
      </c>
      <c r="D77" s="12">
        <v>46231</v>
      </c>
      <c r="E77" s="14" t="s">
        <v>134</v>
      </c>
      <c r="F77" s="14" t="s">
        <v>134</v>
      </c>
      <c r="G77" s="14" t="s">
        <v>134</v>
      </c>
      <c r="H77" s="14"/>
      <c r="J77">
        <v>11.659072988059902</v>
      </c>
      <c r="M77">
        <v>15.2</v>
      </c>
      <c r="N77">
        <v>15.2</v>
      </c>
      <c r="O77">
        <v>15.335640138408294</v>
      </c>
      <c r="S77">
        <v>0.21894935001331969</v>
      </c>
      <c r="T77">
        <v>0</v>
      </c>
      <c r="U77">
        <v>0.49116002568126926</v>
      </c>
      <c r="V77">
        <v>0</v>
      </c>
      <c r="W77">
        <v>0.10563510449564691</v>
      </c>
      <c r="X77">
        <v>0</v>
      </c>
      <c r="Y77">
        <v>2.7307866070980368E-2</v>
      </c>
      <c r="Z77">
        <v>0</v>
      </c>
      <c r="AA77">
        <v>0</v>
      </c>
      <c r="AB77">
        <v>0.28384454557743599</v>
      </c>
      <c r="AC77">
        <v>3.6552743058339665E-2</v>
      </c>
      <c r="AD77">
        <v>0</v>
      </c>
      <c r="AE77">
        <v>0</v>
      </c>
      <c r="AF77">
        <v>0</v>
      </c>
      <c r="AG77">
        <v>0.67960271136422434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84" x14ac:dyDescent="0.25">
      <c r="A78" t="s">
        <v>128</v>
      </c>
      <c r="B78" t="s">
        <v>291</v>
      </c>
      <c r="C78" s="14" t="s">
        <v>109</v>
      </c>
      <c r="D78" s="12">
        <v>46234</v>
      </c>
      <c r="E78" s="14" t="s">
        <v>134</v>
      </c>
      <c r="F78" s="14" t="s">
        <v>134</v>
      </c>
      <c r="G78" s="14" t="s">
        <v>134</v>
      </c>
      <c r="H78" s="14"/>
      <c r="J78">
        <v>8.0728589559160824</v>
      </c>
      <c r="M78">
        <v>8.5499999999999989</v>
      </c>
      <c r="N78">
        <v>8.5499999999999989</v>
      </c>
      <c r="O78">
        <v>11.404844290657433</v>
      </c>
      <c r="S78">
        <v>0.24360750104504009</v>
      </c>
      <c r="T78">
        <v>0</v>
      </c>
      <c r="U78">
        <v>0.12095722142150164</v>
      </c>
      <c r="V78">
        <v>0</v>
      </c>
      <c r="W78">
        <v>0.15760627682671047</v>
      </c>
      <c r="X78">
        <v>0</v>
      </c>
      <c r="Y78">
        <v>0.10903686519012576</v>
      </c>
      <c r="Z78">
        <v>0</v>
      </c>
      <c r="AA78">
        <v>0</v>
      </c>
      <c r="AB78">
        <v>0.23098457343744569</v>
      </c>
      <c r="AC78">
        <v>9.7511444602382341E-2</v>
      </c>
      <c r="AD78">
        <v>0</v>
      </c>
      <c r="AE78">
        <v>0</v>
      </c>
      <c r="AF78">
        <v>0</v>
      </c>
      <c r="AG78">
        <v>0.6715039819601718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84" x14ac:dyDescent="0.25">
      <c r="A79" t="s">
        <v>128</v>
      </c>
      <c r="B79" t="s">
        <v>291</v>
      </c>
      <c r="C79" s="14" t="s">
        <v>72</v>
      </c>
      <c r="D79" s="12">
        <v>46225</v>
      </c>
      <c r="E79" s="14" t="s">
        <v>420</v>
      </c>
      <c r="F79" s="14" t="s">
        <v>420</v>
      </c>
      <c r="G79" s="14" t="s">
        <v>420</v>
      </c>
      <c r="H79" s="14" t="s">
        <v>74</v>
      </c>
      <c r="I79">
        <v>20</v>
      </c>
      <c r="J79">
        <v>0</v>
      </c>
      <c r="K79">
        <v>46225</v>
      </c>
      <c r="L79" t="s">
        <v>430</v>
      </c>
      <c r="M79">
        <v>2.8499999999999996</v>
      </c>
      <c r="N79">
        <v>2.8499999999999996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F79">
        <v>0</v>
      </c>
    </row>
    <row r="80" spans="1:84" x14ac:dyDescent="0.25">
      <c r="A80" t="s">
        <v>128</v>
      </c>
      <c r="B80" t="s">
        <v>291</v>
      </c>
      <c r="C80" s="14" t="s">
        <v>109</v>
      </c>
      <c r="D80" s="12">
        <v>46235</v>
      </c>
      <c r="E80" s="14" t="s">
        <v>133</v>
      </c>
      <c r="F80" s="14" t="s">
        <v>133</v>
      </c>
      <c r="G80" s="14" t="s">
        <v>133</v>
      </c>
      <c r="H80" s="14"/>
      <c r="J80">
        <v>26.220922841721425</v>
      </c>
      <c r="M80">
        <v>57.949999999999996</v>
      </c>
      <c r="N80">
        <v>57.949999999999996</v>
      </c>
      <c r="O80">
        <v>28.207589285714285</v>
      </c>
      <c r="S80">
        <v>4.5106082229977564E-2</v>
      </c>
      <c r="T80">
        <v>0</v>
      </c>
      <c r="U80">
        <v>1.2684345614640131</v>
      </c>
      <c r="V80">
        <v>0</v>
      </c>
      <c r="W80">
        <v>0</v>
      </c>
      <c r="X80">
        <v>0</v>
      </c>
      <c r="Y80">
        <v>3.0660375571109993E-2</v>
      </c>
      <c r="Z80">
        <v>0</v>
      </c>
      <c r="AA80">
        <v>0.11418940983661534</v>
      </c>
      <c r="AB80">
        <v>0.20321720507790161</v>
      </c>
      <c r="AC80">
        <v>0</v>
      </c>
      <c r="AD80">
        <v>0</v>
      </c>
      <c r="AE80">
        <v>0</v>
      </c>
      <c r="AF80">
        <v>0</v>
      </c>
      <c r="AG80">
        <v>0.79678279492209836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84" x14ac:dyDescent="0.25">
      <c r="A81" t="s">
        <v>128</v>
      </c>
      <c r="B81" t="s">
        <v>291</v>
      </c>
      <c r="C81" s="14" t="s">
        <v>72</v>
      </c>
      <c r="D81" s="12">
        <v>46225</v>
      </c>
      <c r="E81" s="14" t="s">
        <v>420</v>
      </c>
      <c r="F81" s="14" t="s">
        <v>420</v>
      </c>
      <c r="G81" s="14" t="s">
        <v>420</v>
      </c>
      <c r="H81" s="14" t="s">
        <v>73</v>
      </c>
      <c r="I81">
        <v>20</v>
      </c>
      <c r="J81">
        <v>3.6011567851291222</v>
      </c>
      <c r="K81">
        <v>46225</v>
      </c>
      <c r="L81" t="s">
        <v>429</v>
      </c>
      <c r="M81">
        <v>0.95</v>
      </c>
      <c r="N81">
        <v>0.95</v>
      </c>
      <c r="O81">
        <v>3.7647058823529398</v>
      </c>
      <c r="P81">
        <v>0.26380412092108813</v>
      </c>
      <c r="Q81">
        <v>0.26380412092108813</v>
      </c>
      <c r="R81">
        <v>1.0454157113900704</v>
      </c>
      <c r="S81">
        <v>4.541571139007039E-2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0.73619587907891182</v>
      </c>
      <c r="AC81">
        <v>0</v>
      </c>
      <c r="AD81">
        <v>0</v>
      </c>
      <c r="AE81">
        <v>0</v>
      </c>
      <c r="AF81">
        <v>0</v>
      </c>
      <c r="AG81">
        <v>0.26380412092108813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3.7906913527674972</v>
      </c>
      <c r="AN81">
        <v>3.7906913527674972</v>
      </c>
      <c r="AO81">
        <v>3.962848297213621</v>
      </c>
      <c r="BF81">
        <v>0</v>
      </c>
      <c r="BG81">
        <v>0</v>
      </c>
      <c r="BH81">
        <v>0</v>
      </c>
      <c r="BJ81">
        <v>0.25234375000000009</v>
      </c>
      <c r="BK81">
        <v>0.25234375000000009</v>
      </c>
      <c r="BL81">
        <v>0.95655727104992339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4.3442728950076615E-2</v>
      </c>
      <c r="BX81">
        <v>0</v>
      </c>
      <c r="BY81">
        <v>0</v>
      </c>
      <c r="BZ81">
        <v>0</v>
      </c>
      <c r="CA81">
        <v>0.25234375000000009</v>
      </c>
      <c r="CB81">
        <v>0</v>
      </c>
      <c r="CC81">
        <v>0</v>
      </c>
      <c r="CD81">
        <v>0</v>
      </c>
      <c r="CE81">
        <v>0</v>
      </c>
      <c r="CF81">
        <v>0</v>
      </c>
    </row>
    <row r="82" spans="1:84" x14ac:dyDescent="0.25">
      <c r="A82" t="s">
        <v>128</v>
      </c>
      <c r="B82" t="s">
        <v>291</v>
      </c>
      <c r="C82" s="14" t="s">
        <v>72</v>
      </c>
      <c r="D82" s="12">
        <v>46249</v>
      </c>
      <c r="E82" s="14" t="s">
        <v>420</v>
      </c>
      <c r="F82" s="14" t="s">
        <v>420</v>
      </c>
      <c r="G82" s="14" t="s">
        <v>420</v>
      </c>
      <c r="H82" s="14" t="s">
        <v>74</v>
      </c>
      <c r="I82">
        <v>20</v>
      </c>
      <c r="J82">
        <v>0</v>
      </c>
      <c r="K82">
        <v>46249</v>
      </c>
      <c r="L82" t="s">
        <v>499</v>
      </c>
      <c r="M82">
        <v>0.95</v>
      </c>
      <c r="N82">
        <v>0.95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F82">
        <v>0</v>
      </c>
    </row>
    <row r="83" spans="1:84" x14ac:dyDescent="0.25">
      <c r="A83" t="s">
        <v>128</v>
      </c>
      <c r="B83" t="s">
        <v>291</v>
      </c>
      <c r="C83" s="14" t="s">
        <v>109</v>
      </c>
      <c r="D83" s="12">
        <v>46235</v>
      </c>
      <c r="E83" s="14" t="s">
        <v>420</v>
      </c>
      <c r="F83" s="14" t="s">
        <v>420</v>
      </c>
      <c r="G83" s="14" t="s">
        <v>420</v>
      </c>
      <c r="H83" s="14"/>
      <c r="J83">
        <v>6.8316062541420131</v>
      </c>
      <c r="M83">
        <v>15.200000000000001</v>
      </c>
      <c r="N83">
        <v>15.200000000000001</v>
      </c>
      <c r="O83">
        <v>7.5155709342560542</v>
      </c>
      <c r="S83">
        <v>2.3940064918796671E-2</v>
      </c>
      <c r="T83">
        <v>0</v>
      </c>
      <c r="U83">
        <v>0</v>
      </c>
      <c r="V83">
        <v>0</v>
      </c>
      <c r="W83">
        <v>0</v>
      </c>
      <c r="X83">
        <v>0</v>
      </c>
      <c r="Y83">
        <v>7.6177631369591145E-2</v>
      </c>
      <c r="Z83">
        <v>0</v>
      </c>
      <c r="AA83">
        <v>7.1922980144084542E-3</v>
      </c>
      <c r="AB83">
        <v>0.24901270972660469</v>
      </c>
      <c r="AC83">
        <v>0</v>
      </c>
      <c r="AD83">
        <v>0</v>
      </c>
      <c r="AE83">
        <v>0</v>
      </c>
      <c r="AF83">
        <v>0</v>
      </c>
      <c r="AG83">
        <v>0.75098729027339528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84" x14ac:dyDescent="0.25">
      <c r="A84" t="s">
        <v>128</v>
      </c>
      <c r="B84" t="s">
        <v>291</v>
      </c>
      <c r="C84" s="14" t="s">
        <v>72</v>
      </c>
      <c r="D84" s="12">
        <v>46238</v>
      </c>
      <c r="E84" s="14" t="s">
        <v>134</v>
      </c>
      <c r="F84" s="14" t="s">
        <v>134</v>
      </c>
      <c r="G84" s="14" t="s">
        <v>134</v>
      </c>
      <c r="H84" s="14" t="s">
        <v>75</v>
      </c>
      <c r="I84">
        <v>20</v>
      </c>
      <c r="J84">
        <v>3.3711289800323794</v>
      </c>
      <c r="K84">
        <v>46238</v>
      </c>
      <c r="L84" t="s">
        <v>467</v>
      </c>
      <c r="M84">
        <v>2.8499999999999996</v>
      </c>
      <c r="N84">
        <v>2.8499999999999996</v>
      </c>
      <c r="O84">
        <v>4.9273356401384065</v>
      </c>
      <c r="P84">
        <v>0.84541410811657103</v>
      </c>
      <c r="Q84">
        <v>0.84541410811657103</v>
      </c>
      <c r="R84">
        <v>1.4616277423152999</v>
      </c>
      <c r="S84">
        <v>0.4616277423152999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0.15458589188342897</v>
      </c>
      <c r="AC84">
        <v>0</v>
      </c>
      <c r="AD84">
        <v>0</v>
      </c>
      <c r="AE84">
        <v>0</v>
      </c>
      <c r="AF84">
        <v>0</v>
      </c>
      <c r="AG84">
        <v>0.84541410811657103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1.1828522736955718</v>
      </c>
      <c r="AN84">
        <v>1.1828522736955718</v>
      </c>
      <c r="AO84">
        <v>1.7288896982941779</v>
      </c>
      <c r="AP84">
        <v>0.54603742459860616</v>
      </c>
      <c r="AQ84">
        <v>0</v>
      </c>
      <c r="AR84">
        <v>0</v>
      </c>
      <c r="AS84">
        <v>0</v>
      </c>
      <c r="AT84">
        <v>0</v>
      </c>
      <c r="AU84">
        <v>0.31714772630442822</v>
      </c>
      <c r="AV84">
        <v>0.18285227369557178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0.57840589887640459</v>
      </c>
      <c r="BK84">
        <v>0.57840589887640459</v>
      </c>
      <c r="BL84">
        <v>0.6841687326048862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0.3158312673951138</v>
      </c>
      <c r="BX84">
        <v>0</v>
      </c>
      <c r="BY84">
        <v>0</v>
      </c>
      <c r="BZ84">
        <v>0</v>
      </c>
      <c r="CA84">
        <v>0.57840589887640459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x14ac:dyDescent="0.25">
      <c r="A85" t="s">
        <v>128</v>
      </c>
      <c r="B85" t="s">
        <v>291</v>
      </c>
      <c r="C85" s="14" t="s">
        <v>109</v>
      </c>
      <c r="D85" s="12">
        <v>46235</v>
      </c>
      <c r="E85" s="14" t="s">
        <v>134</v>
      </c>
      <c r="F85" s="14" t="s">
        <v>134</v>
      </c>
      <c r="G85" s="14" t="s">
        <v>134</v>
      </c>
      <c r="H85" s="14"/>
      <c r="J85">
        <v>8.8936937466270898</v>
      </c>
      <c r="M85">
        <v>14.25</v>
      </c>
      <c r="N85">
        <v>14.25</v>
      </c>
      <c r="O85">
        <v>14.695934256055359</v>
      </c>
      <c r="S85">
        <v>0.47150546245434216</v>
      </c>
      <c r="T85">
        <v>0</v>
      </c>
      <c r="U85">
        <v>0.74408308261494327</v>
      </c>
      <c r="V85">
        <v>0</v>
      </c>
      <c r="W85">
        <v>0.1450950481983079</v>
      </c>
      <c r="X85">
        <v>0</v>
      </c>
      <c r="Y85">
        <v>3.5798894445906816E-2</v>
      </c>
      <c r="Z85">
        <v>0</v>
      </c>
      <c r="AA85">
        <v>0</v>
      </c>
      <c r="AB85">
        <v>0.32271812069498024</v>
      </c>
      <c r="AC85">
        <v>0</v>
      </c>
      <c r="AD85">
        <v>0</v>
      </c>
      <c r="AE85">
        <v>0</v>
      </c>
      <c r="AF85">
        <v>0</v>
      </c>
      <c r="AG85">
        <v>0.67728187930501993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84" x14ac:dyDescent="0.25">
      <c r="A86" t="s">
        <v>128</v>
      </c>
      <c r="B86" t="s">
        <v>291</v>
      </c>
      <c r="C86" s="14" t="s">
        <v>72</v>
      </c>
      <c r="D86" s="12">
        <v>46224</v>
      </c>
      <c r="E86" s="14" t="s">
        <v>420</v>
      </c>
      <c r="F86" s="14" t="s">
        <v>420</v>
      </c>
      <c r="G86" s="14" t="s">
        <v>420</v>
      </c>
      <c r="H86" s="14" t="s">
        <v>75</v>
      </c>
      <c r="I86">
        <v>20</v>
      </c>
      <c r="J86">
        <v>3.23044946901289</v>
      </c>
      <c r="K86">
        <v>46224</v>
      </c>
      <c r="L86" t="s">
        <v>428</v>
      </c>
      <c r="M86">
        <v>0.95</v>
      </c>
      <c r="N86">
        <v>0.95</v>
      </c>
      <c r="O86">
        <v>3.5239742956005928</v>
      </c>
      <c r="P86">
        <v>0.2940767249612129</v>
      </c>
      <c r="Q86">
        <v>0.2940767249612129</v>
      </c>
      <c r="R86">
        <v>1.0908619154712837</v>
      </c>
      <c r="S86">
        <v>9.086191547128375E-2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0.70592327503878716</v>
      </c>
      <c r="AC86">
        <v>0</v>
      </c>
      <c r="AD86">
        <v>0</v>
      </c>
      <c r="AE86">
        <v>0</v>
      </c>
      <c r="AF86">
        <v>0</v>
      </c>
      <c r="AG86">
        <v>0.2940767249612129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3.4004731252767266</v>
      </c>
      <c r="AN86">
        <v>3.4004731252767266</v>
      </c>
      <c r="AO86">
        <v>3.7094466269479924</v>
      </c>
      <c r="BF86">
        <v>0</v>
      </c>
      <c r="BG86">
        <v>0</v>
      </c>
      <c r="BH86">
        <v>0</v>
      </c>
      <c r="BJ86">
        <v>0.26958198905877406</v>
      </c>
      <c r="BK86">
        <v>0.26958198905877406</v>
      </c>
      <c r="BL86">
        <v>0.91670630885300564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8.3293691146994364E-2</v>
      </c>
      <c r="BX86">
        <v>0</v>
      </c>
      <c r="BY86">
        <v>0</v>
      </c>
      <c r="BZ86">
        <v>0</v>
      </c>
      <c r="CA86">
        <v>0.26958198905877406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25">
      <c r="A87" t="s">
        <v>128</v>
      </c>
      <c r="B87" t="s">
        <v>291</v>
      </c>
      <c r="C87" s="14" t="s">
        <v>72</v>
      </c>
      <c r="D87" s="12">
        <v>46224</v>
      </c>
      <c r="E87" s="14" t="s">
        <v>420</v>
      </c>
      <c r="F87" s="14" t="s">
        <v>420</v>
      </c>
      <c r="G87" s="14" t="s">
        <v>420</v>
      </c>
      <c r="H87" s="14" t="s">
        <v>74</v>
      </c>
      <c r="I87">
        <v>20</v>
      </c>
      <c r="J87">
        <v>0</v>
      </c>
      <c r="K87">
        <v>46224</v>
      </c>
      <c r="L87" t="s">
        <v>427</v>
      </c>
      <c r="M87">
        <v>11.4</v>
      </c>
      <c r="N87">
        <v>11.4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F87">
        <v>0</v>
      </c>
    </row>
    <row r="88" spans="1:84" x14ac:dyDescent="0.25">
      <c r="A88" t="s">
        <v>128</v>
      </c>
      <c r="B88" t="s">
        <v>291</v>
      </c>
      <c r="C88" s="14" t="s">
        <v>72</v>
      </c>
      <c r="D88" s="12">
        <v>46249</v>
      </c>
      <c r="E88" s="14" t="s">
        <v>420</v>
      </c>
      <c r="F88" s="14" t="s">
        <v>420</v>
      </c>
      <c r="G88" s="14" t="s">
        <v>420</v>
      </c>
      <c r="H88" s="14" t="s">
        <v>75</v>
      </c>
      <c r="I88">
        <v>20</v>
      </c>
      <c r="J88">
        <v>3.2304494690128904</v>
      </c>
      <c r="K88">
        <v>46249</v>
      </c>
      <c r="L88" t="s">
        <v>500</v>
      </c>
      <c r="M88">
        <v>3.8</v>
      </c>
      <c r="N88">
        <v>3.8</v>
      </c>
      <c r="O88">
        <v>3.7543252595155714</v>
      </c>
      <c r="P88">
        <v>1.1763068998448516</v>
      </c>
      <c r="Q88">
        <v>1.1763068998448516</v>
      </c>
      <c r="R88">
        <v>1.1621680807973631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0.16216808079736311</v>
      </c>
      <c r="Z88">
        <v>0</v>
      </c>
      <c r="AA88">
        <v>1.4138819047488482E-2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0.85011828131918177</v>
      </c>
      <c r="AN88">
        <v>0.85011828131918177</v>
      </c>
      <c r="AO88">
        <v>0.98798033145146624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1.2019668548533757E-2</v>
      </c>
      <c r="BA88">
        <v>0</v>
      </c>
      <c r="BB88">
        <v>0</v>
      </c>
      <c r="BC88">
        <v>0</v>
      </c>
      <c r="BD88">
        <v>0.85011828131918177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1.0121658986175113</v>
      </c>
      <c r="BK88">
        <v>1.0121658986175113</v>
      </c>
      <c r="BL88">
        <v>0.86046073414260393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1.2165898617511273E-2</v>
      </c>
      <c r="BV88">
        <v>0</v>
      </c>
      <c r="BW88">
        <v>0</v>
      </c>
      <c r="BX88">
        <v>0</v>
      </c>
      <c r="BY88">
        <v>0.13953926585739607</v>
      </c>
      <c r="BZ88">
        <v>0</v>
      </c>
      <c r="CA88">
        <v>0.86046073414260393</v>
      </c>
      <c r="CB88">
        <v>0</v>
      </c>
      <c r="CC88">
        <v>0</v>
      </c>
      <c r="CD88">
        <v>0</v>
      </c>
      <c r="CE88">
        <v>0</v>
      </c>
      <c r="CF88">
        <v>0</v>
      </c>
    </row>
    <row r="89" spans="1:84" x14ac:dyDescent="0.25">
      <c r="A89" t="s">
        <v>128</v>
      </c>
      <c r="B89" t="s">
        <v>291</v>
      </c>
      <c r="C89" s="14" t="s">
        <v>109</v>
      </c>
      <c r="D89" s="12">
        <v>46236</v>
      </c>
      <c r="E89" s="14" t="s">
        <v>133</v>
      </c>
      <c r="F89" s="14" t="s">
        <v>133</v>
      </c>
      <c r="G89" s="14" t="s">
        <v>133</v>
      </c>
      <c r="H89" s="14"/>
      <c r="J89">
        <v>26.164654766953785</v>
      </c>
      <c r="M89">
        <v>44.65</v>
      </c>
      <c r="N89">
        <v>44.65</v>
      </c>
      <c r="O89">
        <v>28.125</v>
      </c>
      <c r="S89">
        <v>1.0614526458819336E-2</v>
      </c>
      <c r="T89">
        <v>0</v>
      </c>
      <c r="U89">
        <v>0.9443856601971683</v>
      </c>
      <c r="V89">
        <v>0</v>
      </c>
      <c r="W89">
        <v>0</v>
      </c>
      <c r="X89">
        <v>0</v>
      </c>
      <c r="Y89">
        <v>6.4308886462422402E-2</v>
      </c>
      <c r="Z89">
        <v>0</v>
      </c>
      <c r="AA89">
        <v>8.0852403860158253E-2</v>
      </c>
      <c r="AB89">
        <v>0.38304631453989324</v>
      </c>
      <c r="AC89">
        <v>0</v>
      </c>
      <c r="AD89">
        <v>0</v>
      </c>
      <c r="AE89">
        <v>0</v>
      </c>
      <c r="AF89">
        <v>0</v>
      </c>
      <c r="AG89">
        <v>0.61695368546010676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84" x14ac:dyDescent="0.25">
      <c r="A90" t="s">
        <v>128</v>
      </c>
      <c r="B90" t="s">
        <v>291</v>
      </c>
      <c r="C90" s="14" t="s">
        <v>72</v>
      </c>
      <c r="D90" s="12">
        <v>46238</v>
      </c>
      <c r="E90" s="14" t="s">
        <v>134</v>
      </c>
      <c r="F90" s="14" t="s">
        <v>134</v>
      </c>
      <c r="G90" s="14" t="s">
        <v>134</v>
      </c>
      <c r="H90" s="14" t="s">
        <v>74</v>
      </c>
      <c r="I90">
        <v>20</v>
      </c>
      <c r="J90">
        <v>1.2735376146788988</v>
      </c>
      <c r="K90">
        <v>46238</v>
      </c>
      <c r="L90" t="s">
        <v>466</v>
      </c>
      <c r="M90">
        <v>10.45</v>
      </c>
      <c r="N90">
        <v>10.45</v>
      </c>
      <c r="O90">
        <v>1.8823529411764703</v>
      </c>
      <c r="P90">
        <v>8.2054898728961305</v>
      </c>
      <c r="Q90">
        <v>8.2054898728961305</v>
      </c>
      <c r="R90">
        <v>1.4780505259368206</v>
      </c>
      <c r="S90">
        <v>0</v>
      </c>
      <c r="T90">
        <v>0</v>
      </c>
      <c r="U90">
        <v>6.7274393469593097</v>
      </c>
      <c r="V90">
        <v>0</v>
      </c>
      <c r="W90">
        <v>0.22805052593682063</v>
      </c>
      <c r="X90">
        <v>0</v>
      </c>
      <c r="Y90">
        <v>0.25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0.12186962819893769</v>
      </c>
      <c r="AN90">
        <v>0.12186962819893769</v>
      </c>
      <c r="AO90">
        <v>0.18012946805516464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0.81987053194483539</v>
      </c>
      <c r="BA90">
        <v>0</v>
      </c>
      <c r="BB90">
        <v>0</v>
      </c>
      <c r="BC90">
        <v>0</v>
      </c>
      <c r="BD90">
        <v>0.12186962819893769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5.5515625000000002</v>
      </c>
      <c r="BK90">
        <v>5.5515625000000002</v>
      </c>
      <c r="BL90">
        <v>0.67656685779816506</v>
      </c>
      <c r="CC90">
        <v>0</v>
      </c>
      <c r="CD90">
        <v>0</v>
      </c>
      <c r="CE90">
        <v>0</v>
      </c>
    </row>
    <row r="91" spans="1:84" x14ac:dyDescent="0.25">
      <c r="A91" t="s">
        <v>128</v>
      </c>
      <c r="B91" t="s">
        <v>291</v>
      </c>
      <c r="C91" s="14" t="s">
        <v>109</v>
      </c>
      <c r="D91" s="12">
        <v>46236</v>
      </c>
      <c r="E91" s="14" t="s">
        <v>420</v>
      </c>
      <c r="F91" s="14" t="s">
        <v>420</v>
      </c>
      <c r="G91" s="14" t="s">
        <v>420</v>
      </c>
      <c r="H91" s="14"/>
      <c r="J91">
        <v>6.7786480661254078</v>
      </c>
      <c r="M91">
        <v>5.6999999999999993</v>
      </c>
      <c r="N91">
        <v>5.6999999999999993</v>
      </c>
      <c r="O91">
        <v>7.5778546712802752</v>
      </c>
      <c r="S91">
        <v>0.11790058981653022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0.11081218228201581</v>
      </c>
      <c r="AC91">
        <v>0</v>
      </c>
      <c r="AD91">
        <v>0</v>
      </c>
      <c r="AE91">
        <v>0</v>
      </c>
      <c r="AF91">
        <v>0</v>
      </c>
      <c r="AG91">
        <v>0.42043781771798411</v>
      </c>
      <c r="AH91">
        <v>0</v>
      </c>
      <c r="AI91">
        <v>0</v>
      </c>
      <c r="AJ91">
        <v>0</v>
      </c>
      <c r="AK91">
        <v>0.46875000000000011</v>
      </c>
      <c r="AL91">
        <v>0</v>
      </c>
    </row>
    <row r="92" spans="1:84" x14ac:dyDescent="0.25">
      <c r="A92" t="s">
        <v>128</v>
      </c>
      <c r="B92" t="s">
        <v>291</v>
      </c>
      <c r="C92" s="14" t="s">
        <v>72</v>
      </c>
      <c r="D92" s="12">
        <v>46224</v>
      </c>
      <c r="E92" s="14" t="s">
        <v>420</v>
      </c>
      <c r="F92" s="14" t="s">
        <v>420</v>
      </c>
      <c r="G92" s="14" t="s">
        <v>420</v>
      </c>
      <c r="H92" s="14" t="s">
        <v>73</v>
      </c>
      <c r="I92">
        <v>20</v>
      </c>
      <c r="J92">
        <v>3.6011567851291235</v>
      </c>
      <c r="K92">
        <v>46224</v>
      </c>
      <c r="L92" t="s">
        <v>426</v>
      </c>
      <c r="M92">
        <v>2.8499999999999996</v>
      </c>
      <c r="N92">
        <v>2.8499999999999996</v>
      </c>
      <c r="O92">
        <v>3.8807773109243682</v>
      </c>
      <c r="P92">
        <v>0.7914123627632641</v>
      </c>
      <c r="Q92">
        <v>0.7914123627632641</v>
      </c>
      <c r="R92">
        <v>1.0776474178935862</v>
      </c>
      <c r="S92">
        <v>7.7647417893586201E-2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0.2085876372367359</v>
      </c>
      <c r="AC92">
        <v>0</v>
      </c>
      <c r="AD92">
        <v>0</v>
      </c>
      <c r="AE92">
        <v>0</v>
      </c>
      <c r="AF92">
        <v>0</v>
      </c>
      <c r="AG92">
        <v>0.7914123627632641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1.2635637842558329</v>
      </c>
      <c r="AN92">
        <v>1.2635637842558329</v>
      </c>
      <c r="AO92">
        <v>1.3616762494471468</v>
      </c>
      <c r="AP92">
        <v>9.8112465191313891E-2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0.26356378425583293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0.7343889565570445</v>
      </c>
      <c r="BK92">
        <v>0.7343889565570445</v>
      </c>
      <c r="BL92">
        <v>0.92794728906291157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7.2052710937088427E-2</v>
      </c>
      <c r="BX92">
        <v>0</v>
      </c>
      <c r="BY92">
        <v>0</v>
      </c>
      <c r="BZ92">
        <v>0</v>
      </c>
      <c r="CA92">
        <v>0.7343889565570445</v>
      </c>
      <c r="CB92">
        <v>0</v>
      </c>
      <c r="CC92">
        <v>0</v>
      </c>
      <c r="CD92">
        <v>0</v>
      </c>
      <c r="CE92">
        <v>0</v>
      </c>
      <c r="CF92">
        <v>0</v>
      </c>
    </row>
    <row r="93" spans="1:84" x14ac:dyDescent="0.25">
      <c r="A93" t="s">
        <v>128</v>
      </c>
      <c r="B93" t="s">
        <v>291</v>
      </c>
      <c r="C93" s="14" t="s">
        <v>72</v>
      </c>
      <c r="D93" s="12">
        <v>46223</v>
      </c>
      <c r="E93" s="14" t="s">
        <v>420</v>
      </c>
      <c r="F93" s="14" t="s">
        <v>420</v>
      </c>
      <c r="G93" s="14" t="s">
        <v>420</v>
      </c>
      <c r="H93" s="14" t="s">
        <v>75</v>
      </c>
      <c r="I93">
        <v>20</v>
      </c>
      <c r="J93">
        <v>3.1774912809962848</v>
      </c>
      <c r="K93">
        <v>46223</v>
      </c>
      <c r="L93" t="s">
        <v>425</v>
      </c>
      <c r="M93">
        <v>2.8499999999999996</v>
      </c>
      <c r="N93">
        <v>2.8499999999999996</v>
      </c>
      <c r="O93">
        <v>2.8131487889273359</v>
      </c>
      <c r="P93">
        <v>0.89693401113169946</v>
      </c>
      <c r="Q93">
        <v>0.89693401113169946</v>
      </c>
      <c r="R93">
        <v>0.88533643058346601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0.10306598886830054</v>
      </c>
      <c r="AD93">
        <v>0</v>
      </c>
      <c r="AE93">
        <v>1.1597580548233455E-2</v>
      </c>
      <c r="AF93">
        <v>0</v>
      </c>
      <c r="AG93">
        <v>0.88533643058346601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1.1149092214022054</v>
      </c>
      <c r="AN93">
        <v>1.1149092214022054</v>
      </c>
      <c r="AO93">
        <v>0.98706975050081969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0.11490922140220539</v>
      </c>
      <c r="AY93">
        <v>0</v>
      </c>
      <c r="AZ93">
        <v>0</v>
      </c>
      <c r="BA93">
        <v>0</v>
      </c>
      <c r="BB93">
        <v>1.2930249499180313E-2</v>
      </c>
      <c r="BC93">
        <v>0</v>
      </c>
      <c r="BD93">
        <v>0.98706975050081969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1.0130996309963098</v>
      </c>
      <c r="BK93">
        <v>1.0130996309963098</v>
      </c>
      <c r="BL93">
        <v>1.1295141207969572</v>
      </c>
      <c r="BM93">
        <v>0.11641448980064739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1.3099630996309841E-2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x14ac:dyDescent="0.25">
      <c r="A94" t="s">
        <v>128</v>
      </c>
      <c r="B94" t="s">
        <v>291</v>
      </c>
      <c r="C94" s="14" t="s">
        <v>109</v>
      </c>
      <c r="D94" s="12">
        <v>46236</v>
      </c>
      <c r="E94" s="14" t="s">
        <v>134</v>
      </c>
      <c r="F94" s="14" t="s">
        <v>134</v>
      </c>
      <c r="G94" s="14" t="s">
        <v>134</v>
      </c>
      <c r="H94" s="14"/>
      <c r="J94">
        <v>7.1027814759848873</v>
      </c>
      <c r="M94">
        <v>6.6499999999999995</v>
      </c>
      <c r="N94">
        <v>6.6499999999999995</v>
      </c>
      <c r="O94">
        <v>15.695501730103803</v>
      </c>
      <c r="S94">
        <v>0.88587715608333018</v>
      </c>
      <c r="T94">
        <v>0</v>
      </c>
      <c r="U94">
        <v>0.10807696413285589</v>
      </c>
      <c r="V94">
        <v>0</v>
      </c>
      <c r="W94">
        <v>0.19782000464488947</v>
      </c>
      <c r="X94">
        <v>0</v>
      </c>
      <c r="Y94">
        <v>0.12607119314436385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0.50428477257745541</v>
      </c>
      <c r="AH94">
        <v>0</v>
      </c>
      <c r="AI94">
        <v>0</v>
      </c>
      <c r="AJ94">
        <v>0</v>
      </c>
      <c r="AK94">
        <v>0.49571522742254465</v>
      </c>
      <c r="AL94">
        <v>0</v>
      </c>
    </row>
    <row r="95" spans="1:84" x14ac:dyDescent="0.25">
      <c r="A95" t="s">
        <v>128</v>
      </c>
      <c r="B95" t="s">
        <v>291</v>
      </c>
      <c r="C95" s="14" t="s">
        <v>72</v>
      </c>
      <c r="D95" s="12">
        <v>46250</v>
      </c>
      <c r="E95" s="14" t="s">
        <v>420</v>
      </c>
      <c r="F95" s="14" t="s">
        <v>420</v>
      </c>
      <c r="G95" s="14" t="s">
        <v>420</v>
      </c>
      <c r="H95" s="14" t="s">
        <v>73</v>
      </c>
      <c r="I95">
        <v>20</v>
      </c>
      <c r="J95">
        <v>3.6011567851291222</v>
      </c>
      <c r="K95">
        <v>46250</v>
      </c>
      <c r="L95" t="s">
        <v>501</v>
      </c>
      <c r="M95">
        <v>2.8499999999999996</v>
      </c>
      <c r="N95">
        <v>2.8499999999999996</v>
      </c>
      <c r="O95">
        <v>3.7647058823529393</v>
      </c>
      <c r="P95">
        <v>0.79141236276326432</v>
      </c>
      <c r="Q95">
        <v>0.79141236276326432</v>
      </c>
      <c r="R95">
        <v>1.0454157113900702</v>
      </c>
      <c r="S95">
        <v>4.5415711390070168E-2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0.20858763723673568</v>
      </c>
      <c r="AC95">
        <v>0</v>
      </c>
      <c r="AD95">
        <v>0</v>
      </c>
      <c r="AE95">
        <v>0</v>
      </c>
      <c r="AF95">
        <v>0</v>
      </c>
      <c r="AG95">
        <v>0.79141236276326432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1.2635637842558325</v>
      </c>
      <c r="AN95">
        <v>1.2635637842558325</v>
      </c>
      <c r="AO95">
        <v>1.3209494324045403</v>
      </c>
      <c r="AP95">
        <v>5.7385648148707835E-2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0.26356378425583249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0.75703125000000027</v>
      </c>
      <c r="BK95">
        <v>0.75703125000000027</v>
      </c>
      <c r="BL95">
        <v>0.9565572710499235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4.3442728950076503E-2</v>
      </c>
      <c r="BX95">
        <v>0</v>
      </c>
      <c r="BY95">
        <v>0</v>
      </c>
      <c r="BZ95">
        <v>0</v>
      </c>
      <c r="CA95">
        <v>0.75703125000000027</v>
      </c>
      <c r="CB95">
        <v>0</v>
      </c>
      <c r="CC95">
        <v>0</v>
      </c>
      <c r="CD95">
        <v>0</v>
      </c>
      <c r="CE95">
        <v>0</v>
      </c>
      <c r="CF95">
        <v>0</v>
      </c>
    </row>
    <row r="96" spans="1:84" x14ac:dyDescent="0.25">
      <c r="A96" t="s">
        <v>128</v>
      </c>
      <c r="B96" t="s">
        <v>291</v>
      </c>
      <c r="C96" s="14" t="s">
        <v>109</v>
      </c>
      <c r="D96" s="12">
        <v>46237</v>
      </c>
      <c r="E96" s="14" t="s">
        <v>133</v>
      </c>
      <c r="F96" s="14" t="s">
        <v>133</v>
      </c>
      <c r="G96" s="14" t="s">
        <v>133</v>
      </c>
      <c r="H96" s="14"/>
      <c r="J96">
        <v>27.064943963236065</v>
      </c>
      <c r="M96">
        <v>40.849999999999994</v>
      </c>
      <c r="N96">
        <v>40.849999999999994</v>
      </c>
      <c r="O96">
        <v>28.1875</v>
      </c>
      <c r="S96">
        <v>1.1772154232000228E-2</v>
      </c>
      <c r="T96">
        <v>0</v>
      </c>
      <c r="U96">
        <v>0.63216553447003376</v>
      </c>
      <c r="V96">
        <v>0</v>
      </c>
      <c r="W96">
        <v>0</v>
      </c>
      <c r="X96">
        <v>0</v>
      </c>
      <c r="Y96">
        <v>2.9704230802780156E-2</v>
      </c>
      <c r="Z96">
        <v>0</v>
      </c>
      <c r="AA96">
        <v>0.11062840952986018</v>
      </c>
      <c r="AB96">
        <v>0.26316565759927607</v>
      </c>
      <c r="AC96">
        <v>0</v>
      </c>
      <c r="AD96">
        <v>0</v>
      </c>
      <c r="AE96">
        <v>0</v>
      </c>
      <c r="AF96">
        <v>0</v>
      </c>
      <c r="AG96">
        <v>0.73683434240072387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84" x14ac:dyDescent="0.25">
      <c r="A97" t="s">
        <v>128</v>
      </c>
      <c r="B97" t="s">
        <v>291</v>
      </c>
      <c r="C97" s="14" t="s">
        <v>72</v>
      </c>
      <c r="D97" s="12">
        <v>46225</v>
      </c>
      <c r="E97" s="14" t="s">
        <v>420</v>
      </c>
      <c r="F97" s="14" t="s">
        <v>420</v>
      </c>
      <c r="G97" s="14" t="s">
        <v>420</v>
      </c>
      <c r="H97" s="14" t="s">
        <v>75</v>
      </c>
      <c r="I97">
        <v>20</v>
      </c>
      <c r="J97">
        <v>3.1774912809962848</v>
      </c>
      <c r="K97">
        <v>46225</v>
      </c>
      <c r="L97" t="s">
        <v>431</v>
      </c>
      <c r="M97">
        <v>2.8499999999999996</v>
      </c>
      <c r="N97">
        <v>2.8499999999999996</v>
      </c>
      <c r="O97">
        <v>3.7508650519031144</v>
      </c>
      <c r="P97">
        <v>0.89693401113169946</v>
      </c>
      <c r="Q97">
        <v>0.89693401113169946</v>
      </c>
      <c r="R97">
        <v>1.180448574111288</v>
      </c>
      <c r="S97">
        <v>0.18044857411128801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0.10306598886830054</v>
      </c>
      <c r="AC97">
        <v>0</v>
      </c>
      <c r="AD97">
        <v>0</v>
      </c>
      <c r="AE97">
        <v>0</v>
      </c>
      <c r="AF97">
        <v>0</v>
      </c>
      <c r="AG97">
        <v>0.89693401113169946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1.1149092214022054</v>
      </c>
      <c r="AN97">
        <v>1.1149092214022054</v>
      </c>
      <c r="AO97">
        <v>1.3160930006677596</v>
      </c>
      <c r="AP97">
        <v>0.2011837792655542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0.11490922140220539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0.75982472324723238</v>
      </c>
      <c r="BK97">
        <v>0.75982472324723238</v>
      </c>
      <c r="BL97">
        <v>0.84713559059771792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0.15286440940228208</v>
      </c>
      <c r="BX97">
        <v>0</v>
      </c>
      <c r="BY97">
        <v>0</v>
      </c>
      <c r="BZ97">
        <v>0</v>
      </c>
      <c r="CA97">
        <v>0.75982472324723238</v>
      </c>
      <c r="CB97">
        <v>0</v>
      </c>
      <c r="CC97">
        <v>0</v>
      </c>
      <c r="CD97">
        <v>0</v>
      </c>
      <c r="CE97">
        <v>0</v>
      </c>
      <c r="CF97">
        <v>0</v>
      </c>
    </row>
    <row r="98" spans="1:84" x14ac:dyDescent="0.25">
      <c r="A98" t="s">
        <v>128</v>
      </c>
      <c r="B98" t="s">
        <v>291</v>
      </c>
      <c r="C98" s="14" t="s">
        <v>72</v>
      </c>
      <c r="D98" s="12">
        <v>46248</v>
      </c>
      <c r="E98" s="14" t="s">
        <v>420</v>
      </c>
      <c r="F98" s="14" t="s">
        <v>420</v>
      </c>
      <c r="G98" s="14" t="s">
        <v>420</v>
      </c>
      <c r="H98" s="14" t="s">
        <v>74</v>
      </c>
      <c r="I98">
        <v>20</v>
      </c>
      <c r="J98">
        <v>0</v>
      </c>
      <c r="K98">
        <v>46248</v>
      </c>
      <c r="L98" t="s">
        <v>496</v>
      </c>
      <c r="M98">
        <v>11.4</v>
      </c>
      <c r="N98">
        <v>11.4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F98">
        <v>0</v>
      </c>
    </row>
    <row r="99" spans="1:84" x14ac:dyDescent="0.25">
      <c r="A99" t="s">
        <v>128</v>
      </c>
      <c r="B99" t="s">
        <v>291</v>
      </c>
      <c r="C99" s="14" t="s">
        <v>109</v>
      </c>
      <c r="D99" s="12">
        <v>46234</v>
      </c>
      <c r="E99" s="14" t="s">
        <v>420</v>
      </c>
      <c r="F99" s="14" t="s">
        <v>420</v>
      </c>
      <c r="G99" s="14" t="s">
        <v>420</v>
      </c>
      <c r="H99" s="14"/>
      <c r="J99">
        <v>6.7786480661254078</v>
      </c>
      <c r="M99">
        <v>6.6499999999999995</v>
      </c>
      <c r="N99">
        <v>6.6499999999999995</v>
      </c>
      <c r="O99">
        <v>7.5778546712802743</v>
      </c>
      <c r="S99">
        <v>0.11790058981652997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0.43941624304268795</v>
      </c>
      <c r="AC99">
        <v>0</v>
      </c>
      <c r="AD99">
        <v>0</v>
      </c>
      <c r="AE99">
        <v>0</v>
      </c>
      <c r="AF99">
        <v>0</v>
      </c>
      <c r="AG99">
        <v>0.56058375695731211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84" x14ac:dyDescent="0.25">
      <c r="A100" t="s">
        <v>128</v>
      </c>
      <c r="B100" t="s">
        <v>291</v>
      </c>
      <c r="C100" s="14" t="s">
        <v>72</v>
      </c>
      <c r="D100" s="12">
        <v>46249</v>
      </c>
      <c r="E100" s="14" t="s">
        <v>420</v>
      </c>
      <c r="F100" s="14" t="s">
        <v>420</v>
      </c>
      <c r="G100" s="14" t="s">
        <v>420</v>
      </c>
      <c r="H100" s="14" t="s">
        <v>73</v>
      </c>
      <c r="I100">
        <v>20</v>
      </c>
      <c r="J100">
        <v>3.6011567851291222</v>
      </c>
      <c r="K100">
        <v>46249</v>
      </c>
      <c r="L100" t="s">
        <v>498</v>
      </c>
      <c r="M100">
        <v>13.3</v>
      </c>
      <c r="N100">
        <v>13.3</v>
      </c>
      <c r="O100">
        <v>3.8235294117647038</v>
      </c>
      <c r="P100">
        <v>3.6932576928952336</v>
      </c>
      <c r="Q100">
        <v>3.6932576928952336</v>
      </c>
      <c r="R100">
        <v>1.0617503318805399</v>
      </c>
      <c r="S100">
        <v>0</v>
      </c>
      <c r="T100">
        <v>0</v>
      </c>
      <c r="U100">
        <v>2.4432576928952336</v>
      </c>
      <c r="V100">
        <v>0</v>
      </c>
      <c r="W100">
        <v>0</v>
      </c>
      <c r="X100">
        <v>0</v>
      </c>
      <c r="Y100">
        <v>6.175033188053991E-2</v>
      </c>
      <c r="Z100">
        <v>0</v>
      </c>
      <c r="AA100">
        <v>0.18824966811946009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0.27076366805482122</v>
      </c>
      <c r="AN100">
        <v>0.27076366805482122</v>
      </c>
      <c r="AO100">
        <v>0.28748341441839881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0.71251658558160114</v>
      </c>
      <c r="BA100">
        <v>0</v>
      </c>
      <c r="BB100">
        <v>0</v>
      </c>
      <c r="BC100">
        <v>0</v>
      </c>
      <c r="BD100">
        <v>0.27076366805482122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3.47846153846154</v>
      </c>
      <c r="BK100">
        <v>3.47846153846154</v>
      </c>
      <c r="BL100">
        <v>0.9418410053414632</v>
      </c>
      <c r="CC100">
        <v>0</v>
      </c>
      <c r="CD100">
        <v>0</v>
      </c>
      <c r="CE100">
        <v>0</v>
      </c>
    </row>
    <row r="101" spans="1:84" x14ac:dyDescent="0.25">
      <c r="A101" t="s">
        <v>128</v>
      </c>
      <c r="B101" t="s">
        <v>291</v>
      </c>
      <c r="C101" s="14" t="s">
        <v>72</v>
      </c>
      <c r="D101" s="12">
        <v>46239</v>
      </c>
      <c r="E101" s="14" t="s">
        <v>134</v>
      </c>
      <c r="F101" s="14" t="s">
        <v>134</v>
      </c>
      <c r="G101" s="14" t="s">
        <v>134</v>
      </c>
      <c r="H101" s="14" t="s">
        <v>75</v>
      </c>
      <c r="I101">
        <v>20</v>
      </c>
      <c r="J101">
        <v>3.9329838100377761</v>
      </c>
      <c r="K101">
        <v>46239</v>
      </c>
      <c r="L101" t="s">
        <v>470</v>
      </c>
      <c r="M101">
        <v>1.9</v>
      </c>
      <c r="N101">
        <v>1.9</v>
      </c>
      <c r="O101">
        <v>5.8166089965397889</v>
      </c>
      <c r="P101">
        <v>0.48309377606661202</v>
      </c>
      <c r="Q101">
        <v>0.48309377606661202</v>
      </c>
      <c r="R101">
        <v>1.4789303179165441</v>
      </c>
      <c r="S101">
        <v>0.47893031791654406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0.51690622393338792</v>
      </c>
      <c r="AC101">
        <v>0</v>
      </c>
      <c r="AD101">
        <v>0</v>
      </c>
      <c r="AE101">
        <v>0</v>
      </c>
      <c r="AF101">
        <v>0</v>
      </c>
      <c r="AG101">
        <v>0.48309377606661202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2.0699914789672507</v>
      </c>
      <c r="AN101">
        <v>2.0699914789672507</v>
      </c>
      <c r="AO101">
        <v>3.0613731560735733</v>
      </c>
      <c r="BF101">
        <v>0</v>
      </c>
      <c r="BG101">
        <v>0</v>
      </c>
      <c r="BH101">
        <v>0</v>
      </c>
      <c r="BJ101">
        <v>0.32665080309339695</v>
      </c>
      <c r="BK101">
        <v>0.32665080309339695</v>
      </c>
      <c r="BL101">
        <v>0.67616437900114101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0.32383562099885899</v>
      </c>
      <c r="BX101">
        <v>0</v>
      </c>
      <c r="BY101">
        <v>0</v>
      </c>
      <c r="BZ101">
        <v>0</v>
      </c>
      <c r="CA101">
        <v>0.32665080309339695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25">
      <c r="A102" t="s">
        <v>128</v>
      </c>
      <c r="B102" t="s">
        <v>291</v>
      </c>
      <c r="C102" s="14" t="s">
        <v>109</v>
      </c>
      <c r="D102" s="12">
        <v>46232</v>
      </c>
      <c r="E102" s="14" t="s">
        <v>133</v>
      </c>
      <c r="F102" s="14" t="s">
        <v>133</v>
      </c>
      <c r="G102" s="14" t="s">
        <v>133</v>
      </c>
      <c r="H102" s="14"/>
      <c r="J102">
        <v>27.59949067352867</v>
      </c>
      <c r="M102">
        <v>42.749999999999993</v>
      </c>
      <c r="N102">
        <v>42.749999999999993</v>
      </c>
      <c r="O102">
        <v>29.125</v>
      </c>
      <c r="S102">
        <v>5.0280134934948144E-2</v>
      </c>
      <c r="T102">
        <v>0</v>
      </c>
      <c r="U102">
        <v>0.91033810325461439</v>
      </c>
      <c r="V102">
        <v>0</v>
      </c>
      <c r="W102">
        <v>0</v>
      </c>
      <c r="X102">
        <v>0</v>
      </c>
      <c r="Y102">
        <v>1.6934891949839354E-2</v>
      </c>
      <c r="Z102">
        <v>0</v>
      </c>
      <c r="AA102">
        <v>2.1291407744350253E-2</v>
      </c>
      <c r="AB102">
        <v>0.38768084568537214</v>
      </c>
      <c r="AC102">
        <v>1.1941929836859783E-2</v>
      </c>
      <c r="AD102">
        <v>0</v>
      </c>
      <c r="AE102">
        <v>0</v>
      </c>
      <c r="AF102">
        <v>0</v>
      </c>
      <c r="AG102">
        <v>0.60037722447776809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84" x14ac:dyDescent="0.25">
      <c r="A103" t="s">
        <v>128</v>
      </c>
      <c r="B103" t="s">
        <v>291</v>
      </c>
      <c r="C103" s="14" t="s">
        <v>72</v>
      </c>
      <c r="D103" s="12">
        <v>46228</v>
      </c>
      <c r="E103" s="14" t="s">
        <v>420</v>
      </c>
      <c r="F103" s="14" t="s">
        <v>420</v>
      </c>
      <c r="G103" s="14" t="s">
        <v>420</v>
      </c>
      <c r="H103" s="14" t="s">
        <v>74</v>
      </c>
      <c r="I103">
        <v>20</v>
      </c>
      <c r="J103">
        <v>0</v>
      </c>
      <c r="K103">
        <v>46228</v>
      </c>
      <c r="L103" t="s">
        <v>436</v>
      </c>
      <c r="M103">
        <v>0.95</v>
      </c>
      <c r="N103">
        <v>0.95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F103">
        <v>0</v>
      </c>
    </row>
    <row r="104" spans="1:84" x14ac:dyDescent="0.25">
      <c r="A104" t="s">
        <v>128</v>
      </c>
      <c r="B104" t="s">
        <v>291</v>
      </c>
      <c r="C104" s="14" t="s">
        <v>109</v>
      </c>
      <c r="D104" s="12">
        <v>46232</v>
      </c>
      <c r="E104" s="14" t="s">
        <v>420</v>
      </c>
      <c r="F104" s="14" t="s">
        <v>420</v>
      </c>
      <c r="G104" s="14" t="s">
        <v>420</v>
      </c>
      <c r="H104" s="14"/>
      <c r="J104">
        <v>6.7786480661254078</v>
      </c>
      <c r="M104">
        <v>16.149999999999999</v>
      </c>
      <c r="N104">
        <v>16.149999999999999</v>
      </c>
      <c r="O104">
        <v>7.5155709342560542</v>
      </c>
      <c r="S104">
        <v>0.10871236579064078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0.43941624304268795</v>
      </c>
      <c r="AC104">
        <v>0</v>
      </c>
      <c r="AD104">
        <v>0</v>
      </c>
      <c r="AE104">
        <v>0</v>
      </c>
      <c r="AF104">
        <v>0</v>
      </c>
      <c r="AG104">
        <v>0.56058375695731211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84" x14ac:dyDescent="0.25">
      <c r="A105" t="s">
        <v>128</v>
      </c>
      <c r="B105" t="s">
        <v>291</v>
      </c>
      <c r="C105" s="14" t="s">
        <v>72</v>
      </c>
      <c r="D105" s="12">
        <v>46228</v>
      </c>
      <c r="E105" s="14" t="s">
        <v>420</v>
      </c>
      <c r="F105" s="14" t="s">
        <v>420</v>
      </c>
      <c r="G105" s="14" t="s">
        <v>420</v>
      </c>
      <c r="H105" s="14" t="s">
        <v>73</v>
      </c>
      <c r="I105">
        <v>20</v>
      </c>
      <c r="J105">
        <v>3.6011567851291222</v>
      </c>
      <c r="K105">
        <v>46228</v>
      </c>
      <c r="L105" t="s">
        <v>435</v>
      </c>
      <c r="M105">
        <v>6.6499999999999995</v>
      </c>
      <c r="N105">
        <v>6.6499999999999995</v>
      </c>
      <c r="O105">
        <v>2.882352941176471</v>
      </c>
      <c r="P105">
        <v>1.8466288464476168</v>
      </c>
      <c r="Q105">
        <v>1.8466288464476168</v>
      </c>
      <c r="R105">
        <v>0.80039640403302303</v>
      </c>
      <c r="S105">
        <v>0</v>
      </c>
      <c r="T105">
        <v>0</v>
      </c>
      <c r="U105">
        <v>0.59662884644761682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0.25</v>
      </c>
      <c r="AB105">
        <v>0</v>
      </c>
      <c r="AC105">
        <v>0</v>
      </c>
      <c r="AD105">
        <v>0</v>
      </c>
      <c r="AE105">
        <v>0.19960359596697697</v>
      </c>
      <c r="AF105">
        <v>0</v>
      </c>
      <c r="AG105">
        <v>0.80039640403302303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0.54152733610964243</v>
      </c>
      <c r="AN105">
        <v>0.54152733610964243</v>
      </c>
      <c r="AO105">
        <v>0.43343653250774006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0.45847266389035757</v>
      </c>
      <c r="BA105">
        <v>0</v>
      </c>
      <c r="BB105">
        <v>0.10809080360190237</v>
      </c>
      <c r="BC105">
        <v>0</v>
      </c>
      <c r="BD105">
        <v>0.43343653250774006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2.3071428571428565</v>
      </c>
      <c r="BK105">
        <v>2.3071428571428565</v>
      </c>
      <c r="BL105">
        <v>1.2493809254529606</v>
      </c>
      <c r="CC105">
        <v>0</v>
      </c>
      <c r="CD105">
        <v>0</v>
      </c>
      <c r="CE105">
        <v>0</v>
      </c>
    </row>
    <row r="106" spans="1:84" x14ac:dyDescent="0.25">
      <c r="A106" t="s">
        <v>128</v>
      </c>
      <c r="B106" t="s">
        <v>291</v>
      </c>
      <c r="C106" s="14" t="s">
        <v>72</v>
      </c>
      <c r="D106" s="12">
        <v>46248</v>
      </c>
      <c r="E106" s="14" t="s">
        <v>420</v>
      </c>
      <c r="F106" s="14" t="s">
        <v>420</v>
      </c>
      <c r="G106" s="14" t="s">
        <v>420</v>
      </c>
      <c r="H106" s="14" t="s">
        <v>75</v>
      </c>
      <c r="I106">
        <v>20</v>
      </c>
      <c r="J106">
        <v>3.1774912809962848</v>
      </c>
      <c r="K106">
        <v>46248</v>
      </c>
      <c r="L106" t="s">
        <v>497</v>
      </c>
      <c r="M106">
        <v>1.9</v>
      </c>
      <c r="N106">
        <v>1.9</v>
      </c>
      <c r="O106">
        <v>3.7508650519031144</v>
      </c>
      <c r="P106">
        <v>0.59795600742113297</v>
      </c>
      <c r="Q106">
        <v>0.59795600742113297</v>
      </c>
      <c r="R106">
        <v>1.180448574111288</v>
      </c>
      <c r="S106">
        <v>0.18044857411128801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0.40204399257886703</v>
      </c>
      <c r="AC106">
        <v>0</v>
      </c>
      <c r="AD106">
        <v>0</v>
      </c>
      <c r="AE106">
        <v>0</v>
      </c>
      <c r="AF106">
        <v>0</v>
      </c>
      <c r="AG106">
        <v>0.59795600742113297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1.6723638321033079</v>
      </c>
      <c r="AN106">
        <v>1.6723638321033079</v>
      </c>
      <c r="AO106">
        <v>1.9741395010016392</v>
      </c>
      <c r="BF106">
        <v>0</v>
      </c>
      <c r="BG106">
        <v>0</v>
      </c>
      <c r="BH106">
        <v>0</v>
      </c>
      <c r="BJ106">
        <v>0.50654981549815492</v>
      </c>
      <c r="BK106">
        <v>0.50654981549815492</v>
      </c>
      <c r="BL106">
        <v>0.84713559059771792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0.15286440940228208</v>
      </c>
      <c r="BX106">
        <v>0</v>
      </c>
      <c r="BY106">
        <v>0</v>
      </c>
      <c r="BZ106">
        <v>0</v>
      </c>
      <c r="CA106">
        <v>0.50654981549815492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x14ac:dyDescent="0.25">
      <c r="A107" t="s">
        <v>128</v>
      </c>
      <c r="B107" t="s">
        <v>291</v>
      </c>
      <c r="C107" s="14" t="s">
        <v>72</v>
      </c>
      <c r="D107" s="12">
        <v>46227</v>
      </c>
      <c r="E107" s="14" t="s">
        <v>420</v>
      </c>
      <c r="F107" s="14" t="s">
        <v>420</v>
      </c>
      <c r="G107" s="14" t="s">
        <v>420</v>
      </c>
      <c r="H107" s="14" t="s">
        <v>75</v>
      </c>
      <c r="I107">
        <v>20</v>
      </c>
      <c r="J107">
        <v>3.1774912809962848</v>
      </c>
      <c r="K107">
        <v>46227</v>
      </c>
      <c r="L107" t="s">
        <v>155</v>
      </c>
      <c r="M107">
        <v>0.95</v>
      </c>
      <c r="N107">
        <v>0.95</v>
      </c>
      <c r="O107">
        <v>2.8685121107266438</v>
      </c>
      <c r="P107">
        <v>0.29897800371056649</v>
      </c>
      <c r="Q107">
        <v>0.29897800371056649</v>
      </c>
      <c r="R107">
        <v>0.9027600257733005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0.60378202206273401</v>
      </c>
      <c r="AC107">
        <v>9.7239974226699499E-2</v>
      </c>
      <c r="AD107">
        <v>0</v>
      </c>
      <c r="AE107">
        <v>0</v>
      </c>
      <c r="AF107">
        <v>0</v>
      </c>
      <c r="AG107">
        <v>0.29897800371056649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3.3447276642066157</v>
      </c>
      <c r="AN107">
        <v>3.3447276642066157</v>
      </c>
      <c r="AO107">
        <v>3.0194864323438355</v>
      </c>
      <c r="BF107">
        <v>0</v>
      </c>
      <c r="BG107">
        <v>0</v>
      </c>
      <c r="BH107">
        <v>0</v>
      </c>
      <c r="BJ107">
        <v>0.33118214716525929</v>
      </c>
      <c r="BK107">
        <v>0.33118214716525929</v>
      </c>
      <c r="BL107">
        <v>1.1077140895149895</v>
      </c>
      <c r="BM107">
        <v>0.10771408951498951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0.70102199628943351</v>
      </c>
      <c r="BW107">
        <v>0</v>
      </c>
      <c r="BX107">
        <v>0</v>
      </c>
      <c r="BY107">
        <v>0</v>
      </c>
      <c r="BZ107">
        <v>0</v>
      </c>
      <c r="CA107">
        <v>0.33118214716525929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 spans="1:84" x14ac:dyDescent="0.25">
      <c r="A108" t="s">
        <v>128</v>
      </c>
      <c r="B108" t="s">
        <v>291</v>
      </c>
      <c r="C108" s="14" t="s">
        <v>109</v>
      </c>
      <c r="D108" s="12">
        <v>46232</v>
      </c>
      <c r="E108" s="14" t="s">
        <v>134</v>
      </c>
      <c r="F108" s="14" t="s">
        <v>134</v>
      </c>
      <c r="G108" s="14" t="s">
        <v>134</v>
      </c>
      <c r="H108" s="14"/>
      <c r="J108">
        <v>9.3414218142876422</v>
      </c>
      <c r="M108">
        <v>13.3</v>
      </c>
      <c r="N108">
        <v>13.3</v>
      </c>
      <c r="O108">
        <v>11.570934256055359</v>
      </c>
      <c r="S108">
        <v>0.1920588971353186</v>
      </c>
      <c r="T108">
        <v>0</v>
      </c>
      <c r="U108">
        <v>0.81546976576653341</v>
      </c>
      <c r="V108">
        <v>0</v>
      </c>
      <c r="W108">
        <v>3.1090654998967581E-2</v>
      </c>
      <c r="X108">
        <v>0</v>
      </c>
      <c r="Y108">
        <v>3.4083077501409674E-2</v>
      </c>
      <c r="Z108">
        <v>0</v>
      </c>
      <c r="AA108">
        <v>0</v>
      </c>
      <c r="AB108">
        <v>0.43831423363074329</v>
      </c>
      <c r="AC108">
        <v>1.8563133054598221E-2</v>
      </c>
      <c r="AD108">
        <v>0</v>
      </c>
      <c r="AE108">
        <v>0</v>
      </c>
      <c r="AF108">
        <v>0</v>
      </c>
      <c r="AG108">
        <v>0.54312263331465849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84" x14ac:dyDescent="0.25">
      <c r="A109" t="s">
        <v>128</v>
      </c>
      <c r="B109" t="s">
        <v>291</v>
      </c>
      <c r="C109" s="14" t="s">
        <v>72</v>
      </c>
      <c r="D109" s="12">
        <v>46239</v>
      </c>
      <c r="E109" s="14" t="s">
        <v>134</v>
      </c>
      <c r="F109" s="14" t="s">
        <v>134</v>
      </c>
      <c r="G109" s="14" t="s">
        <v>134</v>
      </c>
      <c r="H109" s="14" t="s">
        <v>74</v>
      </c>
      <c r="I109">
        <v>20</v>
      </c>
      <c r="J109">
        <v>1.2735376146788988</v>
      </c>
      <c r="K109">
        <v>46239</v>
      </c>
      <c r="L109" t="s">
        <v>469</v>
      </c>
      <c r="M109">
        <v>4.75</v>
      </c>
      <c r="N109">
        <v>4.75</v>
      </c>
      <c r="O109">
        <v>2.8823529411764706</v>
      </c>
      <c r="P109">
        <v>3.7297681240436962</v>
      </c>
      <c r="Q109">
        <v>3.7297681240436962</v>
      </c>
      <c r="R109">
        <v>2.263264867840757</v>
      </c>
      <c r="S109">
        <v>0</v>
      </c>
      <c r="T109">
        <v>0</v>
      </c>
      <c r="U109">
        <v>1.4665032562029392</v>
      </c>
      <c r="V109">
        <v>0</v>
      </c>
      <c r="W109">
        <v>1.013264867840757</v>
      </c>
      <c r="X109">
        <v>0</v>
      </c>
      <c r="Y109">
        <v>0.25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0.26811318203766293</v>
      </c>
      <c r="AN109">
        <v>0.26811318203766293</v>
      </c>
      <c r="AO109">
        <v>0.60681114551083593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0.39318885448916407</v>
      </c>
      <c r="BA109">
        <v>0</v>
      </c>
      <c r="BB109">
        <v>0</v>
      </c>
      <c r="BC109">
        <v>0</v>
      </c>
      <c r="BD109">
        <v>0.26811318203766293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1.6479591836734695</v>
      </c>
      <c r="BK109">
        <v>1.6479591836734695</v>
      </c>
      <c r="BL109">
        <v>0.44183958060288325</v>
      </c>
      <c r="CC109">
        <v>0</v>
      </c>
      <c r="CD109">
        <v>0</v>
      </c>
      <c r="CE109">
        <v>0</v>
      </c>
    </row>
    <row r="110" spans="1:84" x14ac:dyDescent="0.25">
      <c r="A110" t="s">
        <v>128</v>
      </c>
      <c r="B110" t="s">
        <v>291</v>
      </c>
      <c r="C110" s="14" t="s">
        <v>109</v>
      </c>
      <c r="D110" s="12">
        <v>46233</v>
      </c>
      <c r="E110" s="14" t="s">
        <v>133</v>
      </c>
      <c r="F110" s="14" t="s">
        <v>133</v>
      </c>
      <c r="G110" s="14" t="s">
        <v>133</v>
      </c>
      <c r="H110" s="14"/>
      <c r="J110">
        <v>26.080252654802319</v>
      </c>
      <c r="M110">
        <v>35.15</v>
      </c>
      <c r="N110">
        <v>35.15</v>
      </c>
      <c r="O110">
        <v>28.125</v>
      </c>
      <c r="S110">
        <v>6.0480738957888212E-2</v>
      </c>
      <c r="T110">
        <v>0</v>
      </c>
      <c r="U110">
        <v>0.56268120500095442</v>
      </c>
      <c r="V110">
        <v>0</v>
      </c>
      <c r="W110">
        <v>0</v>
      </c>
      <c r="X110">
        <v>0</v>
      </c>
      <c r="Y110">
        <v>1.7921390510024175E-2</v>
      </c>
      <c r="Z110">
        <v>0</v>
      </c>
      <c r="AA110">
        <v>2.2531683923632796E-2</v>
      </c>
      <c r="AB110">
        <v>0.25537126251738035</v>
      </c>
      <c r="AC110">
        <v>0</v>
      </c>
      <c r="AD110">
        <v>0</v>
      </c>
      <c r="AE110">
        <v>0</v>
      </c>
      <c r="AF110">
        <v>0</v>
      </c>
      <c r="AG110">
        <v>0.74462873748261971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84" x14ac:dyDescent="0.25">
      <c r="A111" t="s">
        <v>128</v>
      </c>
      <c r="B111" t="s">
        <v>291</v>
      </c>
      <c r="C111" s="14" t="s">
        <v>72</v>
      </c>
      <c r="D111" s="12">
        <v>46227</v>
      </c>
      <c r="E111" s="14" t="s">
        <v>420</v>
      </c>
      <c r="F111" s="14" t="s">
        <v>420</v>
      </c>
      <c r="G111" s="14" t="s">
        <v>420</v>
      </c>
      <c r="H111" s="14" t="s">
        <v>74</v>
      </c>
      <c r="I111">
        <v>20</v>
      </c>
      <c r="J111">
        <v>0</v>
      </c>
      <c r="K111">
        <v>46227</v>
      </c>
      <c r="L111" t="s">
        <v>156</v>
      </c>
      <c r="M111">
        <v>0.95</v>
      </c>
      <c r="N111">
        <v>0.95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F111">
        <v>0</v>
      </c>
    </row>
    <row r="112" spans="1:84" x14ac:dyDescent="0.25">
      <c r="A112" t="s">
        <v>128</v>
      </c>
      <c r="B112" t="s">
        <v>291</v>
      </c>
      <c r="C112" s="14" t="s">
        <v>72</v>
      </c>
      <c r="D112" s="12">
        <v>46227</v>
      </c>
      <c r="E112" s="14" t="s">
        <v>420</v>
      </c>
      <c r="F112" s="14" t="s">
        <v>420</v>
      </c>
      <c r="G112" s="14" t="s">
        <v>420</v>
      </c>
      <c r="H112" s="14" t="s">
        <v>73</v>
      </c>
      <c r="I112">
        <v>20</v>
      </c>
      <c r="J112">
        <v>3.6011567851291222</v>
      </c>
      <c r="K112">
        <v>46227</v>
      </c>
      <c r="L112" t="s">
        <v>157</v>
      </c>
      <c r="M112">
        <v>2.8499999999999996</v>
      </c>
      <c r="N112">
        <v>2.8499999999999996</v>
      </c>
      <c r="O112">
        <v>3.7647058823529393</v>
      </c>
      <c r="P112">
        <v>0.79141236276326432</v>
      </c>
      <c r="Q112">
        <v>0.79141236276326432</v>
      </c>
      <c r="R112">
        <v>1.0454157113900702</v>
      </c>
      <c r="S112">
        <v>4.5415711390070168E-2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0.20858763723673568</v>
      </c>
      <c r="AC112">
        <v>0</v>
      </c>
      <c r="AD112">
        <v>0</v>
      </c>
      <c r="AE112">
        <v>0</v>
      </c>
      <c r="AF112">
        <v>0</v>
      </c>
      <c r="AG112">
        <v>0.79141236276326432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1.2635637842558325</v>
      </c>
      <c r="AN112">
        <v>1.2635637842558325</v>
      </c>
      <c r="AO112">
        <v>1.3209494324045403</v>
      </c>
      <c r="AP112">
        <v>5.7385648148707835E-2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0.26356378425583249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0.75703125000000027</v>
      </c>
      <c r="BK112">
        <v>0.75703125000000027</v>
      </c>
      <c r="BL112">
        <v>0.9565572710499235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4.3442728950076503E-2</v>
      </c>
      <c r="BX112">
        <v>0</v>
      </c>
      <c r="BY112">
        <v>0</v>
      </c>
      <c r="BZ112">
        <v>0</v>
      </c>
      <c r="CA112">
        <v>0.75703125000000027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84" x14ac:dyDescent="0.25">
      <c r="A113" t="s">
        <v>128</v>
      </c>
      <c r="B113" t="s">
        <v>291</v>
      </c>
      <c r="C113" s="14" t="s">
        <v>72</v>
      </c>
      <c r="D113" s="12">
        <v>46238</v>
      </c>
      <c r="E113" s="14" t="s">
        <v>134</v>
      </c>
      <c r="F113" s="14" t="s">
        <v>134</v>
      </c>
      <c r="G113" s="14" t="s">
        <v>134</v>
      </c>
      <c r="H113" s="14" t="s">
        <v>73</v>
      </c>
      <c r="I113">
        <v>20</v>
      </c>
      <c r="J113">
        <v>5.8204648795871554</v>
      </c>
      <c r="K113">
        <v>46238</v>
      </c>
      <c r="L113" t="s">
        <v>465</v>
      </c>
      <c r="M113">
        <v>2.8499999999999996</v>
      </c>
      <c r="N113">
        <v>2.8499999999999996</v>
      </c>
      <c r="O113">
        <v>4.7058823529411749</v>
      </c>
      <c r="P113">
        <v>0.48965161013086461</v>
      </c>
      <c r="Q113">
        <v>0.48965161013086461</v>
      </c>
      <c r="R113">
        <v>0.80850627059791869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0.31885466046705407</v>
      </c>
      <c r="AC113">
        <v>0.19149372940208131</v>
      </c>
      <c r="AD113">
        <v>0</v>
      </c>
      <c r="AE113">
        <v>0</v>
      </c>
      <c r="AF113">
        <v>0</v>
      </c>
      <c r="AG113">
        <v>0.48965161013086461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2.0422683788025111</v>
      </c>
      <c r="AN113">
        <v>2.0422683788025111</v>
      </c>
      <c r="AO113">
        <v>1.6511867905056756</v>
      </c>
      <c r="BF113">
        <v>0</v>
      </c>
      <c r="BG113">
        <v>0</v>
      </c>
      <c r="BH113">
        <v>0</v>
      </c>
      <c r="BJ113">
        <v>0.60562500000000008</v>
      </c>
      <c r="BK113">
        <v>0.60562500000000008</v>
      </c>
      <c r="BL113">
        <v>1.2368487869122708</v>
      </c>
      <c r="BM113">
        <v>0.23684878691227085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0.51034838986913544</v>
      </c>
      <c r="BW113">
        <v>0</v>
      </c>
      <c r="BX113">
        <v>0</v>
      </c>
      <c r="BY113">
        <v>0</v>
      </c>
      <c r="BZ113">
        <v>0</v>
      </c>
      <c r="CA113">
        <v>0.60562500000000008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x14ac:dyDescent="0.25">
      <c r="A114" t="s">
        <v>128</v>
      </c>
      <c r="B114" t="s">
        <v>291</v>
      </c>
      <c r="C114" s="14" t="s">
        <v>72</v>
      </c>
      <c r="D114" s="12">
        <v>46226</v>
      </c>
      <c r="E114" s="14" t="s">
        <v>420</v>
      </c>
      <c r="F114" s="14" t="s">
        <v>420</v>
      </c>
      <c r="G114" s="14" t="s">
        <v>420</v>
      </c>
      <c r="H114" s="14" t="s">
        <v>75</v>
      </c>
      <c r="I114">
        <v>20</v>
      </c>
      <c r="J114">
        <v>3.1774912809962856</v>
      </c>
      <c r="K114">
        <v>46226</v>
      </c>
      <c r="L114" t="s">
        <v>434</v>
      </c>
      <c r="M114">
        <v>3.8</v>
      </c>
      <c r="N114">
        <v>3.8</v>
      </c>
      <c r="O114">
        <v>3.7508650519031144</v>
      </c>
      <c r="P114">
        <v>1.1959120148422657</v>
      </c>
      <c r="Q114">
        <v>1.1959120148422657</v>
      </c>
      <c r="R114">
        <v>1.1804485741112878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0.18044857411128779</v>
      </c>
      <c r="Z114">
        <v>0</v>
      </c>
      <c r="AA114">
        <v>1.546344073097794E-2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0.83618191605165415</v>
      </c>
      <c r="AN114">
        <v>0.83618191605165415</v>
      </c>
      <c r="AO114">
        <v>0.98706975050081958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1.2930249499180424E-2</v>
      </c>
      <c r="BA114">
        <v>0</v>
      </c>
      <c r="BB114">
        <v>0</v>
      </c>
      <c r="BC114">
        <v>0</v>
      </c>
      <c r="BD114">
        <v>0.83618191605165415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1.0130996309963098</v>
      </c>
      <c r="BK114">
        <v>1.0130996309963098</v>
      </c>
      <c r="BL114">
        <v>0.84713559059771815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1.3099630996309841E-2</v>
      </c>
      <c r="BV114">
        <v>0</v>
      </c>
      <c r="BW114">
        <v>0</v>
      </c>
      <c r="BX114">
        <v>0</v>
      </c>
      <c r="BY114">
        <v>0.15286440940228185</v>
      </c>
      <c r="BZ114">
        <v>0</v>
      </c>
      <c r="CA114">
        <v>0.84713559059771815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x14ac:dyDescent="0.25">
      <c r="A115" t="s">
        <v>128</v>
      </c>
      <c r="B115" t="s">
        <v>291</v>
      </c>
      <c r="C115" s="14" t="s">
        <v>72</v>
      </c>
      <c r="D115" s="12">
        <v>46239</v>
      </c>
      <c r="E115" s="14" t="s">
        <v>134</v>
      </c>
      <c r="F115" s="14" t="s">
        <v>134</v>
      </c>
      <c r="G115" s="14" t="s">
        <v>134</v>
      </c>
      <c r="H115" s="14" t="s">
        <v>73</v>
      </c>
      <c r="I115">
        <v>20</v>
      </c>
      <c r="J115">
        <v>4.6265233658256877</v>
      </c>
      <c r="K115">
        <v>46239</v>
      </c>
      <c r="L115" t="s">
        <v>468</v>
      </c>
      <c r="M115">
        <v>0.95</v>
      </c>
      <c r="N115">
        <v>0.95</v>
      </c>
      <c r="O115">
        <v>2.8235294117647065</v>
      </c>
      <c r="P115">
        <v>0.2053377719903626</v>
      </c>
      <c r="Q115">
        <v>0.2053377719903626</v>
      </c>
      <c r="R115">
        <v>0.61029183006423571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0.40495405807387308</v>
      </c>
      <c r="AC115">
        <v>0.38970816993576429</v>
      </c>
      <c r="AD115">
        <v>0</v>
      </c>
      <c r="AE115">
        <v>0</v>
      </c>
      <c r="AF115">
        <v>0</v>
      </c>
      <c r="AG115">
        <v>0.2053377719903626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4.8700245956059875</v>
      </c>
      <c r="AN115">
        <v>4.8700245956059875</v>
      </c>
      <c r="AO115">
        <v>2.9721362229102177</v>
      </c>
      <c r="BF115">
        <v>0</v>
      </c>
      <c r="BG115">
        <v>0</v>
      </c>
      <c r="BH115">
        <v>0</v>
      </c>
      <c r="BJ115">
        <v>0.33645833333333325</v>
      </c>
      <c r="BK115">
        <v>0.33645833333333325</v>
      </c>
      <c r="BL115">
        <v>1.6385603587299307</v>
      </c>
      <c r="BM115">
        <v>0.63856035872993067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0.79466222800963737</v>
      </c>
      <c r="BW115">
        <v>0</v>
      </c>
      <c r="BX115">
        <v>0</v>
      </c>
      <c r="BY115">
        <v>0</v>
      </c>
      <c r="BZ115">
        <v>0</v>
      </c>
      <c r="CA115">
        <v>0.33645833333333325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25">
      <c r="A116" t="s">
        <v>128</v>
      </c>
      <c r="B116" t="s">
        <v>291</v>
      </c>
      <c r="C116" s="14" t="s">
        <v>109</v>
      </c>
      <c r="D116" s="12">
        <v>46233</v>
      </c>
      <c r="E116" s="14" t="s">
        <v>134</v>
      </c>
      <c r="F116" s="14" t="s">
        <v>134</v>
      </c>
      <c r="G116" s="14" t="s">
        <v>134</v>
      </c>
      <c r="H116" s="14"/>
      <c r="J116">
        <v>10.390510129688344</v>
      </c>
      <c r="M116">
        <v>7.6</v>
      </c>
      <c r="N116">
        <v>7.6</v>
      </c>
      <c r="O116">
        <v>12.456747404844284</v>
      </c>
      <c r="S116">
        <v>0.14977192078948504</v>
      </c>
      <c r="T116">
        <v>0</v>
      </c>
      <c r="U116">
        <v>2.5475734978267521E-3</v>
      </c>
      <c r="V116">
        <v>0</v>
      </c>
      <c r="W116">
        <v>0.11853194675178313</v>
      </c>
      <c r="X116">
        <v>0</v>
      </c>
      <c r="Y116">
        <v>3.064184526994676E-2</v>
      </c>
      <c r="Z116">
        <v>0</v>
      </c>
      <c r="AA116">
        <v>0</v>
      </c>
      <c r="AB116">
        <v>0.32019711173443088</v>
      </c>
      <c r="AC116">
        <v>0.10008759618687588</v>
      </c>
      <c r="AD116">
        <v>0</v>
      </c>
      <c r="AE116">
        <v>0</v>
      </c>
      <c r="AF116">
        <v>0</v>
      </c>
      <c r="AG116">
        <v>0.57971529207869321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84" x14ac:dyDescent="0.25">
      <c r="A117" t="s">
        <v>128</v>
      </c>
      <c r="B117" t="s">
        <v>291</v>
      </c>
      <c r="C117" s="14" t="s">
        <v>72</v>
      </c>
      <c r="D117" s="12">
        <v>46230</v>
      </c>
      <c r="E117" s="14" t="s">
        <v>134</v>
      </c>
      <c r="F117" s="14" t="s">
        <v>134</v>
      </c>
      <c r="G117" s="14" t="s">
        <v>134</v>
      </c>
      <c r="H117" s="14" t="s">
        <v>74</v>
      </c>
      <c r="I117">
        <v>20</v>
      </c>
      <c r="J117">
        <v>1.2735376146788988</v>
      </c>
      <c r="K117">
        <v>46230</v>
      </c>
      <c r="L117" t="s">
        <v>442</v>
      </c>
      <c r="M117">
        <v>2.8499999999999996</v>
      </c>
      <c r="N117">
        <v>2.8499999999999996</v>
      </c>
      <c r="O117">
        <v>2.8235294117647056</v>
      </c>
      <c r="P117">
        <v>2.2378608744262176</v>
      </c>
      <c r="Q117">
        <v>2.2378608744262176</v>
      </c>
      <c r="R117">
        <v>2.2170757889052308</v>
      </c>
      <c r="S117">
        <v>0</v>
      </c>
      <c r="T117">
        <v>0</v>
      </c>
      <c r="U117">
        <v>2.078508552098679E-2</v>
      </c>
      <c r="V117">
        <v>0</v>
      </c>
      <c r="W117">
        <v>0.96707578890523083</v>
      </c>
      <c r="X117">
        <v>0</v>
      </c>
      <c r="Y117">
        <v>0.25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0.44685530339610491</v>
      </c>
      <c r="AN117">
        <v>0.44685530339610491</v>
      </c>
      <c r="AO117">
        <v>0.99071207430340558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9.2879256965944235E-3</v>
      </c>
      <c r="BA117">
        <v>0</v>
      </c>
      <c r="BB117">
        <v>0</v>
      </c>
      <c r="BC117">
        <v>0</v>
      </c>
      <c r="BD117">
        <v>0.44685530339610491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1.0093749999999999</v>
      </c>
      <c r="BK117">
        <v>1.0093749999999999</v>
      </c>
      <c r="BL117">
        <v>0.45104457186544339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9.3749999999999112E-3</v>
      </c>
      <c r="BV117">
        <v>0</v>
      </c>
      <c r="BW117">
        <v>0</v>
      </c>
      <c r="BX117">
        <v>0</v>
      </c>
      <c r="BY117">
        <v>0.54895542813455656</v>
      </c>
      <c r="BZ117">
        <v>0</v>
      </c>
      <c r="CA117">
        <v>0.45104457186544339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8" spans="1:84" x14ac:dyDescent="0.25">
      <c r="A118" t="s">
        <v>128</v>
      </c>
      <c r="B118" t="s">
        <v>291</v>
      </c>
      <c r="C118" s="14" t="s">
        <v>72</v>
      </c>
      <c r="D118" s="12">
        <v>46226</v>
      </c>
      <c r="E118" s="14" t="s">
        <v>420</v>
      </c>
      <c r="F118" s="14" t="s">
        <v>420</v>
      </c>
      <c r="G118" s="14" t="s">
        <v>420</v>
      </c>
      <c r="H118" s="14" t="s">
        <v>74</v>
      </c>
      <c r="I118">
        <v>20</v>
      </c>
      <c r="J118">
        <v>0</v>
      </c>
      <c r="K118">
        <v>46226</v>
      </c>
      <c r="L118" t="s">
        <v>433</v>
      </c>
      <c r="M118">
        <v>10.45</v>
      </c>
      <c r="N118">
        <v>10.45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F118">
        <v>0</v>
      </c>
    </row>
    <row r="119" spans="1:84" x14ac:dyDescent="0.25">
      <c r="A119" t="s">
        <v>128</v>
      </c>
      <c r="B119" t="s">
        <v>291</v>
      </c>
      <c r="C119" s="14" t="s">
        <v>109</v>
      </c>
      <c r="D119" s="12">
        <v>46234</v>
      </c>
      <c r="E119" s="14" t="s">
        <v>133</v>
      </c>
      <c r="F119" s="14" t="s">
        <v>133</v>
      </c>
      <c r="G119" s="14" t="s">
        <v>133</v>
      </c>
      <c r="H119" s="14"/>
      <c r="J119">
        <v>26.220922841721425</v>
      </c>
      <c r="M119">
        <v>33.25</v>
      </c>
      <c r="N119">
        <v>33.25</v>
      </c>
      <c r="O119">
        <v>30.044642857142854</v>
      </c>
      <c r="S119">
        <v>9.2588434399428265E-2</v>
      </c>
      <c r="T119">
        <v>0</v>
      </c>
      <c r="U119">
        <v>0.54665995769687936</v>
      </c>
      <c r="V119">
        <v>0</v>
      </c>
      <c r="W119">
        <v>1.3002571311580689E-2</v>
      </c>
      <c r="X119">
        <v>0</v>
      </c>
      <c r="Y119">
        <v>4.0236051502145938E-2</v>
      </c>
      <c r="Z119">
        <v>0</v>
      </c>
      <c r="AA119">
        <v>0</v>
      </c>
      <c r="AB119">
        <v>0.33182726964528986</v>
      </c>
      <c r="AC119">
        <v>0</v>
      </c>
      <c r="AD119">
        <v>0</v>
      </c>
      <c r="AE119">
        <v>0</v>
      </c>
      <c r="AF119">
        <v>0</v>
      </c>
      <c r="AG119">
        <v>0.66817273035471025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84" x14ac:dyDescent="0.25">
      <c r="A120" t="s">
        <v>128</v>
      </c>
      <c r="B120" t="s">
        <v>291</v>
      </c>
      <c r="C120" s="14" t="s">
        <v>72</v>
      </c>
      <c r="D120" s="12">
        <v>46226</v>
      </c>
      <c r="E120" s="14" t="s">
        <v>420</v>
      </c>
      <c r="F120" s="14" t="s">
        <v>420</v>
      </c>
      <c r="G120" s="14" t="s">
        <v>420</v>
      </c>
      <c r="H120" s="14" t="s">
        <v>73</v>
      </c>
      <c r="I120">
        <v>20</v>
      </c>
      <c r="J120">
        <v>3.6011567851291222</v>
      </c>
      <c r="K120">
        <v>46226</v>
      </c>
      <c r="L120" t="s">
        <v>432</v>
      </c>
      <c r="M120">
        <v>0.95</v>
      </c>
      <c r="N120">
        <v>0.95</v>
      </c>
      <c r="O120">
        <v>3.7647058823529398</v>
      </c>
      <c r="P120">
        <v>0.26380412092108813</v>
      </c>
      <c r="Q120">
        <v>0.26380412092108813</v>
      </c>
      <c r="R120">
        <v>1.0454157113900704</v>
      </c>
      <c r="S120">
        <v>4.541571139007039E-2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0.73619587907891182</v>
      </c>
      <c r="AC120">
        <v>0</v>
      </c>
      <c r="AD120">
        <v>0</v>
      </c>
      <c r="AE120">
        <v>0</v>
      </c>
      <c r="AF120">
        <v>0</v>
      </c>
      <c r="AG120">
        <v>0.26380412092108813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3.7906913527674972</v>
      </c>
      <c r="AN120">
        <v>3.7906913527674972</v>
      </c>
      <c r="AO120">
        <v>3.962848297213621</v>
      </c>
      <c r="BF120">
        <v>0</v>
      </c>
      <c r="BG120">
        <v>0</v>
      </c>
      <c r="BH120">
        <v>0</v>
      </c>
      <c r="BJ120">
        <v>0.25234375000000009</v>
      </c>
      <c r="BK120">
        <v>0.25234375000000009</v>
      </c>
      <c r="BL120">
        <v>0.95655727104992339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4.3442728950076615E-2</v>
      </c>
      <c r="BX120">
        <v>0</v>
      </c>
      <c r="BY120">
        <v>0</v>
      </c>
      <c r="BZ120">
        <v>0</v>
      </c>
      <c r="CA120">
        <v>0.25234375000000009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x14ac:dyDescent="0.25">
      <c r="A121" t="s">
        <v>128</v>
      </c>
      <c r="B121" t="s">
        <v>291</v>
      </c>
      <c r="C121" s="14" t="s">
        <v>109</v>
      </c>
      <c r="D121" s="12">
        <v>46233</v>
      </c>
      <c r="E121" s="14" t="s">
        <v>420</v>
      </c>
      <c r="F121" s="14" t="s">
        <v>420</v>
      </c>
      <c r="G121" s="14" t="s">
        <v>420</v>
      </c>
      <c r="H121" s="14"/>
      <c r="J121">
        <v>6.7786480661254069</v>
      </c>
      <c r="M121">
        <v>6.6499999999999995</v>
      </c>
      <c r="N121">
        <v>6.6499999999999995</v>
      </c>
      <c r="O121">
        <v>8.5121107266435967</v>
      </c>
      <c r="S121">
        <v>0.25572395020486971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0.43941624304268773</v>
      </c>
      <c r="AC121">
        <v>0</v>
      </c>
      <c r="AD121">
        <v>0</v>
      </c>
      <c r="AE121">
        <v>0</v>
      </c>
      <c r="AF121">
        <v>0</v>
      </c>
      <c r="AG121">
        <v>0.56058375695731222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84" x14ac:dyDescent="0.25">
      <c r="A122" t="s">
        <v>128</v>
      </c>
      <c r="B122" t="s">
        <v>291</v>
      </c>
      <c r="C122" s="14" t="s">
        <v>72</v>
      </c>
      <c r="D122" s="12">
        <v>46230</v>
      </c>
      <c r="E122" s="14" t="s">
        <v>134</v>
      </c>
      <c r="F122" s="14" t="s">
        <v>134</v>
      </c>
      <c r="G122" s="14" t="s">
        <v>134</v>
      </c>
      <c r="H122" s="14" t="s">
        <v>73</v>
      </c>
      <c r="I122">
        <v>20</v>
      </c>
      <c r="J122">
        <v>3.5072031966743116</v>
      </c>
      <c r="K122">
        <v>46230</v>
      </c>
      <c r="L122" t="s">
        <v>441</v>
      </c>
      <c r="M122">
        <v>0.95</v>
      </c>
      <c r="N122">
        <v>0.95</v>
      </c>
      <c r="O122">
        <v>3.7647058823529393</v>
      </c>
      <c r="P122">
        <v>0.27087110347664856</v>
      </c>
      <c r="Q122">
        <v>0.27087110347664856</v>
      </c>
      <c r="R122">
        <v>1.0734210911768109</v>
      </c>
      <c r="S122">
        <v>7.3421091176810949E-2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0.72912889652335144</v>
      </c>
      <c r="AC122">
        <v>0</v>
      </c>
      <c r="AD122">
        <v>0</v>
      </c>
      <c r="AE122">
        <v>0</v>
      </c>
      <c r="AF122">
        <v>0</v>
      </c>
      <c r="AG122">
        <v>0.27087110347664856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3.6917928386045387</v>
      </c>
      <c r="AN122">
        <v>3.6917928386045387</v>
      </c>
      <c r="AO122">
        <v>3.9628482972136205</v>
      </c>
      <c r="BF122">
        <v>0</v>
      </c>
      <c r="BG122">
        <v>0</v>
      </c>
      <c r="BH122">
        <v>0</v>
      </c>
      <c r="BJ122">
        <v>0.25234375000000009</v>
      </c>
      <c r="BK122">
        <v>0.25234375000000009</v>
      </c>
      <c r="BL122">
        <v>0.93160084911661445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6.8399150883385551E-2</v>
      </c>
      <c r="BX122">
        <v>0</v>
      </c>
      <c r="BY122">
        <v>0</v>
      </c>
      <c r="BZ122">
        <v>0</v>
      </c>
      <c r="CA122">
        <v>0.25234375000000009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 spans="1:84" x14ac:dyDescent="0.25">
      <c r="A123" t="s">
        <v>128</v>
      </c>
      <c r="B123" t="s">
        <v>291</v>
      </c>
      <c r="C123" s="14" t="s">
        <v>72</v>
      </c>
      <c r="D123" s="12">
        <v>46231</v>
      </c>
      <c r="E123" s="14" t="s">
        <v>420</v>
      </c>
      <c r="F123" s="14" t="s">
        <v>420</v>
      </c>
      <c r="G123" s="14" t="s">
        <v>420</v>
      </c>
      <c r="H123" s="14" t="s">
        <v>74</v>
      </c>
      <c r="I123">
        <v>20</v>
      </c>
      <c r="J123">
        <v>0</v>
      </c>
      <c r="K123">
        <v>46231</v>
      </c>
      <c r="L123" t="s">
        <v>445</v>
      </c>
      <c r="M123">
        <v>10.45</v>
      </c>
      <c r="N123">
        <v>10.45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F123">
        <v>0</v>
      </c>
    </row>
    <row r="124" spans="1:84" x14ac:dyDescent="0.25">
      <c r="A124" t="s">
        <v>128</v>
      </c>
      <c r="B124" t="s">
        <v>291</v>
      </c>
      <c r="C124" s="14" t="s">
        <v>72</v>
      </c>
      <c r="D124" s="12">
        <v>46240</v>
      </c>
      <c r="E124" s="14" t="s">
        <v>420</v>
      </c>
      <c r="F124" s="14" t="s">
        <v>420</v>
      </c>
      <c r="G124" s="14" t="s">
        <v>420</v>
      </c>
      <c r="H124" s="14" t="s">
        <v>73</v>
      </c>
      <c r="I124">
        <v>20</v>
      </c>
      <c r="J124">
        <v>3.6011567851291222</v>
      </c>
      <c r="K124">
        <v>46240</v>
      </c>
      <c r="L124" t="s">
        <v>471</v>
      </c>
      <c r="M124">
        <v>1.9</v>
      </c>
      <c r="N124">
        <v>1.9</v>
      </c>
      <c r="O124">
        <v>3.7647058823529393</v>
      </c>
      <c r="P124">
        <v>0.52760824184217625</v>
      </c>
      <c r="Q124">
        <v>0.52760824184217625</v>
      </c>
      <c r="R124">
        <v>1.0454157113900702</v>
      </c>
      <c r="S124">
        <v>4.5415711390070168E-2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0.47239175815782375</v>
      </c>
      <c r="AC124">
        <v>0</v>
      </c>
      <c r="AD124">
        <v>0</v>
      </c>
      <c r="AE124">
        <v>0</v>
      </c>
      <c r="AF124">
        <v>0</v>
      </c>
      <c r="AG124">
        <v>0.52760824184217625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1.8953456763837486</v>
      </c>
      <c r="AN124">
        <v>1.8953456763837486</v>
      </c>
      <c r="AO124">
        <v>1.9814241486068103</v>
      </c>
      <c r="BF124">
        <v>0</v>
      </c>
      <c r="BG124">
        <v>0</v>
      </c>
      <c r="BH124">
        <v>0</v>
      </c>
      <c r="BJ124">
        <v>0.50468750000000018</v>
      </c>
      <c r="BK124">
        <v>0.50468750000000018</v>
      </c>
      <c r="BL124">
        <v>0.9565572710499235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4.3442728950076503E-2</v>
      </c>
      <c r="BX124">
        <v>0</v>
      </c>
      <c r="BY124">
        <v>0</v>
      </c>
      <c r="BZ124">
        <v>0</v>
      </c>
      <c r="CA124">
        <v>0.50468750000000018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 spans="1:84" x14ac:dyDescent="0.25">
      <c r="A125" t="s">
        <v>128</v>
      </c>
      <c r="B125" t="s">
        <v>291</v>
      </c>
      <c r="C125" s="14" t="s">
        <v>72</v>
      </c>
      <c r="D125" s="12">
        <v>46248</v>
      </c>
      <c r="E125" s="14" t="s">
        <v>134</v>
      </c>
      <c r="F125" s="14" t="s">
        <v>134</v>
      </c>
      <c r="G125" s="14" t="s">
        <v>134</v>
      </c>
      <c r="H125" s="14" t="s">
        <v>74</v>
      </c>
      <c r="I125">
        <v>20</v>
      </c>
      <c r="J125">
        <v>1.2735376146788988</v>
      </c>
      <c r="K125">
        <v>46248</v>
      </c>
      <c r="L125" t="s">
        <v>496</v>
      </c>
      <c r="M125">
        <v>13.3</v>
      </c>
      <c r="N125">
        <v>13.3</v>
      </c>
      <c r="O125">
        <v>1.8823529411764703</v>
      </c>
      <c r="P125">
        <v>10.443350747322349</v>
      </c>
      <c r="Q125">
        <v>10.443350747322349</v>
      </c>
      <c r="R125">
        <v>1.4780505259368206</v>
      </c>
      <c r="S125">
        <v>0</v>
      </c>
      <c r="T125">
        <v>0</v>
      </c>
      <c r="U125">
        <v>8.9653002213855277</v>
      </c>
      <c r="V125">
        <v>0</v>
      </c>
      <c r="W125">
        <v>0.22805052593682063</v>
      </c>
      <c r="X125">
        <v>0</v>
      </c>
      <c r="Y125">
        <v>0.25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9.5754707870593897E-2</v>
      </c>
      <c r="AN125">
        <v>9.5754707870593897E-2</v>
      </c>
      <c r="AO125">
        <v>0.14153029632905792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0.85846970367094211</v>
      </c>
      <c r="BA125">
        <v>0</v>
      </c>
      <c r="BB125">
        <v>0</v>
      </c>
      <c r="BC125">
        <v>0</v>
      </c>
      <c r="BD125">
        <v>9.5754707870593897E-2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7.0656250000000007</v>
      </c>
      <c r="BK125">
        <v>7.0656250000000007</v>
      </c>
      <c r="BL125">
        <v>0.67656685779816506</v>
      </c>
      <c r="CC125">
        <v>0</v>
      </c>
      <c r="CD125">
        <v>0</v>
      </c>
      <c r="CE125">
        <v>0</v>
      </c>
    </row>
    <row r="126" spans="1:84" x14ac:dyDescent="0.25">
      <c r="A126" t="s">
        <v>128</v>
      </c>
      <c r="B126" t="s">
        <v>291</v>
      </c>
      <c r="C126" s="14" t="s">
        <v>72</v>
      </c>
      <c r="D126" s="12">
        <v>46244</v>
      </c>
      <c r="E126" s="14" t="s">
        <v>420</v>
      </c>
      <c r="F126" s="14" t="s">
        <v>420</v>
      </c>
      <c r="G126" s="14" t="s">
        <v>420</v>
      </c>
      <c r="H126" s="14" t="s">
        <v>75</v>
      </c>
      <c r="I126">
        <v>20</v>
      </c>
      <c r="J126">
        <v>3.1774912809962848</v>
      </c>
      <c r="K126">
        <v>46244</v>
      </c>
      <c r="L126" t="s">
        <v>485</v>
      </c>
      <c r="M126">
        <v>3.8</v>
      </c>
      <c r="N126">
        <v>3.8</v>
      </c>
      <c r="O126">
        <v>3.7508650519031144</v>
      </c>
      <c r="P126">
        <v>1.1959120148422659</v>
      </c>
      <c r="Q126">
        <v>1.1959120148422659</v>
      </c>
      <c r="R126">
        <v>1.180448574111288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0.18044857411128801</v>
      </c>
      <c r="Z126">
        <v>0</v>
      </c>
      <c r="AA126">
        <v>1.546344073097794E-2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0.83618191605165393</v>
      </c>
      <c r="AN126">
        <v>0.83618191605165393</v>
      </c>
      <c r="AO126">
        <v>0.98706975050081958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1.2930249499180424E-2</v>
      </c>
      <c r="BA126">
        <v>0</v>
      </c>
      <c r="BB126">
        <v>0</v>
      </c>
      <c r="BC126">
        <v>0</v>
      </c>
      <c r="BD126">
        <v>0.83618191605165393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1.0130996309963098</v>
      </c>
      <c r="BK126">
        <v>1.0130996309963098</v>
      </c>
      <c r="BL126">
        <v>0.84713559059771792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1.3099630996309841E-2</v>
      </c>
      <c r="BV126">
        <v>0</v>
      </c>
      <c r="BW126">
        <v>0</v>
      </c>
      <c r="BX126">
        <v>0</v>
      </c>
      <c r="BY126">
        <v>0.15286440940228208</v>
      </c>
      <c r="BZ126">
        <v>0</v>
      </c>
      <c r="CA126">
        <v>0.84713559059771792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 spans="1:84" x14ac:dyDescent="0.25">
      <c r="A127" t="s">
        <v>128</v>
      </c>
      <c r="B127" t="s">
        <v>291</v>
      </c>
      <c r="C127" s="14" t="s">
        <v>72</v>
      </c>
      <c r="D127" s="12">
        <v>46243</v>
      </c>
      <c r="E127" s="14" t="s">
        <v>134</v>
      </c>
      <c r="F127" s="14" t="s">
        <v>134</v>
      </c>
      <c r="G127" s="14" t="s">
        <v>134</v>
      </c>
      <c r="H127" s="14" t="s">
        <v>74</v>
      </c>
      <c r="I127">
        <v>20</v>
      </c>
      <c r="J127">
        <v>1.2735376146788988</v>
      </c>
      <c r="K127">
        <v>46243</v>
      </c>
      <c r="L127" t="s">
        <v>481</v>
      </c>
      <c r="M127">
        <v>5.6999999999999993</v>
      </c>
      <c r="N127">
        <v>5.6999999999999993</v>
      </c>
      <c r="O127">
        <v>2.8235294117647056</v>
      </c>
      <c r="P127">
        <v>4.4757217488524352</v>
      </c>
      <c r="Q127">
        <v>4.4757217488524352</v>
      </c>
      <c r="R127">
        <v>2.2170757889052308</v>
      </c>
      <c r="S127">
        <v>0</v>
      </c>
      <c r="T127">
        <v>0</v>
      </c>
      <c r="U127">
        <v>2.2586459599472044</v>
      </c>
      <c r="V127">
        <v>0</v>
      </c>
      <c r="W127">
        <v>0.96707578890523083</v>
      </c>
      <c r="X127">
        <v>0</v>
      </c>
      <c r="Y127">
        <v>0.25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0.22342765169805245</v>
      </c>
      <c r="AN127">
        <v>0.22342765169805245</v>
      </c>
      <c r="AO127">
        <v>0.49535603715170279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0.50464396284829727</v>
      </c>
      <c r="BA127">
        <v>0</v>
      </c>
      <c r="BB127">
        <v>0</v>
      </c>
      <c r="BC127">
        <v>0</v>
      </c>
      <c r="BD127">
        <v>0.22342765169805245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2.0187499999999998</v>
      </c>
      <c r="BK127">
        <v>2.0187499999999998</v>
      </c>
      <c r="BL127">
        <v>0.45104457186544339</v>
      </c>
      <c r="CC127">
        <v>0</v>
      </c>
      <c r="CD127">
        <v>0</v>
      </c>
      <c r="CE127">
        <v>0</v>
      </c>
    </row>
    <row r="128" spans="1:84" x14ac:dyDescent="0.25">
      <c r="A128" t="s">
        <v>128</v>
      </c>
      <c r="B128" t="s">
        <v>291</v>
      </c>
      <c r="C128" s="14" t="s">
        <v>72</v>
      </c>
      <c r="D128" s="12">
        <v>46239</v>
      </c>
      <c r="E128" s="14" t="s">
        <v>420</v>
      </c>
      <c r="F128" s="14" t="s">
        <v>420</v>
      </c>
      <c r="G128" s="14" t="s">
        <v>420</v>
      </c>
      <c r="H128" s="14" t="s">
        <v>75</v>
      </c>
      <c r="I128">
        <v>20</v>
      </c>
      <c r="J128">
        <v>3.1774912809962848</v>
      </c>
      <c r="K128">
        <v>46239</v>
      </c>
      <c r="L128" t="s">
        <v>470</v>
      </c>
      <c r="M128">
        <v>0.95</v>
      </c>
      <c r="N128">
        <v>0.95</v>
      </c>
      <c r="O128">
        <v>3.7508650519031144</v>
      </c>
      <c r="P128">
        <v>0.29897800371056649</v>
      </c>
      <c r="Q128">
        <v>0.29897800371056649</v>
      </c>
      <c r="R128">
        <v>1.180448574111288</v>
      </c>
      <c r="S128">
        <v>0.18044857411128801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0.70102199628943351</v>
      </c>
      <c r="AC128">
        <v>0</v>
      </c>
      <c r="AD128">
        <v>0</v>
      </c>
      <c r="AE128">
        <v>0</v>
      </c>
      <c r="AF128">
        <v>0</v>
      </c>
      <c r="AG128">
        <v>0.29897800371056649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3.3447276642066157</v>
      </c>
      <c r="AN128">
        <v>3.3447276642066157</v>
      </c>
      <c r="AO128">
        <v>3.9482790020032783</v>
      </c>
      <c r="BF128">
        <v>0</v>
      </c>
      <c r="BG128">
        <v>0</v>
      </c>
      <c r="BH128">
        <v>0</v>
      </c>
      <c r="BJ128">
        <v>0.25327490774907746</v>
      </c>
      <c r="BK128">
        <v>0.25327490774907746</v>
      </c>
      <c r="BL128">
        <v>0.84713559059771792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0.15286440940228208</v>
      </c>
      <c r="BX128">
        <v>0</v>
      </c>
      <c r="BY128">
        <v>0</v>
      </c>
      <c r="BZ128">
        <v>0</v>
      </c>
      <c r="CA128">
        <v>0.25327490774907746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84" x14ac:dyDescent="0.25">
      <c r="A129" t="s">
        <v>128</v>
      </c>
      <c r="B129" t="s">
        <v>291</v>
      </c>
      <c r="C129" s="14" t="s">
        <v>72</v>
      </c>
      <c r="D129" s="12">
        <v>46248</v>
      </c>
      <c r="E129" s="14" t="s">
        <v>134</v>
      </c>
      <c r="F129" s="14" t="s">
        <v>134</v>
      </c>
      <c r="G129" s="14" t="s">
        <v>134</v>
      </c>
      <c r="H129" s="14" t="s">
        <v>75</v>
      </c>
      <c r="I129">
        <v>20</v>
      </c>
      <c r="J129">
        <v>2.2474193200215864</v>
      </c>
      <c r="K129">
        <v>46248</v>
      </c>
      <c r="L129" t="s">
        <v>497</v>
      </c>
      <c r="M129">
        <v>2.8499999999999996</v>
      </c>
      <c r="N129">
        <v>2.8499999999999996</v>
      </c>
      <c r="O129">
        <v>2.9896193771626298</v>
      </c>
      <c r="P129">
        <v>1.2681211621748565</v>
      </c>
      <c r="Q129">
        <v>1.2681211621748565</v>
      </c>
      <c r="R129">
        <v>1.3302454733431386</v>
      </c>
      <c r="S129">
        <v>6.2124311168282098E-2</v>
      </c>
      <c r="T129">
        <v>0</v>
      </c>
      <c r="U129">
        <v>0</v>
      </c>
      <c r="V129">
        <v>0</v>
      </c>
      <c r="W129">
        <v>1.8121162174856487E-2</v>
      </c>
      <c r="X129">
        <v>0</v>
      </c>
      <c r="Y129">
        <v>0.25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0.78856818246371463</v>
      </c>
      <c r="AN129">
        <v>0.78856818246371463</v>
      </c>
      <c r="AO129">
        <v>1.0489892551447826</v>
      </c>
      <c r="AP129">
        <v>4.8989255144782584E-2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0.78856818246371463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0.95329861111111103</v>
      </c>
      <c r="BK129">
        <v>0.95329861111111103</v>
      </c>
      <c r="BL129">
        <v>0.7517409531090723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4.6701388888888973E-2</v>
      </c>
      <c r="BX129">
        <v>0</v>
      </c>
      <c r="BY129">
        <v>0.20155765800203873</v>
      </c>
      <c r="BZ129">
        <v>0</v>
      </c>
      <c r="CA129">
        <v>0.7517409531090723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 spans="1:84" x14ac:dyDescent="0.25">
      <c r="A130" t="s">
        <v>128</v>
      </c>
      <c r="B130" t="s">
        <v>291</v>
      </c>
      <c r="C130" s="14" t="s">
        <v>72</v>
      </c>
      <c r="D130" s="12">
        <v>46239</v>
      </c>
      <c r="E130" s="14" t="s">
        <v>420</v>
      </c>
      <c r="F130" s="14" t="s">
        <v>420</v>
      </c>
      <c r="G130" s="14" t="s">
        <v>420</v>
      </c>
      <c r="H130" s="14" t="s">
        <v>74</v>
      </c>
      <c r="I130">
        <v>20</v>
      </c>
      <c r="J130">
        <v>0</v>
      </c>
      <c r="K130">
        <v>46239</v>
      </c>
      <c r="L130" t="s">
        <v>469</v>
      </c>
      <c r="M130">
        <v>5.6999999999999993</v>
      </c>
      <c r="N130">
        <v>5.6999999999999993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F130">
        <v>0</v>
      </c>
    </row>
    <row r="131" spans="1:84" x14ac:dyDescent="0.25">
      <c r="A131" t="s">
        <v>128</v>
      </c>
      <c r="B131" t="s">
        <v>291</v>
      </c>
      <c r="C131" s="14" t="s">
        <v>72</v>
      </c>
      <c r="D131" s="12">
        <v>46249</v>
      </c>
      <c r="E131" s="14" t="s">
        <v>134</v>
      </c>
      <c r="F131" s="14" t="s">
        <v>134</v>
      </c>
      <c r="G131" s="14" t="s">
        <v>134</v>
      </c>
      <c r="H131" s="14" t="s">
        <v>73</v>
      </c>
      <c r="I131">
        <v>20</v>
      </c>
      <c r="J131">
        <v>5.3727368119266048</v>
      </c>
      <c r="K131">
        <v>46249</v>
      </c>
      <c r="L131" t="s">
        <v>498</v>
      </c>
      <c r="M131">
        <v>13.3</v>
      </c>
      <c r="N131">
        <v>13.3</v>
      </c>
      <c r="O131">
        <v>5.8308823529411749</v>
      </c>
      <c r="P131">
        <v>2.4754609178838156</v>
      </c>
      <c r="Q131">
        <v>2.4754609178838156</v>
      </c>
      <c r="R131">
        <v>1.0852722843221283</v>
      </c>
      <c r="S131">
        <v>0</v>
      </c>
      <c r="T131">
        <v>0</v>
      </c>
      <c r="U131">
        <v>1.2254609178838156</v>
      </c>
      <c r="V131">
        <v>0</v>
      </c>
      <c r="W131">
        <v>0</v>
      </c>
      <c r="X131">
        <v>0</v>
      </c>
      <c r="Y131">
        <v>8.52722843221283E-2</v>
      </c>
      <c r="Z131">
        <v>0</v>
      </c>
      <c r="AA131">
        <v>0.1647277156778717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0.40396517382906805</v>
      </c>
      <c r="AN131">
        <v>0.40396517382906805</v>
      </c>
      <c r="AO131">
        <v>0.43841220698805827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0.56158779301194173</v>
      </c>
      <c r="BA131">
        <v>0</v>
      </c>
      <c r="BB131">
        <v>0</v>
      </c>
      <c r="BC131">
        <v>0</v>
      </c>
      <c r="BD131">
        <v>0.40396517382906805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2.2809583858764193</v>
      </c>
      <c r="BK131">
        <v>2.2809583858764193</v>
      </c>
      <c r="BL131">
        <v>0.92142775084743811</v>
      </c>
      <c r="CC131">
        <v>0</v>
      </c>
      <c r="CD131">
        <v>0</v>
      </c>
      <c r="CE131">
        <v>0</v>
      </c>
    </row>
    <row r="132" spans="1:84" x14ac:dyDescent="0.25">
      <c r="A132" t="s">
        <v>128</v>
      </c>
      <c r="B132" t="s">
        <v>291</v>
      </c>
      <c r="C132" s="14" t="s">
        <v>72</v>
      </c>
      <c r="D132" s="12">
        <v>46245</v>
      </c>
      <c r="E132" s="14" t="s">
        <v>420</v>
      </c>
      <c r="F132" s="14" t="s">
        <v>420</v>
      </c>
      <c r="G132" s="14" t="s">
        <v>420</v>
      </c>
      <c r="H132" s="14" t="s">
        <v>73</v>
      </c>
      <c r="I132">
        <v>20</v>
      </c>
      <c r="J132">
        <v>3.6011567851291222</v>
      </c>
      <c r="K132">
        <v>46245</v>
      </c>
      <c r="L132" t="s">
        <v>486</v>
      </c>
      <c r="M132">
        <v>1.9</v>
      </c>
      <c r="N132">
        <v>1.9</v>
      </c>
      <c r="O132">
        <v>3.7647058823529398</v>
      </c>
      <c r="P132">
        <v>0.52760824184217625</v>
      </c>
      <c r="Q132">
        <v>0.52760824184217625</v>
      </c>
      <c r="R132">
        <v>1.0454157113900704</v>
      </c>
      <c r="S132">
        <v>4.541571139007039E-2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0.47239175815782375</v>
      </c>
      <c r="AC132">
        <v>0</v>
      </c>
      <c r="AD132">
        <v>0</v>
      </c>
      <c r="AE132">
        <v>0</v>
      </c>
      <c r="AF132">
        <v>0</v>
      </c>
      <c r="AG132">
        <v>0.52760824184217625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1.8953456763837486</v>
      </c>
      <c r="AN132">
        <v>1.8953456763837486</v>
      </c>
      <c r="AO132">
        <v>1.9814241486068105</v>
      </c>
      <c r="BF132">
        <v>0</v>
      </c>
      <c r="BG132">
        <v>0</v>
      </c>
      <c r="BH132">
        <v>0</v>
      </c>
      <c r="BJ132">
        <v>0.50468750000000018</v>
      </c>
      <c r="BK132">
        <v>0.50468750000000018</v>
      </c>
      <c r="BL132">
        <v>0.95655727104992339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4.3442728950076615E-2</v>
      </c>
      <c r="BX132">
        <v>0</v>
      </c>
      <c r="BY132">
        <v>0</v>
      </c>
      <c r="BZ132">
        <v>0</v>
      </c>
      <c r="CA132">
        <v>0.50468750000000018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x14ac:dyDescent="0.25">
      <c r="A133" t="s">
        <v>128</v>
      </c>
      <c r="B133" t="s">
        <v>291</v>
      </c>
      <c r="C133" s="14" t="s">
        <v>72</v>
      </c>
      <c r="D133" s="12">
        <v>46249</v>
      </c>
      <c r="E133" s="14" t="s">
        <v>134</v>
      </c>
      <c r="F133" s="14" t="s">
        <v>134</v>
      </c>
      <c r="G133" s="14" t="s">
        <v>134</v>
      </c>
      <c r="H133" s="14" t="s">
        <v>74</v>
      </c>
      <c r="I133">
        <v>20</v>
      </c>
      <c r="J133">
        <v>1.2735376146788988</v>
      </c>
      <c r="K133">
        <v>46249</v>
      </c>
      <c r="L133" t="s">
        <v>499</v>
      </c>
      <c r="M133">
        <v>2.8499999999999996</v>
      </c>
      <c r="N133">
        <v>2.8499999999999996</v>
      </c>
      <c r="O133">
        <v>2.8823529411764706</v>
      </c>
      <c r="P133">
        <v>2.2378608744262176</v>
      </c>
      <c r="Q133">
        <v>2.2378608744262176</v>
      </c>
      <c r="R133">
        <v>2.263264867840757</v>
      </c>
      <c r="S133">
        <v>2.5403993414539361E-2</v>
      </c>
      <c r="T133">
        <v>0</v>
      </c>
      <c r="U133">
        <v>0</v>
      </c>
      <c r="V133">
        <v>0</v>
      </c>
      <c r="W133">
        <v>0.98786087442621762</v>
      </c>
      <c r="X133">
        <v>0</v>
      </c>
      <c r="Y133">
        <v>0.25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0.44685530339610491</v>
      </c>
      <c r="AN133">
        <v>0.44685530339610491</v>
      </c>
      <c r="AO133">
        <v>1.0113519091847267</v>
      </c>
      <c r="AP133">
        <v>1.1351909184726727E-2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0.44685530339610491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0.9887755102040815</v>
      </c>
      <c r="BK133">
        <v>0.9887755102040815</v>
      </c>
      <c r="BL133">
        <v>0.44183958060288325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1.1224489795918502E-2</v>
      </c>
      <c r="BX133">
        <v>0</v>
      </c>
      <c r="BY133">
        <v>0.54693592960119819</v>
      </c>
      <c r="BZ133">
        <v>0</v>
      </c>
      <c r="CA133">
        <v>0.44183958060288325</v>
      </c>
      <c r="CB133">
        <v>0</v>
      </c>
      <c r="CC133">
        <v>0</v>
      </c>
      <c r="CD133">
        <v>0</v>
      </c>
      <c r="CE133">
        <v>0</v>
      </c>
      <c r="CF133">
        <v>0</v>
      </c>
    </row>
    <row r="134" spans="1:84" x14ac:dyDescent="0.25">
      <c r="A134" t="s">
        <v>128</v>
      </c>
      <c r="B134" t="s">
        <v>291</v>
      </c>
      <c r="C134" s="14" t="s">
        <v>72</v>
      </c>
      <c r="D134" s="12">
        <v>46239</v>
      </c>
      <c r="E134" s="14" t="s">
        <v>420</v>
      </c>
      <c r="F134" s="14" t="s">
        <v>420</v>
      </c>
      <c r="G134" s="14" t="s">
        <v>420</v>
      </c>
      <c r="H134" s="14" t="s">
        <v>73</v>
      </c>
      <c r="I134">
        <v>20</v>
      </c>
      <c r="J134">
        <v>3.6011567851291222</v>
      </c>
      <c r="K134">
        <v>46239</v>
      </c>
      <c r="L134" t="s">
        <v>468</v>
      </c>
      <c r="M134">
        <v>2.8499999999999996</v>
      </c>
      <c r="N134">
        <v>2.8499999999999996</v>
      </c>
      <c r="O134">
        <v>3.7647058823529393</v>
      </c>
      <c r="P134">
        <v>0.79141236276326432</v>
      </c>
      <c r="Q134">
        <v>0.79141236276326432</v>
      </c>
      <c r="R134">
        <v>1.0454157113900702</v>
      </c>
      <c r="S134">
        <v>4.5415711390070168E-2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0.20858763723673568</v>
      </c>
      <c r="AC134">
        <v>0</v>
      </c>
      <c r="AD134">
        <v>0</v>
      </c>
      <c r="AE134">
        <v>0</v>
      </c>
      <c r="AF134">
        <v>0</v>
      </c>
      <c r="AG134">
        <v>0.79141236276326432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1.2635637842558325</v>
      </c>
      <c r="AN134">
        <v>1.2635637842558325</v>
      </c>
      <c r="AO134">
        <v>1.3209494324045403</v>
      </c>
      <c r="AP134">
        <v>5.7385648148707835E-2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0.26356378425583249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0.75703125000000027</v>
      </c>
      <c r="BK134">
        <v>0.75703125000000027</v>
      </c>
      <c r="BL134">
        <v>0.9565572710499235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4.3442728950076503E-2</v>
      </c>
      <c r="BX134">
        <v>0</v>
      </c>
      <c r="BY134">
        <v>0</v>
      </c>
      <c r="BZ134">
        <v>0</v>
      </c>
      <c r="CA134">
        <v>0.75703125000000027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5">
      <c r="A135" t="s">
        <v>128</v>
      </c>
      <c r="B135" t="s">
        <v>291</v>
      </c>
      <c r="C135" s="14" t="s">
        <v>72</v>
      </c>
      <c r="D135" s="12">
        <v>46238</v>
      </c>
      <c r="E135" s="14" t="s">
        <v>420</v>
      </c>
      <c r="F135" s="14" t="s">
        <v>420</v>
      </c>
      <c r="G135" s="14" t="s">
        <v>420</v>
      </c>
      <c r="H135" s="14" t="s">
        <v>75</v>
      </c>
      <c r="I135">
        <v>20</v>
      </c>
      <c r="J135">
        <v>3.23044946901289</v>
      </c>
      <c r="K135">
        <v>46238</v>
      </c>
      <c r="L135" t="s">
        <v>467</v>
      </c>
      <c r="M135">
        <v>2.8499999999999996</v>
      </c>
      <c r="N135">
        <v>2.8499999999999996</v>
      </c>
      <c r="O135">
        <v>2.8685121107266438</v>
      </c>
      <c r="P135">
        <v>0.88223017488363864</v>
      </c>
      <c r="Q135">
        <v>0.88223017488363864</v>
      </c>
      <c r="R135">
        <v>0.88796068108849224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5.7305062048536026E-3</v>
      </c>
      <c r="AC135">
        <v>0.11203931891150776</v>
      </c>
      <c r="AD135">
        <v>0</v>
      </c>
      <c r="AE135">
        <v>0</v>
      </c>
      <c r="AF135">
        <v>0</v>
      </c>
      <c r="AG135">
        <v>0.88223017488363864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1.1334910417589088</v>
      </c>
      <c r="AN135">
        <v>1.1334910417589088</v>
      </c>
      <c r="AO135">
        <v>1.0064954774479453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6.4954774479453192E-3</v>
      </c>
      <c r="AW135">
        <v>0</v>
      </c>
      <c r="AX135">
        <v>0.12699556431096348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0.99354644149577787</v>
      </c>
      <c r="BK135">
        <v>0.99354644149577787</v>
      </c>
      <c r="BL135">
        <v>1.126175991006906</v>
      </c>
      <c r="BM135">
        <v>0.12617599100690602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0.11776982511636136</v>
      </c>
      <c r="BW135">
        <v>0</v>
      </c>
      <c r="BX135">
        <v>0</v>
      </c>
      <c r="BY135">
        <v>0</v>
      </c>
      <c r="BZ135">
        <v>0</v>
      </c>
      <c r="CA135">
        <v>0.99354644149577787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x14ac:dyDescent="0.25">
      <c r="A136" t="s">
        <v>128</v>
      </c>
      <c r="B136" t="s">
        <v>291</v>
      </c>
      <c r="C136" s="14" t="s">
        <v>72</v>
      </c>
      <c r="D136" s="12">
        <v>46249</v>
      </c>
      <c r="E136" s="14" t="s">
        <v>134</v>
      </c>
      <c r="F136" s="14" t="s">
        <v>134</v>
      </c>
      <c r="G136" s="14" t="s">
        <v>134</v>
      </c>
      <c r="H136" s="14" t="s">
        <v>75</v>
      </c>
      <c r="I136">
        <v>20</v>
      </c>
      <c r="J136">
        <v>2.2474193200215868</v>
      </c>
      <c r="K136">
        <v>46249</v>
      </c>
      <c r="L136" t="s">
        <v>500</v>
      </c>
      <c r="M136">
        <v>1.9</v>
      </c>
      <c r="N136">
        <v>1.9</v>
      </c>
      <c r="O136">
        <v>4.1003460207612443</v>
      </c>
      <c r="P136">
        <v>0.84541410811657081</v>
      </c>
      <c r="Q136">
        <v>0.84541410811657081</v>
      </c>
      <c r="R136">
        <v>1.8244686179532619</v>
      </c>
      <c r="S136">
        <v>0.82446861795326187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0.15458589188342919</v>
      </c>
      <c r="AC136">
        <v>0</v>
      </c>
      <c r="AD136">
        <v>0</v>
      </c>
      <c r="AE136">
        <v>0</v>
      </c>
      <c r="AF136">
        <v>0</v>
      </c>
      <c r="AG136">
        <v>0.84541410811657081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1.182852273695572</v>
      </c>
      <c r="AN136">
        <v>1.182852273695572</v>
      </c>
      <c r="AO136">
        <v>2.1580768530322341</v>
      </c>
      <c r="AP136">
        <v>0.97522457933666207</v>
      </c>
      <c r="AQ136">
        <v>0</v>
      </c>
      <c r="AR136">
        <v>0</v>
      </c>
      <c r="AS136">
        <v>0</v>
      </c>
      <c r="AT136">
        <v>0</v>
      </c>
      <c r="AU136">
        <v>0.317147726304428</v>
      </c>
      <c r="AV136">
        <v>0.182852273695572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0.46337552742616045</v>
      </c>
      <c r="BK136">
        <v>0.46337552742616045</v>
      </c>
      <c r="BL136">
        <v>0.54810479619091879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0.45189520380908121</v>
      </c>
      <c r="BX136">
        <v>0</v>
      </c>
      <c r="BY136">
        <v>0</v>
      </c>
      <c r="BZ136">
        <v>0</v>
      </c>
      <c r="CA136">
        <v>0.46337552742616045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25">
      <c r="A137" t="s">
        <v>128</v>
      </c>
      <c r="B137" t="s">
        <v>291</v>
      </c>
      <c r="C137" s="14" t="s">
        <v>72</v>
      </c>
      <c r="D137" s="12">
        <v>46243</v>
      </c>
      <c r="E137" s="14" t="s">
        <v>134</v>
      </c>
      <c r="F137" s="14" t="s">
        <v>134</v>
      </c>
      <c r="G137" s="14" t="s">
        <v>134</v>
      </c>
      <c r="H137" s="14" t="s">
        <v>73</v>
      </c>
      <c r="I137">
        <v>20</v>
      </c>
      <c r="J137">
        <v>3.507203196674312</v>
      </c>
      <c r="K137">
        <v>46243</v>
      </c>
      <c r="L137" t="s">
        <v>480</v>
      </c>
      <c r="M137">
        <v>3.8</v>
      </c>
      <c r="N137">
        <v>3.8</v>
      </c>
      <c r="O137">
        <v>4.705882352941174</v>
      </c>
      <c r="P137">
        <v>1.083484413906594</v>
      </c>
      <c r="Q137">
        <v>1.083484413906594</v>
      </c>
      <c r="R137">
        <v>1.3417763639710136</v>
      </c>
      <c r="S137">
        <v>0.25829195006441963</v>
      </c>
      <c r="T137">
        <v>0</v>
      </c>
      <c r="U137">
        <v>0</v>
      </c>
      <c r="V137">
        <v>0</v>
      </c>
      <c r="W137">
        <v>0</v>
      </c>
      <c r="X137">
        <v>0.166515586093406</v>
      </c>
      <c r="Y137">
        <v>8.3484413906594002E-2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0.92294820965113478</v>
      </c>
      <c r="AN137">
        <v>0.92294820965113478</v>
      </c>
      <c r="AO137">
        <v>1.2383900928792564</v>
      </c>
      <c r="AP137">
        <v>0.23839009287925639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0.92294820965113478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0.80750000000000044</v>
      </c>
      <c r="BK137">
        <v>0.80750000000000044</v>
      </c>
      <c r="BL137">
        <v>0.74528067929329167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0.19249999999999956</v>
      </c>
      <c r="BX137">
        <v>0</v>
      </c>
      <c r="BY137">
        <v>6.2219320706708769E-2</v>
      </c>
      <c r="BZ137">
        <v>0</v>
      </c>
      <c r="CA137">
        <v>0.74528067929329167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 spans="1:84" x14ac:dyDescent="0.25">
      <c r="A138" t="s">
        <v>128</v>
      </c>
      <c r="B138" t="s">
        <v>291</v>
      </c>
      <c r="C138" s="14" t="s">
        <v>72</v>
      </c>
      <c r="D138" s="12">
        <v>46238</v>
      </c>
      <c r="E138" s="14" t="s">
        <v>420</v>
      </c>
      <c r="F138" s="14" t="s">
        <v>420</v>
      </c>
      <c r="G138" s="14" t="s">
        <v>420</v>
      </c>
      <c r="H138" s="14" t="s">
        <v>74</v>
      </c>
      <c r="I138">
        <v>20</v>
      </c>
      <c r="J138">
        <v>0</v>
      </c>
      <c r="K138">
        <v>46238</v>
      </c>
      <c r="L138" t="s">
        <v>466</v>
      </c>
      <c r="M138">
        <v>12.35</v>
      </c>
      <c r="N138">
        <v>12.35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F138">
        <v>0</v>
      </c>
    </row>
    <row r="139" spans="1:84" x14ac:dyDescent="0.25">
      <c r="A139" t="s">
        <v>128</v>
      </c>
      <c r="B139" t="s">
        <v>291</v>
      </c>
      <c r="C139" s="14" t="s">
        <v>72</v>
      </c>
      <c r="D139" s="12">
        <v>46250</v>
      </c>
      <c r="E139" s="14" t="s">
        <v>134</v>
      </c>
      <c r="F139" s="14" t="s">
        <v>134</v>
      </c>
      <c r="G139" s="14" t="s">
        <v>134</v>
      </c>
      <c r="H139" s="14" t="s">
        <v>73</v>
      </c>
      <c r="I139">
        <v>20</v>
      </c>
      <c r="J139">
        <v>3.5818245412844032</v>
      </c>
      <c r="K139">
        <v>46250</v>
      </c>
      <c r="L139" t="s">
        <v>501</v>
      </c>
      <c r="M139">
        <v>1.9</v>
      </c>
      <c r="N139">
        <v>1.9</v>
      </c>
      <c r="O139">
        <v>4.1323529411764692</v>
      </c>
      <c r="P139">
        <v>0.53045591097510336</v>
      </c>
      <c r="Q139">
        <v>0.53045591097510336</v>
      </c>
      <c r="R139">
        <v>1.1537005494117958</v>
      </c>
      <c r="S139">
        <v>0.15370054941179578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0.46954408902489664</v>
      </c>
      <c r="AC139">
        <v>0</v>
      </c>
      <c r="AD139">
        <v>0</v>
      </c>
      <c r="AE139">
        <v>0</v>
      </c>
      <c r="AF139">
        <v>0</v>
      </c>
      <c r="AG139">
        <v>0.53045591097510336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1.8851708112023176</v>
      </c>
      <c r="AN139">
        <v>1.8851708112023176</v>
      </c>
      <c r="AO139">
        <v>2.1749226006191944</v>
      </c>
      <c r="BF139">
        <v>0</v>
      </c>
      <c r="BG139">
        <v>0</v>
      </c>
      <c r="BH139">
        <v>0</v>
      </c>
      <c r="BJ139">
        <v>0.45978647686832752</v>
      </c>
      <c r="BK139">
        <v>0.45978647686832752</v>
      </c>
      <c r="BL139">
        <v>0.86677604557772059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0.13322395442227941</v>
      </c>
      <c r="BX139">
        <v>0</v>
      </c>
      <c r="BY139">
        <v>0</v>
      </c>
      <c r="BZ139">
        <v>0</v>
      </c>
      <c r="CA139">
        <v>0.45978647686832752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 spans="1:84" x14ac:dyDescent="0.25">
      <c r="A140" t="s">
        <v>128</v>
      </c>
      <c r="B140" t="s">
        <v>291</v>
      </c>
      <c r="C140" s="14" t="s">
        <v>72</v>
      </c>
      <c r="D140" s="12">
        <v>46238</v>
      </c>
      <c r="E140" s="14" t="s">
        <v>420</v>
      </c>
      <c r="F140" s="14" t="s">
        <v>420</v>
      </c>
      <c r="G140" s="14" t="s">
        <v>420</v>
      </c>
      <c r="H140" s="14" t="s">
        <v>73</v>
      </c>
      <c r="I140">
        <v>20</v>
      </c>
      <c r="J140">
        <v>3.6011567851291222</v>
      </c>
      <c r="K140">
        <v>46238</v>
      </c>
      <c r="L140" t="s">
        <v>465</v>
      </c>
      <c r="M140">
        <v>1.9</v>
      </c>
      <c r="N140">
        <v>1.9</v>
      </c>
      <c r="O140">
        <v>3.7647058823529398</v>
      </c>
      <c r="P140">
        <v>0.52760824184217625</v>
      </c>
      <c r="Q140">
        <v>0.52760824184217625</v>
      </c>
      <c r="R140">
        <v>1.0454157113900704</v>
      </c>
      <c r="S140">
        <v>4.541571139007039E-2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0.47239175815782375</v>
      </c>
      <c r="AC140">
        <v>0</v>
      </c>
      <c r="AD140">
        <v>0</v>
      </c>
      <c r="AE140">
        <v>0</v>
      </c>
      <c r="AF140">
        <v>0</v>
      </c>
      <c r="AG140">
        <v>0.52760824184217625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1.8953456763837486</v>
      </c>
      <c r="AN140">
        <v>1.8953456763837486</v>
      </c>
      <c r="AO140">
        <v>1.9814241486068105</v>
      </c>
      <c r="BF140">
        <v>0</v>
      </c>
      <c r="BG140">
        <v>0</v>
      </c>
      <c r="BH140">
        <v>0</v>
      </c>
      <c r="BJ140">
        <v>0.50468750000000018</v>
      </c>
      <c r="BK140">
        <v>0.50468750000000018</v>
      </c>
      <c r="BL140">
        <v>0.95655727104992339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4.3442728950076615E-2</v>
      </c>
      <c r="BX140">
        <v>0</v>
      </c>
      <c r="BY140">
        <v>0</v>
      </c>
      <c r="BZ140">
        <v>0</v>
      </c>
      <c r="CA140">
        <v>0.50468750000000018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84" x14ac:dyDescent="0.25">
      <c r="A141" t="s">
        <v>128</v>
      </c>
      <c r="B141" t="s">
        <v>291</v>
      </c>
      <c r="C141" s="14" t="s">
        <v>72</v>
      </c>
      <c r="D141" s="12">
        <v>46245</v>
      </c>
      <c r="E141" s="14" t="s">
        <v>420</v>
      </c>
      <c r="F141" s="14" t="s">
        <v>420</v>
      </c>
      <c r="G141" s="14" t="s">
        <v>420</v>
      </c>
      <c r="H141" s="14" t="s">
        <v>74</v>
      </c>
      <c r="I141">
        <v>20</v>
      </c>
      <c r="J141">
        <v>0</v>
      </c>
      <c r="K141">
        <v>46245</v>
      </c>
      <c r="L141" t="s">
        <v>487</v>
      </c>
      <c r="M141">
        <v>11.4</v>
      </c>
      <c r="N141">
        <v>11.4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F141">
        <v>0</v>
      </c>
    </row>
    <row r="142" spans="1:84" x14ac:dyDescent="0.25">
      <c r="A142" t="s">
        <v>128</v>
      </c>
      <c r="B142" t="s">
        <v>291</v>
      </c>
      <c r="C142" s="14" t="s">
        <v>72</v>
      </c>
      <c r="D142" s="12">
        <v>46250</v>
      </c>
      <c r="E142" s="14" t="s">
        <v>134</v>
      </c>
      <c r="F142" s="14" t="s">
        <v>134</v>
      </c>
      <c r="G142" s="14" t="s">
        <v>134</v>
      </c>
      <c r="H142" s="14" t="s">
        <v>74</v>
      </c>
      <c r="I142">
        <v>20</v>
      </c>
      <c r="J142">
        <v>1.2735376146788988</v>
      </c>
      <c r="K142">
        <v>46250</v>
      </c>
      <c r="L142" t="s">
        <v>502</v>
      </c>
      <c r="M142">
        <v>0.95</v>
      </c>
      <c r="N142">
        <v>0.95</v>
      </c>
      <c r="O142">
        <v>0</v>
      </c>
      <c r="P142">
        <v>0.74595362480873917</v>
      </c>
      <c r="Q142">
        <v>0.74595362480873917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0.25404637519126083</v>
      </c>
      <c r="AD142">
        <v>0</v>
      </c>
      <c r="AE142">
        <v>0</v>
      </c>
      <c r="AF142">
        <v>0</v>
      </c>
      <c r="AG142">
        <v>0</v>
      </c>
      <c r="AH142">
        <v>0.74595362480873917</v>
      </c>
      <c r="AI142">
        <v>0</v>
      </c>
      <c r="AJ142">
        <v>0</v>
      </c>
      <c r="AK142">
        <v>0</v>
      </c>
      <c r="AL142">
        <v>0</v>
      </c>
      <c r="AM142">
        <v>1.3405659101883145</v>
      </c>
      <c r="AN142">
        <v>1.3405659101883145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0.3405659101883145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25">
      <c r="A143" t="s">
        <v>128</v>
      </c>
      <c r="B143" t="s">
        <v>291</v>
      </c>
      <c r="C143" s="14" t="s">
        <v>72</v>
      </c>
      <c r="D143" s="12">
        <v>46237</v>
      </c>
      <c r="E143" s="14" t="s">
        <v>420</v>
      </c>
      <c r="F143" s="14" t="s">
        <v>420</v>
      </c>
      <c r="G143" s="14" t="s">
        <v>420</v>
      </c>
      <c r="H143" s="14" t="s">
        <v>75</v>
      </c>
      <c r="I143">
        <v>20</v>
      </c>
      <c r="J143">
        <v>3.1774912809962848</v>
      </c>
      <c r="K143">
        <v>46237</v>
      </c>
      <c r="L143" t="s">
        <v>464</v>
      </c>
      <c r="M143">
        <v>5.6999999999999993</v>
      </c>
      <c r="N143">
        <v>5.6999999999999993</v>
      </c>
      <c r="O143">
        <v>3.7508650519031144</v>
      </c>
      <c r="P143">
        <v>1.7938680222633989</v>
      </c>
      <c r="Q143">
        <v>1.7938680222633989</v>
      </c>
      <c r="R143">
        <v>1.180448574111288</v>
      </c>
      <c r="S143">
        <v>0</v>
      </c>
      <c r="T143">
        <v>0</v>
      </c>
      <c r="U143">
        <v>0.54386802226339892</v>
      </c>
      <c r="V143">
        <v>0</v>
      </c>
      <c r="W143">
        <v>0</v>
      </c>
      <c r="X143">
        <v>0</v>
      </c>
      <c r="Y143">
        <v>0.18044857411128801</v>
      </c>
      <c r="Z143">
        <v>0</v>
      </c>
      <c r="AA143">
        <v>6.9551425888711993E-2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0.55745461070110269</v>
      </c>
      <c r="AN143">
        <v>0.55745461070110269</v>
      </c>
      <c r="AO143">
        <v>0.65804650033387979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0.34195349966612021</v>
      </c>
      <c r="BA143">
        <v>0</v>
      </c>
      <c r="BB143">
        <v>0</v>
      </c>
      <c r="BC143">
        <v>0</v>
      </c>
      <c r="BD143">
        <v>0.55745461070110269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1.5196494464944648</v>
      </c>
      <c r="BK143">
        <v>1.5196494464944648</v>
      </c>
      <c r="BL143">
        <v>0.84713559059771792</v>
      </c>
      <c r="CC143">
        <v>0</v>
      </c>
      <c r="CD143">
        <v>0</v>
      </c>
      <c r="CE143">
        <v>0</v>
      </c>
    </row>
    <row r="144" spans="1:84" x14ac:dyDescent="0.25">
      <c r="A144" t="s">
        <v>128</v>
      </c>
      <c r="B144" t="s">
        <v>291</v>
      </c>
      <c r="C144" s="14" t="s">
        <v>72</v>
      </c>
      <c r="D144" s="12">
        <v>46250</v>
      </c>
      <c r="E144" s="14" t="s">
        <v>134</v>
      </c>
      <c r="F144" s="14" t="s">
        <v>134</v>
      </c>
      <c r="G144" s="14" t="s">
        <v>134</v>
      </c>
      <c r="H144" s="14" t="s">
        <v>75</v>
      </c>
      <c r="I144">
        <v>20</v>
      </c>
      <c r="J144">
        <v>2.2474193200215868</v>
      </c>
      <c r="K144">
        <v>46250</v>
      </c>
      <c r="L144" t="s">
        <v>503</v>
      </c>
      <c r="M144">
        <v>13.3</v>
      </c>
      <c r="N144">
        <v>13.3</v>
      </c>
      <c r="O144">
        <v>3.0449826989619377</v>
      </c>
      <c r="P144">
        <v>5.9178987568159958</v>
      </c>
      <c r="Q144">
        <v>5.9178987568159958</v>
      </c>
      <c r="R144">
        <v>1.3548796487754187</v>
      </c>
      <c r="S144">
        <v>0</v>
      </c>
      <c r="T144">
        <v>0</v>
      </c>
      <c r="U144">
        <v>4.5630191080405771</v>
      </c>
      <c r="V144">
        <v>0</v>
      </c>
      <c r="W144">
        <v>0.10487964877541867</v>
      </c>
      <c r="X144">
        <v>0</v>
      </c>
      <c r="Y144">
        <v>0.25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0.16897889624222459</v>
      </c>
      <c r="AN144">
        <v>0.16897889624222459</v>
      </c>
      <c r="AO144">
        <v>0.22894606759112315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0.77105393240887687</v>
      </c>
      <c r="BA144">
        <v>0</v>
      </c>
      <c r="BB144">
        <v>0</v>
      </c>
      <c r="BC144">
        <v>0</v>
      </c>
      <c r="BD144">
        <v>0.16897889624222459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4.3678409090909085</v>
      </c>
      <c r="BK144">
        <v>4.3678409090909085</v>
      </c>
      <c r="BL144">
        <v>0.73807293577981659</v>
      </c>
      <c r="CC144">
        <v>0</v>
      </c>
      <c r="CD144">
        <v>0</v>
      </c>
      <c r="CE144">
        <v>0</v>
      </c>
    </row>
    <row r="145" spans="1:84" x14ac:dyDescent="0.25">
      <c r="A145" t="s">
        <v>128</v>
      </c>
      <c r="B145" t="s">
        <v>291</v>
      </c>
      <c r="C145" s="14" t="s">
        <v>72</v>
      </c>
      <c r="D145" s="12">
        <v>46243</v>
      </c>
      <c r="E145" s="14" t="s">
        <v>134</v>
      </c>
      <c r="F145" s="14" t="s">
        <v>134</v>
      </c>
      <c r="G145" s="14" t="s">
        <v>134</v>
      </c>
      <c r="H145" s="14" t="s">
        <v>75</v>
      </c>
      <c r="I145">
        <v>20</v>
      </c>
      <c r="J145">
        <v>3.3711289800323798</v>
      </c>
      <c r="K145">
        <v>46243</v>
      </c>
      <c r="L145" t="s">
        <v>482</v>
      </c>
      <c r="M145">
        <v>7.6</v>
      </c>
      <c r="N145">
        <v>7.6</v>
      </c>
      <c r="O145">
        <v>4.9273356401384065</v>
      </c>
      <c r="P145">
        <v>2.2544376216441893</v>
      </c>
      <c r="Q145">
        <v>2.2544376216441893</v>
      </c>
      <c r="R145">
        <v>1.4616277423152997</v>
      </c>
      <c r="S145">
        <v>0</v>
      </c>
      <c r="T145">
        <v>0</v>
      </c>
      <c r="U145">
        <v>0.79280987932888958</v>
      </c>
      <c r="V145">
        <v>0</v>
      </c>
      <c r="W145">
        <v>0.21162774231529968</v>
      </c>
      <c r="X145">
        <v>0</v>
      </c>
      <c r="Y145">
        <v>0.25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0.44356960263583944</v>
      </c>
      <c r="AN145">
        <v>0.44356960263583944</v>
      </c>
      <c r="AO145">
        <v>0.64833363686031664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0.35166636313968336</v>
      </c>
      <c r="BA145">
        <v>0</v>
      </c>
      <c r="BB145">
        <v>0</v>
      </c>
      <c r="BC145">
        <v>0</v>
      </c>
      <c r="BD145">
        <v>0.44356960263583944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1.5424157303370791</v>
      </c>
      <c r="BK145">
        <v>1.5424157303370791</v>
      </c>
      <c r="BL145">
        <v>0.68416873260488631</v>
      </c>
      <c r="CC145">
        <v>0</v>
      </c>
      <c r="CD145">
        <v>0</v>
      </c>
      <c r="CE145">
        <v>0</v>
      </c>
    </row>
    <row r="146" spans="1:84" x14ac:dyDescent="0.25">
      <c r="A146" t="s">
        <v>128</v>
      </c>
      <c r="B146" t="s">
        <v>291</v>
      </c>
      <c r="C146" s="14" t="s">
        <v>109</v>
      </c>
      <c r="D146" s="12">
        <v>46223</v>
      </c>
      <c r="E146" s="14" t="s">
        <v>133</v>
      </c>
      <c r="F146" s="14" t="s">
        <v>133</v>
      </c>
      <c r="G146" s="14" t="s">
        <v>133</v>
      </c>
      <c r="H146" s="14"/>
      <c r="J146">
        <v>27.064943963236065</v>
      </c>
      <c r="M146">
        <v>67.45</v>
      </c>
      <c r="N146">
        <v>67.45</v>
      </c>
      <c r="O146">
        <v>26.328125</v>
      </c>
      <c r="S146">
        <v>0</v>
      </c>
      <c r="T146">
        <v>0</v>
      </c>
      <c r="U146">
        <v>1.2299964645769912</v>
      </c>
      <c r="V146">
        <v>0</v>
      </c>
      <c r="W146">
        <v>1.2157226619317001E-2</v>
      </c>
      <c r="X146">
        <v>0</v>
      </c>
      <c r="Y146">
        <v>3.898128898128899E-2</v>
      </c>
      <c r="Z146">
        <v>0</v>
      </c>
      <c r="AA146">
        <v>0.211018711018711</v>
      </c>
      <c r="AB146">
        <v>0</v>
      </c>
      <c r="AC146">
        <v>0</v>
      </c>
      <c r="AD146">
        <v>0</v>
      </c>
      <c r="AE146">
        <v>7.8362623813685237E-2</v>
      </c>
      <c r="AF146">
        <v>0</v>
      </c>
      <c r="AG146">
        <v>0.92163737618631469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84" x14ac:dyDescent="0.25">
      <c r="A147" t="s">
        <v>128</v>
      </c>
      <c r="B147" t="s">
        <v>291</v>
      </c>
      <c r="C147" s="14" t="s">
        <v>72</v>
      </c>
      <c r="D147" s="12">
        <v>46248</v>
      </c>
      <c r="E147" s="14" t="s">
        <v>134</v>
      </c>
      <c r="F147" s="14" t="s">
        <v>134</v>
      </c>
      <c r="G147" s="14" t="s">
        <v>134</v>
      </c>
      <c r="H147" s="14" t="s">
        <v>73</v>
      </c>
      <c r="I147">
        <v>20</v>
      </c>
      <c r="J147">
        <v>4.5519020212155956</v>
      </c>
      <c r="K147">
        <v>46248</v>
      </c>
      <c r="L147" t="s">
        <v>495</v>
      </c>
      <c r="M147">
        <v>0</v>
      </c>
      <c r="N147">
        <v>0</v>
      </c>
      <c r="O147">
        <v>2.8235294117647065</v>
      </c>
      <c r="P147">
        <v>0</v>
      </c>
      <c r="Q147">
        <v>0</v>
      </c>
      <c r="R147">
        <v>0.62029661416364945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0.62029661416364945</v>
      </c>
      <c r="AC147">
        <v>0.37970338583635055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J147">
        <v>0</v>
      </c>
      <c r="BK147">
        <v>0</v>
      </c>
      <c r="BL147">
        <v>1.6121319658471898</v>
      </c>
      <c r="BM147">
        <v>0.61213196584718976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</v>
      </c>
      <c r="CF147">
        <v>1</v>
      </c>
    </row>
    <row r="148" spans="1:84" x14ac:dyDescent="0.25">
      <c r="A148" t="s">
        <v>128</v>
      </c>
      <c r="B148" t="s">
        <v>291</v>
      </c>
      <c r="C148" s="14" t="s">
        <v>72</v>
      </c>
      <c r="D148" s="12">
        <v>46247</v>
      </c>
      <c r="E148" s="14" t="s">
        <v>134</v>
      </c>
      <c r="F148" s="14" t="s">
        <v>134</v>
      </c>
      <c r="G148" s="14" t="s">
        <v>134</v>
      </c>
      <c r="H148" s="14" t="s">
        <v>75</v>
      </c>
      <c r="I148">
        <v>20</v>
      </c>
      <c r="J148">
        <v>3.3711289800323794</v>
      </c>
      <c r="K148">
        <v>46247</v>
      </c>
      <c r="L148" t="s">
        <v>494</v>
      </c>
      <c r="M148">
        <v>0.95</v>
      </c>
      <c r="N148">
        <v>0.95</v>
      </c>
      <c r="O148">
        <v>3.986159169550171</v>
      </c>
      <c r="P148">
        <v>0.28180470270552366</v>
      </c>
      <c r="Q148">
        <v>0.28180470270552366</v>
      </c>
      <c r="R148">
        <v>1.1824404207494559</v>
      </c>
      <c r="S148">
        <v>0.18244042074945588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0.71819529729447629</v>
      </c>
      <c r="AC148">
        <v>0</v>
      </c>
      <c r="AD148">
        <v>0</v>
      </c>
      <c r="AE148">
        <v>0</v>
      </c>
      <c r="AF148">
        <v>0</v>
      </c>
      <c r="AG148">
        <v>0.28180470270552366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3.5485568210867151</v>
      </c>
      <c r="AN148">
        <v>3.5485568210867151</v>
      </c>
      <c r="AO148">
        <v>4.1959570205791277</v>
      </c>
      <c r="BF148">
        <v>0</v>
      </c>
      <c r="BG148">
        <v>0</v>
      </c>
      <c r="BH148">
        <v>0</v>
      </c>
      <c r="BJ148">
        <v>0.2383246527777779</v>
      </c>
      <c r="BK148">
        <v>0.2383246527777779</v>
      </c>
      <c r="BL148">
        <v>0.84570857224770668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0.15429142775229332</v>
      </c>
      <c r="BX148">
        <v>0</v>
      </c>
      <c r="BY148">
        <v>0</v>
      </c>
      <c r="BZ148">
        <v>0</v>
      </c>
      <c r="CA148">
        <v>0.2383246527777779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x14ac:dyDescent="0.25">
      <c r="A149" t="s">
        <v>128</v>
      </c>
      <c r="B149" t="s">
        <v>291</v>
      </c>
      <c r="C149" s="14" t="s">
        <v>72</v>
      </c>
      <c r="D149" s="12">
        <v>46245</v>
      </c>
      <c r="E149" s="14" t="s">
        <v>134</v>
      </c>
      <c r="F149" s="14" t="s">
        <v>134</v>
      </c>
      <c r="G149" s="14" t="s">
        <v>134</v>
      </c>
      <c r="H149" s="14" t="s">
        <v>73</v>
      </c>
      <c r="I149">
        <v>20</v>
      </c>
      <c r="J149">
        <v>7.014406393348624</v>
      </c>
      <c r="K149">
        <v>46245</v>
      </c>
      <c r="L149" t="s">
        <v>486</v>
      </c>
      <c r="M149">
        <v>3.8</v>
      </c>
      <c r="N149">
        <v>3.8</v>
      </c>
      <c r="O149">
        <v>6.5882352941176467</v>
      </c>
      <c r="P149">
        <v>0.541742206953297</v>
      </c>
      <c r="Q149">
        <v>0.541742206953297</v>
      </c>
      <c r="R149">
        <v>0.93924345477970994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0.39750124782641294</v>
      </c>
      <c r="AC149">
        <v>6.0756545220290059E-2</v>
      </c>
      <c r="AD149">
        <v>0</v>
      </c>
      <c r="AE149">
        <v>0</v>
      </c>
      <c r="AF149">
        <v>0</v>
      </c>
      <c r="AG149">
        <v>0.541742206953297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1.8458964193022696</v>
      </c>
      <c r="AN149">
        <v>1.8458964193022696</v>
      </c>
      <c r="AO149">
        <v>1.7337461300309598</v>
      </c>
      <c r="BF149">
        <v>0</v>
      </c>
      <c r="BG149">
        <v>0</v>
      </c>
      <c r="BH149">
        <v>0</v>
      </c>
      <c r="BJ149">
        <v>0.57678571428571423</v>
      </c>
      <c r="BK149">
        <v>0.57678571428571423</v>
      </c>
      <c r="BL149">
        <v>1.0646866847047018</v>
      </c>
      <c r="BM149">
        <v>6.4686684704701847E-2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0.458257793046703</v>
      </c>
      <c r="BW149">
        <v>0</v>
      </c>
      <c r="BX149">
        <v>0</v>
      </c>
      <c r="BY149">
        <v>0</v>
      </c>
      <c r="BZ149">
        <v>0</v>
      </c>
      <c r="CA149">
        <v>0.57678571428571423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x14ac:dyDescent="0.25">
      <c r="A150" t="s">
        <v>128</v>
      </c>
      <c r="B150" t="s">
        <v>291</v>
      </c>
      <c r="C150" s="14" t="s">
        <v>72</v>
      </c>
      <c r="D150" s="12">
        <v>46244</v>
      </c>
      <c r="E150" s="14" t="s">
        <v>134</v>
      </c>
      <c r="F150" s="14" t="s">
        <v>134</v>
      </c>
      <c r="G150" s="14" t="s">
        <v>134</v>
      </c>
      <c r="H150" s="14" t="s">
        <v>74</v>
      </c>
      <c r="I150">
        <v>20</v>
      </c>
      <c r="J150">
        <v>1.2735376146788988</v>
      </c>
      <c r="K150">
        <v>46244</v>
      </c>
      <c r="L150" t="s">
        <v>484</v>
      </c>
      <c r="M150">
        <v>0</v>
      </c>
      <c r="N150">
        <v>0</v>
      </c>
      <c r="O150">
        <v>2.8235294117647056</v>
      </c>
      <c r="P150">
        <v>0</v>
      </c>
      <c r="Q150">
        <v>0</v>
      </c>
      <c r="R150">
        <v>2.2170757889052308</v>
      </c>
      <c r="S150">
        <v>1.2170757889052308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0</v>
      </c>
      <c r="BL150">
        <v>0.45104457186544339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0.54895542813455656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0.45104457186544344</v>
      </c>
      <c r="CF150">
        <v>0</v>
      </c>
    </row>
    <row r="151" spans="1:84" x14ac:dyDescent="0.25">
      <c r="A151" t="s">
        <v>128</v>
      </c>
      <c r="B151" t="s">
        <v>291</v>
      </c>
      <c r="C151" s="14" t="s">
        <v>72</v>
      </c>
      <c r="D151" s="12">
        <v>46243</v>
      </c>
      <c r="E151" s="14" t="s">
        <v>420</v>
      </c>
      <c r="F151" s="14" t="s">
        <v>420</v>
      </c>
      <c r="G151" s="14" t="s">
        <v>420</v>
      </c>
      <c r="H151" s="14" t="s">
        <v>73</v>
      </c>
      <c r="I151">
        <v>20</v>
      </c>
      <c r="J151">
        <v>3.6011567851291222</v>
      </c>
      <c r="K151">
        <v>46243</v>
      </c>
      <c r="L151" t="s">
        <v>480</v>
      </c>
      <c r="M151">
        <v>2.8499999999999996</v>
      </c>
      <c r="N151">
        <v>2.8499999999999996</v>
      </c>
      <c r="O151">
        <v>3.7647058823529393</v>
      </c>
      <c r="P151">
        <v>0.79141236276326432</v>
      </c>
      <c r="Q151">
        <v>0.79141236276326432</v>
      </c>
      <c r="R151">
        <v>1.0454157113900702</v>
      </c>
      <c r="S151">
        <v>4.5415711390070168E-2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0.20858763723673568</v>
      </c>
      <c r="AC151">
        <v>0</v>
      </c>
      <c r="AD151">
        <v>0</v>
      </c>
      <c r="AE151">
        <v>0</v>
      </c>
      <c r="AF151">
        <v>0</v>
      </c>
      <c r="AG151">
        <v>0.79141236276326432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1.2635637842558325</v>
      </c>
      <c r="AN151">
        <v>1.2635637842558325</v>
      </c>
      <c r="AO151">
        <v>1.3209494324045403</v>
      </c>
      <c r="AP151">
        <v>5.7385648148707835E-2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0.26356378425583249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0.75703125000000027</v>
      </c>
      <c r="BK151">
        <v>0.75703125000000027</v>
      </c>
      <c r="BL151">
        <v>0.9565572710499235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4.3442728950076503E-2</v>
      </c>
      <c r="BX151">
        <v>0</v>
      </c>
      <c r="BY151">
        <v>0</v>
      </c>
      <c r="BZ151">
        <v>0</v>
      </c>
      <c r="CA151">
        <v>0.75703125000000027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 spans="1:84" x14ac:dyDescent="0.25">
      <c r="A152" t="s">
        <v>128</v>
      </c>
      <c r="B152" t="s">
        <v>291</v>
      </c>
      <c r="C152" s="14" t="s">
        <v>72</v>
      </c>
      <c r="D152" s="12">
        <v>46245</v>
      </c>
      <c r="E152" s="14" t="s">
        <v>134</v>
      </c>
      <c r="F152" s="14" t="s">
        <v>134</v>
      </c>
      <c r="G152" s="14" t="s">
        <v>134</v>
      </c>
      <c r="H152" s="14" t="s">
        <v>74</v>
      </c>
      <c r="I152">
        <v>20</v>
      </c>
      <c r="J152">
        <v>1.2735376146788988</v>
      </c>
      <c r="K152">
        <v>46245</v>
      </c>
      <c r="L152" t="s">
        <v>487</v>
      </c>
      <c r="M152">
        <v>8.5499999999999989</v>
      </c>
      <c r="N152">
        <v>8.5499999999999989</v>
      </c>
      <c r="O152">
        <v>2.8235294117647056</v>
      </c>
      <c r="P152">
        <v>6.7135826232786524</v>
      </c>
      <c r="Q152">
        <v>6.7135826232786524</v>
      </c>
      <c r="R152">
        <v>2.2170757889052308</v>
      </c>
      <c r="S152">
        <v>0</v>
      </c>
      <c r="T152">
        <v>0</v>
      </c>
      <c r="U152">
        <v>4.496506834373422</v>
      </c>
      <c r="V152">
        <v>0</v>
      </c>
      <c r="W152">
        <v>0.96707578890523083</v>
      </c>
      <c r="X152">
        <v>0</v>
      </c>
      <c r="Y152">
        <v>0.25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0.14895176779870165</v>
      </c>
      <c r="AN152">
        <v>0.14895176779870165</v>
      </c>
      <c r="AO152">
        <v>0.33023735810113519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0.66976264189886481</v>
      </c>
      <c r="BA152">
        <v>0</v>
      </c>
      <c r="BB152">
        <v>0</v>
      </c>
      <c r="BC152">
        <v>0</v>
      </c>
      <c r="BD152">
        <v>0.14895176779870165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3.0281249999999997</v>
      </c>
      <c r="BK152">
        <v>3.0281249999999997</v>
      </c>
      <c r="BL152">
        <v>0.45104457186544339</v>
      </c>
      <c r="CC152">
        <v>0</v>
      </c>
      <c r="CD152">
        <v>0</v>
      </c>
      <c r="CE152">
        <v>0</v>
      </c>
    </row>
    <row r="153" spans="1:84" x14ac:dyDescent="0.25">
      <c r="A153" t="s">
        <v>128</v>
      </c>
      <c r="B153" t="s">
        <v>291</v>
      </c>
      <c r="C153" s="14" t="s">
        <v>72</v>
      </c>
      <c r="D153" s="12">
        <v>46243</v>
      </c>
      <c r="E153" s="14" t="s">
        <v>420</v>
      </c>
      <c r="F153" s="14" t="s">
        <v>420</v>
      </c>
      <c r="G153" s="14" t="s">
        <v>420</v>
      </c>
      <c r="H153" s="14" t="s">
        <v>75</v>
      </c>
      <c r="I153">
        <v>20</v>
      </c>
      <c r="J153">
        <v>3.1774912809962856</v>
      </c>
      <c r="K153">
        <v>46243</v>
      </c>
      <c r="L153" t="s">
        <v>482</v>
      </c>
      <c r="M153">
        <v>11.4</v>
      </c>
      <c r="N153">
        <v>11.4</v>
      </c>
      <c r="O153">
        <v>3.7508650519031144</v>
      </c>
      <c r="P153">
        <v>3.587736044526797</v>
      </c>
      <c r="Q153">
        <v>3.587736044526797</v>
      </c>
      <c r="R153">
        <v>1.1804485741112878</v>
      </c>
      <c r="S153">
        <v>0</v>
      </c>
      <c r="T153">
        <v>0</v>
      </c>
      <c r="U153">
        <v>2.337736044526797</v>
      </c>
      <c r="V153">
        <v>0</v>
      </c>
      <c r="W153">
        <v>0</v>
      </c>
      <c r="X153">
        <v>0</v>
      </c>
      <c r="Y153">
        <v>0.18044857411128779</v>
      </c>
      <c r="Z153">
        <v>0</v>
      </c>
      <c r="AA153">
        <v>6.9551425888712215E-2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0.2787273053505514</v>
      </c>
      <c r="AN153">
        <v>0.2787273053505514</v>
      </c>
      <c r="AO153">
        <v>0.3290232501669399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0.6709767498330601</v>
      </c>
      <c r="BA153">
        <v>0</v>
      </c>
      <c r="BB153">
        <v>0</v>
      </c>
      <c r="BC153">
        <v>0</v>
      </c>
      <c r="BD153">
        <v>0.2787273053505514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3.0392988929889295</v>
      </c>
      <c r="BK153">
        <v>3.0392988929889295</v>
      </c>
      <c r="BL153">
        <v>0.84713559059771815</v>
      </c>
      <c r="CC153">
        <v>0</v>
      </c>
      <c r="CD153">
        <v>0</v>
      </c>
      <c r="CE153">
        <v>0</v>
      </c>
    </row>
    <row r="154" spans="1:84" x14ac:dyDescent="0.25">
      <c r="A154" t="s">
        <v>128</v>
      </c>
      <c r="B154" t="s">
        <v>291</v>
      </c>
      <c r="C154" s="14" t="s">
        <v>72</v>
      </c>
      <c r="D154" s="12">
        <v>46242</v>
      </c>
      <c r="E154" s="14" t="s">
        <v>420</v>
      </c>
      <c r="F154" s="14" t="s">
        <v>420</v>
      </c>
      <c r="G154" s="14" t="s">
        <v>420</v>
      </c>
      <c r="H154" s="14" t="s">
        <v>75</v>
      </c>
      <c r="I154">
        <v>20</v>
      </c>
      <c r="J154">
        <v>3.1774912809962856</v>
      </c>
      <c r="K154">
        <v>46242</v>
      </c>
      <c r="L154" t="s">
        <v>479</v>
      </c>
      <c r="M154">
        <v>3.8</v>
      </c>
      <c r="N154">
        <v>3.8</v>
      </c>
      <c r="O154">
        <v>3.7508650519031144</v>
      </c>
      <c r="P154">
        <v>1.1959120148422657</v>
      </c>
      <c r="Q154">
        <v>1.1959120148422657</v>
      </c>
      <c r="R154">
        <v>1.1804485741112878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0.18044857411128779</v>
      </c>
      <c r="Z154">
        <v>0</v>
      </c>
      <c r="AA154">
        <v>1.546344073097794E-2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0.83618191605165415</v>
      </c>
      <c r="AN154">
        <v>0.83618191605165415</v>
      </c>
      <c r="AO154">
        <v>0.98706975050081958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1.2930249499180424E-2</v>
      </c>
      <c r="BA154">
        <v>0</v>
      </c>
      <c r="BB154">
        <v>0</v>
      </c>
      <c r="BC154">
        <v>0</v>
      </c>
      <c r="BD154">
        <v>0.83618191605165415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1.0130996309963098</v>
      </c>
      <c r="BK154">
        <v>1.0130996309963098</v>
      </c>
      <c r="BL154">
        <v>0.84713559059771815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1.3099630996309841E-2</v>
      </c>
      <c r="BV154">
        <v>0</v>
      </c>
      <c r="BW154">
        <v>0</v>
      </c>
      <c r="BX154">
        <v>0</v>
      </c>
      <c r="BY154">
        <v>0.15286440940228185</v>
      </c>
      <c r="BZ154">
        <v>0</v>
      </c>
      <c r="CA154">
        <v>0.84713559059771815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25">
      <c r="A155" t="s">
        <v>128</v>
      </c>
      <c r="B155" t="s">
        <v>291</v>
      </c>
      <c r="C155" s="14" t="s">
        <v>72</v>
      </c>
      <c r="D155" s="12">
        <v>46245</v>
      </c>
      <c r="E155" s="14" t="s">
        <v>134</v>
      </c>
      <c r="F155" s="14" t="s">
        <v>134</v>
      </c>
      <c r="G155" s="14" t="s">
        <v>134</v>
      </c>
      <c r="H155" s="14" t="s">
        <v>75</v>
      </c>
      <c r="I155">
        <v>20</v>
      </c>
      <c r="J155">
        <v>3.3711289800323794</v>
      </c>
      <c r="K155">
        <v>46245</v>
      </c>
      <c r="L155" t="s">
        <v>488</v>
      </c>
      <c r="M155">
        <v>2.8499999999999996</v>
      </c>
      <c r="N155">
        <v>2.8499999999999996</v>
      </c>
      <c r="O155">
        <v>5.9238754325259491</v>
      </c>
      <c r="P155">
        <v>0.84541410811657103</v>
      </c>
      <c r="Q155">
        <v>0.84541410811657103</v>
      </c>
      <c r="R155">
        <v>1.7572378475026638</v>
      </c>
      <c r="S155">
        <v>0.75723784750266376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0.15458589188342897</v>
      </c>
      <c r="AC155">
        <v>0</v>
      </c>
      <c r="AD155">
        <v>0</v>
      </c>
      <c r="AE155">
        <v>0</v>
      </c>
      <c r="AF155">
        <v>0</v>
      </c>
      <c r="AG155">
        <v>0.84541410811657103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1.1828522736955718</v>
      </c>
      <c r="AN155">
        <v>1.1828522736955718</v>
      </c>
      <c r="AO155">
        <v>2.0785527833424386</v>
      </c>
      <c r="AP155">
        <v>0.89570050964686687</v>
      </c>
      <c r="AQ155">
        <v>0</v>
      </c>
      <c r="AR155">
        <v>0</v>
      </c>
      <c r="AS155">
        <v>0</v>
      </c>
      <c r="AT155">
        <v>0</v>
      </c>
      <c r="AU155">
        <v>0.31714772630442822</v>
      </c>
      <c r="AV155">
        <v>0.18285227369557178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0.48110397196261695</v>
      </c>
      <c r="BK155">
        <v>0.48110397196261695</v>
      </c>
      <c r="BL155">
        <v>0.56907492711995211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0.43092507288004789</v>
      </c>
      <c r="BX155">
        <v>0</v>
      </c>
      <c r="BY155">
        <v>0</v>
      </c>
      <c r="BZ155">
        <v>0</v>
      </c>
      <c r="CA155">
        <v>0.48110397196261695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 spans="1:84" x14ac:dyDescent="0.25">
      <c r="A156" t="s">
        <v>128</v>
      </c>
      <c r="B156" t="s">
        <v>291</v>
      </c>
      <c r="C156" s="14" t="s">
        <v>72</v>
      </c>
      <c r="D156" s="12">
        <v>46242</v>
      </c>
      <c r="E156" s="14" t="s">
        <v>420</v>
      </c>
      <c r="F156" s="14" t="s">
        <v>420</v>
      </c>
      <c r="G156" s="14" t="s">
        <v>420</v>
      </c>
      <c r="H156" s="14" t="s">
        <v>74</v>
      </c>
      <c r="I156">
        <v>20</v>
      </c>
      <c r="J156">
        <v>0</v>
      </c>
      <c r="K156">
        <v>46242</v>
      </c>
      <c r="L156" t="s">
        <v>478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F156">
        <v>0</v>
      </c>
    </row>
    <row r="157" spans="1:84" x14ac:dyDescent="0.25">
      <c r="A157" t="s">
        <v>128</v>
      </c>
      <c r="B157" t="s">
        <v>291</v>
      </c>
      <c r="C157" s="14" t="s">
        <v>72</v>
      </c>
      <c r="D157" s="12">
        <v>46246</v>
      </c>
      <c r="E157" s="14" t="s">
        <v>134</v>
      </c>
      <c r="F157" s="14" t="s">
        <v>134</v>
      </c>
      <c r="G157" s="14" t="s">
        <v>134</v>
      </c>
      <c r="H157" s="14" t="s">
        <v>73</v>
      </c>
      <c r="I157">
        <v>20</v>
      </c>
      <c r="J157">
        <v>5.8204648795871554</v>
      </c>
      <c r="K157">
        <v>46246</v>
      </c>
      <c r="L157" t="s">
        <v>489</v>
      </c>
      <c r="M157">
        <v>2.8499999999999996</v>
      </c>
      <c r="N157">
        <v>2.8499999999999996</v>
      </c>
      <c r="O157">
        <v>5.6470588235294112</v>
      </c>
      <c r="P157">
        <v>0.48965161013086461</v>
      </c>
      <c r="Q157">
        <v>0.48965161013086461</v>
      </c>
      <c r="R157">
        <v>0.97020752471750271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0.4805559145866381</v>
      </c>
      <c r="AC157">
        <v>2.9792475282497288E-2</v>
      </c>
      <c r="AD157">
        <v>0</v>
      </c>
      <c r="AE157">
        <v>0</v>
      </c>
      <c r="AF157">
        <v>0</v>
      </c>
      <c r="AG157">
        <v>0.48965161013086461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2.0422683788025111</v>
      </c>
      <c r="AN157">
        <v>2.0422683788025111</v>
      </c>
      <c r="AO157">
        <v>1.9814241486068112</v>
      </c>
      <c r="BF157">
        <v>0</v>
      </c>
      <c r="BG157">
        <v>0</v>
      </c>
      <c r="BH157">
        <v>0</v>
      </c>
      <c r="BJ157">
        <v>0.50468749999999996</v>
      </c>
      <c r="BK157">
        <v>0.50468749999999996</v>
      </c>
      <c r="BL157">
        <v>1.0307073224268921</v>
      </c>
      <c r="BM157">
        <v>3.0707322426892114E-2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0.51034838986913544</v>
      </c>
      <c r="BW157">
        <v>0</v>
      </c>
      <c r="BX157">
        <v>0</v>
      </c>
      <c r="BY157">
        <v>0</v>
      </c>
      <c r="BZ157">
        <v>0</v>
      </c>
      <c r="CA157">
        <v>0.50468749999999996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 spans="1:84" x14ac:dyDescent="0.25">
      <c r="A158" t="s">
        <v>128</v>
      </c>
      <c r="B158" t="s">
        <v>291</v>
      </c>
      <c r="C158" s="14" t="s">
        <v>72</v>
      </c>
      <c r="D158" s="12">
        <v>46242</v>
      </c>
      <c r="E158" s="14" t="s">
        <v>420</v>
      </c>
      <c r="F158" s="14" t="s">
        <v>420</v>
      </c>
      <c r="G158" s="14" t="s">
        <v>420</v>
      </c>
      <c r="H158" s="14" t="s">
        <v>73</v>
      </c>
      <c r="I158">
        <v>20</v>
      </c>
      <c r="J158">
        <v>3.6011567851291222</v>
      </c>
      <c r="K158">
        <v>46242</v>
      </c>
      <c r="L158" t="s">
        <v>477</v>
      </c>
      <c r="M158">
        <v>13.3</v>
      </c>
      <c r="N158">
        <v>13.3</v>
      </c>
      <c r="O158">
        <v>3.7647058823529398</v>
      </c>
      <c r="P158">
        <v>3.6932576928952336</v>
      </c>
      <c r="Q158">
        <v>3.6932576928952336</v>
      </c>
      <c r="R158">
        <v>1.0454157113900704</v>
      </c>
      <c r="S158">
        <v>0</v>
      </c>
      <c r="T158">
        <v>0</v>
      </c>
      <c r="U158">
        <v>2.4432576928952336</v>
      </c>
      <c r="V158">
        <v>0</v>
      </c>
      <c r="W158">
        <v>0</v>
      </c>
      <c r="X158">
        <v>0</v>
      </c>
      <c r="Y158">
        <v>4.541571139007039E-2</v>
      </c>
      <c r="Z158">
        <v>0</v>
      </c>
      <c r="AA158">
        <v>0.20458428860992961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0.27076366805482122</v>
      </c>
      <c r="AN158">
        <v>0.27076366805482122</v>
      </c>
      <c r="AO158">
        <v>0.28306059265811578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0.71693940734188422</v>
      </c>
      <c r="BA158">
        <v>0</v>
      </c>
      <c r="BB158">
        <v>0</v>
      </c>
      <c r="BC158">
        <v>0</v>
      </c>
      <c r="BD158">
        <v>0.27076366805482122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3.5328125000000008</v>
      </c>
      <c r="BK158">
        <v>3.5328125000000008</v>
      </c>
      <c r="BL158">
        <v>0.95655727104992339</v>
      </c>
      <c r="CC158">
        <v>0</v>
      </c>
      <c r="CD158">
        <v>0</v>
      </c>
      <c r="CE158">
        <v>0</v>
      </c>
    </row>
    <row r="159" spans="1:84" x14ac:dyDescent="0.25">
      <c r="A159" t="s">
        <v>128</v>
      </c>
      <c r="B159" t="s">
        <v>291</v>
      </c>
      <c r="C159" s="14" t="s">
        <v>72</v>
      </c>
      <c r="D159" s="12">
        <v>46246</v>
      </c>
      <c r="E159" s="14" t="s">
        <v>134</v>
      </c>
      <c r="F159" s="14" t="s">
        <v>134</v>
      </c>
      <c r="G159" s="14" t="s">
        <v>134</v>
      </c>
      <c r="H159" s="14" t="s">
        <v>74</v>
      </c>
      <c r="I159">
        <v>20</v>
      </c>
      <c r="J159">
        <v>1.2735376146788988</v>
      </c>
      <c r="K159">
        <v>46246</v>
      </c>
      <c r="L159" t="s">
        <v>490</v>
      </c>
      <c r="M159">
        <v>10.45</v>
      </c>
      <c r="N159">
        <v>10.45</v>
      </c>
      <c r="O159">
        <v>0.94117647058823517</v>
      </c>
      <c r="P159">
        <v>8.2054898728961305</v>
      </c>
      <c r="Q159">
        <v>8.2054898728961305</v>
      </c>
      <c r="R159">
        <v>0.73902526296841031</v>
      </c>
      <c r="S159">
        <v>0</v>
      </c>
      <c r="T159">
        <v>0</v>
      </c>
      <c r="U159">
        <v>6.9554898728961305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0.25</v>
      </c>
      <c r="AB159">
        <v>0</v>
      </c>
      <c r="AC159">
        <v>0</v>
      </c>
      <c r="AD159">
        <v>0</v>
      </c>
      <c r="AE159">
        <v>0.26097473703158969</v>
      </c>
      <c r="AF159">
        <v>0</v>
      </c>
      <c r="AG159">
        <v>0.73902526296841031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0.12186962819893769</v>
      </c>
      <c r="AN159">
        <v>0.12186962819893769</v>
      </c>
      <c r="AO159">
        <v>9.0064734027582319E-2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0.87813037180106235</v>
      </c>
      <c r="BA159">
        <v>0</v>
      </c>
      <c r="BB159">
        <v>3.1804894171355375E-2</v>
      </c>
      <c r="BC159">
        <v>0</v>
      </c>
      <c r="BD159">
        <v>9.0064734027582319E-2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11.103125</v>
      </c>
      <c r="BK159">
        <v>11.103125</v>
      </c>
      <c r="BL159">
        <v>1.3531337155963301</v>
      </c>
      <c r="CC159">
        <v>0</v>
      </c>
      <c r="CD159">
        <v>0</v>
      </c>
      <c r="CE159">
        <v>0</v>
      </c>
    </row>
    <row r="160" spans="1:84" x14ac:dyDescent="0.25">
      <c r="A160" t="s">
        <v>128</v>
      </c>
      <c r="B160" t="s">
        <v>291</v>
      </c>
      <c r="C160" s="14" t="s">
        <v>72</v>
      </c>
      <c r="D160" s="12">
        <v>46244</v>
      </c>
      <c r="E160" s="14" t="s">
        <v>420</v>
      </c>
      <c r="F160" s="14" t="s">
        <v>420</v>
      </c>
      <c r="G160" s="14" t="s">
        <v>420</v>
      </c>
      <c r="H160" s="14" t="s">
        <v>73</v>
      </c>
      <c r="I160">
        <v>20</v>
      </c>
      <c r="J160">
        <v>3.6011567851291222</v>
      </c>
      <c r="K160">
        <v>46244</v>
      </c>
      <c r="L160" t="s">
        <v>483</v>
      </c>
      <c r="M160">
        <v>14.25</v>
      </c>
      <c r="N160">
        <v>14.25</v>
      </c>
      <c r="O160">
        <v>3.7647058823529398</v>
      </c>
      <c r="P160">
        <v>3.9570618138163223</v>
      </c>
      <c r="Q160">
        <v>3.9570618138163223</v>
      </c>
      <c r="R160">
        <v>1.0454157113900704</v>
      </c>
      <c r="S160">
        <v>0</v>
      </c>
      <c r="T160">
        <v>0</v>
      </c>
      <c r="U160">
        <v>2.7070618138163223</v>
      </c>
      <c r="V160">
        <v>0</v>
      </c>
      <c r="W160">
        <v>0</v>
      </c>
      <c r="X160">
        <v>0</v>
      </c>
      <c r="Y160">
        <v>4.541571139007039E-2</v>
      </c>
      <c r="Z160">
        <v>0</v>
      </c>
      <c r="AA160">
        <v>0.20458428860992961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0.25271275685116645</v>
      </c>
      <c r="AN160">
        <v>0.25271275685116645</v>
      </c>
      <c r="AO160">
        <v>0.26418988648090808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0.73581011351909198</v>
      </c>
      <c r="BA160">
        <v>0</v>
      </c>
      <c r="BB160">
        <v>0</v>
      </c>
      <c r="BC160">
        <v>0</v>
      </c>
      <c r="BD160">
        <v>0.25271275685116645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3.7851562500000013</v>
      </c>
      <c r="BK160">
        <v>3.7851562500000013</v>
      </c>
      <c r="BL160">
        <v>0.95655727104992339</v>
      </c>
      <c r="CC160">
        <v>0</v>
      </c>
      <c r="CD160">
        <v>0</v>
      </c>
      <c r="CE160">
        <v>0</v>
      </c>
    </row>
    <row r="161" spans="1:84" x14ac:dyDescent="0.25">
      <c r="A161" t="s">
        <v>128</v>
      </c>
      <c r="B161" t="s">
        <v>291</v>
      </c>
      <c r="C161" s="14" t="s">
        <v>72</v>
      </c>
      <c r="D161" s="12">
        <v>46246</v>
      </c>
      <c r="E161" s="14" t="s">
        <v>134</v>
      </c>
      <c r="F161" s="14" t="s">
        <v>134</v>
      </c>
      <c r="G161" s="14" t="s">
        <v>134</v>
      </c>
      <c r="H161" s="14" t="s">
        <v>75</v>
      </c>
      <c r="I161">
        <v>20</v>
      </c>
      <c r="J161">
        <v>2.2474193200215864</v>
      </c>
      <c r="K161">
        <v>46246</v>
      </c>
      <c r="L161" t="s">
        <v>491</v>
      </c>
      <c r="M161">
        <v>1.9</v>
      </c>
      <c r="N161">
        <v>1.9</v>
      </c>
      <c r="O161">
        <v>4.0415224913494789</v>
      </c>
      <c r="P161">
        <v>0.84541410811657103</v>
      </c>
      <c r="Q161">
        <v>0.84541410811657103</v>
      </c>
      <c r="R161">
        <v>1.7982948065564641</v>
      </c>
      <c r="S161">
        <v>0.79829480655646412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0.15458589188342897</v>
      </c>
      <c r="AC161">
        <v>0</v>
      </c>
      <c r="AD161">
        <v>0</v>
      </c>
      <c r="AE161">
        <v>0</v>
      </c>
      <c r="AF161">
        <v>0</v>
      </c>
      <c r="AG161">
        <v>0.84541410811657103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1.1828522736955718</v>
      </c>
      <c r="AN161">
        <v>1.1828522736955718</v>
      </c>
      <c r="AO161">
        <v>2.1271171007102523</v>
      </c>
      <c r="AP161">
        <v>0.94426482701468051</v>
      </c>
      <c r="AQ161">
        <v>0</v>
      </c>
      <c r="AR161">
        <v>0</v>
      </c>
      <c r="AS161">
        <v>0</v>
      </c>
      <c r="AT161">
        <v>0</v>
      </c>
      <c r="AU161">
        <v>0.31714772630442822</v>
      </c>
      <c r="AV161">
        <v>0.18285227369557178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0.47011986301369885</v>
      </c>
      <c r="BK161">
        <v>0.47011986301369885</v>
      </c>
      <c r="BL161">
        <v>0.55608234887520447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0.44391765112479553</v>
      </c>
      <c r="BX161">
        <v>0</v>
      </c>
      <c r="BY161">
        <v>0</v>
      </c>
      <c r="BZ161">
        <v>0</v>
      </c>
      <c r="CA161">
        <v>0.47011986301369885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x14ac:dyDescent="0.25">
      <c r="A162" t="s">
        <v>128</v>
      </c>
      <c r="B162" t="s">
        <v>291</v>
      </c>
      <c r="C162" s="14" t="s">
        <v>72</v>
      </c>
      <c r="D162" s="12">
        <v>46241</v>
      </c>
      <c r="E162" s="14" t="s">
        <v>420</v>
      </c>
      <c r="F162" s="14" t="s">
        <v>420</v>
      </c>
      <c r="G162" s="14" t="s">
        <v>420</v>
      </c>
      <c r="H162" s="14" t="s">
        <v>75</v>
      </c>
      <c r="I162">
        <v>20</v>
      </c>
      <c r="J162">
        <v>3.1774912809962856</v>
      </c>
      <c r="K162">
        <v>46241</v>
      </c>
      <c r="L162" t="s">
        <v>476</v>
      </c>
      <c r="M162">
        <v>2.8499999999999996</v>
      </c>
      <c r="N162">
        <v>2.8499999999999996</v>
      </c>
      <c r="O162">
        <v>3.7508650519031144</v>
      </c>
      <c r="P162">
        <v>0.89693401113169924</v>
      </c>
      <c r="Q162">
        <v>0.89693401113169924</v>
      </c>
      <c r="R162">
        <v>1.1804485741112878</v>
      </c>
      <c r="S162">
        <v>0.18044857411128779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0.10306598886830076</v>
      </c>
      <c r="AC162">
        <v>0</v>
      </c>
      <c r="AD162">
        <v>0</v>
      </c>
      <c r="AE162">
        <v>0</v>
      </c>
      <c r="AF162">
        <v>0</v>
      </c>
      <c r="AG162">
        <v>0.89693401113169924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1.1149092214022056</v>
      </c>
      <c r="AN162">
        <v>1.1149092214022056</v>
      </c>
      <c r="AO162">
        <v>1.3160930006677596</v>
      </c>
      <c r="AP162">
        <v>0.20118377926555397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0.11490922140220561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0.75982472324723238</v>
      </c>
      <c r="BK162">
        <v>0.75982472324723238</v>
      </c>
      <c r="BL162">
        <v>0.84713559059771815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0.15286440940228185</v>
      </c>
      <c r="BX162">
        <v>0</v>
      </c>
      <c r="BY162">
        <v>0</v>
      </c>
      <c r="BZ162">
        <v>0</v>
      </c>
      <c r="CA162">
        <v>0.75982472324723238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 spans="1:84" x14ac:dyDescent="0.25">
      <c r="A163" t="s">
        <v>128</v>
      </c>
      <c r="B163" t="s">
        <v>291</v>
      </c>
      <c r="C163" s="14" t="s">
        <v>72</v>
      </c>
      <c r="D163" s="12">
        <v>46241</v>
      </c>
      <c r="E163" s="14" t="s">
        <v>420</v>
      </c>
      <c r="F163" s="14" t="s">
        <v>420</v>
      </c>
      <c r="G163" s="14" t="s">
        <v>420</v>
      </c>
      <c r="H163" s="14" t="s">
        <v>74</v>
      </c>
      <c r="I163">
        <v>20</v>
      </c>
      <c r="J163">
        <v>0</v>
      </c>
      <c r="K163">
        <v>46241</v>
      </c>
      <c r="L163" t="s">
        <v>475</v>
      </c>
      <c r="M163">
        <v>12.35</v>
      </c>
      <c r="N163">
        <v>12.35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F163">
        <v>0</v>
      </c>
    </row>
    <row r="164" spans="1:84" x14ac:dyDescent="0.25">
      <c r="A164" t="s">
        <v>128</v>
      </c>
      <c r="B164" t="s">
        <v>291</v>
      </c>
      <c r="C164" s="14" t="s">
        <v>72</v>
      </c>
      <c r="D164" s="12">
        <v>46247</v>
      </c>
      <c r="E164" s="14" t="s">
        <v>134</v>
      </c>
      <c r="F164" s="14" t="s">
        <v>134</v>
      </c>
      <c r="G164" s="14" t="s">
        <v>134</v>
      </c>
      <c r="H164" s="14" t="s">
        <v>73</v>
      </c>
      <c r="I164">
        <v>20</v>
      </c>
      <c r="J164">
        <v>5.7458435349770651</v>
      </c>
      <c r="K164">
        <v>46247</v>
      </c>
      <c r="L164" t="s">
        <v>492</v>
      </c>
      <c r="M164">
        <v>1.9</v>
      </c>
      <c r="N164">
        <v>1.9</v>
      </c>
      <c r="O164">
        <v>3.7647058823529393</v>
      </c>
      <c r="P164">
        <v>0.33067381463383061</v>
      </c>
      <c r="Q164">
        <v>0.33067381463383061</v>
      </c>
      <c r="R164">
        <v>0.65520508162740398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0.32453126699357338</v>
      </c>
      <c r="AC164">
        <v>0.34479491837259602</v>
      </c>
      <c r="AD164">
        <v>0</v>
      </c>
      <c r="AE164">
        <v>0</v>
      </c>
      <c r="AF164">
        <v>0</v>
      </c>
      <c r="AG164">
        <v>0.33067381463383061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3.0241281763037184</v>
      </c>
      <c r="AN164">
        <v>3.0241281763037184</v>
      </c>
      <c r="AO164">
        <v>1.9814241486068103</v>
      </c>
      <c r="BF164">
        <v>0</v>
      </c>
      <c r="BG164">
        <v>0</v>
      </c>
      <c r="BH164">
        <v>0</v>
      </c>
      <c r="BJ164">
        <v>0.50468750000000018</v>
      </c>
      <c r="BK164">
        <v>0.50468750000000018</v>
      </c>
      <c r="BL164">
        <v>1.5262396889782837</v>
      </c>
      <c r="BM164">
        <v>0.52623968897828366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0.66932618536616939</v>
      </c>
      <c r="BW164">
        <v>0</v>
      </c>
      <c r="BX164">
        <v>0</v>
      </c>
      <c r="BY164">
        <v>0</v>
      </c>
      <c r="BZ164">
        <v>0</v>
      </c>
      <c r="CA164">
        <v>0.50468750000000018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 spans="1:84" x14ac:dyDescent="0.25">
      <c r="A165" t="s">
        <v>128</v>
      </c>
      <c r="B165" t="s">
        <v>291</v>
      </c>
      <c r="C165" s="14" t="s">
        <v>72</v>
      </c>
      <c r="D165" s="12">
        <v>46241</v>
      </c>
      <c r="E165" s="14" t="s">
        <v>420</v>
      </c>
      <c r="F165" s="14" t="s">
        <v>420</v>
      </c>
      <c r="G165" s="14" t="s">
        <v>420</v>
      </c>
      <c r="H165" s="14" t="s">
        <v>73</v>
      </c>
      <c r="I165">
        <v>20</v>
      </c>
      <c r="J165">
        <v>3.6011567851291222</v>
      </c>
      <c r="K165">
        <v>46241</v>
      </c>
      <c r="L165" t="s">
        <v>474</v>
      </c>
      <c r="M165">
        <v>3.8</v>
      </c>
      <c r="N165">
        <v>3.8</v>
      </c>
      <c r="O165">
        <v>3.7647058823529398</v>
      </c>
      <c r="P165">
        <v>1.0552164836843525</v>
      </c>
      <c r="Q165">
        <v>1.0552164836843525</v>
      </c>
      <c r="R165">
        <v>1.0454157113900704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4.541571139007039E-2</v>
      </c>
      <c r="Z165">
        <v>0</v>
      </c>
      <c r="AA165">
        <v>9.8007722942821118E-3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0.94767283819187431</v>
      </c>
      <c r="AN165">
        <v>0.94767283819187431</v>
      </c>
      <c r="AO165">
        <v>0.99071207430340524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9.2879256965947565E-3</v>
      </c>
      <c r="BA165">
        <v>0</v>
      </c>
      <c r="BB165">
        <v>0</v>
      </c>
      <c r="BC165">
        <v>0</v>
      </c>
      <c r="BD165">
        <v>0.94767283819187431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1.0093750000000004</v>
      </c>
      <c r="BK165">
        <v>1.0093750000000004</v>
      </c>
      <c r="BL165">
        <v>0.95655727104992339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9.3750000000003553E-3</v>
      </c>
      <c r="BV165">
        <v>0</v>
      </c>
      <c r="BW165">
        <v>0</v>
      </c>
      <c r="BX165">
        <v>0</v>
      </c>
      <c r="BY165">
        <v>4.3442728950076615E-2</v>
      </c>
      <c r="BZ165">
        <v>0</v>
      </c>
      <c r="CA165">
        <v>0.95655727104992339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 spans="1:84" x14ac:dyDescent="0.25">
      <c r="A166" t="s">
        <v>128</v>
      </c>
      <c r="B166" t="s">
        <v>291</v>
      </c>
      <c r="C166" s="14" t="s">
        <v>72</v>
      </c>
      <c r="D166" s="12">
        <v>46244</v>
      </c>
      <c r="E166" s="14" t="s">
        <v>420</v>
      </c>
      <c r="F166" s="14" t="s">
        <v>420</v>
      </c>
      <c r="G166" s="14" t="s">
        <v>420</v>
      </c>
      <c r="H166" s="14" t="s">
        <v>74</v>
      </c>
      <c r="I166">
        <v>20</v>
      </c>
      <c r="J166">
        <v>0</v>
      </c>
      <c r="K166">
        <v>46244</v>
      </c>
      <c r="L166" t="s">
        <v>484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F166">
        <v>0</v>
      </c>
    </row>
    <row r="167" spans="1:84" x14ac:dyDescent="0.25">
      <c r="A167" t="s">
        <v>128</v>
      </c>
      <c r="B167" t="s">
        <v>291</v>
      </c>
      <c r="C167" s="14" t="s">
        <v>72</v>
      </c>
      <c r="D167" s="12">
        <v>46247</v>
      </c>
      <c r="E167" s="14" t="s">
        <v>134</v>
      </c>
      <c r="F167" s="14" t="s">
        <v>134</v>
      </c>
      <c r="G167" s="14" t="s">
        <v>134</v>
      </c>
      <c r="H167" s="14" t="s">
        <v>74</v>
      </c>
      <c r="I167">
        <v>20</v>
      </c>
      <c r="J167">
        <v>1.2735376146788988</v>
      </c>
      <c r="K167">
        <v>46247</v>
      </c>
      <c r="L167" t="s">
        <v>493</v>
      </c>
      <c r="M167">
        <v>12.35</v>
      </c>
      <c r="N167">
        <v>12.35</v>
      </c>
      <c r="O167">
        <v>1.8823529411764703</v>
      </c>
      <c r="P167">
        <v>9.6973971225136104</v>
      </c>
      <c r="Q167">
        <v>9.6973971225136104</v>
      </c>
      <c r="R167">
        <v>1.4780505259368206</v>
      </c>
      <c r="S167">
        <v>0</v>
      </c>
      <c r="T167">
        <v>0</v>
      </c>
      <c r="U167">
        <v>8.2193465965767896</v>
      </c>
      <c r="V167">
        <v>0</v>
      </c>
      <c r="W167">
        <v>0.22805052593682063</v>
      </c>
      <c r="X167">
        <v>0</v>
      </c>
      <c r="Y167">
        <v>0.25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0.10312045462987035</v>
      </c>
      <c r="AN167">
        <v>0.10312045462987035</v>
      </c>
      <c r="AO167">
        <v>0.15241724220052391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0.84758275779947612</v>
      </c>
      <c r="BA167">
        <v>0</v>
      </c>
      <c r="BB167">
        <v>0</v>
      </c>
      <c r="BC167">
        <v>0</v>
      </c>
      <c r="BD167">
        <v>0.10312045462987035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6.5609375000000005</v>
      </c>
      <c r="BK167">
        <v>6.5609375000000005</v>
      </c>
      <c r="BL167">
        <v>0.67656685779816506</v>
      </c>
      <c r="CC167">
        <v>0</v>
      </c>
      <c r="CD167">
        <v>0</v>
      </c>
      <c r="CE167">
        <v>0</v>
      </c>
    </row>
    <row r="168" spans="1:84" x14ac:dyDescent="0.25">
      <c r="A168" t="s">
        <v>128</v>
      </c>
      <c r="B168" t="s">
        <v>291</v>
      </c>
      <c r="C168" s="14" t="s">
        <v>72</v>
      </c>
      <c r="D168" s="12">
        <v>46244</v>
      </c>
      <c r="E168" s="14" t="s">
        <v>134</v>
      </c>
      <c r="F168" s="14" t="s">
        <v>134</v>
      </c>
      <c r="G168" s="14" t="s">
        <v>134</v>
      </c>
      <c r="H168" s="14" t="s">
        <v>73</v>
      </c>
      <c r="I168">
        <v>20</v>
      </c>
      <c r="J168">
        <v>3.507203196674312</v>
      </c>
      <c r="K168">
        <v>46244</v>
      </c>
      <c r="L168" t="s">
        <v>483</v>
      </c>
      <c r="M168">
        <v>13.3</v>
      </c>
      <c r="N168">
        <v>13.3</v>
      </c>
      <c r="O168">
        <v>4.7058823529411749</v>
      </c>
      <c r="P168">
        <v>3.7921954486730787</v>
      </c>
      <c r="Q168">
        <v>3.7921954486730787</v>
      </c>
      <c r="R168">
        <v>1.3417763639710139</v>
      </c>
      <c r="S168">
        <v>0</v>
      </c>
      <c r="T168">
        <v>0</v>
      </c>
      <c r="U168">
        <v>2.450419084702065</v>
      </c>
      <c r="V168">
        <v>0</v>
      </c>
      <c r="W168">
        <v>9.1776363971013852E-2</v>
      </c>
      <c r="X168">
        <v>0</v>
      </c>
      <c r="Y168">
        <v>0.25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0.26369948847175279</v>
      </c>
      <c r="AN168">
        <v>0.26369948847175279</v>
      </c>
      <c r="AO168">
        <v>0.35382574082264473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0.64617425917735527</v>
      </c>
      <c r="BA168">
        <v>0</v>
      </c>
      <c r="BB168">
        <v>0</v>
      </c>
      <c r="BC168">
        <v>0</v>
      </c>
      <c r="BD168">
        <v>0.26369948847175279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2.8262500000000008</v>
      </c>
      <c r="BK168">
        <v>2.8262500000000008</v>
      </c>
      <c r="BL168">
        <v>0.74528067929329156</v>
      </c>
      <c r="CC168">
        <v>0</v>
      </c>
      <c r="CD168">
        <v>0</v>
      </c>
      <c r="CE168">
        <v>0</v>
      </c>
    </row>
    <row r="169" spans="1:84" x14ac:dyDescent="0.25">
      <c r="A169" t="s">
        <v>128</v>
      </c>
      <c r="B169" t="s">
        <v>291</v>
      </c>
      <c r="C169" s="14" t="s">
        <v>72</v>
      </c>
      <c r="D169" s="12">
        <v>46240</v>
      </c>
      <c r="E169" s="14" t="s">
        <v>420</v>
      </c>
      <c r="F169" s="14" t="s">
        <v>420</v>
      </c>
      <c r="G169" s="14" t="s">
        <v>420</v>
      </c>
      <c r="H169" s="14" t="s">
        <v>75</v>
      </c>
      <c r="I169">
        <v>20</v>
      </c>
      <c r="J169">
        <v>3.1774912809962848</v>
      </c>
      <c r="K169">
        <v>46240</v>
      </c>
      <c r="L169" t="s">
        <v>473</v>
      </c>
      <c r="M169">
        <v>0.95</v>
      </c>
      <c r="N169">
        <v>0.95</v>
      </c>
      <c r="O169">
        <v>3.7508650519031144</v>
      </c>
      <c r="P169">
        <v>0.29897800371056649</v>
      </c>
      <c r="Q169">
        <v>0.29897800371056649</v>
      </c>
      <c r="R169">
        <v>1.180448574111288</v>
      </c>
      <c r="S169">
        <v>0.18044857411128801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0.70102199628943351</v>
      </c>
      <c r="AC169">
        <v>0</v>
      </c>
      <c r="AD169">
        <v>0</v>
      </c>
      <c r="AE169">
        <v>0</v>
      </c>
      <c r="AF169">
        <v>0</v>
      </c>
      <c r="AG169">
        <v>0.29897800371056649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3.3447276642066157</v>
      </c>
      <c r="AN169">
        <v>3.3447276642066157</v>
      </c>
      <c r="AO169">
        <v>3.9482790020032783</v>
      </c>
      <c r="BF169">
        <v>0</v>
      </c>
      <c r="BG169">
        <v>0</v>
      </c>
      <c r="BH169">
        <v>0</v>
      </c>
      <c r="BJ169">
        <v>0.25327490774907746</v>
      </c>
      <c r="BK169">
        <v>0.25327490774907746</v>
      </c>
      <c r="BL169">
        <v>0.84713559059771792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0.15286440940228208</v>
      </c>
      <c r="BX169">
        <v>0</v>
      </c>
      <c r="BY169">
        <v>0</v>
      </c>
      <c r="BZ169">
        <v>0</v>
      </c>
      <c r="CA169">
        <v>0.25327490774907746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 spans="1:84" x14ac:dyDescent="0.25">
      <c r="A170" t="s">
        <v>128</v>
      </c>
      <c r="B170" t="s">
        <v>291</v>
      </c>
      <c r="C170" s="14" t="s">
        <v>72</v>
      </c>
      <c r="D170" s="12">
        <v>46240</v>
      </c>
      <c r="E170" s="14" t="s">
        <v>420</v>
      </c>
      <c r="F170" s="14" t="s">
        <v>420</v>
      </c>
      <c r="G170" s="14" t="s">
        <v>420</v>
      </c>
      <c r="H170" s="14" t="s">
        <v>74</v>
      </c>
      <c r="I170">
        <v>20</v>
      </c>
      <c r="J170">
        <v>0</v>
      </c>
      <c r="K170">
        <v>46240</v>
      </c>
      <c r="L170" t="s">
        <v>472</v>
      </c>
      <c r="M170">
        <v>3.8</v>
      </c>
      <c r="N170">
        <v>3.8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F170">
        <v>0</v>
      </c>
    </row>
    <row r="171" spans="1:84" x14ac:dyDescent="0.25">
      <c r="A171" t="s">
        <v>128</v>
      </c>
      <c r="B171" t="s">
        <v>291</v>
      </c>
      <c r="C171" s="14" t="s">
        <v>72</v>
      </c>
      <c r="D171" s="12">
        <v>46237</v>
      </c>
      <c r="E171" s="14" t="s">
        <v>420</v>
      </c>
      <c r="F171" s="14" t="s">
        <v>420</v>
      </c>
      <c r="G171" s="14" t="s">
        <v>420</v>
      </c>
      <c r="H171" s="14" t="s">
        <v>74</v>
      </c>
      <c r="I171">
        <v>20</v>
      </c>
      <c r="J171">
        <v>0</v>
      </c>
      <c r="K171">
        <v>46237</v>
      </c>
      <c r="L171" t="s">
        <v>463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F171">
        <v>0</v>
      </c>
    </row>
    <row r="172" spans="1:84" x14ac:dyDescent="0.25">
      <c r="A172" t="s">
        <v>128</v>
      </c>
      <c r="B172" t="s">
        <v>291</v>
      </c>
      <c r="C172" s="14" t="s">
        <v>72</v>
      </c>
      <c r="D172" s="12">
        <v>46242</v>
      </c>
      <c r="E172" s="14" t="s">
        <v>134</v>
      </c>
      <c r="F172" s="14" t="s">
        <v>134</v>
      </c>
      <c r="G172" s="14" t="s">
        <v>134</v>
      </c>
      <c r="H172" s="14" t="s">
        <v>75</v>
      </c>
      <c r="I172">
        <v>20</v>
      </c>
      <c r="J172">
        <v>3.3711289800323798</v>
      </c>
      <c r="K172">
        <v>46242</v>
      </c>
      <c r="L172" t="s">
        <v>479</v>
      </c>
      <c r="M172">
        <v>2.8499999999999996</v>
      </c>
      <c r="N172">
        <v>2.8499999999999996</v>
      </c>
      <c r="O172">
        <v>4.9273356401384065</v>
      </c>
      <c r="P172">
        <v>0.84541410811657092</v>
      </c>
      <c r="Q172">
        <v>0.84541410811657092</v>
      </c>
      <c r="R172">
        <v>1.4616277423152997</v>
      </c>
      <c r="S172">
        <v>0.46162774231529968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0.15458589188342908</v>
      </c>
      <c r="AC172">
        <v>0</v>
      </c>
      <c r="AD172">
        <v>0</v>
      </c>
      <c r="AE172">
        <v>0</v>
      </c>
      <c r="AF172">
        <v>0</v>
      </c>
      <c r="AG172">
        <v>0.84541410811657092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1.182852273695572</v>
      </c>
      <c r="AN172">
        <v>1.182852273695572</v>
      </c>
      <c r="AO172">
        <v>1.7288896982941779</v>
      </c>
      <c r="AP172">
        <v>0.54603742459860594</v>
      </c>
      <c r="AQ172">
        <v>0</v>
      </c>
      <c r="AR172">
        <v>0</v>
      </c>
      <c r="AS172">
        <v>0</v>
      </c>
      <c r="AT172">
        <v>0</v>
      </c>
      <c r="AU172">
        <v>0.317147726304428</v>
      </c>
      <c r="AV172">
        <v>0.182852273695572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0.57840589887640459</v>
      </c>
      <c r="BK172">
        <v>0.57840589887640459</v>
      </c>
      <c r="BL172">
        <v>0.68416873260488631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0.31583126739511369</v>
      </c>
      <c r="BX172">
        <v>0</v>
      </c>
      <c r="BY172">
        <v>0</v>
      </c>
      <c r="BZ172">
        <v>0</v>
      </c>
      <c r="CA172">
        <v>0.57840589887640459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 spans="1:84" x14ac:dyDescent="0.25">
      <c r="A173" t="s">
        <v>128</v>
      </c>
      <c r="B173" t="s">
        <v>291</v>
      </c>
      <c r="C173" s="14" t="s">
        <v>109</v>
      </c>
      <c r="D173" s="12">
        <v>46223</v>
      </c>
      <c r="E173" s="14" t="s">
        <v>420</v>
      </c>
      <c r="F173" s="14" t="s">
        <v>420</v>
      </c>
      <c r="G173" s="14" t="s">
        <v>420</v>
      </c>
      <c r="H173" s="14"/>
      <c r="J173">
        <v>6.7786480661254069</v>
      </c>
      <c r="M173">
        <v>16.149999999999999</v>
      </c>
      <c r="N173">
        <v>16.149999999999999</v>
      </c>
      <c r="O173">
        <v>5.6366782006920424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0.1591243645640317</v>
      </c>
      <c r="AD173">
        <v>0</v>
      </c>
      <c r="AE173">
        <v>9.3413610929871643E-3</v>
      </c>
      <c r="AF173">
        <v>0</v>
      </c>
      <c r="AG173">
        <v>0.83153427434298111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84" x14ac:dyDescent="0.25">
      <c r="A174" t="s">
        <v>128</v>
      </c>
      <c r="B174" t="s">
        <v>291</v>
      </c>
      <c r="C174" s="14" t="s">
        <v>72</v>
      </c>
      <c r="D174" s="12">
        <v>46233</v>
      </c>
      <c r="E174" s="14" t="s">
        <v>420</v>
      </c>
      <c r="F174" s="14" t="s">
        <v>420</v>
      </c>
      <c r="G174" s="14" t="s">
        <v>420</v>
      </c>
      <c r="H174" s="14" t="s">
        <v>75</v>
      </c>
      <c r="I174">
        <v>20</v>
      </c>
      <c r="J174">
        <v>3.1774912809962848</v>
      </c>
      <c r="K174">
        <v>46233</v>
      </c>
      <c r="L174" t="s">
        <v>452</v>
      </c>
      <c r="M174">
        <v>2.8499999999999996</v>
      </c>
      <c r="N174">
        <v>2.8499999999999996</v>
      </c>
      <c r="O174">
        <v>3.8062283737024223</v>
      </c>
      <c r="P174">
        <v>0.89693401113169946</v>
      </c>
      <c r="Q174">
        <v>0.89693401113169946</v>
      </c>
      <c r="R174">
        <v>1.1978721693011225</v>
      </c>
      <c r="S174">
        <v>0.1978721693011225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0.10306598886830054</v>
      </c>
      <c r="AC174">
        <v>0</v>
      </c>
      <c r="AD174">
        <v>0</v>
      </c>
      <c r="AE174">
        <v>0</v>
      </c>
      <c r="AF174">
        <v>0</v>
      </c>
      <c r="AG174">
        <v>0.89693401113169946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1.1149092214022054</v>
      </c>
      <c r="AN174">
        <v>1.1149092214022054</v>
      </c>
      <c r="AO174">
        <v>1.3355187276148852</v>
      </c>
      <c r="AP174">
        <v>0.22060950621267983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0.11490922140220539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0.74877272727272715</v>
      </c>
      <c r="BK174">
        <v>0.74877272727272715</v>
      </c>
      <c r="BL174">
        <v>0.834813618370842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0.165186381629158</v>
      </c>
      <c r="BX174">
        <v>0</v>
      </c>
      <c r="BY174">
        <v>0</v>
      </c>
      <c r="BZ174">
        <v>0</v>
      </c>
      <c r="CA174">
        <v>0.74877272727272715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x14ac:dyDescent="0.25">
      <c r="A175" t="s">
        <v>128</v>
      </c>
      <c r="B175" t="s">
        <v>291</v>
      </c>
      <c r="C175" s="14" t="s">
        <v>109</v>
      </c>
      <c r="D175" s="12">
        <v>46226</v>
      </c>
      <c r="E175" s="14" t="s">
        <v>134</v>
      </c>
      <c r="F175" s="14" t="s">
        <v>134</v>
      </c>
      <c r="G175" s="14" t="s">
        <v>134</v>
      </c>
      <c r="H175" s="14"/>
      <c r="J175">
        <v>10.754837871019967</v>
      </c>
      <c r="M175">
        <v>13.3</v>
      </c>
      <c r="N175">
        <v>13.3</v>
      </c>
      <c r="O175">
        <v>12.806273902749954</v>
      </c>
      <c r="S175">
        <v>0.13413690866690861</v>
      </c>
      <c r="T175">
        <v>0</v>
      </c>
      <c r="U175">
        <v>0.70829957180015457</v>
      </c>
      <c r="V175">
        <v>0</v>
      </c>
      <c r="W175">
        <v>2.7004676993824639E-2</v>
      </c>
      <c r="X175">
        <v>0</v>
      </c>
      <c r="Y175">
        <v>2.9603831084022633E-2</v>
      </c>
      <c r="Z175">
        <v>0</v>
      </c>
      <c r="AA175">
        <v>0</v>
      </c>
      <c r="AB175">
        <v>0.52825531397827252</v>
      </c>
      <c r="AC175">
        <v>0</v>
      </c>
      <c r="AD175">
        <v>0</v>
      </c>
      <c r="AE175">
        <v>0</v>
      </c>
      <c r="AF175">
        <v>0</v>
      </c>
      <c r="AG175">
        <v>0.47174468602172753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84" x14ac:dyDescent="0.25">
      <c r="A176" t="s">
        <v>128</v>
      </c>
      <c r="B176" t="s">
        <v>291</v>
      </c>
      <c r="C176" s="14" t="s">
        <v>72</v>
      </c>
      <c r="D176" s="12">
        <v>46241</v>
      </c>
      <c r="E176" s="14" t="s">
        <v>134</v>
      </c>
      <c r="F176" s="14" t="s">
        <v>134</v>
      </c>
      <c r="G176" s="14" t="s">
        <v>134</v>
      </c>
      <c r="H176" s="14" t="s">
        <v>74</v>
      </c>
      <c r="I176">
        <v>20</v>
      </c>
      <c r="J176">
        <v>1.2735376146788988</v>
      </c>
      <c r="K176">
        <v>46241</v>
      </c>
      <c r="L176" t="s">
        <v>475</v>
      </c>
      <c r="M176">
        <v>9.5</v>
      </c>
      <c r="N176">
        <v>9.5</v>
      </c>
      <c r="O176">
        <v>1.8823529411764703</v>
      </c>
      <c r="P176">
        <v>7.4595362480873924</v>
      </c>
      <c r="Q176">
        <v>7.4595362480873924</v>
      </c>
      <c r="R176">
        <v>1.4780505259368206</v>
      </c>
      <c r="S176">
        <v>0</v>
      </c>
      <c r="T176">
        <v>0</v>
      </c>
      <c r="U176">
        <v>5.9814857221505715</v>
      </c>
      <c r="V176">
        <v>0</v>
      </c>
      <c r="W176">
        <v>0.22805052593682063</v>
      </c>
      <c r="X176">
        <v>0</v>
      </c>
      <c r="Y176">
        <v>0.25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0.13405659101883147</v>
      </c>
      <c r="AN176">
        <v>0.13405659101883147</v>
      </c>
      <c r="AO176">
        <v>0.1981424148606811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0.80185758513931893</v>
      </c>
      <c r="BA176">
        <v>0</v>
      </c>
      <c r="BB176">
        <v>0</v>
      </c>
      <c r="BC176">
        <v>0</v>
      </c>
      <c r="BD176">
        <v>0.13405659101883147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5.0468750000000009</v>
      </c>
      <c r="BK176">
        <v>5.0468750000000009</v>
      </c>
      <c r="BL176">
        <v>0.67656685779816506</v>
      </c>
      <c r="CC176">
        <v>0</v>
      </c>
      <c r="CD176">
        <v>0</v>
      </c>
      <c r="CE176">
        <v>0</v>
      </c>
    </row>
    <row r="177" spans="1:84" x14ac:dyDescent="0.25">
      <c r="A177" t="s">
        <v>128</v>
      </c>
      <c r="B177" t="s">
        <v>291</v>
      </c>
      <c r="C177" s="14" t="s">
        <v>109</v>
      </c>
      <c r="D177" s="12">
        <v>46227</v>
      </c>
      <c r="E177" s="14" t="s">
        <v>133</v>
      </c>
      <c r="F177" s="14" t="s">
        <v>133</v>
      </c>
      <c r="G177" s="14" t="s">
        <v>133</v>
      </c>
      <c r="H177" s="14"/>
      <c r="J177">
        <v>26.220922841721425</v>
      </c>
      <c r="M177">
        <v>42.75</v>
      </c>
      <c r="N177">
        <v>42.75</v>
      </c>
      <c r="O177">
        <v>29.919642857142861</v>
      </c>
      <c r="S177">
        <v>4.3064671964307896E-2</v>
      </c>
      <c r="T177">
        <v>0</v>
      </c>
      <c r="U177">
        <v>0.87400668706812656</v>
      </c>
      <c r="V177">
        <v>0</v>
      </c>
      <c r="W177">
        <v>4.7961930758995415E-2</v>
      </c>
      <c r="X177">
        <v>0</v>
      </c>
      <c r="Y177">
        <v>5.0033269110658814E-2</v>
      </c>
      <c r="Z177">
        <v>0</v>
      </c>
      <c r="AA177">
        <v>4.2745762233429775E-2</v>
      </c>
      <c r="AB177">
        <v>0.38437024948723247</v>
      </c>
      <c r="AC177">
        <v>0</v>
      </c>
      <c r="AD177">
        <v>0</v>
      </c>
      <c r="AE177">
        <v>0</v>
      </c>
      <c r="AF177">
        <v>0</v>
      </c>
      <c r="AG177">
        <v>0.61562975051276747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84" x14ac:dyDescent="0.25">
      <c r="A178" t="s">
        <v>128</v>
      </c>
      <c r="B178" t="s">
        <v>291</v>
      </c>
      <c r="C178" s="14" t="s">
        <v>72</v>
      </c>
      <c r="D178" s="12">
        <v>46233</v>
      </c>
      <c r="E178" s="14" t="s">
        <v>420</v>
      </c>
      <c r="F178" s="14" t="s">
        <v>420</v>
      </c>
      <c r="G178" s="14" t="s">
        <v>420</v>
      </c>
      <c r="H178" s="14" t="s">
        <v>74</v>
      </c>
      <c r="I178">
        <v>20</v>
      </c>
      <c r="J178">
        <v>0</v>
      </c>
      <c r="K178">
        <v>46233</v>
      </c>
      <c r="L178" t="s">
        <v>451</v>
      </c>
      <c r="M178">
        <v>2.8499999999999996</v>
      </c>
      <c r="N178">
        <v>2.8499999999999996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F178">
        <v>0</v>
      </c>
    </row>
    <row r="179" spans="1:84" x14ac:dyDescent="0.25">
      <c r="A179" t="s">
        <v>128</v>
      </c>
      <c r="B179" t="s">
        <v>291</v>
      </c>
      <c r="C179" s="14" t="s">
        <v>72</v>
      </c>
      <c r="D179" s="12">
        <v>46233</v>
      </c>
      <c r="E179" s="14" t="s">
        <v>420</v>
      </c>
      <c r="F179" s="14" t="s">
        <v>420</v>
      </c>
      <c r="G179" s="14" t="s">
        <v>420</v>
      </c>
      <c r="H179" s="14" t="s">
        <v>73</v>
      </c>
      <c r="I179">
        <v>20</v>
      </c>
      <c r="J179">
        <v>3.6011567851291222</v>
      </c>
      <c r="K179">
        <v>46233</v>
      </c>
      <c r="L179" t="s">
        <v>450</v>
      </c>
      <c r="M179">
        <v>0.95</v>
      </c>
      <c r="N179">
        <v>0.95</v>
      </c>
      <c r="O179">
        <v>4.7058823529411749</v>
      </c>
      <c r="P179">
        <v>0.26380412092108813</v>
      </c>
      <c r="Q179">
        <v>0.26380412092108813</v>
      </c>
      <c r="R179">
        <v>1.3067696392375878</v>
      </c>
      <c r="S179">
        <v>0.30676963923758782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0.73619587907891182</v>
      </c>
      <c r="AC179">
        <v>0</v>
      </c>
      <c r="AD179">
        <v>0</v>
      </c>
      <c r="AE179">
        <v>0</v>
      </c>
      <c r="AF179">
        <v>0</v>
      </c>
      <c r="AG179">
        <v>0.26380412092108813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3.7906913527674972</v>
      </c>
      <c r="AN179">
        <v>3.7906913527674972</v>
      </c>
      <c r="AO179">
        <v>4.9535603715170264</v>
      </c>
      <c r="BF179">
        <v>0</v>
      </c>
      <c r="BG179">
        <v>0</v>
      </c>
      <c r="BH179">
        <v>0</v>
      </c>
      <c r="BJ179">
        <v>0.20187500000000005</v>
      </c>
      <c r="BK179">
        <v>0.20187500000000005</v>
      </c>
      <c r="BL179">
        <v>0.76524581683993875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0.23475418316006125</v>
      </c>
      <c r="BX179">
        <v>0</v>
      </c>
      <c r="BY179">
        <v>0</v>
      </c>
      <c r="BZ179">
        <v>0</v>
      </c>
      <c r="CA179">
        <v>0.20187500000000005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x14ac:dyDescent="0.25">
      <c r="A180" t="s">
        <v>128</v>
      </c>
      <c r="B180" t="s">
        <v>291</v>
      </c>
      <c r="C180" s="14" t="s">
        <v>109</v>
      </c>
      <c r="D180" s="12">
        <v>46227</v>
      </c>
      <c r="E180" s="14" t="s">
        <v>420</v>
      </c>
      <c r="F180" s="14" t="s">
        <v>420</v>
      </c>
      <c r="G180" s="14" t="s">
        <v>420</v>
      </c>
      <c r="H180" s="14"/>
      <c r="J180">
        <v>6.7786480661254069</v>
      </c>
      <c r="M180">
        <v>4.75</v>
      </c>
      <c r="N180">
        <v>4.75</v>
      </c>
      <c r="O180">
        <v>6.6332179930795832</v>
      </c>
      <c r="S180">
        <v>2.4127096675974773E-2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0.39383500512392244</v>
      </c>
      <c r="AC180">
        <v>4.5581237918765394E-2</v>
      </c>
      <c r="AD180">
        <v>0</v>
      </c>
      <c r="AE180">
        <v>0</v>
      </c>
      <c r="AF180">
        <v>0</v>
      </c>
      <c r="AG180">
        <v>0.56058375695731222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84" x14ac:dyDescent="0.25">
      <c r="A181" t="s">
        <v>128</v>
      </c>
      <c r="B181" t="s">
        <v>291</v>
      </c>
      <c r="C181" s="14" t="s">
        <v>72</v>
      </c>
      <c r="D181" s="12">
        <v>46232</v>
      </c>
      <c r="E181" s="14" t="s">
        <v>420</v>
      </c>
      <c r="F181" s="14" t="s">
        <v>420</v>
      </c>
      <c r="G181" s="14" t="s">
        <v>420</v>
      </c>
      <c r="H181" s="14" t="s">
        <v>75</v>
      </c>
      <c r="I181">
        <v>20</v>
      </c>
      <c r="J181">
        <v>3.1774912809962848</v>
      </c>
      <c r="K181">
        <v>46232</v>
      </c>
      <c r="L181" t="s">
        <v>449</v>
      </c>
      <c r="M181">
        <v>1.9</v>
      </c>
      <c r="N181">
        <v>1.9</v>
      </c>
      <c r="O181">
        <v>3.7508650519031144</v>
      </c>
      <c r="P181">
        <v>0.59795600742113297</v>
      </c>
      <c r="Q181">
        <v>0.59795600742113297</v>
      </c>
      <c r="R181">
        <v>1.180448574111288</v>
      </c>
      <c r="S181">
        <v>0.18044857411128801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0.40204399257886703</v>
      </c>
      <c r="AC181">
        <v>0</v>
      </c>
      <c r="AD181">
        <v>0</v>
      </c>
      <c r="AE181">
        <v>0</v>
      </c>
      <c r="AF181">
        <v>0</v>
      </c>
      <c r="AG181">
        <v>0.59795600742113297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1.6723638321033079</v>
      </c>
      <c r="AN181">
        <v>1.6723638321033079</v>
      </c>
      <c r="AO181">
        <v>1.9741395010016392</v>
      </c>
      <c r="BF181">
        <v>0</v>
      </c>
      <c r="BG181">
        <v>0</v>
      </c>
      <c r="BH181">
        <v>0</v>
      </c>
      <c r="BJ181">
        <v>0.50654981549815492</v>
      </c>
      <c r="BK181">
        <v>0.50654981549815492</v>
      </c>
      <c r="BL181">
        <v>0.84713559059771792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0.15286440940228208</v>
      </c>
      <c r="BX181">
        <v>0</v>
      </c>
      <c r="BY181">
        <v>0</v>
      </c>
      <c r="BZ181">
        <v>0</v>
      </c>
      <c r="CA181">
        <v>0.50654981549815492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 spans="1:84" x14ac:dyDescent="0.25">
      <c r="A182" t="s">
        <v>128</v>
      </c>
      <c r="B182" t="s">
        <v>291</v>
      </c>
      <c r="C182" s="14" t="s">
        <v>72</v>
      </c>
      <c r="D182" s="12">
        <v>46241</v>
      </c>
      <c r="E182" s="14" t="s">
        <v>134</v>
      </c>
      <c r="F182" s="14" t="s">
        <v>134</v>
      </c>
      <c r="G182" s="14" t="s">
        <v>134</v>
      </c>
      <c r="H182" s="14" t="s">
        <v>73</v>
      </c>
      <c r="I182">
        <v>20</v>
      </c>
      <c r="J182">
        <v>4.7757660550458709</v>
      </c>
      <c r="K182">
        <v>46241</v>
      </c>
      <c r="L182" t="s">
        <v>474</v>
      </c>
      <c r="M182">
        <v>3.8</v>
      </c>
      <c r="N182">
        <v>3.8</v>
      </c>
      <c r="O182">
        <v>4.705882352941174</v>
      </c>
      <c r="P182">
        <v>0.7956838664626551</v>
      </c>
      <c r="Q182">
        <v>0.7956838664626551</v>
      </c>
      <c r="R182">
        <v>0.98536701729121323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0.18968315082855813</v>
      </c>
      <c r="AC182">
        <v>1.4632982708786768E-2</v>
      </c>
      <c r="AD182">
        <v>0</v>
      </c>
      <c r="AE182">
        <v>0</v>
      </c>
      <c r="AF182">
        <v>0</v>
      </c>
      <c r="AG182">
        <v>0.7956838664626551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1.2567805408015451</v>
      </c>
      <c r="AN182">
        <v>1.2567805408015451</v>
      </c>
      <c r="AO182">
        <v>1.2383900928792564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0.23839009287925639</v>
      </c>
      <c r="AW182">
        <v>0</v>
      </c>
      <c r="AX182">
        <v>1.8390447922288722E-2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0.80750000000000044</v>
      </c>
      <c r="BK182">
        <v>0.80750000000000044</v>
      </c>
      <c r="BL182">
        <v>1.0148502866972482</v>
      </c>
      <c r="BM182">
        <v>1.4850286697248194E-2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0.2043161335373449</v>
      </c>
      <c r="BW182">
        <v>0</v>
      </c>
      <c r="BX182">
        <v>0</v>
      </c>
      <c r="BY182">
        <v>0</v>
      </c>
      <c r="BZ182">
        <v>0</v>
      </c>
      <c r="CA182">
        <v>0.80750000000000044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25">
      <c r="A183" t="s">
        <v>128</v>
      </c>
      <c r="B183" t="s">
        <v>291</v>
      </c>
      <c r="C183" s="14" t="s">
        <v>109</v>
      </c>
      <c r="D183" s="12">
        <v>46227</v>
      </c>
      <c r="E183" s="14" t="s">
        <v>134</v>
      </c>
      <c r="F183" s="14" t="s">
        <v>134</v>
      </c>
      <c r="G183" s="14" t="s">
        <v>134</v>
      </c>
      <c r="H183" s="14"/>
      <c r="J183">
        <v>8.2967229897463568</v>
      </c>
      <c r="M183">
        <v>9.5</v>
      </c>
      <c r="N183">
        <v>9.5</v>
      </c>
      <c r="O183">
        <v>10.460207612456742</v>
      </c>
      <c r="S183">
        <v>0.30924612911346389</v>
      </c>
      <c r="T183">
        <v>0</v>
      </c>
      <c r="U183">
        <v>0.68914522828950397</v>
      </c>
      <c r="V183">
        <v>0</v>
      </c>
      <c r="W183">
        <v>3.5005498337931831E-2</v>
      </c>
      <c r="X183">
        <v>0</v>
      </c>
      <c r="Y183">
        <v>3.8374717832957102E-2</v>
      </c>
      <c r="Z183">
        <v>0</v>
      </c>
      <c r="AA183">
        <v>0</v>
      </c>
      <c r="AB183">
        <v>0.22475209605737917</v>
      </c>
      <c r="AC183">
        <v>0.12186259248892212</v>
      </c>
      <c r="AD183">
        <v>0</v>
      </c>
      <c r="AE183">
        <v>0</v>
      </c>
      <c r="AF183">
        <v>0</v>
      </c>
      <c r="AG183">
        <v>0.38250495027988374</v>
      </c>
      <c r="AH183">
        <v>0</v>
      </c>
      <c r="AI183">
        <v>0</v>
      </c>
      <c r="AJ183">
        <v>0</v>
      </c>
      <c r="AK183">
        <v>0.27088036117381492</v>
      </c>
      <c r="AL183">
        <v>0</v>
      </c>
    </row>
    <row r="184" spans="1:84" x14ac:dyDescent="0.25">
      <c r="A184" t="s">
        <v>128</v>
      </c>
      <c r="B184" t="s">
        <v>291</v>
      </c>
      <c r="C184" s="14" t="s">
        <v>72</v>
      </c>
      <c r="D184" s="12">
        <v>46232</v>
      </c>
      <c r="E184" s="14" t="s">
        <v>420</v>
      </c>
      <c r="F184" s="14" t="s">
        <v>420</v>
      </c>
      <c r="G184" s="14" t="s">
        <v>420</v>
      </c>
      <c r="H184" s="14" t="s">
        <v>74</v>
      </c>
      <c r="I184">
        <v>20</v>
      </c>
      <c r="J184">
        <v>0</v>
      </c>
      <c r="K184">
        <v>46232</v>
      </c>
      <c r="L184" t="s">
        <v>448</v>
      </c>
      <c r="M184">
        <v>12.35</v>
      </c>
      <c r="N184">
        <v>12.35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F184">
        <v>0</v>
      </c>
    </row>
    <row r="185" spans="1:84" x14ac:dyDescent="0.25">
      <c r="A185" t="s">
        <v>128</v>
      </c>
      <c r="B185" t="s">
        <v>291</v>
      </c>
      <c r="C185" s="14" t="s">
        <v>72</v>
      </c>
      <c r="D185" s="12">
        <v>46247</v>
      </c>
      <c r="E185" s="14" t="s">
        <v>420</v>
      </c>
      <c r="F185" s="14" t="s">
        <v>420</v>
      </c>
      <c r="G185" s="14" t="s">
        <v>420</v>
      </c>
      <c r="H185" s="14" t="s">
        <v>73</v>
      </c>
      <c r="I185">
        <v>20</v>
      </c>
      <c r="J185">
        <v>3.6011567851291222</v>
      </c>
      <c r="K185">
        <v>46247</v>
      </c>
      <c r="L185" t="s">
        <v>492</v>
      </c>
      <c r="M185">
        <v>2.8499999999999996</v>
      </c>
      <c r="N185">
        <v>2.8499999999999996</v>
      </c>
      <c r="O185">
        <v>3.7647058823529393</v>
      </c>
      <c r="P185">
        <v>0.79141236276326432</v>
      </c>
      <c r="Q185">
        <v>0.79141236276326432</v>
      </c>
      <c r="R185">
        <v>1.0454157113900702</v>
      </c>
      <c r="S185">
        <v>4.5415711390070168E-2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0.20858763723673568</v>
      </c>
      <c r="AC185">
        <v>0</v>
      </c>
      <c r="AD185">
        <v>0</v>
      </c>
      <c r="AE185">
        <v>0</v>
      </c>
      <c r="AF185">
        <v>0</v>
      </c>
      <c r="AG185">
        <v>0.79141236276326432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1.2635637842558325</v>
      </c>
      <c r="AN185">
        <v>1.2635637842558325</v>
      </c>
      <c r="AO185">
        <v>1.3209494324045403</v>
      </c>
      <c r="AP185">
        <v>5.7385648148707835E-2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0.26356378425583249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0.75703125000000027</v>
      </c>
      <c r="BK185">
        <v>0.75703125000000027</v>
      </c>
      <c r="BL185">
        <v>0.9565572710499235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4.3442728950076503E-2</v>
      </c>
      <c r="BX185">
        <v>0</v>
      </c>
      <c r="BY185">
        <v>0</v>
      </c>
      <c r="BZ185">
        <v>0</v>
      </c>
      <c r="CA185">
        <v>0.75703125000000027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x14ac:dyDescent="0.25">
      <c r="A186" t="s">
        <v>128</v>
      </c>
      <c r="B186" t="s">
        <v>291</v>
      </c>
      <c r="C186" s="14" t="s">
        <v>109</v>
      </c>
      <c r="D186" s="12">
        <v>46228</v>
      </c>
      <c r="E186" s="14" t="s">
        <v>133</v>
      </c>
      <c r="F186" s="14" t="s">
        <v>133</v>
      </c>
      <c r="G186" s="14" t="s">
        <v>133</v>
      </c>
      <c r="H186" s="14"/>
      <c r="J186">
        <v>26.220922841721425</v>
      </c>
      <c r="M186">
        <v>62.699999999999989</v>
      </c>
      <c r="N186">
        <v>62.699999999999989</v>
      </c>
      <c r="O186">
        <v>30.217447916666664</v>
      </c>
      <c r="S186">
        <v>1.7825245711150652E-2</v>
      </c>
      <c r="T186">
        <v>0</v>
      </c>
      <c r="U186">
        <v>1.2133181533682029</v>
      </c>
      <c r="V186">
        <v>0</v>
      </c>
      <c r="W186">
        <v>0</v>
      </c>
      <c r="X186">
        <v>0</v>
      </c>
      <c r="Y186">
        <v>0.13459216152770395</v>
      </c>
      <c r="Z186">
        <v>0</v>
      </c>
      <c r="AA186">
        <v>5.9331641788379554E-2</v>
      </c>
      <c r="AB186">
        <v>1.6021770481119031E-2</v>
      </c>
      <c r="AC186">
        <v>0</v>
      </c>
      <c r="AD186">
        <v>0</v>
      </c>
      <c r="AE186">
        <v>0</v>
      </c>
      <c r="AF186">
        <v>0</v>
      </c>
      <c r="AG186">
        <v>0.98397822951888103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84" x14ac:dyDescent="0.25">
      <c r="A187" t="s">
        <v>128</v>
      </c>
      <c r="B187" t="s">
        <v>291</v>
      </c>
      <c r="C187" s="14" t="s">
        <v>72</v>
      </c>
      <c r="D187" s="12">
        <v>46232</v>
      </c>
      <c r="E187" s="14" t="s">
        <v>420</v>
      </c>
      <c r="F187" s="14" t="s">
        <v>420</v>
      </c>
      <c r="G187" s="14" t="s">
        <v>420</v>
      </c>
      <c r="H187" s="14" t="s">
        <v>73</v>
      </c>
      <c r="I187">
        <v>20</v>
      </c>
      <c r="J187">
        <v>3.6011567851291235</v>
      </c>
      <c r="K187">
        <v>46232</v>
      </c>
      <c r="L187" t="s">
        <v>447</v>
      </c>
      <c r="M187">
        <v>1.9</v>
      </c>
      <c r="N187">
        <v>1.9</v>
      </c>
      <c r="O187">
        <v>3.7647058823529393</v>
      </c>
      <c r="P187">
        <v>0.52760824184217603</v>
      </c>
      <c r="Q187">
        <v>0.52760824184217603</v>
      </c>
      <c r="R187">
        <v>1.0454157113900697</v>
      </c>
      <c r="S187">
        <v>4.5415711390069724E-2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0.47239175815782397</v>
      </c>
      <c r="AC187">
        <v>0</v>
      </c>
      <c r="AD187">
        <v>0</v>
      </c>
      <c r="AE187">
        <v>0</v>
      </c>
      <c r="AF187">
        <v>0</v>
      </c>
      <c r="AG187">
        <v>0.52760824184217603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1.8953456763837493</v>
      </c>
      <c r="AN187">
        <v>1.8953456763837493</v>
      </c>
      <c r="AO187">
        <v>1.9814241486068103</v>
      </c>
      <c r="BF187">
        <v>0</v>
      </c>
      <c r="BG187">
        <v>0</v>
      </c>
      <c r="BH187">
        <v>0</v>
      </c>
      <c r="BJ187">
        <v>0.50468750000000018</v>
      </c>
      <c r="BK187">
        <v>0.50468750000000018</v>
      </c>
      <c r="BL187">
        <v>0.95655727104992394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4.3442728950076059E-2</v>
      </c>
      <c r="BX187">
        <v>0</v>
      </c>
      <c r="BY187">
        <v>0</v>
      </c>
      <c r="BZ187">
        <v>0</v>
      </c>
      <c r="CA187">
        <v>0.50468750000000018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 spans="1:84" x14ac:dyDescent="0.25">
      <c r="A188" t="s">
        <v>128</v>
      </c>
      <c r="B188" t="s">
        <v>291</v>
      </c>
      <c r="C188" s="14" t="s">
        <v>109</v>
      </c>
      <c r="D188" s="12">
        <v>46228</v>
      </c>
      <c r="E188" s="14" t="s">
        <v>420</v>
      </c>
      <c r="F188" s="14" t="s">
        <v>420</v>
      </c>
      <c r="G188" s="14" t="s">
        <v>420</v>
      </c>
      <c r="H188" s="14"/>
      <c r="J188">
        <v>6.7786480661254078</v>
      </c>
      <c r="M188">
        <v>11.399999999999999</v>
      </c>
      <c r="N188">
        <v>11.399999999999999</v>
      </c>
      <c r="O188">
        <v>6.5813148788927336</v>
      </c>
      <c r="S188">
        <v>0</v>
      </c>
      <c r="T188">
        <v>0</v>
      </c>
      <c r="U188">
        <v>0.31695907467529633</v>
      </c>
      <c r="V188">
        <v>0</v>
      </c>
      <c r="W188">
        <v>0</v>
      </c>
      <c r="X188">
        <v>0</v>
      </c>
      <c r="Y188">
        <v>7.692841575975827E-2</v>
      </c>
      <c r="Z188">
        <v>0</v>
      </c>
      <c r="AA188">
        <v>0.14771784119755377</v>
      </c>
      <c r="AB188">
        <v>0</v>
      </c>
      <c r="AC188">
        <v>0</v>
      </c>
      <c r="AD188">
        <v>0</v>
      </c>
      <c r="AE188">
        <v>0.10603941035745648</v>
      </c>
      <c r="AF188">
        <v>0</v>
      </c>
      <c r="AG188">
        <v>0.89396058964254344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84" x14ac:dyDescent="0.25">
      <c r="A189" t="s">
        <v>128</v>
      </c>
      <c r="B189" t="s">
        <v>291</v>
      </c>
      <c r="C189" s="14" t="s">
        <v>72</v>
      </c>
      <c r="D189" s="12">
        <v>46240</v>
      </c>
      <c r="E189" s="14" t="s">
        <v>134</v>
      </c>
      <c r="F189" s="14" t="s">
        <v>134</v>
      </c>
      <c r="G189" s="14" t="s">
        <v>134</v>
      </c>
      <c r="H189" s="14" t="s">
        <v>75</v>
      </c>
      <c r="I189">
        <v>20</v>
      </c>
      <c r="J189">
        <v>3.5115926875337284</v>
      </c>
      <c r="K189">
        <v>46240</v>
      </c>
      <c r="L189" t="s">
        <v>473</v>
      </c>
      <c r="M189">
        <v>0.95</v>
      </c>
      <c r="N189">
        <v>0.95</v>
      </c>
      <c r="O189">
        <v>5.0442542342014178</v>
      </c>
      <c r="P189">
        <v>0.27053251459730276</v>
      </c>
      <c r="Q189">
        <v>0.27053251459730276</v>
      </c>
      <c r="R189">
        <v>1.4364576655227381</v>
      </c>
      <c r="S189">
        <v>0.43645766552273813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0.72946748540269724</v>
      </c>
      <c r="AC189">
        <v>0</v>
      </c>
      <c r="AD189">
        <v>0</v>
      </c>
      <c r="AE189">
        <v>0</v>
      </c>
      <c r="AF189">
        <v>0</v>
      </c>
      <c r="AG189">
        <v>0.27053251459730276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3.6964133552986618</v>
      </c>
      <c r="AN189">
        <v>3.6964133552986618</v>
      </c>
      <c r="AO189">
        <v>5.3097412991593878</v>
      </c>
      <c r="BF189">
        <v>0</v>
      </c>
      <c r="BG189">
        <v>0</v>
      </c>
      <c r="BH189">
        <v>0</v>
      </c>
      <c r="BJ189">
        <v>0.1883330926420681</v>
      </c>
      <c r="BK189">
        <v>0.1883330926420681</v>
      </c>
      <c r="BL189">
        <v>0.6961569588868407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0.3038430411131593</v>
      </c>
      <c r="BX189">
        <v>0</v>
      </c>
      <c r="BY189">
        <v>0</v>
      </c>
      <c r="BZ189">
        <v>0</v>
      </c>
      <c r="CA189">
        <v>0.1883330926420681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x14ac:dyDescent="0.25">
      <c r="A190" t="s">
        <v>128</v>
      </c>
      <c r="B190" t="s">
        <v>291</v>
      </c>
      <c r="C190" s="14" t="s">
        <v>72</v>
      </c>
      <c r="D190" s="12">
        <v>46231</v>
      </c>
      <c r="E190" s="14" t="s">
        <v>420</v>
      </c>
      <c r="F190" s="14" t="s">
        <v>420</v>
      </c>
      <c r="G190" s="14" t="s">
        <v>420</v>
      </c>
      <c r="H190" s="14" t="s">
        <v>75</v>
      </c>
      <c r="I190">
        <v>20</v>
      </c>
      <c r="J190">
        <v>3.1774912809962848</v>
      </c>
      <c r="K190">
        <v>46231</v>
      </c>
      <c r="L190" t="s">
        <v>446</v>
      </c>
      <c r="M190">
        <v>2.8499999999999996</v>
      </c>
      <c r="N190">
        <v>2.8499999999999996</v>
      </c>
      <c r="O190">
        <v>3.8062283737024223</v>
      </c>
      <c r="P190">
        <v>0.89693401113169946</v>
      </c>
      <c r="Q190">
        <v>0.89693401113169946</v>
      </c>
      <c r="R190">
        <v>1.1978721693011225</v>
      </c>
      <c r="S190">
        <v>0.1978721693011225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0.10306598886830054</v>
      </c>
      <c r="AC190">
        <v>0</v>
      </c>
      <c r="AD190">
        <v>0</v>
      </c>
      <c r="AE190">
        <v>0</v>
      </c>
      <c r="AF190">
        <v>0</v>
      </c>
      <c r="AG190">
        <v>0.89693401113169946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1.1149092214022054</v>
      </c>
      <c r="AN190">
        <v>1.1149092214022054</v>
      </c>
      <c r="AO190">
        <v>1.3355187276148852</v>
      </c>
      <c r="AP190">
        <v>0.22060950621267983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0.11490922140220539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0.74877272727272715</v>
      </c>
      <c r="BK190">
        <v>0.74877272727272715</v>
      </c>
      <c r="BL190">
        <v>0.834813618370842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0.165186381629158</v>
      </c>
      <c r="BX190">
        <v>0</v>
      </c>
      <c r="BY190">
        <v>0</v>
      </c>
      <c r="BZ190">
        <v>0</v>
      </c>
      <c r="CA190">
        <v>0.74877272727272715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84" x14ac:dyDescent="0.25">
      <c r="A191" t="s">
        <v>128</v>
      </c>
      <c r="B191" t="s">
        <v>291</v>
      </c>
      <c r="C191" s="14" t="s">
        <v>109</v>
      </c>
      <c r="D191" s="12">
        <v>46228</v>
      </c>
      <c r="E191" s="14" t="s">
        <v>134</v>
      </c>
      <c r="F191" s="14" t="s">
        <v>134</v>
      </c>
      <c r="G191" s="14" t="s">
        <v>134</v>
      </c>
      <c r="H191" s="14"/>
      <c r="J191">
        <v>7.0325496222342139</v>
      </c>
      <c r="M191">
        <v>16.149999999999999</v>
      </c>
      <c r="N191">
        <v>16.149999999999999</v>
      </c>
      <c r="O191">
        <v>12.512110726643595</v>
      </c>
      <c r="S191">
        <v>0.31572977478650155</v>
      </c>
      <c r="T191">
        <v>0</v>
      </c>
      <c r="U191">
        <v>0.95313101741628248</v>
      </c>
      <c r="V191">
        <v>0</v>
      </c>
      <c r="W191">
        <v>0.37855474644770004</v>
      </c>
      <c r="X191">
        <v>0</v>
      </c>
      <c r="Y191">
        <v>8.4886817576564577E-2</v>
      </c>
      <c r="Z191">
        <v>0</v>
      </c>
      <c r="AA191">
        <v>0</v>
      </c>
      <c r="AB191">
        <v>0.12010815992549395</v>
      </c>
      <c r="AC191">
        <v>0</v>
      </c>
      <c r="AD191">
        <v>0</v>
      </c>
      <c r="AE191">
        <v>0</v>
      </c>
      <c r="AF191">
        <v>0</v>
      </c>
      <c r="AG191">
        <v>0.87989184007450616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84" x14ac:dyDescent="0.25">
      <c r="A192" t="s">
        <v>128</v>
      </c>
      <c r="B192" t="s">
        <v>291</v>
      </c>
      <c r="C192" s="14" t="s">
        <v>109</v>
      </c>
      <c r="D192" s="12">
        <v>46240</v>
      </c>
      <c r="E192" s="14" t="s">
        <v>134</v>
      </c>
      <c r="F192" s="14" t="s">
        <v>134</v>
      </c>
      <c r="G192" s="14" t="s">
        <v>134</v>
      </c>
      <c r="H192" s="14"/>
      <c r="J192">
        <v>10.754837871019967</v>
      </c>
      <c r="M192">
        <v>5.7</v>
      </c>
      <c r="N192">
        <v>5.7</v>
      </c>
      <c r="O192">
        <v>13.692087051538881</v>
      </c>
      <c r="S192">
        <v>0.2165010650969969</v>
      </c>
      <c r="T192">
        <v>0</v>
      </c>
      <c r="U192">
        <v>1.6408484288806689E-3</v>
      </c>
      <c r="V192">
        <v>0</v>
      </c>
      <c r="W192">
        <v>2.7004676993824639E-2</v>
      </c>
      <c r="X192">
        <v>0</v>
      </c>
      <c r="Y192">
        <v>2.9603831084022633E-2</v>
      </c>
      <c r="Z192">
        <v>0</v>
      </c>
      <c r="AA192">
        <v>0</v>
      </c>
      <c r="AB192">
        <v>0.52825531397827241</v>
      </c>
      <c r="AC192">
        <v>0</v>
      </c>
      <c r="AD192">
        <v>0</v>
      </c>
      <c r="AE192">
        <v>0</v>
      </c>
      <c r="AF192">
        <v>0</v>
      </c>
      <c r="AG192">
        <v>0.47174468602172753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84" x14ac:dyDescent="0.25">
      <c r="A193" t="s">
        <v>128</v>
      </c>
      <c r="B193" t="s">
        <v>291</v>
      </c>
      <c r="C193" s="14" t="s">
        <v>72</v>
      </c>
      <c r="D193" s="12">
        <v>46247</v>
      </c>
      <c r="E193" s="14" t="s">
        <v>420</v>
      </c>
      <c r="F193" s="14" t="s">
        <v>420</v>
      </c>
      <c r="G193" s="14" t="s">
        <v>420</v>
      </c>
      <c r="H193" s="14" t="s">
        <v>74</v>
      </c>
      <c r="I193">
        <v>20</v>
      </c>
      <c r="J193">
        <v>0</v>
      </c>
      <c r="K193">
        <v>46247</v>
      </c>
      <c r="L193" t="s">
        <v>493</v>
      </c>
      <c r="M193">
        <v>11.4</v>
      </c>
      <c r="N193">
        <v>11.4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F193">
        <v>0</v>
      </c>
    </row>
    <row r="194" spans="1:84" x14ac:dyDescent="0.25">
      <c r="A194" t="s">
        <v>128</v>
      </c>
      <c r="B194" t="s">
        <v>291</v>
      </c>
      <c r="C194" s="14" t="s">
        <v>109</v>
      </c>
      <c r="D194" s="12">
        <v>46229</v>
      </c>
      <c r="E194" s="14" t="s">
        <v>133</v>
      </c>
      <c r="F194" s="14" t="s">
        <v>133</v>
      </c>
      <c r="G194" s="14" t="s">
        <v>133</v>
      </c>
      <c r="H194" s="14"/>
      <c r="J194">
        <v>27.008675888468424</v>
      </c>
      <c r="M194">
        <v>45.6</v>
      </c>
      <c r="N194">
        <v>45.6</v>
      </c>
      <c r="O194">
        <v>28.869791666666668</v>
      </c>
      <c r="S194">
        <v>4.1319906613349222E-2</v>
      </c>
      <c r="T194">
        <v>0</v>
      </c>
      <c r="U194">
        <v>0.96542563205278742</v>
      </c>
      <c r="V194">
        <v>0</v>
      </c>
      <c r="W194">
        <v>0</v>
      </c>
      <c r="X194">
        <v>0</v>
      </c>
      <c r="Y194">
        <v>2.7588165218223232E-2</v>
      </c>
      <c r="Z194">
        <v>0</v>
      </c>
      <c r="AA194">
        <v>6.2484811044996008E-2</v>
      </c>
      <c r="AB194">
        <v>0.36715223442104317</v>
      </c>
      <c r="AC194">
        <v>0</v>
      </c>
      <c r="AD194">
        <v>0</v>
      </c>
      <c r="AE194">
        <v>0</v>
      </c>
      <c r="AF194">
        <v>0</v>
      </c>
      <c r="AG194">
        <v>0.63284776557895683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84" x14ac:dyDescent="0.25">
      <c r="A195" t="s">
        <v>128</v>
      </c>
      <c r="B195" t="s">
        <v>291</v>
      </c>
      <c r="C195" s="14" t="s">
        <v>72</v>
      </c>
      <c r="D195" s="12">
        <v>46234</v>
      </c>
      <c r="E195" s="14" t="s">
        <v>420</v>
      </c>
      <c r="F195" s="14" t="s">
        <v>420</v>
      </c>
      <c r="G195" s="14" t="s">
        <v>420</v>
      </c>
      <c r="H195" s="14" t="s">
        <v>73</v>
      </c>
      <c r="I195">
        <v>20</v>
      </c>
      <c r="J195">
        <v>3.6011567851291235</v>
      </c>
      <c r="K195">
        <v>46234</v>
      </c>
      <c r="L195" t="s">
        <v>453</v>
      </c>
      <c r="M195">
        <v>0.95</v>
      </c>
      <c r="N195">
        <v>0.95</v>
      </c>
      <c r="O195">
        <v>3.8235294117647038</v>
      </c>
      <c r="P195">
        <v>0.26380412092108801</v>
      </c>
      <c r="Q195">
        <v>0.26380412092108801</v>
      </c>
      <c r="R195">
        <v>1.0617503318805395</v>
      </c>
      <c r="S195">
        <v>6.1750331880539466E-2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0.73619587907891204</v>
      </c>
      <c r="AC195">
        <v>0</v>
      </c>
      <c r="AD195">
        <v>0</v>
      </c>
      <c r="AE195">
        <v>0</v>
      </c>
      <c r="AF195">
        <v>0</v>
      </c>
      <c r="AG195">
        <v>0.26380412092108801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3.7906913527674986</v>
      </c>
      <c r="AN195">
        <v>3.7906913527674986</v>
      </c>
      <c r="AO195">
        <v>4.0247678018575828</v>
      </c>
      <c r="BF195">
        <v>0</v>
      </c>
      <c r="BG195">
        <v>0</v>
      </c>
      <c r="BH195">
        <v>0</v>
      </c>
      <c r="BJ195">
        <v>0.24846153846153859</v>
      </c>
      <c r="BK195">
        <v>0.24846153846153859</v>
      </c>
      <c r="BL195">
        <v>0.94184100534146353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5.8158994658536467E-2</v>
      </c>
      <c r="BX195">
        <v>0</v>
      </c>
      <c r="BY195">
        <v>0</v>
      </c>
      <c r="BZ195">
        <v>0</v>
      </c>
      <c r="CA195">
        <v>0.24846153846153859</v>
      </c>
      <c r="CB195">
        <v>0</v>
      </c>
      <c r="CC195">
        <v>0</v>
      </c>
      <c r="CD195">
        <v>0</v>
      </c>
      <c r="CE195">
        <v>0</v>
      </c>
      <c r="CF195">
        <v>0</v>
      </c>
    </row>
    <row r="196" spans="1:84" x14ac:dyDescent="0.25">
      <c r="A196" t="s">
        <v>128</v>
      </c>
      <c r="B196" t="s">
        <v>291</v>
      </c>
      <c r="C196" s="14" t="s">
        <v>109</v>
      </c>
      <c r="D196" s="12">
        <v>46226</v>
      </c>
      <c r="E196" s="14" t="s">
        <v>420</v>
      </c>
      <c r="F196" s="14" t="s">
        <v>420</v>
      </c>
      <c r="G196" s="14" t="s">
        <v>420</v>
      </c>
      <c r="H196" s="14"/>
      <c r="J196">
        <v>6.7786480661254078</v>
      </c>
      <c r="M196">
        <v>15.2</v>
      </c>
      <c r="N196">
        <v>15.2</v>
      </c>
      <c r="O196">
        <v>7.5155709342560542</v>
      </c>
      <c r="S196">
        <v>2.4127096675974891E-2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8.458526911466617E-2</v>
      </c>
      <c r="Z196">
        <v>0</v>
      </c>
      <c r="AA196">
        <v>7.248487842645911E-3</v>
      </c>
      <c r="AB196">
        <v>0.39110406076067183</v>
      </c>
      <c r="AC196">
        <v>0</v>
      </c>
      <c r="AD196">
        <v>0</v>
      </c>
      <c r="AE196">
        <v>0</v>
      </c>
      <c r="AF196">
        <v>0</v>
      </c>
      <c r="AG196">
        <v>0.60889593923932817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84" x14ac:dyDescent="0.25">
      <c r="A197" t="s">
        <v>128</v>
      </c>
      <c r="B197" t="s">
        <v>291</v>
      </c>
      <c r="C197" s="14" t="s">
        <v>72</v>
      </c>
      <c r="D197" s="12">
        <v>46246</v>
      </c>
      <c r="E197" s="14" t="s">
        <v>420</v>
      </c>
      <c r="F197" s="14" t="s">
        <v>420</v>
      </c>
      <c r="G197" s="14" t="s">
        <v>420</v>
      </c>
      <c r="H197" s="14" t="s">
        <v>75</v>
      </c>
      <c r="I197">
        <v>20</v>
      </c>
      <c r="J197">
        <v>3.1774912809962848</v>
      </c>
      <c r="K197">
        <v>46246</v>
      </c>
      <c r="L197" t="s">
        <v>491</v>
      </c>
      <c r="M197">
        <v>2.8499999999999996</v>
      </c>
      <c r="N197">
        <v>2.8499999999999996</v>
      </c>
      <c r="O197">
        <v>3.7508650519031144</v>
      </c>
      <c r="P197">
        <v>0.89693401113169946</v>
      </c>
      <c r="Q197">
        <v>0.89693401113169946</v>
      </c>
      <c r="R197">
        <v>1.180448574111288</v>
      </c>
      <c r="S197">
        <v>0.18044857411128801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0.10306598886830054</v>
      </c>
      <c r="AC197">
        <v>0</v>
      </c>
      <c r="AD197">
        <v>0</v>
      </c>
      <c r="AE197">
        <v>0</v>
      </c>
      <c r="AF197">
        <v>0</v>
      </c>
      <c r="AG197">
        <v>0.89693401113169946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1.1149092214022054</v>
      </c>
      <c r="AN197">
        <v>1.1149092214022054</v>
      </c>
      <c r="AO197">
        <v>1.3160930006677596</v>
      </c>
      <c r="AP197">
        <v>0.2011837792655542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0.11490922140220539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0.75982472324723238</v>
      </c>
      <c r="BK197">
        <v>0.75982472324723238</v>
      </c>
      <c r="BL197">
        <v>0.84713559059771792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0.15286440940228208</v>
      </c>
      <c r="BX197">
        <v>0</v>
      </c>
      <c r="BY197">
        <v>0</v>
      </c>
      <c r="BZ197">
        <v>0</v>
      </c>
      <c r="CA197">
        <v>0.75982472324723238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 spans="1:84" x14ac:dyDescent="0.25">
      <c r="A198" t="s">
        <v>128</v>
      </c>
      <c r="B198" t="s">
        <v>291</v>
      </c>
      <c r="C198" s="14" t="s">
        <v>72</v>
      </c>
      <c r="D198" s="12">
        <v>46234</v>
      </c>
      <c r="E198" s="14" t="s">
        <v>420</v>
      </c>
      <c r="F198" s="14" t="s">
        <v>420</v>
      </c>
      <c r="G198" s="14" t="s">
        <v>420</v>
      </c>
      <c r="H198" s="14" t="s">
        <v>74</v>
      </c>
      <c r="I198">
        <v>20</v>
      </c>
      <c r="J198">
        <v>0</v>
      </c>
      <c r="K198">
        <v>46234</v>
      </c>
      <c r="L198" t="s">
        <v>454</v>
      </c>
      <c r="M198">
        <v>2.8499999999999996</v>
      </c>
      <c r="N198">
        <v>2.8499999999999996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F198">
        <v>0</v>
      </c>
    </row>
    <row r="199" spans="1:84" x14ac:dyDescent="0.25">
      <c r="A199" t="s">
        <v>128</v>
      </c>
      <c r="B199" t="s">
        <v>291</v>
      </c>
      <c r="C199" s="14" t="s">
        <v>72</v>
      </c>
      <c r="D199" s="12">
        <v>46237</v>
      </c>
      <c r="E199" s="14" t="s">
        <v>420</v>
      </c>
      <c r="F199" s="14" t="s">
        <v>420</v>
      </c>
      <c r="G199" s="14" t="s">
        <v>420</v>
      </c>
      <c r="H199" s="14" t="s">
        <v>73</v>
      </c>
      <c r="I199">
        <v>20</v>
      </c>
      <c r="J199">
        <v>3.6011567851291222</v>
      </c>
      <c r="K199">
        <v>46237</v>
      </c>
      <c r="L199" t="s">
        <v>462</v>
      </c>
      <c r="M199">
        <v>0.95</v>
      </c>
      <c r="N199">
        <v>0.95</v>
      </c>
      <c r="O199">
        <v>3.7647058823529393</v>
      </c>
      <c r="P199">
        <v>0.26380412092108813</v>
      </c>
      <c r="Q199">
        <v>0.26380412092108813</v>
      </c>
      <c r="R199">
        <v>1.0454157113900702</v>
      </c>
      <c r="S199">
        <v>4.5415711390070168E-2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0.73619587907891182</v>
      </c>
      <c r="AC199">
        <v>0</v>
      </c>
      <c r="AD199">
        <v>0</v>
      </c>
      <c r="AE199">
        <v>0</v>
      </c>
      <c r="AF199">
        <v>0</v>
      </c>
      <c r="AG199">
        <v>0.26380412092108813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3.7906913527674972</v>
      </c>
      <c r="AN199">
        <v>3.7906913527674972</v>
      </c>
      <c r="AO199">
        <v>3.9628482972136205</v>
      </c>
      <c r="BF199">
        <v>0</v>
      </c>
      <c r="BG199">
        <v>0</v>
      </c>
      <c r="BH199">
        <v>0</v>
      </c>
      <c r="BJ199">
        <v>0.25234375000000009</v>
      </c>
      <c r="BK199">
        <v>0.25234375000000009</v>
      </c>
      <c r="BL199">
        <v>0.9565572710499235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4.3442728950076503E-2</v>
      </c>
      <c r="BX199">
        <v>0</v>
      </c>
      <c r="BY199">
        <v>0</v>
      </c>
      <c r="BZ199">
        <v>0</v>
      </c>
      <c r="CA199">
        <v>0.25234375000000009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 spans="1:84" x14ac:dyDescent="0.25">
      <c r="A200" t="s">
        <v>128</v>
      </c>
      <c r="B200" t="s">
        <v>291</v>
      </c>
      <c r="C200" s="14" t="s">
        <v>72</v>
      </c>
      <c r="D200" s="12">
        <v>46236</v>
      </c>
      <c r="E200" s="14" t="s">
        <v>420</v>
      </c>
      <c r="F200" s="14" t="s">
        <v>420</v>
      </c>
      <c r="G200" s="14" t="s">
        <v>420</v>
      </c>
      <c r="H200" s="14" t="s">
        <v>75</v>
      </c>
      <c r="I200">
        <v>20</v>
      </c>
      <c r="J200">
        <v>3.1774912809962856</v>
      </c>
      <c r="K200">
        <v>46236</v>
      </c>
      <c r="L200" t="s">
        <v>461</v>
      </c>
      <c r="M200">
        <v>0</v>
      </c>
      <c r="N200">
        <v>0</v>
      </c>
      <c r="O200">
        <v>3.7543252595155714</v>
      </c>
      <c r="P200">
        <v>0</v>
      </c>
      <c r="Q200">
        <v>0</v>
      </c>
      <c r="R200">
        <v>1.1815375488106525</v>
      </c>
      <c r="S200">
        <v>0.18153754881065254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0.84635482046813493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0.15364517953186507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0.84635482046813493</v>
      </c>
      <c r="CF200">
        <v>0</v>
      </c>
    </row>
    <row r="201" spans="1:84" x14ac:dyDescent="0.25">
      <c r="A201" t="s">
        <v>128</v>
      </c>
      <c r="B201" t="s">
        <v>291</v>
      </c>
      <c r="C201" s="14" t="s">
        <v>72</v>
      </c>
      <c r="D201" s="12">
        <v>46245</v>
      </c>
      <c r="E201" s="14" t="s">
        <v>420</v>
      </c>
      <c r="F201" s="14" t="s">
        <v>420</v>
      </c>
      <c r="G201" s="14" t="s">
        <v>420</v>
      </c>
      <c r="H201" s="14" t="s">
        <v>75</v>
      </c>
      <c r="I201">
        <v>20</v>
      </c>
      <c r="J201">
        <v>3.1774912809962848</v>
      </c>
      <c r="K201">
        <v>46245</v>
      </c>
      <c r="L201" t="s">
        <v>488</v>
      </c>
      <c r="M201">
        <v>2.8499999999999996</v>
      </c>
      <c r="N201">
        <v>2.8499999999999996</v>
      </c>
      <c r="O201">
        <v>3.7508650519031144</v>
      </c>
      <c r="P201">
        <v>0.89693401113169946</v>
      </c>
      <c r="Q201">
        <v>0.89693401113169946</v>
      </c>
      <c r="R201">
        <v>1.180448574111288</v>
      </c>
      <c r="S201">
        <v>0.18044857411128801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0.10306598886830054</v>
      </c>
      <c r="AC201">
        <v>0</v>
      </c>
      <c r="AD201">
        <v>0</v>
      </c>
      <c r="AE201">
        <v>0</v>
      </c>
      <c r="AF201">
        <v>0</v>
      </c>
      <c r="AG201">
        <v>0.89693401113169946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1.1149092214022054</v>
      </c>
      <c r="AN201">
        <v>1.1149092214022054</v>
      </c>
      <c r="AO201">
        <v>1.3160930006677596</v>
      </c>
      <c r="AP201">
        <v>0.2011837792655542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0.11490922140220539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0.75982472324723238</v>
      </c>
      <c r="BK201">
        <v>0.75982472324723238</v>
      </c>
      <c r="BL201">
        <v>0.84713559059771792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0.15286440940228208</v>
      </c>
      <c r="BX201">
        <v>0</v>
      </c>
      <c r="BY201">
        <v>0</v>
      </c>
      <c r="BZ201">
        <v>0</v>
      </c>
      <c r="CA201">
        <v>0.75982472324723238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 spans="1:84" x14ac:dyDescent="0.25">
      <c r="A202" t="s">
        <v>128</v>
      </c>
      <c r="B202" t="s">
        <v>291</v>
      </c>
      <c r="C202" s="14" t="s">
        <v>109</v>
      </c>
      <c r="D202" s="12">
        <v>46223</v>
      </c>
      <c r="E202" s="14" t="s">
        <v>134</v>
      </c>
      <c r="F202" s="14" t="s">
        <v>134</v>
      </c>
      <c r="G202" s="14" t="s">
        <v>134</v>
      </c>
      <c r="H202" s="14"/>
      <c r="J202">
        <v>10.465131474298435</v>
      </c>
      <c r="M202">
        <v>17.099999999999998</v>
      </c>
      <c r="N202">
        <v>17.099999999999998</v>
      </c>
      <c r="O202">
        <v>7.7508650519031104</v>
      </c>
      <c r="S202">
        <v>1.7788517039404782E-2</v>
      </c>
      <c r="T202">
        <v>0</v>
      </c>
      <c r="U202">
        <v>0.93721497964352074</v>
      </c>
      <c r="V202">
        <v>0</v>
      </c>
      <c r="W202">
        <v>0</v>
      </c>
      <c r="X202">
        <v>0</v>
      </c>
      <c r="Y202">
        <v>4.0980949070816231E-2</v>
      </c>
      <c r="Z202">
        <v>0</v>
      </c>
      <c r="AA202">
        <v>3.0423354398523568E-2</v>
      </c>
      <c r="AB202">
        <v>8.8248237877643951E-2</v>
      </c>
      <c r="AC202">
        <v>0.28637341778100861</v>
      </c>
      <c r="AD202">
        <v>0</v>
      </c>
      <c r="AE202">
        <v>3.1758907655094176E-2</v>
      </c>
      <c r="AF202">
        <v>0</v>
      </c>
      <c r="AG202">
        <v>0.59361943668625317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84" x14ac:dyDescent="0.25">
      <c r="A203" t="s">
        <v>128</v>
      </c>
      <c r="B203" t="s">
        <v>291</v>
      </c>
      <c r="C203" s="14" t="s">
        <v>72</v>
      </c>
      <c r="D203" s="12">
        <v>46236</v>
      </c>
      <c r="E203" s="14" t="s">
        <v>420</v>
      </c>
      <c r="F203" s="14" t="s">
        <v>420</v>
      </c>
      <c r="G203" s="14" t="s">
        <v>420</v>
      </c>
      <c r="H203" s="14" t="s">
        <v>74</v>
      </c>
      <c r="I203">
        <v>20</v>
      </c>
      <c r="J203">
        <v>0</v>
      </c>
      <c r="K203">
        <v>46236</v>
      </c>
      <c r="L203" t="s">
        <v>460</v>
      </c>
      <c r="M203">
        <v>2.8499999999999996</v>
      </c>
      <c r="N203">
        <v>2.8499999999999996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F203">
        <v>0</v>
      </c>
    </row>
    <row r="204" spans="1:84" x14ac:dyDescent="0.25">
      <c r="A204" t="s">
        <v>128</v>
      </c>
      <c r="B204" t="s">
        <v>291</v>
      </c>
      <c r="C204" s="14" t="s">
        <v>109</v>
      </c>
      <c r="D204" s="12">
        <v>46224</v>
      </c>
      <c r="E204" s="14" t="s">
        <v>133</v>
      </c>
      <c r="F204" s="14" t="s">
        <v>133</v>
      </c>
      <c r="G204" s="14" t="s">
        <v>133</v>
      </c>
      <c r="H204" s="14"/>
      <c r="J204">
        <v>28.218439495972738</v>
      </c>
      <c r="M204">
        <v>45.599999999999994</v>
      </c>
      <c r="N204">
        <v>45.599999999999994</v>
      </c>
      <c r="O204">
        <v>31.749999999999993</v>
      </c>
      <c r="S204">
        <v>7.5549609583500377E-2</v>
      </c>
      <c r="T204">
        <v>0</v>
      </c>
      <c r="U204">
        <v>0.81137843701814072</v>
      </c>
      <c r="V204">
        <v>0</v>
      </c>
      <c r="W204">
        <v>1.1660271194200352E-2</v>
      </c>
      <c r="X204">
        <v>0</v>
      </c>
      <c r="Y204">
        <v>3.794092724381555E-2</v>
      </c>
      <c r="Z204">
        <v>0</v>
      </c>
      <c r="AA204">
        <v>7.6486629731646438E-2</v>
      </c>
      <c r="AB204">
        <v>0.32150164012382992</v>
      </c>
      <c r="AC204">
        <v>0</v>
      </c>
      <c r="AD204">
        <v>0</v>
      </c>
      <c r="AE204">
        <v>0</v>
      </c>
      <c r="AF204">
        <v>0</v>
      </c>
      <c r="AG204">
        <v>0.67849835987617013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84" x14ac:dyDescent="0.25">
      <c r="A205" t="s">
        <v>128</v>
      </c>
      <c r="B205" t="s">
        <v>291</v>
      </c>
      <c r="C205" s="14" t="s">
        <v>72</v>
      </c>
      <c r="D205" s="12">
        <v>46246</v>
      </c>
      <c r="E205" s="14" t="s">
        <v>420</v>
      </c>
      <c r="F205" s="14" t="s">
        <v>420</v>
      </c>
      <c r="G205" s="14" t="s">
        <v>420</v>
      </c>
      <c r="H205" s="14" t="s">
        <v>73</v>
      </c>
      <c r="I205">
        <v>20</v>
      </c>
      <c r="J205">
        <v>3.6011567851291222</v>
      </c>
      <c r="K205">
        <v>46246</v>
      </c>
      <c r="L205" t="s">
        <v>489</v>
      </c>
      <c r="M205">
        <v>1.9</v>
      </c>
      <c r="N205">
        <v>1.9</v>
      </c>
      <c r="O205">
        <v>3.7647058823529398</v>
      </c>
      <c r="P205">
        <v>0.52760824184217625</v>
      </c>
      <c r="Q205">
        <v>0.52760824184217625</v>
      </c>
      <c r="R205">
        <v>1.0454157113900704</v>
      </c>
      <c r="S205">
        <v>4.541571139007039E-2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0.47239175815782375</v>
      </c>
      <c r="AC205">
        <v>0</v>
      </c>
      <c r="AD205">
        <v>0</v>
      </c>
      <c r="AE205">
        <v>0</v>
      </c>
      <c r="AF205">
        <v>0</v>
      </c>
      <c r="AG205">
        <v>0.52760824184217625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1.8953456763837486</v>
      </c>
      <c r="AN205">
        <v>1.8953456763837486</v>
      </c>
      <c r="AO205">
        <v>1.9814241486068105</v>
      </c>
      <c r="BF205">
        <v>0</v>
      </c>
      <c r="BG205">
        <v>0</v>
      </c>
      <c r="BH205">
        <v>0</v>
      </c>
      <c r="BJ205">
        <v>0.50468750000000018</v>
      </c>
      <c r="BK205">
        <v>0.50468750000000018</v>
      </c>
      <c r="BL205">
        <v>0.95655727104992339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4.3442728950076615E-2</v>
      </c>
      <c r="BX205">
        <v>0</v>
      </c>
      <c r="BY205">
        <v>0</v>
      </c>
      <c r="BZ205">
        <v>0</v>
      </c>
      <c r="CA205">
        <v>0.50468750000000018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 spans="1:84" x14ac:dyDescent="0.25">
      <c r="A206" t="s">
        <v>128</v>
      </c>
      <c r="B206" t="s">
        <v>291</v>
      </c>
      <c r="C206" s="14" t="s">
        <v>72</v>
      </c>
      <c r="D206" s="12">
        <v>46236</v>
      </c>
      <c r="E206" s="14" t="s">
        <v>420</v>
      </c>
      <c r="F206" s="14" t="s">
        <v>420</v>
      </c>
      <c r="G206" s="14" t="s">
        <v>420</v>
      </c>
      <c r="H206" s="14" t="s">
        <v>73</v>
      </c>
      <c r="I206">
        <v>20</v>
      </c>
      <c r="J206">
        <v>3.6011567851291222</v>
      </c>
      <c r="K206">
        <v>46236</v>
      </c>
      <c r="L206" t="s">
        <v>459</v>
      </c>
      <c r="M206">
        <v>2.8499999999999996</v>
      </c>
      <c r="N206">
        <v>2.8499999999999996</v>
      </c>
      <c r="O206">
        <v>3.8235294117647038</v>
      </c>
      <c r="P206">
        <v>0.79141236276326432</v>
      </c>
      <c r="Q206">
        <v>0.79141236276326432</v>
      </c>
      <c r="R206">
        <v>1.0617503318805399</v>
      </c>
      <c r="S206">
        <v>6.175033188053991E-2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0.20858763723673568</v>
      </c>
      <c r="AC206">
        <v>0</v>
      </c>
      <c r="AD206">
        <v>0</v>
      </c>
      <c r="AE206">
        <v>0</v>
      </c>
      <c r="AF206">
        <v>0</v>
      </c>
      <c r="AG206">
        <v>0.79141236276326432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1.2635637842558325</v>
      </c>
      <c r="AN206">
        <v>1.2635637842558325</v>
      </c>
      <c r="AO206">
        <v>1.3415892672858611</v>
      </c>
      <c r="AP206">
        <v>7.8025483030028653E-2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0.26356378425583249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0.74538461538461565</v>
      </c>
      <c r="BK206">
        <v>0.74538461538461565</v>
      </c>
      <c r="BL206">
        <v>0.9418410053414632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5.81589946585368E-2</v>
      </c>
      <c r="BX206">
        <v>0</v>
      </c>
      <c r="BY206">
        <v>0</v>
      </c>
      <c r="BZ206">
        <v>0</v>
      </c>
      <c r="CA206">
        <v>0.74538461538461565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x14ac:dyDescent="0.25">
      <c r="A207" t="s">
        <v>128</v>
      </c>
      <c r="B207" t="s">
        <v>291</v>
      </c>
      <c r="C207" s="14" t="s">
        <v>109</v>
      </c>
      <c r="D207" s="12">
        <v>46224</v>
      </c>
      <c r="E207" s="14" t="s">
        <v>420</v>
      </c>
      <c r="F207" s="14" t="s">
        <v>420</v>
      </c>
      <c r="G207" s="14" t="s">
        <v>420</v>
      </c>
      <c r="H207" s="14"/>
      <c r="J207">
        <v>6.8316062541420131</v>
      </c>
      <c r="M207">
        <v>15.2</v>
      </c>
      <c r="N207">
        <v>15.2</v>
      </c>
      <c r="O207">
        <v>7.404751606524961</v>
      </c>
      <c r="S207">
        <v>8.3896133802419934E-2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0.44376185356173692</v>
      </c>
      <c r="AC207">
        <v>0</v>
      </c>
      <c r="AD207">
        <v>0</v>
      </c>
      <c r="AE207">
        <v>0</v>
      </c>
      <c r="AF207">
        <v>0</v>
      </c>
      <c r="AG207">
        <v>0.55623814643826319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84" x14ac:dyDescent="0.25">
      <c r="A208" t="s">
        <v>128</v>
      </c>
      <c r="B208" t="s">
        <v>291</v>
      </c>
      <c r="C208" s="14" t="s">
        <v>72</v>
      </c>
      <c r="D208" s="12">
        <v>46242</v>
      </c>
      <c r="E208" s="14" t="s">
        <v>134</v>
      </c>
      <c r="F208" s="14" t="s">
        <v>134</v>
      </c>
      <c r="G208" s="14" t="s">
        <v>134</v>
      </c>
      <c r="H208" s="14" t="s">
        <v>74</v>
      </c>
      <c r="I208">
        <v>20</v>
      </c>
      <c r="J208">
        <v>1.2735376146788988</v>
      </c>
      <c r="K208">
        <v>46242</v>
      </c>
      <c r="L208" t="s">
        <v>478</v>
      </c>
      <c r="M208">
        <v>1.9</v>
      </c>
      <c r="N208">
        <v>1.9</v>
      </c>
      <c r="O208">
        <v>1.8823529411764703</v>
      </c>
      <c r="P208">
        <v>1.4919072496174783</v>
      </c>
      <c r="Q208">
        <v>1.4919072496174783</v>
      </c>
      <c r="R208">
        <v>1.4780505259368206</v>
      </c>
      <c r="S208">
        <v>0</v>
      </c>
      <c r="T208">
        <v>0</v>
      </c>
      <c r="U208">
        <v>1.3856723680657712E-2</v>
      </c>
      <c r="V208">
        <v>0</v>
      </c>
      <c r="W208">
        <v>0.22805052593682063</v>
      </c>
      <c r="X208">
        <v>0</v>
      </c>
      <c r="Y208">
        <v>0.25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0.67028295509415725</v>
      </c>
      <c r="AN208">
        <v>0.67028295509415725</v>
      </c>
      <c r="AO208">
        <v>0.99071207430340547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9.2879256965945345E-3</v>
      </c>
      <c r="BA208">
        <v>0</v>
      </c>
      <c r="BB208">
        <v>0</v>
      </c>
      <c r="BC208">
        <v>0</v>
      </c>
      <c r="BD208">
        <v>0.67028295509415725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1.0093750000000001</v>
      </c>
      <c r="BK208">
        <v>1.0093750000000001</v>
      </c>
      <c r="BL208">
        <v>0.67656685779816506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9.3750000000001332E-3</v>
      </c>
      <c r="BV208">
        <v>0</v>
      </c>
      <c r="BW208">
        <v>0</v>
      </c>
      <c r="BX208">
        <v>0</v>
      </c>
      <c r="BY208">
        <v>0.32343314220183494</v>
      </c>
      <c r="BZ208">
        <v>0</v>
      </c>
      <c r="CA208">
        <v>0.67656685779816506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x14ac:dyDescent="0.25">
      <c r="A209" t="s">
        <v>128</v>
      </c>
      <c r="B209" t="s">
        <v>291</v>
      </c>
      <c r="C209" s="14" t="s">
        <v>72</v>
      </c>
      <c r="D209" s="12">
        <v>46247</v>
      </c>
      <c r="E209" s="14" t="s">
        <v>420</v>
      </c>
      <c r="F209" s="14" t="s">
        <v>420</v>
      </c>
      <c r="G209" s="14" t="s">
        <v>420</v>
      </c>
      <c r="H209" s="14" t="s">
        <v>75</v>
      </c>
      <c r="I209">
        <v>20</v>
      </c>
      <c r="J209">
        <v>3.1774912809962848</v>
      </c>
      <c r="K209">
        <v>46247</v>
      </c>
      <c r="L209" t="s">
        <v>494</v>
      </c>
      <c r="M209">
        <v>0.95</v>
      </c>
      <c r="N209">
        <v>0.95</v>
      </c>
      <c r="O209">
        <v>3.7508650519031144</v>
      </c>
      <c r="P209">
        <v>0.29897800371056649</v>
      </c>
      <c r="Q209">
        <v>0.29897800371056649</v>
      </c>
      <c r="R209">
        <v>1.180448574111288</v>
      </c>
      <c r="S209">
        <v>0.18044857411128801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0.70102199628943351</v>
      </c>
      <c r="AC209">
        <v>0</v>
      </c>
      <c r="AD209">
        <v>0</v>
      </c>
      <c r="AE209">
        <v>0</v>
      </c>
      <c r="AF209">
        <v>0</v>
      </c>
      <c r="AG209">
        <v>0.29897800371056649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3.3447276642066157</v>
      </c>
      <c r="AN209">
        <v>3.3447276642066157</v>
      </c>
      <c r="AO209">
        <v>3.9482790020032783</v>
      </c>
      <c r="BF209">
        <v>0</v>
      </c>
      <c r="BG209">
        <v>0</v>
      </c>
      <c r="BH209">
        <v>0</v>
      </c>
      <c r="BJ209">
        <v>0.25327490774907746</v>
      </c>
      <c r="BK209">
        <v>0.25327490774907746</v>
      </c>
      <c r="BL209">
        <v>0.84713559059771792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0.15286440940228208</v>
      </c>
      <c r="BX209">
        <v>0</v>
      </c>
      <c r="BY209">
        <v>0</v>
      </c>
      <c r="BZ209">
        <v>0</v>
      </c>
      <c r="CA209">
        <v>0.25327490774907746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 spans="1:84" x14ac:dyDescent="0.25">
      <c r="A210" t="s">
        <v>128</v>
      </c>
      <c r="B210" t="s">
        <v>291</v>
      </c>
      <c r="C210" s="14" t="s">
        <v>109</v>
      </c>
      <c r="D210" s="12">
        <v>46224</v>
      </c>
      <c r="E210" s="14" t="s">
        <v>134</v>
      </c>
      <c r="F210" s="14" t="s">
        <v>134</v>
      </c>
      <c r="G210" s="14" t="s">
        <v>134</v>
      </c>
      <c r="H210" s="14"/>
      <c r="J210">
        <v>10.465131474298435</v>
      </c>
      <c r="M210">
        <v>15.2</v>
      </c>
      <c r="N210">
        <v>15.2</v>
      </c>
      <c r="O210">
        <v>9.6332179930795796</v>
      </c>
      <c r="S210">
        <v>5.876946611022122E-2</v>
      </c>
      <c r="T210">
        <v>0</v>
      </c>
      <c r="U210">
        <v>0.90946273175813841</v>
      </c>
      <c r="V210">
        <v>0</v>
      </c>
      <c r="W210">
        <v>2.7752247885382338E-2</v>
      </c>
      <c r="X210">
        <v>0</v>
      </c>
      <c r="Y210">
        <v>3.0423354398523568E-2</v>
      </c>
      <c r="Z210">
        <v>0</v>
      </c>
      <c r="AA210">
        <v>0</v>
      </c>
      <c r="AB210">
        <v>0.31875709068518393</v>
      </c>
      <c r="AC210">
        <v>0.19643890784200899</v>
      </c>
      <c r="AD210">
        <v>0</v>
      </c>
      <c r="AE210">
        <v>0</v>
      </c>
      <c r="AF210">
        <v>0</v>
      </c>
      <c r="AG210">
        <v>0.48480400147280717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84" x14ac:dyDescent="0.25">
      <c r="A211" t="s">
        <v>128</v>
      </c>
      <c r="B211" t="s">
        <v>291</v>
      </c>
      <c r="C211" s="14" t="s">
        <v>72</v>
      </c>
      <c r="D211" s="12">
        <v>46235</v>
      </c>
      <c r="E211" s="14" t="s">
        <v>420</v>
      </c>
      <c r="F211" s="14" t="s">
        <v>420</v>
      </c>
      <c r="G211" s="14" t="s">
        <v>420</v>
      </c>
      <c r="H211" s="14" t="s">
        <v>74</v>
      </c>
      <c r="I211">
        <v>20</v>
      </c>
      <c r="J211">
        <v>0</v>
      </c>
      <c r="K211">
        <v>46235</v>
      </c>
      <c r="L211" t="s">
        <v>457</v>
      </c>
      <c r="M211">
        <v>9.5</v>
      </c>
      <c r="N211">
        <v>9.5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F211">
        <v>0</v>
      </c>
    </row>
    <row r="212" spans="1:84" x14ac:dyDescent="0.25">
      <c r="A212" t="s">
        <v>128</v>
      </c>
      <c r="B212" t="s">
        <v>291</v>
      </c>
      <c r="C212" s="14" t="s">
        <v>109</v>
      </c>
      <c r="D212" s="12">
        <v>46225</v>
      </c>
      <c r="E212" s="14" t="s">
        <v>133</v>
      </c>
      <c r="F212" s="14" t="s">
        <v>133</v>
      </c>
      <c r="G212" s="14" t="s">
        <v>133</v>
      </c>
      <c r="H212" s="14"/>
      <c r="J212">
        <v>27.599490673528674</v>
      </c>
      <c r="M212">
        <v>33.25</v>
      </c>
      <c r="N212">
        <v>33.25</v>
      </c>
      <c r="O212">
        <v>30.977678571428569</v>
      </c>
      <c r="S212">
        <v>8.3169803297876641E-2</v>
      </c>
      <c r="T212">
        <v>0</v>
      </c>
      <c r="U212">
        <v>0.44916503485936377</v>
      </c>
      <c r="V212">
        <v>0</v>
      </c>
      <c r="W212">
        <v>1.370104269424088E-2</v>
      </c>
      <c r="X212">
        <v>0</v>
      </c>
      <c r="Y212">
        <v>3.8226299694189593E-2</v>
      </c>
      <c r="Z212">
        <v>0</v>
      </c>
      <c r="AA212">
        <v>0</v>
      </c>
      <c r="AB212">
        <v>0.28366322567592689</v>
      </c>
      <c r="AC212">
        <v>1.2696774684533542E-2</v>
      </c>
      <c r="AD212">
        <v>0</v>
      </c>
      <c r="AE212">
        <v>0</v>
      </c>
      <c r="AF212">
        <v>0</v>
      </c>
      <c r="AG212">
        <v>0.70363999963953949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84" x14ac:dyDescent="0.25">
      <c r="A213" t="s">
        <v>128</v>
      </c>
      <c r="B213" t="s">
        <v>291</v>
      </c>
      <c r="C213" s="14" t="s">
        <v>72</v>
      </c>
      <c r="D213" s="12">
        <v>46242</v>
      </c>
      <c r="E213" s="14" t="s">
        <v>134</v>
      </c>
      <c r="F213" s="14" t="s">
        <v>134</v>
      </c>
      <c r="G213" s="14" t="s">
        <v>134</v>
      </c>
      <c r="H213" s="14" t="s">
        <v>73</v>
      </c>
      <c r="I213">
        <v>20</v>
      </c>
      <c r="J213">
        <v>2.3878830275229355</v>
      </c>
      <c r="K213">
        <v>46242</v>
      </c>
      <c r="L213" t="s">
        <v>477</v>
      </c>
      <c r="M213">
        <v>12.35</v>
      </c>
      <c r="N213">
        <v>12.35</v>
      </c>
      <c r="O213">
        <v>4.7058823529411749</v>
      </c>
      <c r="P213">
        <v>5.1719451320072585</v>
      </c>
      <c r="Q213">
        <v>5.1719451320072585</v>
      </c>
      <c r="R213">
        <v>1.9707340345824269</v>
      </c>
      <c r="S213">
        <v>0</v>
      </c>
      <c r="T213">
        <v>0</v>
      </c>
      <c r="U213">
        <v>3.2012110974248316</v>
      </c>
      <c r="V213">
        <v>0</v>
      </c>
      <c r="W213">
        <v>0.72073403458242691</v>
      </c>
      <c r="X213">
        <v>0</v>
      </c>
      <c r="Y213">
        <v>0.25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0.19335085243100691</v>
      </c>
      <c r="AN213">
        <v>0.19335085243100691</v>
      </c>
      <c r="AO213">
        <v>0.38104310550130971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0.61895689449869029</v>
      </c>
      <c r="BA213">
        <v>0</v>
      </c>
      <c r="BB213">
        <v>0</v>
      </c>
      <c r="BC213">
        <v>0</v>
      </c>
      <c r="BD213">
        <v>0.19335085243100691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2.624375000000001</v>
      </c>
      <c r="BK213">
        <v>2.624375000000001</v>
      </c>
      <c r="BL213">
        <v>0.50742514334862399</v>
      </c>
      <c r="CC213">
        <v>0</v>
      </c>
      <c r="CD213">
        <v>0</v>
      </c>
      <c r="CE213">
        <v>0</v>
      </c>
    </row>
    <row r="214" spans="1:84" x14ac:dyDescent="0.25">
      <c r="A214" t="s">
        <v>128</v>
      </c>
      <c r="B214" t="s">
        <v>291</v>
      </c>
      <c r="C214" s="14" t="s">
        <v>72</v>
      </c>
      <c r="D214" s="12">
        <v>46235</v>
      </c>
      <c r="E214" s="14" t="s">
        <v>420</v>
      </c>
      <c r="F214" s="14" t="s">
        <v>420</v>
      </c>
      <c r="G214" s="14" t="s">
        <v>420</v>
      </c>
      <c r="H214" s="14" t="s">
        <v>73</v>
      </c>
      <c r="I214">
        <v>20</v>
      </c>
      <c r="J214">
        <v>3.6011567851291222</v>
      </c>
      <c r="K214">
        <v>46235</v>
      </c>
      <c r="L214" t="s">
        <v>456</v>
      </c>
      <c r="M214">
        <v>1.9</v>
      </c>
      <c r="N214">
        <v>1.9</v>
      </c>
      <c r="O214">
        <v>3.7647058823529393</v>
      </c>
      <c r="P214">
        <v>0.52760824184217625</v>
      </c>
      <c r="Q214">
        <v>0.52760824184217625</v>
      </c>
      <c r="R214">
        <v>1.0454157113900702</v>
      </c>
      <c r="S214">
        <v>4.5415711390070168E-2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0.47239175815782375</v>
      </c>
      <c r="AC214">
        <v>0</v>
      </c>
      <c r="AD214">
        <v>0</v>
      </c>
      <c r="AE214">
        <v>0</v>
      </c>
      <c r="AF214">
        <v>0</v>
      </c>
      <c r="AG214">
        <v>0.52760824184217625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1.8953456763837486</v>
      </c>
      <c r="AN214">
        <v>1.8953456763837486</v>
      </c>
      <c r="AO214">
        <v>1.9814241486068103</v>
      </c>
      <c r="BF214">
        <v>0</v>
      </c>
      <c r="BG214">
        <v>0</v>
      </c>
      <c r="BH214">
        <v>0</v>
      </c>
      <c r="BJ214">
        <v>0.50468750000000018</v>
      </c>
      <c r="BK214">
        <v>0.50468750000000018</v>
      </c>
      <c r="BL214">
        <v>0.9565572710499235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4.3442728950076503E-2</v>
      </c>
      <c r="BX214">
        <v>0</v>
      </c>
      <c r="BY214">
        <v>0</v>
      </c>
      <c r="BZ214">
        <v>0</v>
      </c>
      <c r="CA214">
        <v>0.50468750000000018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25">
      <c r="A215" t="s">
        <v>128</v>
      </c>
      <c r="B215" t="s">
        <v>291</v>
      </c>
      <c r="C215" s="14" t="s">
        <v>109</v>
      </c>
      <c r="D215" s="12">
        <v>46225</v>
      </c>
      <c r="E215" s="14" t="s">
        <v>420</v>
      </c>
      <c r="F215" s="14" t="s">
        <v>420</v>
      </c>
      <c r="G215" s="14" t="s">
        <v>420</v>
      </c>
      <c r="H215" s="14"/>
      <c r="J215">
        <v>6.7786480661254069</v>
      </c>
      <c r="M215">
        <v>6.6499999999999995</v>
      </c>
      <c r="N215">
        <v>6.6499999999999995</v>
      </c>
      <c r="O215">
        <v>7.5155709342560542</v>
      </c>
      <c r="S215">
        <v>0.10871236579064114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0.43941624304268773</v>
      </c>
      <c r="AC215">
        <v>0</v>
      </c>
      <c r="AD215">
        <v>0</v>
      </c>
      <c r="AE215">
        <v>0</v>
      </c>
      <c r="AF215">
        <v>0</v>
      </c>
      <c r="AG215">
        <v>0.56058375695731222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84" x14ac:dyDescent="0.25">
      <c r="A216" t="s">
        <v>128</v>
      </c>
      <c r="B216" t="s">
        <v>291</v>
      </c>
      <c r="C216" s="14" t="s">
        <v>72</v>
      </c>
      <c r="D216" s="12">
        <v>46246</v>
      </c>
      <c r="E216" s="14" t="s">
        <v>420</v>
      </c>
      <c r="F216" s="14" t="s">
        <v>420</v>
      </c>
      <c r="G216" s="14" t="s">
        <v>420</v>
      </c>
      <c r="H216" s="14" t="s">
        <v>74</v>
      </c>
      <c r="I216">
        <v>20</v>
      </c>
      <c r="J216">
        <v>0</v>
      </c>
      <c r="K216">
        <v>46246</v>
      </c>
      <c r="L216" t="s">
        <v>490</v>
      </c>
      <c r="M216">
        <v>11.4</v>
      </c>
      <c r="N216">
        <v>11.4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F216">
        <v>0</v>
      </c>
    </row>
    <row r="217" spans="1:84" x14ac:dyDescent="0.25">
      <c r="A217" t="s">
        <v>128</v>
      </c>
      <c r="B217" t="s">
        <v>291</v>
      </c>
      <c r="C217" s="14" t="s">
        <v>109</v>
      </c>
      <c r="D217" s="12">
        <v>46225</v>
      </c>
      <c r="E217" s="14" t="s">
        <v>134</v>
      </c>
      <c r="F217" s="14" t="s">
        <v>134</v>
      </c>
      <c r="G217" s="14" t="s">
        <v>134</v>
      </c>
      <c r="H217" s="14"/>
      <c r="J217">
        <v>9.8330447905423632</v>
      </c>
      <c r="M217">
        <v>8.5499999999999989</v>
      </c>
      <c r="N217">
        <v>8.5499999999999989</v>
      </c>
      <c r="O217">
        <v>10.823961937716259</v>
      </c>
      <c r="S217">
        <v>0.11379174284096359</v>
      </c>
      <c r="T217">
        <v>0</v>
      </c>
      <c r="U217">
        <v>9.2425443875318383E-2</v>
      </c>
      <c r="V217">
        <v>0</v>
      </c>
      <c r="W217">
        <v>3.5518444152266238E-2</v>
      </c>
      <c r="X217">
        <v>0</v>
      </c>
      <c r="Y217">
        <v>3.2379025058032251E-2</v>
      </c>
      <c r="Z217">
        <v>0</v>
      </c>
      <c r="AA217">
        <v>0</v>
      </c>
      <c r="AB217">
        <v>0.20989085343779001</v>
      </c>
      <c r="AC217">
        <v>8.0915019694589238E-2</v>
      </c>
      <c r="AD217">
        <v>0</v>
      </c>
      <c r="AE217">
        <v>0</v>
      </c>
      <c r="AF217">
        <v>0</v>
      </c>
      <c r="AG217">
        <v>0.70919412686762073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84" x14ac:dyDescent="0.25">
      <c r="A218" t="s">
        <v>128</v>
      </c>
      <c r="B218" t="s">
        <v>291</v>
      </c>
      <c r="C218" s="14" t="s">
        <v>72</v>
      </c>
      <c r="D218" s="12">
        <v>46234</v>
      </c>
      <c r="E218" s="14" t="s">
        <v>420</v>
      </c>
      <c r="F218" s="14" t="s">
        <v>420</v>
      </c>
      <c r="G218" s="14" t="s">
        <v>420</v>
      </c>
      <c r="H218" s="14" t="s">
        <v>75</v>
      </c>
      <c r="I218">
        <v>20</v>
      </c>
      <c r="J218">
        <v>3.1774912809962848</v>
      </c>
      <c r="K218">
        <v>46234</v>
      </c>
      <c r="L218" t="s">
        <v>455</v>
      </c>
      <c r="M218">
        <v>2.8499999999999996</v>
      </c>
      <c r="N218">
        <v>2.8499999999999996</v>
      </c>
      <c r="O218">
        <v>3.7543252595155705</v>
      </c>
      <c r="P218">
        <v>0.89693401113169946</v>
      </c>
      <c r="Q218">
        <v>0.89693401113169946</v>
      </c>
      <c r="R218">
        <v>1.1815375488106525</v>
      </c>
      <c r="S218">
        <v>0.18153754881065254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0.10306598886830054</v>
      </c>
      <c r="AC218">
        <v>0</v>
      </c>
      <c r="AD218">
        <v>0</v>
      </c>
      <c r="AE218">
        <v>0</v>
      </c>
      <c r="AF218">
        <v>0</v>
      </c>
      <c r="AG218">
        <v>0.89693401113169946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1.1149092214022054</v>
      </c>
      <c r="AN218">
        <v>1.1149092214022054</v>
      </c>
      <c r="AO218">
        <v>1.3173071086019548</v>
      </c>
      <c r="AP218">
        <v>0.20239788719974938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0.11490922140220539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0.75912442396313362</v>
      </c>
      <c r="BK218">
        <v>0.75912442396313362</v>
      </c>
      <c r="BL218">
        <v>0.84635482046813493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0.15364517953186507</v>
      </c>
      <c r="BX218">
        <v>0</v>
      </c>
      <c r="BY218">
        <v>0</v>
      </c>
      <c r="BZ218">
        <v>0</v>
      </c>
      <c r="CA218">
        <v>0.75912442396313362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 spans="1:84" x14ac:dyDescent="0.25">
      <c r="A219" t="s">
        <v>128</v>
      </c>
      <c r="B219" t="s">
        <v>291</v>
      </c>
      <c r="C219" s="14" t="s">
        <v>72</v>
      </c>
      <c r="D219" s="12">
        <v>46241</v>
      </c>
      <c r="E219" s="14" t="s">
        <v>134</v>
      </c>
      <c r="F219" s="14" t="s">
        <v>134</v>
      </c>
      <c r="G219" s="14" t="s">
        <v>134</v>
      </c>
      <c r="H219" s="14" t="s">
        <v>75</v>
      </c>
      <c r="I219">
        <v>20</v>
      </c>
      <c r="J219">
        <v>2.2474193200215868</v>
      </c>
      <c r="K219">
        <v>46241</v>
      </c>
      <c r="L219" t="s">
        <v>476</v>
      </c>
      <c r="M219">
        <v>3.8</v>
      </c>
      <c r="N219">
        <v>3.8</v>
      </c>
      <c r="O219">
        <v>3.986159169550171</v>
      </c>
      <c r="P219">
        <v>1.6908282162331416</v>
      </c>
      <c r="Q219">
        <v>1.6908282162331416</v>
      </c>
      <c r="R219">
        <v>1.7736606311241836</v>
      </c>
      <c r="S219">
        <v>8.2832414891041983E-2</v>
      </c>
      <c r="T219">
        <v>0</v>
      </c>
      <c r="U219">
        <v>0</v>
      </c>
      <c r="V219">
        <v>0</v>
      </c>
      <c r="W219">
        <v>0.44082821623314161</v>
      </c>
      <c r="X219">
        <v>0</v>
      </c>
      <c r="Y219">
        <v>0.25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0.591426136847786</v>
      </c>
      <c r="AN219">
        <v>0.591426136847786</v>
      </c>
      <c r="AO219">
        <v>1.0489892551447819</v>
      </c>
      <c r="AP219">
        <v>4.8989255144781918E-2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0.591426136847786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0.95329861111111158</v>
      </c>
      <c r="BK219">
        <v>0.95329861111111158</v>
      </c>
      <c r="BL219">
        <v>0.56380571483180464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4.6701388888888418E-2</v>
      </c>
      <c r="BX219">
        <v>0</v>
      </c>
      <c r="BY219">
        <v>0.38949289627930694</v>
      </c>
      <c r="BZ219">
        <v>0</v>
      </c>
      <c r="CA219">
        <v>0.56380571483180464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x14ac:dyDescent="0.25">
      <c r="A220" t="s">
        <v>128</v>
      </c>
      <c r="B220" t="s">
        <v>291</v>
      </c>
      <c r="C220" s="14" t="s">
        <v>109</v>
      </c>
      <c r="D220" s="12">
        <v>46226</v>
      </c>
      <c r="E220" s="14" t="s">
        <v>133</v>
      </c>
      <c r="F220" s="14" t="s">
        <v>133</v>
      </c>
      <c r="G220" s="14" t="s">
        <v>133</v>
      </c>
      <c r="H220" s="14"/>
      <c r="J220">
        <v>26.924273776316955</v>
      </c>
      <c r="M220">
        <v>42.75</v>
      </c>
      <c r="N220">
        <v>42.75</v>
      </c>
      <c r="O220">
        <v>27.174665178571431</v>
      </c>
      <c r="S220">
        <v>0</v>
      </c>
      <c r="T220">
        <v>0</v>
      </c>
      <c r="U220">
        <v>0.90196144108251952</v>
      </c>
      <c r="V220">
        <v>0</v>
      </c>
      <c r="W220">
        <v>0</v>
      </c>
      <c r="X220">
        <v>0</v>
      </c>
      <c r="Y220">
        <v>4.6537405145483185E-2</v>
      </c>
      <c r="Z220">
        <v>0</v>
      </c>
      <c r="AA220">
        <v>5.5343472597463535E-2</v>
      </c>
      <c r="AB220">
        <v>0.37881819382167814</v>
      </c>
      <c r="AC220">
        <v>3.7237566481878391E-2</v>
      </c>
      <c r="AD220">
        <v>0</v>
      </c>
      <c r="AE220">
        <v>0</v>
      </c>
      <c r="AF220">
        <v>0</v>
      </c>
      <c r="AG220">
        <v>0.58394423969644349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84" x14ac:dyDescent="0.25">
      <c r="A221" t="s">
        <v>128</v>
      </c>
      <c r="B221" t="s">
        <v>291</v>
      </c>
      <c r="C221" s="14" t="s">
        <v>72</v>
      </c>
      <c r="D221" s="12">
        <v>46235</v>
      </c>
      <c r="E221" s="14" t="s">
        <v>420</v>
      </c>
      <c r="F221" s="14" t="s">
        <v>420</v>
      </c>
      <c r="G221" s="14" t="s">
        <v>420</v>
      </c>
      <c r="H221" s="14" t="s">
        <v>75</v>
      </c>
      <c r="I221">
        <v>20</v>
      </c>
      <c r="J221">
        <v>3.2304494690128904</v>
      </c>
      <c r="K221">
        <v>46235</v>
      </c>
      <c r="L221" t="s">
        <v>458</v>
      </c>
      <c r="M221">
        <v>3.8</v>
      </c>
      <c r="N221">
        <v>3.8</v>
      </c>
      <c r="O221">
        <v>3.7508650519031144</v>
      </c>
      <c r="P221">
        <v>1.1763068998448516</v>
      </c>
      <c r="Q221">
        <v>1.1763068998448516</v>
      </c>
      <c r="R221">
        <v>1.1610969581422501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0.16109695814225011</v>
      </c>
      <c r="Z221">
        <v>0</v>
      </c>
      <c r="AA221">
        <v>1.5209941702601482E-2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0.85011828131918177</v>
      </c>
      <c r="AN221">
        <v>0.85011828131918177</v>
      </c>
      <c r="AO221">
        <v>0.98706975050081958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1.2930249499180424E-2</v>
      </c>
      <c r="BA221">
        <v>0</v>
      </c>
      <c r="BB221">
        <v>0</v>
      </c>
      <c r="BC221">
        <v>0</v>
      </c>
      <c r="BD221">
        <v>0.85011828131918177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1.0130996309963098</v>
      </c>
      <c r="BK221">
        <v>1.0130996309963098</v>
      </c>
      <c r="BL221">
        <v>0.8612545171076802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1.3099630996309841E-2</v>
      </c>
      <c r="BV221">
        <v>0</v>
      </c>
      <c r="BW221">
        <v>0</v>
      </c>
      <c r="BX221">
        <v>0</v>
      </c>
      <c r="BY221">
        <v>0.1387454828923198</v>
      </c>
      <c r="BZ221">
        <v>0</v>
      </c>
      <c r="CA221">
        <v>0.8612545171076802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 spans="1:84" x14ac:dyDescent="0.25">
      <c r="A222" t="s">
        <v>128</v>
      </c>
      <c r="B222" t="s">
        <v>291</v>
      </c>
      <c r="C222" s="14" t="s">
        <v>72</v>
      </c>
      <c r="D222" s="12">
        <v>46237</v>
      </c>
      <c r="E222" s="14" t="s">
        <v>134</v>
      </c>
      <c r="F222" s="14" t="s">
        <v>134</v>
      </c>
      <c r="G222" s="14" t="s">
        <v>134</v>
      </c>
      <c r="H222" s="14" t="s">
        <v>73</v>
      </c>
      <c r="I222">
        <v>20</v>
      </c>
      <c r="J222">
        <v>5.8204648795871554</v>
      </c>
      <c r="K222">
        <v>46237</v>
      </c>
      <c r="L222" t="s">
        <v>462</v>
      </c>
      <c r="M222">
        <v>1.9</v>
      </c>
      <c r="N222">
        <v>1.9</v>
      </c>
      <c r="O222">
        <v>4.9411764705882346</v>
      </c>
      <c r="P222">
        <v>0.32643440675390978</v>
      </c>
      <c r="Q222">
        <v>0.32643440675390978</v>
      </c>
      <c r="R222">
        <v>0.84893158412781478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0.522497177373905</v>
      </c>
      <c r="AC222">
        <v>0.15106841587218522</v>
      </c>
      <c r="AD222">
        <v>0</v>
      </c>
      <c r="AE222">
        <v>0</v>
      </c>
      <c r="AF222">
        <v>0</v>
      </c>
      <c r="AG222">
        <v>0.32643440675390978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3.0634025682037662</v>
      </c>
      <c r="AN222">
        <v>3.0634025682037662</v>
      </c>
      <c r="AO222">
        <v>2.6006191950464395</v>
      </c>
      <c r="BF222">
        <v>0</v>
      </c>
      <c r="BG222">
        <v>0</v>
      </c>
      <c r="BH222">
        <v>0</v>
      </c>
      <c r="BJ222">
        <v>0.38452380952380955</v>
      </c>
      <c r="BK222">
        <v>0.38452380952380955</v>
      </c>
      <c r="BL222">
        <v>1.1779512256307341</v>
      </c>
      <c r="BM222">
        <v>0.17795122563073407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0.67356559324609022</v>
      </c>
      <c r="BW222">
        <v>0</v>
      </c>
      <c r="BX222">
        <v>0</v>
      </c>
      <c r="BY222">
        <v>0</v>
      </c>
      <c r="BZ222">
        <v>0</v>
      </c>
      <c r="CA222">
        <v>0.38452380952380955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x14ac:dyDescent="0.25">
      <c r="A223" t="s">
        <v>128</v>
      </c>
      <c r="B223" t="s">
        <v>291</v>
      </c>
      <c r="C223" s="14" t="s">
        <v>72</v>
      </c>
      <c r="D223" s="12">
        <v>46244</v>
      </c>
      <c r="E223" s="14" t="s">
        <v>134</v>
      </c>
      <c r="F223" s="14" t="s">
        <v>134</v>
      </c>
      <c r="G223" s="14" t="s">
        <v>134</v>
      </c>
      <c r="H223" s="14" t="s">
        <v>75</v>
      </c>
      <c r="I223">
        <v>20</v>
      </c>
      <c r="J223">
        <v>3.3711289800323794</v>
      </c>
      <c r="K223">
        <v>46244</v>
      </c>
      <c r="L223" t="s">
        <v>485</v>
      </c>
      <c r="M223">
        <v>4.75</v>
      </c>
      <c r="N223">
        <v>4.75</v>
      </c>
      <c r="O223">
        <v>5.8131487889273332</v>
      </c>
      <c r="P223">
        <v>1.4090235135276186</v>
      </c>
      <c r="Q223">
        <v>1.4090235135276186</v>
      </c>
      <c r="R223">
        <v>1.7243922802596234</v>
      </c>
      <c r="S223">
        <v>0.31536876673200487</v>
      </c>
      <c r="T223">
        <v>0</v>
      </c>
      <c r="U223">
        <v>0</v>
      </c>
      <c r="V223">
        <v>0</v>
      </c>
      <c r="W223">
        <v>0.15902351352761857</v>
      </c>
      <c r="X223">
        <v>0</v>
      </c>
      <c r="Y223">
        <v>0.25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0.70971136421734304</v>
      </c>
      <c r="AN223">
        <v>0.70971136421734304</v>
      </c>
      <c r="AO223">
        <v>1.2238207976689122</v>
      </c>
      <c r="AP223">
        <v>0.22382079766891216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0.70971136421734304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0.81711309523809561</v>
      </c>
      <c r="BK223">
        <v>0.81711309523809561</v>
      </c>
      <c r="BL223">
        <v>0.57991444954128457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0.18288690476190439</v>
      </c>
      <c r="BX223">
        <v>0</v>
      </c>
      <c r="BY223">
        <v>0.23719864569681104</v>
      </c>
      <c r="BZ223">
        <v>0</v>
      </c>
      <c r="CA223">
        <v>0.57991444954128457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 spans="1:84" x14ac:dyDescent="0.25">
      <c r="A224" t="s">
        <v>128</v>
      </c>
      <c r="B224" t="s">
        <v>291</v>
      </c>
      <c r="C224" s="14" t="s">
        <v>72</v>
      </c>
      <c r="D224" s="12">
        <v>46247</v>
      </c>
      <c r="E224" s="14" t="s">
        <v>133</v>
      </c>
      <c r="F224" s="14" t="s">
        <v>133</v>
      </c>
      <c r="G224" s="14" t="s">
        <v>133</v>
      </c>
      <c r="H224" s="14" t="s">
        <v>74</v>
      </c>
      <c r="I224">
        <v>20</v>
      </c>
      <c r="J224">
        <v>4.220105607573192</v>
      </c>
      <c r="K224">
        <v>46247</v>
      </c>
      <c r="L224" t="s">
        <v>493</v>
      </c>
      <c r="M224">
        <v>30.4</v>
      </c>
      <c r="N224">
        <v>30.4</v>
      </c>
      <c r="O224">
        <v>4.6874999999999991</v>
      </c>
      <c r="P224">
        <v>7.2036111952851769</v>
      </c>
      <c r="Q224">
        <v>7.2036111952851769</v>
      </c>
      <c r="R224">
        <v>1.1107541933519494</v>
      </c>
      <c r="S224">
        <v>0</v>
      </c>
      <c r="T224">
        <v>0</v>
      </c>
      <c r="U224">
        <v>5.9536111952851769</v>
      </c>
      <c r="V224">
        <v>0</v>
      </c>
      <c r="W224">
        <v>0</v>
      </c>
      <c r="X224">
        <v>0</v>
      </c>
      <c r="Y224">
        <v>0.11075419335194936</v>
      </c>
      <c r="Z224">
        <v>0</v>
      </c>
      <c r="AA224">
        <v>0.13924580664805064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0.13881926340701289</v>
      </c>
      <c r="AN224">
        <v>0.13881926340701289</v>
      </c>
      <c r="AO224">
        <v>0.15419407894736839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0.84580592105263164</v>
      </c>
      <c r="BA224">
        <v>0</v>
      </c>
      <c r="BB224">
        <v>0</v>
      </c>
      <c r="BC224">
        <v>0</v>
      </c>
      <c r="BD224">
        <v>0.13881926340701289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6.4853333333333341</v>
      </c>
      <c r="BK224">
        <v>6.4853333333333341</v>
      </c>
      <c r="BL224">
        <v>0.9002891962822811</v>
      </c>
      <c r="CC224">
        <v>0</v>
      </c>
      <c r="CD224">
        <v>0</v>
      </c>
      <c r="CE224">
        <v>0</v>
      </c>
    </row>
    <row r="225" spans="1:84" x14ac:dyDescent="0.25">
      <c r="A225" t="s">
        <v>128</v>
      </c>
      <c r="B225" t="s">
        <v>291</v>
      </c>
      <c r="C225" s="14" t="s">
        <v>117</v>
      </c>
      <c r="D225" s="12">
        <v>46225</v>
      </c>
      <c r="E225" s="14"/>
      <c r="F225" s="14"/>
      <c r="G225" s="14"/>
      <c r="H225" s="14"/>
      <c r="J225">
        <v>44.21118353019645</v>
      </c>
      <c r="M225">
        <v>48.45</v>
      </c>
      <c r="N225">
        <v>48.45</v>
      </c>
      <c r="O225">
        <v>49.317211443400879</v>
      </c>
      <c r="S225">
        <v>9.3896748542896008E-2</v>
      </c>
      <c r="T225">
        <v>0</v>
      </c>
      <c r="U225">
        <v>0.30095438885503262</v>
      </c>
      <c r="V225">
        <v>0</v>
      </c>
      <c r="W225">
        <v>1.6452765888977289E-2</v>
      </c>
      <c r="X225">
        <v>0</v>
      </c>
      <c r="Y225">
        <v>3.1064782616031447E-2</v>
      </c>
      <c r="Z225">
        <v>0</v>
      </c>
      <c r="AA225">
        <v>0</v>
      </c>
      <c r="AB225">
        <v>0.29113617308568279</v>
      </c>
      <c r="AC225">
        <v>2.5922525385266463E-2</v>
      </c>
      <c r="AD225">
        <v>0</v>
      </c>
      <c r="AE225">
        <v>0</v>
      </c>
      <c r="AF225">
        <v>0</v>
      </c>
      <c r="AG225">
        <v>0.68294130152905053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84" x14ac:dyDescent="0.25">
      <c r="A226" t="s">
        <v>128</v>
      </c>
      <c r="B226" t="s">
        <v>291</v>
      </c>
      <c r="C226" s="14" t="s">
        <v>72</v>
      </c>
      <c r="D226" s="12">
        <v>46227</v>
      </c>
      <c r="E226" s="14" t="s">
        <v>134</v>
      </c>
      <c r="F226" s="14" t="s">
        <v>134</v>
      </c>
      <c r="G226" s="14" t="s">
        <v>134</v>
      </c>
      <c r="H226" s="14" t="s">
        <v>73</v>
      </c>
      <c r="I226">
        <v>20</v>
      </c>
      <c r="J226">
        <v>4.7757660550458709</v>
      </c>
      <c r="K226">
        <v>46227</v>
      </c>
      <c r="L226" t="s">
        <v>157</v>
      </c>
      <c r="M226">
        <v>1.9</v>
      </c>
      <c r="N226">
        <v>1.9</v>
      </c>
      <c r="O226">
        <v>3.7647058823529393</v>
      </c>
      <c r="P226">
        <v>0.39784193323132755</v>
      </c>
      <c r="Q226">
        <v>0.39784193323132755</v>
      </c>
      <c r="R226">
        <v>0.78829361383297059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0.39045168060164304</v>
      </c>
      <c r="AC226">
        <v>0.21170638616702941</v>
      </c>
      <c r="AD226">
        <v>0</v>
      </c>
      <c r="AE226">
        <v>0</v>
      </c>
      <c r="AF226">
        <v>0</v>
      </c>
      <c r="AG226">
        <v>0.39784193323132755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2.5135610816030902</v>
      </c>
      <c r="AN226">
        <v>2.5135610816030902</v>
      </c>
      <c r="AO226">
        <v>1.9814241486068103</v>
      </c>
      <c r="BF226">
        <v>0</v>
      </c>
      <c r="BG226">
        <v>0</v>
      </c>
      <c r="BH226">
        <v>0</v>
      </c>
      <c r="BJ226">
        <v>0.50468750000000018</v>
      </c>
      <c r="BK226">
        <v>0.50468750000000018</v>
      </c>
      <c r="BL226">
        <v>1.26856285837156</v>
      </c>
      <c r="BM226">
        <v>0.26856285837156002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0.60215806676867245</v>
      </c>
      <c r="BW226">
        <v>0</v>
      </c>
      <c r="BX226">
        <v>0</v>
      </c>
      <c r="BY226">
        <v>0</v>
      </c>
      <c r="BZ226">
        <v>0</v>
      </c>
      <c r="CA226">
        <v>0.50468750000000018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 spans="1:84" x14ac:dyDescent="0.25">
      <c r="A227" t="s">
        <v>128</v>
      </c>
      <c r="B227" t="s">
        <v>291</v>
      </c>
      <c r="C227" s="14" t="s">
        <v>72</v>
      </c>
      <c r="D227" s="12">
        <v>46231</v>
      </c>
      <c r="E227" s="14" t="s">
        <v>133</v>
      </c>
      <c r="F227" s="14" t="s">
        <v>133</v>
      </c>
      <c r="G227" s="14" t="s">
        <v>133</v>
      </c>
      <c r="H227" s="14" t="s">
        <v>74</v>
      </c>
      <c r="I227">
        <v>20</v>
      </c>
      <c r="J227">
        <v>4.220105607573192</v>
      </c>
      <c r="K227">
        <v>46231</v>
      </c>
      <c r="L227" t="s">
        <v>445</v>
      </c>
      <c r="M227">
        <v>31.35</v>
      </c>
      <c r="N227">
        <v>31.35</v>
      </c>
      <c r="O227">
        <v>4.6874999999999991</v>
      </c>
      <c r="P227">
        <v>7.4287240451378382</v>
      </c>
      <c r="Q227">
        <v>7.4287240451378382</v>
      </c>
      <c r="R227">
        <v>1.1107541933519494</v>
      </c>
      <c r="S227">
        <v>0</v>
      </c>
      <c r="T227">
        <v>0</v>
      </c>
      <c r="U227">
        <v>6.1787240451378382</v>
      </c>
      <c r="V227">
        <v>0</v>
      </c>
      <c r="W227">
        <v>0</v>
      </c>
      <c r="X227">
        <v>0</v>
      </c>
      <c r="Y227">
        <v>0.11075419335194936</v>
      </c>
      <c r="Z227">
        <v>0</v>
      </c>
      <c r="AA227">
        <v>0.13924580664805064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0.13461261906134583</v>
      </c>
      <c r="AN227">
        <v>0.13461261906134583</v>
      </c>
      <c r="AO227">
        <v>0.14952153110047844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0.8504784688995215</v>
      </c>
      <c r="BA227">
        <v>0</v>
      </c>
      <c r="BB227">
        <v>0</v>
      </c>
      <c r="BC227">
        <v>0</v>
      </c>
      <c r="BD227">
        <v>0.13461261906134583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6.6880000000000006</v>
      </c>
      <c r="BK227">
        <v>6.6880000000000006</v>
      </c>
      <c r="BL227">
        <v>0.9002891962822811</v>
      </c>
      <c r="CC227">
        <v>0</v>
      </c>
      <c r="CD227">
        <v>0</v>
      </c>
      <c r="CE227">
        <v>0</v>
      </c>
    </row>
    <row r="228" spans="1:84" x14ac:dyDescent="0.25">
      <c r="A228" t="s">
        <v>128</v>
      </c>
      <c r="B228" t="s">
        <v>291</v>
      </c>
      <c r="C228" s="14" t="s">
        <v>72</v>
      </c>
      <c r="D228" s="12">
        <v>46231</v>
      </c>
      <c r="E228" s="14" t="s">
        <v>133</v>
      </c>
      <c r="F228" s="14" t="s">
        <v>133</v>
      </c>
      <c r="G228" s="14" t="s">
        <v>133</v>
      </c>
      <c r="H228" s="14" t="s">
        <v>73</v>
      </c>
      <c r="I228">
        <v>20</v>
      </c>
      <c r="J228">
        <v>11.731893589053469</v>
      </c>
      <c r="K228">
        <v>46231</v>
      </c>
      <c r="L228" t="s">
        <v>444</v>
      </c>
      <c r="M228">
        <v>9.5</v>
      </c>
      <c r="N228">
        <v>9.5</v>
      </c>
      <c r="O228">
        <v>8.5546875</v>
      </c>
      <c r="P228">
        <v>0.80975845270741686</v>
      </c>
      <c r="Q228">
        <v>0.80975845270741686</v>
      </c>
      <c r="R228">
        <v>0.72918215930478736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0.19024154729258314</v>
      </c>
      <c r="AD228">
        <v>0</v>
      </c>
      <c r="AE228">
        <v>8.0576293402629506E-2</v>
      </c>
      <c r="AF228">
        <v>0</v>
      </c>
      <c r="AG228">
        <v>0.72918215930478736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1.2349361672687862</v>
      </c>
      <c r="AN228">
        <v>1.2349361672687862</v>
      </c>
      <c r="AO228">
        <v>0.90049342105263153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0.23493616726878619</v>
      </c>
      <c r="AY228">
        <v>0</v>
      </c>
      <c r="AZ228">
        <v>0</v>
      </c>
      <c r="BA228">
        <v>0</v>
      </c>
      <c r="BB228">
        <v>9.9506578947368474E-2</v>
      </c>
      <c r="BC228">
        <v>0</v>
      </c>
      <c r="BD228">
        <v>0.90049342105263153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1.1105022831050229</v>
      </c>
      <c r="BK228">
        <v>1.1105022831050229</v>
      </c>
      <c r="BL228">
        <v>1.3713994332409534</v>
      </c>
      <c r="BM228">
        <v>0.26089715013593051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0.11050228310502286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 spans="1:84" x14ac:dyDescent="0.25">
      <c r="A229" t="s">
        <v>128</v>
      </c>
      <c r="B229" t="s">
        <v>291</v>
      </c>
      <c r="C229" s="14" t="s">
        <v>117</v>
      </c>
      <c r="D229" s="12">
        <v>46226</v>
      </c>
      <c r="E229" s="14"/>
      <c r="F229" s="14"/>
      <c r="G229" s="14"/>
      <c r="H229" s="14"/>
      <c r="J229">
        <v>44.45775971346233</v>
      </c>
      <c r="M229">
        <v>71.25</v>
      </c>
      <c r="N229">
        <v>71.25</v>
      </c>
      <c r="O229">
        <v>47.496510015577435</v>
      </c>
      <c r="S229">
        <v>3.6127996840332598E-2</v>
      </c>
      <c r="T229">
        <v>0</v>
      </c>
      <c r="U229">
        <v>0.71758685187527049</v>
      </c>
      <c r="V229">
        <v>0</v>
      </c>
      <c r="W229">
        <v>6.532738597260019E-3</v>
      </c>
      <c r="X229">
        <v>0</v>
      </c>
      <c r="Y229">
        <v>4.8242287181723895E-2</v>
      </c>
      <c r="Z229">
        <v>0</v>
      </c>
      <c r="AA229">
        <v>3.4622026974899398E-2</v>
      </c>
      <c r="AB229">
        <v>0.41684200739794108</v>
      </c>
      <c r="AC229">
        <v>2.2551618461744041E-2</v>
      </c>
      <c r="AD229">
        <v>0</v>
      </c>
      <c r="AE229">
        <v>0</v>
      </c>
      <c r="AF229">
        <v>0</v>
      </c>
      <c r="AG229">
        <v>0.56060637414031478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84" x14ac:dyDescent="0.25">
      <c r="A230" t="s">
        <v>128</v>
      </c>
      <c r="B230" t="s">
        <v>291</v>
      </c>
      <c r="C230" s="14" t="s">
        <v>72</v>
      </c>
      <c r="D230" s="12">
        <v>46227</v>
      </c>
      <c r="E230" s="14" t="s">
        <v>134</v>
      </c>
      <c r="F230" s="14" t="s">
        <v>134</v>
      </c>
      <c r="G230" s="14" t="s">
        <v>134</v>
      </c>
      <c r="H230" s="14" t="s">
        <v>74</v>
      </c>
      <c r="I230">
        <v>20</v>
      </c>
      <c r="J230">
        <v>1.2735376146788988</v>
      </c>
      <c r="K230">
        <v>46227</v>
      </c>
      <c r="L230" t="s">
        <v>156</v>
      </c>
      <c r="M230">
        <v>7.6</v>
      </c>
      <c r="N230">
        <v>7.6</v>
      </c>
      <c r="O230">
        <v>1.8823529411764703</v>
      </c>
      <c r="P230">
        <v>5.9676289984699133</v>
      </c>
      <c r="Q230">
        <v>5.9676289984699133</v>
      </c>
      <c r="R230">
        <v>1.4780505259368206</v>
      </c>
      <c r="S230">
        <v>0</v>
      </c>
      <c r="T230">
        <v>0</v>
      </c>
      <c r="U230">
        <v>4.4895784725330925</v>
      </c>
      <c r="V230">
        <v>0</v>
      </c>
      <c r="W230">
        <v>0.22805052593682063</v>
      </c>
      <c r="X230">
        <v>0</v>
      </c>
      <c r="Y230">
        <v>0.25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0.16757073877353931</v>
      </c>
      <c r="AN230">
        <v>0.16757073877353931</v>
      </c>
      <c r="AO230">
        <v>0.24767801857585137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0.75232198142414863</v>
      </c>
      <c r="BA230">
        <v>0</v>
      </c>
      <c r="BB230">
        <v>0</v>
      </c>
      <c r="BC230">
        <v>0</v>
      </c>
      <c r="BD230">
        <v>0.16757073877353931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4.0375000000000005</v>
      </c>
      <c r="BK230">
        <v>4.0375000000000005</v>
      </c>
      <c r="BL230">
        <v>0.67656685779816506</v>
      </c>
      <c r="CC230">
        <v>0</v>
      </c>
      <c r="CD230">
        <v>0</v>
      </c>
      <c r="CE230">
        <v>0</v>
      </c>
    </row>
    <row r="231" spans="1:84" x14ac:dyDescent="0.25">
      <c r="A231" t="s">
        <v>128</v>
      </c>
      <c r="B231" t="s">
        <v>291</v>
      </c>
      <c r="C231" s="14" t="s">
        <v>117</v>
      </c>
      <c r="D231" s="12">
        <v>46227</v>
      </c>
      <c r="E231" s="14"/>
      <c r="F231" s="14"/>
      <c r="G231" s="14"/>
      <c r="H231" s="14"/>
      <c r="J231">
        <v>41.296293897593188</v>
      </c>
      <c r="M231">
        <v>57.000000000000007</v>
      </c>
      <c r="N231">
        <v>57.000000000000007</v>
      </c>
      <c r="O231">
        <v>47.013068462679193</v>
      </c>
      <c r="S231">
        <v>9.3433905146016072E-2</v>
      </c>
      <c r="T231">
        <v>0</v>
      </c>
      <c r="U231">
        <v>0.69340142325106624</v>
      </c>
      <c r="V231">
        <v>0</v>
      </c>
      <c r="W231">
        <v>3.748610014347252E-2</v>
      </c>
      <c r="X231">
        <v>0</v>
      </c>
      <c r="Y231">
        <v>3.9478188928581071E-2</v>
      </c>
      <c r="Z231">
        <v>0</v>
      </c>
      <c r="AA231">
        <v>2.7141257181886137E-2</v>
      </c>
      <c r="AB231">
        <v>0.35385542026855604</v>
      </c>
      <c r="AC231">
        <v>3.1965080116777914E-2</v>
      </c>
      <c r="AD231">
        <v>0</v>
      </c>
      <c r="AE231">
        <v>0</v>
      </c>
      <c r="AF231">
        <v>0</v>
      </c>
      <c r="AG231">
        <v>0.55975768332299702</v>
      </c>
      <c r="AH231">
        <v>0</v>
      </c>
      <c r="AI231">
        <v>0</v>
      </c>
      <c r="AJ231">
        <v>0</v>
      </c>
      <c r="AK231">
        <v>5.4421816291668972E-2</v>
      </c>
      <c r="AL231">
        <v>0</v>
      </c>
    </row>
    <row r="232" spans="1:84" x14ac:dyDescent="0.25">
      <c r="A232" t="s">
        <v>128</v>
      </c>
      <c r="B232" t="s">
        <v>291</v>
      </c>
      <c r="C232" s="14" t="s">
        <v>72</v>
      </c>
      <c r="D232" s="12">
        <v>46230</v>
      </c>
      <c r="E232" s="14" t="s">
        <v>133</v>
      </c>
      <c r="F232" s="14" t="s">
        <v>133</v>
      </c>
      <c r="G232" s="14" t="s">
        <v>133</v>
      </c>
      <c r="H232" s="14" t="s">
        <v>75</v>
      </c>
      <c r="I232">
        <v>20</v>
      </c>
      <c r="J232">
        <v>10.972274579690296</v>
      </c>
      <c r="K232">
        <v>46230</v>
      </c>
      <c r="L232" t="s">
        <v>443</v>
      </c>
      <c r="M232">
        <v>10.45</v>
      </c>
      <c r="N232">
        <v>10.45</v>
      </c>
      <c r="O232">
        <v>10.348958333333332</v>
      </c>
      <c r="P232">
        <v>0.95240051860741537</v>
      </c>
      <c r="Q232">
        <v>0.95240051860741537</v>
      </c>
      <c r="R232">
        <v>0.94319170179073686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4.7599481392584631E-2</v>
      </c>
      <c r="AD232">
        <v>0</v>
      </c>
      <c r="AE232">
        <v>9.2088168166785112E-3</v>
      </c>
      <c r="AF232">
        <v>0</v>
      </c>
      <c r="AG232">
        <v>0.94319170179073686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1.0499784286784972</v>
      </c>
      <c r="AN232">
        <v>1.0499784286784972</v>
      </c>
      <c r="AO232">
        <v>0.99033094098883567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4.9978428678497222E-2</v>
      </c>
      <c r="AY232">
        <v>0</v>
      </c>
      <c r="AZ232">
        <v>0</v>
      </c>
      <c r="BA232">
        <v>0</v>
      </c>
      <c r="BB232">
        <v>9.6690590111643271E-3</v>
      </c>
      <c r="BC232">
        <v>0</v>
      </c>
      <c r="BD232">
        <v>0.99033094098883567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1.009763462506291</v>
      </c>
      <c r="BK232">
        <v>1.009763462506291</v>
      </c>
      <c r="BL232">
        <v>1.060229853699314</v>
      </c>
      <c r="BM232">
        <v>5.0466391193022986E-2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9.7634625062910096E-3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 spans="1:84" x14ac:dyDescent="0.25">
      <c r="A233" t="s">
        <v>128</v>
      </c>
      <c r="B233" t="s">
        <v>291</v>
      </c>
      <c r="C233" s="14" t="s">
        <v>72</v>
      </c>
      <c r="D233" s="12">
        <v>46230</v>
      </c>
      <c r="E233" s="14" t="s">
        <v>133</v>
      </c>
      <c r="F233" s="14" t="s">
        <v>133</v>
      </c>
      <c r="G233" s="14" t="s">
        <v>133</v>
      </c>
      <c r="H233" s="14" t="s">
        <v>74</v>
      </c>
      <c r="I233">
        <v>20</v>
      </c>
      <c r="J233">
        <v>4.220105607573192</v>
      </c>
      <c r="K233">
        <v>46230</v>
      </c>
      <c r="L233" t="s">
        <v>442</v>
      </c>
      <c r="M233">
        <v>20.9</v>
      </c>
      <c r="N233">
        <v>20.9</v>
      </c>
      <c r="O233">
        <v>5.6041666666666661</v>
      </c>
      <c r="P233">
        <v>4.9524826967585591</v>
      </c>
      <c r="Q233">
        <v>4.9524826967585591</v>
      </c>
      <c r="R233">
        <v>1.327968346718553</v>
      </c>
      <c r="S233">
        <v>0</v>
      </c>
      <c r="T233">
        <v>0</v>
      </c>
      <c r="U233">
        <v>3.6245143500400063</v>
      </c>
      <c r="V233">
        <v>0</v>
      </c>
      <c r="W233">
        <v>7.7968346718553017E-2</v>
      </c>
      <c r="X233">
        <v>0</v>
      </c>
      <c r="Y233">
        <v>0.25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0.20191892859201876</v>
      </c>
      <c r="AN233">
        <v>0.20191892859201876</v>
      </c>
      <c r="AO233">
        <v>0.26814194577352474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0.73185805422647521</v>
      </c>
      <c r="BA233">
        <v>0</v>
      </c>
      <c r="BB233">
        <v>0</v>
      </c>
      <c r="BC233">
        <v>0</v>
      </c>
      <c r="BD233">
        <v>0.20191892859201876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3.7293680297397769</v>
      </c>
      <c r="BK233">
        <v>3.7293680297397769</v>
      </c>
      <c r="BL233">
        <v>0.75302999689038375</v>
      </c>
      <c r="CC233">
        <v>0</v>
      </c>
      <c r="CD233">
        <v>0</v>
      </c>
      <c r="CE233">
        <v>0</v>
      </c>
    </row>
    <row r="234" spans="1:84" x14ac:dyDescent="0.25">
      <c r="A234" t="s">
        <v>128</v>
      </c>
      <c r="B234" t="s">
        <v>291</v>
      </c>
      <c r="C234" s="14" t="s">
        <v>72</v>
      </c>
      <c r="D234" s="12">
        <v>46231</v>
      </c>
      <c r="E234" s="14" t="s">
        <v>133</v>
      </c>
      <c r="F234" s="14" t="s">
        <v>133</v>
      </c>
      <c r="G234" s="14" t="s">
        <v>133</v>
      </c>
      <c r="H234" s="14" t="s">
        <v>75</v>
      </c>
      <c r="I234">
        <v>20</v>
      </c>
      <c r="J234">
        <v>10.972274579690296</v>
      </c>
      <c r="K234">
        <v>46231</v>
      </c>
      <c r="L234" t="s">
        <v>446</v>
      </c>
      <c r="M234">
        <v>21.85</v>
      </c>
      <c r="N234">
        <v>21.85</v>
      </c>
      <c r="O234">
        <v>11.25</v>
      </c>
      <c r="P234">
        <v>1.9913829025427776</v>
      </c>
      <c r="Q234">
        <v>1.9913829025427776</v>
      </c>
      <c r="R234">
        <v>1.0253115630941076</v>
      </c>
      <c r="S234">
        <v>0</v>
      </c>
      <c r="T234">
        <v>0</v>
      </c>
      <c r="U234">
        <v>0.74138290254277761</v>
      </c>
      <c r="V234">
        <v>0</v>
      </c>
      <c r="W234">
        <v>0</v>
      </c>
      <c r="X234">
        <v>0</v>
      </c>
      <c r="Y234">
        <v>2.5311563094107647E-2</v>
      </c>
      <c r="Z234">
        <v>0</v>
      </c>
      <c r="AA234">
        <v>0.22468843690589235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0.5021635963244987</v>
      </c>
      <c r="AN234">
        <v>0.5021635963244987</v>
      </c>
      <c r="AO234">
        <v>0.51487414187643021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0.48512585812356979</v>
      </c>
      <c r="BA234">
        <v>0</v>
      </c>
      <c r="BB234">
        <v>0</v>
      </c>
      <c r="BC234">
        <v>0</v>
      </c>
      <c r="BD234">
        <v>0.5021635963244987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1.9422222222222221</v>
      </c>
      <c r="BK234">
        <v>1.9422222222222221</v>
      </c>
      <c r="BL234">
        <v>0.97531329597247074</v>
      </c>
      <c r="CC234">
        <v>0</v>
      </c>
      <c r="CD234">
        <v>0</v>
      </c>
      <c r="CE234">
        <v>0</v>
      </c>
    </row>
    <row r="235" spans="1:84" x14ac:dyDescent="0.25">
      <c r="A235" t="s">
        <v>128</v>
      </c>
      <c r="B235" t="s">
        <v>291</v>
      </c>
      <c r="C235" s="14" t="s">
        <v>117</v>
      </c>
      <c r="D235" s="12">
        <v>46228</v>
      </c>
      <c r="E235" s="14"/>
      <c r="F235" s="14"/>
      <c r="G235" s="14"/>
      <c r="H235" s="14"/>
      <c r="J235">
        <v>40.032120530081045</v>
      </c>
      <c r="M235">
        <v>90.249999999999986</v>
      </c>
      <c r="N235">
        <v>90.249999999999986</v>
      </c>
      <c r="O235">
        <v>49.310873522202996</v>
      </c>
      <c r="S235">
        <v>6.714057774706321E-2</v>
      </c>
      <c r="T235">
        <v>0</v>
      </c>
      <c r="U235">
        <v>1.0158296972160028</v>
      </c>
      <c r="V235">
        <v>0</v>
      </c>
      <c r="W235">
        <v>6.6501724212318453E-2</v>
      </c>
      <c r="X235">
        <v>0</v>
      </c>
      <c r="Y235">
        <v>0.11609607571567067</v>
      </c>
      <c r="Z235">
        <v>0</v>
      </c>
      <c r="AA235">
        <v>6.387514890824586E-2</v>
      </c>
      <c r="AB235">
        <v>3.1593934708856915E-2</v>
      </c>
      <c r="AC235">
        <v>0</v>
      </c>
      <c r="AD235">
        <v>0</v>
      </c>
      <c r="AE235">
        <v>1.7955677451873313E-2</v>
      </c>
      <c r="AF235">
        <v>0</v>
      </c>
      <c r="AG235">
        <v>0.95045038783926983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84" x14ac:dyDescent="0.25">
      <c r="A236" t="s">
        <v>128</v>
      </c>
      <c r="B236" t="s">
        <v>291</v>
      </c>
      <c r="C236" s="14" t="s">
        <v>72</v>
      </c>
      <c r="D236" s="12">
        <v>46230</v>
      </c>
      <c r="E236" s="14" t="s">
        <v>133</v>
      </c>
      <c r="F236" s="14" t="s">
        <v>133</v>
      </c>
      <c r="G236" s="14" t="s">
        <v>133</v>
      </c>
      <c r="H236" s="14" t="s">
        <v>73</v>
      </c>
      <c r="I236">
        <v>20</v>
      </c>
      <c r="J236">
        <v>11.872563775972576</v>
      </c>
      <c r="K236">
        <v>46230</v>
      </c>
      <c r="L236" t="s">
        <v>441</v>
      </c>
      <c r="M236">
        <v>4.75</v>
      </c>
      <c r="N236">
        <v>4.75</v>
      </c>
      <c r="O236">
        <v>11.229166666666666</v>
      </c>
      <c r="P236">
        <v>0.40008207912202937</v>
      </c>
      <c r="Q236">
        <v>0.40008207912202937</v>
      </c>
      <c r="R236">
        <v>0.94580807301216585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0.54572599389013643</v>
      </c>
      <c r="AC236">
        <v>5.4191926987834149E-2</v>
      </c>
      <c r="AD236">
        <v>0</v>
      </c>
      <c r="AE236">
        <v>0</v>
      </c>
      <c r="AF236">
        <v>0</v>
      </c>
      <c r="AG236">
        <v>0.40008207912202937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2.4994871107310686</v>
      </c>
      <c r="AN236">
        <v>2.4994871107310686</v>
      </c>
      <c r="AO236">
        <v>2.3640350877192979</v>
      </c>
      <c r="BF236">
        <v>0</v>
      </c>
      <c r="BG236">
        <v>0</v>
      </c>
      <c r="BH236">
        <v>0</v>
      </c>
      <c r="BJ236">
        <v>0.42300556586270877</v>
      </c>
      <c r="BK236">
        <v>0.42300556586270877</v>
      </c>
      <c r="BL236">
        <v>1.0572969596413426</v>
      </c>
      <c r="BM236">
        <v>5.7296959641342626E-2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0.59991792087797058</v>
      </c>
      <c r="BW236">
        <v>0</v>
      </c>
      <c r="BX236">
        <v>0</v>
      </c>
      <c r="BY236">
        <v>0</v>
      </c>
      <c r="BZ236">
        <v>0</v>
      </c>
      <c r="CA236">
        <v>0.42300556586270877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25">
      <c r="A237" t="s">
        <v>128</v>
      </c>
      <c r="B237" t="s">
        <v>291</v>
      </c>
      <c r="C237" s="14" t="s">
        <v>117</v>
      </c>
      <c r="D237" s="12">
        <v>46229</v>
      </c>
      <c r="E237" s="14"/>
      <c r="F237" s="14"/>
      <c r="G237" s="14"/>
      <c r="H237" s="14"/>
      <c r="J237">
        <v>41.939193745979424</v>
      </c>
      <c r="M237">
        <v>69.349999999999994</v>
      </c>
      <c r="N237">
        <v>69.349999999999994</v>
      </c>
      <c r="O237">
        <v>48.904393742791221</v>
      </c>
      <c r="S237">
        <v>0.11135379509858112</v>
      </c>
      <c r="T237">
        <v>0</v>
      </c>
      <c r="U237">
        <v>0.73562068850516282</v>
      </c>
      <c r="V237">
        <v>0</v>
      </c>
      <c r="W237">
        <v>2.9366501437194471E-2</v>
      </c>
      <c r="X237">
        <v>0</v>
      </c>
      <c r="Y237">
        <v>2.535824181188959E-2</v>
      </c>
      <c r="Z237">
        <v>0</v>
      </c>
      <c r="AA237">
        <v>4.0239972653939658E-2</v>
      </c>
      <c r="AB237">
        <v>0.3504069427765189</v>
      </c>
      <c r="AC237">
        <v>0</v>
      </c>
      <c r="AD237">
        <v>0</v>
      </c>
      <c r="AE237">
        <v>0</v>
      </c>
      <c r="AF237">
        <v>0</v>
      </c>
      <c r="AG237">
        <v>0.57382881387054574</v>
      </c>
      <c r="AH237">
        <v>0</v>
      </c>
      <c r="AI237">
        <v>0</v>
      </c>
      <c r="AJ237">
        <v>0</v>
      </c>
      <c r="AK237">
        <v>7.5764243352935245E-2</v>
      </c>
      <c r="AL237">
        <v>0</v>
      </c>
    </row>
    <row r="238" spans="1:84" x14ac:dyDescent="0.25">
      <c r="A238" t="s">
        <v>128</v>
      </c>
      <c r="B238" t="s">
        <v>291</v>
      </c>
      <c r="C238" s="14" t="s">
        <v>72</v>
      </c>
      <c r="D238" s="12">
        <v>46227</v>
      </c>
      <c r="E238" s="14" t="s">
        <v>134</v>
      </c>
      <c r="F238" s="14" t="s">
        <v>134</v>
      </c>
      <c r="G238" s="14" t="s">
        <v>134</v>
      </c>
      <c r="H238" s="14" t="s">
        <v>75</v>
      </c>
      <c r="I238">
        <v>20</v>
      </c>
      <c r="J238">
        <v>2.2474193200215868</v>
      </c>
      <c r="K238">
        <v>46227</v>
      </c>
      <c r="L238" t="s">
        <v>155</v>
      </c>
      <c r="M238">
        <v>0</v>
      </c>
      <c r="N238">
        <v>0</v>
      </c>
      <c r="O238">
        <v>4.8131487889273332</v>
      </c>
      <c r="P238">
        <v>0</v>
      </c>
      <c r="Q238">
        <v>0</v>
      </c>
      <c r="R238">
        <v>2.1416336266438707</v>
      </c>
      <c r="S238">
        <v>1.1416336266438707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0.46693327353431985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0.5330667264656801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0.4669332735343199</v>
      </c>
      <c r="CF238">
        <v>0</v>
      </c>
    </row>
    <row r="239" spans="1:84" x14ac:dyDescent="0.25">
      <c r="A239" t="s">
        <v>128</v>
      </c>
      <c r="B239" t="s">
        <v>291</v>
      </c>
      <c r="C239" s="14" t="s">
        <v>117</v>
      </c>
      <c r="D239" s="12">
        <v>46230</v>
      </c>
      <c r="E239" s="14"/>
      <c r="F239" s="14"/>
      <c r="G239" s="14"/>
      <c r="H239" s="14"/>
      <c r="J239">
        <v>41.995461820747067</v>
      </c>
      <c r="M239">
        <v>48.45</v>
      </c>
      <c r="N239">
        <v>48.45</v>
      </c>
      <c r="O239">
        <v>48.040423154555931</v>
      </c>
      <c r="S239">
        <v>0.10424035463588545</v>
      </c>
      <c r="T239">
        <v>0</v>
      </c>
      <c r="U239">
        <v>0.36485618343644299</v>
      </c>
      <c r="V239">
        <v>0</v>
      </c>
      <c r="W239">
        <v>3.7162159503750299E-2</v>
      </c>
      <c r="X239">
        <v>0</v>
      </c>
      <c r="Y239">
        <v>3.2703790981636852E-2</v>
      </c>
      <c r="Z239">
        <v>0</v>
      </c>
      <c r="AA239">
        <v>0</v>
      </c>
      <c r="AB239">
        <v>0.29851194310013557</v>
      </c>
      <c r="AC239">
        <v>2.7757087038874511E-2</v>
      </c>
      <c r="AD239">
        <v>0</v>
      </c>
      <c r="AE239">
        <v>2.4060139426005408E-3</v>
      </c>
      <c r="AF239">
        <v>0</v>
      </c>
      <c r="AG239">
        <v>0.67132495591838914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84" x14ac:dyDescent="0.25">
      <c r="A240" t="s">
        <v>128</v>
      </c>
      <c r="B240" t="s">
        <v>291</v>
      </c>
      <c r="C240" s="14" t="s">
        <v>72</v>
      </c>
      <c r="D240" s="12">
        <v>46229</v>
      </c>
      <c r="E240" s="14" t="s">
        <v>133</v>
      </c>
      <c r="F240" s="14" t="s">
        <v>133</v>
      </c>
      <c r="G240" s="14" t="s">
        <v>133</v>
      </c>
      <c r="H240" s="14" t="s">
        <v>75</v>
      </c>
      <c r="I240">
        <v>20</v>
      </c>
      <c r="J240">
        <v>11.816295701204936</v>
      </c>
      <c r="K240">
        <v>46229</v>
      </c>
      <c r="L240" t="s">
        <v>440</v>
      </c>
      <c r="M240">
        <v>1.9</v>
      </c>
      <c r="N240">
        <v>1.9</v>
      </c>
      <c r="O240">
        <v>12.932291666666668</v>
      </c>
      <c r="P240">
        <v>0.16079489275190129</v>
      </c>
      <c r="Q240">
        <v>0.16079489275190129</v>
      </c>
      <c r="R240">
        <v>1.0944455008305125</v>
      </c>
      <c r="S240">
        <v>9.4445500830512508E-2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0.83920510724809871</v>
      </c>
      <c r="AC240">
        <v>0</v>
      </c>
      <c r="AD240">
        <v>0</v>
      </c>
      <c r="AE240">
        <v>0</v>
      </c>
      <c r="AF240">
        <v>0</v>
      </c>
      <c r="AG240">
        <v>0.16079489275190129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6.2191030006341768</v>
      </c>
      <c r="AN240">
        <v>6.2191030006341768</v>
      </c>
      <c r="AO240">
        <v>6.8064692982456148</v>
      </c>
      <c r="BF240">
        <v>0</v>
      </c>
      <c r="BG240">
        <v>0</v>
      </c>
      <c r="BH240">
        <v>0</v>
      </c>
      <c r="BJ240">
        <v>0.14691904953685056</v>
      </c>
      <c r="BK240">
        <v>0.14691904953685056</v>
      </c>
      <c r="BL240">
        <v>0.91370470182494867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8.6295298175051327E-2</v>
      </c>
      <c r="BX240">
        <v>0</v>
      </c>
      <c r="BY240">
        <v>0</v>
      </c>
      <c r="BZ240">
        <v>0</v>
      </c>
      <c r="CA240">
        <v>0.14691904953685056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x14ac:dyDescent="0.25">
      <c r="A241" t="s">
        <v>128</v>
      </c>
      <c r="B241" t="s">
        <v>291</v>
      </c>
      <c r="C241" s="14" t="s">
        <v>117</v>
      </c>
      <c r="D241" s="12">
        <v>46231</v>
      </c>
      <c r="E241" s="14"/>
      <c r="F241" s="14"/>
      <c r="G241" s="14"/>
      <c r="H241" s="14"/>
      <c r="J241">
        <v>45.361994830502269</v>
      </c>
      <c r="M241">
        <v>93.1</v>
      </c>
      <c r="N241">
        <v>93.1</v>
      </c>
      <c r="O241">
        <v>48.339938365051886</v>
      </c>
      <c r="S241">
        <v>9.4488990817697197E-2</v>
      </c>
      <c r="T241">
        <v>0</v>
      </c>
      <c r="U241">
        <v>0.88038446067857234</v>
      </c>
      <c r="V241">
        <v>0</v>
      </c>
      <c r="W241">
        <v>2.7150644455078633E-2</v>
      </c>
      <c r="X241">
        <v>0</v>
      </c>
      <c r="Y241">
        <v>2.3444829099339252E-2</v>
      </c>
      <c r="Z241">
        <v>0</v>
      </c>
      <c r="AA241">
        <v>6.7302490675001839E-2</v>
      </c>
      <c r="AB241">
        <v>0.11767587294653206</v>
      </c>
      <c r="AC241">
        <v>5.8596732754290538E-2</v>
      </c>
      <c r="AD241">
        <v>0</v>
      </c>
      <c r="AE241">
        <v>2.0839306197450433E-2</v>
      </c>
      <c r="AF241">
        <v>0</v>
      </c>
      <c r="AG241">
        <v>0.80288808810172696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84" x14ac:dyDescent="0.25">
      <c r="A242" t="s">
        <v>128</v>
      </c>
      <c r="B242" t="s">
        <v>291</v>
      </c>
      <c r="C242" s="14" t="s">
        <v>72</v>
      </c>
      <c r="D242" s="12">
        <v>46229</v>
      </c>
      <c r="E242" s="14" t="s">
        <v>133</v>
      </c>
      <c r="F242" s="14" t="s">
        <v>133</v>
      </c>
      <c r="G242" s="14" t="s">
        <v>133</v>
      </c>
      <c r="H242" s="14" t="s">
        <v>74</v>
      </c>
      <c r="I242">
        <v>20</v>
      </c>
      <c r="J242">
        <v>4.220105607573192</v>
      </c>
      <c r="K242">
        <v>46229</v>
      </c>
      <c r="L242" t="s">
        <v>439</v>
      </c>
      <c r="M242">
        <v>31.35</v>
      </c>
      <c r="N242">
        <v>31.35</v>
      </c>
      <c r="O242">
        <v>4.6874999999999991</v>
      </c>
      <c r="P242">
        <v>7.4287240451378382</v>
      </c>
      <c r="Q242">
        <v>7.4287240451378382</v>
      </c>
      <c r="R242">
        <v>1.1107541933519494</v>
      </c>
      <c r="S242">
        <v>0</v>
      </c>
      <c r="T242">
        <v>0</v>
      </c>
      <c r="U242">
        <v>6.1787240451378382</v>
      </c>
      <c r="V242">
        <v>0</v>
      </c>
      <c r="W242">
        <v>0</v>
      </c>
      <c r="X242">
        <v>0</v>
      </c>
      <c r="Y242">
        <v>0.11075419335194936</v>
      </c>
      <c r="Z242">
        <v>0</v>
      </c>
      <c r="AA242">
        <v>0.13924580664805064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0.13461261906134583</v>
      </c>
      <c r="AN242">
        <v>0.13461261906134583</v>
      </c>
      <c r="AO242">
        <v>0.14952153110047844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0.8504784688995215</v>
      </c>
      <c r="BA242">
        <v>0</v>
      </c>
      <c r="BB242">
        <v>0</v>
      </c>
      <c r="BC242">
        <v>0</v>
      </c>
      <c r="BD242">
        <v>0.13461261906134583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6.6880000000000006</v>
      </c>
      <c r="BK242">
        <v>6.6880000000000006</v>
      </c>
      <c r="BL242">
        <v>0.9002891962822811</v>
      </c>
      <c r="CC242">
        <v>0</v>
      </c>
      <c r="CD242">
        <v>0</v>
      </c>
      <c r="CE242">
        <v>0</v>
      </c>
    </row>
    <row r="243" spans="1:84" x14ac:dyDescent="0.25">
      <c r="A243" t="s">
        <v>128</v>
      </c>
      <c r="B243" t="s">
        <v>291</v>
      </c>
      <c r="C243" s="14" t="s">
        <v>72</v>
      </c>
      <c r="D243" s="12">
        <v>46232</v>
      </c>
      <c r="E243" s="14" t="s">
        <v>134</v>
      </c>
      <c r="F243" s="14" t="s">
        <v>134</v>
      </c>
      <c r="G243" s="14" t="s">
        <v>134</v>
      </c>
      <c r="H243" s="14" t="s">
        <v>74</v>
      </c>
      <c r="I243">
        <v>20</v>
      </c>
      <c r="J243">
        <v>1.2735376146788988</v>
      </c>
      <c r="K243">
        <v>46232</v>
      </c>
      <c r="L243" t="s">
        <v>448</v>
      </c>
      <c r="M243">
        <v>9.5</v>
      </c>
      <c r="N243">
        <v>9.5</v>
      </c>
      <c r="O243">
        <v>1.8823529411764703</v>
      </c>
      <c r="P243">
        <v>7.4595362480873924</v>
      </c>
      <c r="Q243">
        <v>7.4595362480873924</v>
      </c>
      <c r="R243">
        <v>1.4780505259368206</v>
      </c>
      <c r="S243">
        <v>0</v>
      </c>
      <c r="T243">
        <v>0</v>
      </c>
      <c r="U243">
        <v>5.9814857221505715</v>
      </c>
      <c r="V243">
        <v>0</v>
      </c>
      <c r="W243">
        <v>0.22805052593682063</v>
      </c>
      <c r="X243">
        <v>0</v>
      </c>
      <c r="Y243">
        <v>0.25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0.13405659101883147</v>
      </c>
      <c r="AN243">
        <v>0.13405659101883147</v>
      </c>
      <c r="AO243">
        <v>0.1981424148606811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0.80185758513931893</v>
      </c>
      <c r="BA243">
        <v>0</v>
      </c>
      <c r="BB243">
        <v>0</v>
      </c>
      <c r="BC243">
        <v>0</v>
      </c>
      <c r="BD243">
        <v>0.13405659101883147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5.0468750000000009</v>
      </c>
      <c r="BK243">
        <v>5.0468750000000009</v>
      </c>
      <c r="BL243">
        <v>0.67656685779816506</v>
      </c>
      <c r="CC243">
        <v>0</v>
      </c>
      <c r="CD243">
        <v>0</v>
      </c>
      <c r="CE243">
        <v>0</v>
      </c>
    </row>
    <row r="244" spans="1:84" x14ac:dyDescent="0.25">
      <c r="A244" t="s">
        <v>128</v>
      </c>
      <c r="B244" t="s">
        <v>291</v>
      </c>
      <c r="C244" s="14" t="s">
        <v>72</v>
      </c>
      <c r="D244" s="12">
        <v>46229</v>
      </c>
      <c r="E244" s="14" t="s">
        <v>133</v>
      </c>
      <c r="F244" s="14" t="s">
        <v>133</v>
      </c>
      <c r="G244" s="14" t="s">
        <v>133</v>
      </c>
      <c r="H244" s="14" t="s">
        <v>73</v>
      </c>
      <c r="I244">
        <v>20</v>
      </c>
      <c r="J244">
        <v>10.972274579690298</v>
      </c>
      <c r="K244">
        <v>46229</v>
      </c>
      <c r="L244" t="s">
        <v>438</v>
      </c>
      <c r="M244">
        <v>12.35</v>
      </c>
      <c r="N244">
        <v>12.35</v>
      </c>
      <c r="O244">
        <v>11.25</v>
      </c>
      <c r="P244">
        <v>1.1255642492633089</v>
      </c>
      <c r="Q244">
        <v>1.1255642492633089</v>
      </c>
      <c r="R244">
        <v>1.0253115630941074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2.5311563094107425E-2</v>
      </c>
      <c r="Z244">
        <v>0</v>
      </c>
      <c r="AA244">
        <v>0.10025268616920147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0.88844328580488241</v>
      </c>
      <c r="AN244">
        <v>0.88844328580488241</v>
      </c>
      <c r="AO244">
        <v>0.91093117408906887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8.9068825910931126E-2</v>
      </c>
      <c r="BA244">
        <v>0</v>
      </c>
      <c r="BB244">
        <v>0</v>
      </c>
      <c r="BC244">
        <v>0</v>
      </c>
      <c r="BD244">
        <v>0.88844328580488241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1.0977777777777777</v>
      </c>
      <c r="BK244">
        <v>1.0977777777777777</v>
      </c>
      <c r="BL244">
        <v>0.97531329597247096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9.7777777777777741E-2</v>
      </c>
      <c r="BV244">
        <v>0</v>
      </c>
      <c r="BW244">
        <v>0</v>
      </c>
      <c r="BX244">
        <v>0</v>
      </c>
      <c r="BY244">
        <v>2.4686704027529038E-2</v>
      </c>
      <c r="BZ244">
        <v>0</v>
      </c>
      <c r="CA244">
        <v>0.97531329597247096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 spans="1:84" x14ac:dyDescent="0.25">
      <c r="A245" t="s">
        <v>128</v>
      </c>
      <c r="B245" t="s">
        <v>291</v>
      </c>
      <c r="C245" s="14" t="s">
        <v>72</v>
      </c>
      <c r="D245" s="12">
        <v>46232</v>
      </c>
      <c r="E245" s="14" t="s">
        <v>134</v>
      </c>
      <c r="F245" s="14" t="s">
        <v>134</v>
      </c>
      <c r="G245" s="14" t="s">
        <v>134</v>
      </c>
      <c r="H245" s="14" t="s">
        <v>75</v>
      </c>
      <c r="I245">
        <v>20</v>
      </c>
      <c r="J245">
        <v>2.2474193200215864</v>
      </c>
      <c r="K245">
        <v>46232</v>
      </c>
      <c r="L245" t="s">
        <v>449</v>
      </c>
      <c r="M245">
        <v>0.95</v>
      </c>
      <c r="N245">
        <v>0.95</v>
      </c>
      <c r="O245">
        <v>4.0415224913494781</v>
      </c>
      <c r="P245">
        <v>0.42270705405828551</v>
      </c>
      <c r="Q245">
        <v>0.42270705405828551</v>
      </c>
      <c r="R245">
        <v>1.7982948065564637</v>
      </c>
      <c r="S245">
        <v>0.79829480655646368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0.57729294594171443</v>
      </c>
      <c r="AC245">
        <v>0</v>
      </c>
      <c r="AD245">
        <v>0</v>
      </c>
      <c r="AE245">
        <v>0</v>
      </c>
      <c r="AF245">
        <v>0</v>
      </c>
      <c r="AG245">
        <v>0.42270705405828551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2.3657045473911436</v>
      </c>
      <c r="AN245">
        <v>2.3657045473911436</v>
      </c>
      <c r="AO245">
        <v>4.2542342014205037</v>
      </c>
      <c r="BF245">
        <v>0</v>
      </c>
      <c r="BG245">
        <v>0</v>
      </c>
      <c r="BH245">
        <v>0</v>
      </c>
      <c r="BJ245">
        <v>0.23505993150684948</v>
      </c>
      <c r="BK245">
        <v>0.23505993150684948</v>
      </c>
      <c r="BL245">
        <v>0.55608234887520458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0.44391765112479542</v>
      </c>
      <c r="BX245">
        <v>0</v>
      </c>
      <c r="BY245">
        <v>0</v>
      </c>
      <c r="BZ245">
        <v>0</v>
      </c>
      <c r="CA245">
        <v>0.23505993150684948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4" x14ac:dyDescent="0.25">
      <c r="A246" t="s">
        <v>128</v>
      </c>
      <c r="B246" t="s">
        <v>291</v>
      </c>
      <c r="C246" s="14" t="s">
        <v>117</v>
      </c>
      <c r="D246" s="12">
        <v>46232</v>
      </c>
      <c r="E246" s="14"/>
      <c r="F246" s="14"/>
      <c r="G246" s="14"/>
      <c r="H246" s="14"/>
      <c r="J246">
        <v>43.719560553941719</v>
      </c>
      <c r="M246">
        <v>72.199999999999989</v>
      </c>
      <c r="N246">
        <v>72.199999999999989</v>
      </c>
      <c r="O246">
        <v>48.211505190311406</v>
      </c>
      <c r="S246">
        <v>8.963338389059107E-2</v>
      </c>
      <c r="T246">
        <v>0</v>
      </c>
      <c r="U246">
        <v>0.74892141262396561</v>
      </c>
      <c r="V246">
        <v>0</v>
      </c>
      <c r="W246">
        <v>6.6430430486488935E-3</v>
      </c>
      <c r="X246">
        <v>0</v>
      </c>
      <c r="Y246">
        <v>1.7973163182347828E-2</v>
      </c>
      <c r="Z246">
        <v>0</v>
      </c>
      <c r="AA246">
        <v>1.3440940439953955E-2</v>
      </c>
      <c r="AB246">
        <v>0.40652101414759417</v>
      </c>
      <c r="AC246">
        <v>1.1505084471137104E-2</v>
      </c>
      <c r="AD246">
        <v>0</v>
      </c>
      <c r="AE246">
        <v>0</v>
      </c>
      <c r="AF246">
        <v>0</v>
      </c>
      <c r="AG246">
        <v>0.5819739013812687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84" x14ac:dyDescent="0.25">
      <c r="A247" t="s">
        <v>128</v>
      </c>
      <c r="B247" t="s">
        <v>291</v>
      </c>
      <c r="C247" s="14" t="s">
        <v>72</v>
      </c>
      <c r="D247" s="12">
        <v>46233</v>
      </c>
      <c r="E247" s="14" t="s">
        <v>134</v>
      </c>
      <c r="F247" s="14" t="s">
        <v>134</v>
      </c>
      <c r="G247" s="14" t="s">
        <v>134</v>
      </c>
      <c r="H247" s="14" t="s">
        <v>73</v>
      </c>
      <c r="I247">
        <v>20</v>
      </c>
      <c r="J247">
        <v>5.7458435349770651</v>
      </c>
      <c r="K247">
        <v>46233</v>
      </c>
      <c r="L247" t="s">
        <v>450</v>
      </c>
      <c r="M247">
        <v>1.9</v>
      </c>
      <c r="N247">
        <v>1.9</v>
      </c>
      <c r="O247">
        <v>4.7058823529411749</v>
      </c>
      <c r="P247">
        <v>0.33067381463383061</v>
      </c>
      <c r="Q247">
        <v>0.33067381463383061</v>
      </c>
      <c r="R247">
        <v>0.81900635203425509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0.48833253740042448</v>
      </c>
      <c r="AC247">
        <v>0.18099364796574491</v>
      </c>
      <c r="AD247">
        <v>0</v>
      </c>
      <c r="AE247">
        <v>0</v>
      </c>
      <c r="AF247">
        <v>0</v>
      </c>
      <c r="AG247">
        <v>0.33067381463383061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3.0241281763037184</v>
      </c>
      <c r="AN247">
        <v>3.0241281763037184</v>
      </c>
      <c r="AO247">
        <v>2.4767801857585132</v>
      </c>
      <c r="BF247">
        <v>0</v>
      </c>
      <c r="BG247">
        <v>0</v>
      </c>
      <c r="BH247">
        <v>0</v>
      </c>
      <c r="BJ247">
        <v>0.40375000000000011</v>
      </c>
      <c r="BK247">
        <v>0.40375000000000011</v>
      </c>
      <c r="BL247">
        <v>1.2209917511826267</v>
      </c>
      <c r="BM247">
        <v>0.22099175118262671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0.66932618536616939</v>
      </c>
      <c r="BW247">
        <v>0</v>
      </c>
      <c r="BX247">
        <v>0</v>
      </c>
      <c r="BY247">
        <v>0</v>
      </c>
      <c r="BZ247">
        <v>0</v>
      </c>
      <c r="CA247">
        <v>0.40375000000000011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x14ac:dyDescent="0.25">
      <c r="A248" t="s">
        <v>128</v>
      </c>
      <c r="B248" t="s">
        <v>291</v>
      </c>
      <c r="C248" s="14" t="s">
        <v>117</v>
      </c>
      <c r="D248" s="12">
        <v>46223</v>
      </c>
      <c r="E248" s="14"/>
      <c r="F248" s="14"/>
      <c r="G248" s="14"/>
      <c r="H248" s="14"/>
      <c r="J248">
        <v>44.308723503659913</v>
      </c>
      <c r="M248">
        <v>100.7</v>
      </c>
      <c r="N248">
        <v>100.7</v>
      </c>
      <c r="O248">
        <v>39.715668252595158</v>
      </c>
      <c r="S248">
        <v>4.2014112533571906E-3</v>
      </c>
      <c r="T248">
        <v>0</v>
      </c>
      <c r="U248">
        <v>0.97267219550674311</v>
      </c>
      <c r="V248">
        <v>0</v>
      </c>
      <c r="W248">
        <v>7.4259565878262799E-3</v>
      </c>
      <c r="X248">
        <v>0</v>
      </c>
      <c r="Y248">
        <v>3.3489960994663899E-2</v>
      </c>
      <c r="Z248">
        <v>0</v>
      </c>
      <c r="AA248">
        <v>0.1360814195445598</v>
      </c>
      <c r="AB248">
        <v>2.0843060660242746E-2</v>
      </c>
      <c r="AC248">
        <v>9.1981515414480672E-2</v>
      </c>
      <c r="AD248">
        <v>0</v>
      </c>
      <c r="AE248">
        <v>5.6796106200628638E-2</v>
      </c>
      <c r="AF248">
        <v>0</v>
      </c>
      <c r="AG248">
        <v>0.83037931772464779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84" x14ac:dyDescent="0.25">
      <c r="A249" t="s">
        <v>128</v>
      </c>
      <c r="B249" t="s">
        <v>291</v>
      </c>
      <c r="C249" s="14" t="s">
        <v>109</v>
      </c>
      <c r="D249" s="12">
        <v>46250</v>
      </c>
      <c r="E249" s="14" t="s">
        <v>134</v>
      </c>
      <c r="F249" s="14" t="s">
        <v>134</v>
      </c>
      <c r="G249" s="14" t="s">
        <v>134</v>
      </c>
      <c r="H249" s="14"/>
      <c r="J249">
        <v>7.1027814759848891</v>
      </c>
      <c r="M249">
        <v>16.149999999999999</v>
      </c>
      <c r="N249">
        <v>16.149999999999999</v>
      </c>
      <c r="O249">
        <v>7.1773356401384074</v>
      </c>
      <c r="S249">
        <v>7.7508846605157389E-2</v>
      </c>
      <c r="T249">
        <v>0</v>
      </c>
      <c r="U249">
        <v>1.4438030137504794</v>
      </c>
      <c r="V249">
        <v>0</v>
      </c>
      <c r="W249">
        <v>3.3185386560448893E-2</v>
      </c>
      <c r="X249">
        <v>0</v>
      </c>
      <c r="Y249">
        <v>7.9103493737640085E-2</v>
      </c>
      <c r="Z249">
        <v>0</v>
      </c>
      <c r="AA249">
        <v>0</v>
      </c>
      <c r="AB249">
        <v>0.2367839341490085</v>
      </c>
      <c r="AC249">
        <v>4.5550833257760673E-2</v>
      </c>
      <c r="AD249">
        <v>0</v>
      </c>
      <c r="AE249">
        <v>0</v>
      </c>
      <c r="AF249">
        <v>0</v>
      </c>
      <c r="AG249">
        <v>0.58391481337900741</v>
      </c>
      <c r="AH249">
        <v>0.13375041921422348</v>
      </c>
      <c r="AI249">
        <v>0</v>
      </c>
      <c r="AJ249">
        <v>0</v>
      </c>
      <c r="AK249">
        <v>0</v>
      </c>
      <c r="AL249">
        <v>0</v>
      </c>
    </row>
    <row r="250" spans="1:84" x14ac:dyDescent="0.25">
      <c r="A250" t="s">
        <v>128</v>
      </c>
      <c r="B250" t="s">
        <v>291</v>
      </c>
      <c r="C250" s="14" t="s">
        <v>72</v>
      </c>
      <c r="D250" s="12">
        <v>46237</v>
      </c>
      <c r="E250" s="14" t="s">
        <v>133</v>
      </c>
      <c r="F250" s="14" t="s">
        <v>133</v>
      </c>
      <c r="G250" s="14" t="s">
        <v>133</v>
      </c>
      <c r="H250" s="14" t="s">
        <v>74</v>
      </c>
      <c r="I250">
        <v>20</v>
      </c>
      <c r="J250">
        <v>4.220105607573192</v>
      </c>
      <c r="K250">
        <v>46237</v>
      </c>
      <c r="L250" t="s">
        <v>463</v>
      </c>
      <c r="M250">
        <v>20.9</v>
      </c>
      <c r="N250">
        <v>20.9</v>
      </c>
      <c r="O250">
        <v>4.6874999999999991</v>
      </c>
      <c r="P250">
        <v>4.9524826967585591</v>
      </c>
      <c r="Q250">
        <v>4.9524826967585591</v>
      </c>
      <c r="R250">
        <v>1.1107541933519494</v>
      </c>
      <c r="S250">
        <v>0</v>
      </c>
      <c r="T250">
        <v>0</v>
      </c>
      <c r="U250">
        <v>3.7024826967585591</v>
      </c>
      <c r="V250">
        <v>0</v>
      </c>
      <c r="W250">
        <v>0</v>
      </c>
      <c r="X250">
        <v>0</v>
      </c>
      <c r="Y250">
        <v>0.11075419335194936</v>
      </c>
      <c r="Z250">
        <v>0</v>
      </c>
      <c r="AA250">
        <v>0.13924580664805064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0.20191892859201876</v>
      </c>
      <c r="AN250">
        <v>0.20191892859201876</v>
      </c>
      <c r="AO250">
        <v>0.22428229665071767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0.77571770334928236</v>
      </c>
      <c r="BA250">
        <v>0</v>
      </c>
      <c r="BB250">
        <v>0</v>
      </c>
      <c r="BC250">
        <v>0</v>
      </c>
      <c r="BD250">
        <v>0.20191892859201876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4.4586666666666668</v>
      </c>
      <c r="BK250">
        <v>4.4586666666666668</v>
      </c>
      <c r="BL250">
        <v>0.9002891962822811</v>
      </c>
      <c r="CC250">
        <v>0</v>
      </c>
      <c r="CD250">
        <v>0</v>
      </c>
      <c r="CE250">
        <v>0</v>
      </c>
    </row>
    <row r="251" spans="1:84" x14ac:dyDescent="0.25">
      <c r="A251" t="s">
        <v>128</v>
      </c>
      <c r="B251" t="s">
        <v>291</v>
      </c>
      <c r="C251" s="14" t="s">
        <v>72</v>
      </c>
      <c r="D251" s="12">
        <v>46237</v>
      </c>
      <c r="E251" s="14" t="s">
        <v>133</v>
      </c>
      <c r="F251" s="14" t="s">
        <v>133</v>
      </c>
      <c r="G251" s="14" t="s">
        <v>133</v>
      </c>
      <c r="H251" s="14" t="s">
        <v>73</v>
      </c>
      <c r="I251">
        <v>20</v>
      </c>
      <c r="J251">
        <v>11.872563775972576</v>
      </c>
      <c r="K251">
        <v>46237</v>
      </c>
      <c r="L251" t="s">
        <v>462</v>
      </c>
      <c r="M251">
        <v>4.75</v>
      </c>
      <c r="N251">
        <v>4.75</v>
      </c>
      <c r="O251">
        <v>12.191176470588236</v>
      </c>
      <c r="P251">
        <v>0.40008207912202937</v>
      </c>
      <c r="Q251">
        <v>0.40008207912202937</v>
      </c>
      <c r="R251">
        <v>1.0268360482729484</v>
      </c>
      <c r="S251">
        <v>2.6836048272948387E-2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0.59991792087797058</v>
      </c>
      <c r="AC251">
        <v>0</v>
      </c>
      <c r="AD251">
        <v>0</v>
      </c>
      <c r="AE251">
        <v>0</v>
      </c>
      <c r="AF251">
        <v>0</v>
      </c>
      <c r="AG251">
        <v>0.40008207912202937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2.4994871107310686</v>
      </c>
      <c r="AN251">
        <v>2.4994871107310686</v>
      </c>
      <c r="AO251">
        <v>2.5665634674922599</v>
      </c>
      <c r="BF251">
        <v>0</v>
      </c>
      <c r="BG251">
        <v>0</v>
      </c>
      <c r="BH251">
        <v>0</v>
      </c>
      <c r="BJ251">
        <v>0.3896260554885404</v>
      </c>
      <c r="BK251">
        <v>0.3896260554885404</v>
      </c>
      <c r="BL251">
        <v>0.97386530369859492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2.613469630140508E-2</v>
      </c>
      <c r="BX251">
        <v>0</v>
      </c>
      <c r="BY251">
        <v>0</v>
      </c>
      <c r="BZ251">
        <v>0</v>
      </c>
      <c r="CA251">
        <v>0.3896260554885404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x14ac:dyDescent="0.25">
      <c r="A252" t="s">
        <v>128</v>
      </c>
      <c r="B252" t="s">
        <v>291</v>
      </c>
      <c r="C252" s="14" t="s">
        <v>72</v>
      </c>
      <c r="D252" s="12">
        <v>46236</v>
      </c>
      <c r="E252" s="14" t="s">
        <v>133</v>
      </c>
      <c r="F252" s="14" t="s">
        <v>133</v>
      </c>
      <c r="G252" s="14" t="s">
        <v>133</v>
      </c>
      <c r="H252" s="14" t="s">
        <v>75</v>
      </c>
      <c r="I252">
        <v>20</v>
      </c>
      <c r="J252">
        <v>10.972274579690296</v>
      </c>
      <c r="K252">
        <v>46236</v>
      </c>
      <c r="L252" t="s">
        <v>461</v>
      </c>
      <c r="M252">
        <v>0.95</v>
      </c>
      <c r="N252">
        <v>0.95</v>
      </c>
      <c r="O252">
        <v>11.25</v>
      </c>
      <c r="P252">
        <v>8.6581865327946858E-2</v>
      </c>
      <c r="Q252">
        <v>8.6581865327946858E-2</v>
      </c>
      <c r="R252">
        <v>1.0253115630941076</v>
      </c>
      <c r="S252">
        <v>2.5311563094107647E-2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0.91341813467205313</v>
      </c>
      <c r="AC252">
        <v>0</v>
      </c>
      <c r="AD252">
        <v>0</v>
      </c>
      <c r="AE252">
        <v>0</v>
      </c>
      <c r="AF252">
        <v>0</v>
      </c>
      <c r="AG252">
        <v>8.6581865327946858E-2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11.549762715463471</v>
      </c>
      <c r="AN252">
        <v>11.549762715463471</v>
      </c>
      <c r="AO252">
        <v>11.842105263157896</v>
      </c>
      <c r="BF252">
        <v>0</v>
      </c>
      <c r="BG252">
        <v>0</v>
      </c>
      <c r="BH252">
        <v>0</v>
      </c>
      <c r="BJ252">
        <v>8.4444444444444447E-2</v>
      </c>
      <c r="BK252">
        <v>8.4444444444444447E-2</v>
      </c>
      <c r="BL252">
        <v>0.97531329597247074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2.468670402752926E-2</v>
      </c>
      <c r="BX252">
        <v>0</v>
      </c>
      <c r="BY252">
        <v>0</v>
      </c>
      <c r="BZ252">
        <v>0</v>
      </c>
      <c r="CA252">
        <v>8.4444444444444447E-2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25">
      <c r="A253" t="s">
        <v>128</v>
      </c>
      <c r="B253" t="s">
        <v>291</v>
      </c>
      <c r="C253" s="14" t="s">
        <v>72</v>
      </c>
      <c r="D253" s="12">
        <v>46236</v>
      </c>
      <c r="E253" s="14" t="s">
        <v>133</v>
      </c>
      <c r="F253" s="14" t="s">
        <v>133</v>
      </c>
      <c r="G253" s="14" t="s">
        <v>133</v>
      </c>
      <c r="H253" s="14" t="s">
        <v>74</v>
      </c>
      <c r="I253">
        <v>20</v>
      </c>
      <c r="J253">
        <v>4.220105607573192</v>
      </c>
      <c r="K253">
        <v>46236</v>
      </c>
      <c r="L253" t="s">
        <v>460</v>
      </c>
      <c r="M253">
        <v>19</v>
      </c>
      <c r="N253">
        <v>19</v>
      </c>
      <c r="O253">
        <v>4.6874999999999991</v>
      </c>
      <c r="P253">
        <v>4.5022569970532356</v>
      </c>
      <c r="Q253">
        <v>4.5022569970532356</v>
      </c>
      <c r="R253">
        <v>1.1107541933519494</v>
      </c>
      <c r="S253">
        <v>0</v>
      </c>
      <c r="T253">
        <v>0</v>
      </c>
      <c r="U253">
        <v>3.2522569970532356</v>
      </c>
      <c r="V253">
        <v>0</v>
      </c>
      <c r="W253">
        <v>0</v>
      </c>
      <c r="X253">
        <v>0</v>
      </c>
      <c r="Y253">
        <v>0.11075419335194936</v>
      </c>
      <c r="Z253">
        <v>0</v>
      </c>
      <c r="AA253">
        <v>0.13924580664805064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0.22211082145122063</v>
      </c>
      <c r="AN253">
        <v>0.22211082145122063</v>
      </c>
      <c r="AO253">
        <v>0.24671052631578944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0.75328947368421062</v>
      </c>
      <c r="BA253">
        <v>0</v>
      </c>
      <c r="BB253">
        <v>0</v>
      </c>
      <c r="BC253">
        <v>0</v>
      </c>
      <c r="BD253">
        <v>0.22211082145122063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4.0533333333333337</v>
      </c>
      <c r="BK253">
        <v>4.0533333333333337</v>
      </c>
      <c r="BL253">
        <v>0.9002891962822811</v>
      </c>
      <c r="CC253">
        <v>0</v>
      </c>
      <c r="CD253">
        <v>0</v>
      </c>
      <c r="CE253">
        <v>0</v>
      </c>
    </row>
    <row r="254" spans="1:84" x14ac:dyDescent="0.25">
      <c r="A254" t="s">
        <v>128</v>
      </c>
      <c r="B254" t="s">
        <v>291</v>
      </c>
      <c r="C254" s="14" t="s">
        <v>72</v>
      </c>
      <c r="D254" s="12">
        <v>46236</v>
      </c>
      <c r="E254" s="14" t="s">
        <v>133</v>
      </c>
      <c r="F254" s="14" t="s">
        <v>133</v>
      </c>
      <c r="G254" s="14" t="s">
        <v>133</v>
      </c>
      <c r="H254" s="14" t="s">
        <v>73</v>
      </c>
      <c r="I254">
        <v>20</v>
      </c>
      <c r="J254">
        <v>10.972274579690296</v>
      </c>
      <c r="K254">
        <v>46236</v>
      </c>
      <c r="L254" t="s">
        <v>459</v>
      </c>
      <c r="M254">
        <v>24.7</v>
      </c>
      <c r="N254">
        <v>24.7</v>
      </c>
      <c r="O254">
        <v>12.1875</v>
      </c>
      <c r="P254">
        <v>2.2511284985266182</v>
      </c>
      <c r="Q254">
        <v>2.2511284985266182</v>
      </c>
      <c r="R254">
        <v>1.1107541933519498</v>
      </c>
      <c r="S254">
        <v>0</v>
      </c>
      <c r="T254">
        <v>0</v>
      </c>
      <c r="U254">
        <v>1.0011284985266182</v>
      </c>
      <c r="V254">
        <v>0</v>
      </c>
      <c r="W254">
        <v>0</v>
      </c>
      <c r="X254">
        <v>0</v>
      </c>
      <c r="Y254">
        <v>0.1107541933519498</v>
      </c>
      <c r="Z254">
        <v>0</v>
      </c>
      <c r="AA254">
        <v>0.1392458066480502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0.44422164290244115</v>
      </c>
      <c r="AN254">
        <v>0.44422164290244115</v>
      </c>
      <c r="AO254">
        <v>0.49342105263157898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0.50657894736842102</v>
      </c>
      <c r="BA254">
        <v>0</v>
      </c>
      <c r="BB254">
        <v>0</v>
      </c>
      <c r="BC254">
        <v>0</v>
      </c>
      <c r="BD254">
        <v>0.44422164290244115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2.0266666666666664</v>
      </c>
      <c r="BK254">
        <v>2.0266666666666664</v>
      </c>
      <c r="BL254">
        <v>0.90028919628228077</v>
      </c>
      <c r="CC254">
        <v>0</v>
      </c>
      <c r="CD254">
        <v>0</v>
      </c>
      <c r="CE254">
        <v>0</v>
      </c>
    </row>
    <row r="255" spans="1:84" x14ac:dyDescent="0.25">
      <c r="A255" t="s">
        <v>128</v>
      </c>
      <c r="B255" t="s">
        <v>291</v>
      </c>
      <c r="C255" s="14" t="s">
        <v>72</v>
      </c>
      <c r="D255" s="12">
        <v>46235</v>
      </c>
      <c r="E255" s="14" t="s">
        <v>133</v>
      </c>
      <c r="F255" s="14" t="s">
        <v>133</v>
      </c>
      <c r="G255" s="14" t="s">
        <v>133</v>
      </c>
      <c r="H255" s="14" t="s">
        <v>75</v>
      </c>
      <c r="I255">
        <v>20</v>
      </c>
      <c r="J255">
        <v>10.972274579690296</v>
      </c>
      <c r="K255">
        <v>46235</v>
      </c>
      <c r="L255" t="s">
        <v>458</v>
      </c>
      <c r="M255">
        <v>24.7</v>
      </c>
      <c r="N255">
        <v>24.7</v>
      </c>
      <c r="O255">
        <v>11.308823529411764</v>
      </c>
      <c r="P255">
        <v>2.2511284985266182</v>
      </c>
      <c r="Q255">
        <v>2.2511284985266182</v>
      </c>
      <c r="R255">
        <v>1.0306726693063644</v>
      </c>
      <c r="S255">
        <v>0</v>
      </c>
      <c r="T255">
        <v>0</v>
      </c>
      <c r="U255">
        <v>1.0011284985266182</v>
      </c>
      <c r="V255">
        <v>0</v>
      </c>
      <c r="W255">
        <v>0</v>
      </c>
      <c r="X255">
        <v>0</v>
      </c>
      <c r="Y255">
        <v>3.0672669306364364E-2</v>
      </c>
      <c r="Z255">
        <v>0</v>
      </c>
      <c r="AA255">
        <v>0.21932733069363564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0.44422164290244115</v>
      </c>
      <c r="AN255">
        <v>0.44422164290244115</v>
      </c>
      <c r="AO255">
        <v>0.45784710645391763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0.54215289354608243</v>
      </c>
      <c r="BA255">
        <v>0</v>
      </c>
      <c r="BB255">
        <v>0</v>
      </c>
      <c r="BC255">
        <v>0</v>
      </c>
      <c r="BD255">
        <v>0.44422164290244115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2.1841352405721715</v>
      </c>
      <c r="BK255">
        <v>2.1841352405721715</v>
      </c>
      <c r="BL255">
        <v>0.97024014488808863</v>
      </c>
      <c r="CC255">
        <v>0</v>
      </c>
      <c r="CD255">
        <v>0</v>
      </c>
      <c r="CE255">
        <v>0</v>
      </c>
    </row>
    <row r="256" spans="1:84" x14ac:dyDescent="0.25">
      <c r="A256" t="s">
        <v>128</v>
      </c>
      <c r="B256" t="s">
        <v>291</v>
      </c>
      <c r="C256" s="14" t="s">
        <v>109</v>
      </c>
      <c r="D256" s="12">
        <v>46241</v>
      </c>
      <c r="E256" s="14" t="s">
        <v>133</v>
      </c>
      <c r="F256" s="14" t="s">
        <v>133</v>
      </c>
      <c r="G256" s="14" t="s">
        <v>133</v>
      </c>
      <c r="H256" s="14"/>
      <c r="J256">
        <v>26.220922841721425</v>
      </c>
      <c r="M256">
        <v>66.5</v>
      </c>
      <c r="N256">
        <v>66.5</v>
      </c>
      <c r="O256">
        <v>31.875</v>
      </c>
      <c r="S256">
        <v>6.7236008691244534E-2</v>
      </c>
      <c r="T256">
        <v>0</v>
      </c>
      <c r="U256">
        <v>1.3618954310197158</v>
      </c>
      <c r="V256">
        <v>0</v>
      </c>
      <c r="W256">
        <v>1.254855365641948E-2</v>
      </c>
      <c r="X256">
        <v>0</v>
      </c>
      <c r="Y256">
        <v>0.13584770934653023</v>
      </c>
      <c r="Z256">
        <v>0</v>
      </c>
      <c r="AA256">
        <v>2.5850927707966841E-2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84" x14ac:dyDescent="0.25">
      <c r="A257" t="s">
        <v>128</v>
      </c>
      <c r="B257" t="s">
        <v>291</v>
      </c>
      <c r="C257" s="14" t="s">
        <v>72</v>
      </c>
      <c r="D257" s="12">
        <v>46235</v>
      </c>
      <c r="E257" s="14" t="s">
        <v>133</v>
      </c>
      <c r="F257" s="14" t="s">
        <v>133</v>
      </c>
      <c r="G257" s="14" t="s">
        <v>133</v>
      </c>
      <c r="H257" s="14" t="s">
        <v>73</v>
      </c>
      <c r="I257">
        <v>20</v>
      </c>
      <c r="J257">
        <v>11.028542654457937</v>
      </c>
      <c r="K257">
        <v>46235</v>
      </c>
      <c r="L257" t="s">
        <v>456</v>
      </c>
      <c r="M257">
        <v>5.6999999999999993</v>
      </c>
      <c r="N257">
        <v>5.6999999999999993</v>
      </c>
      <c r="O257">
        <v>12.21126575630252</v>
      </c>
      <c r="P257">
        <v>0.51684072670254</v>
      </c>
      <c r="Q257">
        <v>0.51684072670254</v>
      </c>
      <c r="R257">
        <v>1.1072420118324977</v>
      </c>
      <c r="S257">
        <v>0.10724201183249771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0.48315927329746</v>
      </c>
      <c r="AC257">
        <v>0</v>
      </c>
      <c r="AD257">
        <v>0</v>
      </c>
      <c r="AE257">
        <v>0</v>
      </c>
      <c r="AF257">
        <v>0</v>
      </c>
      <c r="AG257">
        <v>0.51684072670254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1.9348320446417435</v>
      </c>
      <c r="AN257">
        <v>1.9348320446417435</v>
      </c>
      <c r="AO257">
        <v>2.1423273256671092</v>
      </c>
      <c r="BF257">
        <v>0</v>
      </c>
      <c r="BG257">
        <v>0</v>
      </c>
      <c r="BH257">
        <v>0</v>
      </c>
      <c r="BJ257">
        <v>0.46678207761206864</v>
      </c>
      <c r="BK257">
        <v>0.46678207761206864</v>
      </c>
      <c r="BL257">
        <v>0.90314492162827986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9.6855078371720138E-2</v>
      </c>
      <c r="BX257">
        <v>0</v>
      </c>
      <c r="BY257">
        <v>0</v>
      </c>
      <c r="BZ257">
        <v>0</v>
      </c>
      <c r="CA257">
        <v>0.46678207761206864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x14ac:dyDescent="0.25">
      <c r="A258" t="s">
        <v>128</v>
      </c>
      <c r="B258" t="s">
        <v>291</v>
      </c>
      <c r="C258" s="14" t="s">
        <v>117</v>
      </c>
      <c r="D258" s="12">
        <v>46224</v>
      </c>
      <c r="E258" s="14"/>
      <c r="F258" s="14"/>
      <c r="G258" s="14"/>
      <c r="H258" s="14"/>
      <c r="J258">
        <v>45.515177224413193</v>
      </c>
      <c r="M258">
        <v>76</v>
      </c>
      <c r="N258">
        <v>76</v>
      </c>
      <c r="O258">
        <v>48.787969599604537</v>
      </c>
      <c r="S258">
        <v>7.2944187660908544E-2</v>
      </c>
      <c r="T258">
        <v>0</v>
      </c>
      <c r="U258">
        <v>0.71214663698532388</v>
      </c>
      <c r="V258">
        <v>0</v>
      </c>
      <c r="W258">
        <v>1.3610088278328346E-2</v>
      </c>
      <c r="X258">
        <v>0</v>
      </c>
      <c r="Y258">
        <v>3.0517692080421103E-2</v>
      </c>
      <c r="Z258">
        <v>0</v>
      </c>
      <c r="AA258">
        <v>4.7420079739372276E-2</v>
      </c>
      <c r="AB258">
        <v>0.33922125844071532</v>
      </c>
      <c r="AC258">
        <v>4.5166450458893538E-2</v>
      </c>
      <c r="AD258">
        <v>0</v>
      </c>
      <c r="AE258">
        <v>0</v>
      </c>
      <c r="AF258">
        <v>0</v>
      </c>
      <c r="AG258">
        <v>0.61561229110039106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84" x14ac:dyDescent="0.25">
      <c r="A259" t="s">
        <v>128</v>
      </c>
      <c r="B259" t="s">
        <v>291</v>
      </c>
      <c r="C259" s="14" t="s">
        <v>72</v>
      </c>
      <c r="D259" s="12">
        <v>46234</v>
      </c>
      <c r="E259" s="14" t="s">
        <v>133</v>
      </c>
      <c r="F259" s="14" t="s">
        <v>133</v>
      </c>
      <c r="G259" s="14" t="s">
        <v>133</v>
      </c>
      <c r="H259" s="14" t="s">
        <v>75</v>
      </c>
      <c r="I259">
        <v>20</v>
      </c>
      <c r="J259">
        <v>11.028542654457937</v>
      </c>
      <c r="K259">
        <v>46234</v>
      </c>
      <c r="L259" t="s">
        <v>455</v>
      </c>
      <c r="M259">
        <v>8.5499999999999989</v>
      </c>
      <c r="N259">
        <v>8.5499999999999989</v>
      </c>
      <c r="O259">
        <v>12.182247899159664</v>
      </c>
      <c r="P259">
        <v>0.77526109005380994</v>
      </c>
      <c r="Q259">
        <v>0.77526109005380994</v>
      </c>
      <c r="R259">
        <v>1.104610852117925</v>
      </c>
      <c r="S259">
        <v>0.10461085211792498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0.22473890994619006</v>
      </c>
      <c r="AC259">
        <v>0</v>
      </c>
      <c r="AD259">
        <v>0</v>
      </c>
      <c r="AE259">
        <v>0</v>
      </c>
      <c r="AF259">
        <v>0</v>
      </c>
      <c r="AG259">
        <v>0.77526109005380994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1.2898880297611623</v>
      </c>
      <c r="AN259">
        <v>1.2898880297611623</v>
      </c>
      <c r="AO259">
        <v>1.4248243156911891</v>
      </c>
      <c r="AP259">
        <v>0.13493628593002671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0.28988802976116235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0.70184091399008397</v>
      </c>
      <c r="BK259">
        <v>0.70184091399008397</v>
      </c>
      <c r="BL259">
        <v>0.90529619375244275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9.4703806247557254E-2</v>
      </c>
      <c r="BX259">
        <v>0</v>
      </c>
      <c r="BY259">
        <v>0</v>
      </c>
      <c r="BZ259">
        <v>0</v>
      </c>
      <c r="CA259">
        <v>0.70184091399008397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 spans="1:84" x14ac:dyDescent="0.25">
      <c r="A260" t="s">
        <v>128</v>
      </c>
      <c r="B260" t="s">
        <v>291</v>
      </c>
      <c r="C260" s="14" t="s">
        <v>72</v>
      </c>
      <c r="D260" s="12">
        <v>46234</v>
      </c>
      <c r="E260" s="14" t="s">
        <v>133</v>
      </c>
      <c r="F260" s="14" t="s">
        <v>133</v>
      </c>
      <c r="G260" s="14" t="s">
        <v>133</v>
      </c>
      <c r="H260" s="14" t="s">
        <v>73</v>
      </c>
      <c r="I260">
        <v>20</v>
      </c>
      <c r="J260">
        <v>10.972274579690298</v>
      </c>
      <c r="K260">
        <v>46234</v>
      </c>
      <c r="L260" t="s">
        <v>453</v>
      </c>
      <c r="M260">
        <v>4.75</v>
      </c>
      <c r="N260">
        <v>4.75</v>
      </c>
      <c r="O260">
        <v>12.246323529411764</v>
      </c>
      <c r="P260">
        <v>0.43290932663973425</v>
      </c>
      <c r="Q260">
        <v>0.43290932663973425</v>
      </c>
      <c r="R260">
        <v>1.1161152995642065</v>
      </c>
      <c r="S260">
        <v>0.11611529956420652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0.56709067336026575</v>
      </c>
      <c r="AC260">
        <v>0</v>
      </c>
      <c r="AD260">
        <v>0</v>
      </c>
      <c r="AE260">
        <v>0</v>
      </c>
      <c r="AF260">
        <v>0</v>
      </c>
      <c r="AG260">
        <v>0.43290932663973425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2.3099525430926944</v>
      </c>
      <c r="AN260">
        <v>2.3099525430926944</v>
      </c>
      <c r="AO260">
        <v>2.5781733746130029</v>
      </c>
      <c r="BF260">
        <v>0</v>
      </c>
      <c r="BG260">
        <v>0</v>
      </c>
      <c r="BH260">
        <v>0</v>
      </c>
      <c r="BJ260">
        <v>0.38787151005703996</v>
      </c>
      <c r="BK260">
        <v>0.38787151005703996</v>
      </c>
      <c r="BL260">
        <v>0.89596478104946298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0.10403521895053702</v>
      </c>
      <c r="BX260">
        <v>0</v>
      </c>
      <c r="BY260">
        <v>0</v>
      </c>
      <c r="BZ260">
        <v>0</v>
      </c>
      <c r="CA260">
        <v>0.38787151005703996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25">
      <c r="A261" t="s">
        <v>128</v>
      </c>
      <c r="B261" t="s">
        <v>291</v>
      </c>
      <c r="C261" s="14" t="s">
        <v>72</v>
      </c>
      <c r="D261" s="12">
        <v>46233</v>
      </c>
      <c r="E261" s="14" t="s">
        <v>133</v>
      </c>
      <c r="F261" s="14" t="s">
        <v>133</v>
      </c>
      <c r="G261" s="14" t="s">
        <v>133</v>
      </c>
      <c r="H261" s="14" t="s">
        <v>75</v>
      </c>
      <c r="I261">
        <v>20</v>
      </c>
      <c r="J261">
        <v>10.972274579690296</v>
      </c>
      <c r="K261">
        <v>46233</v>
      </c>
      <c r="L261" t="s">
        <v>452</v>
      </c>
      <c r="M261">
        <v>7.6</v>
      </c>
      <c r="N261">
        <v>7.6</v>
      </c>
      <c r="O261">
        <v>12.1875</v>
      </c>
      <c r="P261">
        <v>0.69265492262357486</v>
      </c>
      <c r="Q261">
        <v>0.69265492262357486</v>
      </c>
      <c r="R261">
        <v>1.1107541933519498</v>
      </c>
      <c r="S261">
        <v>0.1107541933519498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0.30734507737642514</v>
      </c>
      <c r="AC261">
        <v>0</v>
      </c>
      <c r="AD261">
        <v>0</v>
      </c>
      <c r="AE261">
        <v>0</v>
      </c>
      <c r="AF261">
        <v>0</v>
      </c>
      <c r="AG261">
        <v>0.69265492262357486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1.4437203394329339</v>
      </c>
      <c r="AN261">
        <v>1.4437203394329339</v>
      </c>
      <c r="AO261">
        <v>1.6036184210526316</v>
      </c>
      <c r="AP261">
        <v>0.15989808161969776</v>
      </c>
      <c r="AQ261">
        <v>0</v>
      </c>
      <c r="AR261">
        <v>0</v>
      </c>
      <c r="AS261">
        <v>0</v>
      </c>
      <c r="AT261">
        <v>0</v>
      </c>
      <c r="AU261">
        <v>5.6279660567066125E-2</v>
      </c>
      <c r="AV261">
        <v>0.44372033943293387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0.62358974358974351</v>
      </c>
      <c r="BK261">
        <v>0.62358974358974351</v>
      </c>
      <c r="BL261">
        <v>0.90028919628228077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9.9710803717719232E-2</v>
      </c>
      <c r="BX261">
        <v>0</v>
      </c>
      <c r="BY261">
        <v>0</v>
      </c>
      <c r="BZ261">
        <v>0</v>
      </c>
      <c r="CA261">
        <v>0.62358974358974351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25">
      <c r="A262" t="s">
        <v>128</v>
      </c>
      <c r="B262" t="s">
        <v>291</v>
      </c>
      <c r="C262" s="14" t="s">
        <v>72</v>
      </c>
      <c r="D262" s="12">
        <v>46233</v>
      </c>
      <c r="E262" s="14" t="s">
        <v>133</v>
      </c>
      <c r="F262" s="14" t="s">
        <v>133</v>
      </c>
      <c r="G262" s="14" t="s">
        <v>133</v>
      </c>
      <c r="H262" s="14" t="s">
        <v>74</v>
      </c>
      <c r="I262">
        <v>20</v>
      </c>
      <c r="J262">
        <v>4.220105607573192</v>
      </c>
      <c r="K262">
        <v>46233</v>
      </c>
      <c r="L262" t="s">
        <v>451</v>
      </c>
      <c r="M262">
        <v>19.95</v>
      </c>
      <c r="N262">
        <v>19.95</v>
      </c>
      <c r="O262">
        <v>4.6874999999999991</v>
      </c>
      <c r="P262">
        <v>4.7273698469058969</v>
      </c>
      <c r="Q262">
        <v>4.7273698469058969</v>
      </c>
      <c r="R262">
        <v>1.1107541933519494</v>
      </c>
      <c r="S262">
        <v>0</v>
      </c>
      <c r="T262">
        <v>0</v>
      </c>
      <c r="U262">
        <v>3.4773698469058969</v>
      </c>
      <c r="V262">
        <v>0</v>
      </c>
      <c r="W262">
        <v>0</v>
      </c>
      <c r="X262">
        <v>0</v>
      </c>
      <c r="Y262">
        <v>0.11075419335194936</v>
      </c>
      <c r="Z262">
        <v>0</v>
      </c>
      <c r="AA262">
        <v>0.13924580664805064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0.21153411566782918</v>
      </c>
      <c r="AN262">
        <v>0.21153411566782918</v>
      </c>
      <c r="AO262">
        <v>0.23496240601503757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0.76503759398496241</v>
      </c>
      <c r="BA262">
        <v>0</v>
      </c>
      <c r="BB262">
        <v>0</v>
      </c>
      <c r="BC262">
        <v>0</v>
      </c>
      <c r="BD262">
        <v>0.21153411566782918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4.2560000000000002</v>
      </c>
      <c r="BK262">
        <v>4.2560000000000002</v>
      </c>
      <c r="BL262">
        <v>0.9002891962822811</v>
      </c>
      <c r="CC262">
        <v>0</v>
      </c>
      <c r="CD262">
        <v>0</v>
      </c>
      <c r="CE262">
        <v>0</v>
      </c>
    </row>
    <row r="263" spans="1:84" x14ac:dyDescent="0.25">
      <c r="A263" t="s">
        <v>128</v>
      </c>
      <c r="B263" t="s">
        <v>291</v>
      </c>
      <c r="C263" s="14" t="s">
        <v>72</v>
      </c>
      <c r="D263" s="12">
        <v>46233</v>
      </c>
      <c r="E263" s="14" t="s">
        <v>133</v>
      </c>
      <c r="F263" s="14" t="s">
        <v>133</v>
      </c>
      <c r="G263" s="14" t="s">
        <v>133</v>
      </c>
      <c r="H263" s="14" t="s">
        <v>73</v>
      </c>
      <c r="I263">
        <v>20</v>
      </c>
      <c r="J263">
        <v>10.887872467538832</v>
      </c>
      <c r="K263">
        <v>46233</v>
      </c>
      <c r="L263" t="s">
        <v>450</v>
      </c>
      <c r="M263">
        <v>7.6</v>
      </c>
      <c r="N263">
        <v>7.6</v>
      </c>
      <c r="O263">
        <v>11.25</v>
      </c>
      <c r="P263">
        <v>0.69802434062840879</v>
      </c>
      <c r="Q263">
        <v>0.69802434062840879</v>
      </c>
      <c r="R263">
        <v>1.0332597147459999</v>
      </c>
      <c r="S263">
        <v>3.3259714745999869E-2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0.30197565937159121</v>
      </c>
      <c r="AC263">
        <v>0</v>
      </c>
      <c r="AD263">
        <v>0</v>
      </c>
      <c r="AE263">
        <v>0</v>
      </c>
      <c r="AF263">
        <v>0</v>
      </c>
      <c r="AG263">
        <v>0.69802434062840879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1.4326147983603728</v>
      </c>
      <c r="AN263">
        <v>1.4326147983603728</v>
      </c>
      <c r="AO263">
        <v>1.4802631578947369</v>
      </c>
      <c r="AP263">
        <v>4.7648359534364193E-2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0.43261479836037275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0.67555555555555558</v>
      </c>
      <c r="BK263">
        <v>0.67555555555555558</v>
      </c>
      <c r="BL263">
        <v>0.96781088600345178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3.2189113996548224E-2</v>
      </c>
      <c r="BX263">
        <v>0</v>
      </c>
      <c r="BY263">
        <v>0</v>
      </c>
      <c r="BZ263">
        <v>0</v>
      </c>
      <c r="CA263">
        <v>0.67555555555555558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 spans="1:84" x14ac:dyDescent="0.25">
      <c r="A264" t="s">
        <v>128</v>
      </c>
      <c r="B264" t="s">
        <v>291</v>
      </c>
      <c r="C264" s="14" t="s">
        <v>72</v>
      </c>
      <c r="D264" s="12">
        <v>46232</v>
      </c>
      <c r="E264" s="14" t="s">
        <v>133</v>
      </c>
      <c r="F264" s="14" t="s">
        <v>133</v>
      </c>
      <c r="G264" s="14" t="s">
        <v>133</v>
      </c>
      <c r="H264" s="14" t="s">
        <v>75</v>
      </c>
      <c r="I264">
        <v>20</v>
      </c>
      <c r="J264">
        <v>10.80347035538737</v>
      </c>
      <c r="K264">
        <v>46232</v>
      </c>
      <c r="L264" t="s">
        <v>449</v>
      </c>
      <c r="M264">
        <v>5.6999999999999993</v>
      </c>
      <c r="N264">
        <v>5.6999999999999993</v>
      </c>
      <c r="O264">
        <v>12.191176470588236</v>
      </c>
      <c r="P264">
        <v>0.52760824184217603</v>
      </c>
      <c r="Q264">
        <v>0.52760824184217603</v>
      </c>
      <c r="R264">
        <v>1.1284500322166253</v>
      </c>
      <c r="S264">
        <v>0.12845003221662532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0.47239175815782397</v>
      </c>
      <c r="AC264">
        <v>0</v>
      </c>
      <c r="AD264">
        <v>0</v>
      </c>
      <c r="AE264">
        <v>0</v>
      </c>
      <c r="AF264">
        <v>0</v>
      </c>
      <c r="AG264">
        <v>0.52760824184217603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1.8953456763837493</v>
      </c>
      <c r="AN264">
        <v>1.8953456763837493</v>
      </c>
      <c r="AO264">
        <v>2.1388028895768838</v>
      </c>
      <c r="BF264">
        <v>0</v>
      </c>
      <c r="BG264">
        <v>0</v>
      </c>
      <c r="BH264">
        <v>0</v>
      </c>
      <c r="BJ264">
        <v>0.4675512665862484</v>
      </c>
      <c r="BK264">
        <v>0.4675512665862484</v>
      </c>
      <c r="BL264">
        <v>0.88617127161199172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0.11382872838800828</v>
      </c>
      <c r="BX264">
        <v>0</v>
      </c>
      <c r="BY264">
        <v>0</v>
      </c>
      <c r="BZ264">
        <v>0</v>
      </c>
      <c r="CA264">
        <v>0.4675512665862484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x14ac:dyDescent="0.25">
      <c r="A265" t="s">
        <v>128</v>
      </c>
      <c r="B265" t="s">
        <v>291</v>
      </c>
      <c r="C265" s="14" t="s">
        <v>116</v>
      </c>
      <c r="D265" s="12"/>
      <c r="E265" s="14"/>
      <c r="F265" s="14"/>
      <c r="G265" s="14"/>
      <c r="H265" s="14"/>
      <c r="J265">
        <v>1198.3032344330186</v>
      </c>
      <c r="M265">
        <v>2185</v>
      </c>
      <c r="N265">
        <v>2185</v>
      </c>
      <c r="O265">
        <v>1353.228417131173</v>
      </c>
      <c r="S265">
        <v>8.0317325823589511E-2</v>
      </c>
      <c r="T265">
        <v>0</v>
      </c>
      <c r="U265">
        <v>0.80766480199997148</v>
      </c>
      <c r="V265">
        <v>0</v>
      </c>
      <c r="W265">
        <v>2.4160578705141562E-2</v>
      </c>
      <c r="X265">
        <v>9.2558876037263788E-4</v>
      </c>
      <c r="Y265">
        <v>5.2347633949716879E-2</v>
      </c>
      <c r="Z265">
        <v>0</v>
      </c>
      <c r="AA265">
        <v>4.7732460035575595E-2</v>
      </c>
      <c r="AB265">
        <v>0.22277120374401846</v>
      </c>
      <c r="AC265">
        <v>2.2001299643038714E-2</v>
      </c>
      <c r="AD265">
        <v>0</v>
      </c>
      <c r="AE265">
        <v>4.7443239865573826E-3</v>
      </c>
      <c r="AF265">
        <v>0</v>
      </c>
      <c r="AG265">
        <v>0.73206195452286893</v>
      </c>
      <c r="AH265">
        <v>7.9278764564922146E-4</v>
      </c>
      <c r="AI265">
        <v>0</v>
      </c>
      <c r="AJ265">
        <v>0</v>
      </c>
      <c r="AK265">
        <v>1.117988840089573E-2</v>
      </c>
      <c r="AL265">
        <v>0</v>
      </c>
    </row>
    <row r="266" spans="1:84" x14ac:dyDescent="0.25">
      <c r="A266" t="s">
        <v>128</v>
      </c>
      <c r="B266" t="s">
        <v>291</v>
      </c>
      <c r="C266" s="14" t="s">
        <v>72</v>
      </c>
      <c r="D266" s="12">
        <v>46232</v>
      </c>
      <c r="E266" s="14" t="s">
        <v>133</v>
      </c>
      <c r="F266" s="14" t="s">
        <v>133</v>
      </c>
      <c r="G266" s="14" t="s">
        <v>133</v>
      </c>
      <c r="H266" s="14" t="s">
        <v>74</v>
      </c>
      <c r="I266">
        <v>20</v>
      </c>
      <c r="J266">
        <v>4.220105607573192</v>
      </c>
      <c r="K266">
        <v>46232</v>
      </c>
      <c r="L266" t="s">
        <v>448</v>
      </c>
      <c r="M266">
        <v>30.4</v>
      </c>
      <c r="N266">
        <v>30.4</v>
      </c>
      <c r="O266">
        <v>4.6874999999999991</v>
      </c>
      <c r="P266">
        <v>7.2036111952851769</v>
      </c>
      <c r="Q266">
        <v>7.2036111952851769</v>
      </c>
      <c r="R266">
        <v>1.1107541933519494</v>
      </c>
      <c r="S266">
        <v>0</v>
      </c>
      <c r="T266">
        <v>0</v>
      </c>
      <c r="U266">
        <v>5.9536111952851769</v>
      </c>
      <c r="V266">
        <v>0</v>
      </c>
      <c r="W266">
        <v>0</v>
      </c>
      <c r="X266">
        <v>0</v>
      </c>
      <c r="Y266">
        <v>0.11075419335194936</v>
      </c>
      <c r="Z266">
        <v>0</v>
      </c>
      <c r="AA266">
        <v>0.13924580664805064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0.13881926340701289</v>
      </c>
      <c r="AN266">
        <v>0.13881926340701289</v>
      </c>
      <c r="AO266">
        <v>0.15419407894736839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0.84580592105263164</v>
      </c>
      <c r="BA266">
        <v>0</v>
      </c>
      <c r="BB266">
        <v>0</v>
      </c>
      <c r="BC266">
        <v>0</v>
      </c>
      <c r="BD266">
        <v>0.13881926340701289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6.4853333333333341</v>
      </c>
      <c r="BK266">
        <v>6.4853333333333341</v>
      </c>
      <c r="BL266">
        <v>0.9002891962822811</v>
      </c>
      <c r="CC266">
        <v>0</v>
      </c>
      <c r="CD266">
        <v>0</v>
      </c>
      <c r="CE266">
        <v>0</v>
      </c>
    </row>
    <row r="267" spans="1:84" x14ac:dyDescent="0.25">
      <c r="A267" t="s">
        <v>128</v>
      </c>
      <c r="B267" t="s">
        <v>291</v>
      </c>
      <c r="C267" s="14" t="s">
        <v>72</v>
      </c>
      <c r="D267" s="12">
        <v>46233</v>
      </c>
      <c r="E267" s="14" t="s">
        <v>134</v>
      </c>
      <c r="F267" s="14" t="s">
        <v>134</v>
      </c>
      <c r="G267" s="14" t="s">
        <v>134</v>
      </c>
      <c r="H267" s="14" t="s">
        <v>74</v>
      </c>
      <c r="I267">
        <v>20</v>
      </c>
      <c r="J267">
        <v>1.2735376146788988</v>
      </c>
      <c r="K267">
        <v>46233</v>
      </c>
      <c r="L267" t="s">
        <v>451</v>
      </c>
      <c r="M267">
        <v>2.8499999999999996</v>
      </c>
      <c r="N267">
        <v>2.8499999999999996</v>
      </c>
      <c r="O267">
        <v>2.8235294117647056</v>
      </c>
      <c r="P267">
        <v>2.2378608744262176</v>
      </c>
      <c r="Q267">
        <v>2.2378608744262176</v>
      </c>
      <c r="R267">
        <v>2.2170757889052308</v>
      </c>
      <c r="S267">
        <v>0</v>
      </c>
      <c r="T267">
        <v>0</v>
      </c>
      <c r="U267">
        <v>2.078508552098679E-2</v>
      </c>
      <c r="V267">
        <v>0</v>
      </c>
      <c r="W267">
        <v>0.96707578890523083</v>
      </c>
      <c r="X267">
        <v>0</v>
      </c>
      <c r="Y267">
        <v>0.25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0.44685530339610491</v>
      </c>
      <c r="AN267">
        <v>0.44685530339610491</v>
      </c>
      <c r="AO267">
        <v>0.99071207430340558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9.2879256965944235E-3</v>
      </c>
      <c r="BA267">
        <v>0</v>
      </c>
      <c r="BB267">
        <v>0</v>
      </c>
      <c r="BC267">
        <v>0</v>
      </c>
      <c r="BD267">
        <v>0.44685530339610491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1.0093749999999999</v>
      </c>
      <c r="BK267">
        <v>1.0093749999999999</v>
      </c>
      <c r="BL267">
        <v>0.45104457186544339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9.3749999999999112E-3</v>
      </c>
      <c r="BV267">
        <v>0</v>
      </c>
      <c r="BW267">
        <v>0</v>
      </c>
      <c r="BX267">
        <v>0</v>
      </c>
      <c r="BY267">
        <v>0.54895542813455656</v>
      </c>
      <c r="BZ267">
        <v>0</v>
      </c>
      <c r="CA267">
        <v>0.45104457186544339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84" x14ac:dyDescent="0.25">
      <c r="A268" t="s">
        <v>128</v>
      </c>
      <c r="B268" t="s">
        <v>291</v>
      </c>
      <c r="C268" s="14" t="s">
        <v>72</v>
      </c>
      <c r="D268" s="12">
        <v>46232</v>
      </c>
      <c r="E268" s="14" t="s">
        <v>133</v>
      </c>
      <c r="F268" s="14" t="s">
        <v>133</v>
      </c>
      <c r="G268" s="14" t="s">
        <v>133</v>
      </c>
      <c r="H268" s="14" t="s">
        <v>73</v>
      </c>
      <c r="I268">
        <v>20</v>
      </c>
      <c r="J268">
        <v>12.57591471056811</v>
      </c>
      <c r="K268">
        <v>46232</v>
      </c>
      <c r="L268" t="s">
        <v>447</v>
      </c>
      <c r="M268">
        <v>6.6499999999999995</v>
      </c>
      <c r="N268">
        <v>6.6499999999999995</v>
      </c>
      <c r="O268">
        <v>12.246323529411764</v>
      </c>
      <c r="P268">
        <v>0.52878857347940689</v>
      </c>
      <c r="Q268">
        <v>0.52878857347940689</v>
      </c>
      <c r="R268">
        <v>0.973791872102999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0.44500329862359211</v>
      </c>
      <c r="AC268">
        <v>2.6208127897000999E-2</v>
      </c>
      <c r="AD268">
        <v>0</v>
      </c>
      <c r="AE268">
        <v>0</v>
      </c>
      <c r="AF268">
        <v>0</v>
      </c>
      <c r="AG268">
        <v>0.52878857347940689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1.8911149940703926</v>
      </c>
      <c r="AN268">
        <v>1.8911149940703926</v>
      </c>
      <c r="AO268">
        <v>1.8415524104378596</v>
      </c>
      <c r="BF268">
        <v>0</v>
      </c>
      <c r="BG268">
        <v>0</v>
      </c>
      <c r="BH268">
        <v>0</v>
      </c>
      <c r="BJ268">
        <v>0.54302011407985584</v>
      </c>
      <c r="BK268">
        <v>0.54302011407985584</v>
      </c>
      <c r="BL268">
        <v>1.0269134798182307</v>
      </c>
      <c r="BM268">
        <v>2.6913479818230668E-2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0.47121142652059311</v>
      </c>
      <c r="BW268">
        <v>0</v>
      </c>
      <c r="BX268">
        <v>0</v>
      </c>
      <c r="BY268">
        <v>0</v>
      </c>
      <c r="BZ268">
        <v>0</v>
      </c>
      <c r="CA268">
        <v>0.54302011407985584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25">
      <c r="A269" t="s">
        <v>128</v>
      </c>
      <c r="B269" t="s">
        <v>291</v>
      </c>
      <c r="C269" s="14" t="s">
        <v>72</v>
      </c>
      <c r="D269" s="12">
        <v>46234</v>
      </c>
      <c r="E269" s="14" t="s">
        <v>133</v>
      </c>
      <c r="F269" s="14" t="s">
        <v>133</v>
      </c>
      <c r="G269" s="14" t="s">
        <v>133</v>
      </c>
      <c r="H269" s="14" t="s">
        <v>74</v>
      </c>
      <c r="I269">
        <v>20</v>
      </c>
      <c r="J269">
        <v>4.220105607573192</v>
      </c>
      <c r="K269">
        <v>46234</v>
      </c>
      <c r="L269" t="s">
        <v>454</v>
      </c>
      <c r="M269">
        <v>19.95</v>
      </c>
      <c r="N269">
        <v>19.95</v>
      </c>
      <c r="O269">
        <v>5.6160714285714279</v>
      </c>
      <c r="P269">
        <v>4.7273698469058969</v>
      </c>
      <c r="Q269">
        <v>4.7273698469058969</v>
      </c>
      <c r="R269">
        <v>1.330789309749288</v>
      </c>
      <c r="S269">
        <v>0</v>
      </c>
      <c r="T269">
        <v>0</v>
      </c>
      <c r="U269">
        <v>3.3965805371566091</v>
      </c>
      <c r="V269">
        <v>0</v>
      </c>
      <c r="W269">
        <v>8.0789309749287996E-2</v>
      </c>
      <c r="X269">
        <v>0</v>
      </c>
      <c r="Y269">
        <v>0.25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0.21153411566782918</v>
      </c>
      <c r="AN269">
        <v>0.21153411566782918</v>
      </c>
      <c r="AO269">
        <v>0.28150733977801645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0.71849266022198355</v>
      </c>
      <c r="BA269">
        <v>0</v>
      </c>
      <c r="BB269">
        <v>0</v>
      </c>
      <c r="BC269">
        <v>0</v>
      </c>
      <c r="BD269">
        <v>0.21153411566782918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3.5523052464228937</v>
      </c>
      <c r="BK269">
        <v>3.5523052464228937</v>
      </c>
      <c r="BL269">
        <v>0.75143374888425685</v>
      </c>
      <c r="CC269">
        <v>0</v>
      </c>
      <c r="CD269">
        <v>0</v>
      </c>
      <c r="CE269">
        <v>0</v>
      </c>
    </row>
    <row r="270" spans="1:84" x14ac:dyDescent="0.25">
      <c r="A270" t="s">
        <v>128</v>
      </c>
      <c r="B270" t="s">
        <v>291</v>
      </c>
      <c r="C270" s="14" t="s">
        <v>72</v>
      </c>
      <c r="D270" s="12">
        <v>46226</v>
      </c>
      <c r="E270" s="14" t="s">
        <v>134</v>
      </c>
      <c r="F270" s="14" t="s">
        <v>134</v>
      </c>
      <c r="G270" s="14" t="s">
        <v>134</v>
      </c>
      <c r="H270" s="14" t="s">
        <v>75</v>
      </c>
      <c r="I270">
        <v>20</v>
      </c>
      <c r="J270">
        <v>3.5115926875337284</v>
      </c>
      <c r="K270">
        <v>46226</v>
      </c>
      <c r="L270" t="s">
        <v>434</v>
      </c>
      <c r="M270">
        <v>1.9</v>
      </c>
      <c r="N270">
        <v>1.9</v>
      </c>
      <c r="O270">
        <v>4.1584410854124911</v>
      </c>
      <c r="P270">
        <v>0.54106502919460553</v>
      </c>
      <c r="Q270">
        <v>0.54106502919460553</v>
      </c>
      <c r="R270">
        <v>1.1842037090961877</v>
      </c>
      <c r="S270">
        <v>0.18420370909618766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0.45893497080539447</v>
      </c>
      <c r="AC270">
        <v>0</v>
      </c>
      <c r="AD270">
        <v>0</v>
      </c>
      <c r="AE270">
        <v>0</v>
      </c>
      <c r="AF270">
        <v>0</v>
      </c>
      <c r="AG270">
        <v>0.54106502919460553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1.8482066776493309</v>
      </c>
      <c r="AN270">
        <v>1.8482066776493309</v>
      </c>
      <c r="AO270">
        <v>2.1886532028486796</v>
      </c>
      <c r="BF270">
        <v>0</v>
      </c>
      <c r="BG270">
        <v>0</v>
      </c>
      <c r="BH270">
        <v>0</v>
      </c>
      <c r="BJ270">
        <v>0.45690198826311662</v>
      </c>
      <c r="BK270">
        <v>0.45690198826311662</v>
      </c>
      <c r="BL270">
        <v>0.84444930573914834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0.15555069426085166</v>
      </c>
      <c r="BX270">
        <v>0</v>
      </c>
      <c r="BY270">
        <v>0</v>
      </c>
      <c r="BZ270">
        <v>0</v>
      </c>
      <c r="CA270">
        <v>0.45690198826311662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 spans="1:84" x14ac:dyDescent="0.25">
      <c r="A271" t="s">
        <v>128</v>
      </c>
      <c r="B271" t="s">
        <v>291</v>
      </c>
      <c r="C271" s="14" t="s">
        <v>117</v>
      </c>
      <c r="D271" s="12">
        <v>46233</v>
      </c>
      <c r="E271" s="14"/>
      <c r="F271" s="14"/>
      <c r="G271" s="14"/>
      <c r="H271" s="14"/>
      <c r="J271">
        <v>43.249410850616073</v>
      </c>
      <c r="M271">
        <v>49.400000000000006</v>
      </c>
      <c r="N271">
        <v>49.400000000000006</v>
      </c>
      <c r="O271">
        <v>49.093858131487877</v>
      </c>
      <c r="S271">
        <v>0.11253383982976858</v>
      </c>
      <c r="T271">
        <v>0</v>
      </c>
      <c r="U271">
        <v>0.33991997323495071</v>
      </c>
      <c r="V271">
        <v>0</v>
      </c>
      <c r="W271">
        <v>2.8476859434457203E-2</v>
      </c>
      <c r="X271">
        <v>0</v>
      </c>
      <c r="Y271">
        <v>1.8168543354512273E-2</v>
      </c>
      <c r="Z271">
        <v>0</v>
      </c>
      <c r="AA271">
        <v>1.3587052353063912E-2</v>
      </c>
      <c r="AB271">
        <v>0.29979151603040616</v>
      </c>
      <c r="AC271">
        <v>2.4045672798363133E-2</v>
      </c>
      <c r="AD271">
        <v>0</v>
      </c>
      <c r="AE271">
        <v>0</v>
      </c>
      <c r="AF271">
        <v>0</v>
      </c>
      <c r="AG271">
        <v>0.67616281117123056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84" x14ac:dyDescent="0.25">
      <c r="A272" t="s">
        <v>128</v>
      </c>
      <c r="B272" t="s">
        <v>291</v>
      </c>
      <c r="C272" s="14" t="s">
        <v>72</v>
      </c>
      <c r="D272" s="12">
        <v>46228</v>
      </c>
      <c r="E272" s="14" t="s">
        <v>133</v>
      </c>
      <c r="F272" s="14" t="s">
        <v>133</v>
      </c>
      <c r="G272" s="14" t="s">
        <v>133</v>
      </c>
      <c r="H272" s="14" t="s">
        <v>75</v>
      </c>
      <c r="I272">
        <v>20</v>
      </c>
      <c r="J272">
        <v>10.972274579690296</v>
      </c>
      <c r="K272">
        <v>46228</v>
      </c>
      <c r="L272" t="s">
        <v>437</v>
      </c>
      <c r="M272">
        <v>13.3</v>
      </c>
      <c r="N272">
        <v>13.3</v>
      </c>
      <c r="O272">
        <v>12.304917279411764</v>
      </c>
      <c r="P272">
        <v>1.212146114591256</v>
      </c>
      <c r="Q272">
        <v>1.212146114591256</v>
      </c>
      <c r="R272">
        <v>1.1214554639553218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0.12145546395532181</v>
      </c>
      <c r="Z272">
        <v>0</v>
      </c>
      <c r="AA272">
        <v>9.0690650635934178E-2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0.82498305110453363</v>
      </c>
      <c r="AN272">
        <v>0.82498305110453363</v>
      </c>
      <c r="AO272">
        <v>0.92518175033171168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7.4818249668288317E-2</v>
      </c>
      <c r="BA272">
        <v>0</v>
      </c>
      <c r="BB272">
        <v>0</v>
      </c>
      <c r="BC272">
        <v>0</v>
      </c>
      <c r="BD272">
        <v>0.82498305110453363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1.0808687045993539</v>
      </c>
      <c r="BK272">
        <v>1.0808687045993539</v>
      </c>
      <c r="BL272">
        <v>0.89169836176377981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8.0868704599353913E-2</v>
      </c>
      <c r="BV272">
        <v>0</v>
      </c>
      <c r="BW272">
        <v>0</v>
      </c>
      <c r="BX272">
        <v>0</v>
      </c>
      <c r="BY272">
        <v>0.10830163823622019</v>
      </c>
      <c r="BZ272">
        <v>0</v>
      </c>
      <c r="CA272">
        <v>0.89169836176377981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x14ac:dyDescent="0.25">
      <c r="A273" t="s">
        <v>128</v>
      </c>
      <c r="B273" t="s">
        <v>291</v>
      </c>
      <c r="C273" s="14" t="s">
        <v>117</v>
      </c>
      <c r="D273" s="12">
        <v>46243</v>
      </c>
      <c r="E273" s="14"/>
      <c r="F273" s="14"/>
      <c r="G273" s="14"/>
      <c r="H273" s="14"/>
      <c r="J273">
        <v>41.939193745979424</v>
      </c>
      <c r="M273">
        <v>108.3</v>
      </c>
      <c r="N273">
        <v>108.3</v>
      </c>
      <c r="O273">
        <v>50.947578755767005</v>
      </c>
      <c r="S273">
        <v>2.5499571037116427E-2</v>
      </c>
      <c r="T273">
        <v>0</v>
      </c>
      <c r="U273">
        <v>1.2259755468283202</v>
      </c>
      <c r="V273">
        <v>0</v>
      </c>
      <c r="W273">
        <v>4.6377424904609131E-2</v>
      </c>
      <c r="X273">
        <v>1.3925017237578075E-2</v>
      </c>
      <c r="Y273">
        <v>0.14291933668093457</v>
      </c>
      <c r="Z273">
        <v>0</v>
      </c>
      <c r="AA273">
        <v>7.1689110464822403E-2</v>
      </c>
      <c r="AB273">
        <v>1.7910615775753525E-2</v>
      </c>
      <c r="AC273">
        <v>0</v>
      </c>
      <c r="AD273">
        <v>0</v>
      </c>
      <c r="AE273">
        <v>0</v>
      </c>
      <c r="AF273">
        <v>0</v>
      </c>
      <c r="AG273">
        <v>0.89846347529721726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84" x14ac:dyDescent="0.25">
      <c r="A274" t="s">
        <v>128</v>
      </c>
      <c r="B274" t="s">
        <v>291</v>
      </c>
      <c r="C274" s="14" t="s">
        <v>72</v>
      </c>
      <c r="D274" s="12">
        <v>46229</v>
      </c>
      <c r="E274" s="14" t="s">
        <v>134</v>
      </c>
      <c r="F274" s="14" t="s">
        <v>134</v>
      </c>
      <c r="G274" s="14" t="s">
        <v>134</v>
      </c>
      <c r="H274" s="14" t="s">
        <v>73</v>
      </c>
      <c r="I274">
        <v>20</v>
      </c>
      <c r="J274">
        <v>3.507203196674312</v>
      </c>
      <c r="K274">
        <v>46229</v>
      </c>
      <c r="L274" t="s">
        <v>438</v>
      </c>
      <c r="M274">
        <v>1.9</v>
      </c>
      <c r="N274">
        <v>1.9</v>
      </c>
      <c r="O274">
        <v>4.705882352941174</v>
      </c>
      <c r="P274">
        <v>0.541742206953297</v>
      </c>
      <c r="Q274">
        <v>0.541742206953297</v>
      </c>
      <c r="R274">
        <v>1.3417763639710136</v>
      </c>
      <c r="S274">
        <v>0.34177636397101363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0.458257793046703</v>
      </c>
      <c r="AC274">
        <v>0</v>
      </c>
      <c r="AD274">
        <v>0</v>
      </c>
      <c r="AE274">
        <v>0</v>
      </c>
      <c r="AF274">
        <v>0</v>
      </c>
      <c r="AG274">
        <v>0.541742206953297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1.8458964193022696</v>
      </c>
      <c r="AN274">
        <v>1.8458964193022696</v>
      </c>
      <c r="AO274">
        <v>2.4767801857585128</v>
      </c>
      <c r="BF274">
        <v>0</v>
      </c>
      <c r="BG274">
        <v>0</v>
      </c>
      <c r="BH274">
        <v>0</v>
      </c>
      <c r="BJ274">
        <v>0.40375000000000022</v>
      </c>
      <c r="BK274">
        <v>0.40375000000000022</v>
      </c>
      <c r="BL274">
        <v>0.74528067929329167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0.25471932070670833</v>
      </c>
      <c r="BX274">
        <v>0</v>
      </c>
      <c r="BY274">
        <v>0</v>
      </c>
      <c r="BZ274">
        <v>0</v>
      </c>
      <c r="CA274">
        <v>0.40375000000000022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 spans="1:84" x14ac:dyDescent="0.25">
      <c r="A275" t="s">
        <v>128</v>
      </c>
      <c r="B275" t="s">
        <v>291</v>
      </c>
      <c r="C275" s="14" t="s">
        <v>72</v>
      </c>
      <c r="D275" s="12">
        <v>46225</v>
      </c>
      <c r="E275" s="14" t="s">
        <v>133</v>
      </c>
      <c r="F275" s="14" t="s">
        <v>133</v>
      </c>
      <c r="G275" s="14" t="s">
        <v>133</v>
      </c>
      <c r="H275" s="14" t="s">
        <v>73</v>
      </c>
      <c r="I275">
        <v>20</v>
      </c>
      <c r="J275">
        <v>12.57591471056811</v>
      </c>
      <c r="K275">
        <v>46225</v>
      </c>
      <c r="L275" t="s">
        <v>429</v>
      </c>
      <c r="M275">
        <v>4.75</v>
      </c>
      <c r="N275">
        <v>4.75</v>
      </c>
      <c r="O275">
        <v>12.225490196078432</v>
      </c>
      <c r="P275">
        <v>0.3777061239138621</v>
      </c>
      <c r="Q275">
        <v>0.3777061239138621</v>
      </c>
      <c r="R275">
        <v>0.97213526629635927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0.59442914238249722</v>
      </c>
      <c r="AC275">
        <v>2.7864733703640732E-2</v>
      </c>
      <c r="AD275">
        <v>0</v>
      </c>
      <c r="AE275">
        <v>0</v>
      </c>
      <c r="AF275">
        <v>0</v>
      </c>
      <c r="AG275">
        <v>0.3777061239138621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2.6475609916985494</v>
      </c>
      <c r="AN275">
        <v>2.6475609916985494</v>
      </c>
      <c r="AO275">
        <v>2.5737874097007225</v>
      </c>
      <c r="BF275">
        <v>0</v>
      </c>
      <c r="BG275">
        <v>0</v>
      </c>
      <c r="BH275">
        <v>0</v>
      </c>
      <c r="BJ275">
        <v>0.38853247794707296</v>
      </c>
      <c r="BK275">
        <v>0.38853247794707296</v>
      </c>
      <c r="BL275">
        <v>1.0286634326206472</v>
      </c>
      <c r="BM275">
        <v>2.8663432620647189E-2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0.62229387608613784</v>
      </c>
      <c r="BW275">
        <v>0</v>
      </c>
      <c r="BX275">
        <v>0</v>
      </c>
      <c r="BY275">
        <v>0</v>
      </c>
      <c r="BZ275">
        <v>0</v>
      </c>
      <c r="CA275">
        <v>0.38853247794707296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84" x14ac:dyDescent="0.25">
      <c r="A276" t="s">
        <v>128</v>
      </c>
      <c r="B276" t="s">
        <v>291</v>
      </c>
      <c r="C276" s="14" t="s">
        <v>117</v>
      </c>
      <c r="D276" s="12">
        <v>46244</v>
      </c>
      <c r="E276" s="14"/>
      <c r="F276" s="14"/>
      <c r="G276" s="14"/>
      <c r="H276" s="14"/>
      <c r="J276">
        <v>41.995461820747067</v>
      </c>
      <c r="M276">
        <v>112.1</v>
      </c>
      <c r="N276">
        <v>112.1</v>
      </c>
      <c r="O276">
        <v>49.983131487889267</v>
      </c>
      <c r="S276">
        <v>6.2224356459444075E-2</v>
      </c>
      <c r="T276">
        <v>0</v>
      </c>
      <c r="U276">
        <v>1.4409054952149085</v>
      </c>
      <c r="V276">
        <v>0</v>
      </c>
      <c r="W276">
        <v>2.0429996358176692E-2</v>
      </c>
      <c r="X276">
        <v>0</v>
      </c>
      <c r="Y276">
        <v>0.10754881011547615</v>
      </c>
      <c r="Z276">
        <v>0</v>
      </c>
      <c r="AA276">
        <v>0.13077734505320246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0.96967439910257791</v>
      </c>
      <c r="AH276">
        <v>0</v>
      </c>
      <c r="AI276">
        <v>0</v>
      </c>
      <c r="AJ276">
        <v>0</v>
      </c>
      <c r="AK276">
        <v>3.0325600897422006E-2</v>
      </c>
      <c r="AL276">
        <v>0</v>
      </c>
    </row>
    <row r="277" spans="1:84" x14ac:dyDescent="0.25">
      <c r="A277" t="s">
        <v>128</v>
      </c>
      <c r="B277" t="s">
        <v>291</v>
      </c>
      <c r="C277" s="14" t="s">
        <v>72</v>
      </c>
      <c r="D277" s="12">
        <v>46231</v>
      </c>
      <c r="E277" s="14" t="s">
        <v>134</v>
      </c>
      <c r="F277" s="14" t="s">
        <v>134</v>
      </c>
      <c r="G277" s="14" t="s">
        <v>134</v>
      </c>
      <c r="H277" s="14" t="s">
        <v>73</v>
      </c>
      <c r="I277">
        <v>20</v>
      </c>
      <c r="J277">
        <v>7.014406393348624</v>
      </c>
      <c r="K277">
        <v>46231</v>
      </c>
      <c r="L277" t="s">
        <v>444</v>
      </c>
      <c r="M277">
        <v>3.8</v>
      </c>
      <c r="N277">
        <v>3.8</v>
      </c>
      <c r="O277">
        <v>6.5882352941176423</v>
      </c>
      <c r="P277">
        <v>0.541742206953297</v>
      </c>
      <c r="Q277">
        <v>0.541742206953297</v>
      </c>
      <c r="R277">
        <v>0.93924345477970927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0.39750124782641227</v>
      </c>
      <c r="AC277">
        <v>6.0756545220290725E-2</v>
      </c>
      <c r="AD277">
        <v>0</v>
      </c>
      <c r="AE277">
        <v>0</v>
      </c>
      <c r="AF277">
        <v>0</v>
      </c>
      <c r="AG277">
        <v>0.541742206953297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1.8458964193022696</v>
      </c>
      <c r="AN277">
        <v>1.8458964193022696</v>
      </c>
      <c r="AO277">
        <v>1.7337461300309587</v>
      </c>
      <c r="BF277">
        <v>0</v>
      </c>
      <c r="BG277">
        <v>0</v>
      </c>
      <c r="BH277">
        <v>0</v>
      </c>
      <c r="BJ277">
        <v>0.57678571428571468</v>
      </c>
      <c r="BK277">
        <v>0.57678571428571468</v>
      </c>
      <c r="BL277">
        <v>1.0646866847047027</v>
      </c>
      <c r="BM277">
        <v>6.4686684704702735E-2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0.458257793046703</v>
      </c>
      <c r="BW277">
        <v>0</v>
      </c>
      <c r="BX277">
        <v>0</v>
      </c>
      <c r="BY277">
        <v>0</v>
      </c>
      <c r="BZ277">
        <v>0</v>
      </c>
      <c r="CA277">
        <v>0.57678571428571468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 spans="1:84" x14ac:dyDescent="0.25">
      <c r="A278" t="s">
        <v>128</v>
      </c>
      <c r="B278" t="s">
        <v>291</v>
      </c>
      <c r="C278" s="14" t="s">
        <v>117</v>
      </c>
      <c r="D278" s="12">
        <v>46245</v>
      </c>
      <c r="E278" s="14"/>
      <c r="F278" s="14"/>
      <c r="G278" s="14"/>
      <c r="H278" s="14"/>
      <c r="J278">
        <v>45.361994830502269</v>
      </c>
      <c r="M278">
        <v>78.849999999999994</v>
      </c>
      <c r="N278">
        <v>78.849999999999994</v>
      </c>
      <c r="O278">
        <v>50.976211072664348</v>
      </c>
      <c r="S278">
        <v>9.9309890532079129E-2</v>
      </c>
      <c r="T278">
        <v>0</v>
      </c>
      <c r="U278">
        <v>0.70105688027160962</v>
      </c>
      <c r="V278">
        <v>0</v>
      </c>
      <c r="W278">
        <v>2.7150644455078633E-2</v>
      </c>
      <c r="X278">
        <v>0</v>
      </c>
      <c r="Y278">
        <v>1.7322403898519891E-2</v>
      </c>
      <c r="Z278">
        <v>0</v>
      </c>
      <c r="AA278">
        <v>1.2954280596834688E-2</v>
      </c>
      <c r="AB278">
        <v>0.25153847317784273</v>
      </c>
      <c r="AC278">
        <v>2.0018182438349151E-2</v>
      </c>
      <c r="AD278">
        <v>0</v>
      </c>
      <c r="AE278">
        <v>0</v>
      </c>
      <c r="AF278">
        <v>0</v>
      </c>
      <c r="AG278">
        <v>0.72844334438380809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84" x14ac:dyDescent="0.25">
      <c r="A279" t="s">
        <v>128</v>
      </c>
      <c r="B279" t="s">
        <v>291</v>
      </c>
      <c r="C279" s="14" t="s">
        <v>72</v>
      </c>
      <c r="D279" s="12">
        <v>46224</v>
      </c>
      <c r="E279" s="14" t="s">
        <v>133</v>
      </c>
      <c r="F279" s="14" t="s">
        <v>133</v>
      </c>
      <c r="G279" s="14" t="s">
        <v>133</v>
      </c>
      <c r="H279" s="14" t="s">
        <v>75</v>
      </c>
      <c r="I279">
        <v>20</v>
      </c>
      <c r="J279">
        <v>10.972274579690296</v>
      </c>
      <c r="K279">
        <v>46224</v>
      </c>
      <c r="L279" t="s">
        <v>428</v>
      </c>
      <c r="M279">
        <v>1.9</v>
      </c>
      <c r="N279">
        <v>1.9</v>
      </c>
      <c r="O279">
        <v>13.104166666666664</v>
      </c>
      <c r="P279">
        <v>0.17316373065589372</v>
      </c>
      <c r="Q279">
        <v>0.17316373065589372</v>
      </c>
      <c r="R279">
        <v>1.194298098492951</v>
      </c>
      <c r="S279">
        <v>0.19429809849295099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0.82683626934410626</v>
      </c>
      <c r="AC279">
        <v>0</v>
      </c>
      <c r="AD279">
        <v>0</v>
      </c>
      <c r="AE279">
        <v>0</v>
      </c>
      <c r="AF279">
        <v>0</v>
      </c>
      <c r="AG279">
        <v>0.17316373065589372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5.7748813577317355</v>
      </c>
      <c r="AN279">
        <v>5.7748813577317355</v>
      </c>
      <c r="AO279">
        <v>6.8969298245614024</v>
      </c>
      <c r="BF279">
        <v>0</v>
      </c>
      <c r="BG279">
        <v>0</v>
      </c>
      <c r="BH279">
        <v>0</v>
      </c>
      <c r="BJ279">
        <v>0.14499205087440384</v>
      </c>
      <c r="BK279">
        <v>0.14499205087440384</v>
      </c>
      <c r="BL279">
        <v>0.83731189161388608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0.16268810838611392</v>
      </c>
      <c r="BX279">
        <v>0</v>
      </c>
      <c r="BY279">
        <v>0</v>
      </c>
      <c r="BZ279">
        <v>0</v>
      </c>
      <c r="CA279">
        <v>0.14499205087440384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x14ac:dyDescent="0.25">
      <c r="A280" t="s">
        <v>128</v>
      </c>
      <c r="B280" t="s">
        <v>291</v>
      </c>
      <c r="C280" s="14" t="s">
        <v>72</v>
      </c>
      <c r="D280" s="12">
        <v>46229</v>
      </c>
      <c r="E280" s="14" t="s">
        <v>134</v>
      </c>
      <c r="F280" s="14" t="s">
        <v>134</v>
      </c>
      <c r="G280" s="14" t="s">
        <v>134</v>
      </c>
      <c r="H280" s="14" t="s">
        <v>74</v>
      </c>
      <c r="I280">
        <v>20</v>
      </c>
      <c r="J280">
        <v>1.2735376146788988</v>
      </c>
      <c r="K280">
        <v>46229</v>
      </c>
      <c r="L280" t="s">
        <v>439</v>
      </c>
      <c r="M280">
        <v>7.6</v>
      </c>
      <c r="N280">
        <v>7.6</v>
      </c>
      <c r="O280">
        <v>2.8235294117647056</v>
      </c>
      <c r="P280">
        <v>5.9676289984699133</v>
      </c>
      <c r="Q280">
        <v>5.9676289984699133</v>
      </c>
      <c r="R280">
        <v>2.2170757889052308</v>
      </c>
      <c r="S280">
        <v>0</v>
      </c>
      <c r="T280">
        <v>0</v>
      </c>
      <c r="U280">
        <v>3.7505532095646825</v>
      </c>
      <c r="V280">
        <v>0</v>
      </c>
      <c r="W280">
        <v>0.96707578890523083</v>
      </c>
      <c r="X280">
        <v>0</v>
      </c>
      <c r="Y280">
        <v>0.25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0.16757073877353931</v>
      </c>
      <c r="AN280">
        <v>0.16757073877353931</v>
      </c>
      <c r="AO280">
        <v>0.37151702786377705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0.62848297213622295</v>
      </c>
      <c r="BA280">
        <v>0</v>
      </c>
      <c r="BB280">
        <v>0</v>
      </c>
      <c r="BC280">
        <v>0</v>
      </c>
      <c r="BD280">
        <v>0.16757073877353931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2.6916666666666669</v>
      </c>
      <c r="BK280">
        <v>2.6916666666666669</v>
      </c>
      <c r="BL280">
        <v>0.45104457186544339</v>
      </c>
      <c r="CC280">
        <v>0</v>
      </c>
      <c r="CD280">
        <v>0</v>
      </c>
      <c r="CE280">
        <v>0</v>
      </c>
    </row>
    <row r="281" spans="1:84" x14ac:dyDescent="0.25">
      <c r="A281" t="s">
        <v>128</v>
      </c>
      <c r="B281" t="s">
        <v>291</v>
      </c>
      <c r="C281" s="14" t="s">
        <v>117</v>
      </c>
      <c r="D281" s="12">
        <v>46246</v>
      </c>
      <c r="E281" s="14"/>
      <c r="F281" s="14"/>
      <c r="G281" s="14"/>
      <c r="H281" s="14"/>
      <c r="J281">
        <v>43.719560553941719</v>
      </c>
      <c r="M281">
        <v>81.699999999999989</v>
      </c>
      <c r="N281">
        <v>81.699999999999989</v>
      </c>
      <c r="O281">
        <v>47.114078719723182</v>
      </c>
      <c r="S281">
        <v>8.6535990756925293E-2</v>
      </c>
      <c r="T281">
        <v>0</v>
      </c>
      <c r="U281">
        <v>0.76976783134547089</v>
      </c>
      <c r="V281">
        <v>0</v>
      </c>
      <c r="W281">
        <v>7.5260284648609298E-3</v>
      </c>
      <c r="X281">
        <v>0</v>
      </c>
      <c r="Y281">
        <v>2.4131679013369628E-2</v>
      </c>
      <c r="Z281">
        <v>0</v>
      </c>
      <c r="AA281">
        <v>7.2824246089321556E-3</v>
      </c>
      <c r="AB281">
        <v>0.16778348184504308</v>
      </c>
      <c r="AC281">
        <v>3.2948575396515842E-2</v>
      </c>
      <c r="AD281">
        <v>0</v>
      </c>
      <c r="AE281">
        <v>7.6021153890737858E-3</v>
      </c>
      <c r="AF281">
        <v>0</v>
      </c>
      <c r="AG281">
        <v>0.7916658273693673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84" x14ac:dyDescent="0.25">
      <c r="A282" t="s">
        <v>128</v>
      </c>
      <c r="B282" t="s">
        <v>291</v>
      </c>
      <c r="C282" s="14" t="s">
        <v>72</v>
      </c>
      <c r="D282" s="12">
        <v>46225</v>
      </c>
      <c r="E282" s="14" t="s">
        <v>133</v>
      </c>
      <c r="F282" s="14" t="s">
        <v>133</v>
      </c>
      <c r="G282" s="14" t="s">
        <v>133</v>
      </c>
      <c r="H282" s="14" t="s">
        <v>74</v>
      </c>
      <c r="I282">
        <v>20</v>
      </c>
      <c r="J282">
        <v>4.2201056075731911</v>
      </c>
      <c r="K282">
        <v>46225</v>
      </c>
      <c r="L282" t="s">
        <v>430</v>
      </c>
      <c r="M282">
        <v>18.05</v>
      </c>
      <c r="N282">
        <v>18.05</v>
      </c>
      <c r="O282">
        <v>5.6532738095238084</v>
      </c>
      <c r="P282">
        <v>4.2771441472005751</v>
      </c>
      <c r="Q282">
        <v>4.2771441472005751</v>
      </c>
      <c r="R282">
        <v>1.3396048192203354</v>
      </c>
      <c r="S282">
        <v>0</v>
      </c>
      <c r="T282">
        <v>0</v>
      </c>
      <c r="U282">
        <v>2.9375393279802395</v>
      </c>
      <c r="V282">
        <v>0</v>
      </c>
      <c r="W282">
        <v>8.9604819220335363E-2</v>
      </c>
      <c r="X282">
        <v>0</v>
      </c>
      <c r="Y282">
        <v>0.25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0.23380086468549535</v>
      </c>
      <c r="AN282">
        <v>0.23380086468549535</v>
      </c>
      <c r="AO282">
        <v>0.3132007650705711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0.68679923492942896</v>
      </c>
      <c r="BA282">
        <v>0</v>
      </c>
      <c r="BB282">
        <v>0</v>
      </c>
      <c r="BC282">
        <v>0</v>
      </c>
      <c r="BD282">
        <v>0.23380086468549535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3.1928402211108193</v>
      </c>
      <c r="BK282">
        <v>3.1928402211108193</v>
      </c>
      <c r="BL282">
        <v>0.74648880449833777</v>
      </c>
      <c r="CC282">
        <v>0</v>
      </c>
      <c r="CD282">
        <v>0</v>
      </c>
      <c r="CE282">
        <v>0</v>
      </c>
    </row>
    <row r="283" spans="1:84" x14ac:dyDescent="0.25">
      <c r="A283" t="s">
        <v>128</v>
      </c>
      <c r="B283" t="s">
        <v>291</v>
      </c>
      <c r="C283" s="14" t="s">
        <v>72</v>
      </c>
      <c r="D283" s="12">
        <v>46224</v>
      </c>
      <c r="E283" s="14" t="s">
        <v>133</v>
      </c>
      <c r="F283" s="14" t="s">
        <v>133</v>
      </c>
      <c r="G283" s="14" t="s">
        <v>133</v>
      </c>
      <c r="H283" s="14" t="s">
        <v>74</v>
      </c>
      <c r="I283">
        <v>20</v>
      </c>
      <c r="J283">
        <v>4.220105607573192</v>
      </c>
      <c r="K283">
        <v>46224</v>
      </c>
      <c r="L283" t="s">
        <v>427</v>
      </c>
      <c r="M283">
        <v>28.5</v>
      </c>
      <c r="N283">
        <v>28.5</v>
      </c>
      <c r="O283">
        <v>5.6041666666666661</v>
      </c>
      <c r="P283">
        <v>6.7533854955798533</v>
      </c>
      <c r="Q283">
        <v>6.7533854955798533</v>
      </c>
      <c r="R283">
        <v>1.327968346718553</v>
      </c>
      <c r="S283">
        <v>0</v>
      </c>
      <c r="T283">
        <v>0</v>
      </c>
      <c r="U283">
        <v>5.4254171488613006</v>
      </c>
      <c r="V283">
        <v>0</v>
      </c>
      <c r="W283">
        <v>7.7968346718553017E-2</v>
      </c>
      <c r="X283">
        <v>0</v>
      </c>
      <c r="Y283">
        <v>0.25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0.14807388096748042</v>
      </c>
      <c r="AN283">
        <v>0.14807388096748042</v>
      </c>
      <c r="AO283">
        <v>0.19663742690058478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0.80336257309941517</v>
      </c>
      <c r="BA283">
        <v>0</v>
      </c>
      <c r="BB283">
        <v>0</v>
      </c>
      <c r="BC283">
        <v>0</v>
      </c>
      <c r="BD283">
        <v>0.14807388096748042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5.0855018587360599</v>
      </c>
      <c r="BK283">
        <v>5.0855018587360599</v>
      </c>
      <c r="BL283">
        <v>0.75302999689038375</v>
      </c>
      <c r="CC283">
        <v>0</v>
      </c>
      <c r="CD283">
        <v>0</v>
      </c>
      <c r="CE283">
        <v>0</v>
      </c>
    </row>
    <row r="284" spans="1:84" x14ac:dyDescent="0.25">
      <c r="A284" t="s">
        <v>128</v>
      </c>
      <c r="B284" t="s">
        <v>291</v>
      </c>
      <c r="C284" s="14" t="s">
        <v>117</v>
      </c>
      <c r="D284" s="12">
        <v>46247</v>
      </c>
      <c r="E284" s="14"/>
      <c r="F284" s="14"/>
      <c r="G284" s="14"/>
      <c r="H284" s="14"/>
      <c r="J284">
        <v>43.249410850616073</v>
      </c>
      <c r="M284">
        <v>77.900000000000006</v>
      </c>
      <c r="N284">
        <v>77.900000000000006</v>
      </c>
      <c r="O284">
        <v>46.249049344002309</v>
      </c>
      <c r="S284">
        <v>6.0712323620490172E-2</v>
      </c>
      <c r="T284">
        <v>0</v>
      </c>
      <c r="U284">
        <v>0.85972672768567537</v>
      </c>
      <c r="V284">
        <v>0</v>
      </c>
      <c r="W284">
        <v>6.7152573206372308E-3</v>
      </c>
      <c r="X284">
        <v>0</v>
      </c>
      <c r="Y284">
        <v>4.7736442060573384E-2</v>
      </c>
      <c r="Z284">
        <v>0</v>
      </c>
      <c r="AA284">
        <v>4.6955689968535948E-2</v>
      </c>
      <c r="AB284">
        <v>0.37773364276864618</v>
      </c>
      <c r="AC284">
        <v>4.5807274912183116E-2</v>
      </c>
      <c r="AD284">
        <v>0</v>
      </c>
      <c r="AE284">
        <v>0</v>
      </c>
      <c r="AF284">
        <v>0</v>
      </c>
      <c r="AG284">
        <v>0.57645908231917065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84" x14ac:dyDescent="0.25">
      <c r="A285" t="s">
        <v>128</v>
      </c>
      <c r="B285" t="s">
        <v>291</v>
      </c>
      <c r="C285" s="14" t="s">
        <v>72</v>
      </c>
      <c r="D285" s="12">
        <v>46230</v>
      </c>
      <c r="E285" s="14" t="s">
        <v>134</v>
      </c>
      <c r="F285" s="14" t="s">
        <v>134</v>
      </c>
      <c r="G285" s="14" t="s">
        <v>134</v>
      </c>
      <c r="H285" s="14" t="s">
        <v>75</v>
      </c>
      <c r="I285">
        <v>20</v>
      </c>
      <c r="J285">
        <v>3.3711289800323794</v>
      </c>
      <c r="K285">
        <v>46230</v>
      </c>
      <c r="L285" t="s">
        <v>443</v>
      </c>
      <c r="M285">
        <v>2.8499999999999996</v>
      </c>
      <c r="N285">
        <v>2.8499999999999996</v>
      </c>
      <c r="O285">
        <v>5.7577854671280253</v>
      </c>
      <c r="P285">
        <v>0.84541410811657103</v>
      </c>
      <c r="Q285">
        <v>0.84541410811657103</v>
      </c>
      <c r="R285">
        <v>1.7079694966381032</v>
      </c>
      <c r="S285">
        <v>0.70796949663810316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0.15458589188342897</v>
      </c>
      <c r="AC285">
        <v>0</v>
      </c>
      <c r="AD285">
        <v>0</v>
      </c>
      <c r="AE285">
        <v>0</v>
      </c>
      <c r="AF285">
        <v>0</v>
      </c>
      <c r="AG285">
        <v>0.84541410811657103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1.1828522736955718</v>
      </c>
      <c r="AN285">
        <v>1.1828522736955718</v>
      </c>
      <c r="AO285">
        <v>2.0202756025010618</v>
      </c>
      <c r="AP285">
        <v>0.83742332880548997</v>
      </c>
      <c r="AQ285">
        <v>0</v>
      </c>
      <c r="AR285">
        <v>0</v>
      </c>
      <c r="AS285">
        <v>0</v>
      </c>
      <c r="AT285">
        <v>0</v>
      </c>
      <c r="AU285">
        <v>0.31714772630442822</v>
      </c>
      <c r="AV285">
        <v>0.18285227369557178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0.49498197115384629</v>
      </c>
      <c r="BK285">
        <v>0.49498197115384629</v>
      </c>
      <c r="BL285">
        <v>0.58549055001764305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0.41450944998235695</v>
      </c>
      <c r="BX285">
        <v>0</v>
      </c>
      <c r="BY285">
        <v>0</v>
      </c>
      <c r="BZ285">
        <v>0</v>
      </c>
      <c r="CA285">
        <v>0.49498197115384629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 spans="1:84" x14ac:dyDescent="0.25">
      <c r="A286" t="s">
        <v>128</v>
      </c>
      <c r="B286" t="s">
        <v>291</v>
      </c>
      <c r="C286" s="14" t="s">
        <v>117</v>
      </c>
      <c r="D286" s="12">
        <v>46248</v>
      </c>
      <c r="E286" s="14"/>
      <c r="F286" s="14"/>
      <c r="G286" s="14"/>
      <c r="H286" s="14"/>
      <c r="J286">
        <v>41.072429863762913</v>
      </c>
      <c r="M286">
        <v>90.249999999999986</v>
      </c>
      <c r="N286">
        <v>90.249999999999986</v>
      </c>
      <c r="O286">
        <v>41.523572664359861</v>
      </c>
      <c r="S286">
        <v>4.9648293713995401E-2</v>
      </c>
      <c r="T286">
        <v>0</v>
      </c>
      <c r="U286">
        <v>1.1108953615865753</v>
      </c>
      <c r="V286">
        <v>0</v>
      </c>
      <c r="W286">
        <v>8.0627509475166056E-3</v>
      </c>
      <c r="X286">
        <v>0</v>
      </c>
      <c r="Y286">
        <v>2.1431389294348333E-2</v>
      </c>
      <c r="Z286">
        <v>0</v>
      </c>
      <c r="AA286">
        <v>9.2473103232853238E-2</v>
      </c>
      <c r="AB286">
        <v>0.27100223116257316</v>
      </c>
      <c r="AC286">
        <v>4.208108980120958E-2</v>
      </c>
      <c r="AD286">
        <v>0</v>
      </c>
      <c r="AE286">
        <v>2.6077265489390714E-2</v>
      </c>
      <c r="AF286">
        <v>0</v>
      </c>
      <c r="AG286">
        <v>0.6608394135468264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84" x14ac:dyDescent="0.25">
      <c r="A287" t="s">
        <v>128</v>
      </c>
      <c r="B287" t="s">
        <v>291</v>
      </c>
      <c r="C287" s="14" t="s">
        <v>72</v>
      </c>
      <c r="D287" s="12">
        <v>46229</v>
      </c>
      <c r="E287" s="14" t="s">
        <v>134</v>
      </c>
      <c r="F287" s="14" t="s">
        <v>134</v>
      </c>
      <c r="G287" s="14" t="s">
        <v>134</v>
      </c>
      <c r="H287" s="14" t="s">
        <v>75</v>
      </c>
      <c r="I287">
        <v>20</v>
      </c>
      <c r="J287">
        <v>3.3711289800323794</v>
      </c>
      <c r="K287">
        <v>46229</v>
      </c>
      <c r="L287" t="s">
        <v>440</v>
      </c>
      <c r="M287">
        <v>0.95</v>
      </c>
      <c r="N287">
        <v>0.95</v>
      </c>
      <c r="O287">
        <v>4.9273356401384047</v>
      </c>
      <c r="P287">
        <v>0.28180470270552366</v>
      </c>
      <c r="Q287">
        <v>0.28180470270552366</v>
      </c>
      <c r="R287">
        <v>1.4616277423152995</v>
      </c>
      <c r="S287">
        <v>0.46162774231529946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0.71819529729447629</v>
      </c>
      <c r="AC287">
        <v>0</v>
      </c>
      <c r="AD287">
        <v>0</v>
      </c>
      <c r="AE287">
        <v>0</v>
      </c>
      <c r="AF287">
        <v>0</v>
      </c>
      <c r="AG287">
        <v>0.28180470270552366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3.5485568210867151</v>
      </c>
      <c r="AN287">
        <v>3.5485568210867151</v>
      </c>
      <c r="AO287">
        <v>5.1866690948825314</v>
      </c>
      <c r="BF287">
        <v>0</v>
      </c>
      <c r="BG287">
        <v>0</v>
      </c>
      <c r="BH287">
        <v>0</v>
      </c>
      <c r="BJ287">
        <v>0.19280196629213497</v>
      </c>
      <c r="BK287">
        <v>0.19280196629213497</v>
      </c>
      <c r="BL287">
        <v>0.68416873260488653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0.31583126739511347</v>
      </c>
      <c r="BX287">
        <v>0</v>
      </c>
      <c r="BY287">
        <v>0</v>
      </c>
      <c r="BZ287">
        <v>0</v>
      </c>
      <c r="CA287">
        <v>0.19280196629213497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x14ac:dyDescent="0.25">
      <c r="A288" t="s">
        <v>128</v>
      </c>
      <c r="B288" t="s">
        <v>291</v>
      </c>
      <c r="C288" s="14" t="s">
        <v>72</v>
      </c>
      <c r="D288" s="12">
        <v>46223</v>
      </c>
      <c r="E288" s="14" t="s">
        <v>133</v>
      </c>
      <c r="F288" s="14" t="s">
        <v>133</v>
      </c>
      <c r="G288" s="14" t="s">
        <v>133</v>
      </c>
      <c r="H288" s="14" t="s">
        <v>75</v>
      </c>
      <c r="I288">
        <v>20</v>
      </c>
      <c r="J288">
        <v>10.972274579690296</v>
      </c>
      <c r="K288">
        <v>46223</v>
      </c>
      <c r="L288" t="s">
        <v>425</v>
      </c>
      <c r="M288">
        <v>19.95</v>
      </c>
      <c r="N288">
        <v>19.95</v>
      </c>
      <c r="O288">
        <v>10.407781862745098</v>
      </c>
      <c r="P288">
        <v>1.8182191718868841</v>
      </c>
      <c r="Q288">
        <v>1.8182191718868841</v>
      </c>
      <c r="R288">
        <v>0.94855280800299369</v>
      </c>
      <c r="S288">
        <v>0</v>
      </c>
      <c r="T288">
        <v>0</v>
      </c>
      <c r="U288">
        <v>0.56821917188688409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0.25</v>
      </c>
      <c r="AB288">
        <v>0</v>
      </c>
      <c r="AC288">
        <v>0</v>
      </c>
      <c r="AD288">
        <v>0</v>
      </c>
      <c r="AE288">
        <v>5.1447191997006314E-2</v>
      </c>
      <c r="AF288">
        <v>0</v>
      </c>
      <c r="AG288">
        <v>0.94855280800299369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0.54998870073635575</v>
      </c>
      <c r="AN288">
        <v>0.54998870073635575</v>
      </c>
      <c r="AO288">
        <v>0.5216933264533884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0.45001129926364425</v>
      </c>
      <c r="BA288">
        <v>0</v>
      </c>
      <c r="BB288">
        <v>2.8295374282967356E-2</v>
      </c>
      <c r="BC288">
        <v>0</v>
      </c>
      <c r="BD288">
        <v>0.5216933264533884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1.9168349474551822</v>
      </c>
      <c r="BK288">
        <v>1.9168349474551822</v>
      </c>
      <c r="BL288">
        <v>1.0542375622769165</v>
      </c>
      <c r="CC288">
        <v>0</v>
      </c>
      <c r="CD288">
        <v>0</v>
      </c>
      <c r="CE288">
        <v>0</v>
      </c>
    </row>
    <row r="289" spans="1:84" x14ac:dyDescent="0.25">
      <c r="A289" t="s">
        <v>128</v>
      </c>
      <c r="B289" t="s">
        <v>291</v>
      </c>
      <c r="C289" s="14" t="s">
        <v>117</v>
      </c>
      <c r="D289" s="12">
        <v>46249</v>
      </c>
      <c r="E289" s="14"/>
      <c r="F289" s="14"/>
      <c r="G289" s="14"/>
      <c r="H289" s="14"/>
      <c r="J289">
        <v>41.946222842490528</v>
      </c>
      <c r="M289">
        <v>106.39999999999998</v>
      </c>
      <c r="N289">
        <v>106.39999999999998</v>
      </c>
      <c r="O289">
        <v>49.575029736159159</v>
      </c>
      <c r="S289">
        <v>4.4945158685572632E-2</v>
      </c>
      <c r="T289">
        <v>0</v>
      </c>
      <c r="U289">
        <v>1.2612930525400141</v>
      </c>
      <c r="V289">
        <v>0</v>
      </c>
      <c r="W289">
        <v>2.9992640490551468E-2</v>
      </c>
      <c r="X289">
        <v>0</v>
      </c>
      <c r="Y289">
        <v>0.10693332953825536</v>
      </c>
      <c r="Z289">
        <v>0</v>
      </c>
      <c r="AA289">
        <v>0.12399661809313871</v>
      </c>
      <c r="AB289">
        <v>8.2824935471820238E-3</v>
      </c>
      <c r="AC289">
        <v>0</v>
      </c>
      <c r="AD289">
        <v>0</v>
      </c>
      <c r="AE289">
        <v>0</v>
      </c>
      <c r="AF289">
        <v>0</v>
      </c>
      <c r="AG289">
        <v>0.99171750645281798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84" x14ac:dyDescent="0.25">
      <c r="A290" t="s">
        <v>128</v>
      </c>
      <c r="B290" t="s">
        <v>291</v>
      </c>
      <c r="C290" s="14" t="s">
        <v>72</v>
      </c>
      <c r="D290" s="12">
        <v>46223</v>
      </c>
      <c r="E290" s="14" t="s">
        <v>133</v>
      </c>
      <c r="F290" s="14" t="s">
        <v>133</v>
      </c>
      <c r="G290" s="14" t="s">
        <v>133</v>
      </c>
      <c r="H290" s="14" t="s">
        <v>74</v>
      </c>
      <c r="I290">
        <v>20</v>
      </c>
      <c r="J290">
        <v>4.220105607573192</v>
      </c>
      <c r="K290">
        <v>46223</v>
      </c>
      <c r="L290" t="s">
        <v>424</v>
      </c>
      <c r="M290">
        <v>32.299999999999997</v>
      </c>
      <c r="N290">
        <v>32.299999999999997</v>
      </c>
      <c r="O290">
        <v>5.6041666666666661</v>
      </c>
      <c r="P290">
        <v>7.6538368949904996</v>
      </c>
      <c r="Q290">
        <v>7.6538368949904996</v>
      </c>
      <c r="R290">
        <v>1.327968346718553</v>
      </c>
      <c r="S290">
        <v>0</v>
      </c>
      <c r="T290">
        <v>0</v>
      </c>
      <c r="U290">
        <v>6.3258685482719468</v>
      </c>
      <c r="V290">
        <v>0</v>
      </c>
      <c r="W290">
        <v>7.7968346718553017E-2</v>
      </c>
      <c r="X290">
        <v>0</v>
      </c>
      <c r="Y290">
        <v>0.25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0.13065342438307098</v>
      </c>
      <c r="AN290">
        <v>0.13065342438307098</v>
      </c>
      <c r="AO290">
        <v>0.17350361197110423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0.8264963880288958</v>
      </c>
      <c r="BA290">
        <v>0</v>
      </c>
      <c r="BB290">
        <v>0</v>
      </c>
      <c r="BC290">
        <v>0</v>
      </c>
      <c r="BD290">
        <v>0.13065342438307098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5.7635687732342005</v>
      </c>
      <c r="BK290">
        <v>5.7635687732342005</v>
      </c>
      <c r="BL290">
        <v>0.75302999689038375</v>
      </c>
      <c r="CC290">
        <v>0</v>
      </c>
      <c r="CD290">
        <v>0</v>
      </c>
      <c r="CE290">
        <v>0</v>
      </c>
    </row>
    <row r="291" spans="1:84" x14ac:dyDescent="0.25">
      <c r="A291" t="s">
        <v>128</v>
      </c>
      <c r="B291" t="s">
        <v>291</v>
      </c>
      <c r="C291" s="14" t="s">
        <v>117</v>
      </c>
      <c r="D291" s="12">
        <v>46250</v>
      </c>
      <c r="E291" s="14"/>
      <c r="F291" s="14"/>
      <c r="G291" s="14"/>
      <c r="H291" s="14"/>
      <c r="J291">
        <v>40.046084309064085</v>
      </c>
      <c r="M291">
        <v>97.85</v>
      </c>
      <c r="N291">
        <v>97.85</v>
      </c>
      <c r="O291">
        <v>43.814000324394463</v>
      </c>
      <c r="S291">
        <v>4.8177067763624147E-2</v>
      </c>
      <c r="T291">
        <v>0</v>
      </c>
      <c r="U291">
        <v>1.3907146959960772</v>
      </c>
      <c r="V291">
        <v>0</v>
      </c>
      <c r="W291">
        <v>5.8859324950680299E-3</v>
      </c>
      <c r="X291">
        <v>0</v>
      </c>
      <c r="Y291">
        <v>7.1828300151625016E-2</v>
      </c>
      <c r="Z291">
        <v>0</v>
      </c>
      <c r="AA291">
        <v>5.6881479743227374E-2</v>
      </c>
      <c r="AB291">
        <v>9.7519045207121582E-2</v>
      </c>
      <c r="AC291">
        <v>8.0791323361837138E-3</v>
      </c>
      <c r="AD291">
        <v>0</v>
      </c>
      <c r="AE291">
        <v>0</v>
      </c>
      <c r="AF291">
        <v>0</v>
      </c>
      <c r="AG291">
        <v>0.87067915352686431</v>
      </c>
      <c r="AH291">
        <v>2.3722668929830316E-2</v>
      </c>
      <c r="AI291">
        <v>0</v>
      </c>
      <c r="AJ291">
        <v>0</v>
      </c>
      <c r="AK291">
        <v>0</v>
      </c>
      <c r="AL291">
        <v>0</v>
      </c>
    </row>
    <row r="292" spans="1:84" x14ac:dyDescent="0.25">
      <c r="A292" t="s">
        <v>128</v>
      </c>
      <c r="B292" t="s">
        <v>291</v>
      </c>
      <c r="C292" s="14" t="s">
        <v>72</v>
      </c>
      <c r="D292" s="12">
        <v>46223</v>
      </c>
      <c r="E292" s="14" t="s">
        <v>133</v>
      </c>
      <c r="F292" s="14" t="s">
        <v>133</v>
      </c>
      <c r="G292" s="14" t="s">
        <v>133</v>
      </c>
      <c r="H292" s="14" t="s">
        <v>73</v>
      </c>
      <c r="I292">
        <v>20</v>
      </c>
      <c r="J292">
        <v>11.872563775972576</v>
      </c>
      <c r="K292">
        <v>46223</v>
      </c>
      <c r="L292" t="s">
        <v>423</v>
      </c>
      <c r="M292">
        <v>15.2</v>
      </c>
      <c r="N292">
        <v>15.2</v>
      </c>
      <c r="O292">
        <v>10.316176470588236</v>
      </c>
      <c r="P292">
        <v>1.2802626531904939</v>
      </c>
      <c r="Q292">
        <v>1.2802626531904939</v>
      </c>
      <c r="R292">
        <v>0.86890891177741059</v>
      </c>
      <c r="S292">
        <v>0</v>
      </c>
      <c r="T292">
        <v>0</v>
      </c>
      <c r="U292">
        <v>3.0262653190493927E-2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0.25</v>
      </c>
      <c r="AB292">
        <v>0</v>
      </c>
      <c r="AC292">
        <v>0</v>
      </c>
      <c r="AD292">
        <v>0</v>
      </c>
      <c r="AE292">
        <v>0.13109108822258941</v>
      </c>
      <c r="AF292">
        <v>0</v>
      </c>
      <c r="AG292">
        <v>0.86890891177741059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0.78108972210345906</v>
      </c>
      <c r="AN292">
        <v>0.78108972210345906</v>
      </c>
      <c r="AO292">
        <v>0.67869582043343657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0.21891027789654094</v>
      </c>
      <c r="BA292">
        <v>0</v>
      </c>
      <c r="BB292">
        <v>0.10239390167002249</v>
      </c>
      <c r="BC292">
        <v>0</v>
      </c>
      <c r="BD292">
        <v>0.67869582043343657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1.4734141126158231</v>
      </c>
      <c r="BK292">
        <v>1.4734141126158231</v>
      </c>
      <c r="BL292">
        <v>1.150868619766408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0.15086861976640797</v>
      </c>
      <c r="BT292">
        <v>0</v>
      </c>
      <c r="BU292">
        <v>0.32254549284941514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25">
      <c r="A293" t="s">
        <v>128</v>
      </c>
      <c r="B293" t="s">
        <v>291</v>
      </c>
      <c r="C293" s="14" t="s">
        <v>72</v>
      </c>
      <c r="D293" s="12">
        <v>46224</v>
      </c>
      <c r="E293" s="14" t="s">
        <v>133</v>
      </c>
      <c r="F293" s="14" t="s">
        <v>133</v>
      </c>
      <c r="G293" s="14" t="s">
        <v>133</v>
      </c>
      <c r="H293" s="14" t="s">
        <v>73</v>
      </c>
      <c r="I293">
        <v>20</v>
      </c>
      <c r="J293">
        <v>13.02605930870925</v>
      </c>
      <c r="K293">
        <v>46224</v>
      </c>
      <c r="L293" t="s">
        <v>426</v>
      </c>
      <c r="M293">
        <v>15.2</v>
      </c>
      <c r="N293">
        <v>15.2</v>
      </c>
      <c r="O293">
        <v>13.041666666666664</v>
      </c>
      <c r="P293">
        <v>1.1668916623032146</v>
      </c>
      <c r="Q293">
        <v>1.1668916623032146</v>
      </c>
      <c r="R293">
        <v>1.0011981642020453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1.1981642020453265E-3</v>
      </c>
      <c r="Z293">
        <v>0</v>
      </c>
      <c r="AA293">
        <v>0.16569349810116929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0.85697758609929287</v>
      </c>
      <c r="AN293">
        <v>0.85697758609929287</v>
      </c>
      <c r="AO293">
        <v>0.85800438596491213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0.14199561403508787</v>
      </c>
      <c r="BA293">
        <v>0</v>
      </c>
      <c r="BB293">
        <v>0</v>
      </c>
      <c r="BC293">
        <v>0</v>
      </c>
      <c r="BD293">
        <v>0.85697758609929287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1.1654952076677318</v>
      </c>
      <c r="BK293">
        <v>1.1654952076677318</v>
      </c>
      <c r="BL293">
        <v>0.99880326967738675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0.16549520766773185</v>
      </c>
      <c r="BV293">
        <v>0</v>
      </c>
      <c r="BW293">
        <v>0</v>
      </c>
      <c r="BX293">
        <v>0</v>
      </c>
      <c r="BY293">
        <v>1.1967303226132486E-3</v>
      </c>
      <c r="BZ293">
        <v>0</v>
      </c>
      <c r="CA293">
        <v>0.99880326967738675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 spans="1:84" x14ac:dyDescent="0.25">
      <c r="A294" t="s">
        <v>128</v>
      </c>
      <c r="B294" t="s">
        <v>291</v>
      </c>
      <c r="C294" s="14" t="s">
        <v>72</v>
      </c>
      <c r="D294" s="12">
        <v>46232</v>
      </c>
      <c r="E294" s="14" t="s">
        <v>134</v>
      </c>
      <c r="F294" s="14" t="s">
        <v>134</v>
      </c>
      <c r="G294" s="14" t="s">
        <v>134</v>
      </c>
      <c r="H294" s="14" t="s">
        <v>73</v>
      </c>
      <c r="I294">
        <v>20</v>
      </c>
      <c r="J294">
        <v>5.8204648795871572</v>
      </c>
      <c r="K294">
        <v>46232</v>
      </c>
      <c r="L294" t="s">
        <v>447</v>
      </c>
      <c r="M294">
        <v>2.8499999999999996</v>
      </c>
      <c r="N294">
        <v>2.8499999999999996</v>
      </c>
      <c r="O294">
        <v>5.6470588235294095</v>
      </c>
      <c r="P294">
        <v>0.48965161013086445</v>
      </c>
      <c r="Q294">
        <v>0.48965161013086445</v>
      </c>
      <c r="R294">
        <v>0.97020752471750205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0.4805559145866376</v>
      </c>
      <c r="AC294">
        <v>2.9792475282497954E-2</v>
      </c>
      <c r="AD294">
        <v>0</v>
      </c>
      <c r="AE294">
        <v>0</v>
      </c>
      <c r="AF294">
        <v>0</v>
      </c>
      <c r="AG294">
        <v>0.48965161013086445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2.0422683788025116</v>
      </c>
      <c r="AN294">
        <v>2.0422683788025116</v>
      </c>
      <c r="AO294">
        <v>1.9814241486068105</v>
      </c>
      <c r="BF294">
        <v>0</v>
      </c>
      <c r="BG294">
        <v>0</v>
      </c>
      <c r="BH294">
        <v>0</v>
      </c>
      <c r="BJ294">
        <v>0.50468750000000018</v>
      </c>
      <c r="BK294">
        <v>0.50468750000000018</v>
      </c>
      <c r="BL294">
        <v>1.0307073224268928</v>
      </c>
      <c r="BM294">
        <v>3.070732242689278E-2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0.51034838986913555</v>
      </c>
      <c r="BW294">
        <v>0</v>
      </c>
      <c r="BX294">
        <v>0</v>
      </c>
      <c r="BY294">
        <v>0</v>
      </c>
      <c r="BZ294">
        <v>0</v>
      </c>
      <c r="CA294">
        <v>0.50468750000000018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25">
      <c r="A295" t="s">
        <v>128</v>
      </c>
      <c r="B295" t="s">
        <v>291</v>
      </c>
      <c r="C295" s="14" t="s">
        <v>117</v>
      </c>
      <c r="D295" s="12">
        <v>46242</v>
      </c>
      <c r="E295" s="14"/>
      <c r="F295" s="14"/>
      <c r="G295" s="14"/>
      <c r="H295" s="14"/>
      <c r="J295">
        <v>40.032120530081045</v>
      </c>
      <c r="M295">
        <v>97.85</v>
      </c>
      <c r="N295">
        <v>97.85</v>
      </c>
      <c r="O295">
        <v>50.906141868512108</v>
      </c>
      <c r="S295">
        <v>0.10425037363971681</v>
      </c>
      <c r="T295">
        <v>0</v>
      </c>
      <c r="U295">
        <v>1.2533595458351041</v>
      </c>
      <c r="V295">
        <v>0</v>
      </c>
      <c r="W295">
        <v>5.024613896867882E-2</v>
      </c>
      <c r="X295">
        <v>1.3117766496328715E-2</v>
      </c>
      <c r="Y295">
        <v>0.11713589642824461</v>
      </c>
      <c r="Z295">
        <v>0</v>
      </c>
      <c r="AA295">
        <v>3.6563394808751253E-2</v>
      </c>
      <c r="AB295">
        <v>1.3017771058137974E-2</v>
      </c>
      <c r="AC295">
        <v>0</v>
      </c>
      <c r="AD295">
        <v>0</v>
      </c>
      <c r="AE295">
        <v>0</v>
      </c>
      <c r="AF295">
        <v>0</v>
      </c>
      <c r="AG295">
        <v>0.88156424079401718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84" x14ac:dyDescent="0.25">
      <c r="A296" t="s">
        <v>128</v>
      </c>
      <c r="B296" t="s">
        <v>291</v>
      </c>
      <c r="C296" s="14" t="s">
        <v>72</v>
      </c>
      <c r="D296" s="12">
        <v>46226</v>
      </c>
      <c r="E296" s="14" t="s">
        <v>133</v>
      </c>
      <c r="F296" s="14" t="s">
        <v>133</v>
      </c>
      <c r="G296" s="14" t="s">
        <v>133</v>
      </c>
      <c r="H296" s="14" t="s">
        <v>73</v>
      </c>
      <c r="I296">
        <v>20</v>
      </c>
      <c r="J296">
        <v>11.731893589053469</v>
      </c>
      <c r="K296">
        <v>46226</v>
      </c>
      <c r="L296" t="s">
        <v>432</v>
      </c>
      <c r="M296">
        <v>2.8499999999999996</v>
      </c>
      <c r="N296">
        <v>2.8499999999999996</v>
      </c>
      <c r="O296">
        <v>11.220238095238097</v>
      </c>
      <c r="P296">
        <v>0.24292753581222501</v>
      </c>
      <c r="Q296">
        <v>0.24292753581222501</v>
      </c>
      <c r="R296">
        <v>0.95638764621145422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0.71346011039922919</v>
      </c>
      <c r="AC296">
        <v>4.3612353788545777E-2</v>
      </c>
      <c r="AD296">
        <v>0</v>
      </c>
      <c r="AE296">
        <v>0</v>
      </c>
      <c r="AF296">
        <v>0</v>
      </c>
      <c r="AG296">
        <v>0.24292753581222501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4.1164538908959543</v>
      </c>
      <c r="AN296">
        <v>4.1164538908959543</v>
      </c>
      <c r="AO296">
        <v>3.936925647451964</v>
      </c>
      <c r="BF296">
        <v>0</v>
      </c>
      <c r="BG296">
        <v>0</v>
      </c>
      <c r="BH296">
        <v>0</v>
      </c>
      <c r="BJ296">
        <v>0.25400530503978774</v>
      </c>
      <c r="BK296">
        <v>0.25400530503978774</v>
      </c>
      <c r="BL296">
        <v>1.0456011262392479</v>
      </c>
      <c r="BM296">
        <v>4.5601126239247947E-2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0.75707246418777496</v>
      </c>
      <c r="BW296">
        <v>0</v>
      </c>
      <c r="BX296">
        <v>0</v>
      </c>
      <c r="BY296">
        <v>0</v>
      </c>
      <c r="BZ296">
        <v>0</v>
      </c>
      <c r="CA296">
        <v>0.25400530503978774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 spans="1:84" x14ac:dyDescent="0.25">
      <c r="A297" t="s">
        <v>128</v>
      </c>
      <c r="B297" t="s">
        <v>291</v>
      </c>
      <c r="C297" s="14" t="s">
        <v>117</v>
      </c>
      <c r="D297" s="12">
        <v>46234</v>
      </c>
      <c r="E297" s="14"/>
      <c r="F297" s="14"/>
      <c r="G297" s="14"/>
      <c r="H297" s="14"/>
      <c r="J297">
        <v>41.072429863762913</v>
      </c>
      <c r="M297">
        <v>48.45</v>
      </c>
      <c r="N297">
        <v>48.45</v>
      </c>
      <c r="O297">
        <v>49.027341819080561</v>
      </c>
      <c r="S297">
        <v>0.12644905142804794</v>
      </c>
      <c r="T297">
        <v>0</v>
      </c>
      <c r="U297">
        <v>0.37276584829405995</v>
      </c>
      <c r="V297">
        <v>0</v>
      </c>
      <c r="W297">
        <v>3.9278724629763943E-2</v>
      </c>
      <c r="X297">
        <v>0</v>
      </c>
      <c r="Y297">
        <v>4.7118362414585356E-2</v>
      </c>
      <c r="Z297">
        <v>0</v>
      </c>
      <c r="AA297">
        <v>0</v>
      </c>
      <c r="AB297">
        <v>0.32976308505614466</v>
      </c>
      <c r="AC297">
        <v>1.9166047430692161E-2</v>
      </c>
      <c r="AD297">
        <v>0</v>
      </c>
      <c r="AE297">
        <v>0</v>
      </c>
      <c r="AF297">
        <v>0</v>
      </c>
      <c r="AG297">
        <v>0.65107086751316323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84" x14ac:dyDescent="0.25">
      <c r="A298" t="s">
        <v>128</v>
      </c>
      <c r="B298" t="s">
        <v>291</v>
      </c>
      <c r="C298" s="14" t="s">
        <v>72</v>
      </c>
      <c r="D298" s="12">
        <v>46228</v>
      </c>
      <c r="E298" s="14" t="s">
        <v>133</v>
      </c>
      <c r="F298" s="14" t="s">
        <v>133</v>
      </c>
      <c r="G298" s="14" t="s">
        <v>133</v>
      </c>
      <c r="H298" s="14" t="s">
        <v>74</v>
      </c>
      <c r="I298">
        <v>20</v>
      </c>
      <c r="J298">
        <v>4.220105607573192</v>
      </c>
      <c r="K298">
        <v>46228</v>
      </c>
      <c r="L298" t="s">
        <v>436</v>
      </c>
      <c r="M298">
        <v>3.8</v>
      </c>
      <c r="N298">
        <v>3.8</v>
      </c>
      <c r="O298">
        <v>4.6874999999999991</v>
      </c>
      <c r="P298">
        <v>0.90045139941064711</v>
      </c>
      <c r="Q298">
        <v>0.90045139941064711</v>
      </c>
      <c r="R298">
        <v>1.1107541933519494</v>
      </c>
      <c r="S298">
        <v>0.11075419335194936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9.9548600589352887E-2</v>
      </c>
      <c r="AC298">
        <v>0</v>
      </c>
      <c r="AD298">
        <v>0</v>
      </c>
      <c r="AE298">
        <v>0</v>
      </c>
      <c r="AF298">
        <v>0</v>
      </c>
      <c r="AG298">
        <v>0.90045139941064711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1.1105541072561032</v>
      </c>
      <c r="AN298">
        <v>1.1105541072561032</v>
      </c>
      <c r="AO298">
        <v>1.2335526315789471</v>
      </c>
      <c r="AP298">
        <v>0.12299852432284397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0.11055410725610315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0.81066666666666676</v>
      </c>
      <c r="BK298">
        <v>0.81066666666666676</v>
      </c>
      <c r="BL298">
        <v>0.9002891962822811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9.9710803717718899E-2</v>
      </c>
      <c r="BX298">
        <v>0</v>
      </c>
      <c r="BY298">
        <v>0</v>
      </c>
      <c r="BZ298">
        <v>0</v>
      </c>
      <c r="CA298">
        <v>0.81066666666666676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x14ac:dyDescent="0.25">
      <c r="A299" t="s">
        <v>128</v>
      </c>
      <c r="B299" t="s">
        <v>291</v>
      </c>
      <c r="C299" s="14" t="s">
        <v>72</v>
      </c>
      <c r="D299" s="12">
        <v>46228</v>
      </c>
      <c r="E299" s="14" t="s">
        <v>134</v>
      </c>
      <c r="F299" s="14" t="s">
        <v>134</v>
      </c>
      <c r="G299" s="14" t="s">
        <v>134</v>
      </c>
      <c r="H299" s="14" t="s">
        <v>73</v>
      </c>
      <c r="I299">
        <v>20</v>
      </c>
      <c r="J299">
        <v>2.3878830275229355</v>
      </c>
      <c r="K299">
        <v>46228</v>
      </c>
      <c r="L299" t="s">
        <v>435</v>
      </c>
      <c r="M299">
        <v>12.35</v>
      </c>
      <c r="N299">
        <v>12.35</v>
      </c>
      <c r="O299">
        <v>5.6470588235294112</v>
      </c>
      <c r="P299">
        <v>5.1719451320072585</v>
      </c>
      <c r="Q299">
        <v>5.1719451320072585</v>
      </c>
      <c r="R299">
        <v>2.3648808414989126</v>
      </c>
      <c r="S299">
        <v>0</v>
      </c>
      <c r="T299">
        <v>0</v>
      </c>
      <c r="U299">
        <v>2.8070642905083458</v>
      </c>
      <c r="V299">
        <v>0</v>
      </c>
      <c r="W299">
        <v>1.1148808414989126</v>
      </c>
      <c r="X299">
        <v>0</v>
      </c>
      <c r="Y299">
        <v>0.25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0.19335085243100691</v>
      </c>
      <c r="AN299">
        <v>0.19335085243100691</v>
      </c>
      <c r="AO299">
        <v>0.45725172660157176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0.54274827339842824</v>
      </c>
      <c r="BA299">
        <v>0</v>
      </c>
      <c r="BB299">
        <v>0</v>
      </c>
      <c r="BC299">
        <v>0</v>
      </c>
      <c r="BD299">
        <v>0.19335085243100691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2.1869791666666667</v>
      </c>
      <c r="BK299">
        <v>2.1869791666666667</v>
      </c>
      <c r="BL299">
        <v>0.42285428612385317</v>
      </c>
      <c r="CC299">
        <v>0</v>
      </c>
      <c r="CD299">
        <v>0</v>
      </c>
      <c r="CE299">
        <v>0</v>
      </c>
    </row>
    <row r="300" spans="1:84" x14ac:dyDescent="0.25">
      <c r="A300" t="s">
        <v>128</v>
      </c>
      <c r="B300" t="s">
        <v>291</v>
      </c>
      <c r="C300" s="14" t="s">
        <v>72</v>
      </c>
      <c r="D300" s="12">
        <v>46228</v>
      </c>
      <c r="E300" s="14" t="s">
        <v>133</v>
      </c>
      <c r="F300" s="14" t="s">
        <v>133</v>
      </c>
      <c r="G300" s="14" t="s">
        <v>133</v>
      </c>
      <c r="H300" s="14" t="s">
        <v>73</v>
      </c>
      <c r="I300">
        <v>20</v>
      </c>
      <c r="J300">
        <v>11.028542654457937</v>
      </c>
      <c r="K300">
        <v>46228</v>
      </c>
      <c r="L300" t="s">
        <v>435</v>
      </c>
      <c r="M300">
        <v>45.599999999999994</v>
      </c>
      <c r="N300">
        <v>45.599999999999994</v>
      </c>
      <c r="O300">
        <v>13.2250306372549</v>
      </c>
      <c r="P300">
        <v>4.13472581362032</v>
      </c>
      <c r="Q300">
        <v>4.13472581362032</v>
      </c>
      <c r="R300">
        <v>1.199163937758277</v>
      </c>
      <c r="S300">
        <v>0</v>
      </c>
      <c r="T300">
        <v>0</v>
      </c>
      <c r="U300">
        <v>2.88472581362032</v>
      </c>
      <c r="V300">
        <v>0</v>
      </c>
      <c r="W300">
        <v>0</v>
      </c>
      <c r="X300">
        <v>0</v>
      </c>
      <c r="Y300">
        <v>0.19916393775827701</v>
      </c>
      <c r="Z300">
        <v>0</v>
      </c>
      <c r="AA300">
        <v>5.083606224172299E-2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0.24185400558021794</v>
      </c>
      <c r="AN300">
        <v>0.24185400558021794</v>
      </c>
      <c r="AO300">
        <v>0.29002260169418642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0.70997739830581352</v>
      </c>
      <c r="BA300">
        <v>0</v>
      </c>
      <c r="BB300">
        <v>0</v>
      </c>
      <c r="BC300">
        <v>0</v>
      </c>
      <c r="BD300">
        <v>0.24185400558021794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3.4480071351626842</v>
      </c>
      <c r="BK300">
        <v>3.4480071351626842</v>
      </c>
      <c r="BL300">
        <v>0.83391433690826711</v>
      </c>
      <c r="CC300">
        <v>0</v>
      </c>
      <c r="CD300">
        <v>0</v>
      </c>
      <c r="CE300">
        <v>0</v>
      </c>
    </row>
    <row r="301" spans="1:84" x14ac:dyDescent="0.25">
      <c r="A301" t="s">
        <v>128</v>
      </c>
      <c r="B301" t="s">
        <v>291</v>
      </c>
      <c r="C301" s="14" t="s">
        <v>117</v>
      </c>
      <c r="D301" s="12">
        <v>46235</v>
      </c>
      <c r="E301" s="14"/>
      <c r="F301" s="14"/>
      <c r="G301" s="14"/>
      <c r="H301" s="14"/>
      <c r="J301">
        <v>41.946222842490528</v>
      </c>
      <c r="M301">
        <v>87.4</v>
      </c>
      <c r="N301">
        <v>87.4</v>
      </c>
      <c r="O301">
        <v>50.419094476025698</v>
      </c>
      <c r="S301">
        <v>0.1320666559847557</v>
      </c>
      <c r="T301">
        <v>0</v>
      </c>
      <c r="U301">
        <v>0.95067372274457906</v>
      </c>
      <c r="V301">
        <v>0</v>
      </c>
      <c r="W301">
        <v>3.076393618737636E-2</v>
      </c>
      <c r="X301">
        <v>0</v>
      </c>
      <c r="Y301">
        <v>3.9163081140268105E-2</v>
      </c>
      <c r="Z301">
        <v>0</v>
      </c>
      <c r="AA301">
        <v>7.25521023476208E-2</v>
      </c>
      <c r="AB301">
        <v>0.23601304004676515</v>
      </c>
      <c r="AC301">
        <v>0</v>
      </c>
      <c r="AD301">
        <v>0</v>
      </c>
      <c r="AE301">
        <v>0</v>
      </c>
      <c r="AF301">
        <v>0</v>
      </c>
      <c r="AG301">
        <v>0.76398695995323473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84" x14ac:dyDescent="0.25">
      <c r="A302" t="s">
        <v>128</v>
      </c>
      <c r="B302" t="s">
        <v>291</v>
      </c>
      <c r="C302" s="14" t="s">
        <v>72</v>
      </c>
      <c r="D302" s="12">
        <v>46228</v>
      </c>
      <c r="E302" s="14" t="s">
        <v>134</v>
      </c>
      <c r="F302" s="14" t="s">
        <v>134</v>
      </c>
      <c r="G302" s="14" t="s">
        <v>134</v>
      </c>
      <c r="H302" s="14" t="s">
        <v>74</v>
      </c>
      <c r="I302">
        <v>20</v>
      </c>
      <c r="J302">
        <v>1.2735376146788988</v>
      </c>
      <c r="K302">
        <v>46228</v>
      </c>
      <c r="L302" t="s">
        <v>436</v>
      </c>
      <c r="M302">
        <v>0.95</v>
      </c>
      <c r="N302">
        <v>0.95</v>
      </c>
      <c r="O302">
        <v>1.8823529411764703</v>
      </c>
      <c r="P302">
        <v>0.74595362480873917</v>
      </c>
      <c r="Q302">
        <v>0.74595362480873917</v>
      </c>
      <c r="R302">
        <v>1.4780505259368206</v>
      </c>
      <c r="S302">
        <v>0.47805052593682063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0.25404637519126083</v>
      </c>
      <c r="AC302">
        <v>0</v>
      </c>
      <c r="AD302">
        <v>0</v>
      </c>
      <c r="AE302">
        <v>0</v>
      </c>
      <c r="AF302">
        <v>0</v>
      </c>
      <c r="AG302">
        <v>0.74595362480873917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1.3405659101883145</v>
      </c>
      <c r="AN302">
        <v>1.3405659101883145</v>
      </c>
      <c r="AO302">
        <v>1.9814241486068109</v>
      </c>
      <c r="AP302">
        <v>0.64085823841849643</v>
      </c>
      <c r="AQ302">
        <v>0</v>
      </c>
      <c r="AR302">
        <v>0</v>
      </c>
      <c r="AS302">
        <v>0</v>
      </c>
      <c r="AT302">
        <v>0</v>
      </c>
      <c r="AU302">
        <v>0.1594340898116855</v>
      </c>
      <c r="AV302">
        <v>0.3405659101883145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0.50468750000000007</v>
      </c>
      <c r="BK302">
        <v>0.50468750000000007</v>
      </c>
      <c r="BL302">
        <v>0.67656685779816506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0.32343314220183494</v>
      </c>
      <c r="BX302">
        <v>0</v>
      </c>
      <c r="BY302">
        <v>0</v>
      </c>
      <c r="BZ302">
        <v>0</v>
      </c>
      <c r="CA302">
        <v>0.50468750000000007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x14ac:dyDescent="0.25">
      <c r="A303" t="s">
        <v>128</v>
      </c>
      <c r="B303" t="s">
        <v>291</v>
      </c>
      <c r="C303" s="14" t="s">
        <v>117</v>
      </c>
      <c r="D303" s="12">
        <v>46236</v>
      </c>
      <c r="E303" s="14"/>
      <c r="F303" s="14"/>
      <c r="G303" s="14"/>
      <c r="H303" s="14"/>
      <c r="J303">
        <v>40.046084309064085</v>
      </c>
      <c r="M303">
        <v>57</v>
      </c>
      <c r="N303">
        <v>57</v>
      </c>
      <c r="O303">
        <v>51.398356401384078</v>
      </c>
      <c r="S303">
        <v>0.18401609063244878</v>
      </c>
      <c r="T303">
        <v>0</v>
      </c>
      <c r="U303">
        <v>0.63619632891242828</v>
      </c>
      <c r="V303">
        <v>0</v>
      </c>
      <c r="W303">
        <v>3.5086383320951542E-2</v>
      </c>
      <c r="X303">
        <v>0</v>
      </c>
      <c r="Y303">
        <v>6.4377728622872749E-2</v>
      </c>
      <c r="Z303">
        <v>0</v>
      </c>
      <c r="AA303">
        <v>5.2826019586652638E-2</v>
      </c>
      <c r="AB303">
        <v>0.26902583737459063</v>
      </c>
      <c r="AC303">
        <v>0</v>
      </c>
      <c r="AD303">
        <v>0</v>
      </c>
      <c r="AE303">
        <v>0</v>
      </c>
      <c r="AF303">
        <v>0</v>
      </c>
      <c r="AG303">
        <v>0.56370566855742277</v>
      </c>
      <c r="AH303">
        <v>0</v>
      </c>
      <c r="AI303">
        <v>0</v>
      </c>
      <c r="AJ303">
        <v>0</v>
      </c>
      <c r="AK303">
        <v>0.16726849406798647</v>
      </c>
      <c r="AL303">
        <v>0</v>
      </c>
    </row>
    <row r="304" spans="1:84" x14ac:dyDescent="0.25">
      <c r="A304" t="s">
        <v>128</v>
      </c>
      <c r="B304" t="s">
        <v>291</v>
      </c>
      <c r="C304" s="14" t="s">
        <v>72</v>
      </c>
      <c r="D304" s="12">
        <v>46227</v>
      </c>
      <c r="E304" s="14" t="s">
        <v>133</v>
      </c>
      <c r="F304" s="14" t="s">
        <v>133</v>
      </c>
      <c r="G304" s="14" t="s">
        <v>133</v>
      </c>
      <c r="H304" s="14" t="s">
        <v>75</v>
      </c>
      <c r="I304">
        <v>20</v>
      </c>
      <c r="J304">
        <v>11.028542654457937</v>
      </c>
      <c r="K304">
        <v>46227</v>
      </c>
      <c r="L304" t="s">
        <v>155</v>
      </c>
      <c r="M304">
        <v>0.95</v>
      </c>
      <c r="N304">
        <v>0.95</v>
      </c>
      <c r="O304">
        <v>12.157738095238097</v>
      </c>
      <c r="P304">
        <v>8.6140121117090004E-2</v>
      </c>
      <c r="Q304">
        <v>8.6140121117090004E-2</v>
      </c>
      <c r="R304">
        <v>1.1023884547722831</v>
      </c>
      <c r="S304">
        <v>0.10238845477228309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0.91385987888290998</v>
      </c>
      <c r="AC304">
        <v>0</v>
      </c>
      <c r="AD304">
        <v>0</v>
      </c>
      <c r="AE304">
        <v>0</v>
      </c>
      <c r="AF304">
        <v>0</v>
      </c>
      <c r="AG304">
        <v>8.6140121117090004E-2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11.608992267850461</v>
      </c>
      <c r="AN304">
        <v>11.608992267850461</v>
      </c>
      <c r="AO304">
        <v>12.797619047619049</v>
      </c>
      <c r="BF304">
        <v>0</v>
      </c>
      <c r="BG304">
        <v>0</v>
      </c>
      <c r="BH304">
        <v>0</v>
      </c>
      <c r="BJ304">
        <v>7.8139534883720912E-2</v>
      </c>
      <c r="BK304">
        <v>7.8139534883720912E-2</v>
      </c>
      <c r="BL304">
        <v>0.90712125627854745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9.287874372145255E-2</v>
      </c>
      <c r="BX304">
        <v>0</v>
      </c>
      <c r="BY304">
        <v>0</v>
      </c>
      <c r="BZ304">
        <v>0</v>
      </c>
      <c r="CA304">
        <v>7.8139534883720912E-2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x14ac:dyDescent="0.25">
      <c r="A305" t="s">
        <v>128</v>
      </c>
      <c r="B305" t="s">
        <v>291</v>
      </c>
      <c r="C305" s="14" t="s">
        <v>117</v>
      </c>
      <c r="D305" s="12">
        <v>46237</v>
      </c>
      <c r="E305" s="14"/>
      <c r="F305" s="14"/>
      <c r="G305" s="14"/>
      <c r="H305" s="14"/>
      <c r="J305">
        <v>44.308723503659913</v>
      </c>
      <c r="M305">
        <v>56.05</v>
      </c>
      <c r="N305">
        <v>56.05</v>
      </c>
      <c r="O305">
        <v>47.453935986159166</v>
      </c>
      <c r="S305">
        <v>4.6003772863759722E-2</v>
      </c>
      <c r="T305">
        <v>0</v>
      </c>
      <c r="U305">
        <v>0.4684248626973968</v>
      </c>
      <c r="V305">
        <v>0</v>
      </c>
      <c r="W305">
        <v>6.5547120264897096E-3</v>
      </c>
      <c r="X305">
        <v>0</v>
      </c>
      <c r="Y305">
        <v>3.8270150494964371E-2</v>
      </c>
      <c r="Z305">
        <v>0</v>
      </c>
      <c r="AA305">
        <v>7.2562477538859041E-2</v>
      </c>
      <c r="AB305">
        <v>0.30097969332428981</v>
      </c>
      <c r="AC305">
        <v>1.9844589044103054E-2</v>
      </c>
      <c r="AD305">
        <v>0</v>
      </c>
      <c r="AE305">
        <v>0</v>
      </c>
      <c r="AF305">
        <v>0</v>
      </c>
      <c r="AG305">
        <v>0.67917571763160689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84" x14ac:dyDescent="0.25">
      <c r="A306" t="s">
        <v>128</v>
      </c>
      <c r="B306" t="s">
        <v>291</v>
      </c>
      <c r="C306" s="14" t="s">
        <v>72</v>
      </c>
      <c r="D306" s="12">
        <v>46225</v>
      </c>
      <c r="E306" s="14" t="s">
        <v>133</v>
      </c>
      <c r="F306" s="14" t="s">
        <v>133</v>
      </c>
      <c r="G306" s="14" t="s">
        <v>133</v>
      </c>
      <c r="H306" s="14" t="s">
        <v>75</v>
      </c>
      <c r="I306">
        <v>20</v>
      </c>
      <c r="J306">
        <v>10.80347035538737</v>
      </c>
      <c r="K306">
        <v>46225</v>
      </c>
      <c r="L306" t="s">
        <v>431</v>
      </c>
      <c r="M306">
        <v>10.45</v>
      </c>
      <c r="N306">
        <v>10.45</v>
      </c>
      <c r="O306">
        <v>13.09891456582633</v>
      </c>
      <c r="P306">
        <v>0.96728177671065618</v>
      </c>
      <c r="Q306">
        <v>0.96728177671065618</v>
      </c>
      <c r="R306">
        <v>1.2124728568625442</v>
      </c>
      <c r="S306">
        <v>0.21247285686254425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3.2718223289343817E-2</v>
      </c>
      <c r="AC306">
        <v>0</v>
      </c>
      <c r="AD306">
        <v>0</v>
      </c>
      <c r="AE306">
        <v>0</v>
      </c>
      <c r="AF306">
        <v>0</v>
      </c>
      <c r="AG306">
        <v>0.96728177671065618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1.033824914391136</v>
      </c>
      <c r="AN306">
        <v>1.033824914391136</v>
      </c>
      <c r="AO306">
        <v>1.2534846474474959</v>
      </c>
      <c r="AP306">
        <v>0.21965973305635988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3.3824914391135996E-2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0.79777602544740112</v>
      </c>
      <c r="BK306">
        <v>0.79777602544740112</v>
      </c>
      <c r="BL306">
        <v>0.8247607312114601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0.1752392687885399</v>
      </c>
      <c r="BX306">
        <v>0</v>
      </c>
      <c r="BY306">
        <v>0</v>
      </c>
      <c r="BZ306">
        <v>0</v>
      </c>
      <c r="CA306">
        <v>0.79777602544740112</v>
      </c>
      <c r="CB306">
        <v>0</v>
      </c>
      <c r="CC306">
        <v>0</v>
      </c>
      <c r="CD306">
        <v>0</v>
      </c>
      <c r="CE306">
        <v>0</v>
      </c>
      <c r="CF306">
        <v>0</v>
      </c>
    </row>
    <row r="307" spans="1:84" x14ac:dyDescent="0.25">
      <c r="A307" t="s">
        <v>128</v>
      </c>
      <c r="B307" t="s">
        <v>291</v>
      </c>
      <c r="C307" s="14" t="s">
        <v>72</v>
      </c>
      <c r="D307" s="12">
        <v>46227</v>
      </c>
      <c r="E307" s="14" t="s">
        <v>133</v>
      </c>
      <c r="F307" s="14" t="s">
        <v>133</v>
      </c>
      <c r="G307" s="14" t="s">
        <v>133</v>
      </c>
      <c r="H307" s="14" t="s">
        <v>74</v>
      </c>
      <c r="I307">
        <v>20</v>
      </c>
      <c r="J307">
        <v>4.220105607573192</v>
      </c>
      <c r="K307">
        <v>46227</v>
      </c>
      <c r="L307" t="s">
        <v>156</v>
      </c>
      <c r="M307">
        <v>29.45</v>
      </c>
      <c r="N307">
        <v>29.45</v>
      </c>
      <c r="O307">
        <v>6.532738095238094</v>
      </c>
      <c r="P307">
        <v>6.9784983454325156</v>
      </c>
      <c r="Q307">
        <v>6.9784983454325156</v>
      </c>
      <c r="R307">
        <v>1.5480034631158914</v>
      </c>
      <c r="S307">
        <v>0</v>
      </c>
      <c r="T307">
        <v>0</v>
      </c>
      <c r="U307">
        <v>5.4304948823166246</v>
      </c>
      <c r="V307">
        <v>0</v>
      </c>
      <c r="W307">
        <v>0.29800346311589143</v>
      </c>
      <c r="X307">
        <v>0</v>
      </c>
      <c r="Y307">
        <v>0.25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0.14329730416207784</v>
      </c>
      <c r="AN307">
        <v>0.14329730416207784</v>
      </c>
      <c r="AO307">
        <v>0.22182472309806772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0.77817527690193233</v>
      </c>
      <c r="BA307">
        <v>0</v>
      </c>
      <c r="BB307">
        <v>0</v>
      </c>
      <c r="BC307">
        <v>0</v>
      </c>
      <c r="BD307">
        <v>0.14329730416207784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4.5080637813211855</v>
      </c>
      <c r="BK307">
        <v>4.5080637813211855</v>
      </c>
      <c r="BL307">
        <v>0.64599338685402863</v>
      </c>
      <c r="CC307">
        <v>0</v>
      </c>
      <c r="CD307">
        <v>0</v>
      </c>
      <c r="CE307">
        <v>0</v>
      </c>
    </row>
    <row r="308" spans="1:84" x14ac:dyDescent="0.25">
      <c r="A308" t="s">
        <v>128</v>
      </c>
      <c r="B308" t="s">
        <v>291</v>
      </c>
      <c r="C308" s="14" t="s">
        <v>72</v>
      </c>
      <c r="D308" s="12">
        <v>46227</v>
      </c>
      <c r="E308" s="14" t="s">
        <v>133</v>
      </c>
      <c r="F308" s="14" t="s">
        <v>133</v>
      </c>
      <c r="G308" s="14" t="s">
        <v>133</v>
      </c>
      <c r="H308" s="14" t="s">
        <v>73</v>
      </c>
      <c r="I308">
        <v>20</v>
      </c>
      <c r="J308">
        <v>10.972274579690296</v>
      </c>
      <c r="K308">
        <v>46227</v>
      </c>
      <c r="L308" t="s">
        <v>157</v>
      </c>
      <c r="M308">
        <v>12.35</v>
      </c>
      <c r="N308">
        <v>12.35</v>
      </c>
      <c r="O308">
        <v>11.229166666666668</v>
      </c>
      <c r="P308">
        <v>1.1255642492633091</v>
      </c>
      <c r="Q308">
        <v>1.1255642492633091</v>
      </c>
      <c r="R308">
        <v>1.0234128379772667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2.3412837977266676E-2</v>
      </c>
      <c r="Z308">
        <v>0</v>
      </c>
      <c r="AA308">
        <v>0.10215141128604244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0.8884432858048823</v>
      </c>
      <c r="AN308">
        <v>0.8884432858048823</v>
      </c>
      <c r="AO308">
        <v>0.90924426450742257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9.0755735492577427E-2</v>
      </c>
      <c r="BA308">
        <v>0</v>
      </c>
      <c r="BB308">
        <v>0</v>
      </c>
      <c r="BC308">
        <v>0</v>
      </c>
      <c r="BD308">
        <v>0.8884432858048823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1.0998144712430424</v>
      </c>
      <c r="BK308">
        <v>1.0998144712430424</v>
      </c>
      <c r="BL308">
        <v>0.97712278260692798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9.9814471243042435E-2</v>
      </c>
      <c r="BV308">
        <v>0</v>
      </c>
      <c r="BW308">
        <v>0</v>
      </c>
      <c r="BX308">
        <v>0</v>
      </c>
      <c r="BY308">
        <v>2.2877217393072025E-2</v>
      </c>
      <c r="BZ308">
        <v>0</v>
      </c>
      <c r="CA308">
        <v>0.97712278260692798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 spans="1:84" x14ac:dyDescent="0.25">
      <c r="A309" t="s">
        <v>128</v>
      </c>
      <c r="B309" t="s">
        <v>291</v>
      </c>
      <c r="C309" s="14" t="s">
        <v>72</v>
      </c>
      <c r="D309" s="12">
        <v>46231</v>
      </c>
      <c r="E309" s="14" t="s">
        <v>134</v>
      </c>
      <c r="F309" s="14" t="s">
        <v>134</v>
      </c>
      <c r="G309" s="14" t="s">
        <v>134</v>
      </c>
      <c r="H309" s="14" t="s">
        <v>75</v>
      </c>
      <c r="I309">
        <v>20</v>
      </c>
      <c r="J309">
        <v>3.3711289800323794</v>
      </c>
      <c r="K309">
        <v>46231</v>
      </c>
      <c r="L309" t="s">
        <v>446</v>
      </c>
      <c r="M309">
        <v>2.8499999999999996</v>
      </c>
      <c r="N309">
        <v>2.8499999999999996</v>
      </c>
      <c r="O309">
        <v>5.9238754325259482</v>
      </c>
      <c r="P309">
        <v>0.84541410811657103</v>
      </c>
      <c r="Q309">
        <v>0.84541410811657103</v>
      </c>
      <c r="R309">
        <v>1.7572378475026635</v>
      </c>
      <c r="S309">
        <v>0.75723784750266354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0.15458589188342897</v>
      </c>
      <c r="AC309">
        <v>0</v>
      </c>
      <c r="AD309">
        <v>0</v>
      </c>
      <c r="AE309">
        <v>0</v>
      </c>
      <c r="AF309">
        <v>0</v>
      </c>
      <c r="AG309">
        <v>0.84541410811657103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1.1828522736955718</v>
      </c>
      <c r="AN309">
        <v>1.1828522736955718</v>
      </c>
      <c r="AO309">
        <v>2.0785527833424382</v>
      </c>
      <c r="AP309">
        <v>0.89570050964686643</v>
      </c>
      <c r="AQ309">
        <v>0</v>
      </c>
      <c r="AR309">
        <v>0</v>
      </c>
      <c r="AS309">
        <v>0</v>
      </c>
      <c r="AT309">
        <v>0</v>
      </c>
      <c r="AU309">
        <v>0.31714772630442822</v>
      </c>
      <c r="AV309">
        <v>0.18285227369557178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0.48110397196261706</v>
      </c>
      <c r="BK309">
        <v>0.48110397196261706</v>
      </c>
      <c r="BL309">
        <v>0.56907492711995222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0.43092507288004778</v>
      </c>
      <c r="BX309">
        <v>0</v>
      </c>
      <c r="BY309">
        <v>0</v>
      </c>
      <c r="BZ309">
        <v>0</v>
      </c>
      <c r="CA309">
        <v>0.48110397196261706</v>
      </c>
      <c r="CB309">
        <v>0</v>
      </c>
      <c r="CC309">
        <v>0</v>
      </c>
      <c r="CD309">
        <v>0</v>
      </c>
      <c r="CE309">
        <v>0</v>
      </c>
      <c r="CF309">
        <v>0</v>
      </c>
    </row>
    <row r="310" spans="1:84" x14ac:dyDescent="0.25">
      <c r="A310" t="s">
        <v>128</v>
      </c>
      <c r="B310" t="s">
        <v>291</v>
      </c>
      <c r="C310" s="14" t="s">
        <v>117</v>
      </c>
      <c r="D310" s="12">
        <v>46239</v>
      </c>
      <c r="E310" s="14"/>
      <c r="F310" s="14"/>
      <c r="G310" s="14"/>
      <c r="H310" s="14"/>
      <c r="J310">
        <v>44.21118353019645</v>
      </c>
      <c r="M310">
        <v>53.2</v>
      </c>
      <c r="N310">
        <v>53.2</v>
      </c>
      <c r="O310">
        <v>49.41306228373702</v>
      </c>
      <c r="S310">
        <v>9.0746186861754105E-2</v>
      </c>
      <c r="T310">
        <v>0</v>
      </c>
      <c r="U310">
        <v>0.34524025763146177</v>
      </c>
      <c r="V310">
        <v>0</v>
      </c>
      <c r="W310">
        <v>3.663022454311636E-2</v>
      </c>
      <c r="X310">
        <v>0</v>
      </c>
      <c r="Y310">
        <v>3.1064782616031454E-2</v>
      </c>
      <c r="Z310">
        <v>0</v>
      </c>
      <c r="AA310">
        <v>0</v>
      </c>
      <c r="AB310">
        <v>0.29776507441588668</v>
      </c>
      <c r="AC310">
        <v>4.0781399865251915E-2</v>
      </c>
      <c r="AD310">
        <v>0</v>
      </c>
      <c r="AE310">
        <v>0</v>
      </c>
      <c r="AF310">
        <v>0</v>
      </c>
      <c r="AG310">
        <v>0.66145352571886107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84" x14ac:dyDescent="0.25">
      <c r="A311" t="s">
        <v>128</v>
      </c>
      <c r="B311" t="s">
        <v>291</v>
      </c>
      <c r="C311" s="14" t="s">
        <v>72</v>
      </c>
      <c r="D311" s="12">
        <v>46228</v>
      </c>
      <c r="E311" s="14" t="s">
        <v>134</v>
      </c>
      <c r="F311" s="14" t="s">
        <v>134</v>
      </c>
      <c r="G311" s="14" t="s">
        <v>134</v>
      </c>
      <c r="H311" s="14" t="s">
        <v>75</v>
      </c>
      <c r="I311">
        <v>20</v>
      </c>
      <c r="J311">
        <v>3.3711289800323798</v>
      </c>
      <c r="K311">
        <v>46228</v>
      </c>
      <c r="L311" t="s">
        <v>437</v>
      </c>
      <c r="M311">
        <v>2.8499999999999996</v>
      </c>
      <c r="N311">
        <v>2.8499999999999996</v>
      </c>
      <c r="O311">
        <v>4.9826989619377127</v>
      </c>
      <c r="P311">
        <v>0.84541410811657092</v>
      </c>
      <c r="Q311">
        <v>0.84541410811657092</v>
      </c>
      <c r="R311">
        <v>1.4780505259368195</v>
      </c>
      <c r="S311">
        <v>0.47805052593681951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0.15458589188342908</v>
      </c>
      <c r="AC311">
        <v>0</v>
      </c>
      <c r="AD311">
        <v>0</v>
      </c>
      <c r="AE311">
        <v>0</v>
      </c>
      <c r="AF311">
        <v>0</v>
      </c>
      <c r="AG311">
        <v>0.84541410811657092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1.182852273695572</v>
      </c>
      <c r="AN311">
        <v>1.182852273695572</v>
      </c>
      <c r="AO311">
        <v>1.7483154252413029</v>
      </c>
      <c r="AP311">
        <v>0.5654631515457309</v>
      </c>
      <c r="AQ311">
        <v>0</v>
      </c>
      <c r="AR311">
        <v>0</v>
      </c>
      <c r="AS311">
        <v>0</v>
      </c>
      <c r="AT311">
        <v>0</v>
      </c>
      <c r="AU311">
        <v>0.317147726304428</v>
      </c>
      <c r="AV311">
        <v>0.182852273695572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0.57197916666666704</v>
      </c>
      <c r="BK311">
        <v>0.57197916666666704</v>
      </c>
      <c r="BL311">
        <v>0.67656685779816561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0.32343314220183439</v>
      </c>
      <c r="BX311">
        <v>0</v>
      </c>
      <c r="BY311">
        <v>0</v>
      </c>
      <c r="BZ311">
        <v>0</v>
      </c>
      <c r="CA311">
        <v>0.57197916666666704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5">
      <c r="A312" t="s">
        <v>128</v>
      </c>
      <c r="B312" t="s">
        <v>291</v>
      </c>
      <c r="C312" s="14" t="s">
        <v>72</v>
      </c>
      <c r="D312" s="12">
        <v>46226</v>
      </c>
      <c r="E312" s="14" t="s">
        <v>133</v>
      </c>
      <c r="F312" s="14" t="s">
        <v>133</v>
      </c>
      <c r="G312" s="14" t="s">
        <v>133</v>
      </c>
      <c r="H312" s="14" t="s">
        <v>75</v>
      </c>
      <c r="I312">
        <v>20</v>
      </c>
      <c r="J312">
        <v>10.972274579690296</v>
      </c>
      <c r="K312">
        <v>46226</v>
      </c>
      <c r="L312" t="s">
        <v>434</v>
      </c>
      <c r="M312">
        <v>38</v>
      </c>
      <c r="N312">
        <v>38</v>
      </c>
      <c r="O312">
        <v>12.225260416666666</v>
      </c>
      <c r="P312">
        <v>3.4632746131178744</v>
      </c>
      <c r="Q312">
        <v>3.4632746131178744</v>
      </c>
      <c r="R312">
        <v>1.1141956326262241</v>
      </c>
      <c r="S312">
        <v>0</v>
      </c>
      <c r="T312">
        <v>0</v>
      </c>
      <c r="U312">
        <v>2.2132746131178744</v>
      </c>
      <c r="V312">
        <v>0</v>
      </c>
      <c r="W312">
        <v>0</v>
      </c>
      <c r="X312">
        <v>0</v>
      </c>
      <c r="Y312">
        <v>0.11419563262622412</v>
      </c>
      <c r="Z312">
        <v>0</v>
      </c>
      <c r="AA312">
        <v>0.13580436737377588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0.28874406788658674</v>
      </c>
      <c r="AN312">
        <v>0.28874406788658674</v>
      </c>
      <c r="AO312">
        <v>0.3217173793859649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0.6782826206140351</v>
      </c>
      <c r="BA312">
        <v>0</v>
      </c>
      <c r="BB312">
        <v>0</v>
      </c>
      <c r="BC312">
        <v>0</v>
      </c>
      <c r="BD312">
        <v>0.28874406788658674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3.1083182447544999</v>
      </c>
      <c r="BK312">
        <v>3.1083182447544999</v>
      </c>
      <c r="BL312">
        <v>0.89750845427650949</v>
      </c>
      <c r="CC312">
        <v>0</v>
      </c>
      <c r="CD312">
        <v>0</v>
      </c>
      <c r="CE312">
        <v>0</v>
      </c>
    </row>
    <row r="313" spans="1:84" x14ac:dyDescent="0.25">
      <c r="A313" t="s">
        <v>128</v>
      </c>
      <c r="B313" t="s">
        <v>291</v>
      </c>
      <c r="C313" s="14" t="s">
        <v>117</v>
      </c>
      <c r="D313" s="12">
        <v>46240</v>
      </c>
      <c r="E313" s="14"/>
      <c r="F313" s="14"/>
      <c r="G313" s="14"/>
      <c r="H313" s="14"/>
      <c r="J313">
        <v>44.45775971346233</v>
      </c>
      <c r="M313">
        <v>55.099999999999994</v>
      </c>
      <c r="N313">
        <v>55.099999999999994</v>
      </c>
      <c r="O313">
        <v>52.082657985794938</v>
      </c>
      <c r="S313">
        <v>0.11690307479786415</v>
      </c>
      <c r="T313">
        <v>0</v>
      </c>
      <c r="U313">
        <v>0.46332999095324467</v>
      </c>
      <c r="V313">
        <v>0</v>
      </c>
      <c r="W313">
        <v>1.393380107366143E-2</v>
      </c>
      <c r="X313">
        <v>0</v>
      </c>
      <c r="Y313">
        <v>4.0671952316766888E-2</v>
      </c>
      <c r="Z313">
        <v>0</v>
      </c>
      <c r="AA313">
        <v>5.6192672229808414E-2</v>
      </c>
      <c r="AB313">
        <v>0.42022411886174227</v>
      </c>
      <c r="AC313">
        <v>0</v>
      </c>
      <c r="AD313">
        <v>0</v>
      </c>
      <c r="AE313">
        <v>0</v>
      </c>
      <c r="AF313">
        <v>0</v>
      </c>
      <c r="AG313">
        <v>0.57977588113825762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84" x14ac:dyDescent="0.25">
      <c r="A314" t="s">
        <v>128</v>
      </c>
      <c r="B314" t="s">
        <v>291</v>
      </c>
      <c r="C314" s="14" t="s">
        <v>72</v>
      </c>
      <c r="D314" s="12">
        <v>46231</v>
      </c>
      <c r="E314" s="14" t="s">
        <v>134</v>
      </c>
      <c r="F314" s="14" t="s">
        <v>134</v>
      </c>
      <c r="G314" s="14" t="s">
        <v>134</v>
      </c>
      <c r="H314" s="14" t="s">
        <v>74</v>
      </c>
      <c r="I314">
        <v>20</v>
      </c>
      <c r="J314">
        <v>1.2735376146788988</v>
      </c>
      <c r="K314">
        <v>46231</v>
      </c>
      <c r="L314" t="s">
        <v>445</v>
      </c>
      <c r="M314">
        <v>8.5499999999999989</v>
      </c>
      <c r="N314">
        <v>8.5499999999999989</v>
      </c>
      <c r="O314">
        <v>2.8235294117647056</v>
      </c>
      <c r="P314">
        <v>6.7135826232786524</v>
      </c>
      <c r="Q314">
        <v>6.7135826232786524</v>
      </c>
      <c r="R314">
        <v>2.2170757889052308</v>
      </c>
      <c r="S314">
        <v>0</v>
      </c>
      <c r="T314">
        <v>0</v>
      </c>
      <c r="U314">
        <v>4.496506834373422</v>
      </c>
      <c r="V314">
        <v>0</v>
      </c>
      <c r="W314">
        <v>0.96707578890523083</v>
      </c>
      <c r="X314">
        <v>0</v>
      </c>
      <c r="Y314">
        <v>0.25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0.14895176779870165</v>
      </c>
      <c r="AN314">
        <v>0.14895176779870165</v>
      </c>
      <c r="AO314">
        <v>0.33023735810113519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0.66976264189886481</v>
      </c>
      <c r="BA314">
        <v>0</v>
      </c>
      <c r="BB314">
        <v>0</v>
      </c>
      <c r="BC314">
        <v>0</v>
      </c>
      <c r="BD314">
        <v>0.14895176779870165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3.0281249999999997</v>
      </c>
      <c r="BK314">
        <v>3.0281249999999997</v>
      </c>
      <c r="BL314">
        <v>0.45104457186544339</v>
      </c>
      <c r="CC314">
        <v>0</v>
      </c>
      <c r="CD314">
        <v>0</v>
      </c>
      <c r="CE314">
        <v>0</v>
      </c>
    </row>
    <row r="315" spans="1:84" x14ac:dyDescent="0.25">
      <c r="A315" t="s">
        <v>128</v>
      </c>
      <c r="B315" t="s">
        <v>291</v>
      </c>
      <c r="C315" s="14" t="s">
        <v>72</v>
      </c>
      <c r="D315" s="12">
        <v>46226</v>
      </c>
      <c r="E315" s="14" t="s">
        <v>133</v>
      </c>
      <c r="F315" s="14" t="s">
        <v>133</v>
      </c>
      <c r="G315" s="14" t="s">
        <v>133</v>
      </c>
      <c r="H315" s="14" t="s">
        <v>74</v>
      </c>
      <c r="I315">
        <v>20</v>
      </c>
      <c r="J315">
        <v>4.220105607573192</v>
      </c>
      <c r="K315">
        <v>46226</v>
      </c>
      <c r="L315" t="s">
        <v>433</v>
      </c>
      <c r="M315">
        <v>1.9</v>
      </c>
      <c r="N315">
        <v>1.9</v>
      </c>
      <c r="O315">
        <v>3.7291666666666665</v>
      </c>
      <c r="P315">
        <v>0.45022569970532356</v>
      </c>
      <c r="Q315">
        <v>0.45022569970532356</v>
      </c>
      <c r="R315">
        <v>0.88366666937777316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0.43344096967244961</v>
      </c>
      <c r="AC315">
        <v>0.11633333062222684</v>
      </c>
      <c r="AD315">
        <v>0</v>
      </c>
      <c r="AE315">
        <v>0</v>
      </c>
      <c r="AF315">
        <v>0</v>
      </c>
      <c r="AG315">
        <v>0.45022569970532356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2.2211082145122063</v>
      </c>
      <c r="AN315">
        <v>2.2211082145122063</v>
      </c>
      <c r="AO315">
        <v>1.9627192982456141</v>
      </c>
      <c r="BF315">
        <v>0</v>
      </c>
      <c r="BG315">
        <v>0</v>
      </c>
      <c r="BH315">
        <v>0</v>
      </c>
      <c r="BJ315">
        <v>0.50949720670391063</v>
      </c>
      <c r="BK315">
        <v>0.50949720670391063</v>
      </c>
      <c r="BL315">
        <v>1.1316484310810795</v>
      </c>
      <c r="BM315">
        <v>0.13164843108107949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0.54977430029467644</v>
      </c>
      <c r="BW315">
        <v>0</v>
      </c>
      <c r="BX315">
        <v>0</v>
      </c>
      <c r="BY315">
        <v>0</v>
      </c>
      <c r="BZ315">
        <v>0</v>
      </c>
      <c r="CA315">
        <v>0.50949720670391063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x14ac:dyDescent="0.25">
      <c r="A316" t="s">
        <v>128</v>
      </c>
      <c r="B316" t="s">
        <v>291</v>
      </c>
      <c r="C316" s="14" t="s">
        <v>117</v>
      </c>
      <c r="D316" s="12">
        <v>46241</v>
      </c>
      <c r="E316" s="14"/>
      <c r="F316" s="14"/>
      <c r="G316" s="14"/>
      <c r="H316" s="14"/>
      <c r="J316">
        <v>41.296293897593188</v>
      </c>
      <c r="M316">
        <v>102.59999999999998</v>
      </c>
      <c r="N316">
        <v>102.59999999999998</v>
      </c>
      <c r="O316">
        <v>49.964965397923869</v>
      </c>
      <c r="S316">
        <v>6.1083523446215378E-2</v>
      </c>
      <c r="T316">
        <v>0</v>
      </c>
      <c r="U316">
        <v>1.0491934743957654</v>
      </c>
      <c r="V316">
        <v>0</v>
      </c>
      <c r="W316">
        <v>3.8991184874700928E-2</v>
      </c>
      <c r="X316">
        <v>0</v>
      </c>
      <c r="Y316">
        <v>0.11153157344628793</v>
      </c>
      <c r="Z316">
        <v>0</v>
      </c>
      <c r="AA316">
        <v>1.7268602849277448E-2</v>
      </c>
      <c r="AB316">
        <v>2.9866448475884728E-2</v>
      </c>
      <c r="AC316">
        <v>1.6922511806506189E-3</v>
      </c>
      <c r="AD316">
        <v>0</v>
      </c>
      <c r="AE316">
        <v>0</v>
      </c>
      <c r="AF316">
        <v>0</v>
      </c>
      <c r="AG316">
        <v>0.96844130034346465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84" x14ac:dyDescent="0.25">
      <c r="A317" t="s">
        <v>128</v>
      </c>
      <c r="B317" t="s">
        <v>291</v>
      </c>
      <c r="C317" s="14" t="s">
        <v>117</v>
      </c>
      <c r="D317" s="12">
        <v>46238</v>
      </c>
      <c r="E317" s="14"/>
      <c r="F317" s="14"/>
      <c r="G317" s="14"/>
      <c r="H317" s="14"/>
      <c r="J317">
        <v>45.515177224413186</v>
      </c>
      <c r="M317">
        <v>97.84999999999998</v>
      </c>
      <c r="N317">
        <v>97.84999999999998</v>
      </c>
      <c r="O317">
        <v>48.148788927335637</v>
      </c>
      <c r="S317">
        <v>3.9958021906703528E-2</v>
      </c>
      <c r="T317">
        <v>0</v>
      </c>
      <c r="U317">
        <v>0.98158844036710602</v>
      </c>
      <c r="V317">
        <v>0</v>
      </c>
      <c r="W317">
        <v>6.3809687347996767E-3</v>
      </c>
      <c r="X317">
        <v>0</v>
      </c>
      <c r="Y317">
        <v>4.3963449961762352E-2</v>
      </c>
      <c r="Z317">
        <v>0</v>
      </c>
      <c r="AA317">
        <v>4.6478457584576312E-2</v>
      </c>
      <c r="AB317">
        <v>0.16747687260349556</v>
      </c>
      <c r="AC317">
        <v>3.2440165566141287E-2</v>
      </c>
      <c r="AD317">
        <v>0</v>
      </c>
      <c r="AE317">
        <v>0</v>
      </c>
      <c r="AF317">
        <v>0</v>
      </c>
      <c r="AG317">
        <v>0.8000829618303632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84" x14ac:dyDescent="0.25">
      <c r="A318" t="s">
        <v>128</v>
      </c>
      <c r="B318" t="s">
        <v>291</v>
      </c>
      <c r="C318" s="14" t="s">
        <v>72</v>
      </c>
      <c r="D318" s="12">
        <v>46237</v>
      </c>
      <c r="E318" s="14" t="s">
        <v>133</v>
      </c>
      <c r="F318" s="14" t="s">
        <v>133</v>
      </c>
      <c r="G318" s="14" t="s">
        <v>133</v>
      </c>
      <c r="H318" s="14" t="s">
        <v>75</v>
      </c>
      <c r="I318">
        <v>20</v>
      </c>
      <c r="J318">
        <v>10.972274579690296</v>
      </c>
      <c r="K318">
        <v>46237</v>
      </c>
      <c r="L318" t="s">
        <v>464</v>
      </c>
      <c r="M318">
        <v>15.2</v>
      </c>
      <c r="N318">
        <v>15.2</v>
      </c>
      <c r="O318">
        <v>11.308823529411764</v>
      </c>
      <c r="P318">
        <v>1.3853098452471497</v>
      </c>
      <c r="Q318">
        <v>1.3853098452471497</v>
      </c>
      <c r="R318">
        <v>1.0306726693063644</v>
      </c>
      <c r="S318">
        <v>0</v>
      </c>
      <c r="T318">
        <v>0</v>
      </c>
      <c r="U318">
        <v>0.13530984524714973</v>
      </c>
      <c r="V318">
        <v>0</v>
      </c>
      <c r="W318">
        <v>0</v>
      </c>
      <c r="X318">
        <v>0</v>
      </c>
      <c r="Y318">
        <v>3.0672669306364364E-2</v>
      </c>
      <c r="Z318">
        <v>0</v>
      </c>
      <c r="AA318">
        <v>0.21932733069363564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0.72186016971646694</v>
      </c>
      <c r="AN318">
        <v>0.72186016971646694</v>
      </c>
      <c r="AO318">
        <v>0.74400154798761609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0.25599845201238391</v>
      </c>
      <c r="BA318">
        <v>0</v>
      </c>
      <c r="BB318">
        <v>0</v>
      </c>
      <c r="BC318">
        <v>0</v>
      </c>
      <c r="BD318">
        <v>0.72186016971646694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1.3440832249674901</v>
      </c>
      <c r="BK318">
        <v>1.3440832249674901</v>
      </c>
      <c r="BL318">
        <v>0.97024014488808863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0.34408322496749011</v>
      </c>
      <c r="BV318">
        <v>0</v>
      </c>
      <c r="BW318">
        <v>0</v>
      </c>
      <c r="BX318">
        <v>0</v>
      </c>
      <c r="BY318">
        <v>2.9759855111911371E-2</v>
      </c>
      <c r="BZ318">
        <v>0</v>
      </c>
      <c r="CA318">
        <v>0.97024014488808863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84" x14ac:dyDescent="0.25">
      <c r="A319" t="s">
        <v>128</v>
      </c>
      <c r="B319" t="s">
        <v>291</v>
      </c>
      <c r="C319" s="14" t="s">
        <v>72</v>
      </c>
      <c r="D319" s="12">
        <v>46235</v>
      </c>
      <c r="E319" s="14" t="s">
        <v>133</v>
      </c>
      <c r="F319" s="14" t="s">
        <v>133</v>
      </c>
      <c r="G319" s="14" t="s">
        <v>133</v>
      </c>
      <c r="H319" s="14" t="s">
        <v>74</v>
      </c>
      <c r="I319">
        <v>20</v>
      </c>
      <c r="J319">
        <v>4.220105607573192</v>
      </c>
      <c r="K319">
        <v>46235</v>
      </c>
      <c r="L319" t="s">
        <v>457</v>
      </c>
      <c r="M319">
        <v>27.549999999999997</v>
      </c>
      <c r="N319">
        <v>27.549999999999997</v>
      </c>
      <c r="O319">
        <v>4.6874999999999991</v>
      </c>
      <c r="P319">
        <v>6.5282726457271911</v>
      </c>
      <c r="Q319">
        <v>6.5282726457271911</v>
      </c>
      <c r="R319">
        <v>1.1107541933519494</v>
      </c>
      <c r="S319">
        <v>0</v>
      </c>
      <c r="T319">
        <v>0</v>
      </c>
      <c r="U319">
        <v>5.2782726457271911</v>
      </c>
      <c r="V319">
        <v>0</v>
      </c>
      <c r="W319">
        <v>0</v>
      </c>
      <c r="X319">
        <v>0</v>
      </c>
      <c r="Y319">
        <v>0.11075419335194936</v>
      </c>
      <c r="Z319">
        <v>0</v>
      </c>
      <c r="AA319">
        <v>0.13924580664805064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0.15317987686291079</v>
      </c>
      <c r="AN319">
        <v>0.15317987686291079</v>
      </c>
      <c r="AO319">
        <v>0.1701451905626134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0.82985480943738654</v>
      </c>
      <c r="BA319">
        <v>0</v>
      </c>
      <c r="BB319">
        <v>0</v>
      </c>
      <c r="BC319">
        <v>0</v>
      </c>
      <c r="BD319">
        <v>0.15317987686291079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5.8773333333333335</v>
      </c>
      <c r="BK319">
        <v>5.8773333333333335</v>
      </c>
      <c r="BL319">
        <v>0.9002891962822811</v>
      </c>
      <c r="CC319">
        <v>0</v>
      </c>
      <c r="CD319">
        <v>0</v>
      </c>
      <c r="CE319">
        <v>0</v>
      </c>
    </row>
    <row r="320" spans="1:84" x14ac:dyDescent="0.25">
      <c r="A320" t="s">
        <v>128</v>
      </c>
      <c r="B320" t="s">
        <v>291</v>
      </c>
      <c r="C320" s="14" t="s">
        <v>72</v>
      </c>
      <c r="D320" s="12">
        <v>46238</v>
      </c>
      <c r="E320" s="14" t="s">
        <v>133</v>
      </c>
      <c r="F320" s="14" t="s">
        <v>133</v>
      </c>
      <c r="G320" s="14" t="s">
        <v>133</v>
      </c>
      <c r="H320" s="14" t="s">
        <v>73</v>
      </c>
      <c r="I320">
        <v>20</v>
      </c>
      <c r="J320">
        <v>13.026059308709248</v>
      </c>
      <c r="K320">
        <v>46238</v>
      </c>
      <c r="L320" t="s">
        <v>465</v>
      </c>
      <c r="M320">
        <v>9.5</v>
      </c>
      <c r="N320">
        <v>9.5</v>
      </c>
      <c r="O320">
        <v>13.125</v>
      </c>
      <c r="P320">
        <v>0.72930728893950925</v>
      </c>
      <c r="Q320">
        <v>0.72930728893950925</v>
      </c>
      <c r="R320">
        <v>1.007595596561164</v>
      </c>
      <c r="S320">
        <v>7.5955965611640419E-3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0.27069271106049075</v>
      </c>
      <c r="AC320">
        <v>0</v>
      </c>
      <c r="AD320">
        <v>0</v>
      </c>
      <c r="AE320">
        <v>0</v>
      </c>
      <c r="AF320">
        <v>0</v>
      </c>
      <c r="AG320">
        <v>0.72930728893950925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1.3711641377588684</v>
      </c>
      <c r="AN320">
        <v>1.3711641377588684</v>
      </c>
      <c r="AO320">
        <v>1.381578947368421</v>
      </c>
      <c r="AP320">
        <v>1.0414809609552655E-2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0.37116413775886836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0.72380952380952379</v>
      </c>
      <c r="BK320">
        <v>0.72380952380952379</v>
      </c>
      <c r="BL320">
        <v>0.99246166161594274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7.5383383840572638E-3</v>
      </c>
      <c r="BX320">
        <v>0</v>
      </c>
      <c r="BY320">
        <v>0</v>
      </c>
      <c r="BZ320">
        <v>0</v>
      </c>
      <c r="CA320">
        <v>0.72380952380952379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 spans="1:84" x14ac:dyDescent="0.25">
      <c r="A321" t="s">
        <v>128</v>
      </c>
      <c r="B321" t="s">
        <v>291</v>
      </c>
      <c r="C321" s="14" t="s">
        <v>72</v>
      </c>
      <c r="D321" s="12">
        <v>46244</v>
      </c>
      <c r="E321" s="14" t="s">
        <v>133</v>
      </c>
      <c r="F321" s="14" t="s">
        <v>133</v>
      </c>
      <c r="G321" s="14" t="s">
        <v>133</v>
      </c>
      <c r="H321" s="14" t="s">
        <v>74</v>
      </c>
      <c r="I321">
        <v>20</v>
      </c>
      <c r="J321">
        <v>4.220105607573192</v>
      </c>
      <c r="K321">
        <v>46244</v>
      </c>
      <c r="L321" t="s">
        <v>484</v>
      </c>
      <c r="M321">
        <v>12.35</v>
      </c>
      <c r="N321">
        <v>12.35</v>
      </c>
      <c r="O321">
        <v>4.6874999999999991</v>
      </c>
      <c r="P321">
        <v>2.9264670480846031</v>
      </c>
      <c r="Q321">
        <v>2.9264670480846031</v>
      </c>
      <c r="R321">
        <v>1.1107541933519494</v>
      </c>
      <c r="S321">
        <v>0</v>
      </c>
      <c r="T321">
        <v>0</v>
      </c>
      <c r="U321">
        <v>1.6764670480846031</v>
      </c>
      <c r="V321">
        <v>0</v>
      </c>
      <c r="W321">
        <v>0</v>
      </c>
      <c r="X321">
        <v>0</v>
      </c>
      <c r="Y321">
        <v>0.11075419335194936</v>
      </c>
      <c r="Z321">
        <v>0</v>
      </c>
      <c r="AA321">
        <v>0.13924580664805064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0.34170895607880097</v>
      </c>
      <c r="AN321">
        <v>0.34170895607880097</v>
      </c>
      <c r="AO321">
        <v>0.37955465587044529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0.62044534412955477</v>
      </c>
      <c r="BA321">
        <v>0</v>
      </c>
      <c r="BB321">
        <v>0</v>
      </c>
      <c r="BC321">
        <v>0</v>
      </c>
      <c r="BD321">
        <v>0.34170895607880097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2.6346666666666669</v>
      </c>
      <c r="BK321">
        <v>2.6346666666666669</v>
      </c>
      <c r="BL321">
        <v>0.9002891962822811</v>
      </c>
      <c r="CC321">
        <v>0</v>
      </c>
      <c r="CD321">
        <v>0</v>
      </c>
      <c r="CE321">
        <v>0</v>
      </c>
    </row>
    <row r="322" spans="1:84" x14ac:dyDescent="0.25">
      <c r="A322" t="s">
        <v>128</v>
      </c>
      <c r="B322" t="s">
        <v>291</v>
      </c>
      <c r="C322" s="14" t="s">
        <v>109</v>
      </c>
      <c r="D322" s="12">
        <v>46244</v>
      </c>
      <c r="E322" s="14" t="s">
        <v>133</v>
      </c>
      <c r="F322" s="14" t="s">
        <v>133</v>
      </c>
      <c r="G322" s="14" t="s">
        <v>133</v>
      </c>
      <c r="H322" s="14"/>
      <c r="J322">
        <v>27.064943963236065</v>
      </c>
      <c r="M322">
        <v>76</v>
      </c>
      <c r="N322">
        <v>76</v>
      </c>
      <c r="O322">
        <v>29.125</v>
      </c>
      <c r="S322">
        <v>0</v>
      </c>
      <c r="T322">
        <v>0</v>
      </c>
      <c r="U322">
        <v>1.5580604971226009</v>
      </c>
      <c r="V322">
        <v>0</v>
      </c>
      <c r="W322">
        <v>0</v>
      </c>
      <c r="X322">
        <v>0</v>
      </c>
      <c r="Y322">
        <v>7.6115289193365118E-2</v>
      </c>
      <c r="Z322">
        <v>0</v>
      </c>
      <c r="AA322">
        <v>0.1738847108066349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84" x14ac:dyDescent="0.25">
      <c r="A323" t="s">
        <v>128</v>
      </c>
      <c r="B323" t="s">
        <v>291</v>
      </c>
      <c r="C323" s="14" t="s">
        <v>72</v>
      </c>
      <c r="D323" s="12">
        <v>46244</v>
      </c>
      <c r="E323" s="14" t="s">
        <v>133</v>
      </c>
      <c r="F323" s="14" t="s">
        <v>133</v>
      </c>
      <c r="G323" s="14" t="s">
        <v>133</v>
      </c>
      <c r="H323" s="14" t="s">
        <v>73</v>
      </c>
      <c r="I323">
        <v>20</v>
      </c>
      <c r="J323">
        <v>11.872563775972576</v>
      </c>
      <c r="K323">
        <v>46244</v>
      </c>
      <c r="L323" t="s">
        <v>483</v>
      </c>
      <c r="M323">
        <v>47.5</v>
      </c>
      <c r="N323">
        <v>47.5</v>
      </c>
      <c r="O323">
        <v>12.191176470588236</v>
      </c>
      <c r="P323">
        <v>4.0008207912202938</v>
      </c>
      <c r="Q323">
        <v>4.0008207912202938</v>
      </c>
      <c r="R323">
        <v>1.0268360482729484</v>
      </c>
      <c r="S323">
        <v>0</v>
      </c>
      <c r="T323">
        <v>0</v>
      </c>
      <c r="U323">
        <v>2.7508207912202938</v>
      </c>
      <c r="V323">
        <v>0</v>
      </c>
      <c r="W323">
        <v>0</v>
      </c>
      <c r="X323">
        <v>0</v>
      </c>
      <c r="Y323">
        <v>2.6836048272948387E-2</v>
      </c>
      <c r="Z323">
        <v>0</v>
      </c>
      <c r="AA323">
        <v>0.22316395172705161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0.24994871107310687</v>
      </c>
      <c r="AN323">
        <v>0.24994871107310687</v>
      </c>
      <c r="AO323">
        <v>0.25665634674922599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0.74334365325077401</v>
      </c>
      <c r="BA323">
        <v>0</v>
      </c>
      <c r="BB323">
        <v>0</v>
      </c>
      <c r="BC323">
        <v>0</v>
      </c>
      <c r="BD323">
        <v>0.24994871107310687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3.8962605548854041</v>
      </c>
      <c r="BK323">
        <v>3.8962605548854041</v>
      </c>
      <c r="BL323">
        <v>0.97386530369859492</v>
      </c>
      <c r="CC323">
        <v>0</v>
      </c>
      <c r="CD323">
        <v>0</v>
      </c>
      <c r="CE323">
        <v>0</v>
      </c>
    </row>
    <row r="324" spans="1:84" x14ac:dyDescent="0.25">
      <c r="A324" t="s">
        <v>128</v>
      </c>
      <c r="B324" t="s">
        <v>291</v>
      </c>
      <c r="C324" s="14" t="s">
        <v>72</v>
      </c>
      <c r="D324" s="12">
        <v>46235</v>
      </c>
      <c r="E324" s="14" t="s">
        <v>134</v>
      </c>
      <c r="F324" s="14" t="s">
        <v>134</v>
      </c>
      <c r="G324" s="14" t="s">
        <v>134</v>
      </c>
      <c r="H324" s="14" t="s">
        <v>75</v>
      </c>
      <c r="I324">
        <v>20</v>
      </c>
      <c r="J324">
        <v>2.2474193200215868</v>
      </c>
      <c r="K324">
        <v>46235</v>
      </c>
      <c r="L324" t="s">
        <v>458</v>
      </c>
      <c r="M324">
        <v>1.9</v>
      </c>
      <c r="N324">
        <v>1.9</v>
      </c>
      <c r="O324">
        <v>5.0415224913494781</v>
      </c>
      <c r="P324">
        <v>0.84541410811657081</v>
      </c>
      <c r="Q324">
        <v>0.84541410811657081</v>
      </c>
      <c r="R324">
        <v>2.2432496003020272</v>
      </c>
      <c r="S324">
        <v>1.2432496003020272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0.15458589188342919</v>
      </c>
      <c r="AC324">
        <v>0</v>
      </c>
      <c r="AD324">
        <v>0</v>
      </c>
      <c r="AE324">
        <v>0</v>
      </c>
      <c r="AF324">
        <v>0</v>
      </c>
      <c r="AG324">
        <v>0.84541410811657081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1.182852273695572</v>
      </c>
      <c r="AN324">
        <v>1.182852273695572</v>
      </c>
      <c r="AO324">
        <v>2.6534328901839359</v>
      </c>
      <c r="AP324">
        <v>1.4705806164883639</v>
      </c>
      <c r="AQ324">
        <v>0</v>
      </c>
      <c r="AR324">
        <v>0</v>
      </c>
      <c r="AS324">
        <v>0</v>
      </c>
      <c r="AT324">
        <v>0</v>
      </c>
      <c r="AU324">
        <v>0.317147726304428</v>
      </c>
      <c r="AV324">
        <v>0.182852273695572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0.37687028140013745</v>
      </c>
      <c r="BK324">
        <v>0.37687028140013745</v>
      </c>
      <c r="BL324">
        <v>0.44578186924244267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0.55421813075755733</v>
      </c>
      <c r="BX324">
        <v>0</v>
      </c>
      <c r="BY324">
        <v>0</v>
      </c>
      <c r="BZ324">
        <v>0</v>
      </c>
      <c r="CA324">
        <v>0.37687028140013745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 spans="1:84" x14ac:dyDescent="0.25">
      <c r="A325" t="s">
        <v>128</v>
      </c>
      <c r="B325" t="s">
        <v>291</v>
      </c>
      <c r="C325" s="14" t="s">
        <v>109</v>
      </c>
      <c r="D325" s="12">
        <v>46244</v>
      </c>
      <c r="E325" s="14" t="s">
        <v>420</v>
      </c>
      <c r="F325" s="14" t="s">
        <v>420</v>
      </c>
      <c r="G325" s="14" t="s">
        <v>420</v>
      </c>
      <c r="H325" s="14"/>
      <c r="J325">
        <v>6.7786480661254069</v>
      </c>
      <c r="M325">
        <v>18.05</v>
      </c>
      <c r="N325">
        <v>18.05</v>
      </c>
      <c r="O325">
        <v>7.5155709342560542</v>
      </c>
      <c r="S325">
        <v>0</v>
      </c>
      <c r="T325">
        <v>0</v>
      </c>
      <c r="U325">
        <v>1.438126588589921</v>
      </c>
      <c r="V325">
        <v>0</v>
      </c>
      <c r="W325">
        <v>0</v>
      </c>
      <c r="X325">
        <v>0</v>
      </c>
      <c r="Y325">
        <v>0.10871236579064114</v>
      </c>
      <c r="Z325">
        <v>0</v>
      </c>
      <c r="AA325">
        <v>0.11593389116667101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84" x14ac:dyDescent="0.25">
      <c r="A326" t="s">
        <v>128</v>
      </c>
      <c r="B326" t="s">
        <v>291</v>
      </c>
      <c r="C326" s="14" t="s">
        <v>109</v>
      </c>
      <c r="D326" s="12">
        <v>46244</v>
      </c>
      <c r="E326" s="14" t="s">
        <v>134</v>
      </c>
      <c r="F326" s="14" t="s">
        <v>134</v>
      </c>
      <c r="G326" s="14" t="s">
        <v>134</v>
      </c>
      <c r="H326" s="14"/>
      <c r="J326">
        <v>8.1518697913855895</v>
      </c>
      <c r="M326">
        <v>18.05</v>
      </c>
      <c r="N326">
        <v>18.05</v>
      </c>
      <c r="O326">
        <v>13.342560553633213</v>
      </c>
      <c r="S326">
        <v>0.3205572037932391</v>
      </c>
      <c r="T326">
        <v>0</v>
      </c>
      <c r="U326">
        <v>1.0542510941649947</v>
      </c>
      <c r="V326">
        <v>0</v>
      </c>
      <c r="W326">
        <v>0.10524789453389694</v>
      </c>
      <c r="X326">
        <v>0</v>
      </c>
      <c r="Y326">
        <v>0.21094338945327926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0.84377355781311703</v>
      </c>
      <c r="AH326">
        <v>0</v>
      </c>
      <c r="AI326">
        <v>0</v>
      </c>
      <c r="AJ326">
        <v>0</v>
      </c>
      <c r="AK326">
        <v>0.156226442186883</v>
      </c>
      <c r="AL326">
        <v>0</v>
      </c>
    </row>
    <row r="327" spans="1:84" x14ac:dyDescent="0.25">
      <c r="A327" t="s">
        <v>128</v>
      </c>
      <c r="B327" t="s">
        <v>291</v>
      </c>
      <c r="C327" s="14" t="s">
        <v>72</v>
      </c>
      <c r="D327" s="12">
        <v>46243</v>
      </c>
      <c r="E327" s="14" t="s">
        <v>133</v>
      </c>
      <c r="F327" s="14" t="s">
        <v>133</v>
      </c>
      <c r="G327" s="14" t="s">
        <v>133</v>
      </c>
      <c r="H327" s="14" t="s">
        <v>75</v>
      </c>
      <c r="I327">
        <v>20</v>
      </c>
      <c r="J327">
        <v>11.816295701204936</v>
      </c>
      <c r="K327">
        <v>46243</v>
      </c>
      <c r="L327" t="s">
        <v>482</v>
      </c>
      <c r="M327">
        <v>33.25</v>
      </c>
      <c r="N327">
        <v>33.25</v>
      </c>
      <c r="O327">
        <v>13.18359375</v>
      </c>
      <c r="P327">
        <v>2.8139106231582725</v>
      </c>
      <c r="Q327">
        <v>2.8139106231582725</v>
      </c>
      <c r="R327">
        <v>1.1157129174294138</v>
      </c>
      <c r="S327">
        <v>0</v>
      </c>
      <c r="T327">
        <v>0</v>
      </c>
      <c r="U327">
        <v>1.5639106231582725</v>
      </c>
      <c r="V327">
        <v>0</v>
      </c>
      <c r="W327">
        <v>0</v>
      </c>
      <c r="X327">
        <v>0</v>
      </c>
      <c r="Y327">
        <v>0.11571291742941381</v>
      </c>
      <c r="Z327">
        <v>0</v>
      </c>
      <c r="AA327">
        <v>0.13428708257058619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0.35537731432195296</v>
      </c>
      <c r="AN327">
        <v>0.35537731432195296</v>
      </c>
      <c r="AO327">
        <v>0.39649906015037595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0.60350093984962405</v>
      </c>
      <c r="BA327">
        <v>0</v>
      </c>
      <c r="BB327">
        <v>0</v>
      </c>
      <c r="BC327">
        <v>0</v>
      </c>
      <c r="BD327">
        <v>0.35537731432195296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2.5220740740740739</v>
      </c>
      <c r="BK327">
        <v>2.5220740740740739</v>
      </c>
      <c r="BL327">
        <v>0.89628791096547067</v>
      </c>
      <c r="CC327">
        <v>0</v>
      </c>
      <c r="CD327">
        <v>0</v>
      </c>
      <c r="CE327">
        <v>0</v>
      </c>
    </row>
    <row r="328" spans="1:84" x14ac:dyDescent="0.25">
      <c r="A328" t="s">
        <v>128</v>
      </c>
      <c r="B328" t="s">
        <v>291</v>
      </c>
      <c r="C328" s="14" t="s">
        <v>72</v>
      </c>
      <c r="D328" s="12">
        <v>46235</v>
      </c>
      <c r="E328" s="14" t="s">
        <v>134</v>
      </c>
      <c r="F328" s="14" t="s">
        <v>134</v>
      </c>
      <c r="G328" s="14" t="s">
        <v>134</v>
      </c>
      <c r="H328" s="14" t="s">
        <v>74</v>
      </c>
      <c r="I328">
        <v>20</v>
      </c>
      <c r="J328">
        <v>1.2735376146788988</v>
      </c>
      <c r="K328">
        <v>46235</v>
      </c>
      <c r="L328" t="s">
        <v>457</v>
      </c>
      <c r="M328">
        <v>9.5</v>
      </c>
      <c r="N328">
        <v>9.5</v>
      </c>
      <c r="O328">
        <v>2.8823529411764706</v>
      </c>
      <c r="P328">
        <v>7.4595362480873924</v>
      </c>
      <c r="Q328">
        <v>7.4595362480873924</v>
      </c>
      <c r="R328">
        <v>2.263264867840757</v>
      </c>
      <c r="S328">
        <v>0</v>
      </c>
      <c r="T328">
        <v>0</v>
      </c>
      <c r="U328">
        <v>5.1962713802466354</v>
      </c>
      <c r="V328">
        <v>0</v>
      </c>
      <c r="W328">
        <v>1.013264867840757</v>
      </c>
      <c r="X328">
        <v>0</v>
      </c>
      <c r="Y328">
        <v>0.25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0.13405659101883147</v>
      </c>
      <c r="AN328">
        <v>0.13405659101883147</v>
      </c>
      <c r="AO328">
        <v>0.30340557275541796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0.69659442724458209</v>
      </c>
      <c r="BA328">
        <v>0</v>
      </c>
      <c r="BB328">
        <v>0</v>
      </c>
      <c r="BC328">
        <v>0</v>
      </c>
      <c r="BD328">
        <v>0.13405659101883147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3.295918367346939</v>
      </c>
      <c r="BK328">
        <v>3.295918367346939</v>
      </c>
      <c r="BL328">
        <v>0.44183958060288325</v>
      </c>
      <c r="CC328">
        <v>0</v>
      </c>
      <c r="CD328">
        <v>0</v>
      </c>
      <c r="CE328">
        <v>0</v>
      </c>
    </row>
    <row r="329" spans="1:84" x14ac:dyDescent="0.25">
      <c r="A329" t="s">
        <v>128</v>
      </c>
      <c r="B329" t="s">
        <v>291</v>
      </c>
      <c r="C329" s="14" t="s">
        <v>109</v>
      </c>
      <c r="D329" s="12">
        <v>46245</v>
      </c>
      <c r="E329" s="14" t="s">
        <v>133</v>
      </c>
      <c r="F329" s="14" t="s">
        <v>133</v>
      </c>
      <c r="G329" s="14" t="s">
        <v>133</v>
      </c>
      <c r="H329" s="14"/>
      <c r="J329">
        <v>26.924273776316959</v>
      </c>
      <c r="M329">
        <v>47.5</v>
      </c>
      <c r="N329">
        <v>47.5</v>
      </c>
      <c r="O329">
        <v>28.125</v>
      </c>
      <c r="S329">
        <v>4.5134937729634714E-2</v>
      </c>
      <c r="T329">
        <v>0</v>
      </c>
      <c r="U329">
        <v>0.96845204469245139</v>
      </c>
      <c r="V329">
        <v>0</v>
      </c>
      <c r="W329">
        <v>0</v>
      </c>
      <c r="X329">
        <v>0</v>
      </c>
      <c r="Y329">
        <v>1.7359591434474825E-2</v>
      </c>
      <c r="Z329">
        <v>0</v>
      </c>
      <c r="AA329">
        <v>2.1825361543581612E-2</v>
      </c>
      <c r="AB329">
        <v>0.22553160134003591</v>
      </c>
      <c r="AC329">
        <v>1.7898109083905898E-2</v>
      </c>
      <c r="AD329">
        <v>0</v>
      </c>
      <c r="AE329">
        <v>0</v>
      </c>
      <c r="AF329">
        <v>0</v>
      </c>
      <c r="AG329">
        <v>0.75657028957605821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84" x14ac:dyDescent="0.25">
      <c r="A330" t="s">
        <v>128</v>
      </c>
      <c r="B330" t="s">
        <v>291</v>
      </c>
      <c r="C330" s="14" t="s">
        <v>72</v>
      </c>
      <c r="D330" s="12">
        <v>46243</v>
      </c>
      <c r="E330" s="14" t="s">
        <v>133</v>
      </c>
      <c r="F330" s="14" t="s">
        <v>133</v>
      </c>
      <c r="G330" s="14" t="s">
        <v>133</v>
      </c>
      <c r="H330" s="14" t="s">
        <v>74</v>
      </c>
      <c r="I330">
        <v>20</v>
      </c>
      <c r="J330">
        <v>4.220105607573192</v>
      </c>
      <c r="K330">
        <v>46243</v>
      </c>
      <c r="L330" t="s">
        <v>481</v>
      </c>
      <c r="M330">
        <v>23.75</v>
      </c>
      <c r="N330">
        <v>23.75</v>
      </c>
      <c r="O330">
        <v>4.6874999999999991</v>
      </c>
      <c r="P330">
        <v>5.6278212463165449</v>
      </c>
      <c r="Q330">
        <v>5.6278212463165449</v>
      </c>
      <c r="R330">
        <v>1.1107541933519494</v>
      </c>
      <c r="S330">
        <v>0</v>
      </c>
      <c r="T330">
        <v>0</v>
      </c>
      <c r="U330">
        <v>4.3778212463165449</v>
      </c>
      <c r="V330">
        <v>0</v>
      </c>
      <c r="W330">
        <v>0</v>
      </c>
      <c r="X330">
        <v>0</v>
      </c>
      <c r="Y330">
        <v>0.11075419335194936</v>
      </c>
      <c r="Z330">
        <v>0</v>
      </c>
      <c r="AA330">
        <v>0.13924580664805064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0.17768865716097651</v>
      </c>
      <c r="AN330">
        <v>0.17768865716097651</v>
      </c>
      <c r="AO330">
        <v>0.19736842105263155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0.80263157894736847</v>
      </c>
      <c r="BA330">
        <v>0</v>
      </c>
      <c r="BB330">
        <v>0</v>
      </c>
      <c r="BC330">
        <v>0</v>
      </c>
      <c r="BD330">
        <v>0.17768865716097651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5.0666666666666673</v>
      </c>
      <c r="BK330">
        <v>5.0666666666666673</v>
      </c>
      <c r="BL330">
        <v>0.9002891962822811</v>
      </c>
      <c r="CC330">
        <v>0</v>
      </c>
      <c r="CD330">
        <v>0</v>
      </c>
      <c r="CE330">
        <v>0</v>
      </c>
    </row>
    <row r="331" spans="1:84" x14ac:dyDescent="0.25">
      <c r="A331" t="s">
        <v>128</v>
      </c>
      <c r="B331" t="s">
        <v>291</v>
      </c>
      <c r="C331" s="14" t="s">
        <v>72</v>
      </c>
      <c r="D331" s="12">
        <v>46243</v>
      </c>
      <c r="E331" s="14" t="s">
        <v>133</v>
      </c>
      <c r="F331" s="14" t="s">
        <v>133</v>
      </c>
      <c r="G331" s="14" t="s">
        <v>133</v>
      </c>
      <c r="H331" s="14" t="s">
        <v>73</v>
      </c>
      <c r="I331">
        <v>20</v>
      </c>
      <c r="J331">
        <v>10.972274579690296</v>
      </c>
      <c r="K331">
        <v>46243</v>
      </c>
      <c r="L331" t="s">
        <v>480</v>
      </c>
      <c r="M331">
        <v>15.2</v>
      </c>
      <c r="N331">
        <v>15.2</v>
      </c>
      <c r="O331">
        <v>13.104166666666666</v>
      </c>
      <c r="P331">
        <v>1.3853098452471497</v>
      </c>
      <c r="Q331">
        <v>1.3853098452471497</v>
      </c>
      <c r="R331">
        <v>1.1942980984929512</v>
      </c>
      <c r="S331">
        <v>0</v>
      </c>
      <c r="T331">
        <v>0</v>
      </c>
      <c r="U331">
        <v>0.13530984524714973</v>
      </c>
      <c r="V331">
        <v>0</v>
      </c>
      <c r="W331">
        <v>0</v>
      </c>
      <c r="X331">
        <v>0</v>
      </c>
      <c r="Y331">
        <v>0.19429809849295121</v>
      </c>
      <c r="Z331">
        <v>0</v>
      </c>
      <c r="AA331">
        <v>5.570190150704879E-2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0.72186016971646694</v>
      </c>
      <c r="AN331">
        <v>0.72186016971646694</v>
      </c>
      <c r="AO331">
        <v>0.86211622807017541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0.13788377192982459</v>
      </c>
      <c r="BA331">
        <v>0</v>
      </c>
      <c r="BB331">
        <v>0</v>
      </c>
      <c r="BC331">
        <v>0</v>
      </c>
      <c r="BD331">
        <v>0.72186016971646694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1.1599364069952305</v>
      </c>
      <c r="BK331">
        <v>1.1599364069952305</v>
      </c>
      <c r="BL331">
        <v>0.83731189161388597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0.15993640699523048</v>
      </c>
      <c r="BV331">
        <v>0</v>
      </c>
      <c r="BW331">
        <v>0</v>
      </c>
      <c r="BX331">
        <v>0</v>
      </c>
      <c r="BY331">
        <v>0.16268810838611403</v>
      </c>
      <c r="BZ331">
        <v>0</v>
      </c>
      <c r="CA331">
        <v>0.83731189161388597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x14ac:dyDescent="0.25">
      <c r="A332" t="s">
        <v>128</v>
      </c>
      <c r="B332" t="s">
        <v>291</v>
      </c>
      <c r="C332" s="14" t="s">
        <v>72</v>
      </c>
      <c r="D332" s="12">
        <v>46224</v>
      </c>
      <c r="E332" s="14" t="s">
        <v>134</v>
      </c>
      <c r="F332" s="14" t="s">
        <v>134</v>
      </c>
      <c r="G332" s="14" t="s">
        <v>134</v>
      </c>
      <c r="H332" s="14" t="s">
        <v>75</v>
      </c>
      <c r="I332">
        <v>20</v>
      </c>
      <c r="J332">
        <v>3.3711289800323794</v>
      </c>
      <c r="K332">
        <v>46224</v>
      </c>
      <c r="L332" t="s">
        <v>428</v>
      </c>
      <c r="M332">
        <v>0.95</v>
      </c>
      <c r="N332">
        <v>0.95</v>
      </c>
      <c r="O332">
        <v>3.9861591695501706</v>
      </c>
      <c r="P332">
        <v>0.28180470270552366</v>
      </c>
      <c r="Q332">
        <v>0.28180470270552366</v>
      </c>
      <c r="R332">
        <v>1.1824404207494559</v>
      </c>
      <c r="S332">
        <v>0.18244042074945588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0.71819529729447629</v>
      </c>
      <c r="AC332">
        <v>0</v>
      </c>
      <c r="AD332">
        <v>0</v>
      </c>
      <c r="AE332">
        <v>0</v>
      </c>
      <c r="AF332">
        <v>0</v>
      </c>
      <c r="AG332">
        <v>0.28180470270552366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3.5485568210867151</v>
      </c>
      <c r="AN332">
        <v>3.5485568210867151</v>
      </c>
      <c r="AO332">
        <v>4.1959570205791268</v>
      </c>
      <c r="BF332">
        <v>0</v>
      </c>
      <c r="BG332">
        <v>0</v>
      </c>
      <c r="BH332">
        <v>0</v>
      </c>
      <c r="BJ332">
        <v>0.23832465277777792</v>
      </c>
      <c r="BK332">
        <v>0.23832465277777792</v>
      </c>
      <c r="BL332">
        <v>0.84570857224770679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0.15429142775229321</v>
      </c>
      <c r="BX332">
        <v>0</v>
      </c>
      <c r="BY332">
        <v>0</v>
      </c>
      <c r="BZ332">
        <v>0</v>
      </c>
      <c r="CA332">
        <v>0.23832465277777792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x14ac:dyDescent="0.25">
      <c r="A333" t="s">
        <v>128</v>
      </c>
      <c r="B333" t="s">
        <v>291</v>
      </c>
      <c r="C333" s="14" t="s">
        <v>109</v>
      </c>
      <c r="D333" s="12">
        <v>46245</v>
      </c>
      <c r="E333" s="14" t="s">
        <v>420</v>
      </c>
      <c r="F333" s="14" t="s">
        <v>420</v>
      </c>
      <c r="G333" s="14" t="s">
        <v>420</v>
      </c>
      <c r="H333" s="14"/>
      <c r="J333">
        <v>6.7786480661254069</v>
      </c>
      <c r="M333">
        <v>16.149999999999999</v>
      </c>
      <c r="N333">
        <v>16.149999999999999</v>
      </c>
      <c r="O333">
        <v>7.5155709342560542</v>
      </c>
      <c r="S333">
        <v>0.10871236579064114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0.29927030380335973</v>
      </c>
      <c r="AC333">
        <v>0</v>
      </c>
      <c r="AD333">
        <v>0</v>
      </c>
      <c r="AE333">
        <v>0</v>
      </c>
      <c r="AF333">
        <v>0</v>
      </c>
      <c r="AG333">
        <v>0.70072969619664038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84" x14ac:dyDescent="0.25">
      <c r="A334" t="s">
        <v>128</v>
      </c>
      <c r="B334" t="s">
        <v>291</v>
      </c>
      <c r="C334" s="14" t="s">
        <v>109</v>
      </c>
      <c r="D334" s="12">
        <v>46250</v>
      </c>
      <c r="E334" s="14" t="s">
        <v>420</v>
      </c>
      <c r="F334" s="14" t="s">
        <v>420</v>
      </c>
      <c r="G334" s="14" t="s">
        <v>420</v>
      </c>
      <c r="H334" s="14"/>
      <c r="J334">
        <v>6.7786480661254078</v>
      </c>
      <c r="M334">
        <v>18.049999999999997</v>
      </c>
      <c r="N334">
        <v>18.049999999999997</v>
      </c>
      <c r="O334">
        <v>7.5155709342560542</v>
      </c>
      <c r="S334">
        <v>2.412709667597477E-2</v>
      </c>
      <c r="T334">
        <v>0</v>
      </c>
      <c r="U334">
        <v>1.5162515885899206</v>
      </c>
      <c r="V334">
        <v>0</v>
      </c>
      <c r="W334">
        <v>0</v>
      </c>
      <c r="X334">
        <v>0</v>
      </c>
      <c r="Y334">
        <v>8.458526911466617E-2</v>
      </c>
      <c r="Z334">
        <v>0</v>
      </c>
      <c r="AA334">
        <v>3.2602230885333858E-2</v>
      </c>
      <c r="AB334">
        <v>0.11081218228201581</v>
      </c>
      <c r="AC334">
        <v>0</v>
      </c>
      <c r="AD334">
        <v>0</v>
      </c>
      <c r="AE334">
        <v>0</v>
      </c>
      <c r="AF334">
        <v>0</v>
      </c>
      <c r="AG334">
        <v>0.88918781771798416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84" x14ac:dyDescent="0.25">
      <c r="A335" t="s">
        <v>128</v>
      </c>
      <c r="B335" t="s">
        <v>291</v>
      </c>
      <c r="C335" s="14" t="s">
        <v>109</v>
      </c>
      <c r="D335" s="12">
        <v>46245</v>
      </c>
      <c r="E335" s="14" t="s">
        <v>134</v>
      </c>
      <c r="F335" s="14" t="s">
        <v>134</v>
      </c>
      <c r="G335" s="14" t="s">
        <v>134</v>
      </c>
      <c r="H335" s="14"/>
      <c r="J335">
        <v>11.659072988059902</v>
      </c>
      <c r="M335">
        <v>15.2</v>
      </c>
      <c r="N335">
        <v>15.2</v>
      </c>
      <c r="O335">
        <v>15.335640138408301</v>
      </c>
      <c r="S335">
        <v>0.21894935001331975</v>
      </c>
      <c r="T335">
        <v>0</v>
      </c>
      <c r="U335">
        <v>0.49116002568126926</v>
      </c>
      <c r="V335">
        <v>0</v>
      </c>
      <c r="W335">
        <v>0.10563510449564691</v>
      </c>
      <c r="X335">
        <v>0</v>
      </c>
      <c r="Y335">
        <v>2.7307866070980368E-2</v>
      </c>
      <c r="Z335">
        <v>0</v>
      </c>
      <c r="AA335">
        <v>0</v>
      </c>
      <c r="AB335">
        <v>0.28384454557743638</v>
      </c>
      <c r="AC335">
        <v>3.6552743058339263E-2</v>
      </c>
      <c r="AD335">
        <v>0</v>
      </c>
      <c r="AE335">
        <v>0</v>
      </c>
      <c r="AF335">
        <v>0</v>
      </c>
      <c r="AG335">
        <v>0.67960271136422434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84" x14ac:dyDescent="0.25">
      <c r="A336" t="s">
        <v>128</v>
      </c>
      <c r="B336" t="s">
        <v>291</v>
      </c>
      <c r="C336" s="14" t="s">
        <v>72</v>
      </c>
      <c r="D336" s="12">
        <v>46242</v>
      </c>
      <c r="E336" s="14" t="s">
        <v>133</v>
      </c>
      <c r="F336" s="14" t="s">
        <v>133</v>
      </c>
      <c r="G336" s="14" t="s">
        <v>133</v>
      </c>
      <c r="H336" s="14" t="s">
        <v>74</v>
      </c>
      <c r="I336">
        <v>20</v>
      </c>
      <c r="J336">
        <v>4.220105607573192</v>
      </c>
      <c r="K336">
        <v>46242</v>
      </c>
      <c r="L336" t="s">
        <v>478</v>
      </c>
      <c r="M336">
        <v>4.75</v>
      </c>
      <c r="N336">
        <v>4.75</v>
      </c>
      <c r="O336">
        <v>5.6041666666666661</v>
      </c>
      <c r="P336">
        <v>1.1255642492633089</v>
      </c>
      <c r="Q336">
        <v>1.1255642492633089</v>
      </c>
      <c r="R336">
        <v>1.327968346718553</v>
      </c>
      <c r="S336">
        <v>0.20240409745524413</v>
      </c>
      <c r="T336">
        <v>0</v>
      </c>
      <c r="U336">
        <v>0</v>
      </c>
      <c r="V336">
        <v>0</v>
      </c>
      <c r="W336">
        <v>0</v>
      </c>
      <c r="X336">
        <v>0.12443575073669111</v>
      </c>
      <c r="Y336">
        <v>0.12556424926330889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0.88844328580488252</v>
      </c>
      <c r="AN336">
        <v>0.88844328580488252</v>
      </c>
      <c r="AO336">
        <v>1.1798245614035086</v>
      </c>
      <c r="AP336">
        <v>0.17982456140350855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0.88844328580488252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0.84758364312267664</v>
      </c>
      <c r="BK336">
        <v>0.84758364312267664</v>
      </c>
      <c r="BL336">
        <v>0.75302999689038375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0.15241635687732336</v>
      </c>
      <c r="BX336">
        <v>0</v>
      </c>
      <c r="BY336">
        <v>9.4553646232292898E-2</v>
      </c>
      <c r="BZ336">
        <v>0</v>
      </c>
      <c r="CA336">
        <v>0.75302999689038375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 spans="1:84" x14ac:dyDescent="0.25">
      <c r="A337" t="s">
        <v>128</v>
      </c>
      <c r="B337" t="s">
        <v>291</v>
      </c>
      <c r="C337" s="14" t="s">
        <v>72</v>
      </c>
      <c r="D337" s="12">
        <v>46235</v>
      </c>
      <c r="E337" s="14" t="s">
        <v>134</v>
      </c>
      <c r="F337" s="14" t="s">
        <v>134</v>
      </c>
      <c r="G337" s="14" t="s">
        <v>134</v>
      </c>
      <c r="H337" s="14" t="s">
        <v>73</v>
      </c>
      <c r="I337">
        <v>20</v>
      </c>
      <c r="J337">
        <v>5.3727368119266048</v>
      </c>
      <c r="K337">
        <v>46235</v>
      </c>
      <c r="L337" t="s">
        <v>456</v>
      </c>
      <c r="M337">
        <v>2.8499999999999996</v>
      </c>
      <c r="N337">
        <v>2.8499999999999996</v>
      </c>
      <c r="O337">
        <v>6.7720588235294095</v>
      </c>
      <c r="P337">
        <v>0.53045591097510336</v>
      </c>
      <c r="Q337">
        <v>0.53045591097510336</v>
      </c>
      <c r="R337">
        <v>1.2604486429516772</v>
      </c>
      <c r="S337">
        <v>0.26044864295167724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0.46954408902489664</v>
      </c>
      <c r="AC337">
        <v>0</v>
      </c>
      <c r="AD337">
        <v>0</v>
      </c>
      <c r="AE337">
        <v>0</v>
      </c>
      <c r="AF337">
        <v>0</v>
      </c>
      <c r="AG337">
        <v>0.53045591097510336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1.8851708112023178</v>
      </c>
      <c r="AN337">
        <v>1.8851708112023178</v>
      </c>
      <c r="AO337">
        <v>2.3761609907120738</v>
      </c>
      <c r="BF337">
        <v>0</v>
      </c>
      <c r="BG337">
        <v>0</v>
      </c>
      <c r="BH337">
        <v>0</v>
      </c>
      <c r="BJ337">
        <v>0.42084690553745935</v>
      </c>
      <c r="BK337">
        <v>0.42084690553745935</v>
      </c>
      <c r="BL337">
        <v>0.79336830230403743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0.20663169769596257</v>
      </c>
      <c r="BX337">
        <v>0</v>
      </c>
      <c r="BY337">
        <v>0</v>
      </c>
      <c r="BZ337">
        <v>0</v>
      </c>
      <c r="CA337">
        <v>0.42084690553745935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x14ac:dyDescent="0.25">
      <c r="A338" t="s">
        <v>128</v>
      </c>
      <c r="B338" t="s">
        <v>291</v>
      </c>
      <c r="C338" s="14" t="s">
        <v>109</v>
      </c>
      <c r="D338" s="12">
        <v>46246</v>
      </c>
      <c r="E338" s="14" t="s">
        <v>133</v>
      </c>
      <c r="F338" s="14" t="s">
        <v>133</v>
      </c>
      <c r="G338" s="14" t="s">
        <v>133</v>
      </c>
      <c r="H338" s="14"/>
      <c r="J338">
        <v>27.59949067352867</v>
      </c>
      <c r="M338">
        <v>50.349999999999994</v>
      </c>
      <c r="N338">
        <v>50.349999999999994</v>
      </c>
      <c r="O338">
        <v>28.96875</v>
      </c>
      <c r="S338">
        <v>4.5373643425068604E-2</v>
      </c>
      <c r="T338">
        <v>0</v>
      </c>
      <c r="U338">
        <v>0.8984163377013189</v>
      </c>
      <c r="V338">
        <v>0</v>
      </c>
      <c r="W338">
        <v>1.192176555329557E-2</v>
      </c>
      <c r="X338">
        <v>0</v>
      </c>
      <c r="Y338">
        <v>3.8226299694189607E-2</v>
      </c>
      <c r="Z338">
        <v>0</v>
      </c>
      <c r="AA338">
        <v>0</v>
      </c>
      <c r="AB338">
        <v>7.8345427108661922E-2</v>
      </c>
      <c r="AC338">
        <v>4.5909947982179324E-2</v>
      </c>
      <c r="AD338">
        <v>0</v>
      </c>
      <c r="AE338">
        <v>0</v>
      </c>
      <c r="AF338">
        <v>0</v>
      </c>
      <c r="AG338">
        <v>0.87574462490915872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84" x14ac:dyDescent="0.25">
      <c r="A339" t="s">
        <v>128</v>
      </c>
      <c r="B339" t="s">
        <v>291</v>
      </c>
      <c r="C339" s="14" t="s">
        <v>72</v>
      </c>
      <c r="D339" s="12">
        <v>46225</v>
      </c>
      <c r="E339" s="14" t="s">
        <v>134</v>
      </c>
      <c r="F339" s="14" t="s">
        <v>134</v>
      </c>
      <c r="G339" s="14" t="s">
        <v>134</v>
      </c>
      <c r="H339" s="14" t="s">
        <v>73</v>
      </c>
      <c r="I339">
        <v>20</v>
      </c>
      <c r="J339">
        <v>4.6265233658256886</v>
      </c>
      <c r="K339">
        <v>46225</v>
      </c>
      <c r="L339" t="s">
        <v>429</v>
      </c>
      <c r="M339">
        <v>1.9</v>
      </c>
      <c r="N339">
        <v>1.9</v>
      </c>
      <c r="O339">
        <v>3.8308823529411753</v>
      </c>
      <c r="P339">
        <v>0.41067554398072509</v>
      </c>
      <c r="Q339">
        <v>0.41067554398072509</v>
      </c>
      <c r="R339">
        <v>0.82802615485277753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0.41735061087205244</v>
      </c>
      <c r="AC339">
        <v>0.17197384514722247</v>
      </c>
      <c r="AD339">
        <v>0</v>
      </c>
      <c r="AE339">
        <v>0</v>
      </c>
      <c r="AF339">
        <v>0</v>
      </c>
      <c r="AG339">
        <v>0.41067554398072509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2.4350122978029942</v>
      </c>
      <c r="AN339">
        <v>2.4350122978029942</v>
      </c>
      <c r="AO339">
        <v>2.0162538699690398</v>
      </c>
      <c r="BF339">
        <v>0</v>
      </c>
      <c r="BG339">
        <v>0</v>
      </c>
      <c r="BH339">
        <v>0</v>
      </c>
      <c r="BJ339">
        <v>0.49596928982725541</v>
      </c>
      <c r="BK339">
        <v>0.49596928982725541</v>
      </c>
      <c r="BL339">
        <v>1.2076913200619843</v>
      </c>
      <c r="BM339">
        <v>0.20769132006198432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0.58932445601927497</v>
      </c>
      <c r="BW339">
        <v>0</v>
      </c>
      <c r="BX339">
        <v>0</v>
      </c>
      <c r="BY339">
        <v>0</v>
      </c>
      <c r="BZ339">
        <v>0</v>
      </c>
      <c r="CA339">
        <v>0.49596928982725541</v>
      </c>
      <c r="CB339">
        <v>0</v>
      </c>
      <c r="CC339">
        <v>0</v>
      </c>
      <c r="CD339">
        <v>0</v>
      </c>
      <c r="CE339">
        <v>0</v>
      </c>
      <c r="CF339">
        <v>0</v>
      </c>
    </row>
    <row r="340" spans="1:84" x14ac:dyDescent="0.25">
      <c r="A340" t="s">
        <v>128</v>
      </c>
      <c r="B340" t="s">
        <v>291</v>
      </c>
      <c r="C340" s="14" t="s">
        <v>72</v>
      </c>
      <c r="D340" s="12">
        <v>46236</v>
      </c>
      <c r="E340" s="14" t="s">
        <v>134</v>
      </c>
      <c r="F340" s="14" t="s">
        <v>134</v>
      </c>
      <c r="G340" s="14" t="s">
        <v>134</v>
      </c>
      <c r="H340" s="14" t="s">
        <v>73</v>
      </c>
      <c r="I340">
        <v>20</v>
      </c>
      <c r="J340">
        <v>3.5818245412844019</v>
      </c>
      <c r="K340">
        <v>46236</v>
      </c>
      <c r="L340" t="s">
        <v>459</v>
      </c>
      <c r="M340">
        <v>6.6499999999999995</v>
      </c>
      <c r="N340">
        <v>6.6499999999999995</v>
      </c>
      <c r="O340">
        <v>5.8823529411764675</v>
      </c>
      <c r="P340">
        <v>1.8565956884128625</v>
      </c>
      <c r="Q340">
        <v>1.8565956884128625</v>
      </c>
      <c r="R340">
        <v>1.6422783621520227</v>
      </c>
      <c r="S340">
        <v>0</v>
      </c>
      <c r="T340">
        <v>0</v>
      </c>
      <c r="U340">
        <v>0.21431732626083977</v>
      </c>
      <c r="V340">
        <v>0</v>
      </c>
      <c r="W340">
        <v>0.39227836215202272</v>
      </c>
      <c r="X340">
        <v>0</v>
      </c>
      <c r="Y340">
        <v>0.25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0.53862023177209051</v>
      </c>
      <c r="AN340">
        <v>0.53862023177209051</v>
      </c>
      <c r="AO340">
        <v>0.88456435205661177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0.11543564794338823</v>
      </c>
      <c r="BA340">
        <v>0</v>
      </c>
      <c r="BB340">
        <v>0</v>
      </c>
      <c r="BC340">
        <v>0</v>
      </c>
      <c r="BD340">
        <v>0.53862023177209051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1.1305000000000005</v>
      </c>
      <c r="BK340">
        <v>1.1305000000000005</v>
      </c>
      <c r="BL340">
        <v>0.60891017201834863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0.1305000000000005</v>
      </c>
      <c r="BV340">
        <v>0</v>
      </c>
      <c r="BW340">
        <v>0</v>
      </c>
      <c r="BX340">
        <v>0</v>
      </c>
      <c r="BY340">
        <v>0.39108982798165137</v>
      </c>
      <c r="BZ340">
        <v>0</v>
      </c>
      <c r="CA340">
        <v>0.60891017201834863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 spans="1:84" x14ac:dyDescent="0.25">
      <c r="A341" t="s">
        <v>128</v>
      </c>
      <c r="B341" t="s">
        <v>291</v>
      </c>
      <c r="C341" s="14" t="s">
        <v>72</v>
      </c>
      <c r="D341" s="12">
        <v>46242</v>
      </c>
      <c r="E341" s="14" t="s">
        <v>133</v>
      </c>
      <c r="F341" s="14" t="s">
        <v>133</v>
      </c>
      <c r="G341" s="14" t="s">
        <v>133</v>
      </c>
      <c r="H341" s="14" t="s">
        <v>73</v>
      </c>
      <c r="I341">
        <v>20</v>
      </c>
      <c r="J341">
        <v>11.028542654457937</v>
      </c>
      <c r="K341">
        <v>46242</v>
      </c>
      <c r="L341" t="s">
        <v>477</v>
      </c>
      <c r="M341">
        <v>47.5</v>
      </c>
      <c r="N341">
        <v>47.5</v>
      </c>
      <c r="O341">
        <v>13.1078431372549</v>
      </c>
      <c r="P341">
        <v>4.3070060558545</v>
      </c>
      <c r="Q341">
        <v>4.3070060558545</v>
      </c>
      <c r="R341">
        <v>1.1885381004494253</v>
      </c>
      <c r="S341">
        <v>0</v>
      </c>
      <c r="T341">
        <v>0</v>
      </c>
      <c r="U341">
        <v>3.0570060558545</v>
      </c>
      <c r="V341">
        <v>0</v>
      </c>
      <c r="W341">
        <v>0</v>
      </c>
      <c r="X341">
        <v>0</v>
      </c>
      <c r="Y341">
        <v>0.18853810044942532</v>
      </c>
      <c r="Z341">
        <v>0</v>
      </c>
      <c r="AA341">
        <v>6.1461899550574683E-2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0.2321798453570092</v>
      </c>
      <c r="AN341">
        <v>0.2321798453570092</v>
      </c>
      <c r="AO341">
        <v>0.27595459236326103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0.72404540763673897</v>
      </c>
      <c r="BA341">
        <v>0</v>
      </c>
      <c r="BB341">
        <v>0</v>
      </c>
      <c r="BC341">
        <v>0</v>
      </c>
      <c r="BD341">
        <v>0.2321798453570092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3.6237845923709804</v>
      </c>
      <c r="BK341">
        <v>3.6237845923709804</v>
      </c>
      <c r="BL341">
        <v>0.84136974626380678</v>
      </c>
      <c r="CC341">
        <v>0</v>
      </c>
      <c r="CD341">
        <v>0</v>
      </c>
      <c r="CE341">
        <v>0</v>
      </c>
    </row>
    <row r="342" spans="1:84" x14ac:dyDescent="0.25">
      <c r="A342" t="s">
        <v>128</v>
      </c>
      <c r="B342" t="s">
        <v>291</v>
      </c>
      <c r="C342" s="14" t="s">
        <v>109</v>
      </c>
      <c r="D342" s="12">
        <v>46243</v>
      </c>
      <c r="E342" s="14" t="s">
        <v>134</v>
      </c>
      <c r="F342" s="14" t="s">
        <v>134</v>
      </c>
      <c r="G342" s="14" t="s">
        <v>134</v>
      </c>
      <c r="H342" s="14"/>
      <c r="J342">
        <v>8.1518697913855913</v>
      </c>
      <c r="M342">
        <v>17.100000000000001</v>
      </c>
      <c r="N342">
        <v>17.100000000000001</v>
      </c>
      <c r="O342">
        <v>12.456747404844286</v>
      </c>
      <c r="S342">
        <v>0.11112571423778832</v>
      </c>
      <c r="T342">
        <v>0</v>
      </c>
      <c r="U342">
        <v>0.68071928160099926</v>
      </c>
      <c r="V342">
        <v>0</v>
      </c>
      <c r="W342">
        <v>0.2385994696050478</v>
      </c>
      <c r="X342">
        <v>7.1640496081037827E-2</v>
      </c>
      <c r="Y342">
        <v>0.17835950391896213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0.56976702444627914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84" x14ac:dyDescent="0.25">
      <c r="A343" t="s">
        <v>128</v>
      </c>
      <c r="B343" t="s">
        <v>291</v>
      </c>
      <c r="C343" s="14" t="s">
        <v>72</v>
      </c>
      <c r="D343" s="12">
        <v>46224</v>
      </c>
      <c r="E343" s="14" t="s">
        <v>134</v>
      </c>
      <c r="F343" s="14" t="s">
        <v>134</v>
      </c>
      <c r="G343" s="14" t="s">
        <v>134</v>
      </c>
      <c r="H343" s="14" t="s">
        <v>74</v>
      </c>
      <c r="I343">
        <v>20</v>
      </c>
      <c r="J343">
        <v>1.2735376146788988</v>
      </c>
      <c r="K343">
        <v>46224</v>
      </c>
      <c r="L343" t="s">
        <v>427</v>
      </c>
      <c r="M343">
        <v>11.4</v>
      </c>
      <c r="N343">
        <v>11.4</v>
      </c>
      <c r="O343">
        <v>1.8823529411764703</v>
      </c>
      <c r="P343">
        <v>8.9514434977048705</v>
      </c>
      <c r="Q343">
        <v>8.9514434977048705</v>
      </c>
      <c r="R343">
        <v>1.4780505259368206</v>
      </c>
      <c r="S343">
        <v>0</v>
      </c>
      <c r="T343">
        <v>0</v>
      </c>
      <c r="U343">
        <v>7.4733929717680496</v>
      </c>
      <c r="V343">
        <v>0</v>
      </c>
      <c r="W343">
        <v>0.22805052593682063</v>
      </c>
      <c r="X343">
        <v>0</v>
      </c>
      <c r="Y343">
        <v>0.25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0.11171382584902623</v>
      </c>
      <c r="AN343">
        <v>0.11171382584902623</v>
      </c>
      <c r="AO343">
        <v>0.1651186790505676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0.83488132094943235</v>
      </c>
      <c r="BA343">
        <v>0</v>
      </c>
      <c r="BB343">
        <v>0</v>
      </c>
      <c r="BC343">
        <v>0</v>
      </c>
      <c r="BD343">
        <v>0.11171382584902623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6.0562500000000004</v>
      </c>
      <c r="BK343">
        <v>6.0562500000000004</v>
      </c>
      <c r="BL343">
        <v>0.67656685779816506</v>
      </c>
      <c r="CC343">
        <v>0</v>
      </c>
      <c r="CD343">
        <v>0</v>
      </c>
      <c r="CE343">
        <v>0</v>
      </c>
    </row>
    <row r="344" spans="1:84" x14ac:dyDescent="0.25">
      <c r="A344" t="s">
        <v>128</v>
      </c>
      <c r="B344" t="s">
        <v>291</v>
      </c>
      <c r="C344" s="14" t="s">
        <v>72</v>
      </c>
      <c r="D344" s="12">
        <v>46243</v>
      </c>
      <c r="E344" s="14" t="s">
        <v>420</v>
      </c>
      <c r="F344" s="14" t="s">
        <v>420</v>
      </c>
      <c r="G344" s="14" t="s">
        <v>420</v>
      </c>
      <c r="H344" s="14" t="s">
        <v>74</v>
      </c>
      <c r="I344">
        <v>20</v>
      </c>
      <c r="J344">
        <v>0</v>
      </c>
      <c r="K344">
        <v>46243</v>
      </c>
      <c r="L344" t="s">
        <v>481</v>
      </c>
      <c r="M344">
        <v>4.75</v>
      </c>
      <c r="N344">
        <v>4.75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F344">
        <v>0</v>
      </c>
    </row>
    <row r="345" spans="1:84" x14ac:dyDescent="0.25">
      <c r="A345" t="s">
        <v>128</v>
      </c>
      <c r="B345" t="s">
        <v>291</v>
      </c>
      <c r="C345" s="14" t="s">
        <v>109</v>
      </c>
      <c r="D345" s="12">
        <v>46241</v>
      </c>
      <c r="E345" s="14" t="s">
        <v>420</v>
      </c>
      <c r="F345" s="14" t="s">
        <v>420</v>
      </c>
      <c r="G345" s="14" t="s">
        <v>420</v>
      </c>
      <c r="H345" s="14"/>
      <c r="J345">
        <v>6.7786480661254078</v>
      </c>
      <c r="M345">
        <v>19</v>
      </c>
      <c r="N345">
        <v>19</v>
      </c>
      <c r="O345">
        <v>7.5155709342560542</v>
      </c>
      <c r="S345">
        <v>8.458526911466617E-2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2.4127096675974891E-2</v>
      </c>
      <c r="Z345">
        <v>0</v>
      </c>
      <c r="AA345">
        <v>5.2066602813373702E-3</v>
      </c>
      <c r="AB345">
        <v>4.8312182282015989E-2</v>
      </c>
      <c r="AC345">
        <v>0</v>
      </c>
      <c r="AD345">
        <v>0</v>
      </c>
      <c r="AE345">
        <v>0</v>
      </c>
      <c r="AF345">
        <v>0</v>
      </c>
      <c r="AG345">
        <v>0.95168781771798394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84" x14ac:dyDescent="0.25">
      <c r="A346" t="s">
        <v>128</v>
      </c>
      <c r="B346" t="s">
        <v>291</v>
      </c>
      <c r="C346" s="14" t="s">
        <v>72</v>
      </c>
      <c r="D346" s="12">
        <v>46247</v>
      </c>
      <c r="E346" s="14" t="s">
        <v>133</v>
      </c>
      <c r="F346" s="14" t="s">
        <v>133</v>
      </c>
      <c r="G346" s="14" t="s">
        <v>133</v>
      </c>
      <c r="H346" s="14" t="s">
        <v>73</v>
      </c>
      <c r="I346">
        <v>20</v>
      </c>
      <c r="J346">
        <v>10.887872467538832</v>
      </c>
      <c r="K346">
        <v>46247</v>
      </c>
      <c r="L346" t="s">
        <v>492</v>
      </c>
      <c r="M346">
        <v>15.2</v>
      </c>
      <c r="N346">
        <v>15.2</v>
      </c>
      <c r="O346">
        <v>12.166666666666668</v>
      </c>
      <c r="P346">
        <v>1.3960486812568176</v>
      </c>
      <c r="Q346">
        <v>1.3960486812568176</v>
      </c>
      <c r="R346">
        <v>1.1174512470586371</v>
      </c>
      <c r="S346">
        <v>0</v>
      </c>
      <c r="T346">
        <v>0</v>
      </c>
      <c r="U346">
        <v>0.14604868125681758</v>
      </c>
      <c r="V346">
        <v>0</v>
      </c>
      <c r="W346">
        <v>0</v>
      </c>
      <c r="X346">
        <v>0</v>
      </c>
      <c r="Y346">
        <v>0.11745124705863708</v>
      </c>
      <c r="Z346">
        <v>0</v>
      </c>
      <c r="AA346">
        <v>0.13254875294136292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0.71630739918018638</v>
      </c>
      <c r="AN346">
        <v>0.71630739918018638</v>
      </c>
      <c r="AO346">
        <v>0.80043859649122817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0.19956140350877183</v>
      </c>
      <c r="BA346">
        <v>0</v>
      </c>
      <c r="BB346">
        <v>0</v>
      </c>
      <c r="BC346">
        <v>0</v>
      </c>
      <c r="BD346">
        <v>0.71630739918018638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1.2493150684931504</v>
      </c>
      <c r="BK346">
        <v>1.2493150684931504</v>
      </c>
      <c r="BL346">
        <v>0.89489362746894507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0.24931506849315044</v>
      </c>
      <c r="BV346">
        <v>0</v>
      </c>
      <c r="BW346">
        <v>0</v>
      </c>
      <c r="BX346">
        <v>0</v>
      </c>
      <c r="BY346">
        <v>0.10510637253105493</v>
      </c>
      <c r="BZ346">
        <v>0</v>
      </c>
      <c r="CA346">
        <v>0.89489362746894507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 spans="1:84" x14ac:dyDescent="0.25">
      <c r="A347" t="s">
        <v>128</v>
      </c>
      <c r="B347" t="s">
        <v>291</v>
      </c>
      <c r="C347" s="14" t="s">
        <v>72</v>
      </c>
      <c r="D347" s="12">
        <v>46246</v>
      </c>
      <c r="E347" s="14" t="s">
        <v>133</v>
      </c>
      <c r="F347" s="14" t="s">
        <v>133</v>
      </c>
      <c r="G347" s="14" t="s">
        <v>133</v>
      </c>
      <c r="H347" s="14" t="s">
        <v>75</v>
      </c>
      <c r="I347">
        <v>20</v>
      </c>
      <c r="J347">
        <v>10.80347035538737</v>
      </c>
      <c r="K347">
        <v>46246</v>
      </c>
      <c r="L347" t="s">
        <v>491</v>
      </c>
      <c r="M347">
        <v>9.5</v>
      </c>
      <c r="N347">
        <v>9.5</v>
      </c>
      <c r="O347">
        <v>12.055759803921568</v>
      </c>
      <c r="P347">
        <v>0.8793470697369602</v>
      </c>
      <c r="Q347">
        <v>0.8793470697369602</v>
      </c>
      <c r="R347">
        <v>1.1159154796874799</v>
      </c>
      <c r="S347">
        <v>0.11591547968747995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0.1206529302630398</v>
      </c>
      <c r="AC347">
        <v>0</v>
      </c>
      <c r="AD347">
        <v>0</v>
      </c>
      <c r="AE347">
        <v>0</v>
      </c>
      <c r="AF347">
        <v>0</v>
      </c>
      <c r="AG347">
        <v>0.8793470697369602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1.1372074058302495</v>
      </c>
      <c r="AN347">
        <v>1.1372074058302495</v>
      </c>
      <c r="AO347">
        <v>1.2690273477812177</v>
      </c>
      <c r="AP347">
        <v>0.13181994195096824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0.13720740583024948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0.7880050825921221</v>
      </c>
      <c r="BK347">
        <v>0.7880050825921221</v>
      </c>
      <c r="BL347">
        <v>0.89612521575563864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0.10387478424436136</v>
      </c>
      <c r="BX347">
        <v>0</v>
      </c>
      <c r="BY347">
        <v>0</v>
      </c>
      <c r="BZ347">
        <v>0</v>
      </c>
      <c r="CA347">
        <v>0.7880050825921221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 spans="1:84" x14ac:dyDescent="0.25">
      <c r="A348" t="s">
        <v>128</v>
      </c>
      <c r="B348" t="s">
        <v>291</v>
      </c>
      <c r="C348" s="14" t="s">
        <v>72</v>
      </c>
      <c r="D348" s="12">
        <v>46223</v>
      </c>
      <c r="E348" s="14" t="s">
        <v>134</v>
      </c>
      <c r="F348" s="14" t="s">
        <v>134</v>
      </c>
      <c r="G348" s="14" t="s">
        <v>134</v>
      </c>
      <c r="H348" s="14" t="s">
        <v>75</v>
      </c>
      <c r="I348">
        <v>20</v>
      </c>
      <c r="J348">
        <v>3.3711289800323794</v>
      </c>
      <c r="K348">
        <v>46223</v>
      </c>
      <c r="L348" t="s">
        <v>425</v>
      </c>
      <c r="M348">
        <v>3.8</v>
      </c>
      <c r="N348">
        <v>3.8</v>
      </c>
      <c r="O348">
        <v>3.9861591695501688</v>
      </c>
      <c r="P348">
        <v>1.1272188108220946</v>
      </c>
      <c r="Q348">
        <v>1.1272188108220946</v>
      </c>
      <c r="R348">
        <v>1.1824404207494552</v>
      </c>
      <c r="S348">
        <v>5.5221609927360582E-2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0.12721881082209463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0.88713920527167878</v>
      </c>
      <c r="AN348">
        <v>0.88713920527167878</v>
      </c>
      <c r="AO348">
        <v>1.0489892551447813</v>
      </c>
      <c r="AP348">
        <v>4.8989255144781252E-2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0.88713920527167878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0.95329861111111203</v>
      </c>
      <c r="BK348">
        <v>0.95329861111111203</v>
      </c>
      <c r="BL348">
        <v>0.84570857224770712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4.6701388888887974E-2</v>
      </c>
      <c r="BX348">
        <v>0</v>
      </c>
      <c r="BY348">
        <v>0.1075900388634049</v>
      </c>
      <c r="BZ348">
        <v>0</v>
      </c>
      <c r="CA348">
        <v>0.84570857224770712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 spans="1:84" x14ac:dyDescent="0.25">
      <c r="A349" t="s">
        <v>128</v>
      </c>
      <c r="B349" t="s">
        <v>291</v>
      </c>
      <c r="C349" s="14" t="s">
        <v>109</v>
      </c>
      <c r="D349" s="12">
        <v>46241</v>
      </c>
      <c r="E349" s="14" t="s">
        <v>134</v>
      </c>
      <c r="F349" s="14" t="s">
        <v>134</v>
      </c>
      <c r="G349" s="14" t="s">
        <v>134</v>
      </c>
      <c r="H349" s="14"/>
      <c r="J349">
        <v>8.2967229897463568</v>
      </c>
      <c r="M349">
        <v>17.100000000000001</v>
      </c>
      <c r="N349">
        <v>17.100000000000001</v>
      </c>
      <c r="O349">
        <v>10.574394463667815</v>
      </c>
      <c r="S349">
        <v>2.2437674462584739E-2</v>
      </c>
      <c r="T349">
        <v>0</v>
      </c>
      <c r="U349">
        <v>0.91815130723755933</v>
      </c>
      <c r="V349">
        <v>0</v>
      </c>
      <c r="W349">
        <v>0.15441720476677381</v>
      </c>
      <c r="X349">
        <v>0</v>
      </c>
      <c r="Y349">
        <v>0.10609480812641085</v>
      </c>
      <c r="Z349">
        <v>0</v>
      </c>
      <c r="AA349">
        <v>0</v>
      </c>
      <c r="AB349">
        <v>0.10918556086068244</v>
      </c>
      <c r="AC349">
        <v>8.4230487375634884E-3</v>
      </c>
      <c r="AD349">
        <v>0</v>
      </c>
      <c r="AE349">
        <v>0</v>
      </c>
      <c r="AF349">
        <v>0</v>
      </c>
      <c r="AG349">
        <v>0.88239139040175407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84" x14ac:dyDescent="0.25">
      <c r="A350" t="s">
        <v>128</v>
      </c>
      <c r="B350" t="s">
        <v>291</v>
      </c>
      <c r="C350" s="14" t="s">
        <v>72</v>
      </c>
      <c r="D350" s="12">
        <v>46246</v>
      </c>
      <c r="E350" s="14" t="s">
        <v>133</v>
      </c>
      <c r="F350" s="14" t="s">
        <v>133</v>
      </c>
      <c r="G350" s="14" t="s">
        <v>133</v>
      </c>
      <c r="H350" s="14" t="s">
        <v>74</v>
      </c>
      <c r="I350">
        <v>20</v>
      </c>
      <c r="J350">
        <v>4.220105607573192</v>
      </c>
      <c r="K350">
        <v>46246</v>
      </c>
      <c r="L350" t="s">
        <v>490</v>
      </c>
      <c r="M350">
        <v>30.4</v>
      </c>
      <c r="N350">
        <v>30.4</v>
      </c>
      <c r="O350">
        <v>5.6041666666666661</v>
      </c>
      <c r="P350">
        <v>7.2036111952851769</v>
      </c>
      <c r="Q350">
        <v>7.2036111952851769</v>
      </c>
      <c r="R350">
        <v>1.327968346718553</v>
      </c>
      <c r="S350">
        <v>0</v>
      </c>
      <c r="T350">
        <v>0</v>
      </c>
      <c r="U350">
        <v>5.8756428485666241</v>
      </c>
      <c r="V350">
        <v>0</v>
      </c>
      <c r="W350">
        <v>7.7968346718553017E-2</v>
      </c>
      <c r="X350">
        <v>0</v>
      </c>
      <c r="Y350">
        <v>0.25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0.13881926340701289</v>
      </c>
      <c r="AN350">
        <v>0.13881926340701289</v>
      </c>
      <c r="AO350">
        <v>0.18434758771929824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0.81565241228070173</v>
      </c>
      <c r="BA350">
        <v>0</v>
      </c>
      <c r="BB350">
        <v>0</v>
      </c>
      <c r="BC350">
        <v>0</v>
      </c>
      <c r="BD350">
        <v>0.13881926340701289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5.4245353159851302</v>
      </c>
      <c r="BK350">
        <v>5.4245353159851302</v>
      </c>
      <c r="BL350">
        <v>0.75302999689038375</v>
      </c>
      <c r="CC350">
        <v>0</v>
      </c>
      <c r="CD350">
        <v>0</v>
      </c>
      <c r="CE350">
        <v>0</v>
      </c>
    </row>
    <row r="351" spans="1:84" x14ac:dyDescent="0.25">
      <c r="A351" t="s">
        <v>128</v>
      </c>
      <c r="B351" t="s">
        <v>291</v>
      </c>
      <c r="C351" s="14" t="s">
        <v>72</v>
      </c>
      <c r="D351" s="12">
        <v>46236</v>
      </c>
      <c r="E351" s="14" t="s">
        <v>134</v>
      </c>
      <c r="F351" s="14" t="s">
        <v>134</v>
      </c>
      <c r="G351" s="14" t="s">
        <v>134</v>
      </c>
      <c r="H351" s="14" t="s">
        <v>75</v>
      </c>
      <c r="I351">
        <v>20</v>
      </c>
      <c r="J351">
        <v>2.2474193200215868</v>
      </c>
      <c r="K351">
        <v>46236</v>
      </c>
      <c r="L351" t="s">
        <v>461</v>
      </c>
      <c r="M351">
        <v>0</v>
      </c>
      <c r="N351">
        <v>0</v>
      </c>
      <c r="O351">
        <v>5.9307958477508649</v>
      </c>
      <c r="P351">
        <v>0</v>
      </c>
      <c r="Q351">
        <v>0</v>
      </c>
      <c r="R351">
        <v>2.6389360431830311</v>
      </c>
      <c r="S351">
        <v>1.6389360431830311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1</v>
      </c>
      <c r="BJ351">
        <v>0</v>
      </c>
      <c r="BK351">
        <v>0</v>
      </c>
      <c r="BL351">
        <v>0.37894059713316136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0.62105940286683858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0.37894059713316142</v>
      </c>
      <c r="CF351">
        <v>0</v>
      </c>
    </row>
    <row r="352" spans="1:84" x14ac:dyDescent="0.25">
      <c r="A352" t="s">
        <v>128</v>
      </c>
      <c r="B352" t="s">
        <v>291</v>
      </c>
      <c r="C352" s="14" t="s">
        <v>109</v>
      </c>
      <c r="D352" s="12">
        <v>46242</v>
      </c>
      <c r="E352" s="14" t="s">
        <v>133</v>
      </c>
      <c r="F352" s="14" t="s">
        <v>133</v>
      </c>
      <c r="G352" s="14" t="s">
        <v>133</v>
      </c>
      <c r="H352" s="14"/>
      <c r="J352">
        <v>26.220922841721425</v>
      </c>
      <c r="M352">
        <v>63.65</v>
      </c>
      <c r="N352">
        <v>63.65</v>
      </c>
      <c r="O352">
        <v>31.874999999999996</v>
      </c>
      <c r="S352">
        <v>9.9811775449062806E-2</v>
      </c>
      <c r="T352">
        <v>0</v>
      </c>
      <c r="U352">
        <v>1.2857793711319354</v>
      </c>
      <c r="V352">
        <v>0</v>
      </c>
      <c r="W352">
        <v>0</v>
      </c>
      <c r="X352">
        <v>2.0027213101398787E-2</v>
      </c>
      <c r="Y352">
        <v>0.11582049624513126</v>
      </c>
      <c r="Z352">
        <v>0</v>
      </c>
      <c r="AA352">
        <v>2.5850927707967031E-2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0.83905579399141628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84" x14ac:dyDescent="0.25">
      <c r="A353" t="s">
        <v>128</v>
      </c>
      <c r="B353" t="s">
        <v>291</v>
      </c>
      <c r="C353" s="14" t="s">
        <v>72</v>
      </c>
      <c r="D353" s="12">
        <v>46246</v>
      </c>
      <c r="E353" s="14" t="s">
        <v>133</v>
      </c>
      <c r="F353" s="14" t="s">
        <v>133</v>
      </c>
      <c r="G353" s="14" t="s">
        <v>133</v>
      </c>
      <c r="H353" s="14" t="s">
        <v>73</v>
      </c>
      <c r="I353">
        <v>20</v>
      </c>
      <c r="J353">
        <v>12.575914710568108</v>
      </c>
      <c r="K353">
        <v>46246</v>
      </c>
      <c r="L353" t="s">
        <v>489</v>
      </c>
      <c r="M353">
        <v>10.45</v>
      </c>
      <c r="N353">
        <v>10.45</v>
      </c>
      <c r="O353">
        <v>11.308823529411764</v>
      </c>
      <c r="P353">
        <v>0.83095347261049668</v>
      </c>
      <c r="Q353">
        <v>0.83095347261049668</v>
      </c>
      <c r="R353">
        <v>0.89924461080421048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6.8291138193713796E-2</v>
      </c>
      <c r="AC353">
        <v>0.10075538919578952</v>
      </c>
      <c r="AD353">
        <v>0</v>
      </c>
      <c r="AE353">
        <v>0</v>
      </c>
      <c r="AF353">
        <v>0</v>
      </c>
      <c r="AG353">
        <v>0.83095347261049668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1.2034368144084315</v>
      </c>
      <c r="AN353">
        <v>1.2034368144084315</v>
      </c>
      <c r="AO353">
        <v>1.082184069800169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8.2184069800169013E-2</v>
      </c>
      <c r="AW353">
        <v>0</v>
      </c>
      <c r="AX353">
        <v>0.12125274460826252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0.92405721716514955</v>
      </c>
      <c r="BK353">
        <v>0.92405721716514955</v>
      </c>
      <c r="BL353">
        <v>1.1120444737563477</v>
      </c>
      <c r="BM353">
        <v>0.11204447375634774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0.16904652738950332</v>
      </c>
      <c r="BW353">
        <v>0</v>
      </c>
      <c r="BX353">
        <v>0</v>
      </c>
      <c r="BY353">
        <v>0</v>
      </c>
      <c r="BZ353">
        <v>0</v>
      </c>
      <c r="CA353">
        <v>0.92405721716514955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 spans="1:84" x14ac:dyDescent="0.25">
      <c r="A354" t="s">
        <v>128</v>
      </c>
      <c r="B354" t="s">
        <v>291</v>
      </c>
      <c r="C354" s="14" t="s">
        <v>109</v>
      </c>
      <c r="D354" s="12">
        <v>46242</v>
      </c>
      <c r="E354" s="14" t="s">
        <v>420</v>
      </c>
      <c r="F354" s="14" t="s">
        <v>420</v>
      </c>
      <c r="G354" s="14" t="s">
        <v>420</v>
      </c>
      <c r="H354" s="14"/>
      <c r="J354">
        <v>6.7786480661254078</v>
      </c>
      <c r="M354">
        <v>17.100000000000001</v>
      </c>
      <c r="N354">
        <v>17.100000000000001</v>
      </c>
      <c r="O354">
        <v>7.5155709342560542</v>
      </c>
      <c r="S354">
        <v>0</v>
      </c>
      <c r="T354">
        <v>0</v>
      </c>
      <c r="U354">
        <v>1.2979806493505925</v>
      </c>
      <c r="V354">
        <v>0</v>
      </c>
      <c r="W354">
        <v>0</v>
      </c>
      <c r="X354">
        <v>0</v>
      </c>
      <c r="Y354">
        <v>0.10871236579064107</v>
      </c>
      <c r="Z354">
        <v>0</v>
      </c>
      <c r="AA354">
        <v>0.11593389116667099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84" x14ac:dyDescent="0.25">
      <c r="A355" t="s">
        <v>128</v>
      </c>
      <c r="B355" t="s">
        <v>291</v>
      </c>
      <c r="C355" s="14" t="s">
        <v>72</v>
      </c>
      <c r="D355" s="12">
        <v>46245</v>
      </c>
      <c r="E355" s="14" t="s">
        <v>133</v>
      </c>
      <c r="F355" s="14" t="s">
        <v>133</v>
      </c>
      <c r="G355" s="14" t="s">
        <v>133</v>
      </c>
      <c r="H355" s="14" t="s">
        <v>75</v>
      </c>
      <c r="I355">
        <v>20</v>
      </c>
      <c r="J355">
        <v>10.972274579690296</v>
      </c>
      <c r="K355">
        <v>46245</v>
      </c>
      <c r="L355" t="s">
        <v>488</v>
      </c>
      <c r="M355">
        <v>10.45</v>
      </c>
      <c r="N355">
        <v>10.45</v>
      </c>
      <c r="O355">
        <v>12.1875</v>
      </c>
      <c r="P355">
        <v>0.95240051860741537</v>
      </c>
      <c r="Q355">
        <v>0.95240051860741537</v>
      </c>
      <c r="R355">
        <v>1.1107541933519498</v>
      </c>
      <c r="S355">
        <v>0.1107541933519498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4.7599481392584631E-2</v>
      </c>
      <c r="AC355">
        <v>0</v>
      </c>
      <c r="AD355">
        <v>0</v>
      </c>
      <c r="AE355">
        <v>0</v>
      </c>
      <c r="AF355">
        <v>0</v>
      </c>
      <c r="AG355">
        <v>0.95240051860741537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1.0499784286784972</v>
      </c>
      <c r="AN355">
        <v>1.0499784286784972</v>
      </c>
      <c r="AO355">
        <v>1.1662679425837321</v>
      </c>
      <c r="AP355">
        <v>0.1162895139052349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4.9978428678497222E-2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0.85743589743589743</v>
      </c>
      <c r="BK355">
        <v>0.85743589743589743</v>
      </c>
      <c r="BL355">
        <v>0.90028919628228077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9.9710803717719232E-2</v>
      </c>
      <c r="BX355">
        <v>0</v>
      </c>
      <c r="BY355">
        <v>0</v>
      </c>
      <c r="BZ355">
        <v>0</v>
      </c>
      <c r="CA355">
        <v>0.85743589743589743</v>
      </c>
      <c r="CB355">
        <v>0</v>
      </c>
      <c r="CC355">
        <v>0</v>
      </c>
      <c r="CD355">
        <v>0</v>
      </c>
      <c r="CE355">
        <v>0</v>
      </c>
      <c r="CF355">
        <v>0</v>
      </c>
    </row>
    <row r="356" spans="1:84" x14ac:dyDescent="0.25">
      <c r="A356" t="s">
        <v>128</v>
      </c>
      <c r="B356" t="s">
        <v>291</v>
      </c>
      <c r="C356" s="14" t="s">
        <v>72</v>
      </c>
      <c r="D356" s="12">
        <v>46236</v>
      </c>
      <c r="E356" s="14" t="s">
        <v>134</v>
      </c>
      <c r="F356" s="14" t="s">
        <v>134</v>
      </c>
      <c r="G356" s="14" t="s">
        <v>134</v>
      </c>
      <c r="H356" s="14" t="s">
        <v>74</v>
      </c>
      <c r="I356">
        <v>20</v>
      </c>
      <c r="J356">
        <v>1.2735376146788988</v>
      </c>
      <c r="K356">
        <v>46236</v>
      </c>
      <c r="L356" t="s">
        <v>460</v>
      </c>
      <c r="M356">
        <v>0</v>
      </c>
      <c r="N356">
        <v>0</v>
      </c>
      <c r="O356">
        <v>3.8823529411764706</v>
      </c>
      <c r="P356">
        <v>0</v>
      </c>
      <c r="Q356">
        <v>0</v>
      </c>
      <c r="R356">
        <v>3.0484792097446927</v>
      </c>
      <c r="S356">
        <v>2.0484792097446927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</v>
      </c>
      <c r="BI356">
        <v>1</v>
      </c>
      <c r="BJ356">
        <v>0</v>
      </c>
      <c r="BK356">
        <v>0</v>
      </c>
      <c r="BL356">
        <v>0.32803241590214061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0.67196758409785939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0.32803241590214061</v>
      </c>
      <c r="CF356">
        <v>0</v>
      </c>
    </row>
    <row r="357" spans="1:84" x14ac:dyDescent="0.25">
      <c r="A357" t="s">
        <v>128</v>
      </c>
      <c r="B357" t="s">
        <v>291</v>
      </c>
      <c r="C357" s="14" t="s">
        <v>109</v>
      </c>
      <c r="D357" s="12">
        <v>46242</v>
      </c>
      <c r="E357" s="14" t="s">
        <v>134</v>
      </c>
      <c r="F357" s="14" t="s">
        <v>134</v>
      </c>
      <c r="G357" s="14" t="s">
        <v>134</v>
      </c>
      <c r="H357" s="14"/>
      <c r="J357">
        <v>7.0325496222342139</v>
      </c>
      <c r="M357">
        <v>17.100000000000001</v>
      </c>
      <c r="N357">
        <v>17.100000000000001</v>
      </c>
      <c r="O357">
        <v>11.515570934256051</v>
      </c>
      <c r="S357">
        <v>0.22128626795407177</v>
      </c>
      <c r="T357">
        <v>0</v>
      </c>
      <c r="U357">
        <v>1.0894718299119861</v>
      </c>
      <c r="V357">
        <v>0</v>
      </c>
      <c r="W357">
        <v>0.2860213719652816</v>
      </c>
      <c r="X357">
        <v>0</v>
      </c>
      <c r="Y357">
        <v>0.13015978695073235</v>
      </c>
      <c r="Z357">
        <v>0</v>
      </c>
      <c r="AA357">
        <v>0</v>
      </c>
      <c r="AB357">
        <v>7.4102424870884795E-2</v>
      </c>
      <c r="AC357">
        <v>0</v>
      </c>
      <c r="AD357">
        <v>0</v>
      </c>
      <c r="AE357">
        <v>0</v>
      </c>
      <c r="AF357">
        <v>0</v>
      </c>
      <c r="AG357">
        <v>0.9258975751291153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84" x14ac:dyDescent="0.25">
      <c r="A358" t="s">
        <v>128</v>
      </c>
      <c r="B358" t="s">
        <v>291</v>
      </c>
      <c r="C358" s="14" t="s">
        <v>72</v>
      </c>
      <c r="D358" s="12">
        <v>46245</v>
      </c>
      <c r="E358" s="14" t="s">
        <v>133</v>
      </c>
      <c r="F358" s="14" t="s">
        <v>133</v>
      </c>
      <c r="G358" s="14" t="s">
        <v>133</v>
      </c>
      <c r="H358" s="14" t="s">
        <v>74</v>
      </c>
      <c r="I358">
        <v>20</v>
      </c>
      <c r="J358">
        <v>4.220105607573192</v>
      </c>
      <c r="K358">
        <v>46245</v>
      </c>
      <c r="L358" t="s">
        <v>487</v>
      </c>
      <c r="M358">
        <v>31.35</v>
      </c>
      <c r="N358">
        <v>31.35</v>
      </c>
      <c r="O358">
        <v>4.6874999999999991</v>
      </c>
      <c r="P358">
        <v>7.4287240451378382</v>
      </c>
      <c r="Q358">
        <v>7.4287240451378382</v>
      </c>
      <c r="R358">
        <v>1.1107541933519494</v>
      </c>
      <c r="S358">
        <v>0</v>
      </c>
      <c r="T358">
        <v>0</v>
      </c>
      <c r="U358">
        <v>6.1787240451378382</v>
      </c>
      <c r="V358">
        <v>0</v>
      </c>
      <c r="W358">
        <v>0</v>
      </c>
      <c r="X358">
        <v>0</v>
      </c>
      <c r="Y358">
        <v>0.11075419335194936</v>
      </c>
      <c r="Z358">
        <v>0</v>
      </c>
      <c r="AA358">
        <v>0.13924580664805064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0.13461261906134583</v>
      </c>
      <c r="AN358">
        <v>0.13461261906134583</v>
      </c>
      <c r="AO358">
        <v>0.14952153110047844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0.8504784688995215</v>
      </c>
      <c r="BA358">
        <v>0</v>
      </c>
      <c r="BB358">
        <v>0</v>
      </c>
      <c r="BC358">
        <v>0</v>
      </c>
      <c r="BD358">
        <v>0.13461261906134583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6.6880000000000006</v>
      </c>
      <c r="BK358">
        <v>6.6880000000000006</v>
      </c>
      <c r="BL358">
        <v>0.9002891962822811</v>
      </c>
      <c r="CC358">
        <v>0</v>
      </c>
      <c r="CD358">
        <v>0</v>
      </c>
      <c r="CE358">
        <v>0</v>
      </c>
    </row>
    <row r="359" spans="1:84" x14ac:dyDescent="0.25">
      <c r="A359" t="s">
        <v>128</v>
      </c>
      <c r="B359" t="s">
        <v>291</v>
      </c>
      <c r="C359" s="14" t="s">
        <v>109</v>
      </c>
      <c r="D359" s="12">
        <v>46243</v>
      </c>
      <c r="E359" s="14" t="s">
        <v>133</v>
      </c>
      <c r="F359" s="14" t="s">
        <v>133</v>
      </c>
      <c r="G359" s="14" t="s">
        <v>133</v>
      </c>
      <c r="H359" s="14"/>
      <c r="J359">
        <v>27.008675888468424</v>
      </c>
      <c r="M359">
        <v>72.2</v>
      </c>
      <c r="N359">
        <v>72.2</v>
      </c>
      <c r="O359">
        <v>30.975260416666664</v>
      </c>
      <c r="S359">
        <v>0</v>
      </c>
      <c r="T359">
        <v>0</v>
      </c>
      <c r="U359">
        <v>1.423215092000359</v>
      </c>
      <c r="V359">
        <v>0</v>
      </c>
      <c r="W359">
        <v>0</v>
      </c>
      <c r="X359">
        <v>0</v>
      </c>
      <c r="Y359">
        <v>0.14686334659937209</v>
      </c>
      <c r="Z359">
        <v>0</v>
      </c>
      <c r="AA359">
        <v>0.10313665340062796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84" x14ac:dyDescent="0.25">
      <c r="A360" t="s">
        <v>128</v>
      </c>
      <c r="B360" t="s">
        <v>291</v>
      </c>
      <c r="C360" s="14" t="s">
        <v>72</v>
      </c>
      <c r="D360" s="12">
        <v>46224</v>
      </c>
      <c r="E360" s="14" t="s">
        <v>134</v>
      </c>
      <c r="F360" s="14" t="s">
        <v>134</v>
      </c>
      <c r="G360" s="14" t="s">
        <v>134</v>
      </c>
      <c r="H360" s="14" t="s">
        <v>73</v>
      </c>
      <c r="I360">
        <v>20</v>
      </c>
      <c r="J360">
        <v>5.8204648795871572</v>
      </c>
      <c r="K360">
        <v>46224</v>
      </c>
      <c r="L360" t="s">
        <v>426</v>
      </c>
      <c r="M360">
        <v>2.8499999999999996</v>
      </c>
      <c r="N360">
        <v>2.8499999999999996</v>
      </c>
      <c r="O360">
        <v>3.7647058823529393</v>
      </c>
      <c r="P360">
        <v>0.48965161013086445</v>
      </c>
      <c r="Q360">
        <v>0.48965161013086445</v>
      </c>
      <c r="R360">
        <v>0.64680501647833466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0.15715340634747021</v>
      </c>
      <c r="AC360">
        <v>0.35319498352166534</v>
      </c>
      <c r="AD360">
        <v>0</v>
      </c>
      <c r="AE360">
        <v>0</v>
      </c>
      <c r="AF360">
        <v>0</v>
      </c>
      <c r="AG360">
        <v>0.48965161013086445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2.0422683788025116</v>
      </c>
      <c r="AN360">
        <v>2.0422683788025116</v>
      </c>
      <c r="AO360">
        <v>1.3209494324045403</v>
      </c>
      <c r="BF360">
        <v>0</v>
      </c>
      <c r="BG360">
        <v>0</v>
      </c>
      <c r="BH360">
        <v>0</v>
      </c>
      <c r="BJ360">
        <v>0.75703125000000027</v>
      </c>
      <c r="BK360">
        <v>0.75703125000000027</v>
      </c>
      <c r="BL360">
        <v>1.5460609836403394</v>
      </c>
      <c r="BM360">
        <v>0.54606098364033939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0.51034838986913555</v>
      </c>
      <c r="BW360">
        <v>0</v>
      </c>
      <c r="BX360">
        <v>0</v>
      </c>
      <c r="BY360">
        <v>0</v>
      </c>
      <c r="BZ360">
        <v>0</v>
      </c>
      <c r="CA360">
        <v>0.75703125000000027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 spans="1:84" x14ac:dyDescent="0.25">
      <c r="A361" t="s">
        <v>128</v>
      </c>
      <c r="B361" t="s">
        <v>291</v>
      </c>
      <c r="C361" s="14" t="s">
        <v>109</v>
      </c>
      <c r="D361" s="12">
        <v>46243</v>
      </c>
      <c r="E361" s="14" t="s">
        <v>420</v>
      </c>
      <c r="F361" s="14" t="s">
        <v>420</v>
      </c>
      <c r="G361" s="14" t="s">
        <v>420</v>
      </c>
      <c r="H361" s="14"/>
      <c r="J361">
        <v>6.7786480661254078</v>
      </c>
      <c r="M361">
        <v>19</v>
      </c>
      <c r="N361">
        <v>19</v>
      </c>
      <c r="O361">
        <v>7.5155709342560542</v>
      </c>
      <c r="S361">
        <v>2.412709667597477E-2</v>
      </c>
      <c r="T361">
        <v>0</v>
      </c>
      <c r="U361">
        <v>1.0958137708719362</v>
      </c>
      <c r="V361">
        <v>0</v>
      </c>
      <c r="W361">
        <v>0</v>
      </c>
      <c r="X361">
        <v>0</v>
      </c>
      <c r="Y361">
        <v>8.458526911466617E-2</v>
      </c>
      <c r="Z361">
        <v>0</v>
      </c>
      <c r="AA361">
        <v>3.2602230885333858E-2</v>
      </c>
      <c r="AB361">
        <v>0.11081218228201581</v>
      </c>
      <c r="AC361">
        <v>0</v>
      </c>
      <c r="AD361">
        <v>0</v>
      </c>
      <c r="AE361">
        <v>0</v>
      </c>
      <c r="AF361">
        <v>0</v>
      </c>
      <c r="AG361">
        <v>0.88918781771798416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84" x14ac:dyDescent="0.25">
      <c r="A362" t="s">
        <v>128</v>
      </c>
      <c r="B362" t="s">
        <v>291</v>
      </c>
      <c r="C362" s="14" t="s">
        <v>72</v>
      </c>
      <c r="D362" s="12">
        <v>46245</v>
      </c>
      <c r="E362" s="14" t="s">
        <v>133</v>
      </c>
      <c r="F362" s="14" t="s">
        <v>133</v>
      </c>
      <c r="G362" s="14" t="s">
        <v>133</v>
      </c>
      <c r="H362" s="14" t="s">
        <v>73</v>
      </c>
      <c r="I362">
        <v>20</v>
      </c>
      <c r="J362">
        <v>11.731893589053469</v>
      </c>
      <c r="K362">
        <v>46245</v>
      </c>
      <c r="L362" t="s">
        <v>486</v>
      </c>
      <c r="M362">
        <v>5.6999999999999993</v>
      </c>
      <c r="N362">
        <v>5.6999999999999993</v>
      </c>
      <c r="O362">
        <v>11.25</v>
      </c>
      <c r="P362">
        <v>0.48585507162445002</v>
      </c>
      <c r="Q362">
        <v>0.48585507162445002</v>
      </c>
      <c r="R362">
        <v>0.95892448346930947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0.47306941184485946</v>
      </c>
      <c r="AC362">
        <v>4.1075516530690526E-2</v>
      </c>
      <c r="AD362">
        <v>0</v>
      </c>
      <c r="AE362">
        <v>0</v>
      </c>
      <c r="AF362">
        <v>0</v>
      </c>
      <c r="AG362">
        <v>0.48585507162445002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2.0582269454479771</v>
      </c>
      <c r="AN362">
        <v>2.0582269454479771</v>
      </c>
      <c r="AO362">
        <v>1.9736842105263159</v>
      </c>
      <c r="BF362">
        <v>0</v>
      </c>
      <c r="BG362">
        <v>0</v>
      </c>
      <c r="BH362">
        <v>0</v>
      </c>
      <c r="BJ362">
        <v>0.5066666666666666</v>
      </c>
      <c r="BK362">
        <v>0.5066666666666666</v>
      </c>
      <c r="BL362">
        <v>1.0428349856936416</v>
      </c>
      <c r="BM362">
        <v>4.2834985693641636E-2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0.51414492837554993</v>
      </c>
      <c r="BW362">
        <v>0</v>
      </c>
      <c r="BX362">
        <v>0</v>
      </c>
      <c r="BY362">
        <v>0</v>
      </c>
      <c r="BZ362">
        <v>0</v>
      </c>
      <c r="CA362">
        <v>0.5066666666666666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 spans="1:84" x14ac:dyDescent="0.25">
      <c r="A363" t="s">
        <v>128</v>
      </c>
      <c r="B363" t="s">
        <v>291</v>
      </c>
      <c r="C363" s="14" t="s">
        <v>72</v>
      </c>
      <c r="D363" s="12">
        <v>46244</v>
      </c>
      <c r="E363" s="14" t="s">
        <v>133</v>
      </c>
      <c r="F363" s="14" t="s">
        <v>133</v>
      </c>
      <c r="G363" s="14" t="s">
        <v>133</v>
      </c>
      <c r="H363" s="14" t="s">
        <v>75</v>
      </c>
      <c r="I363">
        <v>20</v>
      </c>
      <c r="J363">
        <v>10.972274579690296</v>
      </c>
      <c r="K363">
        <v>46244</v>
      </c>
      <c r="L363" t="s">
        <v>485</v>
      </c>
      <c r="M363">
        <v>16.149999999999999</v>
      </c>
      <c r="N363">
        <v>16.149999999999999</v>
      </c>
      <c r="O363">
        <v>12.246323529411764</v>
      </c>
      <c r="P363">
        <v>1.4718917105750966</v>
      </c>
      <c r="Q363">
        <v>1.4718917105750966</v>
      </c>
      <c r="R363">
        <v>1.1161152995642067</v>
      </c>
      <c r="S363">
        <v>0</v>
      </c>
      <c r="T363">
        <v>0</v>
      </c>
      <c r="U363">
        <v>0.2218917105750966</v>
      </c>
      <c r="V363">
        <v>0</v>
      </c>
      <c r="W363">
        <v>0</v>
      </c>
      <c r="X363">
        <v>0</v>
      </c>
      <c r="Y363">
        <v>0.11611529956420674</v>
      </c>
      <c r="Z363">
        <v>0</v>
      </c>
      <c r="AA363">
        <v>0.13388470043579326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0.67939780679196882</v>
      </c>
      <c r="AN363">
        <v>0.67939780679196882</v>
      </c>
      <c r="AO363">
        <v>0.75828628665088327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0.24171371334911673</v>
      </c>
      <c r="BA363">
        <v>0</v>
      </c>
      <c r="BB363">
        <v>0</v>
      </c>
      <c r="BC363">
        <v>0</v>
      </c>
      <c r="BD363">
        <v>0.67939780679196882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1.3187631341939356</v>
      </c>
      <c r="BK363">
        <v>1.3187631341939356</v>
      </c>
      <c r="BL363">
        <v>0.89596478104946287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0.31876313419393565</v>
      </c>
      <c r="BV363">
        <v>0</v>
      </c>
      <c r="BW363">
        <v>0</v>
      </c>
      <c r="BX363">
        <v>0</v>
      </c>
      <c r="BY363">
        <v>0.10403521895053713</v>
      </c>
      <c r="BZ363">
        <v>0</v>
      </c>
      <c r="CA363">
        <v>0.89596478104946287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 spans="1:84" x14ac:dyDescent="0.25">
      <c r="A364" t="s">
        <v>128</v>
      </c>
      <c r="B364" t="s">
        <v>291</v>
      </c>
      <c r="C364" s="14" t="s">
        <v>109</v>
      </c>
      <c r="D364" s="12">
        <v>46246</v>
      </c>
      <c r="E364" s="14" t="s">
        <v>420</v>
      </c>
      <c r="F364" s="14" t="s">
        <v>420</v>
      </c>
      <c r="G364" s="14" t="s">
        <v>420</v>
      </c>
      <c r="H364" s="14"/>
      <c r="J364">
        <v>6.7786480661254069</v>
      </c>
      <c r="M364">
        <v>16.149999999999999</v>
      </c>
      <c r="N364">
        <v>16.149999999999999</v>
      </c>
      <c r="O364">
        <v>7.5155709342560542</v>
      </c>
      <c r="S364">
        <v>0.10871236579064114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0.29927030380335973</v>
      </c>
      <c r="AC364">
        <v>0</v>
      </c>
      <c r="AD364">
        <v>0</v>
      </c>
      <c r="AE364">
        <v>0</v>
      </c>
      <c r="AF364">
        <v>0</v>
      </c>
      <c r="AG364">
        <v>0.70072969619664038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84" x14ac:dyDescent="0.25">
      <c r="A365" t="s">
        <v>128</v>
      </c>
      <c r="B365" t="s">
        <v>291</v>
      </c>
      <c r="C365" s="14" t="s">
        <v>72</v>
      </c>
      <c r="D365" s="12">
        <v>46242</v>
      </c>
      <c r="E365" s="14" t="s">
        <v>133</v>
      </c>
      <c r="F365" s="14" t="s">
        <v>133</v>
      </c>
      <c r="G365" s="14" t="s">
        <v>133</v>
      </c>
      <c r="H365" s="14" t="s">
        <v>75</v>
      </c>
      <c r="I365">
        <v>20</v>
      </c>
      <c r="J365">
        <v>10.972274579690296</v>
      </c>
      <c r="K365">
        <v>46242</v>
      </c>
      <c r="L365" t="s">
        <v>479</v>
      </c>
      <c r="M365">
        <v>11.4</v>
      </c>
      <c r="N365">
        <v>11.4</v>
      </c>
      <c r="O365">
        <v>13.162990196078432</v>
      </c>
      <c r="P365">
        <v>1.0389823839353622</v>
      </c>
      <c r="Q365">
        <v>1.0389823839353622</v>
      </c>
      <c r="R365">
        <v>1.1996592047052081</v>
      </c>
      <c r="S365">
        <v>0.16067682076984591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3.8982383935362241E-2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0.96248022628862262</v>
      </c>
      <c r="AN365">
        <v>0.96248022628862262</v>
      </c>
      <c r="AO365">
        <v>1.1546482628138977</v>
      </c>
      <c r="AP365">
        <v>0.15464826281389765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0.96248022628862262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0.86606461223349762</v>
      </c>
      <c r="BK365">
        <v>0.86606461223349762</v>
      </c>
      <c r="BL365">
        <v>0.83357006396306499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0.13393538776650238</v>
      </c>
      <c r="BX365">
        <v>0</v>
      </c>
      <c r="BY365">
        <v>3.2494548270432633E-2</v>
      </c>
      <c r="BZ365">
        <v>0</v>
      </c>
      <c r="CA365">
        <v>0.83357006396306499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84" x14ac:dyDescent="0.25">
      <c r="A366" t="s">
        <v>128</v>
      </c>
      <c r="B366" t="s">
        <v>291</v>
      </c>
      <c r="C366" s="14" t="s">
        <v>72</v>
      </c>
      <c r="D366" s="12">
        <v>46226</v>
      </c>
      <c r="E366" s="14" t="s">
        <v>134</v>
      </c>
      <c r="F366" s="14" t="s">
        <v>134</v>
      </c>
      <c r="G366" s="14" t="s">
        <v>134</v>
      </c>
      <c r="H366" s="14" t="s">
        <v>73</v>
      </c>
      <c r="I366">
        <v>20</v>
      </c>
      <c r="J366">
        <v>5.9697075688073395</v>
      </c>
      <c r="K366">
        <v>46226</v>
      </c>
      <c r="L366" t="s">
        <v>432</v>
      </c>
      <c r="M366">
        <v>1.9</v>
      </c>
      <c r="N366">
        <v>1.9</v>
      </c>
      <c r="O366">
        <v>6.7654798761609918</v>
      </c>
      <c r="P366">
        <v>0.31827354658506196</v>
      </c>
      <c r="Q366">
        <v>0.31827354658506196</v>
      </c>
      <c r="R366">
        <v>1.1333017234398026</v>
      </c>
      <c r="S366">
        <v>0.13330172343980262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0.68172645341493809</v>
      </c>
      <c r="AC366">
        <v>0</v>
      </c>
      <c r="AD366">
        <v>0</v>
      </c>
      <c r="AE366">
        <v>0</v>
      </c>
      <c r="AF366">
        <v>0</v>
      </c>
      <c r="AG366">
        <v>0.31827354658506196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3.1419513520038631</v>
      </c>
      <c r="AN366">
        <v>3.1419513520038631</v>
      </c>
      <c r="AO366">
        <v>3.5607788821899957</v>
      </c>
      <c r="BF366">
        <v>0</v>
      </c>
      <c r="BG366">
        <v>0</v>
      </c>
      <c r="BH366">
        <v>0</v>
      </c>
      <c r="BJ366">
        <v>0.28083743278801049</v>
      </c>
      <c r="BK366">
        <v>0.28083743278801049</v>
      </c>
      <c r="BL366">
        <v>0.88237755164158349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0.11762244835841651</v>
      </c>
      <c r="BX366">
        <v>0</v>
      </c>
      <c r="BY366">
        <v>0</v>
      </c>
      <c r="BZ366">
        <v>0</v>
      </c>
      <c r="CA366">
        <v>0.28083743278801049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x14ac:dyDescent="0.25">
      <c r="A367" t="s">
        <v>128</v>
      </c>
      <c r="B367" t="s">
        <v>291</v>
      </c>
      <c r="C367" s="14" t="s">
        <v>72</v>
      </c>
      <c r="D367" s="12">
        <v>46233</v>
      </c>
      <c r="E367" s="14" t="s">
        <v>134</v>
      </c>
      <c r="F367" s="14" t="s">
        <v>134</v>
      </c>
      <c r="G367" s="14" t="s">
        <v>134</v>
      </c>
      <c r="H367" s="14" t="s">
        <v>75</v>
      </c>
      <c r="I367">
        <v>20</v>
      </c>
      <c r="J367">
        <v>3.3711289800323794</v>
      </c>
      <c r="K367">
        <v>46233</v>
      </c>
      <c r="L367" t="s">
        <v>452</v>
      </c>
      <c r="M367">
        <v>2.8499999999999996</v>
      </c>
      <c r="N367">
        <v>2.8499999999999996</v>
      </c>
      <c r="O367">
        <v>4.9273356401384039</v>
      </c>
      <c r="P367">
        <v>0.84541410811657103</v>
      </c>
      <c r="Q367">
        <v>0.84541410811657103</v>
      </c>
      <c r="R367">
        <v>1.4616277423152992</v>
      </c>
      <c r="S367">
        <v>0.46162774231529924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0.15458589188342897</v>
      </c>
      <c r="AC367">
        <v>0</v>
      </c>
      <c r="AD367">
        <v>0</v>
      </c>
      <c r="AE367">
        <v>0</v>
      </c>
      <c r="AF367">
        <v>0</v>
      </c>
      <c r="AG367">
        <v>0.84541410811657103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1.1828522736955718</v>
      </c>
      <c r="AN367">
        <v>1.1828522736955718</v>
      </c>
      <c r="AO367">
        <v>1.728889698294177</v>
      </c>
      <c r="AP367">
        <v>0.54603742459860527</v>
      </c>
      <c r="AQ367">
        <v>0</v>
      </c>
      <c r="AR367">
        <v>0</v>
      </c>
      <c r="AS367">
        <v>0</v>
      </c>
      <c r="AT367">
        <v>0</v>
      </c>
      <c r="AU367">
        <v>0.31714772630442822</v>
      </c>
      <c r="AV367">
        <v>0.18285227369557178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0.57840589887640492</v>
      </c>
      <c r="BK367">
        <v>0.57840589887640492</v>
      </c>
      <c r="BL367">
        <v>0.68416873260488664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0.31583126739511336</v>
      </c>
      <c r="BX367">
        <v>0</v>
      </c>
      <c r="BY367">
        <v>0</v>
      </c>
      <c r="BZ367">
        <v>0</v>
      </c>
      <c r="CA367">
        <v>0.57840589887640492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 spans="1:84" x14ac:dyDescent="0.25">
      <c r="A368" t="s">
        <v>128</v>
      </c>
      <c r="B368" t="s">
        <v>291</v>
      </c>
      <c r="C368" s="14" t="s">
        <v>109</v>
      </c>
      <c r="D368" s="12">
        <v>46249</v>
      </c>
      <c r="E368" s="14" t="s">
        <v>134</v>
      </c>
      <c r="F368" s="14" t="s">
        <v>134</v>
      </c>
      <c r="G368" s="14" t="s">
        <v>134</v>
      </c>
      <c r="H368" s="14"/>
      <c r="J368">
        <v>8.8936937466270898</v>
      </c>
      <c r="M368">
        <v>18.05</v>
      </c>
      <c r="N368">
        <v>18.05</v>
      </c>
      <c r="O368">
        <v>12.81358131487889</v>
      </c>
      <c r="S368">
        <v>0.21197937500727587</v>
      </c>
      <c r="T368">
        <v>0</v>
      </c>
      <c r="U368">
        <v>0.74030871454155223</v>
      </c>
      <c r="V368">
        <v>0</v>
      </c>
      <c r="W368">
        <v>0.14145730868330147</v>
      </c>
      <c r="X368">
        <v>0</v>
      </c>
      <c r="Y368">
        <v>8.7312422353062497E-2</v>
      </c>
      <c r="Z368">
        <v>0</v>
      </c>
      <c r="AA368">
        <v>9.951305803651371E-2</v>
      </c>
      <c r="AB368">
        <v>3.906355783313821E-2</v>
      </c>
      <c r="AC368">
        <v>0</v>
      </c>
      <c r="AD368">
        <v>0</v>
      </c>
      <c r="AE368">
        <v>0</v>
      </c>
      <c r="AF368">
        <v>0</v>
      </c>
      <c r="AG368">
        <v>0.9609364421668618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84" x14ac:dyDescent="0.25">
      <c r="A369" t="s">
        <v>128</v>
      </c>
      <c r="B369" t="s">
        <v>291</v>
      </c>
      <c r="C369" s="14" t="s">
        <v>72</v>
      </c>
      <c r="D369" s="12">
        <v>46225</v>
      </c>
      <c r="E369" s="14" t="s">
        <v>134</v>
      </c>
      <c r="F369" s="14" t="s">
        <v>134</v>
      </c>
      <c r="G369" s="14" t="s">
        <v>134</v>
      </c>
      <c r="H369" s="14" t="s">
        <v>75</v>
      </c>
      <c r="I369">
        <v>20</v>
      </c>
      <c r="J369">
        <v>3.9329838100377761</v>
      </c>
      <c r="K369">
        <v>46225</v>
      </c>
      <c r="L369" t="s">
        <v>431</v>
      </c>
      <c r="M369">
        <v>3.8</v>
      </c>
      <c r="N369">
        <v>3.8</v>
      </c>
      <c r="O369">
        <v>5.0519031141868496</v>
      </c>
      <c r="P369">
        <v>0.96618755213322405</v>
      </c>
      <c r="Q369">
        <v>0.96618755213322405</v>
      </c>
      <c r="R369">
        <v>1.2844962903974746</v>
      </c>
      <c r="S369">
        <v>0.28449629039747459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3.3812447866775952E-2</v>
      </c>
      <c r="AC369">
        <v>0</v>
      </c>
      <c r="AD369">
        <v>0</v>
      </c>
      <c r="AE369">
        <v>0</v>
      </c>
      <c r="AF369">
        <v>0</v>
      </c>
      <c r="AG369">
        <v>0.96618755213322405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1.0349957394836253</v>
      </c>
      <c r="AN369">
        <v>1.0349957394836253</v>
      </c>
      <c r="AO369">
        <v>1.3294481879439077</v>
      </c>
      <c r="AP369">
        <v>0.2944524484602824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3.4995739483625332E-2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0.75219178082191807</v>
      </c>
      <c r="BK369">
        <v>0.75219178082191807</v>
      </c>
      <c r="BL369">
        <v>0.77851528842528606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0.22148471157471394</v>
      </c>
      <c r="BX369">
        <v>0</v>
      </c>
      <c r="BY369">
        <v>0</v>
      </c>
      <c r="BZ369">
        <v>0</v>
      </c>
      <c r="CA369">
        <v>0.75219178082191807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 spans="1:84" x14ac:dyDescent="0.25">
      <c r="A370" t="s">
        <v>128</v>
      </c>
      <c r="B370" t="s">
        <v>291</v>
      </c>
      <c r="C370" s="14" t="s">
        <v>72</v>
      </c>
      <c r="D370" s="12">
        <v>46238</v>
      </c>
      <c r="E370" s="14" t="s">
        <v>133</v>
      </c>
      <c r="F370" s="14" t="s">
        <v>133</v>
      </c>
      <c r="G370" s="14" t="s">
        <v>133</v>
      </c>
      <c r="H370" s="14" t="s">
        <v>75</v>
      </c>
      <c r="I370">
        <v>20</v>
      </c>
      <c r="J370">
        <v>10.972274579690296</v>
      </c>
      <c r="K370">
        <v>46238</v>
      </c>
      <c r="L370" t="s">
        <v>467</v>
      </c>
      <c r="M370">
        <v>24.7</v>
      </c>
      <c r="N370">
        <v>24.7</v>
      </c>
      <c r="O370">
        <v>12.1875</v>
      </c>
      <c r="P370">
        <v>2.2511284985266182</v>
      </c>
      <c r="Q370">
        <v>2.2511284985266182</v>
      </c>
      <c r="R370">
        <v>1.1107541933519498</v>
      </c>
      <c r="S370">
        <v>0</v>
      </c>
      <c r="T370">
        <v>0</v>
      </c>
      <c r="U370">
        <v>1.0011284985266182</v>
      </c>
      <c r="V370">
        <v>0</v>
      </c>
      <c r="W370">
        <v>0</v>
      </c>
      <c r="X370">
        <v>0</v>
      </c>
      <c r="Y370">
        <v>0.1107541933519498</v>
      </c>
      <c r="Z370">
        <v>0</v>
      </c>
      <c r="AA370">
        <v>0.1392458066480502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0.44422164290244115</v>
      </c>
      <c r="AN370">
        <v>0.44422164290244115</v>
      </c>
      <c r="AO370">
        <v>0.49342105263157898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0.50657894736842102</v>
      </c>
      <c r="BA370">
        <v>0</v>
      </c>
      <c r="BB370">
        <v>0</v>
      </c>
      <c r="BC370">
        <v>0</v>
      </c>
      <c r="BD370">
        <v>0.44422164290244115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2.0266666666666664</v>
      </c>
      <c r="BK370">
        <v>2.0266666666666664</v>
      </c>
      <c r="BL370">
        <v>0.90028919628228077</v>
      </c>
      <c r="CC370">
        <v>0</v>
      </c>
      <c r="CD370">
        <v>0</v>
      </c>
      <c r="CE370">
        <v>0</v>
      </c>
    </row>
    <row r="371" spans="1:84" x14ac:dyDescent="0.25">
      <c r="A371" t="s">
        <v>128</v>
      </c>
      <c r="B371" t="s">
        <v>291</v>
      </c>
      <c r="C371" s="14" t="s">
        <v>109</v>
      </c>
      <c r="D371" s="12">
        <v>46248</v>
      </c>
      <c r="E371" s="14" t="s">
        <v>133</v>
      </c>
      <c r="F371" s="14" t="s">
        <v>133</v>
      </c>
      <c r="G371" s="14" t="s">
        <v>133</v>
      </c>
      <c r="H371" s="14"/>
      <c r="J371">
        <v>26.220922841721425</v>
      </c>
      <c r="M371">
        <v>57.949999999999996</v>
      </c>
      <c r="N371">
        <v>57.949999999999996</v>
      </c>
      <c r="O371">
        <v>26.3125</v>
      </c>
      <c r="S371">
        <v>4.4339927436893044E-2</v>
      </c>
      <c r="T371">
        <v>0</v>
      </c>
      <c r="U371">
        <v>1.3046651703458791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0.14484978540772533</v>
      </c>
      <c r="AB371">
        <v>0.23944781395976772</v>
      </c>
      <c r="AC371">
        <v>0</v>
      </c>
      <c r="AD371">
        <v>0</v>
      </c>
      <c r="AE371">
        <v>4.0847405116783808E-2</v>
      </c>
      <c r="AF371">
        <v>0</v>
      </c>
      <c r="AG371">
        <v>0.71970478092344847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84" x14ac:dyDescent="0.25">
      <c r="A372" t="s">
        <v>128</v>
      </c>
      <c r="B372" t="s">
        <v>291</v>
      </c>
      <c r="C372" s="14" t="s">
        <v>72</v>
      </c>
      <c r="D372" s="12">
        <v>46240</v>
      </c>
      <c r="E372" s="14" t="s">
        <v>133</v>
      </c>
      <c r="F372" s="14" t="s">
        <v>133</v>
      </c>
      <c r="G372" s="14" t="s">
        <v>133</v>
      </c>
      <c r="H372" s="14" t="s">
        <v>73</v>
      </c>
      <c r="I372">
        <v>20</v>
      </c>
      <c r="J372">
        <v>11.731893589053469</v>
      </c>
      <c r="K372">
        <v>46240</v>
      </c>
      <c r="L372" t="s">
        <v>471</v>
      </c>
      <c r="M372">
        <v>20.9</v>
      </c>
      <c r="N372">
        <v>20.9</v>
      </c>
      <c r="O372">
        <v>12.166666666666666</v>
      </c>
      <c r="P372">
        <v>1.781468595956317</v>
      </c>
      <c r="Q372">
        <v>1.781468595956317</v>
      </c>
      <c r="R372">
        <v>1.0370590710112531</v>
      </c>
      <c r="S372">
        <v>0</v>
      </c>
      <c r="T372">
        <v>0</v>
      </c>
      <c r="U372">
        <v>0.53146859595631701</v>
      </c>
      <c r="V372">
        <v>0</v>
      </c>
      <c r="W372">
        <v>0</v>
      </c>
      <c r="X372">
        <v>0</v>
      </c>
      <c r="Y372">
        <v>3.7059071011253053E-2</v>
      </c>
      <c r="Z372">
        <v>0</v>
      </c>
      <c r="AA372">
        <v>0.21294092898874695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0.56133462148581192</v>
      </c>
      <c r="AN372">
        <v>0.56133462148581192</v>
      </c>
      <c r="AO372">
        <v>0.58213716108452951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0.41786283891547049</v>
      </c>
      <c r="BA372">
        <v>0</v>
      </c>
      <c r="BB372">
        <v>0</v>
      </c>
      <c r="BC372">
        <v>0</v>
      </c>
      <c r="BD372">
        <v>0.56133462148581192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1.7178082191780821</v>
      </c>
      <c r="BK372">
        <v>1.7178082191780821</v>
      </c>
      <c r="BL372">
        <v>0.96426522649754542</v>
      </c>
      <c r="CC372">
        <v>0</v>
      </c>
      <c r="CD372">
        <v>0</v>
      </c>
      <c r="CE372">
        <v>0</v>
      </c>
    </row>
    <row r="373" spans="1:84" x14ac:dyDescent="0.25">
      <c r="A373" t="s">
        <v>128</v>
      </c>
      <c r="B373" t="s">
        <v>291</v>
      </c>
      <c r="C373" s="14" t="s">
        <v>72</v>
      </c>
      <c r="D373" s="12">
        <v>46234</v>
      </c>
      <c r="E373" s="14" t="s">
        <v>134</v>
      </c>
      <c r="F373" s="14" t="s">
        <v>134</v>
      </c>
      <c r="G373" s="14" t="s">
        <v>134</v>
      </c>
      <c r="H373" s="14" t="s">
        <v>74</v>
      </c>
      <c r="I373">
        <v>20</v>
      </c>
      <c r="J373">
        <v>1.2735376146788988</v>
      </c>
      <c r="K373">
        <v>46234</v>
      </c>
      <c r="L373" t="s">
        <v>454</v>
      </c>
      <c r="M373">
        <v>3.8</v>
      </c>
      <c r="N373">
        <v>3.8</v>
      </c>
      <c r="O373">
        <v>2.8235294117647056</v>
      </c>
      <c r="P373">
        <v>2.9838144992349567</v>
      </c>
      <c r="Q373">
        <v>2.9838144992349567</v>
      </c>
      <c r="R373">
        <v>2.2170757889052308</v>
      </c>
      <c r="S373">
        <v>0</v>
      </c>
      <c r="T373">
        <v>0</v>
      </c>
      <c r="U373">
        <v>0.76673871032972585</v>
      </c>
      <c r="V373">
        <v>0</v>
      </c>
      <c r="W373">
        <v>0.96707578890523083</v>
      </c>
      <c r="X373">
        <v>0</v>
      </c>
      <c r="Y373">
        <v>0.25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0.33514147754707863</v>
      </c>
      <c r="AN373">
        <v>0.33514147754707863</v>
      </c>
      <c r="AO373">
        <v>0.7430340557275541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0.2569659442724459</v>
      </c>
      <c r="BA373">
        <v>0</v>
      </c>
      <c r="BB373">
        <v>0</v>
      </c>
      <c r="BC373">
        <v>0</v>
      </c>
      <c r="BD373">
        <v>0.33514147754707863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1.3458333333333334</v>
      </c>
      <c r="BK373">
        <v>1.3458333333333334</v>
      </c>
      <c r="BL373">
        <v>0.45104457186544339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0.34583333333333344</v>
      </c>
      <c r="BV373">
        <v>0</v>
      </c>
      <c r="BW373">
        <v>0</v>
      </c>
      <c r="BX373">
        <v>0</v>
      </c>
      <c r="BY373">
        <v>0.54895542813455656</v>
      </c>
      <c r="BZ373">
        <v>0</v>
      </c>
      <c r="CA373">
        <v>0.45104457186544339</v>
      </c>
      <c r="CB373">
        <v>0</v>
      </c>
      <c r="CC373">
        <v>0</v>
      </c>
      <c r="CD373">
        <v>0</v>
      </c>
      <c r="CE373">
        <v>0</v>
      </c>
      <c r="CF373">
        <v>0</v>
      </c>
    </row>
    <row r="374" spans="1:84" x14ac:dyDescent="0.25">
      <c r="A374" t="s">
        <v>128</v>
      </c>
      <c r="B374" t="s">
        <v>291</v>
      </c>
      <c r="C374" s="14" t="s">
        <v>109</v>
      </c>
      <c r="D374" s="12">
        <v>46248</v>
      </c>
      <c r="E374" s="14" t="s">
        <v>420</v>
      </c>
      <c r="F374" s="14" t="s">
        <v>420</v>
      </c>
      <c r="G374" s="14" t="s">
        <v>420</v>
      </c>
      <c r="H374" s="14"/>
      <c r="J374">
        <v>6.7786480661254069</v>
      </c>
      <c r="M374">
        <v>16.149999999999999</v>
      </c>
      <c r="N374">
        <v>16.149999999999999</v>
      </c>
      <c r="O374">
        <v>7.5155709342560542</v>
      </c>
      <c r="S374">
        <v>0.10871236579064114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0.29927030380335978</v>
      </c>
      <c r="AC374">
        <v>0</v>
      </c>
      <c r="AD374">
        <v>0</v>
      </c>
      <c r="AE374">
        <v>0</v>
      </c>
      <c r="AF374">
        <v>0</v>
      </c>
      <c r="AG374">
        <v>0.70072969619664016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84" x14ac:dyDescent="0.25">
      <c r="A375" t="s">
        <v>128</v>
      </c>
      <c r="B375" t="s">
        <v>291</v>
      </c>
      <c r="C375" s="14" t="s">
        <v>109</v>
      </c>
      <c r="D375" s="12">
        <v>46249</v>
      </c>
      <c r="E375" s="14" t="s">
        <v>420</v>
      </c>
      <c r="F375" s="14" t="s">
        <v>420</v>
      </c>
      <c r="G375" s="14" t="s">
        <v>420</v>
      </c>
      <c r="H375" s="14"/>
      <c r="J375">
        <v>6.8316062541420131</v>
      </c>
      <c r="M375">
        <v>18.05</v>
      </c>
      <c r="N375">
        <v>18.05</v>
      </c>
      <c r="O375">
        <v>7.5778546712802752</v>
      </c>
      <c r="S375">
        <v>0</v>
      </c>
      <c r="T375">
        <v>0</v>
      </c>
      <c r="U375">
        <v>1.2879187838517505</v>
      </c>
      <c r="V375">
        <v>0</v>
      </c>
      <c r="W375">
        <v>0</v>
      </c>
      <c r="X375">
        <v>0</v>
      </c>
      <c r="Y375">
        <v>0.10923469377144081</v>
      </c>
      <c r="Z375">
        <v>0</v>
      </c>
      <c r="AA375">
        <v>0.10591818134899288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84" x14ac:dyDescent="0.25">
      <c r="A376" t="s">
        <v>128</v>
      </c>
      <c r="B376" t="s">
        <v>291</v>
      </c>
      <c r="C376" s="14" t="s">
        <v>72</v>
      </c>
      <c r="D376" s="12">
        <v>46239</v>
      </c>
      <c r="E376" s="14" t="s">
        <v>133</v>
      </c>
      <c r="F376" s="14" t="s">
        <v>133</v>
      </c>
      <c r="G376" s="14" t="s">
        <v>133</v>
      </c>
      <c r="H376" s="14" t="s">
        <v>75</v>
      </c>
      <c r="I376">
        <v>20</v>
      </c>
      <c r="J376">
        <v>10.803470355387372</v>
      </c>
      <c r="K376">
        <v>46239</v>
      </c>
      <c r="L376" t="s">
        <v>470</v>
      </c>
      <c r="M376">
        <v>4.75</v>
      </c>
      <c r="N376">
        <v>4.75</v>
      </c>
      <c r="O376">
        <v>12.055759803921568</v>
      </c>
      <c r="P376">
        <v>0.43967353486848004</v>
      </c>
      <c r="Q376">
        <v>0.43967353486848004</v>
      </c>
      <c r="R376">
        <v>1.1159154796874799</v>
      </c>
      <c r="S376">
        <v>0.11591547968747995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0.56032646513151996</v>
      </c>
      <c r="AC376">
        <v>0</v>
      </c>
      <c r="AD376">
        <v>0</v>
      </c>
      <c r="AE376">
        <v>0</v>
      </c>
      <c r="AF376">
        <v>0</v>
      </c>
      <c r="AG376">
        <v>0.43967353486848004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2.2744148116604994</v>
      </c>
      <c r="AN376">
        <v>2.2744148116604994</v>
      </c>
      <c r="AO376">
        <v>2.5380546955624355</v>
      </c>
      <c r="BF376">
        <v>0</v>
      </c>
      <c r="BG376">
        <v>0</v>
      </c>
      <c r="BH376">
        <v>0</v>
      </c>
      <c r="BJ376">
        <v>0.39400254129606105</v>
      </c>
      <c r="BK376">
        <v>0.39400254129606105</v>
      </c>
      <c r="BL376">
        <v>0.89612521575563875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0.10387478424436125</v>
      </c>
      <c r="BX376">
        <v>0</v>
      </c>
      <c r="BY376">
        <v>0</v>
      </c>
      <c r="BZ376">
        <v>0</v>
      </c>
      <c r="CA376">
        <v>0.39400254129606105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x14ac:dyDescent="0.25">
      <c r="A377" t="s">
        <v>128</v>
      </c>
      <c r="B377" t="s">
        <v>291</v>
      </c>
      <c r="C377" s="14" t="s">
        <v>72</v>
      </c>
      <c r="D377" s="12">
        <v>46239</v>
      </c>
      <c r="E377" s="14" t="s">
        <v>133</v>
      </c>
      <c r="F377" s="14" t="s">
        <v>133</v>
      </c>
      <c r="G377" s="14" t="s">
        <v>133</v>
      </c>
      <c r="H377" s="14" t="s">
        <v>73</v>
      </c>
      <c r="I377">
        <v>20</v>
      </c>
      <c r="J377">
        <v>12.575914710568108</v>
      </c>
      <c r="K377">
        <v>46239</v>
      </c>
      <c r="L377" t="s">
        <v>468</v>
      </c>
      <c r="M377">
        <v>12.35</v>
      </c>
      <c r="N377">
        <v>12.35</v>
      </c>
      <c r="O377">
        <v>12.715073529411764</v>
      </c>
      <c r="P377">
        <v>0.98203592217604163</v>
      </c>
      <c r="Q377">
        <v>0.98203592217604163</v>
      </c>
      <c r="R377">
        <v>1.0110655027523934</v>
      </c>
      <c r="S377">
        <v>1.1065502752393375E-2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1.7964077823958369E-2</v>
      </c>
      <c r="AC377">
        <v>0</v>
      </c>
      <c r="AD377">
        <v>0</v>
      </c>
      <c r="AE377">
        <v>0</v>
      </c>
      <c r="AF377">
        <v>0</v>
      </c>
      <c r="AG377">
        <v>0.98203592217604163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1.0182926891148265</v>
      </c>
      <c r="AN377">
        <v>1.0182926891148265</v>
      </c>
      <c r="AO377">
        <v>1.0295606096689689</v>
      </c>
      <c r="AP377">
        <v>1.1267920554142385E-2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1.829268911482651E-2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0.97128813069249675</v>
      </c>
      <c r="BK377">
        <v>0.97128813069249675</v>
      </c>
      <c r="BL377">
        <v>0.9890556025081757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1.0944397491824298E-2</v>
      </c>
      <c r="BX377">
        <v>0</v>
      </c>
      <c r="BY377">
        <v>0</v>
      </c>
      <c r="BZ377">
        <v>0</v>
      </c>
      <c r="CA377">
        <v>0.97128813069249675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 spans="1:84" x14ac:dyDescent="0.25">
      <c r="A378" t="s">
        <v>128</v>
      </c>
      <c r="B378" t="s">
        <v>291</v>
      </c>
      <c r="C378" s="14" t="s">
        <v>72</v>
      </c>
      <c r="D378" s="12">
        <v>46234</v>
      </c>
      <c r="E378" s="14" t="s">
        <v>134</v>
      </c>
      <c r="F378" s="14" t="s">
        <v>134</v>
      </c>
      <c r="G378" s="14" t="s">
        <v>134</v>
      </c>
      <c r="H378" s="14" t="s">
        <v>73</v>
      </c>
      <c r="I378">
        <v>20</v>
      </c>
      <c r="J378">
        <v>4.5519020212155965</v>
      </c>
      <c r="K378">
        <v>46234</v>
      </c>
      <c r="L378" t="s">
        <v>453</v>
      </c>
      <c r="M378">
        <v>1.9</v>
      </c>
      <c r="N378">
        <v>1.9</v>
      </c>
      <c r="O378">
        <v>3.7647058823529393</v>
      </c>
      <c r="P378">
        <v>0.41740792994762227</v>
      </c>
      <c r="Q378">
        <v>0.41740792994762227</v>
      </c>
      <c r="R378">
        <v>0.82706215221819857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0.4096542222705763</v>
      </c>
      <c r="AC378">
        <v>0.17293784778180143</v>
      </c>
      <c r="AD378">
        <v>0</v>
      </c>
      <c r="AE378">
        <v>0</v>
      </c>
      <c r="AF378">
        <v>0</v>
      </c>
      <c r="AG378">
        <v>0.41740792994762227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2.3957379059029456</v>
      </c>
      <c r="AN378">
        <v>2.3957379059029456</v>
      </c>
      <c r="AO378">
        <v>1.9814241486068103</v>
      </c>
      <c r="BF378">
        <v>0</v>
      </c>
      <c r="BG378">
        <v>0</v>
      </c>
      <c r="BH378">
        <v>0</v>
      </c>
      <c r="BJ378">
        <v>0.50468750000000018</v>
      </c>
      <c r="BK378">
        <v>0.50468750000000018</v>
      </c>
      <c r="BL378">
        <v>1.2090989743853935</v>
      </c>
      <c r="BM378">
        <v>0.20909897438539349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0.58259207005237768</v>
      </c>
      <c r="BW378">
        <v>0</v>
      </c>
      <c r="BX378">
        <v>0</v>
      </c>
      <c r="BY378">
        <v>0</v>
      </c>
      <c r="BZ378">
        <v>0</v>
      </c>
      <c r="CA378">
        <v>0.50468750000000018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84" x14ac:dyDescent="0.25">
      <c r="A379" t="s">
        <v>128</v>
      </c>
      <c r="B379" t="s">
        <v>291</v>
      </c>
      <c r="C379" s="14" t="s">
        <v>109</v>
      </c>
      <c r="D379" s="12">
        <v>46248</v>
      </c>
      <c r="E379" s="14" t="s">
        <v>134</v>
      </c>
      <c r="F379" s="14" t="s">
        <v>134</v>
      </c>
      <c r="G379" s="14" t="s">
        <v>134</v>
      </c>
      <c r="H379" s="14"/>
      <c r="J379">
        <v>8.0728589559160806</v>
      </c>
      <c r="M379">
        <v>16.149999999999999</v>
      </c>
      <c r="N379">
        <v>16.149999999999999</v>
      </c>
      <c r="O379">
        <v>7.6955017301038069</v>
      </c>
      <c r="S379">
        <v>1.7294911000558473E-2</v>
      </c>
      <c r="T379">
        <v>0</v>
      </c>
      <c r="U379">
        <v>1.4143251010791247</v>
      </c>
      <c r="V379">
        <v>0</v>
      </c>
      <c r="W379">
        <v>4.1021003167431805E-2</v>
      </c>
      <c r="X379">
        <v>0</v>
      </c>
      <c r="Y379">
        <v>0.10903686519012579</v>
      </c>
      <c r="Z379">
        <v>0</v>
      </c>
      <c r="AA379">
        <v>0</v>
      </c>
      <c r="AB379">
        <v>0.3497558209778362</v>
      </c>
      <c r="AC379">
        <v>0.21409671826166068</v>
      </c>
      <c r="AD379">
        <v>0</v>
      </c>
      <c r="AE379">
        <v>0</v>
      </c>
      <c r="AF379">
        <v>0</v>
      </c>
      <c r="AG379">
        <v>0.43614746076050315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84" x14ac:dyDescent="0.25">
      <c r="A380" t="s">
        <v>128</v>
      </c>
      <c r="B380" t="s">
        <v>291</v>
      </c>
      <c r="C380" s="14" t="s">
        <v>72</v>
      </c>
      <c r="D380" s="12">
        <v>46239</v>
      </c>
      <c r="E380" s="14" t="s">
        <v>133</v>
      </c>
      <c r="F380" s="14" t="s">
        <v>133</v>
      </c>
      <c r="G380" s="14" t="s">
        <v>133</v>
      </c>
      <c r="H380" s="14" t="s">
        <v>74</v>
      </c>
      <c r="I380">
        <v>20</v>
      </c>
      <c r="J380">
        <v>4.220105607573192</v>
      </c>
      <c r="K380">
        <v>46239</v>
      </c>
      <c r="L380" t="s">
        <v>469</v>
      </c>
      <c r="M380">
        <v>19</v>
      </c>
      <c r="N380">
        <v>19</v>
      </c>
      <c r="O380">
        <v>5.6041666666666661</v>
      </c>
      <c r="P380">
        <v>4.5022569970532356</v>
      </c>
      <c r="Q380">
        <v>4.5022569970532356</v>
      </c>
      <c r="R380">
        <v>1.327968346718553</v>
      </c>
      <c r="S380">
        <v>0</v>
      </c>
      <c r="T380">
        <v>0</v>
      </c>
      <c r="U380">
        <v>3.1742886503346828</v>
      </c>
      <c r="V380">
        <v>0</v>
      </c>
      <c r="W380">
        <v>7.7968346718553017E-2</v>
      </c>
      <c r="X380">
        <v>0</v>
      </c>
      <c r="Y380">
        <v>0.25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0.22211082145122063</v>
      </c>
      <c r="AN380">
        <v>0.22211082145122063</v>
      </c>
      <c r="AO380">
        <v>0.29495614035087714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0.70504385964912286</v>
      </c>
      <c r="BA380">
        <v>0</v>
      </c>
      <c r="BB380">
        <v>0</v>
      </c>
      <c r="BC380">
        <v>0</v>
      </c>
      <c r="BD380">
        <v>0.22211082145122063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3.3903345724907066</v>
      </c>
      <c r="BK380">
        <v>3.3903345724907066</v>
      </c>
      <c r="BL380">
        <v>0.75302999689038375</v>
      </c>
      <c r="CC380">
        <v>0</v>
      </c>
      <c r="CD380">
        <v>0</v>
      </c>
      <c r="CE380">
        <v>0</v>
      </c>
    </row>
    <row r="381" spans="1:84" x14ac:dyDescent="0.25">
      <c r="A381" t="s">
        <v>128</v>
      </c>
      <c r="B381" t="s">
        <v>291</v>
      </c>
      <c r="C381" s="14" t="s">
        <v>109</v>
      </c>
      <c r="D381" s="12">
        <v>46249</v>
      </c>
      <c r="E381" s="14" t="s">
        <v>133</v>
      </c>
      <c r="F381" s="14" t="s">
        <v>133</v>
      </c>
      <c r="G381" s="14" t="s">
        <v>133</v>
      </c>
      <c r="H381" s="14"/>
      <c r="J381">
        <v>26.220922841721425</v>
      </c>
      <c r="M381">
        <v>70.299999999999983</v>
      </c>
      <c r="N381">
        <v>70.299999999999983</v>
      </c>
      <c r="O381">
        <v>29.18359375</v>
      </c>
      <c r="S381">
        <v>0</v>
      </c>
      <c r="T381">
        <v>0</v>
      </c>
      <c r="U381">
        <v>1.4310650572580967</v>
      </c>
      <c r="V381">
        <v>0</v>
      </c>
      <c r="W381">
        <v>0</v>
      </c>
      <c r="X381">
        <v>0</v>
      </c>
      <c r="Y381">
        <v>0.11298881149844664</v>
      </c>
      <c r="Z381">
        <v>0</v>
      </c>
      <c r="AA381">
        <v>0.13701118850155336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84" x14ac:dyDescent="0.25">
      <c r="A382" t="s">
        <v>128</v>
      </c>
      <c r="B382" t="s">
        <v>291</v>
      </c>
      <c r="C382" s="14" t="s">
        <v>72</v>
      </c>
      <c r="D382" s="12">
        <v>46238</v>
      </c>
      <c r="E382" s="14" t="s">
        <v>133</v>
      </c>
      <c r="F382" s="14" t="s">
        <v>133</v>
      </c>
      <c r="G382" s="14" t="s">
        <v>133</v>
      </c>
      <c r="H382" s="14" t="s">
        <v>74</v>
      </c>
      <c r="I382">
        <v>20</v>
      </c>
      <c r="J382">
        <v>4.220105607573192</v>
      </c>
      <c r="K382">
        <v>46238</v>
      </c>
      <c r="L382" t="s">
        <v>466</v>
      </c>
      <c r="M382">
        <v>30.4</v>
      </c>
      <c r="N382">
        <v>30.4</v>
      </c>
      <c r="O382">
        <v>4.6874999999999991</v>
      </c>
      <c r="P382">
        <v>7.2036111952851769</v>
      </c>
      <c r="Q382">
        <v>7.2036111952851769</v>
      </c>
      <c r="R382">
        <v>1.1107541933519494</v>
      </c>
      <c r="S382">
        <v>0</v>
      </c>
      <c r="T382">
        <v>0</v>
      </c>
      <c r="U382">
        <v>5.9536111952851769</v>
      </c>
      <c r="V382">
        <v>0</v>
      </c>
      <c r="W382">
        <v>0</v>
      </c>
      <c r="X382">
        <v>0</v>
      </c>
      <c r="Y382">
        <v>0.11075419335194936</v>
      </c>
      <c r="Z382">
        <v>0</v>
      </c>
      <c r="AA382">
        <v>0.13924580664805064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0.13881926340701289</v>
      </c>
      <c r="AN382">
        <v>0.13881926340701289</v>
      </c>
      <c r="AO382">
        <v>0.15419407894736839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0.84580592105263164</v>
      </c>
      <c r="BA382">
        <v>0</v>
      </c>
      <c r="BB382">
        <v>0</v>
      </c>
      <c r="BC382">
        <v>0</v>
      </c>
      <c r="BD382">
        <v>0.13881926340701289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6.4853333333333341</v>
      </c>
      <c r="BK382">
        <v>6.4853333333333341</v>
      </c>
      <c r="BL382">
        <v>0.9002891962822811</v>
      </c>
      <c r="CC382">
        <v>0</v>
      </c>
      <c r="CD382">
        <v>0</v>
      </c>
      <c r="CE382">
        <v>0</v>
      </c>
    </row>
    <row r="383" spans="1:84" x14ac:dyDescent="0.25">
      <c r="A383" t="s">
        <v>128</v>
      </c>
      <c r="B383" t="s">
        <v>291</v>
      </c>
      <c r="C383" s="14" t="s">
        <v>109</v>
      </c>
      <c r="D383" s="12">
        <v>46247</v>
      </c>
      <c r="E383" s="14" t="s">
        <v>134</v>
      </c>
      <c r="F383" s="14" t="s">
        <v>134</v>
      </c>
      <c r="G383" s="14" t="s">
        <v>134</v>
      </c>
      <c r="H383" s="14"/>
      <c r="J383">
        <v>10.390510129688344</v>
      </c>
      <c r="M383">
        <v>15.2</v>
      </c>
      <c r="N383">
        <v>15.2</v>
      </c>
      <c r="O383">
        <v>9.6332179930795796</v>
      </c>
      <c r="S383">
        <v>5.919152975564624E-2</v>
      </c>
      <c r="T383">
        <v>0</v>
      </c>
      <c r="U383">
        <v>1.0074237865294782</v>
      </c>
      <c r="V383">
        <v>0</v>
      </c>
      <c r="W383">
        <v>2.7951555717944152E-2</v>
      </c>
      <c r="X383">
        <v>0</v>
      </c>
      <c r="Y383">
        <v>3.064184526994676E-2</v>
      </c>
      <c r="Z383">
        <v>0</v>
      </c>
      <c r="AA383">
        <v>0</v>
      </c>
      <c r="AB383">
        <v>0.4124758851001542</v>
      </c>
      <c r="AC383">
        <v>0.19066798722071487</v>
      </c>
      <c r="AD383">
        <v>0</v>
      </c>
      <c r="AE383">
        <v>0</v>
      </c>
      <c r="AF383">
        <v>0</v>
      </c>
      <c r="AG383">
        <v>0.3968561276791307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84" x14ac:dyDescent="0.25">
      <c r="A384" t="s">
        <v>128</v>
      </c>
      <c r="B384" t="s">
        <v>291</v>
      </c>
      <c r="C384" s="14" t="s">
        <v>72</v>
      </c>
      <c r="D384" s="12">
        <v>46240</v>
      </c>
      <c r="E384" s="14" t="s">
        <v>133</v>
      </c>
      <c r="F384" s="14" t="s">
        <v>133</v>
      </c>
      <c r="G384" s="14" t="s">
        <v>133</v>
      </c>
      <c r="H384" s="14" t="s">
        <v>74</v>
      </c>
      <c r="I384">
        <v>20</v>
      </c>
      <c r="J384">
        <v>4.220105607573192</v>
      </c>
      <c r="K384">
        <v>46240</v>
      </c>
      <c r="L384" t="s">
        <v>472</v>
      </c>
      <c r="M384">
        <v>19.95</v>
      </c>
      <c r="N384">
        <v>19.95</v>
      </c>
      <c r="O384">
        <v>5.6041666666666661</v>
      </c>
      <c r="P384">
        <v>4.7273698469058969</v>
      </c>
      <c r="Q384">
        <v>4.7273698469058969</v>
      </c>
      <c r="R384">
        <v>1.327968346718553</v>
      </c>
      <c r="S384">
        <v>0</v>
      </c>
      <c r="T384">
        <v>0</v>
      </c>
      <c r="U384">
        <v>3.3994015001873441</v>
      </c>
      <c r="V384">
        <v>0</v>
      </c>
      <c r="W384">
        <v>7.7968346718553017E-2</v>
      </c>
      <c r="X384">
        <v>0</v>
      </c>
      <c r="Y384">
        <v>0.25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0.21153411566782918</v>
      </c>
      <c r="AN384">
        <v>0.21153411566782918</v>
      </c>
      <c r="AO384">
        <v>0.28091060985797828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0.71908939014202167</v>
      </c>
      <c r="BA384">
        <v>0</v>
      </c>
      <c r="BB384">
        <v>0</v>
      </c>
      <c r="BC384">
        <v>0</v>
      </c>
      <c r="BD384">
        <v>0.21153411566782918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3.5598513011152417</v>
      </c>
      <c r="BK384">
        <v>3.5598513011152417</v>
      </c>
      <c r="BL384">
        <v>0.75302999689038375</v>
      </c>
      <c r="CC384">
        <v>0</v>
      </c>
      <c r="CD384">
        <v>0</v>
      </c>
      <c r="CE384">
        <v>0</v>
      </c>
    </row>
    <row r="385" spans="1:84" x14ac:dyDescent="0.25">
      <c r="A385" t="s">
        <v>128</v>
      </c>
      <c r="B385" t="s">
        <v>291</v>
      </c>
      <c r="C385" s="14" t="s">
        <v>72</v>
      </c>
      <c r="D385" s="12">
        <v>46240</v>
      </c>
      <c r="E385" s="14" t="s">
        <v>133</v>
      </c>
      <c r="F385" s="14" t="s">
        <v>133</v>
      </c>
      <c r="G385" s="14" t="s">
        <v>133</v>
      </c>
      <c r="H385" s="14" t="s">
        <v>75</v>
      </c>
      <c r="I385">
        <v>20</v>
      </c>
      <c r="J385">
        <v>10.972274579690296</v>
      </c>
      <c r="K385">
        <v>46240</v>
      </c>
      <c r="L385" t="s">
        <v>473</v>
      </c>
      <c r="M385">
        <v>1.9</v>
      </c>
      <c r="N385">
        <v>1.9</v>
      </c>
      <c r="O385">
        <v>13.104166666666666</v>
      </c>
      <c r="P385">
        <v>0.17316373065589372</v>
      </c>
      <c r="Q385">
        <v>0.17316373065589372</v>
      </c>
      <c r="R385">
        <v>1.1942980984929512</v>
      </c>
      <c r="S385">
        <v>0.19429809849295121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0.82683626934410626</v>
      </c>
      <c r="AC385">
        <v>0</v>
      </c>
      <c r="AD385">
        <v>0</v>
      </c>
      <c r="AE385">
        <v>0</v>
      </c>
      <c r="AF385">
        <v>0</v>
      </c>
      <c r="AG385">
        <v>0.17316373065589372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5.7748813577317355</v>
      </c>
      <c r="AN385">
        <v>5.7748813577317355</v>
      </c>
      <c r="AO385">
        <v>6.8969298245614032</v>
      </c>
      <c r="BF385">
        <v>0</v>
      </c>
      <c r="BG385">
        <v>0</v>
      </c>
      <c r="BH385">
        <v>0</v>
      </c>
      <c r="BJ385">
        <v>0.14499205087440381</v>
      </c>
      <c r="BK385">
        <v>0.14499205087440381</v>
      </c>
      <c r="BL385">
        <v>0.83731189161388597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0.16268810838611403</v>
      </c>
      <c r="BX385">
        <v>0</v>
      </c>
      <c r="BY385">
        <v>0</v>
      </c>
      <c r="BZ385">
        <v>0</v>
      </c>
      <c r="CA385">
        <v>0.14499205087440381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 spans="1:84" x14ac:dyDescent="0.25">
      <c r="A386" t="s">
        <v>128</v>
      </c>
      <c r="B386" t="s">
        <v>291</v>
      </c>
      <c r="C386" s="14" t="s">
        <v>109</v>
      </c>
      <c r="D386" s="12">
        <v>46250</v>
      </c>
      <c r="E386" s="14" t="s">
        <v>133</v>
      </c>
      <c r="F386" s="14" t="s">
        <v>133</v>
      </c>
      <c r="G386" s="14" t="s">
        <v>133</v>
      </c>
      <c r="H386" s="14"/>
      <c r="J386">
        <v>26.164654766953785</v>
      </c>
      <c r="M386">
        <v>63.649999999999991</v>
      </c>
      <c r="N386">
        <v>63.649999999999991</v>
      </c>
      <c r="O386">
        <v>29.12109375</v>
      </c>
      <c r="S386">
        <v>4.6445306889527332E-2</v>
      </c>
      <c r="T386">
        <v>0</v>
      </c>
      <c r="U386">
        <v>1.3437794260647942</v>
      </c>
      <c r="V386">
        <v>0</v>
      </c>
      <c r="W386">
        <v>0</v>
      </c>
      <c r="X386">
        <v>0</v>
      </c>
      <c r="Y386">
        <v>6.6548310239341657E-2</v>
      </c>
      <c r="Z386">
        <v>0</v>
      </c>
      <c r="AA386">
        <v>7.8612980083238998E-2</v>
      </c>
      <c r="AB386">
        <v>5.6269597011835745E-2</v>
      </c>
      <c r="AC386">
        <v>0</v>
      </c>
      <c r="AD386">
        <v>0</v>
      </c>
      <c r="AE386">
        <v>0</v>
      </c>
      <c r="AF386">
        <v>0</v>
      </c>
      <c r="AG386">
        <v>0.94373040298816424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84" x14ac:dyDescent="0.25">
      <c r="A387" t="s">
        <v>128</v>
      </c>
      <c r="B387" t="s">
        <v>291</v>
      </c>
      <c r="C387" s="14" t="s">
        <v>109</v>
      </c>
      <c r="D387" s="12">
        <v>46247</v>
      </c>
      <c r="E387" s="14" t="s">
        <v>420</v>
      </c>
      <c r="F387" s="14" t="s">
        <v>420</v>
      </c>
      <c r="G387" s="14" t="s">
        <v>420</v>
      </c>
      <c r="H387" s="14"/>
      <c r="J387">
        <v>6.7786480661254069</v>
      </c>
      <c r="M387">
        <v>15.2</v>
      </c>
      <c r="N387">
        <v>15.2</v>
      </c>
      <c r="O387">
        <v>7.5155709342560542</v>
      </c>
      <c r="S387">
        <v>0.10871236579064103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0.43941624304268784</v>
      </c>
      <c r="AC387">
        <v>0</v>
      </c>
      <c r="AD387">
        <v>0</v>
      </c>
      <c r="AE387">
        <v>0</v>
      </c>
      <c r="AF387">
        <v>0</v>
      </c>
      <c r="AG387">
        <v>0.56058375695731222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84" x14ac:dyDescent="0.25">
      <c r="A388" t="s">
        <v>128</v>
      </c>
      <c r="B388" t="s">
        <v>291</v>
      </c>
      <c r="C388" s="14" t="s">
        <v>109</v>
      </c>
      <c r="D388" s="12">
        <v>46246</v>
      </c>
      <c r="E388" s="14" t="s">
        <v>134</v>
      </c>
      <c r="F388" s="14" t="s">
        <v>134</v>
      </c>
      <c r="G388" s="14" t="s">
        <v>134</v>
      </c>
      <c r="H388" s="14"/>
      <c r="J388">
        <v>9.3414218142876404</v>
      </c>
      <c r="M388">
        <v>15.2</v>
      </c>
      <c r="N388">
        <v>15.2</v>
      </c>
      <c r="O388">
        <v>10.629757785467126</v>
      </c>
      <c r="S388">
        <v>0.19205889713531873</v>
      </c>
      <c r="T388">
        <v>0</v>
      </c>
      <c r="U388">
        <v>0.94825800159275597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3.4083077501409681E-2</v>
      </c>
      <c r="AB388">
        <v>0.33661665280348874</v>
      </c>
      <c r="AC388">
        <v>1.8563133054597804E-2</v>
      </c>
      <c r="AD388">
        <v>0</v>
      </c>
      <c r="AE388">
        <v>3.5579288752630729E-2</v>
      </c>
      <c r="AF388">
        <v>0</v>
      </c>
      <c r="AG388">
        <v>0.60924092538928276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84" x14ac:dyDescent="0.25">
      <c r="A389" t="s">
        <v>128</v>
      </c>
      <c r="B389" t="s">
        <v>291</v>
      </c>
      <c r="C389" s="14" t="s">
        <v>72</v>
      </c>
      <c r="D389" s="12">
        <v>46241</v>
      </c>
      <c r="E389" s="14" t="s">
        <v>133</v>
      </c>
      <c r="F389" s="14" t="s">
        <v>133</v>
      </c>
      <c r="G389" s="14" t="s">
        <v>133</v>
      </c>
      <c r="H389" s="14" t="s">
        <v>73</v>
      </c>
      <c r="I389">
        <v>20</v>
      </c>
      <c r="J389">
        <v>10.972274579690296</v>
      </c>
      <c r="K389">
        <v>46241</v>
      </c>
      <c r="L389" t="s">
        <v>474</v>
      </c>
      <c r="M389">
        <v>11.4</v>
      </c>
      <c r="N389">
        <v>11.4</v>
      </c>
      <c r="O389">
        <v>13.162990196078432</v>
      </c>
      <c r="P389">
        <v>1.0389823839353622</v>
      </c>
      <c r="Q389">
        <v>1.0389823839353622</v>
      </c>
      <c r="R389">
        <v>1.1996592047052081</v>
      </c>
      <c r="S389">
        <v>0.16067682076984591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3.8982383935362241E-2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0.96248022628862262</v>
      </c>
      <c r="AN389">
        <v>0.96248022628862262</v>
      </c>
      <c r="AO389">
        <v>1.1546482628138977</v>
      </c>
      <c r="AP389">
        <v>0.15464826281389765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0.96248022628862262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0.86606461223349762</v>
      </c>
      <c r="BK389">
        <v>0.86606461223349762</v>
      </c>
      <c r="BL389">
        <v>0.83357006396306499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0.13393538776650238</v>
      </c>
      <c r="BX389">
        <v>0</v>
      </c>
      <c r="BY389">
        <v>3.2494548270432633E-2</v>
      </c>
      <c r="BZ389">
        <v>0</v>
      </c>
      <c r="CA389">
        <v>0.83357006396306499</v>
      </c>
      <c r="CB389">
        <v>0</v>
      </c>
      <c r="CC389">
        <v>0</v>
      </c>
      <c r="CD389">
        <v>0</v>
      </c>
      <c r="CE389">
        <v>0</v>
      </c>
      <c r="CF389">
        <v>0</v>
      </c>
    </row>
    <row r="390" spans="1:84" x14ac:dyDescent="0.25">
      <c r="A390" t="s">
        <v>128</v>
      </c>
      <c r="B390" t="s">
        <v>291</v>
      </c>
      <c r="C390" s="14" t="s">
        <v>72</v>
      </c>
      <c r="D390" s="12">
        <v>46226</v>
      </c>
      <c r="E390" s="14" t="s">
        <v>134</v>
      </c>
      <c r="F390" s="14" t="s">
        <v>134</v>
      </c>
      <c r="G390" s="14" t="s">
        <v>134</v>
      </c>
      <c r="H390" s="14" t="s">
        <v>74</v>
      </c>
      <c r="I390">
        <v>20</v>
      </c>
      <c r="J390">
        <v>1.2735376146788988</v>
      </c>
      <c r="K390">
        <v>46226</v>
      </c>
      <c r="L390" t="s">
        <v>433</v>
      </c>
      <c r="M390">
        <v>9.5</v>
      </c>
      <c r="N390">
        <v>9.5</v>
      </c>
      <c r="O390">
        <v>1.8823529411764703</v>
      </c>
      <c r="P390">
        <v>7.4595362480873924</v>
      </c>
      <c r="Q390">
        <v>7.4595362480873924</v>
      </c>
      <c r="R390">
        <v>1.4780505259368206</v>
      </c>
      <c r="S390">
        <v>0</v>
      </c>
      <c r="T390">
        <v>0</v>
      </c>
      <c r="U390">
        <v>5.9814857221505715</v>
      </c>
      <c r="V390">
        <v>0</v>
      </c>
      <c r="W390">
        <v>0.22805052593682063</v>
      </c>
      <c r="X390">
        <v>0</v>
      </c>
      <c r="Y390">
        <v>0.25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0.13405659101883147</v>
      </c>
      <c r="AN390">
        <v>0.13405659101883147</v>
      </c>
      <c r="AO390">
        <v>0.1981424148606811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0.80185758513931893</v>
      </c>
      <c r="BA390">
        <v>0</v>
      </c>
      <c r="BB390">
        <v>0</v>
      </c>
      <c r="BC390">
        <v>0</v>
      </c>
      <c r="BD390">
        <v>0.13405659101883147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5.0468750000000009</v>
      </c>
      <c r="BK390">
        <v>5.0468750000000009</v>
      </c>
      <c r="BL390">
        <v>0.67656685779816506</v>
      </c>
      <c r="CC390">
        <v>0</v>
      </c>
      <c r="CD390">
        <v>0</v>
      </c>
      <c r="CE390">
        <v>0</v>
      </c>
    </row>
    <row r="391" spans="1:84" x14ac:dyDescent="0.25">
      <c r="A391" t="s">
        <v>128</v>
      </c>
      <c r="B391" t="s">
        <v>291</v>
      </c>
      <c r="C391" s="14" t="s">
        <v>72</v>
      </c>
      <c r="D391" s="12">
        <v>46234</v>
      </c>
      <c r="E391" s="14" t="s">
        <v>134</v>
      </c>
      <c r="F391" s="14" t="s">
        <v>134</v>
      </c>
      <c r="G391" s="14" t="s">
        <v>134</v>
      </c>
      <c r="H391" s="14" t="s">
        <v>75</v>
      </c>
      <c r="I391">
        <v>20</v>
      </c>
      <c r="J391">
        <v>2.2474193200215864</v>
      </c>
      <c r="K391">
        <v>46234</v>
      </c>
      <c r="L391" t="s">
        <v>455</v>
      </c>
      <c r="M391">
        <v>2.8499999999999996</v>
      </c>
      <c r="N391">
        <v>2.8499999999999996</v>
      </c>
      <c r="O391">
        <v>4.816608996539788</v>
      </c>
      <c r="P391">
        <v>1.2681211621748565</v>
      </c>
      <c r="Q391">
        <v>1.2681211621748565</v>
      </c>
      <c r="R391">
        <v>2.1431732626083879</v>
      </c>
      <c r="S391">
        <v>0.87505210043353143</v>
      </c>
      <c r="T391">
        <v>0</v>
      </c>
      <c r="U391">
        <v>0</v>
      </c>
      <c r="V391">
        <v>0</v>
      </c>
      <c r="W391">
        <v>1.8121162174856487E-2</v>
      </c>
      <c r="X391">
        <v>0</v>
      </c>
      <c r="Y391">
        <v>0.25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0.78856818246371463</v>
      </c>
      <c r="AN391">
        <v>0.78856818246371463</v>
      </c>
      <c r="AO391">
        <v>1.6900382443999258</v>
      </c>
      <c r="AP391">
        <v>0.69003824439992578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0.78856818246371463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0.59170258620689697</v>
      </c>
      <c r="BK391">
        <v>0.59170258620689697</v>
      </c>
      <c r="BL391">
        <v>0.46659783296425222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0.40829741379310303</v>
      </c>
      <c r="BX391">
        <v>0</v>
      </c>
      <c r="BY391">
        <v>0.12510475324264475</v>
      </c>
      <c r="BZ391">
        <v>0</v>
      </c>
      <c r="CA391">
        <v>0.46659783296425222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 spans="1:84" x14ac:dyDescent="0.25">
      <c r="A392" t="s">
        <v>128</v>
      </c>
      <c r="B392" t="s">
        <v>291</v>
      </c>
      <c r="C392" s="14" t="s">
        <v>72</v>
      </c>
      <c r="D392" s="12">
        <v>46241</v>
      </c>
      <c r="E392" s="14" t="s">
        <v>133</v>
      </c>
      <c r="F392" s="14" t="s">
        <v>133</v>
      </c>
      <c r="G392" s="14" t="s">
        <v>133</v>
      </c>
      <c r="H392" s="14" t="s">
        <v>75</v>
      </c>
      <c r="I392">
        <v>20</v>
      </c>
      <c r="J392">
        <v>11.028542654457937</v>
      </c>
      <c r="K392">
        <v>46241</v>
      </c>
      <c r="L392" t="s">
        <v>476</v>
      </c>
      <c r="M392">
        <v>23.75</v>
      </c>
      <c r="N392">
        <v>23.75</v>
      </c>
      <c r="O392">
        <v>13.107843137254903</v>
      </c>
      <c r="P392">
        <v>2.15350302792725</v>
      </c>
      <c r="Q392">
        <v>2.15350302792725</v>
      </c>
      <c r="R392">
        <v>1.1885381004494258</v>
      </c>
      <c r="S392">
        <v>0</v>
      </c>
      <c r="T392">
        <v>0</v>
      </c>
      <c r="U392">
        <v>0.90350302792725001</v>
      </c>
      <c r="V392">
        <v>0</v>
      </c>
      <c r="W392">
        <v>0</v>
      </c>
      <c r="X392">
        <v>0</v>
      </c>
      <c r="Y392">
        <v>0.18853810044942576</v>
      </c>
      <c r="Z392">
        <v>0</v>
      </c>
      <c r="AA392">
        <v>6.1461899550574239E-2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0.46435969071401839</v>
      </c>
      <c r="AN392">
        <v>0.46435969071401839</v>
      </c>
      <c r="AO392">
        <v>0.55190918472652228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0.44809081527347772</v>
      </c>
      <c r="BA392">
        <v>0</v>
      </c>
      <c r="BB392">
        <v>0</v>
      </c>
      <c r="BC392">
        <v>0</v>
      </c>
      <c r="BD392">
        <v>0.46435969071401839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1.8118922961854897</v>
      </c>
      <c r="BK392">
        <v>1.8118922961854897</v>
      </c>
      <c r="BL392">
        <v>0.84136974626380656</v>
      </c>
      <c r="CC392">
        <v>0</v>
      </c>
      <c r="CD392">
        <v>0</v>
      </c>
      <c r="CE392">
        <v>0</v>
      </c>
    </row>
    <row r="393" spans="1:84" x14ac:dyDescent="0.25">
      <c r="A393" t="s">
        <v>128</v>
      </c>
      <c r="B393" t="s">
        <v>291</v>
      </c>
      <c r="C393" s="14" t="s">
        <v>72</v>
      </c>
      <c r="D393" s="12">
        <v>46225</v>
      </c>
      <c r="E393" s="14" t="s">
        <v>134</v>
      </c>
      <c r="F393" s="14" t="s">
        <v>134</v>
      </c>
      <c r="G393" s="14" t="s">
        <v>134</v>
      </c>
      <c r="H393" s="14" t="s">
        <v>74</v>
      </c>
      <c r="I393">
        <v>20</v>
      </c>
      <c r="J393">
        <v>1.2735376146788988</v>
      </c>
      <c r="K393">
        <v>46225</v>
      </c>
      <c r="L393" t="s">
        <v>430</v>
      </c>
      <c r="M393">
        <v>2.8499999999999996</v>
      </c>
      <c r="N393">
        <v>2.8499999999999996</v>
      </c>
      <c r="O393">
        <v>1.9411764705882348</v>
      </c>
      <c r="P393">
        <v>2.2378608744262176</v>
      </c>
      <c r="Q393">
        <v>2.2378608744262176</v>
      </c>
      <c r="R393">
        <v>1.5242396048723461</v>
      </c>
      <c r="S393">
        <v>0</v>
      </c>
      <c r="T393">
        <v>0</v>
      </c>
      <c r="U393">
        <v>0.71362126955387151</v>
      </c>
      <c r="V393">
        <v>0</v>
      </c>
      <c r="W393">
        <v>0.27423960487234611</v>
      </c>
      <c r="X393">
        <v>0</v>
      </c>
      <c r="Y393">
        <v>0.25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0.44685530339610491</v>
      </c>
      <c r="AN393">
        <v>0.44685530339610491</v>
      </c>
      <c r="AO393">
        <v>0.6811145510835912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0.3188854489164088</v>
      </c>
      <c r="BA393">
        <v>0</v>
      </c>
      <c r="BB393">
        <v>0</v>
      </c>
      <c r="BC393">
        <v>0</v>
      </c>
      <c r="BD393">
        <v>0.44685530339610491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1.4681818181818183</v>
      </c>
      <c r="BK393">
        <v>1.4681818181818183</v>
      </c>
      <c r="BL393">
        <v>0.65606483180428132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0.46818181818181825</v>
      </c>
      <c r="BV393">
        <v>0</v>
      </c>
      <c r="BW393">
        <v>0</v>
      </c>
      <c r="BX393">
        <v>0</v>
      </c>
      <c r="BY393">
        <v>0.34393516819571868</v>
      </c>
      <c r="BZ393">
        <v>0</v>
      </c>
      <c r="CA393">
        <v>0.65606483180428132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 spans="1:84" x14ac:dyDescent="0.25">
      <c r="A394" t="s">
        <v>128</v>
      </c>
      <c r="B394" t="s">
        <v>291</v>
      </c>
      <c r="C394" s="14" t="s">
        <v>72</v>
      </c>
      <c r="D394" s="12">
        <v>46241</v>
      </c>
      <c r="E394" s="14" t="s">
        <v>133</v>
      </c>
      <c r="F394" s="14" t="s">
        <v>133</v>
      </c>
      <c r="G394" s="14" t="s">
        <v>133</v>
      </c>
      <c r="H394" s="14" t="s">
        <v>74</v>
      </c>
      <c r="I394">
        <v>20</v>
      </c>
      <c r="J394">
        <v>4.220105607573192</v>
      </c>
      <c r="K394">
        <v>46241</v>
      </c>
      <c r="L394" t="s">
        <v>475</v>
      </c>
      <c r="M394">
        <v>31.35</v>
      </c>
      <c r="N394">
        <v>31.35</v>
      </c>
      <c r="O394">
        <v>5.6041666666666661</v>
      </c>
      <c r="P394">
        <v>7.4287240451378382</v>
      </c>
      <c r="Q394">
        <v>7.4287240451378382</v>
      </c>
      <c r="R394">
        <v>1.327968346718553</v>
      </c>
      <c r="S394">
        <v>0</v>
      </c>
      <c r="T394">
        <v>0</v>
      </c>
      <c r="U394">
        <v>6.1007556984192854</v>
      </c>
      <c r="V394">
        <v>0</v>
      </c>
      <c r="W394">
        <v>7.7968346718553017E-2</v>
      </c>
      <c r="X394">
        <v>0</v>
      </c>
      <c r="Y394">
        <v>0.25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0.13461261906134583</v>
      </c>
      <c r="AN394">
        <v>0.13461261906134583</v>
      </c>
      <c r="AO394">
        <v>0.17876129718234982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0.82123870281765021</v>
      </c>
      <c r="BA394">
        <v>0</v>
      </c>
      <c r="BB394">
        <v>0</v>
      </c>
      <c r="BC394">
        <v>0</v>
      </c>
      <c r="BD394">
        <v>0.13461261906134583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5.5940520446096658</v>
      </c>
      <c r="BK394">
        <v>5.5940520446096658</v>
      </c>
      <c r="BL394">
        <v>0.75302999689038375</v>
      </c>
      <c r="CC394">
        <v>0</v>
      </c>
      <c r="CD394">
        <v>0</v>
      </c>
      <c r="CE394">
        <v>0</v>
      </c>
    </row>
    <row r="395" spans="1:84" x14ac:dyDescent="0.25">
      <c r="A395" t="s">
        <v>128</v>
      </c>
      <c r="B395" t="s">
        <v>291</v>
      </c>
      <c r="C395" s="14" t="s">
        <v>109</v>
      </c>
      <c r="D395" s="12">
        <v>46247</v>
      </c>
      <c r="E395" s="14" t="s">
        <v>133</v>
      </c>
      <c r="F395" s="14" t="s">
        <v>133</v>
      </c>
      <c r="G395" s="14" t="s">
        <v>133</v>
      </c>
      <c r="H395" s="14"/>
      <c r="J395">
        <v>26.080252654802319</v>
      </c>
      <c r="M395">
        <v>47.5</v>
      </c>
      <c r="N395">
        <v>47.5</v>
      </c>
      <c r="O395">
        <v>29.100260416666668</v>
      </c>
      <c r="S395">
        <v>4.8842286429121237E-2</v>
      </c>
      <c r="T395">
        <v>0</v>
      </c>
      <c r="U395">
        <v>1.0243392868815158</v>
      </c>
      <c r="V395">
        <v>0</v>
      </c>
      <c r="W395">
        <v>0</v>
      </c>
      <c r="X395">
        <v>0</v>
      </c>
      <c r="Y395">
        <v>6.6954435398581411E-2</v>
      </c>
      <c r="Z395">
        <v>0</v>
      </c>
      <c r="AA395">
        <v>7.7867571073910513E-2</v>
      </c>
      <c r="AB395">
        <v>0.34785991914153336</v>
      </c>
      <c r="AC395">
        <v>0</v>
      </c>
      <c r="AD395">
        <v>0</v>
      </c>
      <c r="AE395">
        <v>0</v>
      </c>
      <c r="AF395">
        <v>0</v>
      </c>
      <c r="AG395">
        <v>0.65214008085846664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84" x14ac:dyDescent="0.25">
      <c r="A396" t="s">
        <v>128</v>
      </c>
      <c r="B396" t="s">
        <v>421</v>
      </c>
      <c r="C396" s="14" t="s">
        <v>72</v>
      </c>
      <c r="D396" s="12">
        <v>46244</v>
      </c>
      <c r="E396" s="14" t="s">
        <v>134</v>
      </c>
      <c r="F396" s="14" t="s">
        <v>134</v>
      </c>
      <c r="G396" s="14" t="s">
        <v>134</v>
      </c>
      <c r="H396" s="14" t="s">
        <v>75</v>
      </c>
      <c r="I396">
        <v>20</v>
      </c>
      <c r="J396">
        <v>2.5188209774148276</v>
      </c>
      <c r="K396">
        <v>46244</v>
      </c>
      <c r="L396" t="s">
        <v>485</v>
      </c>
      <c r="M396">
        <v>2.8499999999999996</v>
      </c>
      <c r="N396">
        <v>2.8499999999999996</v>
      </c>
      <c r="O396">
        <v>1.7716262975778552</v>
      </c>
      <c r="P396">
        <v>1.1314817629179328</v>
      </c>
      <c r="Q396">
        <v>1.1314817629179328</v>
      </c>
      <c r="R396">
        <v>0.70335538470707437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0.13148176291793279</v>
      </c>
      <c r="AB396">
        <v>0</v>
      </c>
      <c r="AC396">
        <v>0</v>
      </c>
      <c r="AD396">
        <v>0</v>
      </c>
      <c r="AE396">
        <v>0.29664461529292563</v>
      </c>
      <c r="AF396">
        <v>0</v>
      </c>
      <c r="AG396">
        <v>0.70335538470707437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0.88379683418064137</v>
      </c>
      <c r="AN396">
        <v>0.88379683418064137</v>
      </c>
      <c r="AO396">
        <v>0.62162326230801945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0.11620316581935863</v>
      </c>
      <c r="BA396">
        <v>0</v>
      </c>
      <c r="BB396">
        <v>0.26217357187262191</v>
      </c>
      <c r="BC396">
        <v>0</v>
      </c>
      <c r="BD396">
        <v>0.62162326230801945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1.6086914062499993</v>
      </c>
      <c r="BK396">
        <v>1.6086914062499993</v>
      </c>
      <c r="BL396">
        <v>1.4217563720173534</v>
      </c>
      <c r="CC396">
        <v>0</v>
      </c>
      <c r="CD396">
        <v>0</v>
      </c>
      <c r="CE396">
        <v>0</v>
      </c>
    </row>
    <row r="397" spans="1:84" x14ac:dyDescent="0.25">
      <c r="A397" t="s">
        <v>128</v>
      </c>
      <c r="B397" t="s">
        <v>421</v>
      </c>
      <c r="C397" s="14" t="s">
        <v>72</v>
      </c>
      <c r="D397" s="12">
        <v>46236</v>
      </c>
      <c r="E397" s="14" t="s">
        <v>134</v>
      </c>
      <c r="F397" s="14" t="s">
        <v>134</v>
      </c>
      <c r="G397" s="14" t="s">
        <v>134</v>
      </c>
      <c r="H397" s="14" t="s">
        <v>73</v>
      </c>
      <c r="I397">
        <v>20</v>
      </c>
      <c r="J397">
        <v>0</v>
      </c>
      <c r="K397">
        <v>46236</v>
      </c>
      <c r="L397" t="s">
        <v>459</v>
      </c>
      <c r="M397">
        <v>0.95</v>
      </c>
      <c r="N397">
        <v>0.95</v>
      </c>
      <c r="O397">
        <v>0.23529411764705879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0.24767801857585137</v>
      </c>
      <c r="AK397">
        <v>0</v>
      </c>
      <c r="AL397">
        <v>0</v>
      </c>
      <c r="AM397">
        <v>0</v>
      </c>
      <c r="AN397">
        <v>0</v>
      </c>
      <c r="AO397">
        <v>0.24767801857585137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0.75232198142414863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I397">
        <v>0</v>
      </c>
      <c r="BJ397">
        <v>4.0375000000000005</v>
      </c>
      <c r="BK397">
        <v>4.0375000000000005</v>
      </c>
      <c r="BL397">
        <v>0</v>
      </c>
      <c r="CC397">
        <v>0.75232198142414863</v>
      </c>
      <c r="CD397">
        <v>0.24767801857585137</v>
      </c>
    </row>
    <row r="398" spans="1:84" x14ac:dyDescent="0.25">
      <c r="A398" t="s">
        <v>128</v>
      </c>
      <c r="B398" t="s">
        <v>421</v>
      </c>
      <c r="C398" s="14" t="s">
        <v>72</v>
      </c>
      <c r="D398" s="12">
        <v>46240</v>
      </c>
      <c r="E398" s="14" t="s">
        <v>134</v>
      </c>
      <c r="F398" s="14" t="s">
        <v>134</v>
      </c>
      <c r="G398" s="14" t="s">
        <v>134</v>
      </c>
      <c r="H398" s="14" t="s">
        <v>74</v>
      </c>
      <c r="I398">
        <v>20</v>
      </c>
      <c r="J398">
        <v>2.7731019522776572</v>
      </c>
      <c r="K398">
        <v>46240</v>
      </c>
      <c r="L398" t="s">
        <v>472</v>
      </c>
      <c r="M398">
        <v>0</v>
      </c>
      <c r="N398">
        <v>0</v>
      </c>
      <c r="O398">
        <v>1.0666666666666669</v>
      </c>
      <c r="P398">
        <v>0</v>
      </c>
      <c r="Q398">
        <v>0</v>
      </c>
      <c r="R398">
        <v>0.38464747601168137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0.38464747601168137</v>
      </c>
      <c r="AC398">
        <v>0.61535252398831863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1</v>
      </c>
      <c r="BJ398">
        <v>0</v>
      </c>
      <c r="BK398">
        <v>0</v>
      </c>
      <c r="BL398">
        <v>2.5997830802603032</v>
      </c>
      <c r="BM398">
        <v>1.5997830802603032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>
        <v>1</v>
      </c>
    </row>
    <row r="399" spans="1:84" x14ac:dyDescent="0.25">
      <c r="A399" t="s">
        <v>128</v>
      </c>
      <c r="B399" t="s">
        <v>421</v>
      </c>
      <c r="C399" s="14" t="s">
        <v>72</v>
      </c>
      <c r="D399" s="12">
        <v>46233</v>
      </c>
      <c r="E399" s="14" t="s">
        <v>134</v>
      </c>
      <c r="F399" s="14" t="s">
        <v>134</v>
      </c>
      <c r="G399" s="14" t="s">
        <v>134</v>
      </c>
      <c r="H399" s="14" t="s">
        <v>75</v>
      </c>
      <c r="I399">
        <v>20</v>
      </c>
      <c r="J399">
        <v>2.4468546637744035</v>
      </c>
      <c r="K399">
        <v>46233</v>
      </c>
      <c r="L399" t="s">
        <v>452</v>
      </c>
      <c r="M399">
        <v>1.9</v>
      </c>
      <c r="N399">
        <v>1.9</v>
      </c>
      <c r="O399">
        <v>1.7716262975778552</v>
      </c>
      <c r="P399">
        <v>0.77650709219858149</v>
      </c>
      <c r="Q399">
        <v>0.77650709219858149</v>
      </c>
      <c r="R399">
        <v>0.72404230778669432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0.22349290780141851</v>
      </c>
      <c r="AD399">
        <v>0</v>
      </c>
      <c r="AE399">
        <v>5.2464784411887178E-2</v>
      </c>
      <c r="AF399">
        <v>0</v>
      </c>
      <c r="AG399">
        <v>0.72404230778669432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1.2878182440917914</v>
      </c>
      <c r="AN399">
        <v>1.2878182440917914</v>
      </c>
      <c r="AO399">
        <v>0.93243489346202912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0.28781824409179135</v>
      </c>
      <c r="AY399">
        <v>0</v>
      </c>
      <c r="AZ399">
        <v>0</v>
      </c>
      <c r="BA399">
        <v>0</v>
      </c>
      <c r="BB399">
        <v>6.7565106537970876E-2</v>
      </c>
      <c r="BC399">
        <v>0</v>
      </c>
      <c r="BD399">
        <v>0.93243489346202912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1.0724609374999996</v>
      </c>
      <c r="BK399">
        <v>1.0724609374999996</v>
      </c>
      <c r="BL399">
        <v>1.3811347613882861</v>
      </c>
      <c r="BM399">
        <v>0.30867382388828646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7.24609374999996E-2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 spans="1:84" x14ac:dyDescent="0.25">
      <c r="A400" t="s">
        <v>128</v>
      </c>
      <c r="B400" t="s">
        <v>421</v>
      </c>
      <c r="C400" s="14" t="s">
        <v>72</v>
      </c>
      <c r="D400" s="12">
        <v>46240</v>
      </c>
      <c r="E400" s="14" t="s">
        <v>134</v>
      </c>
      <c r="F400" s="14" t="s">
        <v>134</v>
      </c>
      <c r="G400" s="14" t="s">
        <v>134</v>
      </c>
      <c r="H400" s="14" t="s">
        <v>73</v>
      </c>
      <c r="I400">
        <v>20</v>
      </c>
      <c r="J400">
        <v>3.8996746203904542</v>
      </c>
      <c r="K400">
        <v>46240</v>
      </c>
      <c r="L400" t="s">
        <v>471</v>
      </c>
      <c r="M400">
        <v>0.95</v>
      </c>
      <c r="N400">
        <v>0.95</v>
      </c>
      <c r="O400">
        <v>0.23529411764705879</v>
      </c>
      <c r="P400">
        <v>0.24361006814073155</v>
      </c>
      <c r="Q400">
        <v>0.24361006814073155</v>
      </c>
      <c r="R400">
        <v>6.0336858982224524E-2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0.75638993185926839</v>
      </c>
      <c r="AD400">
        <v>0</v>
      </c>
      <c r="AE400">
        <v>0.18327320915850703</v>
      </c>
      <c r="AF400">
        <v>0</v>
      </c>
      <c r="AG400">
        <v>6.0336858982224524E-2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4.1049206530425835</v>
      </c>
      <c r="AN400">
        <v>4.1049206530425835</v>
      </c>
      <c r="AO400">
        <v>0.24767801857585137</v>
      </c>
      <c r="BF400">
        <v>0</v>
      </c>
      <c r="BG400">
        <v>0</v>
      </c>
      <c r="BH400">
        <v>0</v>
      </c>
      <c r="BJ400">
        <v>4.0375000000000005</v>
      </c>
      <c r="BK400">
        <v>4.0375000000000005</v>
      </c>
      <c r="BL400">
        <v>16.573617136659433</v>
      </c>
      <c r="CC400">
        <v>0</v>
      </c>
      <c r="CD400">
        <v>0</v>
      </c>
      <c r="CE400">
        <v>0</v>
      </c>
    </row>
    <row r="401" spans="1:84" x14ac:dyDescent="0.25">
      <c r="A401" t="s">
        <v>128</v>
      </c>
      <c r="B401" t="s">
        <v>421</v>
      </c>
      <c r="C401" s="14" t="s">
        <v>72</v>
      </c>
      <c r="D401" s="12">
        <v>46244</v>
      </c>
      <c r="E401" s="14" t="s">
        <v>134</v>
      </c>
      <c r="F401" s="14" t="s">
        <v>134</v>
      </c>
      <c r="G401" s="14" t="s">
        <v>134</v>
      </c>
      <c r="H401" s="14" t="s">
        <v>74</v>
      </c>
      <c r="I401">
        <v>20</v>
      </c>
      <c r="J401">
        <v>2.7731019522776572</v>
      </c>
      <c r="K401">
        <v>46244</v>
      </c>
      <c r="L401" t="s">
        <v>484</v>
      </c>
      <c r="M401">
        <v>0</v>
      </c>
      <c r="N401">
        <v>0</v>
      </c>
      <c r="O401">
        <v>2.0078431372549019</v>
      </c>
      <c r="P401">
        <v>0</v>
      </c>
      <c r="Q401">
        <v>0</v>
      </c>
      <c r="R401">
        <v>0.72404230778669421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0.72404230778669421</v>
      </c>
      <c r="AC401">
        <v>0.27595769221330579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J401">
        <v>0</v>
      </c>
      <c r="BK401">
        <v>0</v>
      </c>
      <c r="BL401">
        <v>1.3811347613882863</v>
      </c>
      <c r="BM401">
        <v>0.38113476138828628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</v>
      </c>
      <c r="CF401">
        <v>1</v>
      </c>
    </row>
    <row r="402" spans="1:84" x14ac:dyDescent="0.25">
      <c r="A402" t="s">
        <v>128</v>
      </c>
      <c r="B402" t="s">
        <v>421</v>
      </c>
      <c r="C402" s="14" t="s">
        <v>72</v>
      </c>
      <c r="D402" s="12">
        <v>46237</v>
      </c>
      <c r="E402" s="14" t="s">
        <v>134</v>
      </c>
      <c r="F402" s="14" t="s">
        <v>134</v>
      </c>
      <c r="G402" s="14" t="s">
        <v>134</v>
      </c>
      <c r="H402" s="14" t="s">
        <v>74</v>
      </c>
      <c r="I402">
        <v>20</v>
      </c>
      <c r="J402">
        <v>2.7731019522776572</v>
      </c>
      <c r="K402">
        <v>46237</v>
      </c>
      <c r="L402" t="s">
        <v>463</v>
      </c>
      <c r="M402">
        <v>0</v>
      </c>
      <c r="N402">
        <v>0</v>
      </c>
      <c r="O402">
        <v>2.0078431372549019</v>
      </c>
      <c r="P402">
        <v>0</v>
      </c>
      <c r="Q402">
        <v>0</v>
      </c>
      <c r="R402">
        <v>0.72404230778669421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0.72404230778669421</v>
      </c>
      <c r="AC402">
        <v>0.27595769221330579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J402">
        <v>0</v>
      </c>
      <c r="BK402">
        <v>0</v>
      </c>
      <c r="BL402">
        <v>1.3811347613882863</v>
      </c>
      <c r="BM402">
        <v>0.38113476138828628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>
        <v>1</v>
      </c>
    </row>
    <row r="403" spans="1:84" x14ac:dyDescent="0.25">
      <c r="A403" t="s">
        <v>128</v>
      </c>
      <c r="B403" t="s">
        <v>421</v>
      </c>
      <c r="C403" s="14" t="s">
        <v>72</v>
      </c>
      <c r="D403" s="12">
        <v>46244</v>
      </c>
      <c r="E403" s="14" t="s">
        <v>134</v>
      </c>
      <c r="F403" s="14" t="s">
        <v>134</v>
      </c>
      <c r="G403" s="14" t="s">
        <v>134</v>
      </c>
      <c r="H403" s="14" t="s">
        <v>73</v>
      </c>
      <c r="I403">
        <v>20</v>
      </c>
      <c r="J403">
        <v>2.5233188720173527</v>
      </c>
      <c r="K403">
        <v>46244</v>
      </c>
      <c r="L403" t="s">
        <v>483</v>
      </c>
      <c r="M403">
        <v>0.95</v>
      </c>
      <c r="N403">
        <v>0.95</v>
      </c>
      <c r="O403">
        <v>0.23529411764705879</v>
      </c>
      <c r="P403">
        <v>0.37648828712658511</v>
      </c>
      <c r="Q403">
        <v>0.37648828712658511</v>
      </c>
      <c r="R403">
        <v>9.3247872972528817E-2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0.62351171287341489</v>
      </c>
      <c r="AD403">
        <v>0</v>
      </c>
      <c r="AE403">
        <v>0.28324041415405632</v>
      </c>
      <c r="AF403">
        <v>0</v>
      </c>
      <c r="AG403">
        <v>9.3247872972528817E-2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2.6561251284393186</v>
      </c>
      <c r="AN403">
        <v>2.6561251284393186</v>
      </c>
      <c r="AO403">
        <v>0.24767801857585137</v>
      </c>
      <c r="BF403">
        <v>0</v>
      </c>
      <c r="BG403">
        <v>0</v>
      </c>
      <c r="BH403">
        <v>0</v>
      </c>
      <c r="BJ403">
        <v>4.0375000000000005</v>
      </c>
      <c r="BK403">
        <v>4.0375000000000005</v>
      </c>
      <c r="BL403">
        <v>10.72410520607375</v>
      </c>
      <c r="CC403">
        <v>0</v>
      </c>
      <c r="CD403">
        <v>0</v>
      </c>
      <c r="CE403">
        <v>0</v>
      </c>
    </row>
    <row r="404" spans="1:84" x14ac:dyDescent="0.25">
      <c r="A404" t="s">
        <v>128</v>
      </c>
      <c r="B404" t="s">
        <v>421</v>
      </c>
      <c r="C404" s="14" t="s">
        <v>72</v>
      </c>
      <c r="D404" s="12">
        <v>46240</v>
      </c>
      <c r="E404" s="14" t="s">
        <v>134</v>
      </c>
      <c r="F404" s="14" t="s">
        <v>134</v>
      </c>
      <c r="G404" s="14" t="s">
        <v>134</v>
      </c>
      <c r="H404" s="14" t="s">
        <v>75</v>
      </c>
      <c r="I404">
        <v>20</v>
      </c>
      <c r="J404">
        <v>2.4468546637744035</v>
      </c>
      <c r="K404">
        <v>46240</v>
      </c>
      <c r="L404" t="s">
        <v>473</v>
      </c>
      <c r="M404">
        <v>3.8</v>
      </c>
      <c r="N404">
        <v>3.8</v>
      </c>
      <c r="O404">
        <v>1.7716262975778552</v>
      </c>
      <c r="P404">
        <v>1.553014184397163</v>
      </c>
      <c r="Q404">
        <v>1.553014184397163</v>
      </c>
      <c r="R404">
        <v>0.72404230778669432</v>
      </c>
      <c r="S404">
        <v>0</v>
      </c>
      <c r="T404">
        <v>0</v>
      </c>
      <c r="U404">
        <v>0.30301418439716299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0.25</v>
      </c>
      <c r="AB404">
        <v>0</v>
      </c>
      <c r="AC404">
        <v>0</v>
      </c>
      <c r="AD404">
        <v>0</v>
      </c>
      <c r="AE404">
        <v>0.27595769221330568</v>
      </c>
      <c r="AF404">
        <v>0</v>
      </c>
      <c r="AG404">
        <v>0.72404230778669432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0.64390912204589568</v>
      </c>
      <c r="AN404">
        <v>0.64390912204589568</v>
      </c>
      <c r="AO404">
        <v>0.46621744673101456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0.35609087795410432</v>
      </c>
      <c r="BA404">
        <v>0</v>
      </c>
      <c r="BB404">
        <v>0.17769167531488111</v>
      </c>
      <c r="BC404">
        <v>0</v>
      </c>
      <c r="BD404">
        <v>0.46621744673101456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2.1449218749999992</v>
      </c>
      <c r="BK404">
        <v>2.1449218749999992</v>
      </c>
      <c r="BL404">
        <v>1.3811347613882861</v>
      </c>
      <c r="CC404">
        <v>0</v>
      </c>
      <c r="CD404">
        <v>0</v>
      </c>
      <c r="CE404">
        <v>0</v>
      </c>
    </row>
    <row r="405" spans="1:84" x14ac:dyDescent="0.25">
      <c r="A405" t="s">
        <v>128</v>
      </c>
      <c r="B405" t="s">
        <v>421</v>
      </c>
      <c r="C405" s="14" t="s">
        <v>72</v>
      </c>
      <c r="D405" s="12">
        <v>46236</v>
      </c>
      <c r="E405" s="14" t="s">
        <v>134</v>
      </c>
      <c r="F405" s="14" t="s">
        <v>134</v>
      </c>
      <c r="G405" s="14" t="s">
        <v>134</v>
      </c>
      <c r="H405" s="14" t="s">
        <v>74</v>
      </c>
      <c r="I405">
        <v>20</v>
      </c>
      <c r="J405">
        <v>2.7731019522776572</v>
      </c>
      <c r="K405">
        <v>46236</v>
      </c>
      <c r="L405" t="s">
        <v>460</v>
      </c>
      <c r="M405">
        <v>0</v>
      </c>
      <c r="N405">
        <v>0</v>
      </c>
      <c r="O405">
        <v>2.0078431372549019</v>
      </c>
      <c r="P405">
        <v>0</v>
      </c>
      <c r="Q405">
        <v>0</v>
      </c>
      <c r="R405">
        <v>0.72404230778669421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0.72404230778669421</v>
      </c>
      <c r="AC405">
        <v>0.27595769221330579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J405">
        <v>0</v>
      </c>
      <c r="BK405">
        <v>0</v>
      </c>
      <c r="BL405">
        <v>1.3811347613882863</v>
      </c>
      <c r="BM405">
        <v>0.38113476138828628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1</v>
      </c>
      <c r="CF405">
        <v>1</v>
      </c>
    </row>
    <row r="406" spans="1:84" x14ac:dyDescent="0.25">
      <c r="A406" t="s">
        <v>128</v>
      </c>
      <c r="B406" t="s">
        <v>421</v>
      </c>
      <c r="C406" s="14" t="s">
        <v>72</v>
      </c>
      <c r="D406" s="12">
        <v>46230</v>
      </c>
      <c r="E406" s="14" t="s">
        <v>134</v>
      </c>
      <c r="F406" s="14" t="s">
        <v>134</v>
      </c>
      <c r="G406" s="14" t="s">
        <v>134</v>
      </c>
      <c r="H406" s="14" t="s">
        <v>75</v>
      </c>
      <c r="I406">
        <v>20</v>
      </c>
      <c r="J406">
        <v>2.5188209774148271</v>
      </c>
      <c r="K406">
        <v>46230</v>
      </c>
      <c r="L406" t="s">
        <v>443</v>
      </c>
      <c r="M406">
        <v>9.5</v>
      </c>
      <c r="N406">
        <v>9.5</v>
      </c>
      <c r="O406">
        <v>1.7716262975778552</v>
      </c>
      <c r="P406">
        <v>3.7716058763931102</v>
      </c>
      <c r="Q406">
        <v>3.7716058763931102</v>
      </c>
      <c r="R406">
        <v>0.70335538470707448</v>
      </c>
      <c r="S406">
        <v>0</v>
      </c>
      <c r="T406">
        <v>0</v>
      </c>
      <c r="U406">
        <v>2.5216058763931102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0.25</v>
      </c>
      <c r="AB406">
        <v>0</v>
      </c>
      <c r="AC406">
        <v>0</v>
      </c>
      <c r="AD406">
        <v>0</v>
      </c>
      <c r="AE406">
        <v>0.29664461529292552</v>
      </c>
      <c r="AF406">
        <v>0</v>
      </c>
      <c r="AG406">
        <v>0.70335538470707448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0.26513905025419232</v>
      </c>
      <c r="AN406">
        <v>0.26513905025419232</v>
      </c>
      <c r="AO406">
        <v>0.1864869786924058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0.73486094974580762</v>
      </c>
      <c r="BA406">
        <v>0</v>
      </c>
      <c r="BB406">
        <v>7.8652071561786524E-2</v>
      </c>
      <c r="BC406">
        <v>0</v>
      </c>
      <c r="BD406">
        <v>0.1864869786924058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5.3623046874999982</v>
      </c>
      <c r="BK406">
        <v>5.3623046874999982</v>
      </c>
      <c r="BL406">
        <v>1.4217563720173532</v>
      </c>
      <c r="CC406">
        <v>0</v>
      </c>
      <c r="CD406">
        <v>0</v>
      </c>
      <c r="CE406">
        <v>0</v>
      </c>
    </row>
    <row r="407" spans="1:84" x14ac:dyDescent="0.25">
      <c r="A407" t="s">
        <v>128</v>
      </c>
      <c r="B407" t="s">
        <v>421</v>
      </c>
      <c r="C407" s="14" t="s">
        <v>72</v>
      </c>
      <c r="D407" s="12">
        <v>46234</v>
      </c>
      <c r="E407" s="14" t="s">
        <v>134</v>
      </c>
      <c r="F407" s="14" t="s">
        <v>134</v>
      </c>
      <c r="G407" s="14" t="s">
        <v>134</v>
      </c>
      <c r="H407" s="14" t="s">
        <v>73</v>
      </c>
      <c r="I407">
        <v>20</v>
      </c>
      <c r="J407">
        <v>3.7467462039045554</v>
      </c>
      <c r="K407">
        <v>46234</v>
      </c>
      <c r="L407" t="s">
        <v>453</v>
      </c>
      <c r="M407">
        <v>5.6999999999999993</v>
      </c>
      <c r="N407">
        <v>5.6999999999999993</v>
      </c>
      <c r="O407">
        <v>0.23529411764705879</v>
      </c>
      <c r="P407">
        <v>1.5213200173686494</v>
      </c>
      <c r="Q407">
        <v>1.5213200173686494</v>
      </c>
      <c r="R407">
        <v>6.2799587920274486E-2</v>
      </c>
      <c r="S407">
        <v>0</v>
      </c>
      <c r="T407">
        <v>0</v>
      </c>
      <c r="U407">
        <v>0.27132001736864941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0.25</v>
      </c>
      <c r="AB407">
        <v>0</v>
      </c>
      <c r="AC407">
        <v>0</v>
      </c>
      <c r="AD407">
        <v>0</v>
      </c>
      <c r="AE407">
        <v>0.93720041207972549</v>
      </c>
      <c r="AF407">
        <v>0</v>
      </c>
      <c r="AG407">
        <v>6.2799587920274486E-2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0.65732389542185188</v>
      </c>
      <c r="AN407">
        <v>0.65732389542185188</v>
      </c>
      <c r="AO407">
        <v>4.1279669762641899E-2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0.34267610457814812</v>
      </c>
      <c r="BA407">
        <v>0</v>
      </c>
      <c r="BB407">
        <v>0.61604422565921002</v>
      </c>
      <c r="BC407">
        <v>0</v>
      </c>
      <c r="BD407">
        <v>4.1279669762641899E-2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24.225000000000001</v>
      </c>
      <c r="BK407">
        <v>24.225000000000001</v>
      </c>
      <c r="BL407">
        <v>15.923671366594363</v>
      </c>
      <c r="CC407">
        <v>0</v>
      </c>
      <c r="CD407">
        <v>0</v>
      </c>
      <c r="CE407">
        <v>0</v>
      </c>
    </row>
    <row r="408" spans="1:84" x14ac:dyDescent="0.25">
      <c r="A408" t="s">
        <v>128</v>
      </c>
      <c r="B408" t="s">
        <v>421</v>
      </c>
      <c r="C408" s="14" t="s">
        <v>72</v>
      </c>
      <c r="D408" s="12">
        <v>46237</v>
      </c>
      <c r="E408" s="14" t="s">
        <v>134</v>
      </c>
      <c r="F408" s="14" t="s">
        <v>134</v>
      </c>
      <c r="G408" s="14" t="s">
        <v>134</v>
      </c>
      <c r="H408" s="14" t="s">
        <v>73</v>
      </c>
      <c r="I408">
        <v>20</v>
      </c>
      <c r="J408">
        <v>2.5233188720173532</v>
      </c>
      <c r="K408">
        <v>46237</v>
      </c>
      <c r="L408" t="s">
        <v>462</v>
      </c>
      <c r="M408">
        <v>0.95</v>
      </c>
      <c r="N408">
        <v>0.95</v>
      </c>
      <c r="O408">
        <v>0.23529411764705879</v>
      </c>
      <c r="P408">
        <v>0.37648828712658505</v>
      </c>
      <c r="Q408">
        <v>0.37648828712658505</v>
      </c>
      <c r="R408">
        <v>9.3247872972528789E-2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0.62351171287341489</v>
      </c>
      <c r="AD408">
        <v>0</v>
      </c>
      <c r="AE408">
        <v>0.28324041415405626</v>
      </c>
      <c r="AF408">
        <v>0</v>
      </c>
      <c r="AG408">
        <v>9.3247872972528789E-2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2.656125128439319</v>
      </c>
      <c r="AN408">
        <v>2.656125128439319</v>
      </c>
      <c r="AO408">
        <v>0.24767801857585137</v>
      </c>
      <c r="BF408">
        <v>0</v>
      </c>
      <c r="BG408">
        <v>0</v>
      </c>
      <c r="BH408">
        <v>0</v>
      </c>
      <c r="BJ408">
        <v>4.0375000000000005</v>
      </c>
      <c r="BK408">
        <v>4.0375000000000005</v>
      </c>
      <c r="BL408">
        <v>10.724105206073752</v>
      </c>
      <c r="CC408">
        <v>0</v>
      </c>
      <c r="CD408">
        <v>0</v>
      </c>
      <c r="CE408">
        <v>0</v>
      </c>
    </row>
    <row r="409" spans="1:84" x14ac:dyDescent="0.25">
      <c r="A409" t="s">
        <v>128</v>
      </c>
      <c r="B409" t="s">
        <v>421</v>
      </c>
      <c r="C409" s="14" t="s">
        <v>72</v>
      </c>
      <c r="D409" s="12">
        <v>46243</v>
      </c>
      <c r="E409" s="14" t="s">
        <v>134</v>
      </c>
      <c r="F409" s="14" t="s">
        <v>134</v>
      </c>
      <c r="G409" s="14" t="s">
        <v>134</v>
      </c>
      <c r="H409" s="14" t="s">
        <v>75</v>
      </c>
      <c r="I409">
        <v>20</v>
      </c>
      <c r="J409">
        <v>2.4468546637744031</v>
      </c>
      <c r="K409">
        <v>46243</v>
      </c>
      <c r="L409" t="s">
        <v>482</v>
      </c>
      <c r="M409">
        <v>5.6999999999999993</v>
      </c>
      <c r="N409">
        <v>5.6999999999999993</v>
      </c>
      <c r="O409">
        <v>1.7716262975778552</v>
      </c>
      <c r="P409">
        <v>2.3295212765957447</v>
      </c>
      <c r="Q409">
        <v>2.3295212765957447</v>
      </c>
      <c r="R409">
        <v>0.72404230778669443</v>
      </c>
      <c r="S409">
        <v>0</v>
      </c>
      <c r="T409">
        <v>0</v>
      </c>
      <c r="U409">
        <v>1.0795212765957447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0.25</v>
      </c>
      <c r="AB409">
        <v>0</v>
      </c>
      <c r="AC409">
        <v>0</v>
      </c>
      <c r="AD409">
        <v>0</v>
      </c>
      <c r="AE409">
        <v>0.27595769221330557</v>
      </c>
      <c r="AF409">
        <v>0</v>
      </c>
      <c r="AG409">
        <v>0.72404230778669443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0.42927274803059706</v>
      </c>
      <c r="AN409">
        <v>0.42927274803059706</v>
      </c>
      <c r="AO409">
        <v>0.31081163115400973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0.57072725196940288</v>
      </c>
      <c r="BA409">
        <v>0</v>
      </c>
      <c r="BB409">
        <v>0.11846111687658734</v>
      </c>
      <c r="BC409">
        <v>0</v>
      </c>
      <c r="BD409">
        <v>0.31081163115400973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3.2173828124999986</v>
      </c>
      <c r="BK409">
        <v>3.2173828124999986</v>
      </c>
      <c r="BL409">
        <v>1.3811347613882858</v>
      </c>
      <c r="CC409">
        <v>0</v>
      </c>
      <c r="CD409">
        <v>0</v>
      </c>
      <c r="CE409">
        <v>0</v>
      </c>
    </row>
    <row r="410" spans="1:84" x14ac:dyDescent="0.25">
      <c r="A410" t="s">
        <v>128</v>
      </c>
      <c r="B410" t="s">
        <v>421</v>
      </c>
      <c r="C410" s="14" t="s">
        <v>72</v>
      </c>
      <c r="D410" s="12">
        <v>46230</v>
      </c>
      <c r="E410" s="14" t="s">
        <v>134</v>
      </c>
      <c r="F410" s="14" t="s">
        <v>134</v>
      </c>
      <c r="G410" s="14" t="s">
        <v>134</v>
      </c>
      <c r="H410" s="14" t="s">
        <v>74</v>
      </c>
      <c r="I410">
        <v>20</v>
      </c>
      <c r="J410">
        <v>2.7731019522776572</v>
      </c>
      <c r="K410">
        <v>46230</v>
      </c>
      <c r="L410" t="s">
        <v>442</v>
      </c>
      <c r="M410">
        <v>0</v>
      </c>
      <c r="N410">
        <v>0</v>
      </c>
      <c r="O410">
        <v>2.0078431372549019</v>
      </c>
      <c r="P410">
        <v>0</v>
      </c>
      <c r="Q410">
        <v>0</v>
      </c>
      <c r="R410">
        <v>0.72404230778669421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0.72404230778669421</v>
      </c>
      <c r="AC410">
        <v>0.27595769221330579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J410">
        <v>0</v>
      </c>
      <c r="BK410">
        <v>0</v>
      </c>
      <c r="BL410">
        <v>1.3811347613882863</v>
      </c>
      <c r="BM410">
        <v>0.38113476138828628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1</v>
      </c>
    </row>
    <row r="411" spans="1:84" x14ac:dyDescent="0.25">
      <c r="A411" t="s">
        <v>128</v>
      </c>
      <c r="B411" t="s">
        <v>421</v>
      </c>
      <c r="C411" s="14" t="s">
        <v>72</v>
      </c>
      <c r="D411" s="12">
        <v>46237</v>
      </c>
      <c r="E411" s="14" t="s">
        <v>134</v>
      </c>
      <c r="F411" s="14" t="s">
        <v>134</v>
      </c>
      <c r="G411" s="14" t="s">
        <v>134</v>
      </c>
      <c r="H411" s="14" t="s">
        <v>75</v>
      </c>
      <c r="I411">
        <v>20</v>
      </c>
      <c r="J411">
        <v>2.4468546637744035</v>
      </c>
      <c r="K411">
        <v>46237</v>
      </c>
      <c r="L411" t="s">
        <v>464</v>
      </c>
      <c r="M411">
        <v>3.8</v>
      </c>
      <c r="N411">
        <v>3.8</v>
      </c>
      <c r="O411">
        <v>1.7716262975778552</v>
      </c>
      <c r="P411">
        <v>1.553014184397163</v>
      </c>
      <c r="Q411">
        <v>1.553014184397163</v>
      </c>
      <c r="R411">
        <v>0.72404230778669432</v>
      </c>
      <c r="S411">
        <v>0</v>
      </c>
      <c r="T411">
        <v>0</v>
      </c>
      <c r="U411">
        <v>0.30301418439716299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0.25</v>
      </c>
      <c r="AB411">
        <v>0</v>
      </c>
      <c r="AC411">
        <v>0</v>
      </c>
      <c r="AD411">
        <v>0</v>
      </c>
      <c r="AE411">
        <v>0.27595769221330568</v>
      </c>
      <c r="AF411">
        <v>0</v>
      </c>
      <c r="AG411">
        <v>0.72404230778669432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0.64390912204589568</v>
      </c>
      <c r="AN411">
        <v>0.64390912204589568</v>
      </c>
      <c r="AO411">
        <v>0.46621744673101456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0.35609087795410432</v>
      </c>
      <c r="BA411">
        <v>0</v>
      </c>
      <c r="BB411">
        <v>0.17769167531488111</v>
      </c>
      <c r="BC411">
        <v>0</v>
      </c>
      <c r="BD411">
        <v>0.46621744673101456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2.1449218749999992</v>
      </c>
      <c r="BK411">
        <v>2.1449218749999992</v>
      </c>
      <c r="BL411">
        <v>1.3811347613882861</v>
      </c>
      <c r="CC411">
        <v>0</v>
      </c>
      <c r="CD411">
        <v>0</v>
      </c>
      <c r="CE411">
        <v>0</v>
      </c>
    </row>
    <row r="412" spans="1:84" x14ac:dyDescent="0.25">
      <c r="A412" t="s">
        <v>128</v>
      </c>
      <c r="B412" t="s">
        <v>421</v>
      </c>
      <c r="C412" s="14" t="s">
        <v>72</v>
      </c>
      <c r="D412" s="12">
        <v>46239</v>
      </c>
      <c r="E412" s="14" t="s">
        <v>134</v>
      </c>
      <c r="F412" s="14" t="s">
        <v>134</v>
      </c>
      <c r="G412" s="14" t="s">
        <v>134</v>
      </c>
      <c r="H412" s="14" t="s">
        <v>73</v>
      </c>
      <c r="I412">
        <v>20</v>
      </c>
      <c r="J412">
        <v>2.5233188720173527</v>
      </c>
      <c r="K412">
        <v>46239</v>
      </c>
      <c r="L412" t="s">
        <v>468</v>
      </c>
      <c r="M412">
        <v>6.6499999999999995</v>
      </c>
      <c r="N412">
        <v>6.6499999999999995</v>
      </c>
      <c r="O412">
        <v>0.23529411764705879</v>
      </c>
      <c r="P412">
        <v>2.6354180098860955</v>
      </c>
      <c r="Q412">
        <v>2.6354180098860955</v>
      </c>
      <c r="R412">
        <v>9.3247872972528817E-2</v>
      </c>
      <c r="S412">
        <v>0</v>
      </c>
      <c r="T412">
        <v>0</v>
      </c>
      <c r="U412">
        <v>1.3854180098860955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0.25</v>
      </c>
      <c r="AB412">
        <v>0</v>
      </c>
      <c r="AC412">
        <v>0</v>
      </c>
      <c r="AD412">
        <v>0</v>
      </c>
      <c r="AE412">
        <v>0.90675212702747121</v>
      </c>
      <c r="AF412">
        <v>0</v>
      </c>
      <c r="AG412">
        <v>9.3247872972528817E-2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0.3794464469199027</v>
      </c>
      <c r="AN412">
        <v>0.3794464469199027</v>
      </c>
      <c r="AO412">
        <v>3.538257408226448E-2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0.6205535530800973</v>
      </c>
      <c r="BA412">
        <v>0</v>
      </c>
      <c r="BB412">
        <v>0.34406387283763823</v>
      </c>
      <c r="BC412">
        <v>0</v>
      </c>
      <c r="BD412">
        <v>3.538257408226448E-2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28.262500000000003</v>
      </c>
      <c r="BK412">
        <v>28.262500000000003</v>
      </c>
      <c r="BL412">
        <v>10.72410520607375</v>
      </c>
      <c r="CC412">
        <v>0</v>
      </c>
      <c r="CD412">
        <v>0</v>
      </c>
      <c r="CE412">
        <v>0</v>
      </c>
    </row>
    <row r="413" spans="1:84" x14ac:dyDescent="0.25">
      <c r="A413" t="s">
        <v>128</v>
      </c>
      <c r="B413" t="s">
        <v>421</v>
      </c>
      <c r="C413" s="14" t="s">
        <v>72</v>
      </c>
      <c r="D413" s="12">
        <v>46231</v>
      </c>
      <c r="E413" s="14" t="s">
        <v>134</v>
      </c>
      <c r="F413" s="14" t="s">
        <v>134</v>
      </c>
      <c r="G413" s="14" t="s">
        <v>134</v>
      </c>
      <c r="H413" s="14" t="s">
        <v>73</v>
      </c>
      <c r="I413">
        <v>20</v>
      </c>
      <c r="J413">
        <v>3.8232104121475055</v>
      </c>
      <c r="K413">
        <v>46231</v>
      </c>
      <c r="L413" t="s">
        <v>444</v>
      </c>
      <c r="M413">
        <v>0.95</v>
      </c>
      <c r="N413">
        <v>0.95</v>
      </c>
      <c r="O413">
        <v>0.23529411764705879</v>
      </c>
      <c r="P413">
        <v>0.2484822695035461</v>
      </c>
      <c r="Q413">
        <v>0.2484822695035461</v>
      </c>
      <c r="R413">
        <v>6.1543596161868996E-2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0.75151773049645387</v>
      </c>
      <c r="AD413">
        <v>0</v>
      </c>
      <c r="AE413">
        <v>0.1869386733416771</v>
      </c>
      <c r="AF413">
        <v>0</v>
      </c>
      <c r="AG413">
        <v>6.1543596161868996E-2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4.024432012786848</v>
      </c>
      <c r="AN413">
        <v>4.024432012786848</v>
      </c>
      <c r="AO413">
        <v>0.24767801857585137</v>
      </c>
      <c r="BF413">
        <v>0</v>
      </c>
      <c r="BG413">
        <v>0</v>
      </c>
      <c r="BH413">
        <v>0</v>
      </c>
      <c r="BJ413">
        <v>4.0375000000000005</v>
      </c>
      <c r="BK413">
        <v>4.0375000000000005</v>
      </c>
      <c r="BL413">
        <v>16.248644251626899</v>
      </c>
      <c r="CC413">
        <v>0</v>
      </c>
      <c r="CD413">
        <v>0</v>
      </c>
      <c r="CE413">
        <v>0</v>
      </c>
    </row>
    <row r="414" spans="1:84" x14ac:dyDescent="0.25">
      <c r="A414" t="s">
        <v>128</v>
      </c>
      <c r="B414" t="s">
        <v>421</v>
      </c>
      <c r="C414" s="14" t="s">
        <v>72</v>
      </c>
      <c r="D414" s="12">
        <v>46242</v>
      </c>
      <c r="E414" s="14" t="s">
        <v>134</v>
      </c>
      <c r="F414" s="14" t="s">
        <v>134</v>
      </c>
      <c r="G414" s="14" t="s">
        <v>134</v>
      </c>
      <c r="H414" s="14" t="s">
        <v>73</v>
      </c>
      <c r="I414">
        <v>20</v>
      </c>
      <c r="J414">
        <v>0</v>
      </c>
      <c r="K414">
        <v>46242</v>
      </c>
      <c r="L414" t="s">
        <v>477</v>
      </c>
      <c r="M414">
        <v>0.95</v>
      </c>
      <c r="N414">
        <v>0.95</v>
      </c>
      <c r="O414">
        <v>0.23529411764705879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0.24767801857585137</v>
      </c>
      <c r="AK414">
        <v>0</v>
      </c>
      <c r="AL414">
        <v>0</v>
      </c>
      <c r="AM414">
        <v>0</v>
      </c>
      <c r="AN414">
        <v>0</v>
      </c>
      <c r="AO414">
        <v>0.24767801857585137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0.75232198142414863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I414">
        <v>0</v>
      </c>
      <c r="BJ414">
        <v>4.0375000000000005</v>
      </c>
      <c r="BK414">
        <v>4.0375000000000005</v>
      </c>
      <c r="BL414">
        <v>0</v>
      </c>
      <c r="CC414">
        <v>0.75232198142414863</v>
      </c>
      <c r="CD414">
        <v>0.24767801857585137</v>
      </c>
    </row>
    <row r="415" spans="1:84" x14ac:dyDescent="0.25">
      <c r="A415" t="s">
        <v>128</v>
      </c>
      <c r="B415" t="s">
        <v>421</v>
      </c>
      <c r="C415" s="14" t="s">
        <v>72</v>
      </c>
      <c r="D415" s="12">
        <v>46232</v>
      </c>
      <c r="E415" s="14" t="s">
        <v>134</v>
      </c>
      <c r="F415" s="14" t="s">
        <v>134</v>
      </c>
      <c r="G415" s="14" t="s">
        <v>134</v>
      </c>
      <c r="H415" s="14" t="s">
        <v>75</v>
      </c>
      <c r="I415">
        <v>20</v>
      </c>
      <c r="J415">
        <v>2.4468546637744031</v>
      </c>
      <c r="K415">
        <v>46232</v>
      </c>
      <c r="L415" t="s">
        <v>449</v>
      </c>
      <c r="M415">
        <v>1.9</v>
      </c>
      <c r="N415">
        <v>1.9</v>
      </c>
      <c r="O415">
        <v>1.7716262975778552</v>
      </c>
      <c r="P415">
        <v>0.77650709219858161</v>
      </c>
      <c r="Q415">
        <v>0.77650709219858161</v>
      </c>
      <c r="R415">
        <v>0.72404230778669443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0.22349290780141839</v>
      </c>
      <c r="AD415">
        <v>0</v>
      </c>
      <c r="AE415">
        <v>5.2464784411887178E-2</v>
      </c>
      <c r="AF415">
        <v>0</v>
      </c>
      <c r="AG415">
        <v>0.72404230778669443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1.2878182440917911</v>
      </c>
      <c r="AN415">
        <v>1.2878182440917911</v>
      </c>
      <c r="AO415">
        <v>0.93243489346202912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0.28781824409179113</v>
      </c>
      <c r="AY415">
        <v>0</v>
      </c>
      <c r="AZ415">
        <v>0</v>
      </c>
      <c r="BA415">
        <v>0</v>
      </c>
      <c r="BB415">
        <v>6.7565106537970876E-2</v>
      </c>
      <c r="BC415">
        <v>0</v>
      </c>
      <c r="BD415">
        <v>0.93243489346202912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1.0724609374999996</v>
      </c>
      <c r="BK415">
        <v>1.0724609374999996</v>
      </c>
      <c r="BL415">
        <v>1.3811347613882858</v>
      </c>
      <c r="BM415">
        <v>0.30867382388828624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7.24609374999996E-2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x14ac:dyDescent="0.25">
      <c r="A416" t="s">
        <v>128</v>
      </c>
      <c r="B416" t="s">
        <v>421</v>
      </c>
      <c r="C416" s="14" t="s">
        <v>72</v>
      </c>
      <c r="D416" s="12">
        <v>46238</v>
      </c>
      <c r="E416" s="14" t="s">
        <v>134</v>
      </c>
      <c r="F416" s="14" t="s">
        <v>134</v>
      </c>
      <c r="G416" s="14" t="s">
        <v>134</v>
      </c>
      <c r="H416" s="14" t="s">
        <v>75</v>
      </c>
      <c r="I416">
        <v>20</v>
      </c>
      <c r="J416">
        <v>2.4468546637744035</v>
      </c>
      <c r="K416">
        <v>46238</v>
      </c>
      <c r="L416" t="s">
        <v>467</v>
      </c>
      <c r="M416">
        <v>2.8499999999999996</v>
      </c>
      <c r="N416">
        <v>2.8499999999999996</v>
      </c>
      <c r="O416">
        <v>1.7716262975778552</v>
      </c>
      <c r="P416">
        <v>1.1647606382978721</v>
      </c>
      <c r="Q416">
        <v>1.1647606382978721</v>
      </c>
      <c r="R416">
        <v>0.72404230778669432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0.16476063829787213</v>
      </c>
      <c r="AB416">
        <v>0</v>
      </c>
      <c r="AC416">
        <v>0</v>
      </c>
      <c r="AD416">
        <v>0</v>
      </c>
      <c r="AE416">
        <v>0.27595769221330568</v>
      </c>
      <c r="AF416">
        <v>0</v>
      </c>
      <c r="AG416">
        <v>0.72404230778669432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0.85854549606119435</v>
      </c>
      <c r="AN416">
        <v>0.85854549606119435</v>
      </c>
      <c r="AO416">
        <v>0.62162326230801945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0.14145450393880565</v>
      </c>
      <c r="BA416">
        <v>0</v>
      </c>
      <c r="BB416">
        <v>0.23692223375317489</v>
      </c>
      <c r="BC416">
        <v>0</v>
      </c>
      <c r="BD416">
        <v>0.62162326230801945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1.6086914062499993</v>
      </c>
      <c r="BK416">
        <v>1.6086914062499993</v>
      </c>
      <c r="BL416">
        <v>1.3811347613882861</v>
      </c>
      <c r="CC416">
        <v>0</v>
      </c>
      <c r="CD416">
        <v>0</v>
      </c>
      <c r="CE416">
        <v>0</v>
      </c>
    </row>
    <row r="417" spans="1:84" x14ac:dyDescent="0.25">
      <c r="A417" t="s">
        <v>128</v>
      </c>
      <c r="B417" t="s">
        <v>421</v>
      </c>
      <c r="C417" s="14" t="s">
        <v>72</v>
      </c>
      <c r="D417" s="12">
        <v>46233</v>
      </c>
      <c r="E417" s="14" t="s">
        <v>134</v>
      </c>
      <c r="F417" s="14" t="s">
        <v>134</v>
      </c>
      <c r="G417" s="14" t="s">
        <v>134</v>
      </c>
      <c r="H417" s="14" t="s">
        <v>73</v>
      </c>
      <c r="I417">
        <v>20</v>
      </c>
      <c r="J417">
        <v>2.5233188720173532</v>
      </c>
      <c r="K417">
        <v>46233</v>
      </c>
      <c r="L417" t="s">
        <v>450</v>
      </c>
      <c r="M417">
        <v>4.75</v>
      </c>
      <c r="N417">
        <v>4.75</v>
      </c>
      <c r="O417">
        <v>0.23529411764705879</v>
      </c>
      <c r="P417">
        <v>1.8824414356329253</v>
      </c>
      <c r="Q417">
        <v>1.8824414356329253</v>
      </c>
      <c r="R417">
        <v>9.3247872972528789E-2</v>
      </c>
      <c r="S417">
        <v>0</v>
      </c>
      <c r="T417">
        <v>0</v>
      </c>
      <c r="U417">
        <v>0.63244143563292532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0.25</v>
      </c>
      <c r="AB417">
        <v>0</v>
      </c>
      <c r="AC417">
        <v>0</v>
      </c>
      <c r="AD417">
        <v>0</v>
      </c>
      <c r="AE417">
        <v>0.90675212702747121</v>
      </c>
      <c r="AF417">
        <v>0</v>
      </c>
      <c r="AG417">
        <v>9.3247872972528789E-2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0.53122502568786378</v>
      </c>
      <c r="AN417">
        <v>0.53122502568786378</v>
      </c>
      <c r="AO417">
        <v>4.9535603715170275E-2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0.46877497431213622</v>
      </c>
      <c r="BA417">
        <v>0</v>
      </c>
      <c r="BB417">
        <v>0.48168942197269349</v>
      </c>
      <c r="BC417">
        <v>0</v>
      </c>
      <c r="BD417">
        <v>4.9535603715170275E-2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20.187500000000004</v>
      </c>
      <c r="BK417">
        <v>20.187500000000004</v>
      </c>
      <c r="BL417">
        <v>10.724105206073752</v>
      </c>
      <c r="CC417">
        <v>0</v>
      </c>
      <c r="CD417">
        <v>0</v>
      </c>
      <c r="CE417">
        <v>0</v>
      </c>
    </row>
    <row r="418" spans="1:84" x14ac:dyDescent="0.25">
      <c r="A418" t="s">
        <v>128</v>
      </c>
      <c r="B418" t="s">
        <v>421</v>
      </c>
      <c r="C418" s="14" t="s">
        <v>72</v>
      </c>
      <c r="D418" s="12">
        <v>46242</v>
      </c>
      <c r="E418" s="14" t="s">
        <v>134</v>
      </c>
      <c r="F418" s="14" t="s">
        <v>134</v>
      </c>
      <c r="G418" s="14" t="s">
        <v>134</v>
      </c>
      <c r="H418" s="14" t="s">
        <v>74</v>
      </c>
      <c r="I418">
        <v>20</v>
      </c>
      <c r="J418">
        <v>2.7731019522776572</v>
      </c>
      <c r="K418">
        <v>46242</v>
      </c>
      <c r="L418" t="s">
        <v>478</v>
      </c>
      <c r="M418">
        <v>0</v>
      </c>
      <c r="N418">
        <v>0</v>
      </c>
      <c r="O418">
        <v>2.0078431372549019</v>
      </c>
      <c r="P418">
        <v>0</v>
      </c>
      <c r="Q418">
        <v>0</v>
      </c>
      <c r="R418">
        <v>0.72404230778669421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0.72404230778669421</v>
      </c>
      <c r="AC418">
        <v>0.27595769221330579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J418">
        <v>0</v>
      </c>
      <c r="BK418">
        <v>0</v>
      </c>
      <c r="BL418">
        <v>1.3811347613882863</v>
      </c>
      <c r="BM418">
        <v>0.38113476138828628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</v>
      </c>
      <c r="CF418">
        <v>1</v>
      </c>
    </row>
    <row r="419" spans="1:84" x14ac:dyDescent="0.25">
      <c r="A419" t="s">
        <v>128</v>
      </c>
      <c r="B419" t="s">
        <v>421</v>
      </c>
      <c r="C419" s="14" t="s">
        <v>72</v>
      </c>
      <c r="D419" s="12">
        <v>46232</v>
      </c>
      <c r="E419" s="14" t="s">
        <v>134</v>
      </c>
      <c r="F419" s="14" t="s">
        <v>134</v>
      </c>
      <c r="G419" s="14" t="s">
        <v>134</v>
      </c>
      <c r="H419" s="14" t="s">
        <v>74</v>
      </c>
      <c r="I419">
        <v>20</v>
      </c>
      <c r="J419">
        <v>2.7731019522776572</v>
      </c>
      <c r="K419">
        <v>46232</v>
      </c>
      <c r="L419" t="s">
        <v>448</v>
      </c>
      <c r="M419">
        <v>0</v>
      </c>
      <c r="N419">
        <v>0</v>
      </c>
      <c r="O419">
        <v>2.0078431372549019</v>
      </c>
      <c r="P419">
        <v>0</v>
      </c>
      <c r="Q419">
        <v>0</v>
      </c>
      <c r="R419">
        <v>0.72404230778669421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0.72404230778669421</v>
      </c>
      <c r="AC419">
        <v>0.27595769221330579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J419">
        <v>0</v>
      </c>
      <c r="BK419">
        <v>0</v>
      </c>
      <c r="BL419">
        <v>1.3811347613882863</v>
      </c>
      <c r="BM419">
        <v>0.38113476138828628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</v>
      </c>
      <c r="CF419">
        <v>1</v>
      </c>
    </row>
    <row r="420" spans="1:84" x14ac:dyDescent="0.25">
      <c r="A420" t="s">
        <v>128</v>
      </c>
      <c r="B420" t="s">
        <v>421</v>
      </c>
      <c r="C420" s="14" t="s">
        <v>72</v>
      </c>
      <c r="D420" s="12">
        <v>46235</v>
      </c>
      <c r="E420" s="14" t="s">
        <v>134</v>
      </c>
      <c r="F420" s="14" t="s">
        <v>134</v>
      </c>
      <c r="G420" s="14" t="s">
        <v>134</v>
      </c>
      <c r="H420" s="14" t="s">
        <v>74</v>
      </c>
      <c r="I420">
        <v>20</v>
      </c>
      <c r="J420">
        <v>2.6099783080260304</v>
      </c>
      <c r="K420">
        <v>46235</v>
      </c>
      <c r="L420" t="s">
        <v>457</v>
      </c>
      <c r="M420">
        <v>0.95</v>
      </c>
      <c r="N420">
        <v>0.95</v>
      </c>
      <c r="O420">
        <v>2.0078431372549019</v>
      </c>
      <c r="P420">
        <v>0.36398769946808507</v>
      </c>
      <c r="Q420">
        <v>0.36398769946808507</v>
      </c>
      <c r="R420">
        <v>0.76929495202336251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0.40530725255527744</v>
      </c>
      <c r="AC420">
        <v>0.23070504797663749</v>
      </c>
      <c r="AD420">
        <v>0</v>
      </c>
      <c r="AE420">
        <v>0</v>
      </c>
      <c r="AF420">
        <v>0</v>
      </c>
      <c r="AG420">
        <v>0.36398769946808507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2.7473455873958215</v>
      </c>
      <c r="AN420">
        <v>2.7473455873958215</v>
      </c>
      <c r="AO420">
        <v>2.1135190918472655</v>
      </c>
      <c r="BF420">
        <v>0</v>
      </c>
      <c r="BG420">
        <v>0</v>
      </c>
      <c r="BH420">
        <v>0</v>
      </c>
      <c r="BJ420">
        <v>0.47314453125</v>
      </c>
      <c r="BK420">
        <v>0.47314453125</v>
      </c>
      <c r="BL420">
        <v>1.2998915401301518</v>
      </c>
      <c r="BM420">
        <v>0.29989154013015185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0.63601230053191493</v>
      </c>
      <c r="BW420">
        <v>0</v>
      </c>
      <c r="BX420">
        <v>0</v>
      </c>
      <c r="BY420">
        <v>0</v>
      </c>
      <c r="BZ420">
        <v>0</v>
      </c>
      <c r="CA420">
        <v>0.47314453125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 spans="1:84" x14ac:dyDescent="0.25">
      <c r="A421" t="s">
        <v>128</v>
      </c>
      <c r="B421" t="s">
        <v>421</v>
      </c>
      <c r="C421" s="14" t="s">
        <v>72</v>
      </c>
      <c r="D421" s="12">
        <v>46234</v>
      </c>
      <c r="E421" s="14" t="s">
        <v>134</v>
      </c>
      <c r="F421" s="14" t="s">
        <v>134</v>
      </c>
      <c r="G421" s="14" t="s">
        <v>134</v>
      </c>
      <c r="H421" s="14" t="s">
        <v>75</v>
      </c>
      <c r="I421">
        <v>20</v>
      </c>
      <c r="J421">
        <v>2.4468546637744035</v>
      </c>
      <c r="K421">
        <v>46234</v>
      </c>
      <c r="L421" t="s">
        <v>455</v>
      </c>
      <c r="M421">
        <v>1.9</v>
      </c>
      <c r="N421">
        <v>1.9</v>
      </c>
      <c r="O421">
        <v>1.7716262975778552</v>
      </c>
      <c r="P421">
        <v>0.77650709219858149</v>
      </c>
      <c r="Q421">
        <v>0.77650709219858149</v>
      </c>
      <c r="R421">
        <v>0.72404230778669432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0.22349290780141851</v>
      </c>
      <c r="AD421">
        <v>0</v>
      </c>
      <c r="AE421">
        <v>5.2464784411887178E-2</v>
      </c>
      <c r="AF421">
        <v>0</v>
      </c>
      <c r="AG421">
        <v>0.72404230778669432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1.2878182440917914</v>
      </c>
      <c r="AN421">
        <v>1.2878182440917914</v>
      </c>
      <c r="AO421">
        <v>0.93243489346202912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0.28781824409179135</v>
      </c>
      <c r="AY421">
        <v>0</v>
      </c>
      <c r="AZ421">
        <v>0</v>
      </c>
      <c r="BA421">
        <v>0</v>
      </c>
      <c r="BB421">
        <v>6.7565106537970876E-2</v>
      </c>
      <c r="BC421">
        <v>0</v>
      </c>
      <c r="BD421">
        <v>0.93243489346202912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1.0724609374999996</v>
      </c>
      <c r="BK421">
        <v>1.0724609374999996</v>
      </c>
      <c r="BL421">
        <v>1.3811347613882861</v>
      </c>
      <c r="BM421">
        <v>0.30867382388828646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7.24609374999996E-2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x14ac:dyDescent="0.25">
      <c r="A422" t="s">
        <v>128</v>
      </c>
      <c r="B422" t="s">
        <v>421</v>
      </c>
      <c r="C422" s="14" t="s">
        <v>72</v>
      </c>
      <c r="D422" s="12">
        <v>46239</v>
      </c>
      <c r="E422" s="14" t="s">
        <v>134</v>
      </c>
      <c r="F422" s="14" t="s">
        <v>134</v>
      </c>
      <c r="G422" s="14" t="s">
        <v>134</v>
      </c>
      <c r="H422" s="14" t="s">
        <v>74</v>
      </c>
      <c r="I422">
        <v>20</v>
      </c>
      <c r="J422">
        <v>2.7731019522776572</v>
      </c>
      <c r="K422">
        <v>46239</v>
      </c>
      <c r="L422" t="s">
        <v>469</v>
      </c>
      <c r="M422">
        <v>0.95</v>
      </c>
      <c r="N422">
        <v>0.95</v>
      </c>
      <c r="O422">
        <v>2.0078431372549019</v>
      </c>
      <c r="P422">
        <v>0.34257665832290363</v>
      </c>
      <c r="Q422">
        <v>0.34257665832290363</v>
      </c>
      <c r="R422">
        <v>0.72404230778669421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0.38146564946379058</v>
      </c>
      <c r="AC422">
        <v>0.27595769221330579</v>
      </c>
      <c r="AD422">
        <v>0</v>
      </c>
      <c r="AE422">
        <v>0</v>
      </c>
      <c r="AF422">
        <v>0</v>
      </c>
      <c r="AG422">
        <v>0.34257665832290363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2.9190546866080602</v>
      </c>
      <c r="AN422">
        <v>2.9190546866080602</v>
      </c>
      <c r="AO422">
        <v>2.1135190918472655</v>
      </c>
      <c r="BF422">
        <v>0</v>
      </c>
      <c r="BG422">
        <v>0</v>
      </c>
      <c r="BH422">
        <v>0</v>
      </c>
      <c r="BJ422">
        <v>0.47314453125</v>
      </c>
      <c r="BK422">
        <v>0.47314453125</v>
      </c>
      <c r="BL422">
        <v>1.3811347613882863</v>
      </c>
      <c r="BM422">
        <v>0.38113476138828628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0.65742334167709637</v>
      </c>
      <c r="BW422">
        <v>0</v>
      </c>
      <c r="BX422">
        <v>0</v>
      </c>
      <c r="BY422">
        <v>0</v>
      </c>
      <c r="BZ422">
        <v>0</v>
      </c>
      <c r="CA422">
        <v>0.47314453125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 spans="1:84" x14ac:dyDescent="0.25">
      <c r="A423" t="s">
        <v>128</v>
      </c>
      <c r="B423" t="s">
        <v>421</v>
      </c>
      <c r="C423" s="14" t="s">
        <v>72</v>
      </c>
      <c r="D423" s="12">
        <v>46242</v>
      </c>
      <c r="E423" s="14" t="s">
        <v>134</v>
      </c>
      <c r="F423" s="14" t="s">
        <v>134</v>
      </c>
      <c r="G423" s="14" t="s">
        <v>134</v>
      </c>
      <c r="H423" s="14" t="s">
        <v>75</v>
      </c>
      <c r="I423">
        <v>20</v>
      </c>
      <c r="J423">
        <v>2.4468546637744031</v>
      </c>
      <c r="K423">
        <v>46242</v>
      </c>
      <c r="L423" t="s">
        <v>479</v>
      </c>
      <c r="M423">
        <v>6.6499999999999995</v>
      </c>
      <c r="N423">
        <v>6.6499999999999995</v>
      </c>
      <c r="O423">
        <v>1.7716262975778552</v>
      </c>
      <c r="P423">
        <v>2.7177748226950356</v>
      </c>
      <c r="Q423">
        <v>2.7177748226950356</v>
      </c>
      <c r="R423">
        <v>0.72404230778669443</v>
      </c>
      <c r="S423">
        <v>0</v>
      </c>
      <c r="T423">
        <v>0</v>
      </c>
      <c r="U423">
        <v>1.4677748226950356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0.25</v>
      </c>
      <c r="AB423">
        <v>0</v>
      </c>
      <c r="AC423">
        <v>0</v>
      </c>
      <c r="AD423">
        <v>0</v>
      </c>
      <c r="AE423">
        <v>0.27595769221330557</v>
      </c>
      <c r="AF423">
        <v>0</v>
      </c>
      <c r="AG423">
        <v>0.72404230778669443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0.36794806974051175</v>
      </c>
      <c r="AN423">
        <v>0.36794806974051175</v>
      </c>
      <c r="AO423">
        <v>0.26640996956057977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0.63205193025948825</v>
      </c>
      <c r="BA423">
        <v>0</v>
      </c>
      <c r="BB423">
        <v>0.10153810017993198</v>
      </c>
      <c r="BC423">
        <v>0</v>
      </c>
      <c r="BD423">
        <v>0.26640996956057977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3.7536132812499985</v>
      </c>
      <c r="BK423">
        <v>3.7536132812499985</v>
      </c>
      <c r="BL423">
        <v>1.3811347613882858</v>
      </c>
      <c r="CC423">
        <v>0</v>
      </c>
      <c r="CD423">
        <v>0</v>
      </c>
      <c r="CE423">
        <v>0</v>
      </c>
    </row>
    <row r="424" spans="1:84" x14ac:dyDescent="0.25">
      <c r="A424" t="s">
        <v>128</v>
      </c>
      <c r="B424" t="s">
        <v>421</v>
      </c>
      <c r="C424" s="14" t="s">
        <v>72</v>
      </c>
      <c r="D424" s="12">
        <v>46241</v>
      </c>
      <c r="E424" s="14" t="s">
        <v>134</v>
      </c>
      <c r="F424" s="14" t="s">
        <v>134</v>
      </c>
      <c r="G424" s="14" t="s">
        <v>134</v>
      </c>
      <c r="H424" s="14" t="s">
        <v>75</v>
      </c>
      <c r="I424">
        <v>20</v>
      </c>
      <c r="J424">
        <v>2.4468546637744035</v>
      </c>
      <c r="K424">
        <v>46241</v>
      </c>
      <c r="L424" t="s">
        <v>476</v>
      </c>
      <c r="M424">
        <v>1.9</v>
      </c>
      <c r="N424">
        <v>1.9</v>
      </c>
      <c r="O424">
        <v>1.7716262975778552</v>
      </c>
      <c r="P424">
        <v>0.77650709219858149</v>
      </c>
      <c r="Q424">
        <v>0.77650709219858149</v>
      </c>
      <c r="R424">
        <v>0.72404230778669432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0.22349290780141851</v>
      </c>
      <c r="AD424">
        <v>0</v>
      </c>
      <c r="AE424">
        <v>5.2464784411887178E-2</v>
      </c>
      <c r="AF424">
        <v>0</v>
      </c>
      <c r="AG424">
        <v>0.72404230778669432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1.2878182440917914</v>
      </c>
      <c r="AN424">
        <v>1.2878182440917914</v>
      </c>
      <c r="AO424">
        <v>0.93243489346202912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0.28781824409179135</v>
      </c>
      <c r="AY424">
        <v>0</v>
      </c>
      <c r="AZ424">
        <v>0</v>
      </c>
      <c r="BA424">
        <v>0</v>
      </c>
      <c r="BB424">
        <v>6.7565106537970876E-2</v>
      </c>
      <c r="BC424">
        <v>0</v>
      </c>
      <c r="BD424">
        <v>0.93243489346202912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1.0724609374999996</v>
      </c>
      <c r="BK424">
        <v>1.0724609374999996</v>
      </c>
      <c r="BL424">
        <v>1.3811347613882861</v>
      </c>
      <c r="BM424">
        <v>0.30867382388828646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7.24609374999996E-2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 spans="1:84" x14ac:dyDescent="0.25">
      <c r="A425" t="s">
        <v>128</v>
      </c>
      <c r="B425" t="s">
        <v>421</v>
      </c>
      <c r="C425" s="14" t="s">
        <v>72</v>
      </c>
      <c r="D425" s="12">
        <v>46241</v>
      </c>
      <c r="E425" s="14" t="s">
        <v>134</v>
      </c>
      <c r="F425" s="14" t="s">
        <v>134</v>
      </c>
      <c r="G425" s="14" t="s">
        <v>134</v>
      </c>
      <c r="H425" s="14" t="s">
        <v>73</v>
      </c>
      <c r="I425">
        <v>20</v>
      </c>
      <c r="J425">
        <v>3.8232104121475055</v>
      </c>
      <c r="K425">
        <v>46241</v>
      </c>
      <c r="L425" t="s">
        <v>474</v>
      </c>
      <c r="M425">
        <v>6.6499999999999995</v>
      </c>
      <c r="N425">
        <v>6.6499999999999995</v>
      </c>
      <c r="O425">
        <v>0.1176470588235294</v>
      </c>
      <c r="P425">
        <v>1.7393758865248226</v>
      </c>
      <c r="Q425">
        <v>1.7393758865248226</v>
      </c>
      <c r="R425">
        <v>3.0771798080934498E-2</v>
      </c>
      <c r="S425">
        <v>0</v>
      </c>
      <c r="T425">
        <v>0</v>
      </c>
      <c r="U425">
        <v>0.48937588652482256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0.25</v>
      </c>
      <c r="AB425">
        <v>0</v>
      </c>
      <c r="AC425">
        <v>0</v>
      </c>
      <c r="AD425">
        <v>0</v>
      </c>
      <c r="AE425">
        <v>0.96922820191906545</v>
      </c>
      <c r="AF425">
        <v>0</v>
      </c>
      <c r="AG425">
        <v>3.0771798080934498E-2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0.57491885896954975</v>
      </c>
      <c r="AN425">
        <v>0.57491885896954975</v>
      </c>
      <c r="AO425">
        <v>1.769128704113224E-2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0.42508114103045025</v>
      </c>
      <c r="BA425">
        <v>0</v>
      </c>
      <c r="BB425">
        <v>0.55722757192841754</v>
      </c>
      <c r="BC425">
        <v>0</v>
      </c>
      <c r="BD425">
        <v>1.769128704113224E-2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56.525000000000006</v>
      </c>
      <c r="BK425">
        <v>56.525000000000006</v>
      </c>
      <c r="BL425">
        <v>32.497288503253799</v>
      </c>
      <c r="CC425">
        <v>0</v>
      </c>
      <c r="CD425">
        <v>0</v>
      </c>
      <c r="CE425">
        <v>0</v>
      </c>
    </row>
    <row r="426" spans="1:84" x14ac:dyDescent="0.25">
      <c r="A426" t="s">
        <v>128</v>
      </c>
      <c r="B426" t="s">
        <v>421</v>
      </c>
      <c r="C426" s="14" t="s">
        <v>72</v>
      </c>
      <c r="D426" s="12">
        <v>46238</v>
      </c>
      <c r="E426" s="14" t="s">
        <v>134</v>
      </c>
      <c r="F426" s="14" t="s">
        <v>134</v>
      </c>
      <c r="G426" s="14" t="s">
        <v>134</v>
      </c>
      <c r="H426" s="14" t="s">
        <v>74</v>
      </c>
      <c r="I426">
        <v>20</v>
      </c>
      <c r="J426">
        <v>2.7731019522776572</v>
      </c>
      <c r="K426">
        <v>46238</v>
      </c>
      <c r="L426" t="s">
        <v>466</v>
      </c>
      <c r="M426">
        <v>0</v>
      </c>
      <c r="N426">
        <v>0</v>
      </c>
      <c r="O426">
        <v>2.0078431372549019</v>
      </c>
      <c r="P426">
        <v>0</v>
      </c>
      <c r="Q426">
        <v>0</v>
      </c>
      <c r="R426">
        <v>0.72404230778669421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0.72404230778669421</v>
      </c>
      <c r="AC426">
        <v>0.27595769221330579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J426">
        <v>0</v>
      </c>
      <c r="BK426">
        <v>0</v>
      </c>
      <c r="BL426">
        <v>1.3811347613882863</v>
      </c>
      <c r="BM426">
        <v>0.38113476138828628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1</v>
      </c>
      <c r="CF426">
        <v>1</v>
      </c>
    </row>
    <row r="427" spans="1:84" x14ac:dyDescent="0.25">
      <c r="A427" t="s">
        <v>128</v>
      </c>
      <c r="B427" t="s">
        <v>421</v>
      </c>
      <c r="C427" s="14" t="s">
        <v>72</v>
      </c>
      <c r="D427" s="12">
        <v>46231</v>
      </c>
      <c r="E427" s="14" t="s">
        <v>134</v>
      </c>
      <c r="F427" s="14" t="s">
        <v>134</v>
      </c>
      <c r="G427" s="14" t="s">
        <v>134</v>
      </c>
      <c r="H427" s="14" t="s">
        <v>75</v>
      </c>
      <c r="I427">
        <v>20</v>
      </c>
      <c r="J427">
        <v>2.4468546637744031</v>
      </c>
      <c r="K427">
        <v>46231</v>
      </c>
      <c r="L427" t="s">
        <v>446</v>
      </c>
      <c r="M427">
        <v>9.5</v>
      </c>
      <c r="N427">
        <v>9.5</v>
      </c>
      <c r="O427">
        <v>1.7716262975778552</v>
      </c>
      <c r="P427">
        <v>3.8825354609929086</v>
      </c>
      <c r="Q427">
        <v>3.8825354609929086</v>
      </c>
      <c r="R427">
        <v>0.72404230778669443</v>
      </c>
      <c r="S427">
        <v>0</v>
      </c>
      <c r="T427">
        <v>0</v>
      </c>
      <c r="U427">
        <v>2.6325354609929086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0.25</v>
      </c>
      <c r="AB427">
        <v>0</v>
      </c>
      <c r="AC427">
        <v>0</v>
      </c>
      <c r="AD427">
        <v>0</v>
      </c>
      <c r="AE427">
        <v>0.27595769221330557</v>
      </c>
      <c r="AF427">
        <v>0</v>
      </c>
      <c r="AG427">
        <v>0.72404230778669443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0.25756364881835819</v>
      </c>
      <c r="AN427">
        <v>0.25756364881835819</v>
      </c>
      <c r="AO427">
        <v>0.1864869786924058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0.74243635118164186</v>
      </c>
      <c r="BA427">
        <v>0</v>
      </c>
      <c r="BB427">
        <v>7.1076670125952396E-2</v>
      </c>
      <c r="BC427">
        <v>0</v>
      </c>
      <c r="BD427">
        <v>0.1864869786924058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5.3623046874999982</v>
      </c>
      <c r="BK427">
        <v>5.3623046874999982</v>
      </c>
      <c r="BL427">
        <v>1.3811347613882858</v>
      </c>
      <c r="CC427">
        <v>0</v>
      </c>
      <c r="CD427">
        <v>0</v>
      </c>
      <c r="CE427">
        <v>0</v>
      </c>
    </row>
    <row r="428" spans="1:84" x14ac:dyDescent="0.25">
      <c r="A428" t="s">
        <v>128</v>
      </c>
      <c r="B428" t="s">
        <v>421</v>
      </c>
      <c r="C428" s="14" t="s">
        <v>72</v>
      </c>
      <c r="D428" s="12">
        <v>46235</v>
      </c>
      <c r="E428" s="14" t="s">
        <v>134</v>
      </c>
      <c r="F428" s="14" t="s">
        <v>134</v>
      </c>
      <c r="G428" s="14" t="s">
        <v>134</v>
      </c>
      <c r="H428" s="14" t="s">
        <v>75</v>
      </c>
      <c r="I428">
        <v>20</v>
      </c>
      <c r="J428">
        <v>2.4468546637744031</v>
      </c>
      <c r="K428">
        <v>46235</v>
      </c>
      <c r="L428" t="s">
        <v>458</v>
      </c>
      <c r="M428">
        <v>3.8</v>
      </c>
      <c r="N428">
        <v>3.8</v>
      </c>
      <c r="O428">
        <v>1.7716262975778552</v>
      </c>
      <c r="P428">
        <v>1.5530141843971632</v>
      </c>
      <c r="Q428">
        <v>1.5530141843971632</v>
      </c>
      <c r="R428">
        <v>0.72404230778669443</v>
      </c>
      <c r="S428">
        <v>0</v>
      </c>
      <c r="T428">
        <v>0</v>
      </c>
      <c r="U428">
        <v>0.30301418439716321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0.25</v>
      </c>
      <c r="AB428">
        <v>0</v>
      </c>
      <c r="AC428">
        <v>0</v>
      </c>
      <c r="AD428">
        <v>0</v>
      </c>
      <c r="AE428">
        <v>0.27595769221330557</v>
      </c>
      <c r="AF428">
        <v>0</v>
      </c>
      <c r="AG428">
        <v>0.72404230778669443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0.64390912204589557</v>
      </c>
      <c r="AN428">
        <v>0.64390912204589557</v>
      </c>
      <c r="AO428">
        <v>0.46621744673101456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0.35609087795410443</v>
      </c>
      <c r="BA428">
        <v>0</v>
      </c>
      <c r="BB428">
        <v>0.177691675314881</v>
      </c>
      <c r="BC428">
        <v>0</v>
      </c>
      <c r="BD428">
        <v>0.46621744673101456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2.1449218749999992</v>
      </c>
      <c r="BK428">
        <v>2.1449218749999992</v>
      </c>
      <c r="BL428">
        <v>1.3811347613882858</v>
      </c>
      <c r="CC428">
        <v>0</v>
      </c>
      <c r="CD428">
        <v>0</v>
      </c>
      <c r="CE428">
        <v>0</v>
      </c>
    </row>
    <row r="429" spans="1:84" x14ac:dyDescent="0.25">
      <c r="A429" t="s">
        <v>128</v>
      </c>
      <c r="B429" t="s">
        <v>421</v>
      </c>
      <c r="C429" s="14" t="s">
        <v>72</v>
      </c>
      <c r="D429" s="12">
        <v>46243</v>
      </c>
      <c r="E429" s="14" t="s">
        <v>134</v>
      </c>
      <c r="F429" s="14" t="s">
        <v>134</v>
      </c>
      <c r="G429" s="14" t="s">
        <v>134</v>
      </c>
      <c r="H429" s="14" t="s">
        <v>73</v>
      </c>
      <c r="I429">
        <v>20</v>
      </c>
      <c r="J429">
        <v>0</v>
      </c>
      <c r="K429">
        <v>46243</v>
      </c>
      <c r="L429" t="s">
        <v>480</v>
      </c>
      <c r="M429">
        <v>0.95</v>
      </c>
      <c r="N429">
        <v>0.95</v>
      </c>
      <c r="O429">
        <v>0.23529411764705879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0.24767801857585137</v>
      </c>
      <c r="AK429">
        <v>0</v>
      </c>
      <c r="AL429">
        <v>0</v>
      </c>
      <c r="AM429">
        <v>0</v>
      </c>
      <c r="AN429">
        <v>0</v>
      </c>
      <c r="AO429">
        <v>0.24767801857585137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0.75232198142414863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I429">
        <v>0</v>
      </c>
      <c r="BJ429">
        <v>4.0375000000000005</v>
      </c>
      <c r="BK429">
        <v>4.0375000000000005</v>
      </c>
      <c r="BL429">
        <v>0</v>
      </c>
      <c r="CC429">
        <v>0.75232198142414863</v>
      </c>
      <c r="CD429">
        <v>0.24767801857585137</v>
      </c>
    </row>
    <row r="430" spans="1:84" x14ac:dyDescent="0.25">
      <c r="A430" t="s">
        <v>128</v>
      </c>
      <c r="B430" t="s">
        <v>421</v>
      </c>
      <c r="C430" s="14" t="s">
        <v>72</v>
      </c>
      <c r="D430" s="12">
        <v>46233</v>
      </c>
      <c r="E430" s="14" t="s">
        <v>134</v>
      </c>
      <c r="F430" s="14" t="s">
        <v>134</v>
      </c>
      <c r="G430" s="14" t="s">
        <v>134</v>
      </c>
      <c r="H430" s="14" t="s">
        <v>74</v>
      </c>
      <c r="I430">
        <v>20</v>
      </c>
      <c r="J430">
        <v>2.7731019522776572</v>
      </c>
      <c r="K430">
        <v>46233</v>
      </c>
      <c r="L430" t="s">
        <v>451</v>
      </c>
      <c r="M430">
        <v>0</v>
      </c>
      <c r="N430">
        <v>0</v>
      </c>
      <c r="O430">
        <v>2.0078431372549019</v>
      </c>
      <c r="P430">
        <v>0</v>
      </c>
      <c r="Q430">
        <v>0</v>
      </c>
      <c r="R430">
        <v>0.72404230778669421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0.72404230778669421</v>
      </c>
      <c r="AC430">
        <v>0.27595769221330579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J430">
        <v>0</v>
      </c>
      <c r="BK430">
        <v>0</v>
      </c>
      <c r="BL430">
        <v>1.3811347613882863</v>
      </c>
      <c r="BM430">
        <v>0.38113476138828628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</v>
      </c>
      <c r="CF430">
        <v>1</v>
      </c>
    </row>
    <row r="431" spans="1:84" x14ac:dyDescent="0.25">
      <c r="A431" t="s">
        <v>128</v>
      </c>
      <c r="B431" t="s">
        <v>421</v>
      </c>
      <c r="C431" s="14" t="s">
        <v>72</v>
      </c>
      <c r="D431" s="12">
        <v>46243</v>
      </c>
      <c r="E431" s="14" t="s">
        <v>134</v>
      </c>
      <c r="F431" s="14" t="s">
        <v>134</v>
      </c>
      <c r="G431" s="14" t="s">
        <v>134</v>
      </c>
      <c r="H431" s="14" t="s">
        <v>74</v>
      </c>
      <c r="I431">
        <v>20</v>
      </c>
      <c r="J431">
        <v>2.7731019522776572</v>
      </c>
      <c r="K431">
        <v>46243</v>
      </c>
      <c r="L431" t="s">
        <v>481</v>
      </c>
      <c r="M431">
        <v>0</v>
      </c>
      <c r="N431">
        <v>0</v>
      </c>
      <c r="O431">
        <v>2.0078431372549019</v>
      </c>
      <c r="P431">
        <v>0</v>
      </c>
      <c r="Q431">
        <v>0</v>
      </c>
      <c r="R431">
        <v>0.72404230778669421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0.72404230778669421</v>
      </c>
      <c r="AC431">
        <v>0.27595769221330579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J431">
        <v>0</v>
      </c>
      <c r="BK431">
        <v>0</v>
      </c>
      <c r="BL431">
        <v>1.3811347613882863</v>
      </c>
      <c r="BM431">
        <v>0.38113476138828628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>
        <v>1</v>
      </c>
    </row>
    <row r="432" spans="1:84" x14ac:dyDescent="0.25">
      <c r="A432" t="s">
        <v>128</v>
      </c>
      <c r="B432" t="s">
        <v>421</v>
      </c>
      <c r="C432" s="14" t="s">
        <v>72</v>
      </c>
      <c r="D432" s="12">
        <v>46241</v>
      </c>
      <c r="E432" s="14" t="s">
        <v>134</v>
      </c>
      <c r="F432" s="14" t="s">
        <v>134</v>
      </c>
      <c r="G432" s="14" t="s">
        <v>134</v>
      </c>
      <c r="H432" s="14" t="s">
        <v>74</v>
      </c>
      <c r="I432">
        <v>20</v>
      </c>
      <c r="J432">
        <v>2.7731019522776572</v>
      </c>
      <c r="K432">
        <v>46241</v>
      </c>
      <c r="L432" t="s">
        <v>475</v>
      </c>
      <c r="M432">
        <v>0</v>
      </c>
      <c r="N432">
        <v>0</v>
      </c>
      <c r="O432">
        <v>2.0078431372549019</v>
      </c>
      <c r="P432">
        <v>0</v>
      </c>
      <c r="Q432">
        <v>0</v>
      </c>
      <c r="R432">
        <v>0.72404230778669421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0.72404230778669421</v>
      </c>
      <c r="AC432">
        <v>0.27595769221330579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1</v>
      </c>
      <c r="BJ432">
        <v>0</v>
      </c>
      <c r="BK432">
        <v>0</v>
      </c>
      <c r="BL432">
        <v>1.3811347613882863</v>
      </c>
      <c r="BM432">
        <v>0.38113476138828628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</row>
    <row r="433" spans="1:84" x14ac:dyDescent="0.25">
      <c r="A433" t="s">
        <v>128</v>
      </c>
      <c r="B433" t="s">
        <v>421</v>
      </c>
      <c r="C433" s="14" t="s">
        <v>72</v>
      </c>
      <c r="D433" s="12">
        <v>46235</v>
      </c>
      <c r="E433" s="14" t="s">
        <v>134</v>
      </c>
      <c r="F433" s="14" t="s">
        <v>134</v>
      </c>
      <c r="G433" s="14" t="s">
        <v>134</v>
      </c>
      <c r="H433" s="14" t="s">
        <v>73</v>
      </c>
      <c r="I433">
        <v>20</v>
      </c>
      <c r="J433">
        <v>0</v>
      </c>
      <c r="K433">
        <v>46235</v>
      </c>
      <c r="L433" t="s">
        <v>456</v>
      </c>
      <c r="M433">
        <v>0.95</v>
      </c>
      <c r="N433">
        <v>0.95</v>
      </c>
      <c r="O433">
        <v>0.23529411764705879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0.24767801857585137</v>
      </c>
      <c r="AK433">
        <v>0</v>
      </c>
      <c r="AL433">
        <v>0</v>
      </c>
      <c r="AM433">
        <v>0</v>
      </c>
      <c r="AN433">
        <v>0</v>
      </c>
      <c r="AO433">
        <v>0.24767801857585137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0.75232198142414863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I433">
        <v>0</v>
      </c>
      <c r="BJ433">
        <v>4.0375000000000005</v>
      </c>
      <c r="BK433">
        <v>4.0375000000000005</v>
      </c>
      <c r="BL433">
        <v>0</v>
      </c>
      <c r="CC433">
        <v>0.75232198142414863</v>
      </c>
      <c r="CD433">
        <v>0.24767801857585137</v>
      </c>
    </row>
    <row r="434" spans="1:84" x14ac:dyDescent="0.25">
      <c r="A434" t="s">
        <v>128</v>
      </c>
      <c r="B434" t="s">
        <v>421</v>
      </c>
      <c r="C434" s="14" t="s">
        <v>72</v>
      </c>
      <c r="D434" s="12">
        <v>46238</v>
      </c>
      <c r="E434" s="14" t="s">
        <v>134</v>
      </c>
      <c r="F434" s="14" t="s">
        <v>134</v>
      </c>
      <c r="G434" s="14" t="s">
        <v>134</v>
      </c>
      <c r="H434" s="14" t="s">
        <v>73</v>
      </c>
      <c r="I434">
        <v>20</v>
      </c>
      <c r="J434">
        <v>3.7467462039045554</v>
      </c>
      <c r="K434">
        <v>46238</v>
      </c>
      <c r="L434" t="s">
        <v>465</v>
      </c>
      <c r="M434">
        <v>0.95</v>
      </c>
      <c r="N434">
        <v>0.95</v>
      </c>
      <c r="O434">
        <v>0.23529411764705879</v>
      </c>
      <c r="P434">
        <v>0.25355333622810827</v>
      </c>
      <c r="Q434">
        <v>0.25355333622810827</v>
      </c>
      <c r="R434">
        <v>6.2799587920274486E-2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0.74644666377189173</v>
      </c>
      <c r="AD434">
        <v>0</v>
      </c>
      <c r="AE434">
        <v>0.19075374830783379</v>
      </c>
      <c r="AF434">
        <v>0</v>
      </c>
      <c r="AG434">
        <v>6.2799587920274486E-2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3.9439433725311113</v>
      </c>
      <c r="AN434">
        <v>3.9439433725311113</v>
      </c>
      <c r="AO434">
        <v>0.24767801857585137</v>
      </c>
      <c r="BF434">
        <v>0</v>
      </c>
      <c r="BG434">
        <v>0</v>
      </c>
      <c r="BH434">
        <v>0</v>
      </c>
      <c r="BJ434">
        <v>4.0375000000000005</v>
      </c>
      <c r="BK434">
        <v>4.0375000000000005</v>
      </c>
      <c r="BL434">
        <v>15.923671366594363</v>
      </c>
      <c r="CC434">
        <v>0</v>
      </c>
      <c r="CD434">
        <v>0</v>
      </c>
      <c r="CE434">
        <v>0</v>
      </c>
    </row>
    <row r="435" spans="1:84" x14ac:dyDescent="0.25">
      <c r="A435" t="s">
        <v>128</v>
      </c>
      <c r="B435" t="s">
        <v>421</v>
      </c>
      <c r="C435" s="14" t="s">
        <v>72</v>
      </c>
      <c r="D435" s="12">
        <v>46239</v>
      </c>
      <c r="E435" s="14" t="s">
        <v>134</v>
      </c>
      <c r="F435" s="14" t="s">
        <v>134</v>
      </c>
      <c r="G435" s="14" t="s">
        <v>134</v>
      </c>
      <c r="H435" s="14" t="s">
        <v>75</v>
      </c>
      <c r="I435">
        <v>20</v>
      </c>
      <c r="J435">
        <v>2.4468546637744035</v>
      </c>
      <c r="K435">
        <v>46239</v>
      </c>
      <c r="L435" t="s">
        <v>470</v>
      </c>
      <c r="M435">
        <v>2.8499999999999996</v>
      </c>
      <c r="N435">
        <v>2.8499999999999996</v>
      </c>
      <c r="O435">
        <v>1.7716262975778552</v>
      </c>
      <c r="P435">
        <v>1.1647606382978721</v>
      </c>
      <c r="Q435">
        <v>1.1647606382978721</v>
      </c>
      <c r="R435">
        <v>0.72404230778669432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0.16476063829787213</v>
      </c>
      <c r="AB435">
        <v>0</v>
      </c>
      <c r="AC435">
        <v>0</v>
      </c>
      <c r="AD435">
        <v>0</v>
      </c>
      <c r="AE435">
        <v>0.27595769221330568</v>
      </c>
      <c r="AF435">
        <v>0</v>
      </c>
      <c r="AG435">
        <v>0.72404230778669432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0.85854549606119435</v>
      </c>
      <c r="AN435">
        <v>0.85854549606119435</v>
      </c>
      <c r="AO435">
        <v>0.62162326230801945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0.14145450393880565</v>
      </c>
      <c r="BA435">
        <v>0</v>
      </c>
      <c r="BB435">
        <v>0.23692223375317489</v>
      </c>
      <c r="BC435">
        <v>0</v>
      </c>
      <c r="BD435">
        <v>0.62162326230801945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1.6086914062499993</v>
      </c>
      <c r="BK435">
        <v>1.6086914062499993</v>
      </c>
      <c r="BL435">
        <v>1.3811347613882861</v>
      </c>
      <c r="CC435">
        <v>0</v>
      </c>
      <c r="CD435">
        <v>0</v>
      </c>
      <c r="CE435">
        <v>0</v>
      </c>
    </row>
    <row r="436" spans="1:84" x14ac:dyDescent="0.25">
      <c r="A436" t="s">
        <v>128</v>
      </c>
      <c r="B436" t="s">
        <v>421</v>
      </c>
      <c r="C436" s="14" t="s">
        <v>72</v>
      </c>
      <c r="D436" s="12">
        <v>46231</v>
      </c>
      <c r="E436" s="14" t="s">
        <v>134</v>
      </c>
      <c r="F436" s="14" t="s">
        <v>134</v>
      </c>
      <c r="G436" s="14" t="s">
        <v>134</v>
      </c>
      <c r="H436" s="14" t="s">
        <v>74</v>
      </c>
      <c r="I436">
        <v>20</v>
      </c>
      <c r="J436">
        <v>2.7731019522776572</v>
      </c>
      <c r="K436">
        <v>46231</v>
      </c>
      <c r="L436" t="s">
        <v>445</v>
      </c>
      <c r="M436">
        <v>1.9</v>
      </c>
      <c r="N436">
        <v>1.9</v>
      </c>
      <c r="O436">
        <v>2.0078431372549019</v>
      </c>
      <c r="P436">
        <v>0.68515331664580725</v>
      </c>
      <c r="Q436">
        <v>0.68515331664580725</v>
      </c>
      <c r="R436">
        <v>0.72404230778669421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3.8888991140886953E-2</v>
      </c>
      <c r="AC436">
        <v>0.27595769221330579</v>
      </c>
      <c r="AD436">
        <v>0</v>
      </c>
      <c r="AE436">
        <v>0</v>
      </c>
      <c r="AF436">
        <v>0</v>
      </c>
      <c r="AG436">
        <v>0.68515331664580725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1.4595273433040301</v>
      </c>
      <c r="AN436">
        <v>1.4595273433040301</v>
      </c>
      <c r="AO436">
        <v>1.0567595459236327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5.6759545923632748E-2</v>
      </c>
      <c r="AW436">
        <v>0</v>
      </c>
      <c r="AX436">
        <v>0.40276779738039736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0.9462890625</v>
      </c>
      <c r="BK436">
        <v>0.9462890625</v>
      </c>
      <c r="BL436">
        <v>1.3811347613882863</v>
      </c>
      <c r="BM436">
        <v>0.38113476138828628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0.31484668335419275</v>
      </c>
      <c r="BW436">
        <v>0</v>
      </c>
      <c r="BX436">
        <v>0</v>
      </c>
      <c r="BY436">
        <v>0</v>
      </c>
      <c r="BZ436">
        <v>0</v>
      </c>
      <c r="CA436">
        <v>0.9462890625</v>
      </c>
      <c r="CB436">
        <v>0</v>
      </c>
      <c r="CC436">
        <v>0</v>
      </c>
      <c r="CD436">
        <v>0</v>
      </c>
      <c r="CE436">
        <v>0</v>
      </c>
      <c r="CF436">
        <v>0</v>
      </c>
    </row>
    <row r="437" spans="1:84" x14ac:dyDescent="0.25">
      <c r="A437" t="s">
        <v>128</v>
      </c>
      <c r="B437" t="s">
        <v>421</v>
      </c>
      <c r="C437" s="14" t="s">
        <v>72</v>
      </c>
      <c r="D437" s="12">
        <v>46234</v>
      </c>
      <c r="E437" s="14" t="s">
        <v>134</v>
      </c>
      <c r="F437" s="14" t="s">
        <v>134</v>
      </c>
      <c r="G437" s="14" t="s">
        <v>134</v>
      </c>
      <c r="H437" s="14" t="s">
        <v>74</v>
      </c>
      <c r="I437">
        <v>20</v>
      </c>
      <c r="J437">
        <v>2.7731019522776572</v>
      </c>
      <c r="K437">
        <v>46234</v>
      </c>
      <c r="L437" t="s">
        <v>454</v>
      </c>
      <c r="M437">
        <v>0.95</v>
      </c>
      <c r="N437">
        <v>0.95</v>
      </c>
      <c r="O437">
        <v>2.0078431372549019</v>
      </c>
      <c r="P437">
        <v>0.34257665832290363</v>
      </c>
      <c r="Q437">
        <v>0.34257665832290363</v>
      </c>
      <c r="R437">
        <v>0.72404230778669421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0.38146564946379058</v>
      </c>
      <c r="AC437">
        <v>0.27595769221330579</v>
      </c>
      <c r="AD437">
        <v>0</v>
      </c>
      <c r="AE437">
        <v>0</v>
      </c>
      <c r="AF437">
        <v>0</v>
      </c>
      <c r="AG437">
        <v>0.34257665832290363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2.9190546866080602</v>
      </c>
      <c r="AN437">
        <v>2.9190546866080602</v>
      </c>
      <c r="AO437">
        <v>2.1135190918472655</v>
      </c>
      <c r="BF437">
        <v>0</v>
      </c>
      <c r="BG437">
        <v>0</v>
      </c>
      <c r="BH437">
        <v>0</v>
      </c>
      <c r="BJ437">
        <v>0.47314453125</v>
      </c>
      <c r="BK437">
        <v>0.47314453125</v>
      </c>
      <c r="BL437">
        <v>1.3811347613882863</v>
      </c>
      <c r="BM437">
        <v>0.38113476138828628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0.65742334167709637</v>
      </c>
      <c r="BW437">
        <v>0</v>
      </c>
      <c r="BX437">
        <v>0</v>
      </c>
      <c r="BY437">
        <v>0</v>
      </c>
      <c r="BZ437">
        <v>0</v>
      </c>
      <c r="CA437">
        <v>0.47314453125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x14ac:dyDescent="0.25">
      <c r="A438" t="s">
        <v>128</v>
      </c>
      <c r="B438" t="s">
        <v>421</v>
      </c>
      <c r="C438" s="14" t="s">
        <v>72</v>
      </c>
      <c r="D438" s="12">
        <v>46232</v>
      </c>
      <c r="E438" s="14" t="s">
        <v>134</v>
      </c>
      <c r="F438" s="14" t="s">
        <v>134</v>
      </c>
      <c r="G438" s="14" t="s">
        <v>134</v>
      </c>
      <c r="H438" s="14" t="s">
        <v>73</v>
      </c>
      <c r="I438">
        <v>20</v>
      </c>
      <c r="J438">
        <v>3.8996746203904542</v>
      </c>
      <c r="K438">
        <v>46232</v>
      </c>
      <c r="L438" t="s">
        <v>447</v>
      </c>
      <c r="M438">
        <v>5.6999999999999993</v>
      </c>
      <c r="N438">
        <v>5.6999999999999993</v>
      </c>
      <c r="O438">
        <v>0.23529411764705879</v>
      </c>
      <c r="P438">
        <v>1.4616604088443892</v>
      </c>
      <c r="Q438">
        <v>1.4616604088443892</v>
      </c>
      <c r="R438">
        <v>6.0336858982224524E-2</v>
      </c>
      <c r="S438">
        <v>0</v>
      </c>
      <c r="T438">
        <v>0</v>
      </c>
      <c r="U438">
        <v>0.21166040884438919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0.25</v>
      </c>
      <c r="AB438">
        <v>0</v>
      </c>
      <c r="AC438">
        <v>0</v>
      </c>
      <c r="AD438">
        <v>0</v>
      </c>
      <c r="AE438">
        <v>0.93966314101777548</v>
      </c>
      <c r="AF438">
        <v>0</v>
      </c>
      <c r="AG438">
        <v>6.0336858982224524E-2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0.68415344217376395</v>
      </c>
      <c r="AN438">
        <v>0.68415344217376395</v>
      </c>
      <c r="AO438">
        <v>4.1279669762641899E-2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0.31584655782623605</v>
      </c>
      <c r="BA438">
        <v>0</v>
      </c>
      <c r="BB438">
        <v>0.64287377241112209</v>
      </c>
      <c r="BC438">
        <v>0</v>
      </c>
      <c r="BD438">
        <v>4.1279669762641899E-2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24.225000000000001</v>
      </c>
      <c r="BK438">
        <v>24.225000000000001</v>
      </c>
      <c r="BL438">
        <v>16.573617136659433</v>
      </c>
      <c r="CC438">
        <v>0</v>
      </c>
      <c r="CD438">
        <v>0</v>
      </c>
      <c r="CE438">
        <v>0</v>
      </c>
    </row>
    <row r="439" spans="1:84" x14ac:dyDescent="0.25">
      <c r="A439" t="s">
        <v>128</v>
      </c>
      <c r="B439" t="s">
        <v>421</v>
      </c>
      <c r="C439" s="14" t="s">
        <v>72</v>
      </c>
      <c r="D439" s="12">
        <v>46236</v>
      </c>
      <c r="E439" s="14" t="s">
        <v>134</v>
      </c>
      <c r="F439" s="14" t="s">
        <v>134</v>
      </c>
      <c r="G439" s="14" t="s">
        <v>134</v>
      </c>
      <c r="H439" s="14" t="s">
        <v>75</v>
      </c>
      <c r="I439">
        <v>20</v>
      </c>
      <c r="J439">
        <v>2.4468546637744031</v>
      </c>
      <c r="K439">
        <v>46236</v>
      </c>
      <c r="L439" t="s">
        <v>461</v>
      </c>
      <c r="M439">
        <v>7.6</v>
      </c>
      <c r="N439">
        <v>7.6</v>
      </c>
      <c r="O439">
        <v>1.7716262975778552</v>
      </c>
      <c r="P439">
        <v>3.1060283687943264</v>
      </c>
      <c r="Q439">
        <v>3.1060283687943264</v>
      </c>
      <c r="R439">
        <v>0.72404230778669443</v>
      </c>
      <c r="S439">
        <v>0</v>
      </c>
      <c r="T439">
        <v>0</v>
      </c>
      <c r="U439">
        <v>1.8560283687943264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</v>
      </c>
      <c r="AC439">
        <v>0</v>
      </c>
      <c r="AD439">
        <v>0</v>
      </c>
      <c r="AE439">
        <v>0.27595769221330557</v>
      </c>
      <c r="AF439">
        <v>0</v>
      </c>
      <c r="AG439">
        <v>0.72404230778669443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0.32195456102294778</v>
      </c>
      <c r="AN439">
        <v>0.32195456102294778</v>
      </c>
      <c r="AO439">
        <v>0.23310872336550728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0.67804543897705227</v>
      </c>
      <c r="BA439">
        <v>0</v>
      </c>
      <c r="BB439">
        <v>8.8845837657440502E-2</v>
      </c>
      <c r="BC439">
        <v>0</v>
      </c>
      <c r="BD439">
        <v>0.23310872336550728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4.2898437499999984</v>
      </c>
      <c r="BK439">
        <v>4.2898437499999984</v>
      </c>
      <c r="BL439">
        <v>1.3811347613882858</v>
      </c>
      <c r="CC439">
        <v>0</v>
      </c>
      <c r="CD439">
        <v>0</v>
      </c>
      <c r="CE439">
        <v>0</v>
      </c>
    </row>
    <row r="440" spans="1:84" x14ac:dyDescent="0.25">
      <c r="A440" t="s">
        <v>128</v>
      </c>
      <c r="B440" t="s">
        <v>421</v>
      </c>
      <c r="C440" s="14" t="s">
        <v>109</v>
      </c>
      <c r="D440" s="12">
        <v>46233</v>
      </c>
      <c r="E440" s="14" t="s">
        <v>134</v>
      </c>
      <c r="F440" s="14" t="s">
        <v>134</v>
      </c>
      <c r="G440" s="14" t="s">
        <v>134</v>
      </c>
      <c r="H440" s="14"/>
      <c r="J440">
        <v>7.7432754880694139</v>
      </c>
      <c r="M440">
        <v>6.65</v>
      </c>
      <c r="N440">
        <v>6.65</v>
      </c>
      <c r="O440">
        <v>4.014763552479816</v>
      </c>
      <c r="S440">
        <v>0</v>
      </c>
      <c r="T440">
        <v>0</v>
      </c>
      <c r="U440">
        <v>0.20609513537741803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8.1468071099407499E-2</v>
      </c>
      <c r="AB440">
        <v>0.25930152431597209</v>
      </c>
      <c r="AC440">
        <v>0.16945199493661572</v>
      </c>
      <c r="AD440">
        <v>0</v>
      </c>
      <c r="AE440">
        <v>0.31206412073489403</v>
      </c>
      <c r="AF440">
        <v>0</v>
      </c>
      <c r="AG440">
        <v>0.25918236001251815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84" x14ac:dyDescent="0.25">
      <c r="A441" t="s">
        <v>128</v>
      </c>
      <c r="B441" t="s">
        <v>421</v>
      </c>
      <c r="C441" s="14" t="s">
        <v>72</v>
      </c>
      <c r="D441" s="12">
        <v>46245</v>
      </c>
      <c r="E441" s="14" t="s">
        <v>134</v>
      </c>
      <c r="F441" s="14" t="s">
        <v>134</v>
      </c>
      <c r="G441" s="14" t="s">
        <v>134</v>
      </c>
      <c r="H441" s="14" t="s">
        <v>74</v>
      </c>
      <c r="I441">
        <v>20</v>
      </c>
      <c r="J441">
        <v>2.7731019522776572</v>
      </c>
      <c r="K441">
        <v>46245</v>
      </c>
      <c r="L441" t="s">
        <v>487</v>
      </c>
      <c r="M441">
        <v>0</v>
      </c>
      <c r="N441">
        <v>0</v>
      </c>
      <c r="O441">
        <v>2.0078431372549019</v>
      </c>
      <c r="P441">
        <v>0</v>
      </c>
      <c r="Q441">
        <v>0</v>
      </c>
      <c r="R441">
        <v>0.72404230778669421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0.72404230778669421</v>
      </c>
      <c r="AC441">
        <v>0.27595769221330579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J441">
        <v>0</v>
      </c>
      <c r="BK441">
        <v>0</v>
      </c>
      <c r="BL441">
        <v>1.3811347613882863</v>
      </c>
      <c r="BM441">
        <v>0.38113476138828628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>
        <v>1</v>
      </c>
    </row>
    <row r="442" spans="1:84" x14ac:dyDescent="0.25">
      <c r="A442" t="s">
        <v>128</v>
      </c>
      <c r="B442" t="s">
        <v>421</v>
      </c>
      <c r="C442" s="14" t="s">
        <v>109</v>
      </c>
      <c r="D442" s="12">
        <v>46249</v>
      </c>
      <c r="E442" s="14" t="s">
        <v>133</v>
      </c>
      <c r="F442" s="14" t="s">
        <v>133</v>
      </c>
      <c r="G442" s="14" t="s">
        <v>133</v>
      </c>
      <c r="H442" s="14"/>
      <c r="J442">
        <v>22.38017602741666</v>
      </c>
      <c r="M442">
        <v>46.55</v>
      </c>
      <c r="N442">
        <v>46.55</v>
      </c>
      <c r="O442">
        <v>26.582154977375566</v>
      </c>
      <c r="S442">
        <v>0.21584379483375229</v>
      </c>
      <c r="T442">
        <v>0</v>
      </c>
      <c r="U442">
        <v>1.1006526703277666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0.11096605744125329</v>
      </c>
      <c r="AB442">
        <v>0.13165296061087595</v>
      </c>
      <c r="AC442">
        <v>0</v>
      </c>
      <c r="AD442">
        <v>0</v>
      </c>
      <c r="AE442">
        <v>2.8089286343233696E-2</v>
      </c>
      <c r="AF442">
        <v>0</v>
      </c>
      <c r="AG442">
        <v>0.84025775304589057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84" x14ac:dyDescent="0.25">
      <c r="A443" t="s">
        <v>128</v>
      </c>
      <c r="B443" t="s">
        <v>421</v>
      </c>
      <c r="C443" s="14" t="s">
        <v>109</v>
      </c>
      <c r="D443" s="12">
        <v>46248</v>
      </c>
      <c r="E443" s="14" t="s">
        <v>134</v>
      </c>
      <c r="F443" s="14" t="s">
        <v>134</v>
      </c>
      <c r="G443" s="14" t="s">
        <v>134</v>
      </c>
      <c r="H443" s="14"/>
      <c r="J443">
        <v>8.9667028199566161</v>
      </c>
      <c r="M443">
        <v>7.6</v>
      </c>
      <c r="N443">
        <v>7.6</v>
      </c>
      <c r="O443">
        <v>4.014763552479816</v>
      </c>
      <c r="S443">
        <v>0</v>
      </c>
      <c r="T443">
        <v>0</v>
      </c>
      <c r="U443">
        <v>7.4238264003967137E-3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0.14942302807446201</v>
      </c>
      <c r="AB443">
        <v>0.22392212361339489</v>
      </c>
      <c r="AC443">
        <v>8.5344505152949598E-2</v>
      </c>
      <c r="AD443">
        <v>0</v>
      </c>
      <c r="AE443">
        <v>0.46691415300795053</v>
      </c>
      <c r="AF443">
        <v>0</v>
      </c>
      <c r="AG443">
        <v>0.22381921822570497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84" x14ac:dyDescent="0.25">
      <c r="A444" t="s">
        <v>128</v>
      </c>
      <c r="B444" t="s">
        <v>421</v>
      </c>
      <c r="C444" s="14" t="s">
        <v>109</v>
      </c>
      <c r="D444" s="12">
        <v>46248</v>
      </c>
      <c r="E444" s="14" t="s">
        <v>420</v>
      </c>
      <c r="F444" s="14" t="s">
        <v>420</v>
      </c>
      <c r="G444" s="14" t="s">
        <v>420</v>
      </c>
      <c r="H444" s="14"/>
      <c r="J444">
        <v>3.2997955746152661</v>
      </c>
      <c r="M444">
        <v>0.95</v>
      </c>
      <c r="N444">
        <v>0.95</v>
      </c>
      <c r="O444">
        <v>1.0859728506787327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4.9365460350010472E-2</v>
      </c>
      <c r="AC444">
        <v>0.66273791741430355</v>
      </c>
      <c r="AD444">
        <v>0</v>
      </c>
      <c r="AE444">
        <v>8.1590135856267881E-3</v>
      </c>
      <c r="AF444">
        <v>0</v>
      </c>
      <c r="AG444">
        <v>0.27973760865005931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84" x14ac:dyDescent="0.25">
      <c r="A445" t="s">
        <v>128</v>
      </c>
      <c r="B445" t="s">
        <v>421</v>
      </c>
      <c r="C445" s="14" t="s">
        <v>109</v>
      </c>
      <c r="D445" s="12">
        <v>46248</v>
      </c>
      <c r="E445" s="14" t="s">
        <v>133</v>
      </c>
      <c r="F445" s="14" t="s">
        <v>133</v>
      </c>
      <c r="G445" s="14" t="s">
        <v>133</v>
      </c>
      <c r="H445" s="14"/>
      <c r="J445">
        <v>22.438609907383807</v>
      </c>
      <c r="M445">
        <v>42.75</v>
      </c>
      <c r="N445">
        <v>42.75</v>
      </c>
      <c r="O445">
        <v>27.73759191176471</v>
      </c>
      <c r="S445">
        <v>0.21043620928614151</v>
      </c>
      <c r="T445">
        <v>0</v>
      </c>
      <c r="U445">
        <v>0.88609769451176379</v>
      </c>
      <c r="V445">
        <v>0</v>
      </c>
      <c r="W445">
        <v>0</v>
      </c>
      <c r="X445">
        <v>0</v>
      </c>
      <c r="Y445">
        <v>2.5718437826698332E-2</v>
      </c>
      <c r="Z445">
        <v>0</v>
      </c>
      <c r="AA445">
        <v>8.4958645506635025E-2</v>
      </c>
      <c r="AB445">
        <v>9.1576542461880364E-2</v>
      </c>
      <c r="AC445">
        <v>0</v>
      </c>
      <c r="AD445">
        <v>0</v>
      </c>
      <c r="AE445">
        <v>0</v>
      </c>
      <c r="AF445">
        <v>0</v>
      </c>
      <c r="AG445">
        <v>0.90842345753811971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84" x14ac:dyDescent="0.25">
      <c r="A446" t="s">
        <v>128</v>
      </c>
      <c r="B446" t="s">
        <v>421</v>
      </c>
      <c r="C446" s="14" t="s">
        <v>109</v>
      </c>
      <c r="D446" s="12">
        <v>46247</v>
      </c>
      <c r="E446" s="14" t="s">
        <v>134</v>
      </c>
      <c r="F446" s="14" t="s">
        <v>134</v>
      </c>
      <c r="G446" s="14" t="s">
        <v>134</v>
      </c>
      <c r="H446" s="14"/>
      <c r="J446">
        <v>7.743275488069413</v>
      </c>
      <c r="M446">
        <v>4.75</v>
      </c>
      <c r="N446">
        <v>4.75</v>
      </c>
      <c r="O446">
        <v>4.014763552479816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4.2189010127043368E-2</v>
      </c>
      <c r="AB446">
        <v>0.25930152431597214</v>
      </c>
      <c r="AC446">
        <v>0.16945199493661572</v>
      </c>
      <c r="AD446">
        <v>0</v>
      </c>
      <c r="AE446">
        <v>0.31206412073489398</v>
      </c>
      <c r="AF446">
        <v>0</v>
      </c>
      <c r="AG446">
        <v>0.25918236001251821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84" x14ac:dyDescent="0.25">
      <c r="A447" t="s">
        <v>128</v>
      </c>
      <c r="B447" t="s">
        <v>421</v>
      </c>
      <c r="C447" s="14" t="s">
        <v>109</v>
      </c>
      <c r="D447" s="12">
        <v>46247</v>
      </c>
      <c r="E447" s="14" t="s">
        <v>420</v>
      </c>
      <c r="F447" s="14" t="s">
        <v>420</v>
      </c>
      <c r="G447" s="14" t="s">
        <v>420</v>
      </c>
      <c r="H447" s="14"/>
      <c r="J447">
        <v>3.2997955746152661</v>
      </c>
      <c r="M447">
        <v>2.8499999999999996</v>
      </c>
      <c r="N447">
        <v>2.8499999999999996</v>
      </c>
      <c r="O447">
        <v>1.7918552036199091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9.1265778047054501E-3</v>
      </c>
      <c r="AB447">
        <v>0.26328245520005583</v>
      </c>
      <c r="AC447">
        <v>0.17005087813327752</v>
      </c>
      <c r="AD447">
        <v>0</v>
      </c>
      <c r="AE447">
        <v>0</v>
      </c>
      <c r="AF447">
        <v>0</v>
      </c>
      <c r="AG447">
        <v>0</v>
      </c>
      <c r="AH447">
        <v>0.56666666666666676</v>
      </c>
      <c r="AI447">
        <v>0</v>
      </c>
      <c r="AJ447">
        <v>0</v>
      </c>
      <c r="AK447">
        <v>0</v>
      </c>
      <c r="AL447">
        <v>0</v>
      </c>
    </row>
    <row r="448" spans="1:84" x14ac:dyDescent="0.25">
      <c r="A448" t="s">
        <v>128</v>
      </c>
      <c r="B448" t="s">
        <v>421</v>
      </c>
      <c r="C448" s="14" t="s">
        <v>109</v>
      </c>
      <c r="D448" s="12">
        <v>46247</v>
      </c>
      <c r="E448" s="14" t="s">
        <v>133</v>
      </c>
      <c r="F448" s="14" t="s">
        <v>133</v>
      </c>
      <c r="G448" s="14" t="s">
        <v>133</v>
      </c>
      <c r="H448" s="14"/>
      <c r="J448">
        <v>22.497043787350954</v>
      </c>
      <c r="M448">
        <v>38</v>
      </c>
      <c r="N448">
        <v>38</v>
      </c>
      <c r="O448">
        <v>40.018060661764714</v>
      </c>
      <c r="S448">
        <v>0.57645349454259387</v>
      </c>
      <c r="T448">
        <v>0</v>
      </c>
      <c r="U448">
        <v>0.59442246226517859</v>
      </c>
      <c r="V448">
        <v>0</v>
      </c>
      <c r="W448">
        <v>7.8234827733522708E-2</v>
      </c>
      <c r="X448">
        <v>3.5614394693461726E-2</v>
      </c>
      <c r="Y448">
        <v>0.12412586504679803</v>
      </c>
      <c r="Z448">
        <v>0</v>
      </c>
      <c r="AA448">
        <v>0</v>
      </c>
      <c r="AB448">
        <v>0.10767233856721894</v>
      </c>
      <c r="AC448">
        <v>0</v>
      </c>
      <c r="AD448">
        <v>0</v>
      </c>
      <c r="AE448">
        <v>0</v>
      </c>
      <c r="AF448">
        <v>0</v>
      </c>
      <c r="AG448">
        <v>0.69492506403018361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 t="s">
        <v>128</v>
      </c>
      <c r="B449" t="s">
        <v>421</v>
      </c>
      <c r="C449" s="14" t="s">
        <v>109</v>
      </c>
      <c r="D449" s="12">
        <v>46246</v>
      </c>
      <c r="E449" s="14" t="s">
        <v>134</v>
      </c>
      <c r="F449" s="14" t="s">
        <v>134</v>
      </c>
      <c r="G449" s="14" t="s">
        <v>134</v>
      </c>
      <c r="H449" s="14"/>
      <c r="J449">
        <v>9.1196312364425154</v>
      </c>
      <c r="M449">
        <v>3.8</v>
      </c>
      <c r="N449">
        <v>3.8</v>
      </c>
      <c r="O449">
        <v>4.014763552479816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0.31026138683393817</v>
      </c>
      <c r="AC449">
        <v>0.27305509806788492</v>
      </c>
      <c r="AD449">
        <v>0</v>
      </c>
      <c r="AE449">
        <v>0.28671179947544834</v>
      </c>
      <c r="AF449">
        <v>0</v>
      </c>
      <c r="AG449">
        <v>0.12997171562272852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 t="s">
        <v>128</v>
      </c>
      <c r="B450" t="s">
        <v>421</v>
      </c>
      <c r="C450" s="14" t="s">
        <v>109</v>
      </c>
      <c r="D450" s="12">
        <v>46246</v>
      </c>
      <c r="E450" s="14" t="s">
        <v>420</v>
      </c>
      <c r="F450" s="14" t="s">
        <v>420</v>
      </c>
      <c r="G450" s="14" t="s">
        <v>420</v>
      </c>
      <c r="H450" s="14"/>
      <c r="J450">
        <v>3.2310498334774476</v>
      </c>
      <c r="M450">
        <v>2.8499999999999996</v>
      </c>
      <c r="N450">
        <v>2.8499999999999996</v>
      </c>
      <c r="O450">
        <v>0.82352941176470573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8.1661185843103654E-2</v>
      </c>
      <c r="AB450">
        <v>0</v>
      </c>
      <c r="AC450">
        <v>0.1995949389933418</v>
      </c>
      <c r="AD450">
        <v>0</v>
      </c>
      <c r="AE450">
        <v>3.9142258632135989E-2</v>
      </c>
      <c r="AF450">
        <v>0</v>
      </c>
      <c r="AG450">
        <v>0.25487982365111789</v>
      </c>
      <c r="AH450">
        <v>0.50638297872340421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 t="s">
        <v>128</v>
      </c>
      <c r="B451" t="s">
        <v>421</v>
      </c>
      <c r="C451" s="14" t="s">
        <v>109</v>
      </c>
      <c r="D451" s="12">
        <v>46246</v>
      </c>
      <c r="E451" s="14" t="s">
        <v>133</v>
      </c>
      <c r="F451" s="14" t="s">
        <v>133</v>
      </c>
      <c r="G451" s="14" t="s">
        <v>133</v>
      </c>
      <c r="H451" s="14"/>
      <c r="J451">
        <v>22.555477667318101</v>
      </c>
      <c r="M451">
        <v>57</v>
      </c>
      <c r="N451">
        <v>57</v>
      </c>
      <c r="O451">
        <v>44.783880090497746</v>
      </c>
      <c r="S451">
        <v>0.80886006283255474</v>
      </c>
      <c r="T451">
        <v>0</v>
      </c>
      <c r="U451">
        <v>1.5731018242643031</v>
      </c>
      <c r="V451">
        <v>0</v>
      </c>
      <c r="W451">
        <v>6.6535387257405057E-2</v>
      </c>
      <c r="X451">
        <v>0</v>
      </c>
      <c r="Y451">
        <v>0.11010362694300518</v>
      </c>
      <c r="Z451">
        <v>0</v>
      </c>
      <c r="AA451">
        <v>0</v>
      </c>
      <c r="AB451">
        <v>0.22263851588386632</v>
      </c>
      <c r="AC451">
        <v>0</v>
      </c>
      <c r="AD451">
        <v>0</v>
      </c>
      <c r="AE451">
        <v>0</v>
      </c>
      <c r="AF451">
        <v>0</v>
      </c>
      <c r="AG451">
        <v>0.77736148411613371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 t="s">
        <v>128</v>
      </c>
      <c r="B452" t="s">
        <v>421</v>
      </c>
      <c r="C452" s="14" t="s">
        <v>109</v>
      </c>
      <c r="D452" s="12">
        <v>46245</v>
      </c>
      <c r="E452" s="14" t="s">
        <v>134</v>
      </c>
      <c r="F452" s="14" t="s">
        <v>134</v>
      </c>
      <c r="G452" s="14" t="s">
        <v>134</v>
      </c>
      <c r="H452" s="14"/>
      <c r="J452">
        <v>9.0431670281995657</v>
      </c>
      <c r="M452">
        <v>3.8</v>
      </c>
      <c r="N452">
        <v>3.8</v>
      </c>
      <c r="O452">
        <v>4.0147635524798151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4.458010506368576E-2</v>
      </c>
      <c r="AB452">
        <v>0.22202875729197386</v>
      </c>
      <c r="AC452">
        <v>0.40234457859998807</v>
      </c>
      <c r="AD452">
        <v>0</v>
      </c>
      <c r="AE452">
        <v>0.1536999420905551</v>
      </c>
      <c r="AF452">
        <v>0</v>
      </c>
      <c r="AG452">
        <v>0.22192672201748309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 t="s">
        <v>128</v>
      </c>
      <c r="B453" t="s">
        <v>421</v>
      </c>
      <c r="C453" s="14" t="s">
        <v>109</v>
      </c>
      <c r="D453" s="12">
        <v>46245</v>
      </c>
      <c r="E453" s="14" t="s">
        <v>420</v>
      </c>
      <c r="F453" s="14" t="s">
        <v>420</v>
      </c>
      <c r="G453" s="14" t="s">
        <v>420</v>
      </c>
      <c r="H453" s="14"/>
      <c r="J453">
        <v>3.2997955746152665</v>
      </c>
      <c r="M453">
        <v>1.9</v>
      </c>
      <c r="N453">
        <v>1.9</v>
      </c>
      <c r="O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0.71210337776431398</v>
      </c>
      <c r="AD453">
        <v>0</v>
      </c>
      <c r="AE453">
        <v>0</v>
      </c>
      <c r="AF453">
        <v>0</v>
      </c>
      <c r="AG453">
        <v>0</v>
      </c>
      <c r="AH453">
        <v>0.28789662223568607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 t="s">
        <v>128</v>
      </c>
      <c r="B454" t="s">
        <v>421</v>
      </c>
      <c r="C454" s="14" t="s">
        <v>109</v>
      </c>
      <c r="D454" s="12">
        <v>46245</v>
      </c>
      <c r="E454" s="14" t="s">
        <v>133</v>
      </c>
      <c r="F454" s="14" t="s">
        <v>133</v>
      </c>
      <c r="G454" s="14" t="s">
        <v>133</v>
      </c>
      <c r="H454" s="14"/>
      <c r="J454">
        <v>22.555477667318101</v>
      </c>
      <c r="M454">
        <v>41.8</v>
      </c>
      <c r="N454">
        <v>41.8</v>
      </c>
      <c r="O454">
        <v>46.711302004776272</v>
      </c>
      <c r="S454">
        <v>0.83549107072372153</v>
      </c>
      <c r="T454">
        <v>0</v>
      </c>
      <c r="U454">
        <v>0.72773193366506839</v>
      </c>
      <c r="V454">
        <v>0</v>
      </c>
      <c r="W454">
        <v>0.11165620903937157</v>
      </c>
      <c r="X454">
        <v>3.5522129422235142E-2</v>
      </c>
      <c r="Y454">
        <v>0.12380429544823118</v>
      </c>
      <c r="Z454">
        <v>0</v>
      </c>
      <c r="AA454">
        <v>0</v>
      </c>
      <c r="AB454">
        <v>0.10998406826005006</v>
      </c>
      <c r="AC454">
        <v>0</v>
      </c>
      <c r="AD454">
        <v>0</v>
      </c>
      <c r="AE454">
        <v>0</v>
      </c>
      <c r="AF454">
        <v>0</v>
      </c>
      <c r="AG454">
        <v>0.69312474003010538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t="s">
        <v>128</v>
      </c>
      <c r="B455" t="s">
        <v>421</v>
      </c>
      <c r="C455" s="14" t="s">
        <v>109</v>
      </c>
      <c r="D455" s="12">
        <v>46249</v>
      </c>
      <c r="E455" s="14" t="s">
        <v>420</v>
      </c>
      <c r="F455" s="14" t="s">
        <v>420</v>
      </c>
      <c r="G455" s="14" t="s">
        <v>420</v>
      </c>
      <c r="H455" s="14"/>
      <c r="J455">
        <v>3.2997955746152661</v>
      </c>
      <c r="M455">
        <v>2.8499999999999996</v>
      </c>
      <c r="N455">
        <v>2.8499999999999996</v>
      </c>
      <c r="O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0.43333333333333335</v>
      </c>
      <c r="AD455">
        <v>0</v>
      </c>
      <c r="AE455">
        <v>0</v>
      </c>
      <c r="AF455">
        <v>0</v>
      </c>
      <c r="AG455">
        <v>0</v>
      </c>
      <c r="AH455">
        <v>0.56666666666666676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t="s">
        <v>128</v>
      </c>
      <c r="B456" t="s">
        <v>421</v>
      </c>
      <c r="C456" s="14" t="s">
        <v>109</v>
      </c>
      <c r="D456" s="12">
        <v>46244</v>
      </c>
      <c r="E456" s="14" t="s">
        <v>134</v>
      </c>
      <c r="F456" s="14" t="s">
        <v>134</v>
      </c>
      <c r="G456" s="14" t="s">
        <v>134</v>
      </c>
      <c r="H456" s="14"/>
      <c r="J456">
        <v>7.8152418017098384</v>
      </c>
      <c r="M456">
        <v>3.8</v>
      </c>
      <c r="N456">
        <v>3.8</v>
      </c>
      <c r="O456">
        <v>4.014763552479816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4.2376042992389042E-2</v>
      </c>
      <c r="AB456">
        <v>0.25691375752643009</v>
      </c>
      <c r="AC456">
        <v>0.29923292795988321</v>
      </c>
      <c r="AD456">
        <v>0</v>
      </c>
      <c r="AE456">
        <v>0.18705762397141384</v>
      </c>
      <c r="AF456">
        <v>0</v>
      </c>
      <c r="AG456">
        <v>0.2567956905422728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 t="s">
        <v>128</v>
      </c>
      <c r="B457" t="s">
        <v>421</v>
      </c>
      <c r="C457" s="14" t="s">
        <v>109</v>
      </c>
      <c r="D457" s="12">
        <v>46244</v>
      </c>
      <c r="E457" s="14" t="s">
        <v>133</v>
      </c>
      <c r="F457" s="14" t="s">
        <v>133</v>
      </c>
      <c r="G457" s="14" t="s">
        <v>133</v>
      </c>
      <c r="H457" s="14"/>
      <c r="J457">
        <v>22.555477667318101</v>
      </c>
      <c r="M457">
        <v>44.65</v>
      </c>
      <c r="N457">
        <v>44.65</v>
      </c>
      <c r="O457">
        <v>44.579147812971343</v>
      </c>
      <c r="S457">
        <v>0.78581062254860334</v>
      </c>
      <c r="T457">
        <v>0</v>
      </c>
      <c r="U457">
        <v>0.85681755957967531</v>
      </c>
      <c r="V457">
        <v>0</v>
      </c>
      <c r="W457">
        <v>6.6807327210793035E-2</v>
      </c>
      <c r="X457">
        <v>3.5522129422235142E-2</v>
      </c>
      <c r="Y457">
        <v>0.12380429544823118</v>
      </c>
      <c r="Z457">
        <v>0</v>
      </c>
      <c r="AA457">
        <v>0</v>
      </c>
      <c r="AB457">
        <v>6.7865696217035948E-2</v>
      </c>
      <c r="AC457">
        <v>0</v>
      </c>
      <c r="AD457">
        <v>0</v>
      </c>
      <c r="AE457">
        <v>0</v>
      </c>
      <c r="AF457">
        <v>0</v>
      </c>
      <c r="AG457">
        <v>0.73524311207311954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 t="s">
        <v>128</v>
      </c>
      <c r="B458" t="s">
        <v>421</v>
      </c>
      <c r="C458" s="14" t="s">
        <v>109</v>
      </c>
      <c r="D458" s="12">
        <v>46243</v>
      </c>
      <c r="E458" s="14" t="s">
        <v>134</v>
      </c>
      <c r="F458" s="14" t="s">
        <v>134</v>
      </c>
      <c r="G458" s="14" t="s">
        <v>134</v>
      </c>
      <c r="H458" s="14"/>
      <c r="J458">
        <v>5.2199566160520607</v>
      </c>
      <c r="M458">
        <v>6.6499999999999995</v>
      </c>
      <c r="N458">
        <v>6.6499999999999995</v>
      </c>
      <c r="O458">
        <v>4.014763552479816</v>
      </c>
      <c r="S458">
        <v>0</v>
      </c>
      <c r="T458">
        <v>0</v>
      </c>
      <c r="U458">
        <v>0.50602559840425521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0.11718749999999999</v>
      </c>
      <c r="AB458">
        <v>0.38464747601168126</v>
      </c>
      <c r="AC458">
        <v>0.14660252398831872</v>
      </c>
      <c r="AD458">
        <v>0</v>
      </c>
      <c r="AE458">
        <v>0.12935516822498697</v>
      </c>
      <c r="AF458">
        <v>0</v>
      </c>
      <c r="AG458">
        <v>0.33939483177501301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 t="s">
        <v>128</v>
      </c>
      <c r="B459" t="s">
        <v>421</v>
      </c>
      <c r="C459" s="14" t="s">
        <v>109</v>
      </c>
      <c r="D459" s="12">
        <v>46243</v>
      </c>
      <c r="E459" s="14" t="s">
        <v>420</v>
      </c>
      <c r="F459" s="14" t="s">
        <v>420</v>
      </c>
      <c r="G459" s="14" t="s">
        <v>420</v>
      </c>
      <c r="H459" s="14"/>
      <c r="J459">
        <v>3.2997955746152661</v>
      </c>
      <c r="M459">
        <v>0.95</v>
      </c>
      <c r="N459">
        <v>0.95</v>
      </c>
      <c r="O459">
        <v>0.82352941176470573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0.24956982732505292</v>
      </c>
      <c r="AC459">
        <v>0.46253355043926109</v>
      </c>
      <c r="AD459">
        <v>0</v>
      </c>
      <c r="AE459">
        <v>0</v>
      </c>
      <c r="AF459">
        <v>0</v>
      </c>
      <c r="AG459">
        <v>0</v>
      </c>
      <c r="AH459">
        <v>0.28789662223568607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 t="s">
        <v>128</v>
      </c>
      <c r="B460" t="s">
        <v>421</v>
      </c>
      <c r="C460" s="14" t="s">
        <v>109</v>
      </c>
      <c r="D460" s="12">
        <v>46243</v>
      </c>
      <c r="E460" s="14" t="s">
        <v>133</v>
      </c>
      <c r="F460" s="14" t="s">
        <v>133</v>
      </c>
      <c r="G460" s="14" t="s">
        <v>133</v>
      </c>
      <c r="H460" s="14"/>
      <c r="J460">
        <v>22.497043787350954</v>
      </c>
      <c r="M460">
        <v>38.949999999999996</v>
      </c>
      <c r="N460">
        <v>38.949999999999996</v>
      </c>
      <c r="O460">
        <v>40.147276566876748</v>
      </c>
      <c r="S460">
        <v>0.59097149549693428</v>
      </c>
      <c r="T460">
        <v>0</v>
      </c>
      <c r="U460">
        <v>0.60319677945673567</v>
      </c>
      <c r="V460">
        <v>0</v>
      </c>
      <c r="W460">
        <v>6.9460510541965684E-2</v>
      </c>
      <c r="X460">
        <v>3.5614394693461726E-2</v>
      </c>
      <c r="Y460">
        <v>0.12412586504679803</v>
      </c>
      <c r="Z460">
        <v>0</v>
      </c>
      <c r="AA460">
        <v>0</v>
      </c>
      <c r="AB460">
        <v>6.544456815526184E-2</v>
      </c>
      <c r="AC460">
        <v>0</v>
      </c>
      <c r="AD460">
        <v>0</v>
      </c>
      <c r="AE460">
        <v>0</v>
      </c>
      <c r="AF460">
        <v>0</v>
      </c>
      <c r="AG460">
        <v>0.73715283444214075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 t="s">
        <v>128</v>
      </c>
      <c r="B461" t="s">
        <v>421</v>
      </c>
      <c r="C461" s="14" t="s">
        <v>109</v>
      </c>
      <c r="D461" s="12">
        <v>46242</v>
      </c>
      <c r="E461" s="14" t="s">
        <v>134</v>
      </c>
      <c r="F461" s="14" t="s">
        <v>134</v>
      </c>
      <c r="G461" s="14" t="s">
        <v>134</v>
      </c>
      <c r="H461" s="14"/>
      <c r="J461">
        <v>5.2199566160520607</v>
      </c>
      <c r="M461">
        <v>7.6</v>
      </c>
      <c r="N461">
        <v>7.6</v>
      </c>
      <c r="O461">
        <v>4.014763552479816</v>
      </c>
      <c r="S461">
        <v>0</v>
      </c>
      <c r="T461">
        <v>0</v>
      </c>
      <c r="U461">
        <v>0.68801944813829785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0.11718749999999999</v>
      </c>
      <c r="AB461">
        <v>0.38464747601168126</v>
      </c>
      <c r="AC461">
        <v>0.14660252398831872</v>
      </c>
      <c r="AD461">
        <v>0</v>
      </c>
      <c r="AE461">
        <v>0.12935516822498697</v>
      </c>
      <c r="AF461">
        <v>0</v>
      </c>
      <c r="AG461">
        <v>0.33939483177501301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 t="s">
        <v>128</v>
      </c>
      <c r="B462" t="s">
        <v>421</v>
      </c>
      <c r="C462" s="14" t="s">
        <v>109</v>
      </c>
      <c r="D462" s="12">
        <v>46242</v>
      </c>
      <c r="E462" s="14" t="s">
        <v>420</v>
      </c>
      <c r="F462" s="14" t="s">
        <v>420</v>
      </c>
      <c r="G462" s="14" t="s">
        <v>420</v>
      </c>
      <c r="H462" s="14"/>
      <c r="J462">
        <v>3.2997955746152661</v>
      </c>
      <c r="M462">
        <v>1.9</v>
      </c>
      <c r="N462">
        <v>1.9</v>
      </c>
      <c r="O462">
        <v>0.82352941176470573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0.24956982732505292</v>
      </c>
      <c r="AC462">
        <v>0.75043017267494716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 t="s">
        <v>128</v>
      </c>
      <c r="B463" t="s">
        <v>421</v>
      </c>
      <c r="C463" s="14" t="s">
        <v>109</v>
      </c>
      <c r="D463" s="12">
        <v>46242</v>
      </c>
      <c r="E463" s="14" t="s">
        <v>133</v>
      </c>
      <c r="F463" s="14" t="s">
        <v>133</v>
      </c>
      <c r="G463" s="14" t="s">
        <v>133</v>
      </c>
      <c r="H463" s="14"/>
      <c r="J463">
        <v>22.497043787350957</v>
      </c>
      <c r="M463">
        <v>40.849999999999994</v>
      </c>
      <c r="N463">
        <v>40.849999999999994</v>
      </c>
      <c r="O463">
        <v>39.421104439371895</v>
      </c>
      <c r="S463">
        <v>0.60568011509592945</v>
      </c>
      <c r="T463">
        <v>0</v>
      </c>
      <c r="U463">
        <v>0.76313101340266398</v>
      </c>
      <c r="V463">
        <v>0</v>
      </c>
      <c r="W463">
        <v>3.6209587831908099E-2</v>
      </c>
      <c r="X463">
        <v>0</v>
      </c>
      <c r="Y463">
        <v>0.1103896103896104</v>
      </c>
      <c r="Z463">
        <v>0</v>
      </c>
      <c r="AA463">
        <v>0</v>
      </c>
      <c r="AB463">
        <v>9.3936083910031304E-2</v>
      </c>
      <c r="AC463">
        <v>0</v>
      </c>
      <c r="AD463">
        <v>0</v>
      </c>
      <c r="AE463">
        <v>0</v>
      </c>
      <c r="AF463">
        <v>0</v>
      </c>
      <c r="AG463">
        <v>0.90606391608996872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 t="s">
        <v>128</v>
      </c>
      <c r="B464" t="s">
        <v>421</v>
      </c>
      <c r="C464" s="14" t="s">
        <v>109</v>
      </c>
      <c r="D464" s="12">
        <v>46241</v>
      </c>
      <c r="E464" s="14" t="s">
        <v>134</v>
      </c>
      <c r="F464" s="14" t="s">
        <v>134</v>
      </c>
      <c r="G464" s="14" t="s">
        <v>134</v>
      </c>
      <c r="H464" s="14"/>
      <c r="J464">
        <v>9.0431670281995657</v>
      </c>
      <c r="M464">
        <v>8.5499999999999989</v>
      </c>
      <c r="N464">
        <v>8.5499999999999989</v>
      </c>
      <c r="O464">
        <v>3.8971164936562865</v>
      </c>
      <c r="S464">
        <v>0</v>
      </c>
      <c r="T464">
        <v>0</v>
      </c>
      <c r="U464">
        <v>0.20689510422413582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0.10569334836527622</v>
      </c>
      <c r="AB464">
        <v>0.22202875729197386</v>
      </c>
      <c r="AC464">
        <v>0.14509446466105935</v>
      </c>
      <c r="AD464">
        <v>0</v>
      </c>
      <c r="AE464">
        <v>0.42395955352706033</v>
      </c>
      <c r="AF464">
        <v>0</v>
      </c>
      <c r="AG464">
        <v>0.20891722451990652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 t="s">
        <v>128</v>
      </c>
      <c r="B465" t="s">
        <v>421</v>
      </c>
      <c r="C465" s="14" t="s">
        <v>109</v>
      </c>
      <c r="D465" s="12">
        <v>46241</v>
      </c>
      <c r="E465" s="14" t="s">
        <v>420</v>
      </c>
      <c r="F465" s="14" t="s">
        <v>420</v>
      </c>
      <c r="G465" s="14" t="s">
        <v>420</v>
      </c>
      <c r="H465" s="14"/>
      <c r="J465">
        <v>3.2997955746152661</v>
      </c>
      <c r="M465">
        <v>1.9</v>
      </c>
      <c r="N465">
        <v>1.9</v>
      </c>
      <c r="O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0.71210337776431398</v>
      </c>
      <c r="AD465">
        <v>0</v>
      </c>
      <c r="AE465">
        <v>0</v>
      </c>
      <c r="AF465">
        <v>0</v>
      </c>
      <c r="AG465">
        <v>0</v>
      </c>
      <c r="AH465">
        <v>0.28789662223568613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t="s">
        <v>128</v>
      </c>
      <c r="B466" t="s">
        <v>421</v>
      </c>
      <c r="C466" s="14" t="s">
        <v>109</v>
      </c>
      <c r="D466" s="12">
        <v>46241</v>
      </c>
      <c r="E466" s="14" t="s">
        <v>133</v>
      </c>
      <c r="F466" s="14" t="s">
        <v>133</v>
      </c>
      <c r="G466" s="14" t="s">
        <v>133</v>
      </c>
      <c r="H466" s="14"/>
      <c r="J466">
        <v>22.438609907383807</v>
      </c>
      <c r="M466">
        <v>18.049999999999997</v>
      </c>
      <c r="N466">
        <v>18.049999999999997</v>
      </c>
      <c r="O466">
        <v>39.506510416666671</v>
      </c>
      <c r="S466">
        <v>0.76064874694694795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0.19558296728264191</v>
      </c>
      <c r="AC466">
        <v>0</v>
      </c>
      <c r="AD466">
        <v>0</v>
      </c>
      <c r="AE466">
        <v>0</v>
      </c>
      <c r="AF466">
        <v>0</v>
      </c>
      <c r="AG466">
        <v>0.8044170327173582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 t="s">
        <v>128</v>
      </c>
      <c r="B467" t="s">
        <v>421</v>
      </c>
      <c r="C467" s="14" t="s">
        <v>109</v>
      </c>
      <c r="D467" s="12">
        <v>46240</v>
      </c>
      <c r="E467" s="14" t="s">
        <v>134</v>
      </c>
      <c r="F467" s="14" t="s">
        <v>134</v>
      </c>
      <c r="G467" s="14" t="s">
        <v>134</v>
      </c>
      <c r="H467" s="14"/>
      <c r="J467">
        <v>9.1196312364425154</v>
      </c>
      <c r="M467">
        <v>4.75</v>
      </c>
      <c r="N467">
        <v>4.75</v>
      </c>
      <c r="O467">
        <v>3.0735870818915809</v>
      </c>
      <c r="S467">
        <v>0</v>
      </c>
      <c r="T467">
        <v>0</v>
      </c>
      <c r="U467">
        <v>8.1300619625845866E-2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6.7076579094466196E-2</v>
      </c>
      <c r="AB467">
        <v>0.11696379371176896</v>
      </c>
      <c r="AC467">
        <v>0.51055901113582203</v>
      </c>
      <c r="AD467">
        <v>0</v>
      </c>
      <c r="AE467">
        <v>0.15241123380024851</v>
      </c>
      <c r="AF467">
        <v>0</v>
      </c>
      <c r="AG467">
        <v>0.22006596135216047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 t="s">
        <v>128</v>
      </c>
      <c r="B468" t="s">
        <v>421</v>
      </c>
      <c r="C468" s="14" t="s">
        <v>109</v>
      </c>
      <c r="D468" s="12">
        <v>46240</v>
      </c>
      <c r="E468" s="14" t="s">
        <v>420</v>
      </c>
      <c r="F468" s="14" t="s">
        <v>420</v>
      </c>
      <c r="G468" s="14" t="s">
        <v>420</v>
      </c>
      <c r="H468" s="14"/>
      <c r="J468">
        <v>3.2997955746152661</v>
      </c>
      <c r="M468">
        <v>2.8499999999999996</v>
      </c>
      <c r="N468">
        <v>2.8499999999999996</v>
      </c>
      <c r="O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0.42420675552862791</v>
      </c>
      <c r="AD468">
        <v>0</v>
      </c>
      <c r="AE468">
        <v>0</v>
      </c>
      <c r="AF468">
        <v>0</v>
      </c>
      <c r="AG468">
        <v>0</v>
      </c>
      <c r="AH468">
        <v>0.57579324447137215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t="s">
        <v>128</v>
      </c>
      <c r="B469" t="s">
        <v>421</v>
      </c>
      <c r="C469" s="14" t="s">
        <v>109</v>
      </c>
      <c r="D469" s="12">
        <v>46240</v>
      </c>
      <c r="E469" s="14" t="s">
        <v>133</v>
      </c>
      <c r="F469" s="14" t="s">
        <v>133</v>
      </c>
      <c r="G469" s="14" t="s">
        <v>133</v>
      </c>
      <c r="H469" s="14"/>
      <c r="J469">
        <v>22.380176027416667</v>
      </c>
      <c r="M469">
        <v>32.299999999999997</v>
      </c>
      <c r="N469">
        <v>32.299999999999997</v>
      </c>
      <c r="O469">
        <v>44.325416745223734</v>
      </c>
      <c r="S469">
        <v>0.78044659284338924</v>
      </c>
      <c r="T469">
        <v>0</v>
      </c>
      <c r="U469">
        <v>0.45967162201978201</v>
      </c>
      <c r="V469">
        <v>0</v>
      </c>
      <c r="W469">
        <v>8.915339579664007E-2</v>
      </c>
      <c r="X469">
        <v>0</v>
      </c>
      <c r="Y469">
        <v>0.11096605744125326</v>
      </c>
      <c r="Z469">
        <v>0</v>
      </c>
      <c r="AA469">
        <v>0</v>
      </c>
      <c r="AB469">
        <v>0.21654952253569826</v>
      </c>
      <c r="AC469">
        <v>0</v>
      </c>
      <c r="AD469">
        <v>0</v>
      </c>
      <c r="AE469">
        <v>0</v>
      </c>
      <c r="AF469">
        <v>0</v>
      </c>
      <c r="AG469">
        <v>0.78345047746430174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t="s">
        <v>128</v>
      </c>
      <c r="B470" t="s">
        <v>421</v>
      </c>
      <c r="C470" s="14" t="s">
        <v>109</v>
      </c>
      <c r="D470" s="12">
        <v>46244</v>
      </c>
      <c r="E470" s="14" t="s">
        <v>420</v>
      </c>
      <c r="F470" s="14" t="s">
        <v>420</v>
      </c>
      <c r="G470" s="14" t="s">
        <v>420</v>
      </c>
      <c r="H470" s="14"/>
      <c r="J470">
        <v>3.2997955746152665</v>
      </c>
      <c r="M470">
        <v>0.95</v>
      </c>
      <c r="N470">
        <v>0.95</v>
      </c>
      <c r="O470">
        <v>0.82352941176470573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0.24956982732505284</v>
      </c>
      <c r="AC470">
        <v>0.75043017267494716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t="s">
        <v>128</v>
      </c>
      <c r="B471" t="s">
        <v>421</v>
      </c>
      <c r="C471" s="14" t="s">
        <v>109</v>
      </c>
      <c r="D471" s="12">
        <v>46249</v>
      </c>
      <c r="E471" s="14" t="s">
        <v>134</v>
      </c>
      <c r="F471" s="14" t="s">
        <v>134</v>
      </c>
      <c r="G471" s="14" t="s">
        <v>134</v>
      </c>
      <c r="H471" s="14"/>
      <c r="J471">
        <v>5.0568329718004339</v>
      </c>
      <c r="M471">
        <v>6.6499999999999995</v>
      </c>
      <c r="N471">
        <v>6.6499999999999995</v>
      </c>
      <c r="O471">
        <v>4.014763552479816</v>
      </c>
      <c r="S471">
        <v>0</v>
      </c>
      <c r="T471">
        <v>0</v>
      </c>
      <c r="U471">
        <v>0.5223490048043925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0.12096774193548385</v>
      </c>
      <c r="AB471">
        <v>0.39705545910883228</v>
      </c>
      <c r="AC471">
        <v>0.11907357314923224</v>
      </c>
      <c r="AD471">
        <v>0</v>
      </c>
      <c r="AE471">
        <v>0.13352791558708332</v>
      </c>
      <c r="AF471">
        <v>0</v>
      </c>
      <c r="AG471">
        <v>0.35034305215485212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t="s">
        <v>128</v>
      </c>
      <c r="B472" t="s">
        <v>421</v>
      </c>
      <c r="C472" s="14" t="s">
        <v>109</v>
      </c>
      <c r="D472" s="12">
        <v>46250</v>
      </c>
      <c r="E472" s="14" t="s">
        <v>133</v>
      </c>
      <c r="F472" s="14" t="s">
        <v>133</v>
      </c>
      <c r="G472" s="14" t="s">
        <v>133</v>
      </c>
      <c r="H472" s="14"/>
      <c r="J472">
        <v>22.497043787350954</v>
      </c>
      <c r="M472">
        <v>56.050000000000004</v>
      </c>
      <c r="N472">
        <v>56.050000000000004</v>
      </c>
      <c r="O472">
        <v>16.30206919306184</v>
      </c>
      <c r="S472">
        <v>0</v>
      </c>
      <c r="T472">
        <v>0</v>
      </c>
      <c r="U472">
        <v>1.3905293870019704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0.12412586504679803</v>
      </c>
      <c r="AB472">
        <v>0</v>
      </c>
      <c r="AC472">
        <v>2.3216797743304835E-2</v>
      </c>
      <c r="AD472">
        <v>0</v>
      </c>
      <c r="AE472">
        <v>0.25215158633621854</v>
      </c>
      <c r="AF472">
        <v>0</v>
      </c>
      <c r="AG472">
        <v>0.72463161592047654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t="s">
        <v>128</v>
      </c>
      <c r="B473" t="s">
        <v>421</v>
      </c>
      <c r="C473" s="14" t="s">
        <v>109</v>
      </c>
      <c r="D473" s="12">
        <v>46250</v>
      </c>
      <c r="E473" s="14" t="s">
        <v>420</v>
      </c>
      <c r="F473" s="14" t="s">
        <v>420</v>
      </c>
      <c r="G473" s="14" t="s">
        <v>420</v>
      </c>
      <c r="H473" s="14"/>
      <c r="J473">
        <v>3.2997955746152661</v>
      </c>
      <c r="M473">
        <v>2.8499999999999996</v>
      </c>
      <c r="N473">
        <v>2.8499999999999996</v>
      </c>
      <c r="O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0.56666666666666676</v>
      </c>
      <c r="AD473">
        <v>0</v>
      </c>
      <c r="AE473">
        <v>0</v>
      </c>
      <c r="AF473">
        <v>0</v>
      </c>
      <c r="AG473">
        <v>0</v>
      </c>
      <c r="AH473">
        <v>0.43333333333333335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t="s">
        <v>128</v>
      </c>
      <c r="B474" t="s">
        <v>421</v>
      </c>
      <c r="C474" s="14" t="s">
        <v>117</v>
      </c>
      <c r="D474" s="12">
        <v>46249</v>
      </c>
      <c r="E474" s="14"/>
      <c r="F474" s="14"/>
      <c r="G474" s="14"/>
      <c r="H474" s="14"/>
      <c r="J474">
        <v>30.736804573832359</v>
      </c>
      <c r="M474">
        <v>56.05</v>
      </c>
      <c r="N474">
        <v>56.05</v>
      </c>
      <c r="O474">
        <v>30.59691852985538</v>
      </c>
      <c r="S474">
        <v>0.15716084315796156</v>
      </c>
      <c r="T474">
        <v>0</v>
      </c>
      <c r="U474">
        <v>0.88734767831017169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0.10069861221625891</v>
      </c>
      <c r="AB474">
        <v>0.16118329927095429</v>
      </c>
      <c r="AC474">
        <v>6.6111185421262611E-2</v>
      </c>
      <c r="AD474">
        <v>0</v>
      </c>
      <c r="AE474">
        <v>4.2420529951661734E-2</v>
      </c>
      <c r="AF474">
        <v>0</v>
      </c>
      <c r="AG474">
        <v>0.66944963877814412</v>
      </c>
      <c r="AH474">
        <v>6.0835346577977352E-2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 t="s">
        <v>128</v>
      </c>
      <c r="B475" t="s">
        <v>421</v>
      </c>
      <c r="C475" s="14" t="s">
        <v>117</v>
      </c>
      <c r="D475" s="12">
        <v>46248</v>
      </c>
      <c r="E475" s="14"/>
      <c r="F475" s="14"/>
      <c r="G475" s="14"/>
      <c r="H475" s="14"/>
      <c r="J475">
        <v>34.70510830195569</v>
      </c>
      <c r="M475">
        <v>51.300000000000004</v>
      </c>
      <c r="N475">
        <v>51.300000000000004</v>
      </c>
      <c r="O475">
        <v>32.83832831492326</v>
      </c>
      <c r="S475">
        <v>0.13605766532917637</v>
      </c>
      <c r="T475">
        <v>0</v>
      </c>
      <c r="U475">
        <v>0.57482511158095817</v>
      </c>
      <c r="V475">
        <v>0</v>
      </c>
      <c r="W475">
        <v>0</v>
      </c>
      <c r="X475">
        <v>0</v>
      </c>
      <c r="Y475">
        <v>1.6628272379950126E-2</v>
      </c>
      <c r="Z475">
        <v>0</v>
      </c>
      <c r="AA475">
        <v>9.3536253042088791E-2</v>
      </c>
      <c r="AB475">
        <v>0.1217569857745609</v>
      </c>
      <c r="AC475">
        <v>8.5064090172277396E-2</v>
      </c>
      <c r="AD475">
        <v>0</v>
      </c>
      <c r="AE475">
        <v>0.12141162311657959</v>
      </c>
      <c r="AF475">
        <v>0</v>
      </c>
      <c r="AG475">
        <v>0.67176730093658221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 t="s">
        <v>128</v>
      </c>
      <c r="B476" t="s">
        <v>421</v>
      </c>
      <c r="C476" s="14" t="s">
        <v>117</v>
      </c>
      <c r="D476" s="12">
        <v>46247</v>
      </c>
      <c r="E476" s="14"/>
      <c r="F476" s="14"/>
      <c r="G476" s="14"/>
      <c r="H476" s="14"/>
      <c r="J476">
        <v>33.540114850035636</v>
      </c>
      <c r="M476">
        <v>45.6</v>
      </c>
      <c r="N476">
        <v>45.6</v>
      </c>
      <c r="O476">
        <v>45.824679417864431</v>
      </c>
      <c r="S476">
        <v>0.38665638344057218</v>
      </c>
      <c r="T476">
        <v>0</v>
      </c>
      <c r="U476">
        <v>0.39870907483641144</v>
      </c>
      <c r="V476">
        <v>0</v>
      </c>
      <c r="W476">
        <v>5.2476038113955625E-2</v>
      </c>
      <c r="X476">
        <v>2.3888367719109245E-2</v>
      </c>
      <c r="Y476">
        <v>8.32574674710055E-2</v>
      </c>
      <c r="Z476">
        <v>0</v>
      </c>
      <c r="AA476">
        <v>1.0637917330614538E-2</v>
      </c>
      <c r="AB476">
        <v>0.15798785296125661</v>
      </c>
      <c r="AC476">
        <v>5.5850930215845626E-2</v>
      </c>
      <c r="AD476">
        <v>0</v>
      </c>
      <c r="AE476">
        <v>7.2045026309439458E-2</v>
      </c>
      <c r="AF476">
        <v>0</v>
      </c>
      <c r="AG476">
        <v>0.52595765066740308</v>
      </c>
      <c r="AH476">
        <v>5.5750678472905241E-2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t="s">
        <v>128</v>
      </c>
      <c r="B477" t="s">
        <v>421</v>
      </c>
      <c r="C477" s="14" t="s">
        <v>117</v>
      </c>
      <c r="D477" s="12">
        <v>46246</v>
      </c>
      <c r="E477" s="14"/>
      <c r="F477" s="14"/>
      <c r="G477" s="14"/>
      <c r="H477" s="14"/>
      <c r="J477">
        <v>34.906158737238066</v>
      </c>
      <c r="M477">
        <v>63.650000000000006</v>
      </c>
      <c r="N477">
        <v>63.650000000000006</v>
      </c>
      <c r="O477">
        <v>49.622173054742262</v>
      </c>
      <c r="S477">
        <v>0.52266493201218878</v>
      </c>
      <c r="T477">
        <v>0</v>
      </c>
      <c r="U477">
        <v>1.0164986452020688</v>
      </c>
      <c r="V477">
        <v>0</v>
      </c>
      <c r="W477">
        <v>4.2993485839212864E-2</v>
      </c>
      <c r="X477">
        <v>0</v>
      </c>
      <c r="Y477">
        <v>7.1146181317119001E-2</v>
      </c>
      <c r="Z477">
        <v>0</v>
      </c>
      <c r="AA477">
        <v>7.5588770138277344E-3</v>
      </c>
      <c r="AB477">
        <v>0.2249227010865697</v>
      </c>
      <c r="AC477">
        <v>8.981403595872138E-2</v>
      </c>
      <c r="AD477">
        <v>0</v>
      </c>
      <c r="AE477">
        <v>7.8529880392251075E-2</v>
      </c>
      <c r="AF477">
        <v>0</v>
      </c>
      <c r="AG477">
        <v>0.55986060428294404</v>
      </c>
      <c r="AH477">
        <v>4.687277827951368E-2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t="s">
        <v>128</v>
      </c>
      <c r="B478" t="s">
        <v>421</v>
      </c>
      <c r="C478" s="14" t="s">
        <v>117</v>
      </c>
      <c r="D478" s="12">
        <v>46245</v>
      </c>
      <c r="E478" s="14"/>
      <c r="F478" s="14"/>
      <c r="G478" s="14"/>
      <c r="H478" s="14"/>
      <c r="J478">
        <v>34.89844027013293</v>
      </c>
      <c r="M478">
        <v>47.500000000000007</v>
      </c>
      <c r="N478">
        <v>47.500000000000007</v>
      </c>
      <c r="O478">
        <v>50.726065557256085</v>
      </c>
      <c r="S478">
        <v>0.53999261975844193</v>
      </c>
      <c r="T478">
        <v>0</v>
      </c>
      <c r="U478">
        <v>0.470345988259668</v>
      </c>
      <c r="V478">
        <v>0</v>
      </c>
      <c r="W478">
        <v>7.2165377876796263E-2</v>
      </c>
      <c r="X478">
        <v>2.2958578970204389E-2</v>
      </c>
      <c r="Y478">
        <v>8.0016900454158713E-2</v>
      </c>
      <c r="Z478">
        <v>0</v>
      </c>
      <c r="AA478">
        <v>1.1551958571931328E-2</v>
      </c>
      <c r="AB478">
        <v>0.12861853704380907</v>
      </c>
      <c r="AC478">
        <v>0.17159118732622711</v>
      </c>
      <c r="AD478">
        <v>0</v>
      </c>
      <c r="AE478">
        <v>3.9827976201533437E-2</v>
      </c>
      <c r="AF478">
        <v>0</v>
      </c>
      <c r="AG478">
        <v>0.50548620147752021</v>
      </c>
      <c r="AH478">
        <v>2.7221846954949353E-2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t="s">
        <v>128</v>
      </c>
      <c r="B479" t="s">
        <v>421</v>
      </c>
      <c r="C479" s="14" t="s">
        <v>117</v>
      </c>
      <c r="D479" s="12">
        <v>46244</v>
      </c>
      <c r="E479" s="14"/>
      <c r="F479" s="14"/>
      <c r="G479" s="14"/>
      <c r="H479" s="14"/>
      <c r="J479">
        <v>33.670515043643206</v>
      </c>
      <c r="M479">
        <v>49.400000000000006</v>
      </c>
      <c r="N479">
        <v>49.400000000000006</v>
      </c>
      <c r="O479">
        <v>49.417440777215859</v>
      </c>
      <c r="S479">
        <v>0.52640519233704464</v>
      </c>
      <c r="T479">
        <v>0</v>
      </c>
      <c r="U479">
        <v>0.57397189514373004</v>
      </c>
      <c r="V479">
        <v>0</v>
      </c>
      <c r="W479">
        <v>4.4753434123685716E-2</v>
      </c>
      <c r="X479">
        <v>2.3795852122852311E-2</v>
      </c>
      <c r="Y479">
        <v>8.2935025421532166E-2</v>
      </c>
      <c r="Z479">
        <v>0</v>
      </c>
      <c r="AA479">
        <v>9.8358763492599668E-3</v>
      </c>
      <c r="AB479">
        <v>0.12955298541664267</v>
      </c>
      <c r="AC479">
        <v>0.14299881791679581</v>
      </c>
      <c r="AD479">
        <v>0</v>
      </c>
      <c r="AE479">
        <v>4.3417825961231081E-2</v>
      </c>
      <c r="AF479">
        <v>0</v>
      </c>
      <c r="AG479">
        <v>0.5521353025204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 t="s">
        <v>128</v>
      </c>
      <c r="B480" t="s">
        <v>421</v>
      </c>
      <c r="C480" s="14" t="s">
        <v>117</v>
      </c>
      <c r="D480" s="12">
        <v>46243</v>
      </c>
      <c r="E480" s="14"/>
      <c r="F480" s="14"/>
      <c r="G480" s="14"/>
      <c r="H480" s="14"/>
      <c r="J480">
        <v>31.01679597801828</v>
      </c>
      <c r="M480">
        <v>46.55</v>
      </c>
      <c r="N480">
        <v>46.55</v>
      </c>
      <c r="O480">
        <v>44.985569531121264</v>
      </c>
      <c r="S480">
        <v>0.42864232723112672</v>
      </c>
      <c r="T480">
        <v>0</v>
      </c>
      <c r="U480">
        <v>0.52267087940348378</v>
      </c>
      <c r="V480">
        <v>0</v>
      </c>
      <c r="W480">
        <v>5.0380966114675893E-2</v>
      </c>
      <c r="X480">
        <v>2.5831765390810661E-2</v>
      </c>
      <c r="Y480">
        <v>9.0030737639041153E-2</v>
      </c>
      <c r="Z480">
        <v>0</v>
      </c>
      <c r="AA480">
        <v>1.97220134012915E-2</v>
      </c>
      <c r="AB480">
        <v>0.13875326992197526</v>
      </c>
      <c r="AC480">
        <v>7.3880131896838355E-2</v>
      </c>
      <c r="AD480">
        <v>0</v>
      </c>
      <c r="AE480">
        <v>2.1769765216081149E-2</v>
      </c>
      <c r="AF480">
        <v>0</v>
      </c>
      <c r="AG480">
        <v>0.59178858786707345</v>
      </c>
      <c r="AH480">
        <v>3.0628566557076641E-2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 t="s">
        <v>128</v>
      </c>
      <c r="B481" t="s">
        <v>421</v>
      </c>
      <c r="C481" s="14" t="s">
        <v>117</v>
      </c>
      <c r="D481" s="12">
        <v>46242</v>
      </c>
      <c r="E481" s="14"/>
      <c r="F481" s="14"/>
      <c r="G481" s="14"/>
      <c r="H481" s="14"/>
      <c r="J481">
        <v>31.016795978018283</v>
      </c>
      <c r="M481">
        <v>50.349999999999994</v>
      </c>
      <c r="N481">
        <v>50.349999999999994</v>
      </c>
      <c r="O481">
        <v>44.259397403616411</v>
      </c>
      <c r="S481">
        <v>0.43931075537581954</v>
      </c>
      <c r="T481">
        <v>0</v>
      </c>
      <c r="U481">
        <v>0.66930264199434586</v>
      </c>
      <c r="V481">
        <v>0</v>
      </c>
      <c r="W481">
        <v>2.6263469752120207E-2</v>
      </c>
      <c r="X481">
        <v>0</v>
      </c>
      <c r="Y481">
        <v>8.0067583394613048E-2</v>
      </c>
      <c r="Z481">
        <v>0</v>
      </c>
      <c r="AA481">
        <v>1.9722013401291497E-2</v>
      </c>
      <c r="AB481">
        <v>0.15941868223462383</v>
      </c>
      <c r="AC481">
        <v>0.10450869845391499</v>
      </c>
      <c r="AD481">
        <v>0</v>
      </c>
      <c r="AE481">
        <v>2.1769765216081146E-2</v>
      </c>
      <c r="AF481">
        <v>0</v>
      </c>
      <c r="AG481">
        <v>0.71430285409538008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 t="s">
        <v>128</v>
      </c>
      <c r="B482" t="s">
        <v>421</v>
      </c>
      <c r="C482" s="14" t="s">
        <v>117</v>
      </c>
      <c r="D482" s="12">
        <v>46241</v>
      </c>
      <c r="E482" s="14"/>
      <c r="F482" s="14"/>
      <c r="G482" s="14"/>
      <c r="H482" s="14"/>
      <c r="J482">
        <v>34.781572510198636</v>
      </c>
      <c r="M482">
        <v>28.499999999999993</v>
      </c>
      <c r="N482">
        <v>28.499999999999993</v>
      </c>
      <c r="O482">
        <v>43.403626910322956</v>
      </c>
      <c r="S482">
        <v>0.49071675825692535</v>
      </c>
      <c r="T482">
        <v>0</v>
      </c>
      <c r="U482">
        <v>5.3792478309225608E-2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2.7480143479902078E-2</v>
      </c>
      <c r="AB482">
        <v>0.18390350357975185</v>
      </c>
      <c r="AC482">
        <v>0.10528302170175549</v>
      </c>
      <c r="AD482">
        <v>0</v>
      </c>
      <c r="AE482">
        <v>0.11022897411041251</v>
      </c>
      <c r="AF482">
        <v>0</v>
      </c>
      <c r="AG482">
        <v>0.57327118693540369</v>
      </c>
      <c r="AH482">
        <v>2.7313313672676573E-2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 t="s">
        <v>128</v>
      </c>
      <c r="B483" t="s">
        <v>421</v>
      </c>
      <c r="C483" s="14" t="s">
        <v>117</v>
      </c>
      <c r="D483" s="12">
        <v>46240</v>
      </c>
      <c r="E483" s="14"/>
      <c r="F483" s="14"/>
      <c r="G483" s="14"/>
      <c r="H483" s="14"/>
      <c r="J483">
        <v>34.799602838474449</v>
      </c>
      <c r="M483">
        <v>39.900000000000006</v>
      </c>
      <c r="N483">
        <v>39.900000000000006</v>
      </c>
      <c r="O483">
        <v>47.399003827115315</v>
      </c>
      <c r="S483">
        <v>0.50191757098220768</v>
      </c>
      <c r="T483">
        <v>0</v>
      </c>
      <c r="U483">
        <v>0.31692785509894472</v>
      </c>
      <c r="V483">
        <v>0</v>
      </c>
      <c r="W483">
        <v>5.7335961580710471E-2</v>
      </c>
      <c r="X483">
        <v>0</v>
      </c>
      <c r="Y483">
        <v>7.136402993249065E-2</v>
      </c>
      <c r="Z483">
        <v>0</v>
      </c>
      <c r="AA483">
        <v>1.7578179520695278E-2</v>
      </c>
      <c r="AB483">
        <v>0.16991812024737016</v>
      </c>
      <c r="AC483">
        <v>0.17402225849317163</v>
      </c>
      <c r="AD483">
        <v>0</v>
      </c>
      <c r="AE483">
        <v>3.9941095161372876E-2</v>
      </c>
      <c r="AF483">
        <v>0</v>
      </c>
      <c r="AG483">
        <v>0.56152020183504625</v>
      </c>
      <c r="AH483">
        <v>5.459832426303899E-2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 t="s">
        <v>128</v>
      </c>
      <c r="B484" t="s">
        <v>421</v>
      </c>
      <c r="C484" s="14" t="s">
        <v>117</v>
      </c>
      <c r="D484" s="12">
        <v>46239</v>
      </c>
      <c r="E484" s="14"/>
      <c r="F484" s="14"/>
      <c r="G484" s="14"/>
      <c r="H484" s="14"/>
      <c r="J484">
        <v>33.646670748799252</v>
      </c>
      <c r="M484">
        <v>30.399999999999991</v>
      </c>
      <c r="N484">
        <v>30.399999999999991</v>
      </c>
      <c r="O484">
        <v>50.619304936341038</v>
      </c>
      <c r="S484">
        <v>0.69375072021191675</v>
      </c>
      <c r="T484">
        <v>0</v>
      </c>
      <c r="U484">
        <v>0.10389888010251548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3.9798108699367923E-2</v>
      </c>
      <c r="AB484">
        <v>0.19010656633441164</v>
      </c>
      <c r="AC484">
        <v>5.0083498202613222E-2</v>
      </c>
      <c r="AD484">
        <v>0</v>
      </c>
      <c r="AE484">
        <v>0.11099537695962958</v>
      </c>
      <c r="AF484">
        <v>0</v>
      </c>
      <c r="AG484">
        <v>0.62057996712006869</v>
      </c>
      <c r="AH484">
        <v>2.823459138327683E-2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t="s">
        <v>128</v>
      </c>
      <c r="B485" t="s">
        <v>421</v>
      </c>
      <c r="C485" s="14" t="s">
        <v>117</v>
      </c>
      <c r="D485" s="12">
        <v>46238</v>
      </c>
      <c r="E485" s="14"/>
      <c r="F485" s="14"/>
      <c r="G485" s="14"/>
      <c r="H485" s="14"/>
      <c r="J485">
        <v>34.70510830195569</v>
      </c>
      <c r="M485">
        <v>55.100000000000009</v>
      </c>
      <c r="N485">
        <v>55.100000000000009</v>
      </c>
      <c r="O485">
        <v>49.988322527116047</v>
      </c>
      <c r="S485">
        <v>0.44077813632228546</v>
      </c>
      <c r="T485">
        <v>0</v>
      </c>
      <c r="U485">
        <v>0.60929112809756514</v>
      </c>
      <c r="V485">
        <v>0</v>
      </c>
      <c r="W485">
        <v>0.1004833607949969</v>
      </c>
      <c r="X485">
        <v>2.3086474472510374E-2</v>
      </c>
      <c r="Y485">
        <v>8.0462651111890368E-2</v>
      </c>
      <c r="Z485">
        <v>0</v>
      </c>
      <c r="AA485">
        <v>1.1616311141229838E-2</v>
      </c>
      <c r="AB485">
        <v>0.1550107175846398</v>
      </c>
      <c r="AC485">
        <v>0.14130068063347329</v>
      </c>
      <c r="AD485">
        <v>0</v>
      </c>
      <c r="AE485">
        <v>4.0049846162594015E-2</v>
      </c>
      <c r="AF485">
        <v>0</v>
      </c>
      <c r="AG485">
        <v>0.53567560855564322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t="s">
        <v>128</v>
      </c>
      <c r="B486" t="s">
        <v>421</v>
      </c>
      <c r="C486" s="14" t="s">
        <v>117</v>
      </c>
      <c r="D486" s="12">
        <v>46237</v>
      </c>
      <c r="E486" s="14"/>
      <c r="F486" s="14"/>
      <c r="G486" s="14"/>
      <c r="H486" s="14"/>
      <c r="J486">
        <v>33.540114850035636</v>
      </c>
      <c r="M486">
        <v>48.449999999999996</v>
      </c>
      <c r="N486">
        <v>48.449999999999996</v>
      </c>
      <c r="O486">
        <v>54.753076618090653</v>
      </c>
      <c r="S486">
        <v>0.58967015608705575</v>
      </c>
      <c r="T486">
        <v>0</v>
      </c>
      <c r="U486">
        <v>0.5758250504504735</v>
      </c>
      <c r="V486">
        <v>0</v>
      </c>
      <c r="W486">
        <v>9.5735922968187184E-2</v>
      </c>
      <c r="X486">
        <v>0</v>
      </c>
      <c r="Y486">
        <v>7.4043869846827259E-2</v>
      </c>
      <c r="Z486">
        <v>0</v>
      </c>
      <c r="AA486">
        <v>1.823826986516568E-2</v>
      </c>
      <c r="AB486">
        <v>0.20704175535226871</v>
      </c>
      <c r="AC486">
        <v>0.1122624760056375</v>
      </c>
      <c r="AD486">
        <v>0</v>
      </c>
      <c r="AE486">
        <v>4.2243663499889936E-2</v>
      </c>
      <c r="AF486">
        <v>0</v>
      </c>
      <c r="AG486">
        <v>0.63845210514220385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t="s">
        <v>128</v>
      </c>
      <c r="B487" t="s">
        <v>421</v>
      </c>
      <c r="C487" s="14" t="s">
        <v>117</v>
      </c>
      <c r="D487" s="12">
        <v>46236</v>
      </c>
      <c r="E487" s="14"/>
      <c r="F487" s="14"/>
      <c r="G487" s="14"/>
      <c r="H487" s="14"/>
      <c r="J487">
        <v>31.01679597801828</v>
      </c>
      <c r="M487">
        <v>54.150000000000013</v>
      </c>
      <c r="N487">
        <v>54.150000000000013</v>
      </c>
      <c r="O487">
        <v>51.277805596220382</v>
      </c>
      <c r="S487">
        <v>0.55390436061790793</v>
      </c>
      <c r="T487">
        <v>0</v>
      </c>
      <c r="U487">
        <v>0.74286341985994164</v>
      </c>
      <c r="V487">
        <v>0</v>
      </c>
      <c r="W487">
        <v>7.5216958114831173E-2</v>
      </c>
      <c r="X487">
        <v>0</v>
      </c>
      <c r="Y487">
        <v>8.0067583394613062E-2</v>
      </c>
      <c r="Z487">
        <v>0</v>
      </c>
      <c r="AA487">
        <v>1.97220134012915E-2</v>
      </c>
      <c r="AB487">
        <v>0.16262815336706335</v>
      </c>
      <c r="AC487">
        <v>7.0670660764398791E-2</v>
      </c>
      <c r="AD487">
        <v>0</v>
      </c>
      <c r="AE487">
        <v>2.2637781272354579E-2</v>
      </c>
      <c r="AF487">
        <v>0</v>
      </c>
      <c r="AG487">
        <v>0.74406340459618325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t="s">
        <v>128</v>
      </c>
      <c r="B488" t="s">
        <v>421</v>
      </c>
      <c r="C488" s="14" t="s">
        <v>117</v>
      </c>
      <c r="D488" s="12">
        <v>46235</v>
      </c>
      <c r="E488" s="14"/>
      <c r="F488" s="14"/>
      <c r="G488" s="14"/>
      <c r="H488" s="14"/>
      <c r="J488">
        <v>30.736804573832362</v>
      </c>
      <c r="M488">
        <v>52.250000000000007</v>
      </c>
      <c r="N488">
        <v>52.250000000000007</v>
      </c>
      <c r="O488">
        <v>48.543795886567288</v>
      </c>
      <c r="S488">
        <v>0.50404340949541371</v>
      </c>
      <c r="T488">
        <v>0</v>
      </c>
      <c r="U488">
        <v>0.71805545888155664</v>
      </c>
      <c r="V488">
        <v>0</v>
      </c>
      <c r="W488">
        <v>4.566193148270687E-2</v>
      </c>
      <c r="X488">
        <v>0</v>
      </c>
      <c r="Y488">
        <v>8.0796944673876173E-2</v>
      </c>
      <c r="Z488">
        <v>0</v>
      </c>
      <c r="AA488">
        <v>1.9901667542382737E-2</v>
      </c>
      <c r="AB488">
        <v>0.16030737617822008</v>
      </c>
      <c r="AC488">
        <v>6.6007311119020071E-2</v>
      </c>
      <c r="AD488">
        <v>0</v>
      </c>
      <c r="AE488">
        <v>2.2843996077503731E-2</v>
      </c>
      <c r="AF488">
        <v>0</v>
      </c>
      <c r="AG488">
        <v>0.75084131662525611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t="s">
        <v>128</v>
      </c>
      <c r="B489" t="s">
        <v>421</v>
      </c>
      <c r="C489" s="14" t="s">
        <v>117</v>
      </c>
      <c r="D489" s="12">
        <v>46234</v>
      </c>
      <c r="E489" s="14"/>
      <c r="F489" s="14"/>
      <c r="G489" s="14"/>
      <c r="H489" s="14"/>
      <c r="J489">
        <v>34.70510830195569</v>
      </c>
      <c r="M489">
        <v>52.249999999999993</v>
      </c>
      <c r="N489">
        <v>52.249999999999993</v>
      </c>
      <c r="O489">
        <v>44.317044849614035</v>
      </c>
      <c r="S489">
        <v>0.35619386716574625</v>
      </c>
      <c r="T489">
        <v>0</v>
      </c>
      <c r="U489">
        <v>0.5474516197095477</v>
      </c>
      <c r="V489">
        <v>0</v>
      </c>
      <c r="W489">
        <v>0</v>
      </c>
      <c r="X489">
        <v>2.3086474472510374E-2</v>
      </c>
      <c r="Y489">
        <v>7.7175821443990225E-2</v>
      </c>
      <c r="Z489">
        <v>0</v>
      </c>
      <c r="AA489">
        <v>3.1144469056768067E-2</v>
      </c>
      <c r="AB489">
        <v>9.9382895115110642E-2</v>
      </c>
      <c r="AC489">
        <v>5.0846962167626304E-2</v>
      </c>
      <c r="AD489">
        <v>0</v>
      </c>
      <c r="AE489">
        <v>0.13216017033126232</v>
      </c>
      <c r="AF489">
        <v>0</v>
      </c>
      <c r="AG489">
        <v>0.58964682532235102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 t="s">
        <v>128</v>
      </c>
      <c r="B490" t="s">
        <v>421</v>
      </c>
      <c r="C490" s="14" t="s">
        <v>117</v>
      </c>
      <c r="D490" s="12">
        <v>46233</v>
      </c>
      <c r="E490" s="14"/>
      <c r="F490" s="14"/>
      <c r="G490" s="14"/>
      <c r="H490" s="14"/>
      <c r="J490">
        <v>33.540114850035636</v>
      </c>
      <c r="M490">
        <v>53.199999999999996</v>
      </c>
      <c r="N490">
        <v>53.199999999999996</v>
      </c>
      <c r="O490">
        <v>47.617457274199253</v>
      </c>
      <c r="S490">
        <v>0.45928843184932883</v>
      </c>
      <c r="T490">
        <v>0</v>
      </c>
      <c r="U490">
        <v>0.65452619755447672</v>
      </c>
      <c r="V490">
        <v>0</v>
      </c>
      <c r="W490">
        <v>4.2509337997217386E-2</v>
      </c>
      <c r="X490">
        <v>0</v>
      </c>
      <c r="Y490">
        <v>7.4043869846827273E-2</v>
      </c>
      <c r="Z490">
        <v>0</v>
      </c>
      <c r="AA490">
        <v>1.970612092447814E-2</v>
      </c>
      <c r="AB490">
        <v>0.17952017627586486</v>
      </c>
      <c r="AC490">
        <v>5.3429301076524792E-2</v>
      </c>
      <c r="AD490">
        <v>0</v>
      </c>
      <c r="AE490">
        <v>7.4466655448760313E-2</v>
      </c>
      <c r="AF490">
        <v>0</v>
      </c>
      <c r="AG490">
        <v>0.63683318872594485</v>
      </c>
      <c r="AH490">
        <v>5.5750678472905241E-2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t="s">
        <v>128</v>
      </c>
      <c r="B491" t="s">
        <v>421</v>
      </c>
      <c r="C491" s="14" t="s">
        <v>117</v>
      </c>
      <c r="D491" s="12">
        <v>46232</v>
      </c>
      <c r="E491" s="14"/>
      <c r="F491" s="14"/>
      <c r="G491" s="14"/>
      <c r="H491" s="14"/>
      <c r="J491">
        <v>34.906158737238059</v>
      </c>
      <c r="M491">
        <v>28.5</v>
      </c>
      <c r="N491">
        <v>28.5</v>
      </c>
      <c r="O491">
        <v>43.95012837148434</v>
      </c>
      <c r="S491">
        <v>0.49790317183040483</v>
      </c>
      <c r="T491">
        <v>0</v>
      </c>
      <c r="U491">
        <v>2.3646449634441839E-2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2.7929703249116485E-2</v>
      </c>
      <c r="AB491">
        <v>0.21381100283060064</v>
      </c>
      <c r="AC491">
        <v>5.7246691992650332E-2</v>
      </c>
      <c r="AD491">
        <v>0</v>
      </c>
      <c r="AE491">
        <v>0.10865573131996938</v>
      </c>
      <c r="AF491">
        <v>0</v>
      </c>
      <c r="AG491">
        <v>0.54737963460991079</v>
      </c>
      <c r="AH491">
        <v>7.2906939246868918E-2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 t="s">
        <v>128</v>
      </c>
      <c r="B492" t="s">
        <v>421</v>
      </c>
      <c r="C492" s="14" t="s">
        <v>117</v>
      </c>
      <c r="D492" s="12">
        <v>46231</v>
      </c>
      <c r="E492" s="14"/>
      <c r="F492" s="14"/>
      <c r="G492" s="14"/>
      <c r="H492" s="14"/>
      <c r="J492">
        <v>34.89844027013293</v>
      </c>
      <c r="M492">
        <v>56.05</v>
      </c>
      <c r="N492">
        <v>56.05</v>
      </c>
      <c r="O492">
        <v>41.569326146748288</v>
      </c>
      <c r="S492">
        <v>0.3068827298706191</v>
      </c>
      <c r="T492">
        <v>0</v>
      </c>
      <c r="U492">
        <v>0.60252953217897243</v>
      </c>
      <c r="V492">
        <v>0</v>
      </c>
      <c r="W492">
        <v>4.2892784775991392E-2</v>
      </c>
      <c r="X492">
        <v>2.2958578970204389E-2</v>
      </c>
      <c r="Y492">
        <v>8.0016900454158713E-2</v>
      </c>
      <c r="Z492">
        <v>0</v>
      </c>
      <c r="AA492">
        <v>1.8391352221670647E-2</v>
      </c>
      <c r="AB492">
        <v>4.6952996178960905E-2</v>
      </c>
      <c r="AC492">
        <v>0.14523229701971921</v>
      </c>
      <c r="AD492">
        <v>0</v>
      </c>
      <c r="AE492">
        <v>3.9827976201533402E-2</v>
      </c>
      <c r="AF492">
        <v>0</v>
      </c>
      <c r="AG492">
        <v>0.58715174234236822</v>
      </c>
      <c r="AH492">
        <v>5.3580737261457227E-2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 t="s">
        <v>128</v>
      </c>
      <c r="B493" t="s">
        <v>421</v>
      </c>
      <c r="C493" s="14" t="s">
        <v>117</v>
      </c>
      <c r="D493" s="12">
        <v>46230</v>
      </c>
      <c r="E493" s="14"/>
      <c r="F493" s="14"/>
      <c r="G493" s="14"/>
      <c r="H493" s="14"/>
      <c r="J493">
        <v>33.670515043643206</v>
      </c>
      <c r="M493">
        <v>65.550000000000011</v>
      </c>
      <c r="N493">
        <v>65.550000000000011</v>
      </c>
      <c r="O493">
        <v>42.551052791733213</v>
      </c>
      <c r="S493">
        <v>0.36994470933946211</v>
      </c>
      <c r="T493">
        <v>0</v>
      </c>
      <c r="U493">
        <v>1.0959783830950305</v>
      </c>
      <c r="V493">
        <v>0</v>
      </c>
      <c r="W493">
        <v>2.1743583332631995E-2</v>
      </c>
      <c r="X493">
        <v>2.3795852122852311E-2</v>
      </c>
      <c r="Y493">
        <v>8.2935025421532166E-2</v>
      </c>
      <c r="Z493">
        <v>0</v>
      </c>
      <c r="AA493">
        <v>1.8701978378931609E-2</v>
      </c>
      <c r="AB493">
        <v>0.11208264695121715</v>
      </c>
      <c r="AC493">
        <v>0.16046915638222126</v>
      </c>
      <c r="AD493">
        <v>0</v>
      </c>
      <c r="AE493">
        <v>2.2191364725739116E-2</v>
      </c>
      <c r="AF493">
        <v>0</v>
      </c>
      <c r="AG493">
        <v>0.54514716713422984</v>
      </c>
      <c r="AH493">
        <v>2.8214596621662147E-2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t="s">
        <v>128</v>
      </c>
      <c r="B494" t="s">
        <v>421</v>
      </c>
      <c r="C494" s="14" t="s">
        <v>117</v>
      </c>
      <c r="D494" s="12">
        <v>46229</v>
      </c>
      <c r="E494" s="14"/>
      <c r="F494" s="14"/>
      <c r="G494" s="14"/>
      <c r="H494" s="14"/>
      <c r="J494">
        <v>31.01679597801828</v>
      </c>
      <c r="M494">
        <v>39.900000000000006</v>
      </c>
      <c r="N494">
        <v>39.900000000000006</v>
      </c>
      <c r="O494">
        <v>45.020353673143454</v>
      </c>
      <c r="S494">
        <v>0.49890288488549878</v>
      </c>
      <c r="T494">
        <v>0</v>
      </c>
      <c r="U494">
        <v>0.27963864294815588</v>
      </c>
      <c r="V494">
        <v>0</v>
      </c>
      <c r="W494">
        <v>1.7756103556314108E-2</v>
      </c>
      <c r="X494">
        <v>0</v>
      </c>
      <c r="Y494">
        <v>8.0067583394613034E-2</v>
      </c>
      <c r="Z494">
        <v>0</v>
      </c>
      <c r="AA494">
        <v>1.97220134012915E-2</v>
      </c>
      <c r="AB494">
        <v>0.10223903630918352</v>
      </c>
      <c r="AC494">
        <v>8.4958581016522206E-2</v>
      </c>
      <c r="AD494">
        <v>0</v>
      </c>
      <c r="AE494">
        <v>2.1769765216081149E-2</v>
      </c>
      <c r="AF494">
        <v>0</v>
      </c>
      <c r="AG494">
        <v>0.74493142065245666</v>
      </c>
      <c r="AH494">
        <v>4.6101196805756431E-2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 t="s">
        <v>128</v>
      </c>
      <c r="B495" t="s">
        <v>421</v>
      </c>
      <c r="C495" s="14" t="s">
        <v>117</v>
      </c>
      <c r="D495" s="12">
        <v>46228</v>
      </c>
      <c r="E495" s="14"/>
      <c r="F495" s="14"/>
      <c r="G495" s="14"/>
      <c r="H495" s="14"/>
      <c r="J495">
        <v>31.01679597801828</v>
      </c>
      <c r="M495">
        <v>24.699999999999996</v>
      </c>
      <c r="N495">
        <v>24.699999999999996</v>
      </c>
      <c r="O495">
        <v>45.465585455760348</v>
      </c>
      <c r="S495">
        <v>0.61108111003348609</v>
      </c>
      <c r="T495">
        <v>0</v>
      </c>
      <c r="U495">
        <v>5.4532765778925726E-2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1.97220134012915E-2</v>
      </c>
      <c r="AB495">
        <v>0.20810940398809921</v>
      </c>
      <c r="AC495">
        <v>0.10043121126520201</v>
      </c>
      <c r="AD495">
        <v>0</v>
      </c>
      <c r="AE495">
        <v>2.1769765216081149E-2</v>
      </c>
      <c r="AF495">
        <v>0</v>
      </c>
      <c r="AG495">
        <v>0.63906105297354099</v>
      </c>
      <c r="AH495">
        <v>3.0628566557076641E-2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 t="s">
        <v>128</v>
      </c>
      <c r="B496" t="s">
        <v>421</v>
      </c>
      <c r="C496" s="14" t="s">
        <v>117</v>
      </c>
      <c r="D496" s="12">
        <v>46227</v>
      </c>
      <c r="E496" s="14"/>
      <c r="F496" s="14"/>
      <c r="G496" s="14"/>
      <c r="H496" s="14"/>
      <c r="J496">
        <v>34.781572510198643</v>
      </c>
      <c r="M496">
        <v>30.399999999999991</v>
      </c>
      <c r="N496">
        <v>30.399999999999991</v>
      </c>
      <c r="O496">
        <v>47.35103535834466</v>
      </c>
      <c r="S496">
        <v>0.60082567837763612</v>
      </c>
      <c r="T496">
        <v>0</v>
      </c>
      <c r="U496">
        <v>5.3792478309225594E-2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2.7480143479902071E-2</v>
      </c>
      <c r="AB496">
        <v>0.12927687623439862</v>
      </c>
      <c r="AC496">
        <v>0.10528302170175546</v>
      </c>
      <c r="AD496">
        <v>0</v>
      </c>
      <c r="AE496">
        <v>0.10684652040481786</v>
      </c>
      <c r="AF496">
        <v>0</v>
      </c>
      <c r="AG496">
        <v>0.63128026798635128</v>
      </c>
      <c r="AH496">
        <v>2.7313313672676566E-2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t="s">
        <v>128</v>
      </c>
      <c r="B497" t="s">
        <v>421</v>
      </c>
      <c r="C497" s="14" t="s">
        <v>117</v>
      </c>
      <c r="D497" s="12">
        <v>46226</v>
      </c>
      <c r="E497" s="14"/>
      <c r="F497" s="14"/>
      <c r="G497" s="14"/>
      <c r="H497" s="14"/>
      <c r="J497">
        <v>34.799602838474449</v>
      </c>
      <c r="M497">
        <v>43.7</v>
      </c>
      <c r="N497">
        <v>43.7</v>
      </c>
      <c r="O497">
        <v>39.286300685689753</v>
      </c>
      <c r="S497">
        <v>0.33544433404412688</v>
      </c>
      <c r="T497">
        <v>0</v>
      </c>
      <c r="U497">
        <v>0.4288621409426942</v>
      </c>
      <c r="V497">
        <v>0</v>
      </c>
      <c r="W497">
        <v>0</v>
      </c>
      <c r="X497">
        <v>0</v>
      </c>
      <c r="Y497">
        <v>3.5001304822204669E-2</v>
      </c>
      <c r="Z497">
        <v>0</v>
      </c>
      <c r="AA497">
        <v>5.4806312238968459E-2</v>
      </c>
      <c r="AB497">
        <v>0.14236540552639382</v>
      </c>
      <c r="AC497">
        <v>0.12054289442757674</v>
      </c>
      <c r="AD497">
        <v>0</v>
      </c>
      <c r="AE497">
        <v>3.9941095161372876E-2</v>
      </c>
      <c r="AF497">
        <v>0</v>
      </c>
      <c r="AG497">
        <v>0.61611852609808526</v>
      </c>
      <c r="AH497">
        <v>8.1032078786571288E-2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t="s">
        <v>128</v>
      </c>
      <c r="B498" t="s">
        <v>421</v>
      </c>
      <c r="C498" s="14" t="s">
        <v>117</v>
      </c>
      <c r="D498" s="12">
        <v>46225</v>
      </c>
      <c r="E498" s="14"/>
      <c r="F498" s="14"/>
      <c r="G498" s="14"/>
      <c r="H498" s="14"/>
      <c r="J498">
        <v>33.646670748799252</v>
      </c>
      <c r="M498">
        <v>73.149999999999991</v>
      </c>
      <c r="N498">
        <v>73.149999999999991</v>
      </c>
      <c r="O498">
        <v>40.225653918241505</v>
      </c>
      <c r="S498">
        <v>0.34255576636963747</v>
      </c>
      <c r="T498">
        <v>0</v>
      </c>
      <c r="U498">
        <v>1.1748161419022589</v>
      </c>
      <c r="V498">
        <v>0</v>
      </c>
      <c r="W498">
        <v>0</v>
      </c>
      <c r="X498">
        <v>2.3812715464795308E-2</v>
      </c>
      <c r="Y498">
        <v>4.2289175446048127E-2</v>
      </c>
      <c r="Z498">
        <v>0</v>
      </c>
      <c r="AA498">
        <v>6.9416063203546027E-2</v>
      </c>
      <c r="AB498">
        <v>7.3461014647613135E-2</v>
      </c>
      <c r="AC498">
        <v>3.8996829391923844E-2</v>
      </c>
      <c r="AD498">
        <v>0</v>
      </c>
      <c r="AE498">
        <v>9.4742515930461665E-2</v>
      </c>
      <c r="AF498">
        <v>0</v>
      </c>
      <c r="AG498">
        <v>0.60523698090192368</v>
      </c>
      <c r="AH498">
        <v>5.5574121223134133E-2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t="s">
        <v>128</v>
      </c>
      <c r="B499" t="s">
        <v>421</v>
      </c>
      <c r="C499" s="14" t="s">
        <v>117</v>
      </c>
      <c r="D499" s="12">
        <v>46224</v>
      </c>
      <c r="E499" s="14"/>
      <c r="F499" s="14"/>
      <c r="G499" s="14"/>
      <c r="H499" s="14"/>
      <c r="J499">
        <v>34.70510830195569</v>
      </c>
      <c r="M499">
        <v>58.900000000000006</v>
      </c>
      <c r="N499">
        <v>58.900000000000006</v>
      </c>
      <c r="O499">
        <v>33.518322187472265</v>
      </c>
      <c r="S499">
        <v>0.22717015211952199</v>
      </c>
      <c r="T499">
        <v>0</v>
      </c>
      <c r="U499">
        <v>0.78913002285997902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9.9484819019261511E-2</v>
      </c>
      <c r="AB499">
        <v>8.9689777745156879E-2</v>
      </c>
      <c r="AC499">
        <v>0.12914205997805228</v>
      </c>
      <c r="AD499">
        <v>0</v>
      </c>
      <c r="AE499">
        <v>0.10485089506786438</v>
      </c>
      <c r="AF499">
        <v>0</v>
      </c>
      <c r="AG499">
        <v>0.64894377533751613</v>
      </c>
      <c r="AH499">
        <v>2.737349187141035E-2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t="s">
        <v>128</v>
      </c>
      <c r="B500" t="s">
        <v>421</v>
      </c>
      <c r="C500" s="14" t="s">
        <v>117</v>
      </c>
      <c r="D500" s="12">
        <v>46223</v>
      </c>
      <c r="E500" s="14"/>
      <c r="F500" s="14"/>
      <c r="G500" s="14"/>
      <c r="H500" s="14"/>
      <c r="J500">
        <v>33.540114850035636</v>
      </c>
      <c r="M500">
        <v>57.95</v>
      </c>
      <c r="N500">
        <v>57.95</v>
      </c>
      <c r="O500">
        <v>22.455470364050598</v>
      </c>
      <c r="S500">
        <v>8.3548102474243949E-2</v>
      </c>
      <c r="T500">
        <v>0</v>
      </c>
      <c r="U500">
        <v>0.78821563449870669</v>
      </c>
      <c r="V500">
        <v>0</v>
      </c>
      <c r="W500">
        <v>0</v>
      </c>
      <c r="X500">
        <v>2.3888367719109245E-2</v>
      </c>
      <c r="Y500">
        <v>9.2135976241782373E-3</v>
      </c>
      <c r="Z500">
        <v>0</v>
      </c>
      <c r="AA500">
        <v>0.10294035765534248</v>
      </c>
      <c r="AB500">
        <v>4.125276677611648E-2</v>
      </c>
      <c r="AC500">
        <v>0.13133502323470733</v>
      </c>
      <c r="AD500">
        <v>0</v>
      </c>
      <c r="AE500">
        <v>0.23526725633255</v>
      </c>
      <c r="AF500">
        <v>0</v>
      </c>
      <c r="AG500">
        <v>0.40308850868454504</v>
      </c>
      <c r="AH500">
        <v>5.6648583598931275E-2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 t="s">
        <v>128</v>
      </c>
      <c r="B501" t="s">
        <v>421</v>
      </c>
      <c r="C501" s="14" t="s">
        <v>116</v>
      </c>
      <c r="D501" s="12"/>
      <c r="E501" s="14"/>
      <c r="F501" s="14"/>
      <c r="G501" s="14"/>
      <c r="H501" s="14"/>
      <c r="J501">
        <v>933.96119792071556</v>
      </c>
      <c r="M501">
        <v>1369.9000000000037</v>
      </c>
      <c r="N501">
        <v>1369.9000000000037</v>
      </c>
      <c r="O501">
        <v>1206.0804648672517</v>
      </c>
      <c r="S501">
        <v>0.41479632310018211</v>
      </c>
      <c r="T501">
        <v>0</v>
      </c>
      <c r="U501">
        <v>0.56303225671262469</v>
      </c>
      <c r="V501">
        <v>0</v>
      </c>
      <c r="W501">
        <v>2.8158491818642519E-2</v>
      </c>
      <c r="X501">
        <v>8.5787139622349046E-3</v>
      </c>
      <c r="Y501">
        <v>4.8845928787014416E-2</v>
      </c>
      <c r="Z501">
        <v>0</v>
      </c>
      <c r="AA501">
        <v>3.7243962421307737E-2</v>
      </c>
      <c r="AB501">
        <v>0.13920215515472242</v>
      </c>
      <c r="AC501">
        <v>0.10217878000364229</v>
      </c>
      <c r="AD501">
        <v>0</v>
      </c>
      <c r="AE501">
        <v>7.3432564460714042E-2</v>
      </c>
      <c r="AF501">
        <v>0</v>
      </c>
      <c r="AG501">
        <v>0.60486204304741309</v>
      </c>
      <c r="AH501">
        <v>3.2774571027843806E-2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 t="s">
        <v>128</v>
      </c>
      <c r="B502" t="s">
        <v>421</v>
      </c>
      <c r="C502" s="14" t="s">
        <v>109</v>
      </c>
      <c r="D502" s="12">
        <v>46250</v>
      </c>
      <c r="E502" s="14" t="s">
        <v>134</v>
      </c>
      <c r="F502" s="14" t="s">
        <v>134</v>
      </c>
      <c r="G502" s="14" t="s">
        <v>134</v>
      </c>
      <c r="H502" s="14"/>
      <c r="J502">
        <v>5.2199566160520607</v>
      </c>
      <c r="M502">
        <v>7.6</v>
      </c>
      <c r="N502">
        <v>7.6</v>
      </c>
      <c r="O502">
        <v>2.1951557093425609</v>
      </c>
      <c r="S502">
        <v>0</v>
      </c>
      <c r="T502">
        <v>0</v>
      </c>
      <c r="U502">
        <v>0.68801944813829785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0.11718749999999999</v>
      </c>
      <c r="AB502">
        <v>3.6060700876095114E-2</v>
      </c>
      <c r="AC502">
        <v>0.49518929912390491</v>
      </c>
      <c r="AD502">
        <v>0</v>
      </c>
      <c r="AE502">
        <v>0.12935516822498697</v>
      </c>
      <c r="AF502">
        <v>0</v>
      </c>
      <c r="AG502">
        <v>0.33939483177501301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t="s">
        <v>128</v>
      </c>
      <c r="B503" t="s">
        <v>421</v>
      </c>
      <c r="C503" s="14" t="s">
        <v>109</v>
      </c>
      <c r="D503" s="12">
        <v>46239</v>
      </c>
      <c r="E503" s="14" t="s">
        <v>134</v>
      </c>
      <c r="F503" s="14" t="s">
        <v>134</v>
      </c>
      <c r="G503" s="14" t="s">
        <v>134</v>
      </c>
      <c r="H503" s="14"/>
      <c r="J503">
        <v>7.743275488069413</v>
      </c>
      <c r="M503">
        <v>10.45</v>
      </c>
      <c r="N503">
        <v>10.45</v>
      </c>
      <c r="O503">
        <v>4.014763552479816</v>
      </c>
      <c r="S503">
        <v>0</v>
      </c>
      <c r="T503">
        <v>0</v>
      </c>
      <c r="U503">
        <v>0.45146933172720027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0.1335319989354698</v>
      </c>
      <c r="AB503">
        <v>0.13661442614108105</v>
      </c>
      <c r="AC503">
        <v>9.8828824597786954E-2</v>
      </c>
      <c r="AD503">
        <v>0</v>
      </c>
      <c r="AE503">
        <v>0.38268729107372279</v>
      </c>
      <c r="AF503">
        <v>0</v>
      </c>
      <c r="AG503">
        <v>0.38186945818740931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t="s">
        <v>128</v>
      </c>
      <c r="B504" t="s">
        <v>421</v>
      </c>
      <c r="C504" s="14" t="s">
        <v>109</v>
      </c>
      <c r="D504" s="12">
        <v>46239</v>
      </c>
      <c r="E504" s="14" t="s">
        <v>420</v>
      </c>
      <c r="F504" s="14" t="s">
        <v>420</v>
      </c>
      <c r="G504" s="14" t="s">
        <v>420</v>
      </c>
      <c r="H504" s="14"/>
      <c r="J504">
        <v>3.4647853533460293</v>
      </c>
      <c r="M504">
        <v>2.8499999999999996</v>
      </c>
      <c r="N504">
        <v>2.8499999999999996</v>
      </c>
      <c r="O504">
        <v>0.82352941176470573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8.8057058226703733E-2</v>
      </c>
      <c r="AB504">
        <v>0</v>
      </c>
      <c r="AC504">
        <v>0.26549528041045778</v>
      </c>
      <c r="AD504">
        <v>0</v>
      </c>
      <c r="AE504">
        <v>0.22263191048407652</v>
      </c>
      <c r="AF504">
        <v>0</v>
      </c>
      <c r="AG504">
        <v>0.23768554983338375</v>
      </c>
      <c r="AH504">
        <v>0.27418725927208198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 t="s">
        <v>128</v>
      </c>
      <c r="B505" t="s">
        <v>421</v>
      </c>
      <c r="C505" s="14" t="s">
        <v>109</v>
      </c>
      <c r="D505" s="12">
        <v>46239</v>
      </c>
      <c r="E505" s="14" t="s">
        <v>133</v>
      </c>
      <c r="F505" s="14" t="s">
        <v>133</v>
      </c>
      <c r="G505" s="14" t="s">
        <v>133</v>
      </c>
      <c r="H505" s="14"/>
      <c r="J505">
        <v>22.43860990738381</v>
      </c>
      <c r="M505">
        <v>17.099999999999998</v>
      </c>
      <c r="N505">
        <v>17.099999999999998</v>
      </c>
      <c r="O505">
        <v>45.781011972096522</v>
      </c>
      <c r="S505">
        <v>1.0402784379718415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0.23792070584671335</v>
      </c>
      <c r="AC505">
        <v>0</v>
      </c>
      <c r="AD505">
        <v>0</v>
      </c>
      <c r="AE505">
        <v>0</v>
      </c>
      <c r="AF505">
        <v>0</v>
      </c>
      <c r="AG505">
        <v>0.76207929415328657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 t="s">
        <v>128</v>
      </c>
      <c r="B506" t="s">
        <v>421</v>
      </c>
      <c r="C506" s="14" t="s">
        <v>109</v>
      </c>
      <c r="D506" s="12">
        <v>46238</v>
      </c>
      <c r="E506" s="14" t="s">
        <v>134</v>
      </c>
      <c r="F506" s="14" t="s">
        <v>134</v>
      </c>
      <c r="G506" s="14" t="s">
        <v>134</v>
      </c>
      <c r="H506" s="14"/>
      <c r="J506">
        <v>8.9667028199566161</v>
      </c>
      <c r="M506">
        <v>3.8</v>
      </c>
      <c r="N506">
        <v>3.8</v>
      </c>
      <c r="O506">
        <v>4.014763552479816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4.4960265140977042E-2</v>
      </c>
      <c r="AB506">
        <v>0.22392212361339489</v>
      </c>
      <c r="AC506">
        <v>0.39724802867332504</v>
      </c>
      <c r="AD506">
        <v>0</v>
      </c>
      <c r="AE506">
        <v>0.15501062948757507</v>
      </c>
      <c r="AF506">
        <v>0</v>
      </c>
      <c r="AG506">
        <v>0.22381921822570497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t="s">
        <v>128</v>
      </c>
      <c r="B507" t="s">
        <v>421</v>
      </c>
      <c r="C507" s="14" t="s">
        <v>109</v>
      </c>
      <c r="D507" s="12">
        <v>46227</v>
      </c>
      <c r="E507" s="14" t="s">
        <v>133</v>
      </c>
      <c r="F507" s="14" t="s">
        <v>133</v>
      </c>
      <c r="G507" s="14" t="s">
        <v>133</v>
      </c>
      <c r="H507" s="14"/>
      <c r="J507">
        <v>22.438609907383807</v>
      </c>
      <c r="M507">
        <v>18.999999999999996</v>
      </c>
      <c r="N507">
        <v>18.999999999999996</v>
      </c>
      <c r="O507">
        <v>43.336271805864847</v>
      </c>
      <c r="S507">
        <v>0.93132604848236644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0.15324522871857033</v>
      </c>
      <c r="AC507">
        <v>0</v>
      </c>
      <c r="AD507">
        <v>0</v>
      </c>
      <c r="AE507">
        <v>0</v>
      </c>
      <c r="AF507">
        <v>0</v>
      </c>
      <c r="AG507">
        <v>0.84675477128142962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t="s">
        <v>128</v>
      </c>
      <c r="B508" t="s">
        <v>421</v>
      </c>
      <c r="C508" s="14" t="s">
        <v>109</v>
      </c>
      <c r="D508" s="12">
        <v>46226</v>
      </c>
      <c r="E508" s="14" t="s">
        <v>134</v>
      </c>
      <c r="F508" s="14" t="s">
        <v>134</v>
      </c>
      <c r="G508" s="14" t="s">
        <v>134</v>
      </c>
      <c r="H508" s="14"/>
      <c r="J508">
        <v>9.1196312364425154</v>
      </c>
      <c r="M508">
        <v>7.6</v>
      </c>
      <c r="N508">
        <v>7.6</v>
      </c>
      <c r="O508">
        <v>4.014763552479816</v>
      </c>
      <c r="S508">
        <v>0</v>
      </c>
      <c r="T508">
        <v>0</v>
      </c>
      <c r="U508">
        <v>0.39381325594947841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6.7076579094466196E-2</v>
      </c>
      <c r="AB508">
        <v>0.22016714110450622</v>
      </c>
      <c r="AC508">
        <v>0.40735566374308485</v>
      </c>
      <c r="AD508">
        <v>0</v>
      </c>
      <c r="AE508">
        <v>0.15241123380024851</v>
      </c>
      <c r="AF508">
        <v>0</v>
      </c>
      <c r="AG508">
        <v>0.22006596135216047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t="s">
        <v>128</v>
      </c>
      <c r="B509" t="s">
        <v>421</v>
      </c>
      <c r="C509" s="14" t="s">
        <v>109</v>
      </c>
      <c r="D509" s="12">
        <v>46226</v>
      </c>
      <c r="E509" s="14" t="s">
        <v>420</v>
      </c>
      <c r="F509" s="14" t="s">
        <v>420</v>
      </c>
      <c r="G509" s="14" t="s">
        <v>420</v>
      </c>
      <c r="H509" s="14"/>
      <c r="J509">
        <v>3.2997955746152661</v>
      </c>
      <c r="M509">
        <v>2.8499999999999996</v>
      </c>
      <c r="N509">
        <v>2.8499999999999996</v>
      </c>
      <c r="O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9.1265778047054501E-3</v>
      </c>
      <c r="AB509">
        <v>0</v>
      </c>
      <c r="AC509">
        <v>0.14543671109764722</v>
      </c>
      <c r="AD509">
        <v>0</v>
      </c>
      <c r="AE509">
        <v>0</v>
      </c>
      <c r="AF509">
        <v>0</v>
      </c>
      <c r="AG509">
        <v>0</v>
      </c>
      <c r="AH509">
        <v>0.85456328890235289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t="s">
        <v>128</v>
      </c>
      <c r="B510" t="s">
        <v>421</v>
      </c>
      <c r="C510" s="14" t="s">
        <v>109</v>
      </c>
      <c r="D510" s="12">
        <v>46226</v>
      </c>
      <c r="E510" s="14" t="s">
        <v>133</v>
      </c>
      <c r="F510" s="14" t="s">
        <v>133</v>
      </c>
      <c r="G510" s="14" t="s">
        <v>133</v>
      </c>
      <c r="H510" s="14"/>
      <c r="J510">
        <v>22.380176027416667</v>
      </c>
      <c r="M510">
        <v>33.25</v>
      </c>
      <c r="N510">
        <v>33.25</v>
      </c>
      <c r="O510">
        <v>35.271537133209939</v>
      </c>
      <c r="S510">
        <v>0.52159239430699045</v>
      </c>
      <c r="T510">
        <v>0</v>
      </c>
      <c r="U510">
        <v>0.50637673685401097</v>
      </c>
      <c r="V510">
        <v>0</v>
      </c>
      <c r="W510">
        <v>0</v>
      </c>
      <c r="X510">
        <v>0</v>
      </c>
      <c r="Y510">
        <v>5.4424572226284662E-2</v>
      </c>
      <c r="Z510">
        <v>0</v>
      </c>
      <c r="AA510">
        <v>5.6541485214968594E-2</v>
      </c>
      <c r="AB510">
        <v>0.13165296061087606</v>
      </c>
      <c r="AC510">
        <v>0</v>
      </c>
      <c r="AD510">
        <v>0</v>
      </c>
      <c r="AE510">
        <v>0</v>
      </c>
      <c r="AF510">
        <v>0</v>
      </c>
      <c r="AG510">
        <v>0.86834703938912405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128</v>
      </c>
      <c r="B511" t="s">
        <v>421</v>
      </c>
      <c r="C511" s="14" t="s">
        <v>109</v>
      </c>
      <c r="D511" s="12">
        <v>46225</v>
      </c>
      <c r="E511" s="14" t="s">
        <v>134</v>
      </c>
      <c r="F511" s="14" t="s">
        <v>134</v>
      </c>
      <c r="G511" s="14" t="s">
        <v>134</v>
      </c>
      <c r="H511" s="14"/>
      <c r="J511">
        <v>7.7432754880694139</v>
      </c>
      <c r="M511">
        <v>9.5</v>
      </c>
      <c r="N511">
        <v>9.5</v>
      </c>
      <c r="O511">
        <v>4.014763552479816</v>
      </c>
      <c r="S511">
        <v>0</v>
      </c>
      <c r="T511">
        <v>0</v>
      </c>
      <c r="U511">
        <v>0.57415642990209137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8.1468071099407499E-2</v>
      </c>
      <c r="AB511">
        <v>0.25930152431597209</v>
      </c>
      <c r="AC511">
        <v>0.16945199493661572</v>
      </c>
      <c r="AD511">
        <v>0</v>
      </c>
      <c r="AE511">
        <v>0.31206412073489403</v>
      </c>
      <c r="AF511">
        <v>0</v>
      </c>
      <c r="AG511">
        <v>0.25918236001251815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 t="s">
        <v>128</v>
      </c>
      <c r="B512" t="s">
        <v>421</v>
      </c>
      <c r="C512" s="14" t="s">
        <v>109</v>
      </c>
      <c r="D512" s="12">
        <v>46225</v>
      </c>
      <c r="E512" s="14" t="s">
        <v>420</v>
      </c>
      <c r="F512" s="14" t="s">
        <v>420</v>
      </c>
      <c r="G512" s="14" t="s">
        <v>420</v>
      </c>
      <c r="H512" s="14"/>
      <c r="J512">
        <v>3.4647853533460293</v>
      </c>
      <c r="M512">
        <v>3.8</v>
      </c>
      <c r="N512">
        <v>3.8</v>
      </c>
      <c r="O512">
        <v>0.82352941176470573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9.674903708832798E-2</v>
      </c>
      <c r="AB512">
        <v>0</v>
      </c>
      <c r="AC512">
        <v>0</v>
      </c>
      <c r="AD512">
        <v>0</v>
      </c>
      <c r="AE512">
        <v>0.22263191048407652</v>
      </c>
      <c r="AF512">
        <v>0</v>
      </c>
      <c r="AG512">
        <v>0.23768554983338375</v>
      </c>
      <c r="AH512">
        <v>0.53968253968253976</v>
      </c>
      <c r="AI512">
        <v>0</v>
      </c>
      <c r="AJ512">
        <v>0</v>
      </c>
      <c r="AK512">
        <v>0</v>
      </c>
      <c r="AL512">
        <v>0</v>
      </c>
    </row>
    <row r="513" spans="1:84" x14ac:dyDescent="0.25">
      <c r="A513" t="s">
        <v>128</v>
      </c>
      <c r="B513" t="s">
        <v>421</v>
      </c>
      <c r="C513" s="14" t="s">
        <v>109</v>
      </c>
      <c r="D513" s="12">
        <v>46225</v>
      </c>
      <c r="E513" s="14" t="s">
        <v>133</v>
      </c>
      <c r="F513" s="14" t="s">
        <v>133</v>
      </c>
      <c r="G513" s="14" t="s">
        <v>133</v>
      </c>
      <c r="H513" s="14"/>
      <c r="J513">
        <v>22.438609907383807</v>
      </c>
      <c r="M513">
        <v>59.85</v>
      </c>
      <c r="N513">
        <v>59.85</v>
      </c>
      <c r="O513">
        <v>35.387360953996989</v>
      </c>
      <c r="S513">
        <v>0.51366199295389547</v>
      </c>
      <c r="T513">
        <v>0</v>
      </c>
      <c r="U513">
        <v>1.5635015115369075</v>
      </c>
      <c r="V513">
        <v>0</v>
      </c>
      <c r="W513">
        <v>0</v>
      </c>
      <c r="X513">
        <v>3.5707140512975952E-2</v>
      </c>
      <c r="Y513">
        <v>6.3412571827952721E-2</v>
      </c>
      <c r="Z513">
        <v>0</v>
      </c>
      <c r="AA513">
        <v>6.1036537659071362E-2</v>
      </c>
      <c r="AB513">
        <v>2.0673091487428113E-2</v>
      </c>
      <c r="AC513">
        <v>0</v>
      </c>
      <c r="AD513">
        <v>0</v>
      </c>
      <c r="AE513">
        <v>0</v>
      </c>
      <c r="AF513">
        <v>0</v>
      </c>
      <c r="AG513">
        <v>0.78141024184590535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84" x14ac:dyDescent="0.25">
      <c r="A514" t="s">
        <v>128</v>
      </c>
      <c r="B514" t="s">
        <v>421</v>
      </c>
      <c r="C514" s="14" t="s">
        <v>109</v>
      </c>
      <c r="D514" s="12">
        <v>46224</v>
      </c>
      <c r="E514" s="14" t="s">
        <v>134</v>
      </c>
      <c r="F514" s="14" t="s">
        <v>134</v>
      </c>
      <c r="G514" s="14" t="s">
        <v>134</v>
      </c>
      <c r="H514" s="14"/>
      <c r="J514">
        <v>8.9667028199566161</v>
      </c>
      <c r="M514">
        <v>8.5499999999999989</v>
      </c>
      <c r="N514">
        <v>8.5499999999999989</v>
      </c>
      <c r="O514">
        <v>4.014763552479816</v>
      </c>
      <c r="S514">
        <v>0</v>
      </c>
      <c r="T514">
        <v>0</v>
      </c>
      <c r="U514">
        <v>0.4005297981203052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6.8220579874928938E-2</v>
      </c>
      <c r="AB514">
        <v>0.11797459539983064</v>
      </c>
      <c r="AC514">
        <v>0.39724802867332504</v>
      </c>
      <c r="AD514">
        <v>0</v>
      </c>
      <c r="AE514">
        <v>0.15501062948757507</v>
      </c>
      <c r="AF514">
        <v>0</v>
      </c>
      <c r="AG514">
        <v>0.32976674643926929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84" x14ac:dyDescent="0.25">
      <c r="A515" t="s">
        <v>128</v>
      </c>
      <c r="B515" t="s">
        <v>421</v>
      </c>
      <c r="C515" s="14" t="s">
        <v>109</v>
      </c>
      <c r="D515" s="12">
        <v>46224</v>
      </c>
      <c r="E515" s="14" t="s">
        <v>420</v>
      </c>
      <c r="F515" s="14" t="s">
        <v>420</v>
      </c>
      <c r="G515" s="14" t="s">
        <v>420</v>
      </c>
      <c r="H515" s="14"/>
      <c r="J515">
        <v>3.2997955746152661</v>
      </c>
      <c r="M515">
        <v>3.8</v>
      </c>
      <c r="N515">
        <v>3.8</v>
      </c>
      <c r="O515">
        <v>0.82352941176470573</v>
      </c>
      <c r="S515">
        <v>0</v>
      </c>
      <c r="T515">
        <v>0</v>
      </c>
      <c r="U515">
        <v>3.412657780470555E-2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0.10833333333333334</v>
      </c>
      <c r="AB515">
        <v>0</v>
      </c>
      <c r="AC515">
        <v>0.27877004443098063</v>
      </c>
      <c r="AD515">
        <v>0</v>
      </c>
      <c r="AE515">
        <v>0.1837635060082804</v>
      </c>
      <c r="AF515">
        <v>0</v>
      </c>
      <c r="AG515">
        <v>0.24956982732505292</v>
      </c>
      <c r="AH515">
        <v>0.28789662223568607</v>
      </c>
      <c r="AI515">
        <v>0</v>
      </c>
      <c r="AJ515">
        <v>0</v>
      </c>
      <c r="AK515">
        <v>0</v>
      </c>
      <c r="AL515">
        <v>0</v>
      </c>
    </row>
    <row r="516" spans="1:84" x14ac:dyDescent="0.25">
      <c r="A516" t="s">
        <v>128</v>
      </c>
      <c r="B516" t="s">
        <v>421</v>
      </c>
      <c r="C516" s="14" t="s">
        <v>109</v>
      </c>
      <c r="D516" s="12">
        <v>46224</v>
      </c>
      <c r="E516" s="14" t="s">
        <v>133</v>
      </c>
      <c r="F516" s="14" t="s">
        <v>133</v>
      </c>
      <c r="G516" s="14" t="s">
        <v>133</v>
      </c>
      <c r="H516" s="14"/>
      <c r="J516">
        <v>22.43860990738381</v>
      </c>
      <c r="M516">
        <v>46.55</v>
      </c>
      <c r="N516">
        <v>46.55</v>
      </c>
      <c r="O516">
        <v>28.680029223227745</v>
      </c>
      <c r="S516">
        <v>0.35135709229854767</v>
      </c>
      <c r="T516">
        <v>0</v>
      </c>
      <c r="U516">
        <v>1.0554486487680497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0.11067708333333336</v>
      </c>
      <c r="AB516">
        <v>9.157654246188035E-2</v>
      </c>
      <c r="AC516">
        <v>0</v>
      </c>
      <c r="AD516">
        <v>0</v>
      </c>
      <c r="AE516">
        <v>7.3201745705972557E-2</v>
      </c>
      <c r="AF516">
        <v>0</v>
      </c>
      <c r="AG516">
        <v>0.83522171183214711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84" x14ac:dyDescent="0.25">
      <c r="A517" t="s">
        <v>128</v>
      </c>
      <c r="B517" t="s">
        <v>421</v>
      </c>
      <c r="C517" s="14" t="s">
        <v>109</v>
      </c>
      <c r="D517" s="12">
        <v>46223</v>
      </c>
      <c r="E517" s="14" t="s">
        <v>134</v>
      </c>
      <c r="F517" s="14" t="s">
        <v>134</v>
      </c>
      <c r="G517" s="14" t="s">
        <v>134</v>
      </c>
      <c r="H517" s="14"/>
      <c r="J517">
        <v>7.7432754880694139</v>
      </c>
      <c r="M517">
        <v>9.4999999999999982</v>
      </c>
      <c r="N517">
        <v>9.4999999999999982</v>
      </c>
      <c r="O517">
        <v>3.7794694348327571</v>
      </c>
      <c r="S517">
        <v>0</v>
      </c>
      <c r="T517">
        <v>0</v>
      </c>
      <c r="U517">
        <v>0.58650007703836515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7.8999341672152737E-2</v>
      </c>
      <c r="AB517">
        <v>0.13661442614108105</v>
      </c>
      <c r="AC517">
        <v>0.30201401082052581</v>
      </c>
      <c r="AD517">
        <v>0</v>
      </c>
      <c r="AE517">
        <v>8.7201904056870783E-2</v>
      </c>
      <c r="AF517">
        <v>0</v>
      </c>
      <c r="AG517">
        <v>0.35148256080663132</v>
      </c>
      <c r="AH517">
        <v>0.1226870981748911</v>
      </c>
      <c r="AI517">
        <v>0</v>
      </c>
      <c r="AJ517">
        <v>0</v>
      </c>
      <c r="AK517">
        <v>0</v>
      </c>
      <c r="AL517">
        <v>0</v>
      </c>
    </row>
    <row r="518" spans="1:84" x14ac:dyDescent="0.25">
      <c r="A518" t="s">
        <v>128</v>
      </c>
      <c r="B518" t="s">
        <v>421</v>
      </c>
      <c r="C518" s="14" t="s">
        <v>109</v>
      </c>
      <c r="D518" s="12">
        <v>46223</v>
      </c>
      <c r="E518" s="14" t="s">
        <v>420</v>
      </c>
      <c r="F518" s="14" t="s">
        <v>420</v>
      </c>
      <c r="G518" s="14" t="s">
        <v>420</v>
      </c>
      <c r="H518" s="14"/>
      <c r="J518">
        <v>3.2997955746152665</v>
      </c>
      <c r="M518">
        <v>2.8499999999999996</v>
      </c>
      <c r="N518">
        <v>2.8499999999999996</v>
      </c>
      <c r="O518">
        <v>0.82352941176470595</v>
      </c>
      <c r="S518">
        <v>0</v>
      </c>
      <c r="T518">
        <v>0</v>
      </c>
      <c r="U518">
        <v>3.412657780470555E-2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0.10833333333333332</v>
      </c>
      <c r="AB518">
        <v>0</v>
      </c>
      <c r="AC518">
        <v>0.27877004443098069</v>
      </c>
      <c r="AD518">
        <v>0</v>
      </c>
      <c r="AE518">
        <v>0.18376350600828031</v>
      </c>
      <c r="AF518">
        <v>0</v>
      </c>
      <c r="AG518">
        <v>0.24956982732505295</v>
      </c>
      <c r="AH518">
        <v>0.28789662223568602</v>
      </c>
      <c r="AI518">
        <v>0</v>
      </c>
      <c r="AJ518">
        <v>0</v>
      </c>
      <c r="AK518">
        <v>0</v>
      </c>
      <c r="AL518">
        <v>0</v>
      </c>
    </row>
    <row r="519" spans="1:84" x14ac:dyDescent="0.25">
      <c r="A519" t="s">
        <v>128</v>
      </c>
      <c r="B519" t="s">
        <v>421</v>
      </c>
      <c r="C519" s="14" t="s">
        <v>109</v>
      </c>
      <c r="D519" s="12">
        <v>46223</v>
      </c>
      <c r="E519" s="14" t="s">
        <v>133</v>
      </c>
      <c r="F519" s="14" t="s">
        <v>133</v>
      </c>
      <c r="G519" s="14" t="s">
        <v>133</v>
      </c>
      <c r="H519" s="14"/>
      <c r="J519">
        <v>22.497043787350957</v>
      </c>
      <c r="M519">
        <v>45.599999999999994</v>
      </c>
      <c r="N519">
        <v>45.599999999999994</v>
      </c>
      <c r="O519">
        <v>17.852471517453132</v>
      </c>
      <c r="S519">
        <v>0.12455916337168897</v>
      </c>
      <c r="T519">
        <v>0</v>
      </c>
      <c r="U519">
        <v>0.96825168288240016</v>
      </c>
      <c r="V519">
        <v>0</v>
      </c>
      <c r="W519">
        <v>0</v>
      </c>
      <c r="X519">
        <v>3.5614394693461719E-2</v>
      </c>
      <c r="Y519">
        <v>1.3736254657187627E-2</v>
      </c>
      <c r="Z519">
        <v>0</v>
      </c>
      <c r="AA519">
        <v>0.1103896103896104</v>
      </c>
      <c r="AB519">
        <v>1.4480986985541162E-2</v>
      </c>
      <c r="AC519">
        <v>5.0963581169720759E-2</v>
      </c>
      <c r="AD519">
        <v>0</v>
      </c>
      <c r="AE519">
        <v>0.29378439630651093</v>
      </c>
      <c r="AF519">
        <v>0</v>
      </c>
      <c r="AG519">
        <v>0.44336843813562976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84" x14ac:dyDescent="0.25">
      <c r="A520" t="s">
        <v>128</v>
      </c>
      <c r="B520" t="s">
        <v>421</v>
      </c>
      <c r="C520" s="14" t="s">
        <v>72</v>
      </c>
      <c r="D520" s="12">
        <v>46250</v>
      </c>
      <c r="E520" s="14" t="s">
        <v>134</v>
      </c>
      <c r="F520" s="14" t="s">
        <v>134</v>
      </c>
      <c r="G520" s="14" t="s">
        <v>134</v>
      </c>
      <c r="H520" s="14" t="s">
        <v>75</v>
      </c>
      <c r="I520">
        <v>20</v>
      </c>
      <c r="J520">
        <v>2.4468546637744031</v>
      </c>
      <c r="K520">
        <v>46250</v>
      </c>
      <c r="L520" t="s">
        <v>503</v>
      </c>
      <c r="M520">
        <v>6.6499999999999995</v>
      </c>
      <c r="N520">
        <v>6.6499999999999995</v>
      </c>
      <c r="O520">
        <v>1.7716262975778552</v>
      </c>
      <c r="P520">
        <v>2.7177748226950356</v>
      </c>
      <c r="Q520">
        <v>2.7177748226950356</v>
      </c>
      <c r="R520">
        <v>0.72404230778669443</v>
      </c>
      <c r="S520">
        <v>0</v>
      </c>
      <c r="T520">
        <v>0</v>
      </c>
      <c r="U520">
        <v>1.4677748226950356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0.25</v>
      </c>
      <c r="AB520">
        <v>0</v>
      </c>
      <c r="AC520">
        <v>0</v>
      </c>
      <c r="AD520">
        <v>0</v>
      </c>
      <c r="AE520">
        <v>0.27595769221330557</v>
      </c>
      <c r="AF520">
        <v>0</v>
      </c>
      <c r="AG520">
        <v>0.72404230778669443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0.36794806974051175</v>
      </c>
      <c r="AN520">
        <v>0.36794806974051175</v>
      </c>
      <c r="AO520">
        <v>0.26640996956057977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0.63205193025948825</v>
      </c>
      <c r="BA520">
        <v>0</v>
      </c>
      <c r="BB520">
        <v>0.10153810017993198</v>
      </c>
      <c r="BC520">
        <v>0</v>
      </c>
      <c r="BD520">
        <v>0.26640996956057977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3.7536132812499985</v>
      </c>
      <c r="BK520">
        <v>3.7536132812499985</v>
      </c>
      <c r="BL520">
        <v>1.3811347613882858</v>
      </c>
      <c r="CC520">
        <v>0</v>
      </c>
      <c r="CD520">
        <v>0</v>
      </c>
      <c r="CE520">
        <v>0</v>
      </c>
    </row>
    <row r="521" spans="1:84" x14ac:dyDescent="0.25">
      <c r="A521" t="s">
        <v>128</v>
      </c>
      <c r="B521" t="s">
        <v>421</v>
      </c>
      <c r="C521" s="14" t="s">
        <v>72</v>
      </c>
      <c r="D521" s="12">
        <v>46250</v>
      </c>
      <c r="E521" s="14" t="s">
        <v>134</v>
      </c>
      <c r="F521" s="14" t="s">
        <v>134</v>
      </c>
      <c r="G521" s="14" t="s">
        <v>134</v>
      </c>
      <c r="H521" s="14" t="s">
        <v>74</v>
      </c>
      <c r="I521">
        <v>20</v>
      </c>
      <c r="J521">
        <v>2.7731019522776572</v>
      </c>
      <c r="K521">
        <v>46250</v>
      </c>
      <c r="L521" t="s">
        <v>502</v>
      </c>
      <c r="M521">
        <v>0</v>
      </c>
      <c r="N521">
        <v>0</v>
      </c>
      <c r="O521">
        <v>0.18823529411764703</v>
      </c>
      <c r="P521">
        <v>0</v>
      </c>
      <c r="Q521">
        <v>0</v>
      </c>
      <c r="R521">
        <v>6.7878966355002568E-2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6.7878966355002568E-2</v>
      </c>
      <c r="AC521">
        <v>0.93212103364499743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14.732104121475055</v>
      </c>
      <c r="BM521">
        <v>13.732104121475055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</row>
    <row r="522" spans="1:84" x14ac:dyDescent="0.25">
      <c r="A522" t="s">
        <v>128</v>
      </c>
      <c r="B522" t="s">
        <v>421</v>
      </c>
      <c r="C522" s="14" t="s">
        <v>72</v>
      </c>
      <c r="D522" s="12">
        <v>46250</v>
      </c>
      <c r="E522" s="14" t="s">
        <v>134</v>
      </c>
      <c r="F522" s="14" t="s">
        <v>134</v>
      </c>
      <c r="G522" s="14" t="s">
        <v>134</v>
      </c>
      <c r="H522" s="14" t="s">
        <v>73</v>
      </c>
      <c r="I522">
        <v>20</v>
      </c>
      <c r="J522">
        <v>0</v>
      </c>
      <c r="K522">
        <v>46250</v>
      </c>
      <c r="L522" t="s">
        <v>501</v>
      </c>
      <c r="M522">
        <v>0.95</v>
      </c>
      <c r="N522">
        <v>0.95</v>
      </c>
      <c r="O522">
        <v>0.23529411764705879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0.24767801857585137</v>
      </c>
      <c r="AK522">
        <v>0</v>
      </c>
      <c r="AL522">
        <v>0</v>
      </c>
      <c r="AM522">
        <v>0</v>
      </c>
      <c r="AN522">
        <v>0</v>
      </c>
      <c r="AO522">
        <v>0.24767801857585137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0.75232198142414863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I522">
        <v>0</v>
      </c>
      <c r="BJ522">
        <v>4.0375000000000005</v>
      </c>
      <c r="BK522">
        <v>4.0375000000000005</v>
      </c>
      <c r="BL522">
        <v>0</v>
      </c>
      <c r="CC522">
        <v>0.75232198142414863</v>
      </c>
      <c r="CD522">
        <v>0.24767801857585137</v>
      </c>
    </row>
    <row r="523" spans="1:84" x14ac:dyDescent="0.25">
      <c r="A523" t="s">
        <v>128</v>
      </c>
      <c r="B523" t="s">
        <v>421</v>
      </c>
      <c r="C523" s="14" t="s">
        <v>72</v>
      </c>
      <c r="D523" s="12">
        <v>46249</v>
      </c>
      <c r="E523" s="14" t="s">
        <v>134</v>
      </c>
      <c r="F523" s="14" t="s">
        <v>134</v>
      </c>
      <c r="G523" s="14" t="s">
        <v>134</v>
      </c>
      <c r="H523" s="14" t="s">
        <v>75</v>
      </c>
      <c r="I523">
        <v>20</v>
      </c>
      <c r="J523">
        <v>2.4468546637744031</v>
      </c>
      <c r="K523">
        <v>46249</v>
      </c>
      <c r="L523" t="s">
        <v>500</v>
      </c>
      <c r="M523">
        <v>5.6999999999999993</v>
      </c>
      <c r="N523">
        <v>5.6999999999999993</v>
      </c>
      <c r="O523">
        <v>1.7716262975778552</v>
      </c>
      <c r="P523">
        <v>2.3295212765957447</v>
      </c>
      <c r="Q523">
        <v>2.3295212765957447</v>
      </c>
      <c r="R523">
        <v>0.72404230778669443</v>
      </c>
      <c r="S523">
        <v>0</v>
      </c>
      <c r="T523">
        <v>0</v>
      </c>
      <c r="U523">
        <v>1.0795212765957447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0.25</v>
      </c>
      <c r="AB523">
        <v>0</v>
      </c>
      <c r="AC523">
        <v>0</v>
      </c>
      <c r="AD523">
        <v>0</v>
      </c>
      <c r="AE523">
        <v>0.27595769221330557</v>
      </c>
      <c r="AF523">
        <v>0</v>
      </c>
      <c r="AG523">
        <v>0.72404230778669443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0.42927274803059706</v>
      </c>
      <c r="AN523">
        <v>0.42927274803059706</v>
      </c>
      <c r="AO523">
        <v>0.31081163115400973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0.57072725196940288</v>
      </c>
      <c r="BA523">
        <v>0</v>
      </c>
      <c r="BB523">
        <v>0.11846111687658734</v>
      </c>
      <c r="BC523">
        <v>0</v>
      </c>
      <c r="BD523">
        <v>0.31081163115400973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3.2173828124999986</v>
      </c>
      <c r="BK523">
        <v>3.2173828124999986</v>
      </c>
      <c r="BL523">
        <v>1.3811347613882858</v>
      </c>
      <c r="CC523">
        <v>0</v>
      </c>
      <c r="CD523">
        <v>0</v>
      </c>
      <c r="CE523">
        <v>0</v>
      </c>
    </row>
    <row r="524" spans="1:84" x14ac:dyDescent="0.25">
      <c r="A524" t="s">
        <v>128</v>
      </c>
      <c r="B524" t="s">
        <v>421</v>
      </c>
      <c r="C524" s="14" t="s">
        <v>72</v>
      </c>
      <c r="D524" s="12">
        <v>46249</v>
      </c>
      <c r="E524" s="14" t="s">
        <v>134</v>
      </c>
      <c r="F524" s="14" t="s">
        <v>134</v>
      </c>
      <c r="G524" s="14" t="s">
        <v>134</v>
      </c>
      <c r="H524" s="14" t="s">
        <v>74</v>
      </c>
      <c r="I524">
        <v>20</v>
      </c>
      <c r="J524">
        <v>2.6099783080260304</v>
      </c>
      <c r="K524">
        <v>46249</v>
      </c>
      <c r="L524" t="s">
        <v>499</v>
      </c>
      <c r="M524">
        <v>0</v>
      </c>
      <c r="N524">
        <v>0</v>
      </c>
      <c r="O524">
        <v>2.0078431372549019</v>
      </c>
      <c r="P524">
        <v>0</v>
      </c>
      <c r="Q524">
        <v>0</v>
      </c>
      <c r="R524">
        <v>0.76929495202336251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0.76929495202336251</v>
      </c>
      <c r="AC524">
        <v>0.23070504797663749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J524">
        <v>0</v>
      </c>
      <c r="BK524">
        <v>0</v>
      </c>
      <c r="BL524">
        <v>1.2998915401301518</v>
      </c>
      <c r="BM524">
        <v>0.29989154013015185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1</v>
      </c>
      <c r="CF524">
        <v>1</v>
      </c>
    </row>
    <row r="525" spans="1:84" x14ac:dyDescent="0.25">
      <c r="A525" t="s">
        <v>128</v>
      </c>
      <c r="B525" t="s">
        <v>421</v>
      </c>
      <c r="C525" s="14" t="s">
        <v>72</v>
      </c>
      <c r="D525" s="12">
        <v>46249</v>
      </c>
      <c r="E525" s="14" t="s">
        <v>134</v>
      </c>
      <c r="F525" s="14" t="s">
        <v>134</v>
      </c>
      <c r="G525" s="14" t="s">
        <v>134</v>
      </c>
      <c r="H525" s="14" t="s">
        <v>73</v>
      </c>
      <c r="I525">
        <v>20</v>
      </c>
      <c r="J525">
        <v>0</v>
      </c>
      <c r="K525">
        <v>46249</v>
      </c>
      <c r="L525" t="s">
        <v>498</v>
      </c>
      <c r="M525">
        <v>0.95</v>
      </c>
      <c r="N525">
        <v>0.95</v>
      </c>
      <c r="O525">
        <v>0.23529411764705879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0.24767801857585137</v>
      </c>
      <c r="AK525">
        <v>0</v>
      </c>
      <c r="AL525">
        <v>0</v>
      </c>
      <c r="AM525">
        <v>0</v>
      </c>
      <c r="AN525">
        <v>0</v>
      </c>
      <c r="AO525">
        <v>0.24767801857585137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0.75232198142414863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I525">
        <v>0</v>
      </c>
      <c r="BJ525">
        <v>4.0375000000000005</v>
      </c>
      <c r="BK525">
        <v>4.0375000000000005</v>
      </c>
      <c r="BL525">
        <v>0</v>
      </c>
      <c r="CC525">
        <v>0.75232198142414863</v>
      </c>
      <c r="CD525">
        <v>0.24767801857585137</v>
      </c>
    </row>
    <row r="526" spans="1:84" x14ac:dyDescent="0.25">
      <c r="A526" t="s">
        <v>128</v>
      </c>
      <c r="B526" t="s">
        <v>421</v>
      </c>
      <c r="C526" s="14" t="s">
        <v>72</v>
      </c>
      <c r="D526" s="12">
        <v>46248</v>
      </c>
      <c r="E526" s="14" t="s">
        <v>134</v>
      </c>
      <c r="F526" s="14" t="s">
        <v>134</v>
      </c>
      <c r="G526" s="14" t="s">
        <v>134</v>
      </c>
      <c r="H526" s="14" t="s">
        <v>75</v>
      </c>
      <c r="I526">
        <v>20</v>
      </c>
      <c r="J526">
        <v>2.4468546637744035</v>
      </c>
      <c r="K526">
        <v>46248</v>
      </c>
      <c r="L526" t="s">
        <v>497</v>
      </c>
      <c r="M526">
        <v>2.8499999999999996</v>
      </c>
      <c r="N526">
        <v>2.8499999999999996</v>
      </c>
      <c r="O526">
        <v>1.7716262975778552</v>
      </c>
      <c r="P526">
        <v>1.1647606382978721</v>
      </c>
      <c r="Q526">
        <v>1.1647606382978721</v>
      </c>
      <c r="R526">
        <v>0.72404230778669432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0.16476063829787213</v>
      </c>
      <c r="AB526">
        <v>0</v>
      </c>
      <c r="AC526">
        <v>0</v>
      </c>
      <c r="AD526">
        <v>0</v>
      </c>
      <c r="AE526">
        <v>0.27595769221330568</v>
      </c>
      <c r="AF526">
        <v>0</v>
      </c>
      <c r="AG526">
        <v>0.72404230778669432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0.85854549606119435</v>
      </c>
      <c r="AN526">
        <v>0.85854549606119435</v>
      </c>
      <c r="AO526">
        <v>0.62162326230801945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0.14145450393880565</v>
      </c>
      <c r="BA526">
        <v>0</v>
      </c>
      <c r="BB526">
        <v>0.23692223375317489</v>
      </c>
      <c r="BC526">
        <v>0</v>
      </c>
      <c r="BD526">
        <v>0.62162326230801945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1.6086914062499993</v>
      </c>
      <c r="BK526">
        <v>1.6086914062499993</v>
      </c>
      <c r="BL526">
        <v>1.3811347613882861</v>
      </c>
      <c r="CC526">
        <v>0</v>
      </c>
      <c r="CD526">
        <v>0</v>
      </c>
      <c r="CE526">
        <v>0</v>
      </c>
    </row>
    <row r="527" spans="1:84" x14ac:dyDescent="0.25">
      <c r="A527" t="s">
        <v>128</v>
      </c>
      <c r="B527" t="s">
        <v>421</v>
      </c>
      <c r="C527" s="14" t="s">
        <v>72</v>
      </c>
      <c r="D527" s="12">
        <v>46248</v>
      </c>
      <c r="E527" s="14" t="s">
        <v>134</v>
      </c>
      <c r="F527" s="14" t="s">
        <v>134</v>
      </c>
      <c r="G527" s="14" t="s">
        <v>134</v>
      </c>
      <c r="H527" s="14" t="s">
        <v>74</v>
      </c>
      <c r="I527">
        <v>20</v>
      </c>
      <c r="J527">
        <v>2.7731019522776572</v>
      </c>
      <c r="K527">
        <v>46248</v>
      </c>
      <c r="L527" t="s">
        <v>496</v>
      </c>
      <c r="M527">
        <v>0</v>
      </c>
      <c r="N527">
        <v>0</v>
      </c>
      <c r="O527">
        <v>2.0078431372549019</v>
      </c>
      <c r="P527">
        <v>0</v>
      </c>
      <c r="Q527">
        <v>0</v>
      </c>
      <c r="R527">
        <v>0.72404230778669421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0.72404230778669421</v>
      </c>
      <c r="AC527">
        <v>0.27595769221330579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J527">
        <v>0</v>
      </c>
      <c r="BK527">
        <v>0</v>
      </c>
      <c r="BL527">
        <v>1.3811347613882863</v>
      </c>
      <c r="BM527">
        <v>0.38113476138828628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</v>
      </c>
      <c r="CF527">
        <v>1</v>
      </c>
    </row>
    <row r="528" spans="1:84" x14ac:dyDescent="0.25">
      <c r="A528" t="s">
        <v>128</v>
      </c>
      <c r="B528" t="s">
        <v>421</v>
      </c>
      <c r="C528" s="14" t="s">
        <v>72</v>
      </c>
      <c r="D528" s="12">
        <v>46248</v>
      </c>
      <c r="E528" s="14" t="s">
        <v>134</v>
      </c>
      <c r="F528" s="14" t="s">
        <v>134</v>
      </c>
      <c r="G528" s="14" t="s">
        <v>134</v>
      </c>
      <c r="H528" s="14" t="s">
        <v>73</v>
      </c>
      <c r="I528">
        <v>20</v>
      </c>
      <c r="J528">
        <v>3.7467462039045554</v>
      </c>
      <c r="K528">
        <v>46248</v>
      </c>
      <c r="L528" t="s">
        <v>495</v>
      </c>
      <c r="M528">
        <v>4.75</v>
      </c>
      <c r="N528">
        <v>4.75</v>
      </c>
      <c r="O528">
        <v>0.23529411764705879</v>
      </c>
      <c r="P528">
        <v>1.2677666811405413</v>
      </c>
      <c r="Q528">
        <v>1.2677666811405413</v>
      </c>
      <c r="R528">
        <v>6.2799587920274486E-2</v>
      </c>
      <c r="S528">
        <v>0</v>
      </c>
      <c r="T528">
        <v>0</v>
      </c>
      <c r="U528">
        <v>1.7766681140541252E-2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0.25</v>
      </c>
      <c r="AB528">
        <v>0</v>
      </c>
      <c r="AC528">
        <v>0</v>
      </c>
      <c r="AD528">
        <v>0</v>
      </c>
      <c r="AE528">
        <v>0.93720041207972549</v>
      </c>
      <c r="AF528">
        <v>0</v>
      </c>
      <c r="AG528">
        <v>6.2799587920274486E-2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0.78878867450622214</v>
      </c>
      <c r="AN528">
        <v>0.78878867450622214</v>
      </c>
      <c r="AO528">
        <v>4.9535603715170275E-2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0.21121132549377786</v>
      </c>
      <c r="BA528">
        <v>0</v>
      </c>
      <c r="BB528">
        <v>0.73925307079105185</v>
      </c>
      <c r="BC528">
        <v>0</v>
      </c>
      <c r="BD528">
        <v>4.9535603715170275E-2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20.187500000000004</v>
      </c>
      <c r="BK528">
        <v>20.187500000000004</v>
      </c>
      <c r="BL528">
        <v>15.923671366594363</v>
      </c>
      <c r="CC528">
        <v>0</v>
      </c>
      <c r="CD528">
        <v>0</v>
      </c>
      <c r="CE528">
        <v>0</v>
      </c>
    </row>
    <row r="529" spans="1:84" x14ac:dyDescent="0.25">
      <c r="A529" t="s">
        <v>128</v>
      </c>
      <c r="B529" t="s">
        <v>421</v>
      </c>
      <c r="C529" s="14" t="s">
        <v>72</v>
      </c>
      <c r="D529" s="12">
        <v>46247</v>
      </c>
      <c r="E529" s="14" t="s">
        <v>134</v>
      </c>
      <c r="F529" s="14" t="s">
        <v>134</v>
      </c>
      <c r="G529" s="14" t="s">
        <v>134</v>
      </c>
      <c r="H529" s="14" t="s">
        <v>75</v>
      </c>
      <c r="I529">
        <v>20</v>
      </c>
      <c r="J529">
        <v>2.4468546637744035</v>
      </c>
      <c r="K529">
        <v>46247</v>
      </c>
      <c r="L529" t="s">
        <v>494</v>
      </c>
      <c r="M529">
        <v>1.9</v>
      </c>
      <c r="N529">
        <v>1.9</v>
      </c>
      <c r="O529">
        <v>1.7716262975778552</v>
      </c>
      <c r="P529">
        <v>0.77650709219858149</v>
      </c>
      <c r="Q529">
        <v>0.77650709219858149</v>
      </c>
      <c r="R529">
        <v>0.72404230778669432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0.22349290780141851</v>
      </c>
      <c r="AD529">
        <v>0</v>
      </c>
      <c r="AE529">
        <v>5.2464784411887178E-2</v>
      </c>
      <c r="AF529">
        <v>0</v>
      </c>
      <c r="AG529">
        <v>0.72404230778669432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1.2878182440917914</v>
      </c>
      <c r="AN529">
        <v>1.2878182440917914</v>
      </c>
      <c r="AO529">
        <v>0.93243489346202912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0.28781824409179135</v>
      </c>
      <c r="AY529">
        <v>0</v>
      </c>
      <c r="AZ529">
        <v>0</v>
      </c>
      <c r="BA529">
        <v>0</v>
      </c>
      <c r="BB529">
        <v>6.7565106537970876E-2</v>
      </c>
      <c r="BC529">
        <v>0</v>
      </c>
      <c r="BD529">
        <v>0.93243489346202912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1.0724609374999996</v>
      </c>
      <c r="BK529">
        <v>1.0724609374999996</v>
      </c>
      <c r="BL529">
        <v>1.3811347613882861</v>
      </c>
      <c r="BM529">
        <v>0.30867382388828646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7.24609374999996E-2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0</v>
      </c>
    </row>
    <row r="530" spans="1:84" x14ac:dyDescent="0.25">
      <c r="A530" t="s">
        <v>128</v>
      </c>
      <c r="B530" t="s">
        <v>421</v>
      </c>
      <c r="C530" s="14" t="s">
        <v>72</v>
      </c>
      <c r="D530" s="12">
        <v>46247</v>
      </c>
      <c r="E530" s="14" t="s">
        <v>134</v>
      </c>
      <c r="F530" s="14" t="s">
        <v>134</v>
      </c>
      <c r="G530" s="14" t="s">
        <v>134</v>
      </c>
      <c r="H530" s="14" t="s">
        <v>74</v>
      </c>
      <c r="I530">
        <v>20</v>
      </c>
      <c r="J530">
        <v>2.7731019522776572</v>
      </c>
      <c r="K530">
        <v>46247</v>
      </c>
      <c r="L530" t="s">
        <v>493</v>
      </c>
      <c r="M530">
        <v>0</v>
      </c>
      <c r="N530">
        <v>0</v>
      </c>
      <c r="O530">
        <v>2.0078431372549019</v>
      </c>
      <c r="P530">
        <v>0</v>
      </c>
      <c r="Q530">
        <v>0</v>
      </c>
      <c r="R530">
        <v>0.72404230778669421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0.72404230778669421</v>
      </c>
      <c r="AC530">
        <v>0.27595769221330579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</v>
      </c>
      <c r="BJ530">
        <v>0</v>
      </c>
      <c r="BK530">
        <v>0</v>
      </c>
      <c r="BL530">
        <v>1.3811347613882863</v>
      </c>
      <c r="BM530">
        <v>0.38113476138828628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1</v>
      </c>
      <c r="CF530">
        <v>1</v>
      </c>
    </row>
    <row r="531" spans="1:84" x14ac:dyDescent="0.25">
      <c r="A531" t="s">
        <v>128</v>
      </c>
      <c r="B531" t="s">
        <v>421</v>
      </c>
      <c r="C531" s="14" t="s">
        <v>72</v>
      </c>
      <c r="D531" s="12">
        <v>46247</v>
      </c>
      <c r="E531" s="14" t="s">
        <v>134</v>
      </c>
      <c r="F531" s="14" t="s">
        <v>134</v>
      </c>
      <c r="G531" s="14" t="s">
        <v>134</v>
      </c>
      <c r="H531" s="14" t="s">
        <v>73</v>
      </c>
      <c r="I531">
        <v>20</v>
      </c>
      <c r="J531">
        <v>2.5233188720173527</v>
      </c>
      <c r="K531">
        <v>46247</v>
      </c>
      <c r="L531" t="s">
        <v>492</v>
      </c>
      <c r="M531">
        <v>2.8499999999999996</v>
      </c>
      <c r="N531">
        <v>2.8499999999999996</v>
      </c>
      <c r="O531">
        <v>0.23529411764705879</v>
      </c>
      <c r="P531">
        <v>1.1294648613797553</v>
      </c>
      <c r="Q531">
        <v>1.1294648613797553</v>
      </c>
      <c r="R531">
        <v>9.3247872972528817E-2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0.12946486137975532</v>
      </c>
      <c r="AB531">
        <v>0</v>
      </c>
      <c r="AC531">
        <v>0</v>
      </c>
      <c r="AD531">
        <v>0</v>
      </c>
      <c r="AE531">
        <v>0.90675212702747121</v>
      </c>
      <c r="AF531">
        <v>0</v>
      </c>
      <c r="AG531">
        <v>9.3247872972528817E-2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0.88537504281310631</v>
      </c>
      <c r="AN531">
        <v>0.88537504281310631</v>
      </c>
      <c r="AO531">
        <v>8.2559339525283798E-2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0.11462495718689369</v>
      </c>
      <c r="BA531">
        <v>0</v>
      </c>
      <c r="BB531">
        <v>0.80281570328782248</v>
      </c>
      <c r="BC531">
        <v>0</v>
      </c>
      <c r="BD531">
        <v>8.2559339525283798E-2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12.112500000000001</v>
      </c>
      <c r="BK531">
        <v>12.112500000000001</v>
      </c>
      <c r="BL531">
        <v>10.72410520607375</v>
      </c>
      <c r="CC531">
        <v>0</v>
      </c>
      <c r="CD531">
        <v>0</v>
      </c>
      <c r="CE531">
        <v>0</v>
      </c>
    </row>
    <row r="532" spans="1:84" x14ac:dyDescent="0.25">
      <c r="A532" t="s">
        <v>128</v>
      </c>
      <c r="B532" t="s">
        <v>421</v>
      </c>
      <c r="C532" s="14" t="s">
        <v>72</v>
      </c>
      <c r="D532" s="12">
        <v>46246</v>
      </c>
      <c r="E532" s="14" t="s">
        <v>134</v>
      </c>
      <c r="F532" s="14" t="s">
        <v>134</v>
      </c>
      <c r="G532" s="14" t="s">
        <v>134</v>
      </c>
      <c r="H532" s="14" t="s">
        <v>75</v>
      </c>
      <c r="I532">
        <v>20</v>
      </c>
      <c r="J532">
        <v>2.4468546637744035</v>
      </c>
      <c r="K532">
        <v>46246</v>
      </c>
      <c r="L532" t="s">
        <v>491</v>
      </c>
      <c r="M532">
        <v>0.95</v>
      </c>
      <c r="N532">
        <v>0.95</v>
      </c>
      <c r="O532">
        <v>1.7716262975778552</v>
      </c>
      <c r="P532">
        <v>0.38825354609929075</v>
      </c>
      <c r="Q532">
        <v>0.38825354609929075</v>
      </c>
      <c r="R532">
        <v>0.72404230778669432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0.33578876168740357</v>
      </c>
      <c r="AC532">
        <v>0.27595769221330568</v>
      </c>
      <c r="AD532">
        <v>0</v>
      </c>
      <c r="AE532">
        <v>0</v>
      </c>
      <c r="AF532">
        <v>0</v>
      </c>
      <c r="AG532">
        <v>0.38825354609929075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2.5756364881835827</v>
      </c>
      <c r="AN532">
        <v>2.5756364881835827</v>
      </c>
      <c r="AO532">
        <v>1.8648697869240582</v>
      </c>
      <c r="BF532">
        <v>0</v>
      </c>
      <c r="BG532">
        <v>0</v>
      </c>
      <c r="BH532">
        <v>0</v>
      </c>
      <c r="BJ532">
        <v>0.5362304687499998</v>
      </c>
      <c r="BK532">
        <v>0.5362304687499998</v>
      </c>
      <c r="BL532">
        <v>1.3811347613882861</v>
      </c>
      <c r="BM532">
        <v>0.38113476138828606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0.61174645390070925</v>
      </c>
      <c r="BW532">
        <v>0</v>
      </c>
      <c r="BX532">
        <v>0</v>
      </c>
      <c r="BY532">
        <v>0</v>
      </c>
      <c r="BZ532">
        <v>0</v>
      </c>
      <c r="CA532">
        <v>0.5362304687499998</v>
      </c>
      <c r="CB532">
        <v>0</v>
      </c>
      <c r="CC532">
        <v>0</v>
      </c>
      <c r="CD532">
        <v>0</v>
      </c>
      <c r="CE532">
        <v>0</v>
      </c>
      <c r="CF532">
        <v>0</v>
      </c>
    </row>
    <row r="533" spans="1:84" x14ac:dyDescent="0.25">
      <c r="A533" t="s">
        <v>128</v>
      </c>
      <c r="B533" t="s">
        <v>421</v>
      </c>
      <c r="C533" s="14" t="s">
        <v>72</v>
      </c>
      <c r="D533" s="12">
        <v>46246</v>
      </c>
      <c r="E533" s="14" t="s">
        <v>134</v>
      </c>
      <c r="F533" s="14" t="s">
        <v>134</v>
      </c>
      <c r="G533" s="14" t="s">
        <v>134</v>
      </c>
      <c r="H533" s="14" t="s">
        <v>74</v>
      </c>
      <c r="I533">
        <v>20</v>
      </c>
      <c r="J533">
        <v>2.7731019522776572</v>
      </c>
      <c r="K533">
        <v>46246</v>
      </c>
      <c r="L533" t="s">
        <v>490</v>
      </c>
      <c r="M533">
        <v>0</v>
      </c>
      <c r="N533">
        <v>0</v>
      </c>
      <c r="O533">
        <v>2.0078431372549019</v>
      </c>
      <c r="P533">
        <v>0</v>
      </c>
      <c r="Q533">
        <v>0</v>
      </c>
      <c r="R533">
        <v>0.72404230778669421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0.72404230778669421</v>
      </c>
      <c r="AC533">
        <v>0.27595769221330579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J533">
        <v>0</v>
      </c>
      <c r="BK533">
        <v>0</v>
      </c>
      <c r="BL533">
        <v>1.3811347613882863</v>
      </c>
      <c r="BM533">
        <v>0.38113476138828628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1</v>
      </c>
      <c r="CF533">
        <v>1</v>
      </c>
    </row>
    <row r="534" spans="1:84" x14ac:dyDescent="0.25">
      <c r="A534" t="s">
        <v>128</v>
      </c>
      <c r="B534" t="s">
        <v>421</v>
      </c>
      <c r="C534" s="14" t="s">
        <v>72</v>
      </c>
      <c r="D534" s="12">
        <v>46246</v>
      </c>
      <c r="E534" s="14" t="s">
        <v>134</v>
      </c>
      <c r="F534" s="14" t="s">
        <v>134</v>
      </c>
      <c r="G534" s="14" t="s">
        <v>134</v>
      </c>
      <c r="H534" s="14" t="s">
        <v>73</v>
      </c>
      <c r="I534">
        <v>20</v>
      </c>
      <c r="J534">
        <v>3.8996746203904542</v>
      </c>
      <c r="K534">
        <v>46246</v>
      </c>
      <c r="L534" t="s">
        <v>489</v>
      </c>
      <c r="M534">
        <v>2.8499999999999996</v>
      </c>
      <c r="N534">
        <v>2.8499999999999996</v>
      </c>
      <c r="O534">
        <v>0.23529411764705879</v>
      </c>
      <c r="P534">
        <v>0.7308302044221946</v>
      </c>
      <c r="Q534">
        <v>0.7308302044221946</v>
      </c>
      <c r="R534">
        <v>6.0336858982224524E-2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0.2691697955778054</v>
      </c>
      <c r="AD534">
        <v>0</v>
      </c>
      <c r="AE534">
        <v>0.67049334543997008</v>
      </c>
      <c r="AF534">
        <v>0</v>
      </c>
      <c r="AG534">
        <v>6.0336858982224524E-2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1.3683068843475279</v>
      </c>
      <c r="AN534">
        <v>1.3683068843475279</v>
      </c>
      <c r="AO534">
        <v>8.2559339525283798E-2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0.3683068843475279</v>
      </c>
      <c r="AY534">
        <v>0</v>
      </c>
      <c r="AZ534">
        <v>0</v>
      </c>
      <c r="BA534">
        <v>0</v>
      </c>
      <c r="BB534">
        <v>0.91744066047471617</v>
      </c>
      <c r="BC534">
        <v>0</v>
      </c>
      <c r="BD534">
        <v>8.2559339525283798E-2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12.112500000000001</v>
      </c>
      <c r="BK534">
        <v>12.112500000000001</v>
      </c>
      <c r="BL534">
        <v>16.573617136659433</v>
      </c>
      <c r="CC534">
        <v>0</v>
      </c>
      <c r="CD534">
        <v>0</v>
      </c>
      <c r="CE534">
        <v>0</v>
      </c>
    </row>
    <row r="535" spans="1:84" x14ac:dyDescent="0.25">
      <c r="A535" t="s">
        <v>128</v>
      </c>
      <c r="B535" t="s">
        <v>421</v>
      </c>
      <c r="C535" s="14" t="s">
        <v>72</v>
      </c>
      <c r="D535" s="12">
        <v>46245</v>
      </c>
      <c r="E535" s="14" t="s">
        <v>134</v>
      </c>
      <c r="F535" s="14" t="s">
        <v>134</v>
      </c>
      <c r="G535" s="14" t="s">
        <v>134</v>
      </c>
      <c r="H535" s="14" t="s">
        <v>75</v>
      </c>
      <c r="I535">
        <v>20</v>
      </c>
      <c r="J535">
        <v>2.446854663774404</v>
      </c>
      <c r="K535">
        <v>46245</v>
      </c>
      <c r="L535" t="s">
        <v>488</v>
      </c>
      <c r="M535">
        <v>2.8499999999999996</v>
      </c>
      <c r="N535">
        <v>2.8499999999999996</v>
      </c>
      <c r="O535">
        <v>1.7716262975778547</v>
      </c>
      <c r="P535">
        <v>1.1647606382978719</v>
      </c>
      <c r="Q535">
        <v>1.1647606382978719</v>
      </c>
      <c r="R535">
        <v>0.72404230778669398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0.16476063829787191</v>
      </c>
      <c r="AB535">
        <v>0</v>
      </c>
      <c r="AC535">
        <v>0</v>
      </c>
      <c r="AD535">
        <v>0</v>
      </c>
      <c r="AE535">
        <v>0.27595769221330602</v>
      </c>
      <c r="AF535">
        <v>0</v>
      </c>
      <c r="AG535">
        <v>0.72404230778669398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0.85854549606119446</v>
      </c>
      <c r="AN535">
        <v>0.85854549606119446</v>
      </c>
      <c r="AO535">
        <v>0.62162326230801923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0.14145450393880554</v>
      </c>
      <c r="BA535">
        <v>0</v>
      </c>
      <c r="BB535">
        <v>0.23692223375317523</v>
      </c>
      <c r="BC535">
        <v>0</v>
      </c>
      <c r="BD535">
        <v>0.62162326230801923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1.6086914062499997</v>
      </c>
      <c r="BK535">
        <v>1.6086914062499997</v>
      </c>
      <c r="BL535">
        <v>1.3811347613882865</v>
      </c>
      <c r="CC535">
        <v>0</v>
      </c>
      <c r="CD535">
        <v>0</v>
      </c>
      <c r="CE535">
        <v>0</v>
      </c>
    </row>
    <row r="536" spans="1:84" x14ac:dyDescent="0.25">
      <c r="A536" t="s">
        <v>128</v>
      </c>
      <c r="B536" t="s">
        <v>421</v>
      </c>
      <c r="C536" s="14" t="s">
        <v>109</v>
      </c>
      <c r="D536" s="12">
        <v>46227</v>
      </c>
      <c r="E536" s="14" t="s">
        <v>420</v>
      </c>
      <c r="F536" s="14" t="s">
        <v>420</v>
      </c>
      <c r="G536" s="14" t="s">
        <v>420</v>
      </c>
      <c r="H536" s="14"/>
      <c r="J536">
        <v>3.2997955746152661</v>
      </c>
      <c r="M536">
        <v>1.9</v>
      </c>
      <c r="N536">
        <v>1.9</v>
      </c>
      <c r="O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0.71210337776431398</v>
      </c>
      <c r="AD536">
        <v>0</v>
      </c>
      <c r="AE536">
        <v>0</v>
      </c>
      <c r="AF536">
        <v>0</v>
      </c>
      <c r="AG536">
        <v>0</v>
      </c>
      <c r="AH536">
        <v>0.28789662223568607</v>
      </c>
      <c r="AI536">
        <v>0</v>
      </c>
      <c r="AJ536">
        <v>0</v>
      </c>
      <c r="AK536">
        <v>0</v>
      </c>
      <c r="AL536">
        <v>0</v>
      </c>
    </row>
    <row r="537" spans="1:84" x14ac:dyDescent="0.25">
      <c r="A537" t="s">
        <v>128</v>
      </c>
      <c r="B537" t="s">
        <v>421</v>
      </c>
      <c r="C537" s="14" t="s">
        <v>72</v>
      </c>
      <c r="D537" s="12">
        <v>46245</v>
      </c>
      <c r="E537" s="14" t="s">
        <v>134</v>
      </c>
      <c r="F537" s="14" t="s">
        <v>134</v>
      </c>
      <c r="G537" s="14" t="s">
        <v>134</v>
      </c>
      <c r="H537" s="14" t="s">
        <v>73</v>
      </c>
      <c r="I537">
        <v>20</v>
      </c>
      <c r="J537">
        <v>3.8232104121475055</v>
      </c>
      <c r="K537">
        <v>46245</v>
      </c>
      <c r="L537" t="s">
        <v>486</v>
      </c>
      <c r="M537">
        <v>0.95</v>
      </c>
      <c r="N537">
        <v>0.95</v>
      </c>
      <c r="O537">
        <v>0.23529411764705879</v>
      </c>
      <c r="P537">
        <v>0.2484822695035461</v>
      </c>
      <c r="Q537">
        <v>0.2484822695035461</v>
      </c>
      <c r="R537">
        <v>6.1543596161868996E-2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0.75151773049645387</v>
      </c>
      <c r="AD537">
        <v>0</v>
      </c>
      <c r="AE537">
        <v>0.1869386733416771</v>
      </c>
      <c r="AF537">
        <v>0</v>
      </c>
      <c r="AG537">
        <v>6.1543596161868996E-2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4.024432012786848</v>
      </c>
      <c r="AN537">
        <v>4.024432012786848</v>
      </c>
      <c r="AO537">
        <v>0.24767801857585137</v>
      </c>
      <c r="BF537">
        <v>0</v>
      </c>
      <c r="BG537">
        <v>0</v>
      </c>
      <c r="BH537">
        <v>0</v>
      </c>
      <c r="BJ537">
        <v>4.0375000000000005</v>
      </c>
      <c r="BK537">
        <v>4.0375000000000005</v>
      </c>
      <c r="BL537">
        <v>16.248644251626899</v>
      </c>
      <c r="CC537">
        <v>0</v>
      </c>
      <c r="CD537">
        <v>0</v>
      </c>
      <c r="CE537">
        <v>0</v>
      </c>
    </row>
    <row r="538" spans="1:84" x14ac:dyDescent="0.25">
      <c r="A538" t="s">
        <v>128</v>
      </c>
      <c r="B538" t="s">
        <v>421</v>
      </c>
      <c r="C538" s="14" t="s">
        <v>109</v>
      </c>
      <c r="D538" s="12">
        <v>46227</v>
      </c>
      <c r="E538" s="14" t="s">
        <v>134</v>
      </c>
      <c r="F538" s="14" t="s">
        <v>134</v>
      </c>
      <c r="G538" s="14" t="s">
        <v>134</v>
      </c>
      <c r="H538" s="14"/>
      <c r="J538">
        <v>9.0431670281995657</v>
      </c>
      <c r="M538">
        <v>9.5</v>
      </c>
      <c r="N538">
        <v>9.5</v>
      </c>
      <c r="O538">
        <v>4.014763552479816</v>
      </c>
      <c r="S538">
        <v>0</v>
      </c>
      <c r="T538">
        <v>0</v>
      </c>
      <c r="U538">
        <v>0.20689510422413582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0.10569334836527622</v>
      </c>
      <c r="AB538">
        <v>0.1169770649990429</v>
      </c>
      <c r="AC538">
        <v>0.1450944646610593</v>
      </c>
      <c r="AD538">
        <v>0</v>
      </c>
      <c r="AE538">
        <v>0.4109500560294837</v>
      </c>
      <c r="AF538">
        <v>0</v>
      </c>
      <c r="AG538">
        <v>0.32697841431041413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84" x14ac:dyDescent="0.25">
      <c r="A539" t="s">
        <v>128</v>
      </c>
      <c r="B539" t="s">
        <v>421</v>
      </c>
      <c r="C539" s="14" t="s">
        <v>109</v>
      </c>
      <c r="D539" s="12">
        <v>46228</v>
      </c>
      <c r="E539" s="14" t="s">
        <v>420</v>
      </c>
      <c r="F539" s="14" t="s">
        <v>420</v>
      </c>
      <c r="G539" s="14" t="s">
        <v>420</v>
      </c>
      <c r="H539" s="14"/>
      <c r="J539">
        <v>3.2997955746152661</v>
      </c>
      <c r="M539">
        <v>0.95</v>
      </c>
      <c r="N539">
        <v>0.95</v>
      </c>
      <c r="O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0.71210337776431398</v>
      </c>
      <c r="AD539">
        <v>0</v>
      </c>
      <c r="AE539">
        <v>0</v>
      </c>
      <c r="AF539">
        <v>0</v>
      </c>
      <c r="AG539">
        <v>0</v>
      </c>
      <c r="AH539">
        <v>0.28789662223568607</v>
      </c>
      <c r="AI539">
        <v>0</v>
      </c>
      <c r="AJ539">
        <v>0</v>
      </c>
      <c r="AK539">
        <v>0</v>
      </c>
      <c r="AL539">
        <v>0</v>
      </c>
    </row>
    <row r="540" spans="1:84" x14ac:dyDescent="0.25">
      <c r="A540" t="s">
        <v>128</v>
      </c>
      <c r="B540" t="s">
        <v>421</v>
      </c>
      <c r="C540" s="14" t="s">
        <v>109</v>
      </c>
      <c r="D540" s="12">
        <v>46238</v>
      </c>
      <c r="E540" s="14" t="s">
        <v>420</v>
      </c>
      <c r="F540" s="14" t="s">
        <v>420</v>
      </c>
      <c r="G540" s="14" t="s">
        <v>420</v>
      </c>
      <c r="H540" s="14"/>
      <c r="J540">
        <v>3.2997955746152661</v>
      </c>
      <c r="M540">
        <v>3.8</v>
      </c>
      <c r="N540">
        <v>3.8</v>
      </c>
      <c r="O540">
        <v>1.9579451690178331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0.30545685216738094</v>
      </c>
      <c r="AC540">
        <v>0.40664652559693298</v>
      </c>
      <c r="AD540">
        <v>0</v>
      </c>
      <c r="AE540">
        <v>0</v>
      </c>
      <c r="AF540">
        <v>0</v>
      </c>
      <c r="AG540">
        <v>0.28789662223568607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84" x14ac:dyDescent="0.25">
      <c r="A541" t="s">
        <v>128</v>
      </c>
      <c r="B541" t="s">
        <v>421</v>
      </c>
      <c r="C541" s="14" t="s">
        <v>109</v>
      </c>
      <c r="D541" s="12">
        <v>46238</v>
      </c>
      <c r="E541" s="14" t="s">
        <v>133</v>
      </c>
      <c r="F541" s="14" t="s">
        <v>133</v>
      </c>
      <c r="G541" s="14" t="s">
        <v>133</v>
      </c>
      <c r="H541" s="14"/>
      <c r="J541">
        <v>22.438609907383807</v>
      </c>
      <c r="M541">
        <v>47.5</v>
      </c>
      <c r="N541">
        <v>47.5</v>
      </c>
      <c r="O541">
        <v>44.015613805618401</v>
      </c>
      <c r="S541">
        <v>0.68173799630810838</v>
      </c>
      <c r="T541">
        <v>0</v>
      </c>
      <c r="U541">
        <v>0.94237186150682462</v>
      </c>
      <c r="V541">
        <v>0</v>
      </c>
      <c r="W541">
        <v>0.15541452582529655</v>
      </c>
      <c r="X541">
        <v>3.5707140512975952E-2</v>
      </c>
      <c r="Y541">
        <v>0.12444910948702408</v>
      </c>
      <c r="Z541">
        <v>0</v>
      </c>
      <c r="AA541">
        <v>0</v>
      </c>
      <c r="AB541">
        <v>0.1053485686155711</v>
      </c>
      <c r="AC541">
        <v>0</v>
      </c>
      <c r="AD541">
        <v>0</v>
      </c>
      <c r="AE541">
        <v>0</v>
      </c>
      <c r="AF541">
        <v>0</v>
      </c>
      <c r="AG541">
        <v>0.6967347647177623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84" x14ac:dyDescent="0.25">
      <c r="A542" t="s">
        <v>128</v>
      </c>
      <c r="B542" t="s">
        <v>421</v>
      </c>
      <c r="C542" s="14" t="s">
        <v>109</v>
      </c>
      <c r="D542" s="12">
        <v>46237</v>
      </c>
      <c r="E542" s="14" t="s">
        <v>134</v>
      </c>
      <c r="F542" s="14" t="s">
        <v>134</v>
      </c>
      <c r="G542" s="14" t="s">
        <v>134</v>
      </c>
      <c r="H542" s="14"/>
      <c r="J542">
        <v>7.7432754880694139</v>
      </c>
      <c r="M542">
        <v>4.75</v>
      </c>
      <c r="N542">
        <v>4.75</v>
      </c>
      <c r="O542">
        <v>4.014763552479816</v>
      </c>
      <c r="S542">
        <v>0</v>
      </c>
      <c r="T542">
        <v>0</v>
      </c>
      <c r="U542">
        <v>9.5751684338800686E-2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7.8999341672152737E-2</v>
      </c>
      <c r="AB542">
        <v>0.25930152431597209</v>
      </c>
      <c r="AC542">
        <v>0.30201401082052581</v>
      </c>
      <c r="AD542">
        <v>0</v>
      </c>
      <c r="AE542">
        <v>0.17950210485098392</v>
      </c>
      <c r="AF542">
        <v>0</v>
      </c>
      <c r="AG542">
        <v>0.25918236001251815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84" x14ac:dyDescent="0.25">
      <c r="A543" t="s">
        <v>128</v>
      </c>
      <c r="B543" t="s">
        <v>421</v>
      </c>
      <c r="C543" s="14" t="s">
        <v>109</v>
      </c>
      <c r="D543" s="12">
        <v>46237</v>
      </c>
      <c r="E543" s="14" t="s">
        <v>420</v>
      </c>
      <c r="F543" s="14" t="s">
        <v>420</v>
      </c>
      <c r="G543" s="14" t="s">
        <v>420</v>
      </c>
      <c r="H543" s="14"/>
      <c r="J543">
        <v>3.2997955746152661</v>
      </c>
      <c r="M543">
        <v>0.95</v>
      </c>
      <c r="N543">
        <v>0.95</v>
      </c>
      <c r="O543">
        <v>2.7692307692307687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0.27973760865005931</v>
      </c>
      <c r="AC543">
        <v>0.43236576911425467</v>
      </c>
      <c r="AD543">
        <v>0</v>
      </c>
      <c r="AE543">
        <v>8.159013585626821E-3</v>
      </c>
      <c r="AF543">
        <v>0</v>
      </c>
      <c r="AG543">
        <v>0.27973760865005926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84" x14ac:dyDescent="0.25">
      <c r="A544" t="s">
        <v>128</v>
      </c>
      <c r="B544" t="s">
        <v>421</v>
      </c>
      <c r="C544" s="14" t="s">
        <v>109</v>
      </c>
      <c r="D544" s="12">
        <v>46237</v>
      </c>
      <c r="E544" s="14" t="s">
        <v>133</v>
      </c>
      <c r="F544" s="14" t="s">
        <v>133</v>
      </c>
      <c r="G544" s="14" t="s">
        <v>133</v>
      </c>
      <c r="H544" s="14"/>
      <c r="J544">
        <v>22.497043787350954</v>
      </c>
      <c r="M544">
        <v>42.749999999999993</v>
      </c>
      <c r="N544">
        <v>42.749999999999993</v>
      </c>
      <c r="O544">
        <v>47.96908229638008</v>
      </c>
      <c r="S544">
        <v>0.87912016110838176</v>
      </c>
      <c r="T544">
        <v>0</v>
      </c>
      <c r="U544">
        <v>0.82552209218690842</v>
      </c>
      <c r="V544">
        <v>0</v>
      </c>
      <c r="W544">
        <v>0.14272959069549199</v>
      </c>
      <c r="X544">
        <v>0</v>
      </c>
      <c r="Y544">
        <v>0.1103896103896104</v>
      </c>
      <c r="Z544">
        <v>0</v>
      </c>
      <c r="AA544">
        <v>0</v>
      </c>
      <c r="AB544">
        <v>0.17839162473394532</v>
      </c>
      <c r="AC544">
        <v>0</v>
      </c>
      <c r="AD544">
        <v>0</v>
      </c>
      <c r="AE544">
        <v>0</v>
      </c>
      <c r="AF544">
        <v>0</v>
      </c>
      <c r="AG544">
        <v>0.82160837526605468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 t="s">
        <v>128</v>
      </c>
      <c r="B545" t="s">
        <v>421</v>
      </c>
      <c r="C545" s="14" t="s">
        <v>109</v>
      </c>
      <c r="D545" s="12">
        <v>46236</v>
      </c>
      <c r="E545" s="14" t="s">
        <v>134</v>
      </c>
      <c r="F545" s="14" t="s">
        <v>134</v>
      </c>
      <c r="G545" s="14" t="s">
        <v>134</v>
      </c>
      <c r="H545" s="14"/>
      <c r="J545">
        <v>5.2199566160520607</v>
      </c>
      <c r="M545">
        <v>8.5499999999999989</v>
      </c>
      <c r="N545">
        <v>8.5499999999999989</v>
      </c>
      <c r="O545">
        <v>4.014763552479816</v>
      </c>
      <c r="S545">
        <v>0</v>
      </c>
      <c r="T545">
        <v>0</v>
      </c>
      <c r="U545">
        <v>0.87001329787234039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0.11718749999999999</v>
      </c>
      <c r="AB545">
        <v>0.38464747601168126</v>
      </c>
      <c r="AC545">
        <v>0.14660252398831872</v>
      </c>
      <c r="AD545">
        <v>0</v>
      </c>
      <c r="AE545">
        <v>0.12935516822498697</v>
      </c>
      <c r="AF545">
        <v>0</v>
      </c>
      <c r="AG545">
        <v>0.33939483177501301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 t="s">
        <v>128</v>
      </c>
      <c r="B546" t="s">
        <v>421</v>
      </c>
      <c r="C546" s="14" t="s">
        <v>109</v>
      </c>
      <c r="D546" s="12">
        <v>46236</v>
      </c>
      <c r="E546" s="14" t="s">
        <v>420</v>
      </c>
      <c r="F546" s="14" t="s">
        <v>420</v>
      </c>
      <c r="G546" s="14" t="s">
        <v>420</v>
      </c>
      <c r="H546" s="14"/>
      <c r="J546">
        <v>3.2997955746152661</v>
      </c>
      <c r="M546">
        <v>1.9</v>
      </c>
      <c r="N546">
        <v>1.9</v>
      </c>
      <c r="O546">
        <v>2.7692307692307687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0.27973760865005931</v>
      </c>
      <c r="AC546">
        <v>0.43236576911425467</v>
      </c>
      <c r="AD546">
        <v>0</v>
      </c>
      <c r="AE546">
        <v>8.1590135856267811E-3</v>
      </c>
      <c r="AF546">
        <v>0</v>
      </c>
      <c r="AG546">
        <v>0.27973760865005931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 t="s">
        <v>128</v>
      </c>
      <c r="B547" t="s">
        <v>421</v>
      </c>
      <c r="C547" s="14" t="s">
        <v>109</v>
      </c>
      <c r="D547" s="12">
        <v>46236</v>
      </c>
      <c r="E547" s="14" t="s">
        <v>133</v>
      </c>
      <c r="F547" s="14" t="s">
        <v>133</v>
      </c>
      <c r="G547" s="14" t="s">
        <v>133</v>
      </c>
      <c r="H547" s="14"/>
      <c r="J547">
        <v>22.497043787350954</v>
      </c>
      <c r="M547">
        <v>43.7</v>
      </c>
      <c r="N547">
        <v>43.7</v>
      </c>
      <c r="O547">
        <v>44.49381127450981</v>
      </c>
      <c r="S547">
        <v>0.76367093859149715</v>
      </c>
      <c r="T547">
        <v>0</v>
      </c>
      <c r="U547">
        <v>0.82232188539581963</v>
      </c>
      <c r="V547">
        <v>0</v>
      </c>
      <c r="W547">
        <v>0.10370202707462377</v>
      </c>
      <c r="X547">
        <v>0</v>
      </c>
      <c r="Y547">
        <v>0.11038961038961043</v>
      </c>
      <c r="Z547">
        <v>0</v>
      </c>
      <c r="AA547">
        <v>0</v>
      </c>
      <c r="AB547">
        <v>9.3936083910031221E-2</v>
      </c>
      <c r="AC547">
        <v>0</v>
      </c>
      <c r="AD547">
        <v>0</v>
      </c>
      <c r="AE547">
        <v>0</v>
      </c>
      <c r="AF547">
        <v>0</v>
      </c>
      <c r="AG547">
        <v>0.90606391608996883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 t="s">
        <v>128</v>
      </c>
      <c r="B548" t="s">
        <v>421</v>
      </c>
      <c r="C548" s="14" t="s">
        <v>109</v>
      </c>
      <c r="D548" s="12">
        <v>46235</v>
      </c>
      <c r="E548" s="14" t="s">
        <v>134</v>
      </c>
      <c r="F548" s="14" t="s">
        <v>134</v>
      </c>
      <c r="G548" s="14" t="s">
        <v>134</v>
      </c>
      <c r="H548" s="14"/>
      <c r="J548">
        <v>5.0568329718004339</v>
      </c>
      <c r="M548">
        <v>5.6999999999999993</v>
      </c>
      <c r="N548">
        <v>5.6999999999999993</v>
      </c>
      <c r="O548">
        <v>4.014763552479816</v>
      </c>
      <c r="S548">
        <v>0</v>
      </c>
      <c r="T548">
        <v>0</v>
      </c>
      <c r="U548">
        <v>0.14661976664378862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0.12096774193548385</v>
      </c>
      <c r="AB548">
        <v>0.20919084002853028</v>
      </c>
      <c r="AC548">
        <v>0.11907357314923224</v>
      </c>
      <c r="AD548">
        <v>0</v>
      </c>
      <c r="AE548">
        <v>0.13352791558708332</v>
      </c>
      <c r="AF548">
        <v>0</v>
      </c>
      <c r="AG548">
        <v>0.53820767123515412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t="s">
        <v>128</v>
      </c>
      <c r="B549" t="s">
        <v>421</v>
      </c>
      <c r="C549" s="14" t="s">
        <v>109</v>
      </c>
      <c r="D549" s="12">
        <v>46235</v>
      </c>
      <c r="E549" s="14" t="s">
        <v>420</v>
      </c>
      <c r="F549" s="14" t="s">
        <v>420</v>
      </c>
      <c r="G549" s="14" t="s">
        <v>420</v>
      </c>
      <c r="H549" s="14"/>
      <c r="J549">
        <v>3.2997955746152661</v>
      </c>
      <c r="M549">
        <v>1.9</v>
      </c>
      <c r="N549">
        <v>1.9</v>
      </c>
      <c r="O549">
        <v>2.7692307692307687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0.27973760865005931</v>
      </c>
      <c r="AC549">
        <v>0.43236576911425467</v>
      </c>
      <c r="AD549">
        <v>0</v>
      </c>
      <c r="AE549">
        <v>8.1590135856267881E-3</v>
      </c>
      <c r="AF549">
        <v>0</v>
      </c>
      <c r="AG549">
        <v>0.27973760865005931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 t="s">
        <v>128</v>
      </c>
      <c r="B550" t="s">
        <v>421</v>
      </c>
      <c r="C550" s="14" t="s">
        <v>109</v>
      </c>
      <c r="D550" s="12">
        <v>46235</v>
      </c>
      <c r="E550" s="14" t="s">
        <v>133</v>
      </c>
      <c r="F550" s="14" t="s">
        <v>133</v>
      </c>
      <c r="G550" s="14" t="s">
        <v>133</v>
      </c>
      <c r="H550" s="14"/>
      <c r="J550">
        <v>22.380176027416663</v>
      </c>
      <c r="M550">
        <v>44.65</v>
      </c>
      <c r="N550">
        <v>44.65</v>
      </c>
      <c r="O550">
        <v>41.759801564856716</v>
      </c>
      <c r="S550">
        <v>0.6922503091758303</v>
      </c>
      <c r="T550">
        <v>0</v>
      </c>
      <c r="U550">
        <v>0.95304427527310931</v>
      </c>
      <c r="V550">
        <v>0</v>
      </c>
      <c r="W550">
        <v>6.2711833129834874E-2</v>
      </c>
      <c r="X550">
        <v>0</v>
      </c>
      <c r="Y550">
        <v>0.11096605744125329</v>
      </c>
      <c r="Z550">
        <v>0</v>
      </c>
      <c r="AA550">
        <v>0</v>
      </c>
      <c r="AB550">
        <v>0.13165296061087592</v>
      </c>
      <c r="AC550">
        <v>0</v>
      </c>
      <c r="AD550">
        <v>0</v>
      </c>
      <c r="AE550">
        <v>0</v>
      </c>
      <c r="AF550">
        <v>0</v>
      </c>
      <c r="AG550">
        <v>0.86834703938912416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128</v>
      </c>
      <c r="B551" t="s">
        <v>421</v>
      </c>
      <c r="C551" s="14" t="s">
        <v>109</v>
      </c>
      <c r="D551" s="12">
        <v>46234</v>
      </c>
      <c r="E551" s="14" t="s">
        <v>134</v>
      </c>
      <c r="F551" s="14" t="s">
        <v>134</v>
      </c>
      <c r="G551" s="14" t="s">
        <v>134</v>
      </c>
      <c r="H551" s="14"/>
      <c r="J551">
        <v>8.9667028199566161</v>
      </c>
      <c r="M551">
        <v>8.5499999999999989</v>
      </c>
      <c r="N551">
        <v>8.5499999999999989</v>
      </c>
      <c r="O551">
        <v>4.014763552479816</v>
      </c>
      <c r="S551">
        <v>0</v>
      </c>
      <c r="T551">
        <v>0</v>
      </c>
      <c r="U551">
        <v>0.11337135461396096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0.10446276293348493</v>
      </c>
      <c r="AB551">
        <v>0.11797459539983064</v>
      </c>
      <c r="AC551">
        <v>0.14633176822553681</v>
      </c>
      <c r="AD551">
        <v>0</v>
      </c>
      <c r="AE551">
        <v>0.4059268899353633</v>
      </c>
      <c r="AF551">
        <v>0</v>
      </c>
      <c r="AG551">
        <v>0.32976674643926929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 t="s">
        <v>128</v>
      </c>
      <c r="B552" t="s">
        <v>421</v>
      </c>
      <c r="C552" s="14" t="s">
        <v>109</v>
      </c>
      <c r="D552" s="12">
        <v>46234</v>
      </c>
      <c r="E552" s="14" t="s">
        <v>420</v>
      </c>
      <c r="F552" s="14" t="s">
        <v>420</v>
      </c>
      <c r="G552" s="14" t="s">
        <v>420</v>
      </c>
      <c r="H552" s="14"/>
      <c r="J552">
        <v>3.2997955746152661</v>
      </c>
      <c r="M552">
        <v>1.9</v>
      </c>
      <c r="N552">
        <v>1.9</v>
      </c>
      <c r="O552">
        <v>2.8235294117647052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9.1265778047054501E-3</v>
      </c>
      <c r="AB552">
        <v>0.29619276210006279</v>
      </c>
      <c r="AC552">
        <v>0.13714057123327056</v>
      </c>
      <c r="AD552">
        <v>0</v>
      </c>
      <c r="AE552">
        <v>0.2869290580166074</v>
      </c>
      <c r="AF552">
        <v>0</v>
      </c>
      <c r="AG552">
        <v>0.27973760865005931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 t="s">
        <v>128</v>
      </c>
      <c r="B553" t="s">
        <v>421</v>
      </c>
      <c r="C553" s="14" t="s">
        <v>109</v>
      </c>
      <c r="D553" s="12">
        <v>46234</v>
      </c>
      <c r="E553" s="14" t="s">
        <v>133</v>
      </c>
      <c r="F553" s="14" t="s">
        <v>133</v>
      </c>
      <c r="G553" s="14" t="s">
        <v>133</v>
      </c>
      <c r="H553" s="14"/>
      <c r="J553">
        <v>22.43860990738381</v>
      </c>
      <c r="M553">
        <v>41.8</v>
      </c>
      <c r="N553">
        <v>41.8</v>
      </c>
      <c r="O553">
        <v>37.478751885369526</v>
      </c>
      <c r="S553">
        <v>0.55091410686772524</v>
      </c>
      <c r="T553">
        <v>0</v>
      </c>
      <c r="U553">
        <v>0.80142221738362052</v>
      </c>
      <c r="V553">
        <v>0</v>
      </c>
      <c r="W553">
        <v>0</v>
      </c>
      <c r="X553">
        <v>3.5707140512975945E-2</v>
      </c>
      <c r="Y553">
        <v>0.11936547105909191</v>
      </c>
      <c r="Z553">
        <v>0</v>
      </c>
      <c r="AA553">
        <v>5.0836384279321677E-3</v>
      </c>
      <c r="AB553">
        <v>6.30108300514996E-2</v>
      </c>
      <c r="AC553">
        <v>0</v>
      </c>
      <c r="AD553">
        <v>0</v>
      </c>
      <c r="AE553">
        <v>0</v>
      </c>
      <c r="AF553">
        <v>0</v>
      </c>
      <c r="AG553">
        <v>0.73907250328183371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t="s">
        <v>128</v>
      </c>
      <c r="B554" t="s">
        <v>421</v>
      </c>
      <c r="C554" s="14" t="s">
        <v>109</v>
      </c>
      <c r="D554" s="12">
        <v>46233</v>
      </c>
      <c r="E554" s="14" t="s">
        <v>420</v>
      </c>
      <c r="F554" s="14" t="s">
        <v>420</v>
      </c>
      <c r="G554" s="14" t="s">
        <v>420</v>
      </c>
      <c r="H554" s="14"/>
      <c r="J554">
        <v>3.2997955746152661</v>
      </c>
      <c r="M554">
        <v>3.8</v>
      </c>
      <c r="N554">
        <v>3.8</v>
      </c>
      <c r="O554">
        <v>1.7918552036199091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9.1265778047054501E-3</v>
      </c>
      <c r="AB554">
        <v>0</v>
      </c>
      <c r="AC554">
        <v>0.14543671109764722</v>
      </c>
      <c r="AD554">
        <v>0</v>
      </c>
      <c r="AE554">
        <v>2.4614167035630283E-2</v>
      </c>
      <c r="AF554">
        <v>0</v>
      </c>
      <c r="AG554">
        <v>0.26328245520005583</v>
      </c>
      <c r="AH554">
        <v>0.56666666666666676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 t="s">
        <v>128</v>
      </c>
      <c r="B555" t="s">
        <v>421</v>
      </c>
      <c r="C555" s="14" t="s">
        <v>109</v>
      </c>
      <c r="D555" s="12">
        <v>46233</v>
      </c>
      <c r="E555" s="14" t="s">
        <v>133</v>
      </c>
      <c r="F555" s="14" t="s">
        <v>133</v>
      </c>
      <c r="G555" s="14" t="s">
        <v>133</v>
      </c>
      <c r="H555" s="14"/>
      <c r="J555">
        <v>22.497043787350954</v>
      </c>
      <c r="M555">
        <v>42.749999999999993</v>
      </c>
      <c r="N555">
        <v>42.749999999999993</v>
      </c>
      <c r="O555">
        <v>41.810838518099537</v>
      </c>
      <c r="S555">
        <v>0.68473826601966881</v>
      </c>
      <c r="T555">
        <v>0</v>
      </c>
      <c r="U555">
        <v>0.90487588595092527</v>
      </c>
      <c r="V555">
        <v>0</v>
      </c>
      <c r="W555">
        <v>6.3375796931474992E-2</v>
      </c>
      <c r="X555">
        <v>0</v>
      </c>
      <c r="Y555">
        <v>0.11038961038961043</v>
      </c>
      <c r="Z555">
        <v>0</v>
      </c>
      <c r="AA555">
        <v>0</v>
      </c>
      <c r="AB555">
        <v>0.17839162473394535</v>
      </c>
      <c r="AC555">
        <v>0</v>
      </c>
      <c r="AD555">
        <v>0</v>
      </c>
      <c r="AE555">
        <v>0</v>
      </c>
      <c r="AF555">
        <v>0</v>
      </c>
      <c r="AG555">
        <v>0.82160837526605468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t="s">
        <v>128</v>
      </c>
      <c r="B556" t="s">
        <v>421</v>
      </c>
      <c r="C556" s="14" t="s">
        <v>109</v>
      </c>
      <c r="D556" s="12">
        <v>46232</v>
      </c>
      <c r="E556" s="14" t="s">
        <v>134</v>
      </c>
      <c r="F556" s="14" t="s">
        <v>134</v>
      </c>
      <c r="G556" s="14" t="s">
        <v>134</v>
      </c>
      <c r="H556" s="14"/>
      <c r="J556">
        <v>9.1196312364425154</v>
      </c>
      <c r="M556">
        <v>7.6</v>
      </c>
      <c r="N556">
        <v>7.6</v>
      </c>
      <c r="O556">
        <v>4.014763552479816</v>
      </c>
      <c r="S556">
        <v>0</v>
      </c>
      <c r="T556">
        <v>0</v>
      </c>
      <c r="U556">
        <v>9.0508782988237946E-2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0.10690329793180545</v>
      </c>
      <c r="AB556">
        <v>0.22016714110450622</v>
      </c>
      <c r="AC556">
        <v>0.14387790961918345</v>
      </c>
      <c r="AD556">
        <v>0</v>
      </c>
      <c r="AE556">
        <v>0.41588898792414974</v>
      </c>
      <c r="AF556">
        <v>0</v>
      </c>
      <c r="AG556">
        <v>0.22006596135216047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 t="s">
        <v>128</v>
      </c>
      <c r="B557" t="s">
        <v>421</v>
      </c>
      <c r="C557" s="14" t="s">
        <v>109</v>
      </c>
      <c r="D557" s="12">
        <v>46232</v>
      </c>
      <c r="E557" s="14" t="s">
        <v>420</v>
      </c>
      <c r="F557" s="14" t="s">
        <v>420</v>
      </c>
      <c r="G557" s="14" t="s">
        <v>420</v>
      </c>
      <c r="H557" s="14"/>
      <c r="J557">
        <v>3.2310498334774471</v>
      </c>
      <c r="M557">
        <v>3.8</v>
      </c>
      <c r="N557">
        <v>3.8</v>
      </c>
      <c r="O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0.21236089644015033</v>
      </c>
      <c r="AD557">
        <v>0</v>
      </c>
      <c r="AE557">
        <v>0</v>
      </c>
      <c r="AF557">
        <v>0</v>
      </c>
      <c r="AG557">
        <v>0</v>
      </c>
      <c r="AH557">
        <v>0.78763910355984967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t="s">
        <v>128</v>
      </c>
      <c r="B558" t="s">
        <v>421</v>
      </c>
      <c r="C558" s="14" t="s">
        <v>109</v>
      </c>
      <c r="D558" s="12">
        <v>46232</v>
      </c>
      <c r="E558" s="14" t="s">
        <v>133</v>
      </c>
      <c r="F558" s="14" t="s">
        <v>133</v>
      </c>
      <c r="G558" s="14" t="s">
        <v>133</v>
      </c>
      <c r="H558" s="14"/>
      <c r="J558">
        <v>22.555477667318101</v>
      </c>
      <c r="M558">
        <v>17.100000000000001</v>
      </c>
      <c r="N558">
        <v>17.100000000000001</v>
      </c>
      <c r="O558">
        <v>39.935364819004526</v>
      </c>
      <c r="S558">
        <v>0.77053952960034733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0.24186930322574582</v>
      </c>
      <c r="AC558">
        <v>0</v>
      </c>
      <c r="AD558">
        <v>0</v>
      </c>
      <c r="AE558">
        <v>0</v>
      </c>
      <c r="AF558">
        <v>0</v>
      </c>
      <c r="AG558">
        <v>0.75813069677425415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t="s">
        <v>128</v>
      </c>
      <c r="B559" t="s">
        <v>421</v>
      </c>
      <c r="C559" s="14" t="s">
        <v>109</v>
      </c>
      <c r="D559" s="12">
        <v>46231</v>
      </c>
      <c r="E559" s="14" t="s">
        <v>134</v>
      </c>
      <c r="F559" s="14" t="s">
        <v>134</v>
      </c>
      <c r="G559" s="14" t="s">
        <v>134</v>
      </c>
      <c r="H559" s="14"/>
      <c r="J559">
        <v>9.0431670281995657</v>
      </c>
      <c r="M559">
        <v>12.35</v>
      </c>
      <c r="N559">
        <v>12.35</v>
      </c>
      <c r="O559">
        <v>4.014763552479816</v>
      </c>
      <c r="S559">
        <v>0</v>
      </c>
      <c r="T559">
        <v>0</v>
      </c>
      <c r="U559">
        <v>0.71229820816042611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6.7643742953776773E-2</v>
      </c>
      <c r="AB559">
        <v>1.1925372706111895E-2</v>
      </c>
      <c r="AC559">
        <v>0.40234457859998807</v>
      </c>
      <c r="AD559">
        <v>0</v>
      </c>
      <c r="AE559">
        <v>0.15369994209055496</v>
      </c>
      <c r="AF559">
        <v>0</v>
      </c>
      <c r="AG559">
        <v>0.43203010660334512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t="s">
        <v>128</v>
      </c>
      <c r="B560" t="s">
        <v>421</v>
      </c>
      <c r="C560" s="14" t="s">
        <v>109</v>
      </c>
      <c r="D560" s="12">
        <v>46231</v>
      </c>
      <c r="E560" s="14" t="s">
        <v>420</v>
      </c>
      <c r="F560" s="14" t="s">
        <v>420</v>
      </c>
      <c r="G560" s="14" t="s">
        <v>420</v>
      </c>
      <c r="H560" s="14"/>
      <c r="J560">
        <v>3.2997955746152661</v>
      </c>
      <c r="M560">
        <v>3.8</v>
      </c>
      <c r="N560">
        <v>3.8</v>
      </c>
      <c r="O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9.1265778047054501E-3</v>
      </c>
      <c r="AB560">
        <v>0</v>
      </c>
      <c r="AC560">
        <v>0.43333333333333335</v>
      </c>
      <c r="AD560">
        <v>0</v>
      </c>
      <c r="AE560">
        <v>0</v>
      </c>
      <c r="AF560">
        <v>0</v>
      </c>
      <c r="AG560">
        <v>0</v>
      </c>
      <c r="AH560">
        <v>0.56666666666666676</v>
      </c>
      <c r="AI560">
        <v>0</v>
      </c>
      <c r="AJ560">
        <v>0</v>
      </c>
      <c r="AK560">
        <v>0</v>
      </c>
      <c r="AL560">
        <v>0</v>
      </c>
    </row>
    <row r="561" spans="1:84" x14ac:dyDescent="0.25">
      <c r="A561" t="s">
        <v>128</v>
      </c>
      <c r="B561" t="s">
        <v>421</v>
      </c>
      <c r="C561" s="14" t="s">
        <v>109</v>
      </c>
      <c r="D561" s="12">
        <v>46231</v>
      </c>
      <c r="E561" s="14" t="s">
        <v>133</v>
      </c>
      <c r="F561" s="14" t="s">
        <v>133</v>
      </c>
      <c r="G561" s="14" t="s">
        <v>133</v>
      </c>
      <c r="H561" s="14"/>
      <c r="J561">
        <v>22.555477667318101</v>
      </c>
      <c r="M561">
        <v>39.9</v>
      </c>
      <c r="N561">
        <v>39.9</v>
      </c>
      <c r="O561">
        <v>37.554562594268475</v>
      </c>
      <c r="S561">
        <v>0.4748171941329829</v>
      </c>
      <c r="T561">
        <v>0</v>
      </c>
      <c r="U561">
        <v>0.64666815904286334</v>
      </c>
      <c r="V561">
        <v>0</v>
      </c>
      <c r="W561">
        <v>6.6364867532534358E-2</v>
      </c>
      <c r="X561">
        <v>3.5522129422235142E-2</v>
      </c>
      <c r="Y561">
        <v>0.12380429544823118</v>
      </c>
      <c r="Z561">
        <v>0</v>
      </c>
      <c r="AA561">
        <v>0</v>
      </c>
      <c r="AB561">
        <v>6.7865696217035767E-2</v>
      </c>
      <c r="AC561">
        <v>0</v>
      </c>
      <c r="AD561">
        <v>0</v>
      </c>
      <c r="AE561">
        <v>0</v>
      </c>
      <c r="AF561">
        <v>0</v>
      </c>
      <c r="AG561">
        <v>0.73524311207311954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84" x14ac:dyDescent="0.25">
      <c r="A562" t="s">
        <v>128</v>
      </c>
      <c r="B562" t="s">
        <v>421</v>
      </c>
      <c r="C562" s="14" t="s">
        <v>109</v>
      </c>
      <c r="D562" s="12">
        <v>46230</v>
      </c>
      <c r="E562" s="14" t="s">
        <v>134</v>
      </c>
      <c r="F562" s="14" t="s">
        <v>134</v>
      </c>
      <c r="G562" s="14" t="s">
        <v>134</v>
      </c>
      <c r="H562" s="14"/>
      <c r="J562">
        <v>7.8152418017098375</v>
      </c>
      <c r="M562">
        <v>9.5</v>
      </c>
      <c r="N562">
        <v>9.5</v>
      </c>
      <c r="O562">
        <v>4.014763552479816</v>
      </c>
      <c r="S562">
        <v>0</v>
      </c>
      <c r="T562">
        <v>0</v>
      </c>
      <c r="U562">
        <v>0.8127034248437297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8.057399378429192E-2</v>
      </c>
      <c r="AB562">
        <v>0.28702083848655863</v>
      </c>
      <c r="AC562">
        <v>0.39068318637627364</v>
      </c>
      <c r="AD562">
        <v>0</v>
      </c>
      <c r="AE562">
        <v>9.5607365555023388E-2</v>
      </c>
      <c r="AF562">
        <v>0</v>
      </c>
      <c r="AG562">
        <v>0.22668860958214426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84" x14ac:dyDescent="0.25">
      <c r="A563" t="s">
        <v>128</v>
      </c>
      <c r="B563" t="s">
        <v>421</v>
      </c>
      <c r="C563" s="14" t="s">
        <v>109</v>
      </c>
      <c r="D563" s="12">
        <v>46230</v>
      </c>
      <c r="E563" s="14" t="s">
        <v>420</v>
      </c>
      <c r="F563" s="14" t="s">
        <v>420</v>
      </c>
      <c r="G563" s="14" t="s">
        <v>420</v>
      </c>
      <c r="H563" s="14"/>
      <c r="J563">
        <v>3.2997955746152661</v>
      </c>
      <c r="M563">
        <v>0.95</v>
      </c>
      <c r="N563">
        <v>0.95</v>
      </c>
      <c r="O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0.71210337776431398</v>
      </c>
      <c r="AD563">
        <v>0</v>
      </c>
      <c r="AE563">
        <v>0</v>
      </c>
      <c r="AF563">
        <v>0</v>
      </c>
      <c r="AG563">
        <v>0</v>
      </c>
      <c r="AH563">
        <v>0.28789662223568613</v>
      </c>
      <c r="AI563">
        <v>0</v>
      </c>
      <c r="AJ563">
        <v>0</v>
      </c>
      <c r="AK563">
        <v>0</v>
      </c>
      <c r="AL563">
        <v>0</v>
      </c>
    </row>
    <row r="564" spans="1:84" x14ac:dyDescent="0.25">
      <c r="A564" t="s">
        <v>128</v>
      </c>
      <c r="B564" t="s">
        <v>421</v>
      </c>
      <c r="C564" s="14" t="s">
        <v>109</v>
      </c>
      <c r="D564" s="12">
        <v>46230</v>
      </c>
      <c r="E564" s="14" t="s">
        <v>133</v>
      </c>
      <c r="F564" s="14" t="s">
        <v>133</v>
      </c>
      <c r="G564" s="14" t="s">
        <v>133</v>
      </c>
      <c r="H564" s="14"/>
      <c r="J564">
        <v>22.555477667318101</v>
      </c>
      <c r="M564">
        <v>55.1</v>
      </c>
      <c r="N564">
        <v>55.1</v>
      </c>
      <c r="O564">
        <v>38.536289239253399</v>
      </c>
      <c r="S564">
        <v>0.55224850853764462</v>
      </c>
      <c r="T564">
        <v>0</v>
      </c>
      <c r="U564">
        <v>1.3544684492115242</v>
      </c>
      <c r="V564">
        <v>0</v>
      </c>
      <c r="W564">
        <v>3.245853005209913E-2</v>
      </c>
      <c r="X564">
        <v>3.5522129422235142E-2</v>
      </c>
      <c r="Y564">
        <v>0.12380429544823118</v>
      </c>
      <c r="Z564">
        <v>0</v>
      </c>
      <c r="AA564">
        <v>0</v>
      </c>
      <c r="AB564">
        <v>6.7865696217035851E-2</v>
      </c>
      <c r="AC564">
        <v>0</v>
      </c>
      <c r="AD564">
        <v>0</v>
      </c>
      <c r="AE564">
        <v>0</v>
      </c>
      <c r="AF564">
        <v>0</v>
      </c>
      <c r="AG564">
        <v>0.73524311207311954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84" x14ac:dyDescent="0.25">
      <c r="A565" t="s">
        <v>128</v>
      </c>
      <c r="B565" t="s">
        <v>421</v>
      </c>
      <c r="C565" s="14" t="s">
        <v>109</v>
      </c>
      <c r="D565" s="12">
        <v>46229</v>
      </c>
      <c r="E565" s="14" t="s">
        <v>134</v>
      </c>
      <c r="F565" s="14" t="s">
        <v>134</v>
      </c>
      <c r="G565" s="14" t="s">
        <v>134</v>
      </c>
      <c r="H565" s="14"/>
      <c r="J565">
        <v>5.2199566160520607</v>
      </c>
      <c r="M565">
        <v>7.6</v>
      </c>
      <c r="N565">
        <v>7.6</v>
      </c>
      <c r="O565">
        <v>4.014763552479816</v>
      </c>
      <c r="S565">
        <v>0</v>
      </c>
      <c r="T565">
        <v>0</v>
      </c>
      <c r="U565">
        <v>0.68801944813829785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0.11718749999999999</v>
      </c>
      <c r="AB565">
        <v>0.38464747601168126</v>
      </c>
      <c r="AC565">
        <v>0.14660252398831872</v>
      </c>
      <c r="AD565">
        <v>0</v>
      </c>
      <c r="AE565">
        <v>0.12935516822498697</v>
      </c>
      <c r="AF565">
        <v>0</v>
      </c>
      <c r="AG565">
        <v>0.33939483177501301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84" x14ac:dyDescent="0.25">
      <c r="A566" t="s">
        <v>128</v>
      </c>
      <c r="B566" t="s">
        <v>421</v>
      </c>
      <c r="C566" s="14" t="s">
        <v>109</v>
      </c>
      <c r="D566" s="12">
        <v>46229</v>
      </c>
      <c r="E566" s="14" t="s">
        <v>420</v>
      </c>
      <c r="F566" s="14" t="s">
        <v>420</v>
      </c>
      <c r="G566" s="14" t="s">
        <v>420</v>
      </c>
      <c r="H566" s="14"/>
      <c r="J566">
        <v>3.2997955746152661</v>
      </c>
      <c r="M566">
        <v>2.8499999999999996</v>
      </c>
      <c r="N566">
        <v>2.8499999999999996</v>
      </c>
      <c r="O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0.56666666666666676</v>
      </c>
      <c r="AD566">
        <v>0</v>
      </c>
      <c r="AE566">
        <v>0</v>
      </c>
      <c r="AF566">
        <v>0</v>
      </c>
      <c r="AG566">
        <v>0</v>
      </c>
      <c r="AH566">
        <v>0.43333333333333335</v>
      </c>
      <c r="AI566">
        <v>0</v>
      </c>
      <c r="AJ566">
        <v>0</v>
      </c>
      <c r="AK566">
        <v>0</v>
      </c>
      <c r="AL566">
        <v>0</v>
      </c>
    </row>
    <row r="567" spans="1:84" x14ac:dyDescent="0.25">
      <c r="A567" t="s">
        <v>128</v>
      </c>
      <c r="B567" t="s">
        <v>421</v>
      </c>
      <c r="C567" s="14" t="s">
        <v>109</v>
      </c>
      <c r="D567" s="12">
        <v>46229</v>
      </c>
      <c r="E567" s="14" t="s">
        <v>133</v>
      </c>
      <c r="F567" s="14" t="s">
        <v>133</v>
      </c>
      <c r="G567" s="14" t="s">
        <v>133</v>
      </c>
      <c r="H567" s="14"/>
      <c r="J567">
        <v>22.497043787350954</v>
      </c>
      <c r="M567">
        <v>29.450000000000003</v>
      </c>
      <c r="N567">
        <v>29.450000000000003</v>
      </c>
      <c r="O567">
        <v>41.005590120663641</v>
      </c>
      <c r="S567">
        <v>0.68784010644273075</v>
      </c>
      <c r="T567">
        <v>0</v>
      </c>
      <c r="U567">
        <v>0.22589914984600171</v>
      </c>
      <c r="V567">
        <v>0</v>
      </c>
      <c r="W567">
        <v>2.4480436033129549E-2</v>
      </c>
      <c r="X567">
        <v>0</v>
      </c>
      <c r="Y567">
        <v>0.1103896103896104</v>
      </c>
      <c r="Z567">
        <v>0</v>
      </c>
      <c r="AA567">
        <v>0</v>
      </c>
      <c r="AB567">
        <v>5.170831349807422E-2</v>
      </c>
      <c r="AC567">
        <v>0</v>
      </c>
      <c r="AD567">
        <v>0</v>
      </c>
      <c r="AE567">
        <v>0</v>
      </c>
      <c r="AF567">
        <v>0</v>
      </c>
      <c r="AG567">
        <v>0.94829168650192575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84" x14ac:dyDescent="0.25">
      <c r="A568" t="s">
        <v>128</v>
      </c>
      <c r="B568" t="s">
        <v>421</v>
      </c>
      <c r="C568" s="14" t="s">
        <v>109</v>
      </c>
      <c r="D568" s="12">
        <v>46228</v>
      </c>
      <c r="E568" s="14" t="s">
        <v>134</v>
      </c>
      <c r="F568" s="14" t="s">
        <v>134</v>
      </c>
      <c r="G568" s="14" t="s">
        <v>134</v>
      </c>
      <c r="H568" s="14"/>
      <c r="J568">
        <v>5.2199566160520607</v>
      </c>
      <c r="M568">
        <v>6.65</v>
      </c>
      <c r="N568">
        <v>6.65</v>
      </c>
      <c r="O568">
        <v>4.014763552479816</v>
      </c>
      <c r="S568">
        <v>0</v>
      </c>
      <c r="T568">
        <v>0</v>
      </c>
      <c r="U568">
        <v>0.32403174867021289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0.11718749999999999</v>
      </c>
      <c r="AB568">
        <v>0.20265362627763875</v>
      </c>
      <c r="AC568">
        <v>0.14660252398831872</v>
      </c>
      <c r="AD568">
        <v>0</v>
      </c>
      <c r="AE568">
        <v>0.12935516822498697</v>
      </c>
      <c r="AF568">
        <v>0</v>
      </c>
      <c r="AG568">
        <v>0.5213886815090556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84" x14ac:dyDescent="0.25">
      <c r="A569" t="s">
        <v>128</v>
      </c>
      <c r="B569" t="s">
        <v>421</v>
      </c>
      <c r="C569" s="14" t="s">
        <v>109</v>
      </c>
      <c r="D569" s="12">
        <v>46228</v>
      </c>
      <c r="E569" s="14" t="s">
        <v>133</v>
      </c>
      <c r="F569" s="14" t="s">
        <v>133</v>
      </c>
      <c r="G569" s="14" t="s">
        <v>133</v>
      </c>
      <c r="H569" s="14"/>
      <c r="J569">
        <v>22.497043787350954</v>
      </c>
      <c r="M569">
        <v>17.099999999999998</v>
      </c>
      <c r="N569">
        <v>17.099999999999998</v>
      </c>
      <c r="O569">
        <v>41.450821903280534</v>
      </c>
      <c r="S569">
        <v>0.84250083233542039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0.23990013258477377</v>
      </c>
      <c r="AC569">
        <v>0</v>
      </c>
      <c r="AD569">
        <v>0</v>
      </c>
      <c r="AE569">
        <v>0</v>
      </c>
      <c r="AF569">
        <v>0</v>
      </c>
      <c r="AG569">
        <v>0.76009986741522617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84" x14ac:dyDescent="0.25">
      <c r="A570" t="s">
        <v>128</v>
      </c>
      <c r="B570" t="s">
        <v>421</v>
      </c>
      <c r="C570" s="14" t="s">
        <v>72</v>
      </c>
      <c r="D570" s="12">
        <v>46223</v>
      </c>
      <c r="E570" s="14" t="s">
        <v>133</v>
      </c>
      <c r="F570" s="14" t="s">
        <v>133</v>
      </c>
      <c r="G570" s="14" t="s">
        <v>133</v>
      </c>
      <c r="H570" s="14" t="s">
        <v>73</v>
      </c>
      <c r="I570">
        <v>20</v>
      </c>
      <c r="J570">
        <v>9.9337595944147097</v>
      </c>
      <c r="K570">
        <v>46223</v>
      </c>
      <c r="L570" t="s">
        <v>423</v>
      </c>
      <c r="M570">
        <v>34.199999999999996</v>
      </c>
      <c r="N570">
        <v>34.199999999999996</v>
      </c>
      <c r="O570">
        <v>3.3244791666666664</v>
      </c>
      <c r="P570">
        <v>3.4428052818219057</v>
      </c>
      <c r="Q570">
        <v>3.4428052818219057</v>
      </c>
      <c r="R570">
        <v>0.33466474954113712</v>
      </c>
      <c r="S570">
        <v>0</v>
      </c>
      <c r="T570">
        <v>0</v>
      </c>
      <c r="U570">
        <v>2.1928052818219057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0.25</v>
      </c>
      <c r="AB570">
        <v>0</v>
      </c>
      <c r="AC570">
        <v>0</v>
      </c>
      <c r="AD570">
        <v>0</v>
      </c>
      <c r="AE570">
        <v>0.66533525045886288</v>
      </c>
      <c r="AF570">
        <v>0</v>
      </c>
      <c r="AG570">
        <v>0.33466474954113712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0.29046080685423131</v>
      </c>
      <c r="AN570">
        <v>0.29046080685423131</v>
      </c>
      <c r="AO570">
        <v>9.7206993177387915E-2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0.70953919314576863</v>
      </c>
      <c r="BA570">
        <v>0</v>
      </c>
      <c r="BB570">
        <v>0.19325381367684341</v>
      </c>
      <c r="BC570">
        <v>0</v>
      </c>
      <c r="BD570">
        <v>9.7206993177387915E-2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10.287325708914302</v>
      </c>
      <c r="BK570">
        <v>10.287325708914302</v>
      </c>
      <c r="BL570">
        <v>2.9880649257835254</v>
      </c>
      <c r="CC570">
        <v>0</v>
      </c>
      <c r="CD570">
        <v>0</v>
      </c>
      <c r="CE570">
        <v>0</v>
      </c>
    </row>
    <row r="571" spans="1:84" x14ac:dyDescent="0.25">
      <c r="A571" t="s">
        <v>128</v>
      </c>
      <c r="B571" t="s">
        <v>421</v>
      </c>
      <c r="C571" s="14" t="s">
        <v>72</v>
      </c>
      <c r="D571" s="12">
        <v>46229</v>
      </c>
      <c r="E571" s="14" t="s">
        <v>134</v>
      </c>
      <c r="F571" s="14" t="s">
        <v>134</v>
      </c>
      <c r="G571" s="14" t="s">
        <v>134</v>
      </c>
      <c r="H571" s="14" t="s">
        <v>74</v>
      </c>
      <c r="I571">
        <v>20</v>
      </c>
      <c r="J571">
        <v>2.7731019522776572</v>
      </c>
      <c r="K571">
        <v>46229</v>
      </c>
      <c r="L571" t="s">
        <v>439</v>
      </c>
      <c r="M571">
        <v>0</v>
      </c>
      <c r="N571">
        <v>0</v>
      </c>
      <c r="O571">
        <v>2.0078431372549019</v>
      </c>
      <c r="P571">
        <v>0</v>
      </c>
      <c r="Q571">
        <v>0</v>
      </c>
      <c r="R571">
        <v>0.72404230778669421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0.72404230778669421</v>
      </c>
      <c r="AC571">
        <v>0.27595769221330579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J571">
        <v>0</v>
      </c>
      <c r="BK571">
        <v>0</v>
      </c>
      <c r="BL571">
        <v>1.3811347613882863</v>
      </c>
      <c r="BM571">
        <v>0.38113476138828628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1</v>
      </c>
    </row>
    <row r="572" spans="1:84" x14ac:dyDescent="0.25">
      <c r="A572" t="s">
        <v>128</v>
      </c>
      <c r="B572" t="s">
        <v>421</v>
      </c>
      <c r="C572" s="14" t="s">
        <v>72</v>
      </c>
      <c r="D572" s="12">
        <v>46227</v>
      </c>
      <c r="E572" s="14" t="s">
        <v>420</v>
      </c>
      <c r="F572" s="14" t="s">
        <v>420</v>
      </c>
      <c r="G572" s="14" t="s">
        <v>420</v>
      </c>
      <c r="H572" s="14" t="s">
        <v>74</v>
      </c>
      <c r="I572">
        <v>20</v>
      </c>
      <c r="J572">
        <v>0</v>
      </c>
      <c r="K572">
        <v>46227</v>
      </c>
      <c r="L572" t="s">
        <v>156</v>
      </c>
      <c r="M572">
        <v>0.95</v>
      </c>
      <c r="N572">
        <v>0.95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1</v>
      </c>
      <c r="CD572">
        <v>0</v>
      </c>
      <c r="CF572">
        <v>0</v>
      </c>
    </row>
    <row r="573" spans="1:84" x14ac:dyDescent="0.25">
      <c r="A573" t="s">
        <v>128</v>
      </c>
      <c r="B573" t="s">
        <v>421</v>
      </c>
      <c r="C573" s="14" t="s">
        <v>72</v>
      </c>
      <c r="D573" s="12">
        <v>46239</v>
      </c>
      <c r="E573" s="14" t="s">
        <v>420</v>
      </c>
      <c r="F573" s="14" t="s">
        <v>420</v>
      </c>
      <c r="G573" s="14" t="s">
        <v>420</v>
      </c>
      <c r="H573" s="14" t="s">
        <v>73</v>
      </c>
      <c r="I573">
        <v>20</v>
      </c>
      <c r="J573">
        <v>1.869884158948651</v>
      </c>
      <c r="K573">
        <v>46239</v>
      </c>
      <c r="L573" t="s">
        <v>468</v>
      </c>
      <c r="M573">
        <v>0.95</v>
      </c>
      <c r="N573">
        <v>0.95</v>
      </c>
      <c r="O573">
        <v>0</v>
      </c>
      <c r="P573">
        <v>0.50805286276885775</v>
      </c>
      <c r="Q573">
        <v>0.50805286276885775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0.49194713723114225</v>
      </c>
      <c r="AD573">
        <v>0</v>
      </c>
      <c r="AE573">
        <v>0</v>
      </c>
      <c r="AF573">
        <v>0</v>
      </c>
      <c r="AG573">
        <v>0</v>
      </c>
      <c r="AH573">
        <v>0.50805286276885775</v>
      </c>
      <c r="AI573">
        <v>0</v>
      </c>
      <c r="AJ573">
        <v>0</v>
      </c>
      <c r="AK573">
        <v>0</v>
      </c>
      <c r="AL573">
        <v>0</v>
      </c>
      <c r="AM573">
        <v>1.9682991146827906</v>
      </c>
      <c r="AN573">
        <v>1.9682991146827906</v>
      </c>
      <c r="AO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</row>
    <row r="574" spans="1:84" x14ac:dyDescent="0.25">
      <c r="A574" t="s">
        <v>128</v>
      </c>
      <c r="B574" t="s">
        <v>421</v>
      </c>
      <c r="C574" s="14" t="s">
        <v>72</v>
      </c>
      <c r="D574" s="12">
        <v>46238</v>
      </c>
      <c r="E574" s="14" t="s">
        <v>420</v>
      </c>
      <c r="F574" s="14" t="s">
        <v>420</v>
      </c>
      <c r="G574" s="14" t="s">
        <v>420</v>
      </c>
      <c r="H574" s="14" t="s">
        <v>75</v>
      </c>
      <c r="I574">
        <v>20</v>
      </c>
      <c r="J574">
        <v>1.4299114156666153</v>
      </c>
      <c r="K574">
        <v>46238</v>
      </c>
      <c r="L574" t="s">
        <v>467</v>
      </c>
      <c r="M574">
        <v>0</v>
      </c>
      <c r="N574">
        <v>0</v>
      </c>
      <c r="O574">
        <v>0.9896193771626296</v>
      </c>
      <c r="P574">
        <v>0</v>
      </c>
      <c r="Q574">
        <v>0</v>
      </c>
      <c r="R574">
        <v>0.69208439510308795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0.69208439510308795</v>
      </c>
      <c r="AC574">
        <v>0.30791560489691205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1.4449104864603213</v>
      </c>
      <c r="BM574">
        <v>0.44491048646032128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</row>
    <row r="575" spans="1:84" x14ac:dyDescent="0.25">
      <c r="A575" t="s">
        <v>128</v>
      </c>
      <c r="B575" t="s">
        <v>421</v>
      </c>
      <c r="C575" s="14" t="s">
        <v>72</v>
      </c>
      <c r="D575" s="12">
        <v>46238</v>
      </c>
      <c r="E575" s="14" t="s">
        <v>420</v>
      </c>
      <c r="F575" s="14" t="s">
        <v>420</v>
      </c>
      <c r="G575" s="14" t="s">
        <v>420</v>
      </c>
      <c r="H575" s="14" t="s">
        <v>74</v>
      </c>
      <c r="I575">
        <v>20</v>
      </c>
      <c r="J575">
        <v>0</v>
      </c>
      <c r="K575">
        <v>46238</v>
      </c>
      <c r="L575" t="s">
        <v>466</v>
      </c>
      <c r="M575">
        <v>2.8499999999999996</v>
      </c>
      <c r="N575">
        <v>2.8499999999999996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1</v>
      </c>
      <c r="CD575">
        <v>0</v>
      </c>
      <c r="CF575">
        <v>0</v>
      </c>
    </row>
    <row r="576" spans="1:84" x14ac:dyDescent="0.25">
      <c r="A576" t="s">
        <v>128</v>
      </c>
      <c r="B576" t="s">
        <v>421</v>
      </c>
      <c r="C576" s="14" t="s">
        <v>72</v>
      </c>
      <c r="D576" s="12">
        <v>46237</v>
      </c>
      <c r="E576" s="14" t="s">
        <v>133</v>
      </c>
      <c r="F576" s="14" t="s">
        <v>133</v>
      </c>
      <c r="G576" s="14" t="s">
        <v>133</v>
      </c>
      <c r="H576" s="14" t="s">
        <v>75</v>
      </c>
      <c r="I576">
        <v>20</v>
      </c>
      <c r="J576">
        <v>8.1223093154332009</v>
      </c>
      <c r="K576">
        <v>46237</v>
      </c>
      <c r="L576" t="s">
        <v>464</v>
      </c>
      <c r="M576">
        <v>4.75</v>
      </c>
      <c r="N576">
        <v>4.75</v>
      </c>
      <c r="O576">
        <v>15.636651583710409</v>
      </c>
      <c r="P576">
        <v>0.58480905066918898</v>
      </c>
      <c r="Q576">
        <v>0.58480905066918898</v>
      </c>
      <c r="R576">
        <v>1.9251484985925376</v>
      </c>
      <c r="S576">
        <v>0.92514849859253756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0.41519094933081102</v>
      </c>
      <c r="AC576">
        <v>0</v>
      </c>
      <c r="AD576">
        <v>0</v>
      </c>
      <c r="AE576">
        <v>0</v>
      </c>
      <c r="AF576">
        <v>0</v>
      </c>
      <c r="AG576">
        <v>0.58480905066918898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1.7099598558806739</v>
      </c>
      <c r="AN576">
        <v>1.7099598558806739</v>
      </c>
      <c r="AO576">
        <v>3.2919266492021912</v>
      </c>
      <c r="BF576">
        <v>0</v>
      </c>
      <c r="BG576">
        <v>0</v>
      </c>
      <c r="BH576">
        <v>0</v>
      </c>
      <c r="BJ576">
        <v>0.30377347570680324</v>
      </c>
      <c r="BK576">
        <v>0.30377347570680324</v>
      </c>
      <c r="BL576">
        <v>0.51944044873997663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0.48055955126002337</v>
      </c>
      <c r="BX576">
        <v>0</v>
      </c>
      <c r="BY576">
        <v>0</v>
      </c>
      <c r="BZ576">
        <v>0</v>
      </c>
      <c r="CA576">
        <v>0.30377347570680324</v>
      </c>
      <c r="CB576">
        <v>0</v>
      </c>
      <c r="CC576">
        <v>0</v>
      </c>
      <c r="CD576">
        <v>0</v>
      </c>
      <c r="CE576">
        <v>0</v>
      </c>
      <c r="CF576">
        <v>0</v>
      </c>
    </row>
    <row r="577" spans="1:84" x14ac:dyDescent="0.25">
      <c r="A577" t="s">
        <v>128</v>
      </c>
      <c r="B577" t="s">
        <v>421</v>
      </c>
      <c r="C577" s="14" t="s">
        <v>72</v>
      </c>
      <c r="D577" s="12">
        <v>46238</v>
      </c>
      <c r="E577" s="14" t="s">
        <v>420</v>
      </c>
      <c r="F577" s="14" t="s">
        <v>420</v>
      </c>
      <c r="G577" s="14" t="s">
        <v>420</v>
      </c>
      <c r="H577" s="14" t="s">
        <v>73</v>
      </c>
      <c r="I577">
        <v>20</v>
      </c>
      <c r="J577">
        <v>1.869884158948651</v>
      </c>
      <c r="K577">
        <v>46238</v>
      </c>
      <c r="L577" t="s">
        <v>465</v>
      </c>
      <c r="M577">
        <v>0.95</v>
      </c>
      <c r="N577">
        <v>0.95</v>
      </c>
      <c r="O577">
        <v>0.96832579185520351</v>
      </c>
      <c r="P577">
        <v>0.50805286276885775</v>
      </c>
      <c r="Q577">
        <v>0.50805286276885775</v>
      </c>
      <c r="R577">
        <v>0.51785335857363923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9.8004958047814839E-3</v>
      </c>
      <c r="AC577">
        <v>0.48214664142636077</v>
      </c>
      <c r="AD577">
        <v>0</v>
      </c>
      <c r="AE577">
        <v>0</v>
      </c>
      <c r="AF577">
        <v>0</v>
      </c>
      <c r="AG577">
        <v>0.50805286276885775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1.9682991146827906</v>
      </c>
      <c r="AN577">
        <v>1.9682991146827906</v>
      </c>
      <c r="AO577">
        <v>1.0192903072160038</v>
      </c>
      <c r="BF577">
        <v>0</v>
      </c>
      <c r="BG577">
        <v>0</v>
      </c>
      <c r="BH577">
        <v>0</v>
      </c>
      <c r="BJ577">
        <v>0.98107476635514024</v>
      </c>
      <c r="BK577">
        <v>0.98107476635514024</v>
      </c>
      <c r="BL577">
        <v>1.9310485940544482</v>
      </c>
      <c r="BM577">
        <v>0.93104859405444818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0.49194713723114225</v>
      </c>
      <c r="BW577">
        <v>0</v>
      </c>
      <c r="BX577">
        <v>0</v>
      </c>
      <c r="BY577">
        <v>0</v>
      </c>
      <c r="BZ577">
        <v>0</v>
      </c>
      <c r="CA577">
        <v>0.98107476635514024</v>
      </c>
      <c r="CB577">
        <v>0</v>
      </c>
      <c r="CC577">
        <v>0</v>
      </c>
      <c r="CD577">
        <v>0</v>
      </c>
      <c r="CE577">
        <v>0</v>
      </c>
      <c r="CF577">
        <v>0</v>
      </c>
    </row>
    <row r="578" spans="1:84" x14ac:dyDescent="0.25">
      <c r="A578" t="s">
        <v>128</v>
      </c>
      <c r="B578" t="s">
        <v>421</v>
      </c>
      <c r="C578" s="14" t="s">
        <v>72</v>
      </c>
      <c r="D578" s="12">
        <v>46237</v>
      </c>
      <c r="E578" s="14" t="s">
        <v>420</v>
      </c>
      <c r="F578" s="14" t="s">
        <v>420</v>
      </c>
      <c r="G578" s="14" t="s">
        <v>420</v>
      </c>
      <c r="H578" s="14" t="s">
        <v>75</v>
      </c>
      <c r="I578">
        <v>20</v>
      </c>
      <c r="J578">
        <v>1.4299114156666153</v>
      </c>
      <c r="K578">
        <v>46237</v>
      </c>
      <c r="L578" t="s">
        <v>464</v>
      </c>
      <c r="M578">
        <v>0</v>
      </c>
      <c r="N578">
        <v>0</v>
      </c>
      <c r="O578">
        <v>0.92307692307692291</v>
      </c>
      <c r="P578">
        <v>0</v>
      </c>
      <c r="Q578">
        <v>0</v>
      </c>
      <c r="R578">
        <v>0.64554832765398307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0.64554832765398307</v>
      </c>
      <c r="AC578">
        <v>0.35445167234601693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1.5490707003055002</v>
      </c>
      <c r="BM578">
        <v>0.5490707003055002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</row>
    <row r="579" spans="1:84" x14ac:dyDescent="0.25">
      <c r="A579" t="s">
        <v>128</v>
      </c>
      <c r="B579" t="s">
        <v>421</v>
      </c>
      <c r="C579" s="14" t="s">
        <v>72</v>
      </c>
      <c r="D579" s="12">
        <v>46238</v>
      </c>
      <c r="E579" s="14" t="s">
        <v>133</v>
      </c>
      <c r="F579" s="14" t="s">
        <v>133</v>
      </c>
      <c r="G579" s="14" t="s">
        <v>133</v>
      </c>
      <c r="H579" s="14" t="s">
        <v>73</v>
      </c>
      <c r="I579">
        <v>20</v>
      </c>
      <c r="J579">
        <v>9.9337595944147079</v>
      </c>
      <c r="K579">
        <v>46238</v>
      </c>
      <c r="L579" t="s">
        <v>465</v>
      </c>
      <c r="M579">
        <v>37.049999999999997</v>
      </c>
      <c r="N579">
        <v>37.049999999999997</v>
      </c>
      <c r="O579">
        <v>15.904485411953241</v>
      </c>
      <c r="P579">
        <v>3.7297057219737324</v>
      </c>
      <c r="Q579">
        <v>3.7297057219737324</v>
      </c>
      <c r="R579">
        <v>1.6010539877465522</v>
      </c>
      <c r="S579">
        <v>0</v>
      </c>
      <c r="T579">
        <v>0</v>
      </c>
      <c r="U579">
        <v>2.12865173422718</v>
      </c>
      <c r="V579">
        <v>0</v>
      </c>
      <c r="W579">
        <v>0.35105398774655217</v>
      </c>
      <c r="X579">
        <v>0</v>
      </c>
      <c r="Y579">
        <v>0.25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0.26811766786544422</v>
      </c>
      <c r="AN579">
        <v>0.26811766786544422</v>
      </c>
      <c r="AO579">
        <v>0.42927086132127507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0.57072913867872499</v>
      </c>
      <c r="BA579">
        <v>0</v>
      </c>
      <c r="BB579">
        <v>0</v>
      </c>
      <c r="BC579">
        <v>0</v>
      </c>
      <c r="BD579">
        <v>0.26811766786544422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2.3295315151884477</v>
      </c>
      <c r="BK579">
        <v>2.3295315151884477</v>
      </c>
      <c r="BL579">
        <v>0.62458855707138128</v>
      </c>
      <c r="CC579">
        <v>0</v>
      </c>
      <c r="CD579">
        <v>0</v>
      </c>
      <c r="CE579">
        <v>0</v>
      </c>
    </row>
    <row r="580" spans="1:84" x14ac:dyDescent="0.25">
      <c r="A580" t="s">
        <v>128</v>
      </c>
      <c r="B580" t="s">
        <v>421</v>
      </c>
      <c r="C580" s="14" t="s">
        <v>72</v>
      </c>
      <c r="D580" s="12">
        <v>46237</v>
      </c>
      <c r="E580" s="14" t="s">
        <v>420</v>
      </c>
      <c r="F580" s="14" t="s">
        <v>420</v>
      </c>
      <c r="G580" s="14" t="s">
        <v>420</v>
      </c>
      <c r="H580" s="14" t="s">
        <v>74</v>
      </c>
      <c r="I580">
        <v>20</v>
      </c>
      <c r="J580">
        <v>0</v>
      </c>
      <c r="K580">
        <v>46237</v>
      </c>
      <c r="L580" t="s">
        <v>463</v>
      </c>
      <c r="M580">
        <v>0</v>
      </c>
      <c r="N580">
        <v>0</v>
      </c>
      <c r="O580">
        <v>0.92307692307692291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F580">
        <v>0</v>
      </c>
    </row>
    <row r="581" spans="1:84" x14ac:dyDescent="0.25">
      <c r="A581" t="s">
        <v>128</v>
      </c>
      <c r="B581" t="s">
        <v>421</v>
      </c>
      <c r="C581" s="14" t="s">
        <v>72</v>
      </c>
      <c r="D581" s="12">
        <v>46238</v>
      </c>
      <c r="E581" s="14" t="s">
        <v>133</v>
      </c>
      <c r="F581" s="14" t="s">
        <v>133</v>
      </c>
      <c r="G581" s="14" t="s">
        <v>133</v>
      </c>
      <c r="H581" s="14" t="s">
        <v>74</v>
      </c>
      <c r="I581">
        <v>20</v>
      </c>
      <c r="J581">
        <v>4.440974877503046</v>
      </c>
      <c r="K581">
        <v>46238</v>
      </c>
      <c r="L581" t="s">
        <v>466</v>
      </c>
      <c r="M581">
        <v>4.75</v>
      </c>
      <c r="N581">
        <v>4.75</v>
      </c>
      <c r="O581">
        <v>14.697362839366512</v>
      </c>
      <c r="P581">
        <v>1.0695849742502268</v>
      </c>
      <c r="Q581">
        <v>1.0695849742502268</v>
      </c>
      <c r="R581">
        <v>3.309490200861068</v>
      </c>
      <c r="S581">
        <v>2.2399052266108415</v>
      </c>
      <c r="T581">
        <v>0</v>
      </c>
      <c r="U581">
        <v>0</v>
      </c>
      <c r="V581">
        <v>0</v>
      </c>
      <c r="W581">
        <v>0</v>
      </c>
      <c r="X581">
        <v>0.18041502574977319</v>
      </c>
      <c r="Y581">
        <v>6.9584974250226805E-2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0.9349420794743255</v>
      </c>
      <c r="AN581">
        <v>0.9349420794743255</v>
      </c>
      <c r="AO581">
        <v>3.09418165039295</v>
      </c>
      <c r="AP581">
        <v>2.09418165039295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0.9349420794743255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0.3231872310641502</v>
      </c>
      <c r="BK581">
        <v>0.3231872310641502</v>
      </c>
      <c r="BL581">
        <v>0.3021613418706659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0.67681276893584985</v>
      </c>
      <c r="BX581">
        <v>0</v>
      </c>
      <c r="BY581">
        <v>2.1025889193484304E-2</v>
      </c>
      <c r="BZ581">
        <v>0</v>
      </c>
      <c r="CA581">
        <v>0.3021613418706659</v>
      </c>
      <c r="CB581">
        <v>0</v>
      </c>
      <c r="CC581">
        <v>0</v>
      </c>
      <c r="CD581">
        <v>0</v>
      </c>
      <c r="CE581">
        <v>0</v>
      </c>
      <c r="CF581">
        <v>0</v>
      </c>
    </row>
    <row r="582" spans="1:84" x14ac:dyDescent="0.25">
      <c r="A582" t="s">
        <v>128</v>
      </c>
      <c r="B582" t="s">
        <v>421</v>
      </c>
      <c r="C582" s="14" t="s">
        <v>72</v>
      </c>
      <c r="D582" s="12">
        <v>46237</v>
      </c>
      <c r="E582" s="14" t="s">
        <v>420</v>
      </c>
      <c r="F582" s="14" t="s">
        <v>420</v>
      </c>
      <c r="G582" s="14" t="s">
        <v>420</v>
      </c>
      <c r="H582" s="14" t="s">
        <v>73</v>
      </c>
      <c r="I582">
        <v>20</v>
      </c>
      <c r="J582">
        <v>1.869884158948651</v>
      </c>
      <c r="K582">
        <v>46237</v>
      </c>
      <c r="L582" t="s">
        <v>462</v>
      </c>
      <c r="M582">
        <v>0.95</v>
      </c>
      <c r="N582">
        <v>0.95</v>
      </c>
      <c r="O582">
        <v>0.9230769230769228</v>
      </c>
      <c r="P582">
        <v>0.50805286276885775</v>
      </c>
      <c r="Q582">
        <v>0.50805286276885775</v>
      </c>
      <c r="R582">
        <v>0.49365460350010454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0.49194713723114225</v>
      </c>
      <c r="AD582">
        <v>0</v>
      </c>
      <c r="AE582">
        <v>1.4398259268753211E-2</v>
      </c>
      <c r="AF582">
        <v>0</v>
      </c>
      <c r="AG582">
        <v>0.49365460350010454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1.9682991146827906</v>
      </c>
      <c r="AN582">
        <v>1.9682991146827906</v>
      </c>
      <c r="AO582">
        <v>0.97165991902833981</v>
      </c>
      <c r="BF582">
        <v>0</v>
      </c>
      <c r="BG582">
        <v>0</v>
      </c>
      <c r="BH582">
        <v>0</v>
      </c>
      <c r="BJ582">
        <v>1.029166666666667</v>
      </c>
      <c r="BK582">
        <v>1.029166666666667</v>
      </c>
      <c r="BL582">
        <v>2.025707838861039</v>
      </c>
      <c r="BM582">
        <v>0.99654117219437199</v>
      </c>
      <c r="BN582">
        <v>0</v>
      </c>
      <c r="BO582">
        <v>0</v>
      </c>
      <c r="BP582">
        <v>0</v>
      </c>
      <c r="BQ582">
        <v>0</v>
      </c>
      <c r="BR582">
        <v>0.47083333333333299</v>
      </c>
      <c r="BS582">
        <v>2.9166666666667007E-2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</row>
    <row r="583" spans="1:84" x14ac:dyDescent="0.25">
      <c r="A583" t="s">
        <v>128</v>
      </c>
      <c r="B583" t="s">
        <v>421</v>
      </c>
      <c r="C583" s="14" t="s">
        <v>72</v>
      </c>
      <c r="D583" s="12">
        <v>46238</v>
      </c>
      <c r="E583" s="14" t="s">
        <v>133</v>
      </c>
      <c r="F583" s="14" t="s">
        <v>133</v>
      </c>
      <c r="G583" s="14" t="s">
        <v>133</v>
      </c>
      <c r="H583" s="14" t="s">
        <v>75</v>
      </c>
      <c r="I583">
        <v>20</v>
      </c>
      <c r="J583">
        <v>8.0638754354660556</v>
      </c>
      <c r="K583">
        <v>46238</v>
      </c>
      <c r="L583" t="s">
        <v>467</v>
      </c>
      <c r="M583">
        <v>5.6999999999999993</v>
      </c>
      <c r="N583">
        <v>5.6999999999999993</v>
      </c>
      <c r="O583">
        <v>13.413765554298646</v>
      </c>
      <c r="P583">
        <v>0.70685615689580217</v>
      </c>
      <c r="Q583">
        <v>0.70685615689580217</v>
      </c>
      <c r="R583">
        <v>1.6634390823180407</v>
      </c>
      <c r="S583">
        <v>0.66343908231804072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0.29314384310419783</v>
      </c>
      <c r="AC583">
        <v>0</v>
      </c>
      <c r="AD583">
        <v>0</v>
      </c>
      <c r="AE583">
        <v>0</v>
      </c>
      <c r="AF583">
        <v>0</v>
      </c>
      <c r="AG583">
        <v>0.70685615689580217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1.4147149886782555</v>
      </c>
      <c r="AN583">
        <v>1.4147149886782555</v>
      </c>
      <c r="AO583">
        <v>2.3532922025085345</v>
      </c>
      <c r="AP583">
        <v>0.93857721383027903</v>
      </c>
      <c r="AQ583">
        <v>0</v>
      </c>
      <c r="AR583">
        <v>0</v>
      </c>
      <c r="AS583">
        <v>0</v>
      </c>
      <c r="AT583">
        <v>0</v>
      </c>
      <c r="AU583">
        <v>8.5285011321744486E-2</v>
      </c>
      <c r="AV583">
        <v>0.41471498867825551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0.42493660537948996</v>
      </c>
      <c r="BK583">
        <v>0.42493660537948996</v>
      </c>
      <c r="BL583">
        <v>0.60116418486842149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0.39883581513157851</v>
      </c>
      <c r="BX583">
        <v>0</v>
      </c>
      <c r="BY583">
        <v>0</v>
      </c>
      <c r="BZ583">
        <v>0</v>
      </c>
      <c r="CA583">
        <v>0.42493660537948996</v>
      </c>
      <c r="CB583">
        <v>0</v>
      </c>
      <c r="CC583">
        <v>0</v>
      </c>
      <c r="CD583">
        <v>0</v>
      </c>
      <c r="CE583">
        <v>0</v>
      </c>
      <c r="CF583">
        <v>0</v>
      </c>
    </row>
    <row r="584" spans="1:84" x14ac:dyDescent="0.25">
      <c r="A584" t="s">
        <v>128</v>
      </c>
      <c r="B584" t="s">
        <v>421</v>
      </c>
      <c r="C584" s="14" t="s">
        <v>72</v>
      </c>
      <c r="D584" s="12">
        <v>46236</v>
      </c>
      <c r="E584" s="14" t="s">
        <v>420</v>
      </c>
      <c r="F584" s="14" t="s">
        <v>420</v>
      </c>
      <c r="G584" s="14" t="s">
        <v>420</v>
      </c>
      <c r="H584" s="14" t="s">
        <v>75</v>
      </c>
      <c r="I584">
        <v>20</v>
      </c>
      <c r="J584">
        <v>1.4299114156666153</v>
      </c>
      <c r="K584">
        <v>46236</v>
      </c>
      <c r="L584" t="s">
        <v>461</v>
      </c>
      <c r="M584">
        <v>0.95</v>
      </c>
      <c r="N584">
        <v>0.95</v>
      </c>
      <c r="O584">
        <v>0.92307692307692291</v>
      </c>
      <c r="P584">
        <v>0.66437682054389102</v>
      </c>
      <c r="Q584">
        <v>0.66437682054389102</v>
      </c>
      <c r="R584">
        <v>0.64554832765398307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0.33562317945610898</v>
      </c>
      <c r="AD584">
        <v>0</v>
      </c>
      <c r="AE584">
        <v>1.8828492889907955E-2</v>
      </c>
      <c r="AF584">
        <v>0</v>
      </c>
      <c r="AG584">
        <v>0.64554832765398307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1.5051699112280161</v>
      </c>
      <c r="AN584">
        <v>1.5051699112280161</v>
      </c>
      <c r="AO584">
        <v>0.97165991902833992</v>
      </c>
      <c r="BF584">
        <v>0</v>
      </c>
      <c r="BG584">
        <v>0</v>
      </c>
      <c r="BH584">
        <v>0</v>
      </c>
      <c r="BJ584">
        <v>1.0291666666666668</v>
      </c>
      <c r="BK584">
        <v>1.0291666666666668</v>
      </c>
      <c r="BL584">
        <v>1.5490707003055002</v>
      </c>
      <c r="BM584">
        <v>0.51990403363883342</v>
      </c>
      <c r="BN584">
        <v>0</v>
      </c>
      <c r="BO584">
        <v>0</v>
      </c>
      <c r="BP584">
        <v>0</v>
      </c>
      <c r="BQ584">
        <v>0</v>
      </c>
      <c r="BR584">
        <v>0.47083333333333321</v>
      </c>
      <c r="BS584">
        <v>2.9166666666666785E-2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</row>
    <row r="585" spans="1:84" x14ac:dyDescent="0.25">
      <c r="A585" t="s">
        <v>128</v>
      </c>
      <c r="B585" t="s">
        <v>421</v>
      </c>
      <c r="C585" s="14" t="s">
        <v>72</v>
      </c>
      <c r="D585" s="12">
        <v>46237</v>
      </c>
      <c r="E585" s="14" t="s">
        <v>133</v>
      </c>
      <c r="F585" s="14" t="s">
        <v>133</v>
      </c>
      <c r="G585" s="14" t="s">
        <v>133</v>
      </c>
      <c r="H585" s="14" t="s">
        <v>74</v>
      </c>
      <c r="I585">
        <v>20</v>
      </c>
      <c r="J585">
        <v>4.440974877503046</v>
      </c>
      <c r="K585">
        <v>46237</v>
      </c>
      <c r="L585" t="s">
        <v>463</v>
      </c>
      <c r="M585">
        <v>3.8</v>
      </c>
      <c r="N585">
        <v>3.8</v>
      </c>
      <c r="O585">
        <v>16.704237368024128</v>
      </c>
      <c r="P585">
        <v>0.85566797940018147</v>
      </c>
      <c r="Q585">
        <v>0.85566797940018147</v>
      </c>
      <c r="R585">
        <v>3.7613897463468979</v>
      </c>
      <c r="S585">
        <v>2.7613897463468979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0.14433202059981853</v>
      </c>
      <c r="AC585">
        <v>0</v>
      </c>
      <c r="AD585">
        <v>0</v>
      </c>
      <c r="AE585">
        <v>0</v>
      </c>
      <c r="AF585">
        <v>0</v>
      </c>
      <c r="AG585">
        <v>0.85566797940018147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1.1686775993429068</v>
      </c>
      <c r="AN585">
        <v>1.1686775993429068</v>
      </c>
      <c r="AO585">
        <v>4.3958519389537178</v>
      </c>
      <c r="AP585">
        <v>3.2271743396108112</v>
      </c>
      <c r="AQ585">
        <v>0</v>
      </c>
      <c r="AR585">
        <v>0</v>
      </c>
      <c r="AS585">
        <v>0</v>
      </c>
      <c r="AT585">
        <v>0</v>
      </c>
      <c r="AU585">
        <v>0.33132240065709317</v>
      </c>
      <c r="AV585">
        <v>0.16867759934290683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0.22748718880600327</v>
      </c>
      <c r="BK585">
        <v>0.22748718880600327</v>
      </c>
      <c r="BL585">
        <v>0.2658591816950665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0.7341408183049335</v>
      </c>
      <c r="BX585">
        <v>0</v>
      </c>
      <c r="BY585">
        <v>0</v>
      </c>
      <c r="BZ585">
        <v>0</v>
      </c>
      <c r="CA585">
        <v>0.22748718880600327</v>
      </c>
      <c r="CB585">
        <v>0</v>
      </c>
      <c r="CC585">
        <v>0</v>
      </c>
      <c r="CD585">
        <v>0</v>
      </c>
      <c r="CE585">
        <v>0</v>
      </c>
      <c r="CF585">
        <v>0</v>
      </c>
    </row>
    <row r="586" spans="1:84" x14ac:dyDescent="0.25">
      <c r="A586" t="s">
        <v>128</v>
      </c>
      <c r="B586" t="s">
        <v>421</v>
      </c>
      <c r="C586" s="14" t="s">
        <v>72</v>
      </c>
      <c r="D586" s="12">
        <v>46236</v>
      </c>
      <c r="E586" s="14" t="s">
        <v>420</v>
      </c>
      <c r="F586" s="14" t="s">
        <v>420</v>
      </c>
      <c r="G586" s="14" t="s">
        <v>420</v>
      </c>
      <c r="H586" s="14" t="s">
        <v>74</v>
      </c>
      <c r="I586">
        <v>20</v>
      </c>
      <c r="J586">
        <v>0</v>
      </c>
      <c r="K586">
        <v>46236</v>
      </c>
      <c r="L586" t="s">
        <v>460</v>
      </c>
      <c r="M586">
        <v>0.95</v>
      </c>
      <c r="N586">
        <v>0.95</v>
      </c>
      <c r="O586">
        <v>0.92307692307692291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0.97165991902833992</v>
      </c>
      <c r="AK586">
        <v>0</v>
      </c>
      <c r="AL586">
        <v>0</v>
      </c>
      <c r="AM586">
        <v>0</v>
      </c>
      <c r="AN586">
        <v>0</v>
      </c>
      <c r="AO586">
        <v>0.97165991902833992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2.8340080971660075E-2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I586">
        <v>0</v>
      </c>
      <c r="BJ586">
        <v>1.0291666666666668</v>
      </c>
      <c r="BK586">
        <v>1.0291666666666668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2.9166666666666785E-2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1</v>
      </c>
      <c r="CC586">
        <v>2.8340080971660075E-2</v>
      </c>
      <c r="CD586">
        <v>0.97165991902833992</v>
      </c>
      <c r="CF586">
        <v>0</v>
      </c>
    </row>
    <row r="587" spans="1:84" x14ac:dyDescent="0.25">
      <c r="A587" t="s">
        <v>128</v>
      </c>
      <c r="B587" t="s">
        <v>421</v>
      </c>
      <c r="C587" s="14" t="s">
        <v>72</v>
      </c>
      <c r="D587" s="12">
        <v>46239</v>
      </c>
      <c r="E587" s="14" t="s">
        <v>133</v>
      </c>
      <c r="F587" s="14" t="s">
        <v>133</v>
      </c>
      <c r="G587" s="14" t="s">
        <v>133</v>
      </c>
      <c r="H587" s="14" t="s">
        <v>73</v>
      </c>
      <c r="I587">
        <v>20</v>
      </c>
      <c r="J587">
        <v>9.9337595944147079</v>
      </c>
      <c r="K587">
        <v>46239</v>
      </c>
      <c r="L587" t="s">
        <v>468</v>
      </c>
      <c r="M587">
        <v>8.5499999999999989</v>
      </c>
      <c r="N587">
        <v>8.5499999999999989</v>
      </c>
      <c r="O587">
        <v>14.030410224987424</v>
      </c>
      <c r="P587">
        <v>0.86070132045547665</v>
      </c>
      <c r="Q587">
        <v>0.86070132045547665</v>
      </c>
      <c r="R587">
        <v>1.4123967961612514</v>
      </c>
      <c r="S587">
        <v>0.41239679616125136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0.13929867954452335</v>
      </c>
      <c r="AC587">
        <v>0</v>
      </c>
      <c r="AD587">
        <v>0</v>
      </c>
      <c r="AE587">
        <v>0</v>
      </c>
      <c r="AF587">
        <v>0</v>
      </c>
      <c r="AG587">
        <v>0.86070132045547665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1.161843227416925</v>
      </c>
      <c r="AN587">
        <v>1.161843227416925</v>
      </c>
      <c r="AO587">
        <v>1.6409836520453129</v>
      </c>
      <c r="AP587">
        <v>0.47914042462838791</v>
      </c>
      <c r="AQ587">
        <v>0</v>
      </c>
      <c r="AR587">
        <v>0</v>
      </c>
      <c r="AS587">
        <v>0</v>
      </c>
      <c r="AT587">
        <v>0</v>
      </c>
      <c r="AU587">
        <v>0.33815677258307497</v>
      </c>
      <c r="AV587">
        <v>0.16184322741692503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0.60939059249835037</v>
      </c>
      <c r="BK587">
        <v>0.60939059249835037</v>
      </c>
      <c r="BL587">
        <v>0.70801633274579556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0.29198366725420444</v>
      </c>
      <c r="BX587">
        <v>0</v>
      </c>
      <c r="BY587">
        <v>0</v>
      </c>
      <c r="BZ587">
        <v>0</v>
      </c>
      <c r="CA587">
        <v>0.60939059249835037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 spans="1:84" x14ac:dyDescent="0.25">
      <c r="A588" t="s">
        <v>128</v>
      </c>
      <c r="B588" t="s">
        <v>421</v>
      </c>
      <c r="C588" s="14" t="s">
        <v>72</v>
      </c>
      <c r="D588" s="12">
        <v>46239</v>
      </c>
      <c r="E588" s="14" t="s">
        <v>133</v>
      </c>
      <c r="F588" s="14" t="s">
        <v>133</v>
      </c>
      <c r="G588" s="14" t="s">
        <v>133</v>
      </c>
      <c r="H588" s="14" t="s">
        <v>74</v>
      </c>
      <c r="I588">
        <v>20</v>
      </c>
      <c r="J588">
        <v>4.440974877503046</v>
      </c>
      <c r="K588">
        <v>46239</v>
      </c>
      <c r="L588" t="s">
        <v>469</v>
      </c>
      <c r="M588">
        <v>2.8499999999999996</v>
      </c>
      <c r="N588">
        <v>2.8499999999999996</v>
      </c>
      <c r="O588">
        <v>16.663198372297632</v>
      </c>
      <c r="P588">
        <v>0.64175098455013602</v>
      </c>
      <c r="Q588">
        <v>0.64175098455013602</v>
      </c>
      <c r="R588">
        <v>3.7521487583074498</v>
      </c>
      <c r="S588">
        <v>2.7521487583074498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0.35824901544986398</v>
      </c>
      <c r="AC588">
        <v>0</v>
      </c>
      <c r="AD588">
        <v>0</v>
      </c>
      <c r="AE588">
        <v>0</v>
      </c>
      <c r="AF588">
        <v>0</v>
      </c>
      <c r="AG588">
        <v>0.64175098455013602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1.5582367991238759</v>
      </c>
      <c r="AN588">
        <v>1.5582367991238759</v>
      </c>
      <c r="AO588">
        <v>5.8467362709816264</v>
      </c>
      <c r="BF588">
        <v>0</v>
      </c>
      <c r="BG588">
        <v>0</v>
      </c>
      <c r="BH588">
        <v>0</v>
      </c>
      <c r="BJ588">
        <v>0.17103559210686051</v>
      </c>
      <c r="BK588">
        <v>0.17103559210686051</v>
      </c>
      <c r="BL588">
        <v>0.26651395358085117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0.73348604641914883</v>
      </c>
      <c r="BX588">
        <v>0</v>
      </c>
      <c r="BY588">
        <v>0</v>
      </c>
      <c r="BZ588">
        <v>0</v>
      </c>
      <c r="CA588">
        <v>0.17103559210686051</v>
      </c>
      <c r="CB588">
        <v>0</v>
      </c>
      <c r="CC588">
        <v>0</v>
      </c>
      <c r="CD588">
        <v>0</v>
      </c>
      <c r="CE588">
        <v>0</v>
      </c>
      <c r="CF588">
        <v>0</v>
      </c>
    </row>
    <row r="589" spans="1:84" x14ac:dyDescent="0.25">
      <c r="A589" t="s">
        <v>128</v>
      </c>
      <c r="B589" t="s">
        <v>421</v>
      </c>
      <c r="C589" s="14" t="s">
        <v>72</v>
      </c>
      <c r="D589" s="12">
        <v>46235</v>
      </c>
      <c r="E589" s="14" t="s">
        <v>420</v>
      </c>
      <c r="F589" s="14" t="s">
        <v>420</v>
      </c>
      <c r="G589" s="14" t="s">
        <v>420</v>
      </c>
      <c r="H589" s="14" t="s">
        <v>75</v>
      </c>
      <c r="I589">
        <v>20</v>
      </c>
      <c r="J589">
        <v>1.4299114156666153</v>
      </c>
      <c r="K589">
        <v>46235</v>
      </c>
      <c r="L589" t="s">
        <v>458</v>
      </c>
      <c r="M589">
        <v>0</v>
      </c>
      <c r="N589">
        <v>0</v>
      </c>
      <c r="O589">
        <v>0.92307692307692291</v>
      </c>
      <c r="P589">
        <v>0</v>
      </c>
      <c r="Q589">
        <v>0</v>
      </c>
      <c r="R589">
        <v>0.64554832765398307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0.64554832765398307</v>
      </c>
      <c r="AC589">
        <v>0.35445167234601693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J589">
        <v>0</v>
      </c>
      <c r="BK589">
        <v>0</v>
      </c>
      <c r="BL589">
        <v>1.5490707003055002</v>
      </c>
      <c r="BM589">
        <v>0.5490707003055002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</row>
    <row r="590" spans="1:84" x14ac:dyDescent="0.25">
      <c r="A590" t="s">
        <v>128</v>
      </c>
      <c r="B590" t="s">
        <v>421</v>
      </c>
      <c r="C590" s="14" t="s">
        <v>72</v>
      </c>
      <c r="D590" s="12">
        <v>46235</v>
      </c>
      <c r="E590" s="14" t="s">
        <v>420</v>
      </c>
      <c r="F590" s="14" t="s">
        <v>420</v>
      </c>
      <c r="G590" s="14" t="s">
        <v>420</v>
      </c>
      <c r="H590" s="14" t="s">
        <v>74</v>
      </c>
      <c r="I590">
        <v>20</v>
      </c>
      <c r="J590">
        <v>0</v>
      </c>
      <c r="K590">
        <v>46235</v>
      </c>
      <c r="L590" t="s">
        <v>457</v>
      </c>
      <c r="M590">
        <v>0.95</v>
      </c>
      <c r="N590">
        <v>0.95</v>
      </c>
      <c r="O590">
        <v>0.92307692307692291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0.97165991902833992</v>
      </c>
      <c r="AK590">
        <v>0</v>
      </c>
      <c r="AL590">
        <v>0</v>
      </c>
      <c r="AM590">
        <v>0</v>
      </c>
      <c r="AN590">
        <v>0</v>
      </c>
      <c r="AO590">
        <v>0.97165991902833992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2.8340080971660075E-2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I590">
        <v>0</v>
      </c>
      <c r="BJ590">
        <v>1.0291666666666668</v>
      </c>
      <c r="BK590">
        <v>1.0291666666666668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2.9166666666666785E-2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1</v>
      </c>
      <c r="CC590">
        <v>2.8340080971660075E-2</v>
      </c>
      <c r="CD590">
        <v>0.97165991902833992</v>
      </c>
      <c r="CF590">
        <v>0</v>
      </c>
    </row>
    <row r="591" spans="1:84" x14ac:dyDescent="0.25">
      <c r="A591" t="s">
        <v>128</v>
      </c>
      <c r="B591" t="s">
        <v>421</v>
      </c>
      <c r="C591" s="14" t="s">
        <v>72</v>
      </c>
      <c r="D591" s="12">
        <v>46235</v>
      </c>
      <c r="E591" s="14" t="s">
        <v>420</v>
      </c>
      <c r="F591" s="14" t="s">
        <v>420</v>
      </c>
      <c r="G591" s="14" t="s">
        <v>420</v>
      </c>
      <c r="H591" s="14" t="s">
        <v>73</v>
      </c>
      <c r="I591">
        <v>20</v>
      </c>
      <c r="J591">
        <v>1.869884158948651</v>
      </c>
      <c r="K591">
        <v>46235</v>
      </c>
      <c r="L591" t="s">
        <v>456</v>
      </c>
      <c r="M591">
        <v>0.95</v>
      </c>
      <c r="N591">
        <v>0.95</v>
      </c>
      <c r="O591">
        <v>0.92307692307692291</v>
      </c>
      <c r="P591">
        <v>0.50805286276885775</v>
      </c>
      <c r="Q591">
        <v>0.50805286276885775</v>
      </c>
      <c r="R591">
        <v>0.49365460350010459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0.49194713723114225</v>
      </c>
      <c r="AD591">
        <v>0</v>
      </c>
      <c r="AE591">
        <v>1.4398259268753155E-2</v>
      </c>
      <c r="AF591">
        <v>0</v>
      </c>
      <c r="AG591">
        <v>0.49365460350010459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1.9682991146827906</v>
      </c>
      <c r="AN591">
        <v>1.9682991146827906</v>
      </c>
      <c r="AO591">
        <v>0.97165991902833992</v>
      </c>
      <c r="BF591">
        <v>0</v>
      </c>
      <c r="BG591">
        <v>0</v>
      </c>
      <c r="BH591">
        <v>0</v>
      </c>
      <c r="BJ591">
        <v>1.0291666666666668</v>
      </c>
      <c r="BK591">
        <v>1.0291666666666668</v>
      </c>
      <c r="BL591">
        <v>2.025707838861039</v>
      </c>
      <c r="BM591">
        <v>0.99654117219437222</v>
      </c>
      <c r="BN591">
        <v>0</v>
      </c>
      <c r="BO591">
        <v>0</v>
      </c>
      <c r="BP591">
        <v>0</v>
      </c>
      <c r="BQ591">
        <v>0</v>
      </c>
      <c r="BR591">
        <v>0.47083333333333321</v>
      </c>
      <c r="BS591">
        <v>2.9166666666666785E-2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</row>
    <row r="592" spans="1:84" x14ac:dyDescent="0.25">
      <c r="A592" t="s">
        <v>128</v>
      </c>
      <c r="B592" t="s">
        <v>421</v>
      </c>
      <c r="C592" s="14" t="s">
        <v>72</v>
      </c>
      <c r="D592" s="12">
        <v>46239</v>
      </c>
      <c r="E592" s="14" t="s">
        <v>133</v>
      </c>
      <c r="F592" s="14" t="s">
        <v>133</v>
      </c>
      <c r="G592" s="14" t="s">
        <v>133</v>
      </c>
      <c r="H592" s="14" t="s">
        <v>75</v>
      </c>
      <c r="I592">
        <v>20</v>
      </c>
      <c r="J592">
        <v>8.0638754354660556</v>
      </c>
      <c r="K592">
        <v>46239</v>
      </c>
      <c r="L592" t="s">
        <v>470</v>
      </c>
      <c r="M592">
        <v>5.6999999999999993</v>
      </c>
      <c r="N592">
        <v>5.6999999999999993</v>
      </c>
      <c r="O592">
        <v>15.087403374811467</v>
      </c>
      <c r="P592">
        <v>0.70685615689580217</v>
      </c>
      <c r="Q592">
        <v>0.70685615689580217</v>
      </c>
      <c r="R592">
        <v>1.870986660887016</v>
      </c>
      <c r="S592">
        <v>0.87098666088701604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0.29314384310419783</v>
      </c>
      <c r="AC592">
        <v>0</v>
      </c>
      <c r="AD592">
        <v>0</v>
      </c>
      <c r="AE592">
        <v>0</v>
      </c>
      <c r="AF592">
        <v>0</v>
      </c>
      <c r="AG592">
        <v>0.70685615689580217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1.4147149886782555</v>
      </c>
      <c r="AN592">
        <v>1.4147149886782555</v>
      </c>
      <c r="AO592">
        <v>2.6469128727739419</v>
      </c>
      <c r="AP592">
        <v>1.2321978840956864</v>
      </c>
      <c r="AQ592">
        <v>0</v>
      </c>
      <c r="AR592">
        <v>0</v>
      </c>
      <c r="AS592">
        <v>0</v>
      </c>
      <c r="AT592">
        <v>0</v>
      </c>
      <c r="AU592">
        <v>8.5285011321744486E-2</v>
      </c>
      <c r="AV592">
        <v>0.41471498867825551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0.37779860844154217</v>
      </c>
      <c r="BK592">
        <v>0.37779860844154217</v>
      </c>
      <c r="BL592">
        <v>0.53447735406403707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0.46552264593596293</v>
      </c>
      <c r="BX592">
        <v>0</v>
      </c>
      <c r="BY592">
        <v>0</v>
      </c>
      <c r="BZ592">
        <v>0</v>
      </c>
      <c r="CA592">
        <v>0.37779860844154217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 spans="1:84" x14ac:dyDescent="0.25">
      <c r="A593" t="s">
        <v>128</v>
      </c>
      <c r="B593" t="s">
        <v>421</v>
      </c>
      <c r="C593" s="14" t="s">
        <v>72</v>
      </c>
      <c r="D593" s="12">
        <v>46240</v>
      </c>
      <c r="E593" s="14" t="s">
        <v>133</v>
      </c>
      <c r="F593" s="14" t="s">
        <v>133</v>
      </c>
      <c r="G593" s="14" t="s">
        <v>133</v>
      </c>
      <c r="H593" s="14" t="s">
        <v>73</v>
      </c>
      <c r="I593">
        <v>20</v>
      </c>
      <c r="J593">
        <v>9.9337595944147079</v>
      </c>
      <c r="K593">
        <v>46240</v>
      </c>
      <c r="L593" t="s">
        <v>471</v>
      </c>
      <c r="M593">
        <v>24.7</v>
      </c>
      <c r="N593">
        <v>24.7</v>
      </c>
      <c r="O593">
        <v>14.412468184389139</v>
      </c>
      <c r="P593">
        <v>2.4864704813158216</v>
      </c>
      <c r="Q593">
        <v>2.4864704813158216</v>
      </c>
      <c r="R593">
        <v>1.4508573564124303</v>
      </c>
      <c r="S593">
        <v>0</v>
      </c>
      <c r="T593">
        <v>0</v>
      </c>
      <c r="U593">
        <v>1.0356131249033913</v>
      </c>
      <c r="V593">
        <v>0</v>
      </c>
      <c r="W593">
        <v>0.2008573564124303</v>
      </c>
      <c r="X593">
        <v>0</v>
      </c>
      <c r="Y593">
        <v>0.25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0.40217650179816633</v>
      </c>
      <c r="AN593">
        <v>0.40217650179816633</v>
      </c>
      <c r="AO593">
        <v>0.58350073621008658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0.41649926378991342</v>
      </c>
      <c r="BA593">
        <v>0</v>
      </c>
      <c r="BB593">
        <v>0</v>
      </c>
      <c r="BC593">
        <v>0</v>
      </c>
      <c r="BD593">
        <v>0.40217650179816633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1.7137938959514094</v>
      </c>
      <c r="BK593">
        <v>1.7137938959514094</v>
      </c>
      <c r="BL593">
        <v>0.68924763387678845</v>
      </c>
      <c r="CC593">
        <v>0</v>
      </c>
      <c r="CD593">
        <v>0</v>
      </c>
      <c r="CE593">
        <v>0</v>
      </c>
    </row>
    <row r="594" spans="1:84" x14ac:dyDescent="0.25">
      <c r="A594" t="s">
        <v>128</v>
      </c>
      <c r="B594" t="s">
        <v>421</v>
      </c>
      <c r="C594" s="14" t="s">
        <v>72</v>
      </c>
      <c r="D594" s="12">
        <v>46234</v>
      </c>
      <c r="E594" s="14" t="s">
        <v>420</v>
      </c>
      <c r="F594" s="14" t="s">
        <v>420</v>
      </c>
      <c r="G594" s="14" t="s">
        <v>420</v>
      </c>
      <c r="H594" s="14" t="s">
        <v>75</v>
      </c>
      <c r="I594">
        <v>20</v>
      </c>
      <c r="J594">
        <v>1.4299114156666153</v>
      </c>
      <c r="K594">
        <v>46234</v>
      </c>
      <c r="L594" t="s">
        <v>455</v>
      </c>
      <c r="M594">
        <v>0</v>
      </c>
      <c r="N594">
        <v>0</v>
      </c>
      <c r="O594">
        <v>0.97737556561085948</v>
      </c>
      <c r="P594">
        <v>0</v>
      </c>
      <c r="Q594">
        <v>0</v>
      </c>
      <c r="R594">
        <v>0.68352175869245257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0.68352175869245257</v>
      </c>
      <c r="AC594">
        <v>0.31647824130754743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1.4630112169551948</v>
      </c>
      <c r="BM594">
        <v>0.46301121695519476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</row>
    <row r="595" spans="1:84" x14ac:dyDescent="0.25">
      <c r="A595" t="s">
        <v>128</v>
      </c>
      <c r="B595" t="s">
        <v>421</v>
      </c>
      <c r="C595" s="14" t="s">
        <v>72</v>
      </c>
      <c r="D595" s="12">
        <v>46234</v>
      </c>
      <c r="E595" s="14" t="s">
        <v>420</v>
      </c>
      <c r="F595" s="14" t="s">
        <v>420</v>
      </c>
      <c r="G595" s="14" t="s">
        <v>420</v>
      </c>
      <c r="H595" s="14" t="s">
        <v>74</v>
      </c>
      <c r="I595">
        <v>20</v>
      </c>
      <c r="J595">
        <v>0</v>
      </c>
      <c r="K595">
        <v>46234</v>
      </c>
      <c r="L595" t="s">
        <v>454</v>
      </c>
      <c r="M595">
        <v>0</v>
      </c>
      <c r="N595">
        <v>0</v>
      </c>
      <c r="O595">
        <v>0.92307692307692291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F595">
        <v>0</v>
      </c>
    </row>
    <row r="596" spans="1:84" x14ac:dyDescent="0.25">
      <c r="A596" t="s">
        <v>128</v>
      </c>
      <c r="B596" t="s">
        <v>421</v>
      </c>
      <c r="C596" s="14" t="s">
        <v>72</v>
      </c>
      <c r="D596" s="12">
        <v>46240</v>
      </c>
      <c r="E596" s="14" t="s">
        <v>133</v>
      </c>
      <c r="F596" s="14" t="s">
        <v>133</v>
      </c>
      <c r="G596" s="14" t="s">
        <v>133</v>
      </c>
      <c r="H596" s="14" t="s">
        <v>74</v>
      </c>
      <c r="I596">
        <v>20</v>
      </c>
      <c r="J596">
        <v>4.440974877503046</v>
      </c>
      <c r="K596">
        <v>46240</v>
      </c>
      <c r="L596" t="s">
        <v>472</v>
      </c>
      <c r="M596">
        <v>2.8499999999999996</v>
      </c>
      <c r="N596">
        <v>2.8499999999999996</v>
      </c>
      <c r="O596">
        <v>15.745997517596781</v>
      </c>
      <c r="P596">
        <v>0.64175098455013602</v>
      </c>
      <c r="Q596">
        <v>0.64175098455013602</v>
      </c>
      <c r="R596">
        <v>3.5456173367163979</v>
      </c>
      <c r="S596">
        <v>2.5456173367163979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0.35824901544986398</v>
      </c>
      <c r="AC596">
        <v>0</v>
      </c>
      <c r="AD596">
        <v>0</v>
      </c>
      <c r="AE596">
        <v>0</v>
      </c>
      <c r="AF596">
        <v>0</v>
      </c>
      <c r="AG596">
        <v>0.64175098455013602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1.5582367991238759</v>
      </c>
      <c r="AN596">
        <v>1.5582367991238759</v>
      </c>
      <c r="AO596">
        <v>5.5249114096830816</v>
      </c>
      <c r="BF596">
        <v>0</v>
      </c>
      <c r="BG596">
        <v>0</v>
      </c>
      <c r="BH596">
        <v>0</v>
      </c>
      <c r="BJ596">
        <v>0.18099837732192012</v>
      </c>
      <c r="BK596">
        <v>0.18099837732192012</v>
      </c>
      <c r="BL596">
        <v>0.28203833212472434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0.7179616678752756</v>
      </c>
      <c r="BX596">
        <v>0</v>
      </c>
      <c r="BY596">
        <v>0</v>
      </c>
      <c r="BZ596">
        <v>0</v>
      </c>
      <c r="CA596">
        <v>0.18099837732192012</v>
      </c>
      <c r="CB596">
        <v>0</v>
      </c>
      <c r="CC596">
        <v>0</v>
      </c>
      <c r="CD596">
        <v>0</v>
      </c>
      <c r="CE596">
        <v>0</v>
      </c>
      <c r="CF596">
        <v>0</v>
      </c>
    </row>
    <row r="597" spans="1:84" x14ac:dyDescent="0.25">
      <c r="A597" t="s">
        <v>128</v>
      </c>
      <c r="B597" t="s">
        <v>421</v>
      </c>
      <c r="C597" s="14" t="s">
        <v>72</v>
      </c>
      <c r="D597" s="12">
        <v>46240</v>
      </c>
      <c r="E597" s="14" t="s">
        <v>133</v>
      </c>
      <c r="F597" s="14" t="s">
        <v>133</v>
      </c>
      <c r="G597" s="14" t="s">
        <v>133</v>
      </c>
      <c r="H597" s="14" t="s">
        <v>75</v>
      </c>
      <c r="I597">
        <v>20</v>
      </c>
      <c r="J597">
        <v>8.005441555498912</v>
      </c>
      <c r="K597">
        <v>46240</v>
      </c>
      <c r="L597" t="s">
        <v>473</v>
      </c>
      <c r="M597">
        <v>4.75</v>
      </c>
      <c r="N597">
        <v>4.75</v>
      </c>
      <c r="O597">
        <v>14.166951043237813</v>
      </c>
      <c r="P597">
        <v>0.59334640907311853</v>
      </c>
      <c r="Q597">
        <v>0.59334640907311853</v>
      </c>
      <c r="R597">
        <v>1.7696651640041741</v>
      </c>
      <c r="S597">
        <v>0.76966516400417406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0.40665359092688147</v>
      </c>
      <c r="AC597">
        <v>0</v>
      </c>
      <c r="AD597">
        <v>0</v>
      </c>
      <c r="AE597">
        <v>0</v>
      </c>
      <c r="AF597">
        <v>0</v>
      </c>
      <c r="AG597">
        <v>0.59334640907311853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1.6853561169471394</v>
      </c>
      <c r="AN597">
        <v>1.6853561169471394</v>
      </c>
      <c r="AO597">
        <v>2.9825160091026972</v>
      </c>
      <c r="BF597">
        <v>0</v>
      </c>
      <c r="BG597">
        <v>0</v>
      </c>
      <c r="BH597">
        <v>0</v>
      </c>
      <c r="BJ597">
        <v>0.33528738720864543</v>
      </c>
      <c r="BK597">
        <v>0.33528738720864543</v>
      </c>
      <c r="BL597">
        <v>0.56507864896731463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0.43492135103268537</v>
      </c>
      <c r="BX597">
        <v>0</v>
      </c>
      <c r="BY597">
        <v>0</v>
      </c>
      <c r="BZ597">
        <v>0</v>
      </c>
      <c r="CA597">
        <v>0.33528738720864543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 spans="1:84" x14ac:dyDescent="0.25">
      <c r="A598" t="s">
        <v>128</v>
      </c>
      <c r="B598" t="s">
        <v>421</v>
      </c>
      <c r="C598" s="14" t="s">
        <v>72</v>
      </c>
      <c r="D598" s="12">
        <v>46234</v>
      </c>
      <c r="E598" s="14" t="s">
        <v>420</v>
      </c>
      <c r="F598" s="14" t="s">
        <v>420</v>
      </c>
      <c r="G598" s="14" t="s">
        <v>420</v>
      </c>
      <c r="H598" s="14" t="s">
        <v>73</v>
      </c>
      <c r="I598">
        <v>20</v>
      </c>
      <c r="J598">
        <v>1.869884158948651</v>
      </c>
      <c r="K598">
        <v>46234</v>
      </c>
      <c r="L598" t="s">
        <v>453</v>
      </c>
      <c r="M598">
        <v>1.9</v>
      </c>
      <c r="N598">
        <v>1.9</v>
      </c>
      <c r="O598">
        <v>0.92307692307692291</v>
      </c>
      <c r="P598">
        <v>1.0161057255377155</v>
      </c>
      <c r="Q598">
        <v>1.0161057255377155</v>
      </c>
      <c r="R598">
        <v>0.49365460350010459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1.6105725537715498E-2</v>
      </c>
      <c r="AB598">
        <v>0</v>
      </c>
      <c r="AC598">
        <v>0</v>
      </c>
      <c r="AD598">
        <v>0</v>
      </c>
      <c r="AE598">
        <v>0.50634539649989541</v>
      </c>
      <c r="AF598">
        <v>0</v>
      </c>
      <c r="AG598">
        <v>0.49365460350010459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0.98414955734139531</v>
      </c>
      <c r="AN598">
        <v>0.98414955734139531</v>
      </c>
      <c r="AO598">
        <v>0.48582995951416996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1.5850442658604691E-2</v>
      </c>
      <c r="BA598">
        <v>0</v>
      </c>
      <c r="BB598">
        <v>0.49831959782722535</v>
      </c>
      <c r="BC598">
        <v>0</v>
      </c>
      <c r="BD598">
        <v>0.48582995951416996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2.0583333333333336</v>
      </c>
      <c r="BK598">
        <v>2.0583333333333336</v>
      </c>
      <c r="BL598">
        <v>2.025707838861039</v>
      </c>
      <c r="CC598">
        <v>0</v>
      </c>
      <c r="CD598">
        <v>0</v>
      </c>
      <c r="CE598">
        <v>0</v>
      </c>
    </row>
    <row r="599" spans="1:84" x14ac:dyDescent="0.25">
      <c r="A599" t="s">
        <v>128</v>
      </c>
      <c r="B599" t="s">
        <v>421</v>
      </c>
      <c r="C599" s="14" t="s">
        <v>72</v>
      </c>
      <c r="D599" s="12">
        <v>46236</v>
      </c>
      <c r="E599" s="14" t="s">
        <v>420</v>
      </c>
      <c r="F599" s="14" t="s">
        <v>420</v>
      </c>
      <c r="G599" s="14" t="s">
        <v>420</v>
      </c>
      <c r="H599" s="14" t="s">
        <v>73</v>
      </c>
      <c r="I599">
        <v>20</v>
      </c>
      <c r="J599">
        <v>1.869884158948651</v>
      </c>
      <c r="K599">
        <v>46236</v>
      </c>
      <c r="L599" t="s">
        <v>459</v>
      </c>
      <c r="M599">
        <v>0</v>
      </c>
      <c r="N599">
        <v>0</v>
      </c>
      <c r="O599">
        <v>0.92307692307692291</v>
      </c>
      <c r="P599">
        <v>0</v>
      </c>
      <c r="Q599">
        <v>0</v>
      </c>
      <c r="R599">
        <v>0.49365460350010459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0.49365460350010459</v>
      </c>
      <c r="AC599">
        <v>0.50634539649989541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J599">
        <v>0</v>
      </c>
      <c r="BK599">
        <v>0</v>
      </c>
      <c r="BL599">
        <v>2.025707838861039</v>
      </c>
      <c r="BM599">
        <v>1.025707838861039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</row>
    <row r="600" spans="1:84" x14ac:dyDescent="0.25">
      <c r="A600" t="s">
        <v>128</v>
      </c>
      <c r="B600" t="s">
        <v>421</v>
      </c>
      <c r="C600" s="14" t="s">
        <v>72</v>
      </c>
      <c r="D600" s="12">
        <v>46239</v>
      </c>
      <c r="E600" s="14" t="s">
        <v>420</v>
      </c>
      <c r="F600" s="14" t="s">
        <v>420</v>
      </c>
      <c r="G600" s="14" t="s">
        <v>420</v>
      </c>
      <c r="H600" s="14" t="s">
        <v>74</v>
      </c>
      <c r="I600">
        <v>20</v>
      </c>
      <c r="J600">
        <v>0</v>
      </c>
      <c r="K600">
        <v>46239</v>
      </c>
      <c r="L600" t="s">
        <v>469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F600">
        <v>0</v>
      </c>
    </row>
    <row r="601" spans="1:84" x14ac:dyDescent="0.25">
      <c r="A601" t="s">
        <v>128</v>
      </c>
      <c r="B601" t="s">
        <v>421</v>
      </c>
      <c r="C601" s="14" t="s">
        <v>72</v>
      </c>
      <c r="D601" s="12">
        <v>46237</v>
      </c>
      <c r="E601" s="14" t="s">
        <v>133</v>
      </c>
      <c r="F601" s="14" t="s">
        <v>133</v>
      </c>
      <c r="G601" s="14" t="s">
        <v>133</v>
      </c>
      <c r="H601" s="14" t="s">
        <v>73</v>
      </c>
      <c r="I601">
        <v>20</v>
      </c>
      <c r="J601">
        <v>9.9337595944147079</v>
      </c>
      <c r="K601">
        <v>46237</v>
      </c>
      <c r="L601" t="s">
        <v>462</v>
      </c>
      <c r="M601">
        <v>34.199999999999996</v>
      </c>
      <c r="N601">
        <v>34.199999999999996</v>
      </c>
      <c r="O601">
        <v>15.628193344645547</v>
      </c>
      <c r="P601">
        <v>3.4428052818219066</v>
      </c>
      <c r="Q601">
        <v>3.4428052818219066</v>
      </c>
      <c r="R601">
        <v>1.5732405436339083</v>
      </c>
      <c r="S601">
        <v>0</v>
      </c>
      <c r="T601">
        <v>0</v>
      </c>
      <c r="U601">
        <v>1.8695647381879983</v>
      </c>
      <c r="V601">
        <v>0</v>
      </c>
      <c r="W601">
        <v>0.32324054363390831</v>
      </c>
      <c r="X601">
        <v>0</v>
      </c>
      <c r="Y601">
        <v>0.25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0.29046080685423126</v>
      </c>
      <c r="AN601">
        <v>0.29046080685423126</v>
      </c>
      <c r="AO601">
        <v>0.45696471767969443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0.54303528232030551</v>
      </c>
      <c r="BA601">
        <v>0</v>
      </c>
      <c r="BB601">
        <v>0</v>
      </c>
      <c r="BC601">
        <v>0</v>
      </c>
      <c r="BD601">
        <v>0.29046080685423126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2.1883527574681194</v>
      </c>
      <c r="BK601">
        <v>2.1883527574681194</v>
      </c>
      <c r="BL601">
        <v>0.63563070761587182</v>
      </c>
      <c r="CC601">
        <v>0</v>
      </c>
      <c r="CD601">
        <v>0</v>
      </c>
      <c r="CE601">
        <v>0</v>
      </c>
    </row>
    <row r="602" spans="1:84" x14ac:dyDescent="0.25">
      <c r="A602" t="s">
        <v>128</v>
      </c>
      <c r="B602" t="s">
        <v>421</v>
      </c>
      <c r="C602" s="14" t="s">
        <v>72</v>
      </c>
      <c r="D602" s="12">
        <v>46249</v>
      </c>
      <c r="E602" s="14" t="s">
        <v>133</v>
      </c>
      <c r="F602" s="14" t="s">
        <v>133</v>
      </c>
      <c r="G602" s="14" t="s">
        <v>133</v>
      </c>
      <c r="H602" s="14" t="s">
        <v>74</v>
      </c>
      <c r="I602">
        <v>20</v>
      </c>
      <c r="J602">
        <v>4.3241071175687553</v>
      </c>
      <c r="K602">
        <v>46249</v>
      </c>
      <c r="L602" t="s">
        <v>499</v>
      </c>
      <c r="M602">
        <v>2.8499999999999996</v>
      </c>
      <c r="N602">
        <v>2.8499999999999996</v>
      </c>
      <c r="O602">
        <v>8.4487815799396682</v>
      </c>
      <c r="P602">
        <v>0.65909560575419379</v>
      </c>
      <c r="Q602">
        <v>0.65909560575419379</v>
      </c>
      <c r="R602">
        <v>1.9538788818649862</v>
      </c>
      <c r="S602">
        <v>0.95387888186498615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0.34090439424580621</v>
      </c>
      <c r="AC602">
        <v>0</v>
      </c>
      <c r="AD602">
        <v>0</v>
      </c>
      <c r="AE602">
        <v>0</v>
      </c>
      <c r="AF602">
        <v>0</v>
      </c>
      <c r="AG602">
        <v>0.65909560575419379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1.5172305675679845</v>
      </c>
      <c r="AN602">
        <v>1.5172305675679845</v>
      </c>
      <c r="AO602">
        <v>2.9644847648911119</v>
      </c>
      <c r="BF602">
        <v>0</v>
      </c>
      <c r="BG602">
        <v>0</v>
      </c>
      <c r="BH602">
        <v>0</v>
      </c>
      <c r="BJ602">
        <v>0.33732674623366832</v>
      </c>
      <c r="BK602">
        <v>0.33732674623366832</v>
      </c>
      <c r="BL602">
        <v>0.51180245064397001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0.48819754935602999</v>
      </c>
      <c r="BX602">
        <v>0</v>
      </c>
      <c r="BY602">
        <v>0</v>
      </c>
      <c r="BZ602">
        <v>0</v>
      </c>
      <c r="CA602">
        <v>0.33732674623366832</v>
      </c>
      <c r="CB602">
        <v>0</v>
      </c>
      <c r="CC602">
        <v>0</v>
      </c>
      <c r="CD602">
        <v>0</v>
      </c>
      <c r="CE602">
        <v>0</v>
      </c>
      <c r="CF602">
        <v>0</v>
      </c>
    </row>
    <row r="603" spans="1:84" x14ac:dyDescent="0.25">
      <c r="A603" t="s">
        <v>128</v>
      </c>
      <c r="B603" t="s">
        <v>421</v>
      </c>
      <c r="C603" s="14" t="s">
        <v>72</v>
      </c>
      <c r="D603" s="12">
        <v>46244</v>
      </c>
      <c r="E603" s="14" t="s">
        <v>420</v>
      </c>
      <c r="F603" s="14" t="s">
        <v>420</v>
      </c>
      <c r="G603" s="14" t="s">
        <v>420</v>
      </c>
      <c r="H603" s="14" t="s">
        <v>73</v>
      </c>
      <c r="I603">
        <v>20</v>
      </c>
      <c r="J603">
        <v>1.869884158948651</v>
      </c>
      <c r="K603">
        <v>46244</v>
      </c>
      <c r="L603" t="s">
        <v>483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</row>
    <row r="604" spans="1:84" x14ac:dyDescent="0.25">
      <c r="A604" t="s">
        <v>128</v>
      </c>
      <c r="B604" t="s">
        <v>421</v>
      </c>
      <c r="C604" s="14" t="s">
        <v>72</v>
      </c>
      <c r="D604" s="12">
        <v>46232</v>
      </c>
      <c r="E604" s="14" t="s">
        <v>133</v>
      </c>
      <c r="F604" s="14" t="s">
        <v>133</v>
      </c>
      <c r="G604" s="14" t="s">
        <v>133</v>
      </c>
      <c r="H604" s="14" t="s">
        <v>74</v>
      </c>
      <c r="I604">
        <v>20</v>
      </c>
      <c r="J604">
        <v>4.440974877503046</v>
      </c>
      <c r="K604">
        <v>46232</v>
      </c>
      <c r="L604" t="s">
        <v>448</v>
      </c>
      <c r="M604">
        <v>2.8499999999999996</v>
      </c>
      <c r="N604">
        <v>2.8499999999999996</v>
      </c>
      <c r="O604">
        <v>13.21769419306184</v>
      </c>
      <c r="P604">
        <v>0.64175098455013602</v>
      </c>
      <c r="Q604">
        <v>0.64175098455013602</v>
      </c>
      <c r="R604">
        <v>2.9763046532912467</v>
      </c>
      <c r="S604">
        <v>1.9763046532912467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0.35824901544986398</v>
      </c>
      <c r="AC604">
        <v>0</v>
      </c>
      <c r="AD604">
        <v>0</v>
      </c>
      <c r="AE604">
        <v>0</v>
      </c>
      <c r="AF604">
        <v>0</v>
      </c>
      <c r="AG604">
        <v>0.64175098455013602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1.5582367991238759</v>
      </c>
      <c r="AN604">
        <v>1.5582367991238759</v>
      </c>
      <c r="AO604">
        <v>4.6377874361620499</v>
      </c>
      <c r="BF604">
        <v>0</v>
      </c>
      <c r="BG604">
        <v>0</v>
      </c>
      <c r="BH604">
        <v>0</v>
      </c>
      <c r="BJ604">
        <v>0.21562005886745406</v>
      </c>
      <c r="BK604">
        <v>0.21562005886745406</v>
      </c>
      <c r="BL604">
        <v>0.33598711035652334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0.66401288964347671</v>
      </c>
      <c r="BX604">
        <v>0</v>
      </c>
      <c r="BY604">
        <v>0</v>
      </c>
      <c r="BZ604">
        <v>0</v>
      </c>
      <c r="CA604">
        <v>0.21562005886745406</v>
      </c>
      <c r="CB604">
        <v>0</v>
      </c>
      <c r="CC604">
        <v>0</v>
      </c>
      <c r="CD604">
        <v>0</v>
      </c>
      <c r="CE604">
        <v>0</v>
      </c>
      <c r="CF604">
        <v>0</v>
      </c>
    </row>
    <row r="605" spans="1:84" x14ac:dyDescent="0.25">
      <c r="A605" t="s">
        <v>128</v>
      </c>
      <c r="B605" t="s">
        <v>421</v>
      </c>
      <c r="C605" s="14" t="s">
        <v>72</v>
      </c>
      <c r="D605" s="12">
        <v>46243</v>
      </c>
      <c r="E605" s="14" t="s">
        <v>420</v>
      </c>
      <c r="F605" s="14" t="s">
        <v>420</v>
      </c>
      <c r="G605" s="14" t="s">
        <v>420</v>
      </c>
      <c r="H605" s="14" t="s">
        <v>75</v>
      </c>
      <c r="I605">
        <v>20</v>
      </c>
      <c r="J605">
        <v>1.4299114156666153</v>
      </c>
      <c r="K605">
        <v>46243</v>
      </c>
      <c r="L605" t="s">
        <v>482</v>
      </c>
      <c r="M605">
        <v>0</v>
      </c>
      <c r="N605">
        <v>0</v>
      </c>
      <c r="O605">
        <v>0.82352941176470573</v>
      </c>
      <c r="P605">
        <v>0</v>
      </c>
      <c r="Q605">
        <v>0</v>
      </c>
      <c r="R605">
        <v>0.5759303707501221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0.5759303707501221</v>
      </c>
      <c r="AC605">
        <v>0.4240696292498779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J605">
        <v>0</v>
      </c>
      <c r="BK605">
        <v>0</v>
      </c>
      <c r="BL605">
        <v>1.7363210047380331</v>
      </c>
      <c r="BM605">
        <v>0.73632100473803308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 spans="1:84" x14ac:dyDescent="0.25">
      <c r="A606" t="s">
        <v>128</v>
      </c>
      <c r="B606" t="s">
        <v>421</v>
      </c>
      <c r="C606" s="14" t="s">
        <v>72</v>
      </c>
      <c r="D606" s="12">
        <v>46232</v>
      </c>
      <c r="E606" s="14" t="s">
        <v>133</v>
      </c>
      <c r="F606" s="14" t="s">
        <v>133</v>
      </c>
      <c r="G606" s="14" t="s">
        <v>133</v>
      </c>
      <c r="H606" s="14" t="s">
        <v>75</v>
      </c>
      <c r="I606">
        <v>20</v>
      </c>
      <c r="J606">
        <v>8.1807431954003444</v>
      </c>
      <c r="K606">
        <v>46232</v>
      </c>
      <c r="L606" t="s">
        <v>449</v>
      </c>
      <c r="M606">
        <v>4.75</v>
      </c>
      <c r="N606">
        <v>4.75</v>
      </c>
      <c r="O606">
        <v>14.536392345399705</v>
      </c>
      <c r="P606">
        <v>0.58063184316440908</v>
      </c>
      <c r="Q606">
        <v>0.58063184316440908</v>
      </c>
      <c r="R606">
        <v>1.7769036379937766</v>
      </c>
      <c r="S606">
        <v>0.7769036379937766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0.41936815683559092</v>
      </c>
      <c r="AC606">
        <v>0</v>
      </c>
      <c r="AD606">
        <v>0</v>
      </c>
      <c r="AE606">
        <v>0</v>
      </c>
      <c r="AF606">
        <v>0</v>
      </c>
      <c r="AG606">
        <v>0.58063184316440908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1.722261725347441</v>
      </c>
      <c r="AN606">
        <v>1.722261725347441</v>
      </c>
      <c r="AO606">
        <v>3.060293125347306</v>
      </c>
      <c r="BF606">
        <v>0</v>
      </c>
      <c r="BG606">
        <v>0</v>
      </c>
      <c r="BH606">
        <v>0</v>
      </c>
      <c r="BJ606">
        <v>0.32676608384907968</v>
      </c>
      <c r="BK606">
        <v>0.32676608384907968</v>
      </c>
      <c r="BL606">
        <v>0.56277671935494256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0.43722328064505744</v>
      </c>
      <c r="BX606">
        <v>0</v>
      </c>
      <c r="BY606">
        <v>0</v>
      </c>
      <c r="BZ606">
        <v>0</v>
      </c>
      <c r="CA606">
        <v>0.32676608384907968</v>
      </c>
      <c r="CB606">
        <v>0</v>
      </c>
      <c r="CC606">
        <v>0</v>
      </c>
      <c r="CD606">
        <v>0</v>
      </c>
      <c r="CE606">
        <v>0</v>
      </c>
      <c r="CF606">
        <v>0</v>
      </c>
    </row>
    <row r="607" spans="1:84" x14ac:dyDescent="0.25">
      <c r="A607" t="s">
        <v>128</v>
      </c>
      <c r="B607" t="s">
        <v>421</v>
      </c>
      <c r="C607" s="14" t="s">
        <v>72</v>
      </c>
      <c r="D607" s="12">
        <v>46243</v>
      </c>
      <c r="E607" s="14" t="s">
        <v>420</v>
      </c>
      <c r="F607" s="14" t="s">
        <v>420</v>
      </c>
      <c r="G607" s="14" t="s">
        <v>420</v>
      </c>
      <c r="H607" s="14" t="s">
        <v>74</v>
      </c>
      <c r="I607">
        <v>20</v>
      </c>
      <c r="J607">
        <v>0</v>
      </c>
      <c r="K607">
        <v>46243</v>
      </c>
      <c r="L607" t="s">
        <v>481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F607">
        <v>0</v>
      </c>
    </row>
    <row r="608" spans="1:84" x14ac:dyDescent="0.25">
      <c r="A608" t="s">
        <v>128</v>
      </c>
      <c r="B608" t="s">
        <v>421</v>
      </c>
      <c r="C608" s="14" t="s">
        <v>72</v>
      </c>
      <c r="D608" s="12">
        <v>46233</v>
      </c>
      <c r="E608" s="14" t="s">
        <v>133</v>
      </c>
      <c r="F608" s="14" t="s">
        <v>133</v>
      </c>
      <c r="G608" s="14" t="s">
        <v>133</v>
      </c>
      <c r="H608" s="14" t="s">
        <v>73</v>
      </c>
      <c r="I608">
        <v>20</v>
      </c>
      <c r="J608">
        <v>9.9337595944147097</v>
      </c>
      <c r="K608">
        <v>46233</v>
      </c>
      <c r="L608" t="s">
        <v>450</v>
      </c>
      <c r="M608">
        <v>34.199999999999996</v>
      </c>
      <c r="N608">
        <v>34.199999999999996</v>
      </c>
      <c r="O608">
        <v>13.842967571644042</v>
      </c>
      <c r="P608">
        <v>3.4428052818219057</v>
      </c>
      <c r="Q608">
        <v>3.4428052818219057</v>
      </c>
      <c r="R608">
        <v>1.3935275401095168</v>
      </c>
      <c r="S608">
        <v>0</v>
      </c>
      <c r="T608">
        <v>0</v>
      </c>
      <c r="U608">
        <v>2.0492777417123889</v>
      </c>
      <c r="V608">
        <v>0</v>
      </c>
      <c r="W608">
        <v>0.14352754010951685</v>
      </c>
      <c r="X608">
        <v>0</v>
      </c>
      <c r="Y608">
        <v>0.25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0.29046080685423131</v>
      </c>
      <c r="AN608">
        <v>0.29046080685423131</v>
      </c>
      <c r="AO608">
        <v>0.40476513367380246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0.59523486632619749</v>
      </c>
      <c r="BA608">
        <v>0</v>
      </c>
      <c r="BB608">
        <v>0</v>
      </c>
      <c r="BC608">
        <v>0</v>
      </c>
      <c r="BD608">
        <v>0.29046080685423131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2.4705685267987865</v>
      </c>
      <c r="BK608">
        <v>2.4705685267987865</v>
      </c>
      <c r="BL608">
        <v>0.71760332768264512</v>
      </c>
      <c r="CC608">
        <v>0</v>
      </c>
      <c r="CD608">
        <v>0</v>
      </c>
      <c r="CE608">
        <v>0</v>
      </c>
    </row>
    <row r="609" spans="1:84" x14ac:dyDescent="0.25">
      <c r="A609" t="s">
        <v>128</v>
      </c>
      <c r="B609" t="s">
        <v>421</v>
      </c>
      <c r="C609" s="14" t="s">
        <v>72</v>
      </c>
      <c r="D609" s="12">
        <v>46243</v>
      </c>
      <c r="E609" s="14" t="s">
        <v>420</v>
      </c>
      <c r="F609" s="14" t="s">
        <v>420</v>
      </c>
      <c r="G609" s="14" t="s">
        <v>420</v>
      </c>
      <c r="H609" s="14" t="s">
        <v>73</v>
      </c>
      <c r="I609">
        <v>20</v>
      </c>
      <c r="J609">
        <v>1.869884158948651</v>
      </c>
      <c r="K609">
        <v>46243</v>
      </c>
      <c r="L609" t="s">
        <v>480</v>
      </c>
      <c r="M609">
        <v>0.95</v>
      </c>
      <c r="N609">
        <v>0.95</v>
      </c>
      <c r="O609">
        <v>0</v>
      </c>
      <c r="P609">
        <v>0.50805286276885775</v>
      </c>
      <c r="Q609">
        <v>0.50805286276885775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0.49194713723114225</v>
      </c>
      <c r="AD609">
        <v>0</v>
      </c>
      <c r="AE609">
        <v>0</v>
      </c>
      <c r="AF609">
        <v>0</v>
      </c>
      <c r="AG609">
        <v>0</v>
      </c>
      <c r="AH609">
        <v>0.50805286276885775</v>
      </c>
      <c r="AI609">
        <v>0</v>
      </c>
      <c r="AJ609">
        <v>0</v>
      </c>
      <c r="AK609">
        <v>0</v>
      </c>
      <c r="AL609">
        <v>0</v>
      </c>
      <c r="AM609">
        <v>1.9682991146827906</v>
      </c>
      <c r="AN609">
        <v>1.9682991146827906</v>
      </c>
      <c r="AO609">
        <v>0</v>
      </c>
      <c r="BF609">
        <v>0</v>
      </c>
      <c r="BG609">
        <v>0</v>
      </c>
      <c r="BH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</row>
    <row r="610" spans="1:84" x14ac:dyDescent="0.25">
      <c r="A610" t="s">
        <v>128</v>
      </c>
      <c r="B610" t="s">
        <v>421</v>
      </c>
      <c r="C610" s="14" t="s">
        <v>72</v>
      </c>
      <c r="D610" s="12">
        <v>46233</v>
      </c>
      <c r="E610" s="14" t="s">
        <v>133</v>
      </c>
      <c r="F610" s="14" t="s">
        <v>133</v>
      </c>
      <c r="G610" s="14" t="s">
        <v>133</v>
      </c>
      <c r="H610" s="14" t="s">
        <v>74</v>
      </c>
      <c r="I610">
        <v>20</v>
      </c>
      <c r="J610">
        <v>4.440974877503046</v>
      </c>
      <c r="K610">
        <v>46233</v>
      </c>
      <c r="L610" t="s">
        <v>451</v>
      </c>
      <c r="M610">
        <v>1.9</v>
      </c>
      <c r="N610">
        <v>1.9</v>
      </c>
      <c r="O610">
        <v>13.236908465309201</v>
      </c>
      <c r="P610">
        <v>0.42783398970009073</v>
      </c>
      <c r="Q610">
        <v>0.42783398970009073</v>
      </c>
      <c r="R610">
        <v>2.9806312421095478</v>
      </c>
      <c r="S610">
        <v>1.9806312421095478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0.57216601029990932</v>
      </c>
      <c r="AC610">
        <v>0</v>
      </c>
      <c r="AD610">
        <v>0</v>
      </c>
      <c r="AE610">
        <v>0</v>
      </c>
      <c r="AF610">
        <v>0</v>
      </c>
      <c r="AG610">
        <v>0.42783398970009073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2.3373551986858137</v>
      </c>
      <c r="AN610">
        <v>2.3373551986858137</v>
      </c>
      <c r="AO610">
        <v>6.9667939291101062</v>
      </c>
      <c r="BF610">
        <v>0</v>
      </c>
      <c r="BG610">
        <v>0</v>
      </c>
      <c r="BH610">
        <v>0</v>
      </c>
      <c r="BJ610">
        <v>0.14353804779865703</v>
      </c>
      <c r="BK610">
        <v>0.14353804779865703</v>
      </c>
      <c r="BL610">
        <v>0.33549940223140384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0.66450059776859616</v>
      </c>
      <c r="BX610">
        <v>0</v>
      </c>
      <c r="BY610">
        <v>0</v>
      </c>
      <c r="BZ610">
        <v>0</v>
      </c>
      <c r="CA610">
        <v>0.14353804779865703</v>
      </c>
      <c r="CB610">
        <v>0</v>
      </c>
      <c r="CC610">
        <v>0</v>
      </c>
      <c r="CD610">
        <v>0</v>
      </c>
      <c r="CE610">
        <v>0</v>
      </c>
      <c r="CF610">
        <v>0</v>
      </c>
    </row>
    <row r="611" spans="1:84" x14ac:dyDescent="0.25">
      <c r="A611" t="s">
        <v>128</v>
      </c>
      <c r="B611" t="s">
        <v>421</v>
      </c>
      <c r="C611" s="14" t="s">
        <v>72</v>
      </c>
      <c r="D611" s="12">
        <v>46242</v>
      </c>
      <c r="E611" s="14" t="s">
        <v>420</v>
      </c>
      <c r="F611" s="14" t="s">
        <v>420</v>
      </c>
      <c r="G611" s="14" t="s">
        <v>420</v>
      </c>
      <c r="H611" s="14" t="s">
        <v>75</v>
      </c>
      <c r="I611">
        <v>20</v>
      </c>
      <c r="J611">
        <v>1.4299114156666153</v>
      </c>
      <c r="K611">
        <v>46242</v>
      </c>
      <c r="L611" t="s">
        <v>479</v>
      </c>
      <c r="M611">
        <v>0</v>
      </c>
      <c r="N611">
        <v>0</v>
      </c>
      <c r="O611">
        <v>0.82352941176470573</v>
      </c>
      <c r="P611">
        <v>0</v>
      </c>
      <c r="Q611">
        <v>0</v>
      </c>
      <c r="R611">
        <v>0.5759303707501221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0.5759303707501221</v>
      </c>
      <c r="AC611">
        <v>0.4240696292498779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1.7363210047380331</v>
      </c>
      <c r="BM611">
        <v>0.73632100473803308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 spans="1:84" x14ac:dyDescent="0.25">
      <c r="A612" t="s">
        <v>128</v>
      </c>
      <c r="B612" t="s">
        <v>421</v>
      </c>
      <c r="C612" s="14" t="s">
        <v>72</v>
      </c>
      <c r="D612" s="12">
        <v>46242</v>
      </c>
      <c r="E612" s="14" t="s">
        <v>420</v>
      </c>
      <c r="F612" s="14" t="s">
        <v>420</v>
      </c>
      <c r="G612" s="14" t="s">
        <v>420</v>
      </c>
      <c r="H612" s="14" t="s">
        <v>74</v>
      </c>
      <c r="I612">
        <v>20</v>
      </c>
      <c r="J612">
        <v>0</v>
      </c>
      <c r="K612">
        <v>46242</v>
      </c>
      <c r="L612" t="s">
        <v>478</v>
      </c>
      <c r="M612">
        <v>1.9</v>
      </c>
      <c r="N612">
        <v>1.9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1</v>
      </c>
      <c r="CD612">
        <v>0</v>
      </c>
      <c r="CF612">
        <v>0</v>
      </c>
    </row>
    <row r="613" spans="1:84" x14ac:dyDescent="0.25">
      <c r="A613" t="s">
        <v>128</v>
      </c>
      <c r="B613" t="s">
        <v>421</v>
      </c>
      <c r="C613" s="14" t="s">
        <v>72</v>
      </c>
      <c r="D613" s="12">
        <v>46233</v>
      </c>
      <c r="E613" s="14" t="s">
        <v>133</v>
      </c>
      <c r="F613" s="14" t="s">
        <v>133</v>
      </c>
      <c r="G613" s="14" t="s">
        <v>133</v>
      </c>
      <c r="H613" s="14" t="s">
        <v>75</v>
      </c>
      <c r="I613">
        <v>20</v>
      </c>
      <c r="J613">
        <v>8.1223093154332009</v>
      </c>
      <c r="K613">
        <v>46233</v>
      </c>
      <c r="L613" t="s">
        <v>452</v>
      </c>
      <c r="M613">
        <v>6.6499999999999995</v>
      </c>
      <c r="N613">
        <v>6.6499999999999995</v>
      </c>
      <c r="O613">
        <v>14.730962481146298</v>
      </c>
      <c r="P613">
        <v>0.81873267093686442</v>
      </c>
      <c r="Q613">
        <v>0.81873267093686442</v>
      </c>
      <c r="R613">
        <v>1.8136421440089698</v>
      </c>
      <c r="S613">
        <v>0.81364214400896984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0.18126732906313558</v>
      </c>
      <c r="AC613">
        <v>0</v>
      </c>
      <c r="AD613">
        <v>0</v>
      </c>
      <c r="AE613">
        <v>0</v>
      </c>
      <c r="AF613">
        <v>0</v>
      </c>
      <c r="AG613">
        <v>0.81873267093686442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1.2213998970576243</v>
      </c>
      <c r="AN613">
        <v>1.2213998970576243</v>
      </c>
      <c r="AO613">
        <v>2.2151823279919247</v>
      </c>
      <c r="AP613">
        <v>0.99378243093430041</v>
      </c>
      <c r="AQ613">
        <v>0</v>
      </c>
      <c r="AR613">
        <v>0</v>
      </c>
      <c r="AS613">
        <v>0</v>
      </c>
      <c r="AT613">
        <v>0</v>
      </c>
      <c r="AU613">
        <v>0.27860010294237569</v>
      </c>
      <c r="AV613">
        <v>0.22139989705762431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0.45143010909919351</v>
      </c>
      <c r="BK613">
        <v>0.45143010909919351</v>
      </c>
      <c r="BL613">
        <v>0.55137668878246704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0.44862331121753296</v>
      </c>
      <c r="BX613">
        <v>0</v>
      </c>
      <c r="BY613">
        <v>0</v>
      </c>
      <c r="BZ613">
        <v>0</v>
      </c>
      <c r="CA613">
        <v>0.45143010909919351</v>
      </c>
      <c r="CB613">
        <v>0</v>
      </c>
      <c r="CC613">
        <v>0</v>
      </c>
      <c r="CD613">
        <v>0</v>
      </c>
      <c r="CE613">
        <v>0</v>
      </c>
      <c r="CF613">
        <v>0</v>
      </c>
    </row>
    <row r="614" spans="1:84" x14ac:dyDescent="0.25">
      <c r="A614" t="s">
        <v>128</v>
      </c>
      <c r="B614" t="s">
        <v>421</v>
      </c>
      <c r="C614" s="14" t="s">
        <v>72</v>
      </c>
      <c r="D614" s="12">
        <v>46234</v>
      </c>
      <c r="E614" s="14" t="s">
        <v>133</v>
      </c>
      <c r="F614" s="14" t="s">
        <v>133</v>
      </c>
      <c r="G614" s="14" t="s">
        <v>133</v>
      </c>
      <c r="H614" s="14" t="s">
        <v>73</v>
      </c>
      <c r="I614">
        <v>20</v>
      </c>
      <c r="J614">
        <v>9.9337595944147097</v>
      </c>
      <c r="K614">
        <v>46234</v>
      </c>
      <c r="L614" t="s">
        <v>453</v>
      </c>
      <c r="M614">
        <v>30.4</v>
      </c>
      <c r="N614">
        <v>30.4</v>
      </c>
      <c r="O614">
        <v>12.303129713423832</v>
      </c>
      <c r="P614">
        <v>3.0602713616194719</v>
      </c>
      <c r="Q614">
        <v>3.0602713616194719</v>
      </c>
      <c r="R614">
        <v>1.238516957903965</v>
      </c>
      <c r="S614">
        <v>0</v>
      </c>
      <c r="T614">
        <v>0</v>
      </c>
      <c r="U614">
        <v>1.8102713616194719</v>
      </c>
      <c r="V614">
        <v>0</v>
      </c>
      <c r="W614">
        <v>0</v>
      </c>
      <c r="X614">
        <v>0</v>
      </c>
      <c r="Y614">
        <v>0.23851695790396499</v>
      </c>
      <c r="Z614">
        <v>0</v>
      </c>
      <c r="AA614">
        <v>1.1483042096035012E-2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0.32676840771101018</v>
      </c>
      <c r="AN614">
        <v>0.32676840771101018</v>
      </c>
      <c r="AO614">
        <v>0.40470821425736292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0.59529178574263708</v>
      </c>
      <c r="BA614">
        <v>0</v>
      </c>
      <c r="BB614">
        <v>0</v>
      </c>
      <c r="BC614">
        <v>0</v>
      </c>
      <c r="BD614">
        <v>0.32676840771101018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2.470915995206556</v>
      </c>
      <c r="BK614">
        <v>2.470915995206556</v>
      </c>
      <c r="BL614">
        <v>0.80741728534131241</v>
      </c>
      <c r="CC614">
        <v>0</v>
      </c>
      <c r="CD614">
        <v>0</v>
      </c>
      <c r="CE614">
        <v>0</v>
      </c>
    </row>
    <row r="615" spans="1:84" x14ac:dyDescent="0.25">
      <c r="A615" t="s">
        <v>128</v>
      </c>
      <c r="B615" t="s">
        <v>421</v>
      </c>
      <c r="C615" s="14" t="s">
        <v>72</v>
      </c>
      <c r="D615" s="12">
        <v>46242</v>
      </c>
      <c r="E615" s="14" t="s">
        <v>420</v>
      </c>
      <c r="F615" s="14" t="s">
        <v>420</v>
      </c>
      <c r="G615" s="14" t="s">
        <v>420</v>
      </c>
      <c r="H615" s="14" t="s">
        <v>73</v>
      </c>
      <c r="I615">
        <v>20</v>
      </c>
      <c r="J615">
        <v>1.869884158948651</v>
      </c>
      <c r="K615">
        <v>46242</v>
      </c>
      <c r="L615" t="s">
        <v>477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</row>
    <row r="616" spans="1:84" x14ac:dyDescent="0.25">
      <c r="A616" t="s">
        <v>128</v>
      </c>
      <c r="B616" t="s">
        <v>421</v>
      </c>
      <c r="C616" s="14" t="s">
        <v>72</v>
      </c>
      <c r="D616" s="12">
        <v>46234</v>
      </c>
      <c r="E616" s="14" t="s">
        <v>133</v>
      </c>
      <c r="F616" s="14" t="s">
        <v>133</v>
      </c>
      <c r="G616" s="14" t="s">
        <v>133</v>
      </c>
      <c r="H616" s="14" t="s">
        <v>74</v>
      </c>
      <c r="I616">
        <v>20</v>
      </c>
      <c r="J616">
        <v>4.440974877503046</v>
      </c>
      <c r="K616">
        <v>46234</v>
      </c>
      <c r="L616" t="s">
        <v>454</v>
      </c>
      <c r="M616">
        <v>4.75</v>
      </c>
      <c r="N616">
        <v>4.75</v>
      </c>
      <c r="O616">
        <v>12.965033465309196</v>
      </c>
      <c r="P616">
        <v>1.0695849742502268</v>
      </c>
      <c r="Q616">
        <v>1.0695849742502268</v>
      </c>
      <c r="R616">
        <v>2.9194115758202246</v>
      </c>
      <c r="S616">
        <v>1.8498266015699978</v>
      </c>
      <c r="T616">
        <v>0</v>
      </c>
      <c r="U616">
        <v>0</v>
      </c>
      <c r="V616">
        <v>0</v>
      </c>
      <c r="W616">
        <v>0</v>
      </c>
      <c r="X616">
        <v>0.18041502574977319</v>
      </c>
      <c r="Y616">
        <v>6.9584974250226805E-2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0.9349420794743255</v>
      </c>
      <c r="AN616">
        <v>0.9349420794743255</v>
      </c>
      <c r="AO616">
        <v>2.729480729538778</v>
      </c>
      <c r="AP616">
        <v>1.729480729538778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0.9349420794743255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0.366370053167211</v>
      </c>
      <c r="BK616">
        <v>0.366370053167211</v>
      </c>
      <c r="BL616">
        <v>0.34253477936527144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0.63362994683278906</v>
      </c>
      <c r="BX616">
        <v>0</v>
      </c>
      <c r="BY616">
        <v>2.383527380193956E-2</v>
      </c>
      <c r="BZ616">
        <v>0</v>
      </c>
      <c r="CA616">
        <v>0.34253477936527144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 spans="1:84" x14ac:dyDescent="0.25">
      <c r="A617" t="s">
        <v>128</v>
      </c>
      <c r="B617" t="s">
        <v>421</v>
      </c>
      <c r="C617" s="14" t="s">
        <v>72</v>
      </c>
      <c r="D617" s="12">
        <v>46241</v>
      </c>
      <c r="E617" s="14" t="s">
        <v>420</v>
      </c>
      <c r="F617" s="14" t="s">
        <v>420</v>
      </c>
      <c r="G617" s="14" t="s">
        <v>420</v>
      </c>
      <c r="H617" s="14" t="s">
        <v>75</v>
      </c>
      <c r="I617">
        <v>20</v>
      </c>
      <c r="J617">
        <v>1.4299114156666153</v>
      </c>
      <c r="K617">
        <v>46241</v>
      </c>
      <c r="L617" t="s">
        <v>476</v>
      </c>
      <c r="M617">
        <v>0.95</v>
      </c>
      <c r="N617">
        <v>0.95</v>
      </c>
      <c r="O617">
        <v>0</v>
      </c>
      <c r="P617">
        <v>0.66437682054389102</v>
      </c>
      <c r="Q617">
        <v>0.66437682054389102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0.33562317945610898</v>
      </c>
      <c r="AD617">
        <v>0</v>
      </c>
      <c r="AE617">
        <v>0</v>
      </c>
      <c r="AF617">
        <v>0</v>
      </c>
      <c r="AG617">
        <v>0</v>
      </c>
      <c r="AH617">
        <v>0.66437682054389102</v>
      </c>
      <c r="AI617">
        <v>0</v>
      </c>
      <c r="AJ617">
        <v>0</v>
      </c>
      <c r="AK617">
        <v>0</v>
      </c>
      <c r="AL617">
        <v>0</v>
      </c>
      <c r="AM617">
        <v>1.5051699112280161</v>
      </c>
      <c r="AN617">
        <v>1.5051699112280161</v>
      </c>
      <c r="AO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</row>
    <row r="618" spans="1:84" x14ac:dyDescent="0.25">
      <c r="A618" t="s">
        <v>128</v>
      </c>
      <c r="B618" t="s">
        <v>421</v>
      </c>
      <c r="C618" s="14" t="s">
        <v>72</v>
      </c>
      <c r="D618" s="12">
        <v>46234</v>
      </c>
      <c r="E618" s="14" t="s">
        <v>133</v>
      </c>
      <c r="F618" s="14" t="s">
        <v>133</v>
      </c>
      <c r="G618" s="14" t="s">
        <v>133</v>
      </c>
      <c r="H618" s="14" t="s">
        <v>75</v>
      </c>
      <c r="I618">
        <v>20</v>
      </c>
      <c r="J618">
        <v>8.0638754354660556</v>
      </c>
      <c r="K618">
        <v>46234</v>
      </c>
      <c r="L618" t="s">
        <v>455</v>
      </c>
      <c r="M618">
        <v>6.6499999999999995</v>
      </c>
      <c r="N618">
        <v>6.6499999999999995</v>
      </c>
      <c r="O618">
        <v>12.2105887066365</v>
      </c>
      <c r="P618">
        <v>0.82466551637843588</v>
      </c>
      <c r="Q618">
        <v>0.82466551637843588</v>
      </c>
      <c r="R618">
        <v>1.5142332994049756</v>
      </c>
      <c r="S618">
        <v>0.51423329940497564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0.17533448362156412</v>
      </c>
      <c r="AC618">
        <v>0</v>
      </c>
      <c r="AD618">
        <v>0</v>
      </c>
      <c r="AE618">
        <v>0</v>
      </c>
      <c r="AF618">
        <v>0</v>
      </c>
      <c r="AG618">
        <v>0.82466551637843588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1.2126128474385047</v>
      </c>
      <c r="AN618">
        <v>1.2126128474385047</v>
      </c>
      <c r="AO618">
        <v>1.8361787528776694</v>
      </c>
      <c r="AP618">
        <v>0.62356590543916468</v>
      </c>
      <c r="AQ618">
        <v>0</v>
      </c>
      <c r="AR618">
        <v>0</v>
      </c>
      <c r="AS618">
        <v>0</v>
      </c>
      <c r="AT618">
        <v>0</v>
      </c>
      <c r="AU618">
        <v>0.28738715256149527</v>
      </c>
      <c r="AV618">
        <v>0.21261284743850473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0.54460928623250571</v>
      </c>
      <c r="BK618">
        <v>0.54460928623250571</v>
      </c>
      <c r="BL618">
        <v>0.66040021731985044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0.33959978268014956</v>
      </c>
      <c r="BX618">
        <v>0</v>
      </c>
      <c r="BY618">
        <v>0</v>
      </c>
      <c r="BZ618">
        <v>0</v>
      </c>
      <c r="CA618">
        <v>0.54460928623250571</v>
      </c>
      <c r="CB618">
        <v>0</v>
      </c>
      <c r="CC618">
        <v>0</v>
      </c>
      <c r="CD618">
        <v>0</v>
      </c>
      <c r="CE618">
        <v>0</v>
      </c>
      <c r="CF618">
        <v>0</v>
      </c>
    </row>
    <row r="619" spans="1:84" x14ac:dyDescent="0.25">
      <c r="A619" t="s">
        <v>128</v>
      </c>
      <c r="B619" t="s">
        <v>421</v>
      </c>
      <c r="C619" s="14" t="s">
        <v>72</v>
      </c>
      <c r="D619" s="12">
        <v>46241</v>
      </c>
      <c r="E619" s="14" t="s">
        <v>420</v>
      </c>
      <c r="F619" s="14" t="s">
        <v>420</v>
      </c>
      <c r="G619" s="14" t="s">
        <v>420</v>
      </c>
      <c r="H619" s="14" t="s">
        <v>74</v>
      </c>
      <c r="I619">
        <v>20</v>
      </c>
      <c r="J619">
        <v>0</v>
      </c>
      <c r="K619">
        <v>46241</v>
      </c>
      <c r="L619" t="s">
        <v>475</v>
      </c>
      <c r="M619">
        <v>0.95</v>
      </c>
      <c r="N619">
        <v>0.95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0</v>
      </c>
      <c r="CF619">
        <v>0</v>
      </c>
    </row>
    <row r="620" spans="1:84" x14ac:dyDescent="0.25">
      <c r="A620" t="s">
        <v>128</v>
      </c>
      <c r="B620" t="s">
        <v>421</v>
      </c>
      <c r="C620" s="14" t="s">
        <v>72</v>
      </c>
      <c r="D620" s="12">
        <v>46235</v>
      </c>
      <c r="E620" s="14" t="s">
        <v>133</v>
      </c>
      <c r="F620" s="14" t="s">
        <v>133</v>
      </c>
      <c r="G620" s="14" t="s">
        <v>133</v>
      </c>
      <c r="H620" s="14" t="s">
        <v>73</v>
      </c>
      <c r="I620">
        <v>20</v>
      </c>
      <c r="J620">
        <v>9.9337595944147097</v>
      </c>
      <c r="K620">
        <v>46235</v>
      </c>
      <c r="L620" t="s">
        <v>456</v>
      </c>
      <c r="M620">
        <v>35.15</v>
      </c>
      <c r="N620">
        <v>35.15</v>
      </c>
      <c r="O620">
        <v>13.820701357466072</v>
      </c>
      <c r="P620">
        <v>3.5384387618725146</v>
      </c>
      <c r="Q620">
        <v>3.5384387618725146</v>
      </c>
      <c r="R620">
        <v>1.3912860711101573</v>
      </c>
      <c r="S620">
        <v>0</v>
      </c>
      <c r="T620">
        <v>0</v>
      </c>
      <c r="U620">
        <v>2.1471526907623573</v>
      </c>
      <c r="V620">
        <v>0</v>
      </c>
      <c r="W620">
        <v>0.14128607111015734</v>
      </c>
      <c r="X620">
        <v>0</v>
      </c>
      <c r="Y620">
        <v>0.25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0.28261051477708993</v>
      </c>
      <c r="AN620">
        <v>0.28261051477708993</v>
      </c>
      <c r="AO620">
        <v>0.39319207275863649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0.60680792724136356</v>
      </c>
      <c r="BA620">
        <v>0</v>
      </c>
      <c r="BB620">
        <v>0</v>
      </c>
      <c r="BC620">
        <v>0</v>
      </c>
      <c r="BD620">
        <v>0.28261051477708993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2.5432862696951077</v>
      </c>
      <c r="BK620">
        <v>2.5432862696951077</v>
      </c>
      <c r="BL620">
        <v>0.71875944190403906</v>
      </c>
      <c r="CC620">
        <v>0</v>
      </c>
      <c r="CD620">
        <v>0</v>
      </c>
      <c r="CE620">
        <v>0</v>
      </c>
    </row>
    <row r="621" spans="1:84" x14ac:dyDescent="0.25">
      <c r="A621" t="s">
        <v>128</v>
      </c>
      <c r="B621" t="s">
        <v>421</v>
      </c>
      <c r="C621" s="14" t="s">
        <v>72</v>
      </c>
      <c r="D621" s="12">
        <v>46235</v>
      </c>
      <c r="E621" s="14" t="s">
        <v>133</v>
      </c>
      <c r="F621" s="14" t="s">
        <v>133</v>
      </c>
      <c r="G621" s="14" t="s">
        <v>133</v>
      </c>
      <c r="H621" s="14" t="s">
        <v>74</v>
      </c>
      <c r="I621">
        <v>20</v>
      </c>
      <c r="J621">
        <v>4.3241071175687553</v>
      </c>
      <c r="K621">
        <v>46235</v>
      </c>
      <c r="L621" t="s">
        <v>457</v>
      </c>
      <c r="M621">
        <v>2.8499999999999996</v>
      </c>
      <c r="N621">
        <v>2.8499999999999996</v>
      </c>
      <c r="O621">
        <v>13.950556184012065</v>
      </c>
      <c r="P621">
        <v>0.65909560575419379</v>
      </c>
      <c r="Q621">
        <v>0.65909560575419379</v>
      </c>
      <c r="R621">
        <v>3.2262281679681921</v>
      </c>
      <c r="S621">
        <v>2.2262281679681921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0.34090439424580621</v>
      </c>
      <c r="AC621">
        <v>0</v>
      </c>
      <c r="AD621">
        <v>0</v>
      </c>
      <c r="AE621">
        <v>0</v>
      </c>
      <c r="AF621">
        <v>0</v>
      </c>
      <c r="AG621">
        <v>0.65909560575419379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1.5172305675679845</v>
      </c>
      <c r="AN621">
        <v>1.5172305675679845</v>
      </c>
      <c r="AO621">
        <v>4.8949319943901992</v>
      </c>
      <c r="BF621">
        <v>0</v>
      </c>
      <c r="BG621">
        <v>0</v>
      </c>
      <c r="BH621">
        <v>0</v>
      </c>
      <c r="BJ621">
        <v>0.20429293014612721</v>
      </c>
      <c r="BK621">
        <v>0.20429293014612721</v>
      </c>
      <c r="BL621">
        <v>0.30995947835573517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0.69004052164426488</v>
      </c>
      <c r="BX621">
        <v>0</v>
      </c>
      <c r="BY621">
        <v>0</v>
      </c>
      <c r="BZ621">
        <v>0</v>
      </c>
      <c r="CA621">
        <v>0.20429293014612721</v>
      </c>
      <c r="CB621">
        <v>0</v>
      </c>
      <c r="CC621">
        <v>0</v>
      </c>
      <c r="CD621">
        <v>0</v>
      </c>
      <c r="CE621">
        <v>0</v>
      </c>
      <c r="CF621">
        <v>0</v>
      </c>
    </row>
    <row r="622" spans="1:84" x14ac:dyDescent="0.25">
      <c r="A622" t="s">
        <v>128</v>
      </c>
      <c r="B622" t="s">
        <v>421</v>
      </c>
      <c r="C622" s="14" t="s">
        <v>72</v>
      </c>
      <c r="D622" s="12">
        <v>46241</v>
      </c>
      <c r="E622" s="14" t="s">
        <v>420</v>
      </c>
      <c r="F622" s="14" t="s">
        <v>420</v>
      </c>
      <c r="G622" s="14" t="s">
        <v>420</v>
      </c>
      <c r="H622" s="14" t="s">
        <v>73</v>
      </c>
      <c r="I622">
        <v>20</v>
      </c>
      <c r="J622">
        <v>1.869884158948651</v>
      </c>
      <c r="K622">
        <v>46241</v>
      </c>
      <c r="L622" t="s">
        <v>474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</row>
    <row r="623" spans="1:84" x14ac:dyDescent="0.25">
      <c r="A623" t="s">
        <v>128</v>
      </c>
      <c r="B623" t="s">
        <v>421</v>
      </c>
      <c r="C623" s="14" t="s">
        <v>72</v>
      </c>
      <c r="D623" s="12">
        <v>46235</v>
      </c>
      <c r="E623" s="14" t="s">
        <v>133</v>
      </c>
      <c r="F623" s="14" t="s">
        <v>133</v>
      </c>
      <c r="G623" s="14" t="s">
        <v>133</v>
      </c>
      <c r="H623" s="14" t="s">
        <v>75</v>
      </c>
      <c r="I623">
        <v>20</v>
      </c>
      <c r="J623">
        <v>8.1223093154331991</v>
      </c>
      <c r="K623">
        <v>46235</v>
      </c>
      <c r="L623" t="s">
        <v>458</v>
      </c>
      <c r="M623">
        <v>6.6499999999999995</v>
      </c>
      <c r="N623">
        <v>6.6499999999999995</v>
      </c>
      <c r="O623">
        <v>13.98854402337858</v>
      </c>
      <c r="P623">
        <v>0.81873267093686464</v>
      </c>
      <c r="Q623">
        <v>0.81873267093686464</v>
      </c>
      <c r="R623">
        <v>1.7222372948539337</v>
      </c>
      <c r="S623">
        <v>0.72223729485393373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0.18126732906313536</v>
      </c>
      <c r="AC623">
        <v>0</v>
      </c>
      <c r="AD623">
        <v>0</v>
      </c>
      <c r="AE623">
        <v>0</v>
      </c>
      <c r="AF623">
        <v>0</v>
      </c>
      <c r="AG623">
        <v>0.81873267093686464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1.2213998970576241</v>
      </c>
      <c r="AN623">
        <v>1.2213998970576241</v>
      </c>
      <c r="AO623">
        <v>2.1035404546433956</v>
      </c>
      <c r="AP623">
        <v>0.88214055758577148</v>
      </c>
      <c r="AQ623">
        <v>0</v>
      </c>
      <c r="AR623">
        <v>0</v>
      </c>
      <c r="AS623">
        <v>0</v>
      </c>
      <c r="AT623">
        <v>0</v>
      </c>
      <c r="AU623">
        <v>0.27860010294237592</v>
      </c>
      <c r="AV623">
        <v>0.22139989705762408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0.47538900323622529</v>
      </c>
      <c r="BK623">
        <v>0.47538900323622529</v>
      </c>
      <c r="BL623">
        <v>0.58064007961505204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0.41935992038494796</v>
      </c>
      <c r="BX623">
        <v>0</v>
      </c>
      <c r="BY623">
        <v>0</v>
      </c>
      <c r="BZ623">
        <v>0</v>
      </c>
      <c r="CA623">
        <v>0.47538900323622529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 spans="1:84" x14ac:dyDescent="0.25">
      <c r="A624" t="s">
        <v>128</v>
      </c>
      <c r="B624" t="s">
        <v>421</v>
      </c>
      <c r="C624" s="14" t="s">
        <v>72</v>
      </c>
      <c r="D624" s="12">
        <v>46240</v>
      </c>
      <c r="E624" s="14" t="s">
        <v>420</v>
      </c>
      <c r="F624" s="14" t="s">
        <v>420</v>
      </c>
      <c r="G624" s="14" t="s">
        <v>420</v>
      </c>
      <c r="H624" s="14" t="s">
        <v>75</v>
      </c>
      <c r="I624">
        <v>20</v>
      </c>
      <c r="J624">
        <v>1.4299114156666153</v>
      </c>
      <c r="K624">
        <v>46240</v>
      </c>
      <c r="L624" t="s">
        <v>473</v>
      </c>
      <c r="M624">
        <v>0.95</v>
      </c>
      <c r="N624">
        <v>0.95</v>
      </c>
      <c r="O624">
        <v>0</v>
      </c>
      <c r="P624">
        <v>0.66437682054389102</v>
      </c>
      <c r="Q624">
        <v>0.66437682054389102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0.33562317945610898</v>
      </c>
      <c r="AD624">
        <v>0</v>
      </c>
      <c r="AE624">
        <v>0</v>
      </c>
      <c r="AF624">
        <v>0</v>
      </c>
      <c r="AG624">
        <v>0</v>
      </c>
      <c r="AH624">
        <v>0.66437682054389102</v>
      </c>
      <c r="AI624">
        <v>0</v>
      </c>
      <c r="AJ624">
        <v>0</v>
      </c>
      <c r="AK624">
        <v>0</v>
      </c>
      <c r="AL624">
        <v>0</v>
      </c>
      <c r="AM624">
        <v>1.5051699112280161</v>
      </c>
      <c r="AN624">
        <v>1.5051699112280161</v>
      </c>
      <c r="AO624">
        <v>0</v>
      </c>
      <c r="BF624">
        <v>0</v>
      </c>
      <c r="BG624">
        <v>0</v>
      </c>
      <c r="BH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</row>
    <row r="625" spans="1:84" x14ac:dyDescent="0.25">
      <c r="A625" t="s">
        <v>128</v>
      </c>
      <c r="B625" t="s">
        <v>421</v>
      </c>
      <c r="C625" s="14" t="s">
        <v>72</v>
      </c>
      <c r="D625" s="12">
        <v>46236</v>
      </c>
      <c r="E625" s="14" t="s">
        <v>133</v>
      </c>
      <c r="F625" s="14" t="s">
        <v>133</v>
      </c>
      <c r="G625" s="14" t="s">
        <v>133</v>
      </c>
      <c r="H625" s="14" t="s">
        <v>73</v>
      </c>
      <c r="I625">
        <v>20</v>
      </c>
      <c r="J625">
        <v>9.9337595944147097</v>
      </c>
      <c r="K625">
        <v>46236</v>
      </c>
      <c r="L625" t="s">
        <v>459</v>
      </c>
      <c r="M625">
        <v>33.25</v>
      </c>
      <c r="N625">
        <v>33.25</v>
      </c>
      <c r="O625">
        <v>14.750188536953251</v>
      </c>
      <c r="P625">
        <v>3.3471718017712977</v>
      </c>
      <c r="Q625">
        <v>3.3471718017712977</v>
      </c>
      <c r="R625">
        <v>1.4848545907278243</v>
      </c>
      <c r="S625">
        <v>0</v>
      </c>
      <c r="T625">
        <v>0</v>
      </c>
      <c r="U625">
        <v>1.8623172110434734</v>
      </c>
      <c r="V625">
        <v>0</v>
      </c>
      <c r="W625">
        <v>0.23485459072782433</v>
      </c>
      <c r="X625">
        <v>0</v>
      </c>
      <c r="Y625">
        <v>0.25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0.29875968705006645</v>
      </c>
      <c r="AN625">
        <v>0.29875968705006645</v>
      </c>
      <c r="AO625">
        <v>0.44361469284069927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0.55638530715930079</v>
      </c>
      <c r="BA625">
        <v>0</v>
      </c>
      <c r="BB625">
        <v>0</v>
      </c>
      <c r="BC625">
        <v>0</v>
      </c>
      <c r="BD625">
        <v>0.29875968705006645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2.2542084744679478</v>
      </c>
      <c r="BK625">
        <v>2.2542084744679478</v>
      </c>
      <c r="BL625">
        <v>0.67346661837765187</v>
      </c>
      <c r="CC625">
        <v>0</v>
      </c>
      <c r="CD625">
        <v>0</v>
      </c>
      <c r="CE625">
        <v>0</v>
      </c>
    </row>
    <row r="626" spans="1:84" x14ac:dyDescent="0.25">
      <c r="A626" t="s">
        <v>128</v>
      </c>
      <c r="B626" t="s">
        <v>421</v>
      </c>
      <c r="C626" s="14" t="s">
        <v>72</v>
      </c>
      <c r="D626" s="12">
        <v>46240</v>
      </c>
      <c r="E626" s="14" t="s">
        <v>420</v>
      </c>
      <c r="F626" s="14" t="s">
        <v>420</v>
      </c>
      <c r="G626" s="14" t="s">
        <v>420</v>
      </c>
      <c r="H626" s="14" t="s">
        <v>74</v>
      </c>
      <c r="I626">
        <v>20</v>
      </c>
      <c r="J626">
        <v>0</v>
      </c>
      <c r="K626">
        <v>46240</v>
      </c>
      <c r="L626" t="s">
        <v>472</v>
      </c>
      <c r="M626">
        <v>0.95</v>
      </c>
      <c r="N626">
        <v>0.95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1</v>
      </c>
      <c r="CD626">
        <v>0</v>
      </c>
      <c r="CF626">
        <v>0</v>
      </c>
    </row>
    <row r="627" spans="1:84" x14ac:dyDescent="0.25">
      <c r="A627" t="s">
        <v>128</v>
      </c>
      <c r="B627" t="s">
        <v>421</v>
      </c>
      <c r="C627" s="14" t="s">
        <v>72</v>
      </c>
      <c r="D627" s="12">
        <v>46236</v>
      </c>
      <c r="E627" s="14" t="s">
        <v>133</v>
      </c>
      <c r="F627" s="14" t="s">
        <v>133</v>
      </c>
      <c r="G627" s="14" t="s">
        <v>133</v>
      </c>
      <c r="H627" s="14" t="s">
        <v>74</v>
      </c>
      <c r="I627">
        <v>20</v>
      </c>
      <c r="J627">
        <v>4.440974877503046</v>
      </c>
      <c r="K627">
        <v>46236</v>
      </c>
      <c r="L627" t="s">
        <v>460</v>
      </c>
      <c r="M627">
        <v>3.8</v>
      </c>
      <c r="N627">
        <v>3.8</v>
      </c>
      <c r="O627">
        <v>15.633283842383102</v>
      </c>
      <c r="P627">
        <v>0.85566797940018147</v>
      </c>
      <c r="Q627">
        <v>0.85566797940018147</v>
      </c>
      <c r="R627">
        <v>3.5202369465266985</v>
      </c>
      <c r="S627">
        <v>2.5202369465266985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0.14433202059981853</v>
      </c>
      <c r="AC627">
        <v>0</v>
      </c>
      <c r="AD627">
        <v>0</v>
      </c>
      <c r="AE627">
        <v>0</v>
      </c>
      <c r="AF627">
        <v>0</v>
      </c>
      <c r="AG627">
        <v>0.85566797940018147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1.1686775993429068</v>
      </c>
      <c r="AN627">
        <v>1.1686775993429068</v>
      </c>
      <c r="AO627">
        <v>4.1140220637850273</v>
      </c>
      <c r="AP627">
        <v>2.9453444644421207</v>
      </c>
      <c r="AQ627">
        <v>0</v>
      </c>
      <c r="AR627">
        <v>0</v>
      </c>
      <c r="AS627">
        <v>0</v>
      </c>
      <c r="AT627">
        <v>0</v>
      </c>
      <c r="AU627">
        <v>0.33132240065709317</v>
      </c>
      <c r="AV627">
        <v>0.16867759934290683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0.24307113197151139</v>
      </c>
      <c r="BK627">
        <v>0.24307113197151139</v>
      </c>
      <c r="BL627">
        <v>0.28407178698202884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0.71592821301797116</v>
      </c>
      <c r="BX627">
        <v>0</v>
      </c>
      <c r="BY627">
        <v>0</v>
      </c>
      <c r="BZ627">
        <v>0</v>
      </c>
      <c r="CA627">
        <v>0.24307113197151139</v>
      </c>
      <c r="CB627">
        <v>0</v>
      </c>
      <c r="CC627">
        <v>0</v>
      </c>
      <c r="CD627">
        <v>0</v>
      </c>
      <c r="CE627">
        <v>0</v>
      </c>
      <c r="CF627">
        <v>0</v>
      </c>
    </row>
    <row r="628" spans="1:84" x14ac:dyDescent="0.25">
      <c r="A628" t="s">
        <v>128</v>
      </c>
      <c r="B628" t="s">
        <v>421</v>
      </c>
      <c r="C628" s="14" t="s">
        <v>72</v>
      </c>
      <c r="D628" s="12">
        <v>46240</v>
      </c>
      <c r="E628" s="14" t="s">
        <v>420</v>
      </c>
      <c r="F628" s="14" t="s">
        <v>420</v>
      </c>
      <c r="G628" s="14" t="s">
        <v>420</v>
      </c>
      <c r="H628" s="14" t="s">
        <v>73</v>
      </c>
      <c r="I628">
        <v>20</v>
      </c>
      <c r="J628">
        <v>1.869884158948651</v>
      </c>
      <c r="K628">
        <v>46240</v>
      </c>
      <c r="L628" t="s">
        <v>471</v>
      </c>
      <c r="M628">
        <v>0.95</v>
      </c>
      <c r="N628">
        <v>0.95</v>
      </c>
      <c r="O628">
        <v>0</v>
      </c>
      <c r="P628">
        <v>0.50805286276885775</v>
      </c>
      <c r="Q628">
        <v>0.50805286276885775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0.49194713723114225</v>
      </c>
      <c r="AD628">
        <v>0</v>
      </c>
      <c r="AE628">
        <v>0</v>
      </c>
      <c r="AF628">
        <v>0</v>
      </c>
      <c r="AG628">
        <v>0</v>
      </c>
      <c r="AH628">
        <v>0.50805286276885775</v>
      </c>
      <c r="AI628">
        <v>0</v>
      </c>
      <c r="AJ628">
        <v>0</v>
      </c>
      <c r="AK628">
        <v>0</v>
      </c>
      <c r="AL628">
        <v>0</v>
      </c>
      <c r="AM628">
        <v>1.9682991146827906</v>
      </c>
      <c r="AN628">
        <v>1.9682991146827906</v>
      </c>
      <c r="AO628">
        <v>0</v>
      </c>
      <c r="BF628">
        <v>0</v>
      </c>
      <c r="BG628">
        <v>0</v>
      </c>
      <c r="BH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 spans="1:84" x14ac:dyDescent="0.25">
      <c r="A629" t="s">
        <v>128</v>
      </c>
      <c r="B629" t="s">
        <v>421</v>
      </c>
      <c r="C629" s="14" t="s">
        <v>72</v>
      </c>
      <c r="D629" s="12">
        <v>46239</v>
      </c>
      <c r="E629" s="14" t="s">
        <v>420</v>
      </c>
      <c r="F629" s="14" t="s">
        <v>420</v>
      </c>
      <c r="G629" s="14" t="s">
        <v>420</v>
      </c>
      <c r="H629" s="14" t="s">
        <v>75</v>
      </c>
      <c r="I629">
        <v>20</v>
      </c>
      <c r="J629">
        <v>1.5949011943973783</v>
      </c>
      <c r="K629">
        <v>46239</v>
      </c>
      <c r="L629" t="s">
        <v>470</v>
      </c>
      <c r="M629">
        <v>1.9</v>
      </c>
      <c r="N629">
        <v>1.9</v>
      </c>
      <c r="O629">
        <v>0.82352941176470573</v>
      </c>
      <c r="P629">
        <v>1.1912963678718047</v>
      </c>
      <c r="Q629">
        <v>1.1912963678718047</v>
      </c>
      <c r="R629">
        <v>0.51635136687941996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0.19129636787180471</v>
      </c>
      <c r="AB629">
        <v>0</v>
      </c>
      <c r="AC629">
        <v>0</v>
      </c>
      <c r="AD629">
        <v>0</v>
      </c>
      <c r="AE629">
        <v>0.48364863312058004</v>
      </c>
      <c r="AF629">
        <v>0</v>
      </c>
      <c r="AG629">
        <v>0.51635136687941996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0.83942168126177807</v>
      </c>
      <c r="AN629">
        <v>0.83942168126177807</v>
      </c>
      <c r="AO629">
        <v>0.43343653250773989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0.16057831873822193</v>
      </c>
      <c r="BA629">
        <v>0</v>
      </c>
      <c r="BB629">
        <v>0.40598514875403818</v>
      </c>
      <c r="BC629">
        <v>0</v>
      </c>
      <c r="BD629">
        <v>0.43343653250773989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2.3071428571428574</v>
      </c>
      <c r="BK629">
        <v>2.3071428571428574</v>
      </c>
      <c r="BL629">
        <v>1.9366657360539596</v>
      </c>
      <c r="CC629">
        <v>0</v>
      </c>
      <c r="CD629">
        <v>0</v>
      </c>
      <c r="CE629">
        <v>0</v>
      </c>
    </row>
    <row r="630" spans="1:84" x14ac:dyDescent="0.25">
      <c r="A630" t="s">
        <v>128</v>
      </c>
      <c r="B630" t="s">
        <v>421</v>
      </c>
      <c r="C630" s="14" t="s">
        <v>72</v>
      </c>
      <c r="D630" s="12">
        <v>46233</v>
      </c>
      <c r="E630" s="14" t="s">
        <v>420</v>
      </c>
      <c r="F630" s="14" t="s">
        <v>420</v>
      </c>
      <c r="G630" s="14" t="s">
        <v>420</v>
      </c>
      <c r="H630" s="14" t="s">
        <v>75</v>
      </c>
      <c r="I630">
        <v>20</v>
      </c>
      <c r="J630">
        <v>1.4299114156666153</v>
      </c>
      <c r="K630">
        <v>46233</v>
      </c>
      <c r="L630" t="s">
        <v>452</v>
      </c>
      <c r="M630">
        <v>0.95</v>
      </c>
      <c r="N630">
        <v>0.95</v>
      </c>
      <c r="O630">
        <v>0.86877828054298623</v>
      </c>
      <c r="P630">
        <v>0.66437682054389102</v>
      </c>
      <c r="Q630">
        <v>0.66437682054389102</v>
      </c>
      <c r="R630">
        <v>0.60757489661551345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0.33562317945610898</v>
      </c>
      <c r="AD630">
        <v>0</v>
      </c>
      <c r="AE630">
        <v>5.6801923928377573E-2</v>
      </c>
      <c r="AF630">
        <v>0</v>
      </c>
      <c r="AG630">
        <v>0.60757489661551345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1.5051699112280161</v>
      </c>
      <c r="AN630">
        <v>1.5051699112280161</v>
      </c>
      <c r="AO630">
        <v>0.91450345320314341</v>
      </c>
      <c r="BF630">
        <v>0</v>
      </c>
      <c r="BG630">
        <v>0</v>
      </c>
      <c r="BH630">
        <v>0</v>
      </c>
      <c r="BJ630">
        <v>1.0934895833333336</v>
      </c>
      <c r="BK630">
        <v>1.0934895833333336</v>
      </c>
      <c r="BL630">
        <v>1.6458876190745939</v>
      </c>
      <c r="BM630">
        <v>0.55239803574126034</v>
      </c>
      <c r="BN630">
        <v>0</v>
      </c>
      <c r="BO630">
        <v>0</v>
      </c>
      <c r="BP630">
        <v>0</v>
      </c>
      <c r="BQ630">
        <v>0</v>
      </c>
      <c r="BR630">
        <v>0.40651041666666643</v>
      </c>
      <c r="BS630">
        <v>9.348958333333357E-2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</row>
    <row r="631" spans="1:84" x14ac:dyDescent="0.25">
      <c r="A631" t="s">
        <v>128</v>
      </c>
      <c r="B631" t="s">
        <v>421</v>
      </c>
      <c r="C631" s="14" t="s">
        <v>72</v>
      </c>
      <c r="D631" s="12">
        <v>46244</v>
      </c>
      <c r="E631" s="14" t="s">
        <v>420</v>
      </c>
      <c r="F631" s="14" t="s">
        <v>420</v>
      </c>
      <c r="G631" s="14" t="s">
        <v>420</v>
      </c>
      <c r="H631" s="14" t="s">
        <v>74</v>
      </c>
      <c r="I631">
        <v>20</v>
      </c>
      <c r="J631">
        <v>0</v>
      </c>
      <c r="K631">
        <v>46244</v>
      </c>
      <c r="L631" t="s">
        <v>484</v>
      </c>
      <c r="M631">
        <v>0.95</v>
      </c>
      <c r="N631">
        <v>0.95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F631">
        <v>0</v>
      </c>
    </row>
    <row r="632" spans="1:84" x14ac:dyDescent="0.25">
      <c r="A632" t="s">
        <v>128</v>
      </c>
      <c r="B632" t="s">
        <v>421</v>
      </c>
      <c r="C632" s="14" t="s">
        <v>72</v>
      </c>
      <c r="D632" s="12">
        <v>46233</v>
      </c>
      <c r="E632" s="14" t="s">
        <v>420</v>
      </c>
      <c r="F632" s="14" t="s">
        <v>420</v>
      </c>
      <c r="G632" s="14" t="s">
        <v>420</v>
      </c>
      <c r="H632" s="14" t="s">
        <v>74</v>
      </c>
      <c r="I632">
        <v>20</v>
      </c>
      <c r="J632">
        <v>0</v>
      </c>
      <c r="K632">
        <v>46233</v>
      </c>
      <c r="L632" t="s">
        <v>451</v>
      </c>
      <c r="M632">
        <v>0.95</v>
      </c>
      <c r="N632">
        <v>0.95</v>
      </c>
      <c r="O632">
        <v>0.92307692307692291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0.97165991902833992</v>
      </c>
      <c r="AK632">
        <v>0</v>
      </c>
      <c r="AL632">
        <v>0</v>
      </c>
      <c r="AM632">
        <v>0</v>
      </c>
      <c r="AN632">
        <v>0</v>
      </c>
      <c r="AO632">
        <v>0.97165991902833992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2.8340080971660075E-2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I632">
        <v>0</v>
      </c>
      <c r="BJ632">
        <v>1.0291666666666668</v>
      </c>
      <c r="BK632">
        <v>1.0291666666666668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2.9166666666666785E-2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2.8340080971660075E-2</v>
      </c>
      <c r="CD632">
        <v>0.97165991902833992</v>
      </c>
      <c r="CF632">
        <v>0</v>
      </c>
    </row>
    <row r="633" spans="1:84" x14ac:dyDescent="0.25">
      <c r="A633" t="s">
        <v>128</v>
      </c>
      <c r="B633" t="s">
        <v>421</v>
      </c>
      <c r="C633" s="14" t="s">
        <v>72</v>
      </c>
      <c r="D633" s="12">
        <v>46233</v>
      </c>
      <c r="E633" s="14" t="s">
        <v>420</v>
      </c>
      <c r="F633" s="14" t="s">
        <v>420</v>
      </c>
      <c r="G633" s="14" t="s">
        <v>420</v>
      </c>
      <c r="H633" s="14" t="s">
        <v>73</v>
      </c>
      <c r="I633">
        <v>20</v>
      </c>
      <c r="J633">
        <v>1.869884158948651</v>
      </c>
      <c r="K633">
        <v>46233</v>
      </c>
      <c r="L633" t="s">
        <v>450</v>
      </c>
      <c r="M633">
        <v>1.9</v>
      </c>
      <c r="N633">
        <v>1.9</v>
      </c>
      <c r="O633">
        <v>0</v>
      </c>
      <c r="P633">
        <v>1.0161057255377155</v>
      </c>
      <c r="Q633">
        <v>1.0161057255377155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1.6105725537715498E-2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0.98414955734139531</v>
      </c>
      <c r="AN633">
        <v>0.98414955734139531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 spans="1:84" x14ac:dyDescent="0.25">
      <c r="A634" t="s">
        <v>128</v>
      </c>
      <c r="B634" t="s">
        <v>421</v>
      </c>
      <c r="C634" s="14" t="s">
        <v>72</v>
      </c>
      <c r="D634" s="12">
        <v>46226</v>
      </c>
      <c r="E634" s="14" t="s">
        <v>420</v>
      </c>
      <c r="F634" s="14" t="s">
        <v>420</v>
      </c>
      <c r="G634" s="14" t="s">
        <v>420</v>
      </c>
      <c r="H634" s="14" t="s">
        <v>75</v>
      </c>
      <c r="I634">
        <v>20</v>
      </c>
      <c r="J634">
        <v>1.4299114156666153</v>
      </c>
      <c r="K634">
        <v>46226</v>
      </c>
      <c r="L634" t="s">
        <v>434</v>
      </c>
      <c r="M634">
        <v>0.95</v>
      </c>
      <c r="N634">
        <v>0.95</v>
      </c>
      <c r="O634">
        <v>0</v>
      </c>
      <c r="P634">
        <v>0.66437682054389102</v>
      </c>
      <c r="Q634">
        <v>0.66437682054389102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0.33562317945610898</v>
      </c>
      <c r="AD634">
        <v>0</v>
      </c>
      <c r="AE634">
        <v>0</v>
      </c>
      <c r="AF634">
        <v>0</v>
      </c>
      <c r="AG634">
        <v>0</v>
      </c>
      <c r="AH634">
        <v>0.66437682054389102</v>
      </c>
      <c r="AI634">
        <v>0</v>
      </c>
      <c r="AJ634">
        <v>0</v>
      </c>
      <c r="AK634">
        <v>0</v>
      </c>
      <c r="AL634">
        <v>0</v>
      </c>
      <c r="AM634">
        <v>1.5051699112280161</v>
      </c>
      <c r="AN634">
        <v>1.5051699112280161</v>
      </c>
      <c r="AO634">
        <v>0</v>
      </c>
      <c r="BF634">
        <v>0</v>
      </c>
      <c r="BG634">
        <v>0</v>
      </c>
      <c r="BH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 spans="1:84" x14ac:dyDescent="0.25">
      <c r="A635" t="s">
        <v>128</v>
      </c>
      <c r="B635" t="s">
        <v>421</v>
      </c>
      <c r="C635" s="14" t="s">
        <v>72</v>
      </c>
      <c r="D635" s="12">
        <v>46245</v>
      </c>
      <c r="E635" s="14" t="s">
        <v>133</v>
      </c>
      <c r="F635" s="14" t="s">
        <v>133</v>
      </c>
      <c r="G635" s="14" t="s">
        <v>133</v>
      </c>
      <c r="H635" s="14" t="s">
        <v>75</v>
      </c>
      <c r="I635">
        <v>20</v>
      </c>
      <c r="J635">
        <v>8.180743195400348</v>
      </c>
      <c r="K635">
        <v>46245</v>
      </c>
      <c r="L635" t="s">
        <v>488</v>
      </c>
      <c r="M635">
        <v>5.6999999999999993</v>
      </c>
      <c r="N635">
        <v>5.6999999999999993</v>
      </c>
      <c r="O635">
        <v>15.890631284565108</v>
      </c>
      <c r="P635">
        <v>0.69675821179729058</v>
      </c>
      <c r="Q635">
        <v>0.69675821179729058</v>
      </c>
      <c r="R635">
        <v>1.9424434803795909</v>
      </c>
      <c r="S635">
        <v>0.94244348037959091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0.30324178820270942</v>
      </c>
      <c r="AC635">
        <v>0</v>
      </c>
      <c r="AD635">
        <v>0</v>
      </c>
      <c r="AE635">
        <v>0</v>
      </c>
      <c r="AF635">
        <v>0</v>
      </c>
      <c r="AG635">
        <v>0.69675821179729058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1.4352181044562016</v>
      </c>
      <c r="AN635">
        <v>1.4352181044562016</v>
      </c>
      <c r="AO635">
        <v>2.7878300499237034</v>
      </c>
      <c r="AP635">
        <v>1.3526119454675019</v>
      </c>
      <c r="AQ635">
        <v>0</v>
      </c>
      <c r="AR635">
        <v>0</v>
      </c>
      <c r="AS635">
        <v>0</v>
      </c>
      <c r="AT635">
        <v>0</v>
      </c>
      <c r="AU635">
        <v>6.4781895543798429E-2</v>
      </c>
      <c r="AV635">
        <v>0.43521810445620157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0.35870192303414178</v>
      </c>
      <c r="BK635">
        <v>0.35870192303414178</v>
      </c>
      <c r="BL635">
        <v>0.51481549404185534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0.48518450595814466</v>
      </c>
      <c r="BX635">
        <v>0</v>
      </c>
      <c r="BY635">
        <v>0</v>
      </c>
      <c r="BZ635">
        <v>0</v>
      </c>
      <c r="CA635">
        <v>0.35870192303414178</v>
      </c>
      <c r="CB635">
        <v>0</v>
      </c>
      <c r="CC635">
        <v>0</v>
      </c>
      <c r="CD635">
        <v>0</v>
      </c>
      <c r="CE635">
        <v>0</v>
      </c>
      <c r="CF635">
        <v>0</v>
      </c>
    </row>
    <row r="636" spans="1:84" x14ac:dyDescent="0.25">
      <c r="A636" t="s">
        <v>128</v>
      </c>
      <c r="B636" t="s">
        <v>421</v>
      </c>
      <c r="C636" s="14" t="s">
        <v>72</v>
      </c>
      <c r="D636" s="12">
        <v>46226</v>
      </c>
      <c r="E636" s="14" t="s">
        <v>420</v>
      </c>
      <c r="F636" s="14" t="s">
        <v>420</v>
      </c>
      <c r="G636" s="14" t="s">
        <v>420</v>
      </c>
      <c r="H636" s="14" t="s">
        <v>74</v>
      </c>
      <c r="I636">
        <v>20</v>
      </c>
      <c r="J636">
        <v>0</v>
      </c>
      <c r="K636">
        <v>46226</v>
      </c>
      <c r="L636" t="s">
        <v>433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F636">
        <v>0</v>
      </c>
    </row>
    <row r="637" spans="1:84" x14ac:dyDescent="0.25">
      <c r="A637" t="s">
        <v>128</v>
      </c>
      <c r="B637" t="s">
        <v>421</v>
      </c>
      <c r="C637" s="14" t="s">
        <v>72</v>
      </c>
      <c r="D637" s="12">
        <v>46226</v>
      </c>
      <c r="E637" s="14" t="s">
        <v>420</v>
      </c>
      <c r="F637" s="14" t="s">
        <v>420</v>
      </c>
      <c r="G637" s="14" t="s">
        <v>420</v>
      </c>
      <c r="H637" s="14" t="s">
        <v>73</v>
      </c>
      <c r="I637">
        <v>20</v>
      </c>
      <c r="J637">
        <v>1.869884158948651</v>
      </c>
      <c r="K637">
        <v>46226</v>
      </c>
      <c r="L637" t="s">
        <v>432</v>
      </c>
      <c r="M637">
        <v>1.9</v>
      </c>
      <c r="N637">
        <v>1.9</v>
      </c>
      <c r="O637">
        <v>0</v>
      </c>
      <c r="P637">
        <v>1.0161057255377155</v>
      </c>
      <c r="Q637">
        <v>1.0161057255377155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1.6105725537715498E-2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0.98414955734139531</v>
      </c>
      <c r="AN637">
        <v>0.98414955734139531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 spans="1:84" x14ac:dyDescent="0.25">
      <c r="A638" t="s">
        <v>128</v>
      </c>
      <c r="B638" t="s">
        <v>421</v>
      </c>
      <c r="C638" s="14" t="s">
        <v>72</v>
      </c>
      <c r="D638" s="12">
        <v>46246</v>
      </c>
      <c r="E638" s="14" t="s">
        <v>133</v>
      </c>
      <c r="F638" s="14" t="s">
        <v>133</v>
      </c>
      <c r="G638" s="14" t="s">
        <v>133</v>
      </c>
      <c r="H638" s="14" t="s">
        <v>73</v>
      </c>
      <c r="I638">
        <v>20</v>
      </c>
      <c r="J638">
        <v>9.9337595944147079</v>
      </c>
      <c r="K638">
        <v>46246</v>
      </c>
      <c r="L638" t="s">
        <v>489</v>
      </c>
      <c r="M638">
        <v>49.4</v>
      </c>
      <c r="N638">
        <v>49.4</v>
      </c>
      <c r="O638">
        <v>13.917936934389145</v>
      </c>
      <c r="P638">
        <v>4.9729409626316432</v>
      </c>
      <c r="Q638">
        <v>4.9729409626316432</v>
      </c>
      <c r="R638">
        <v>1.4010744675374021</v>
      </c>
      <c r="S638">
        <v>0</v>
      </c>
      <c r="T638">
        <v>0</v>
      </c>
      <c r="U638">
        <v>3.5718664950942411</v>
      </c>
      <c r="V638">
        <v>0</v>
      </c>
      <c r="W638">
        <v>0.15107446753740206</v>
      </c>
      <c r="X638">
        <v>0</v>
      </c>
      <c r="Y638">
        <v>0.25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0.20108825089908317</v>
      </c>
      <c r="AN638">
        <v>0.20108825089908317</v>
      </c>
      <c r="AO638">
        <v>0.28173961405646042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0.71826038594353958</v>
      </c>
      <c r="BA638">
        <v>0</v>
      </c>
      <c r="BB638">
        <v>0</v>
      </c>
      <c r="BC638">
        <v>0</v>
      </c>
      <c r="BD638">
        <v>0.20108825089908317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3.5493766233370385</v>
      </c>
      <c r="BK638">
        <v>3.5493766233370385</v>
      </c>
      <c r="BL638">
        <v>0.71373793696893906</v>
      </c>
      <c r="CC638">
        <v>0</v>
      </c>
      <c r="CD638">
        <v>0</v>
      </c>
      <c r="CE638">
        <v>0</v>
      </c>
    </row>
    <row r="639" spans="1:84" x14ac:dyDescent="0.25">
      <c r="A639" t="s">
        <v>128</v>
      </c>
      <c r="B639" t="s">
        <v>421</v>
      </c>
      <c r="C639" s="14" t="s">
        <v>72</v>
      </c>
      <c r="D639" s="12">
        <v>46225</v>
      </c>
      <c r="E639" s="14" t="s">
        <v>420</v>
      </c>
      <c r="F639" s="14" t="s">
        <v>420</v>
      </c>
      <c r="G639" s="14" t="s">
        <v>420</v>
      </c>
      <c r="H639" s="14" t="s">
        <v>75</v>
      </c>
      <c r="I639">
        <v>20</v>
      </c>
      <c r="J639">
        <v>1.5949011943973783</v>
      </c>
      <c r="K639">
        <v>46225</v>
      </c>
      <c r="L639" t="s">
        <v>431</v>
      </c>
      <c r="M639">
        <v>1.9</v>
      </c>
      <c r="N639">
        <v>1.9</v>
      </c>
      <c r="O639">
        <v>0.82352941176470573</v>
      </c>
      <c r="P639">
        <v>1.1912963678718047</v>
      </c>
      <c r="Q639">
        <v>1.1912963678718047</v>
      </c>
      <c r="R639">
        <v>0.51635136687941996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0.19129636787180471</v>
      </c>
      <c r="AB639">
        <v>0</v>
      </c>
      <c r="AC639">
        <v>0</v>
      </c>
      <c r="AD639">
        <v>0</v>
      </c>
      <c r="AE639">
        <v>0.48364863312058004</v>
      </c>
      <c r="AF639">
        <v>0</v>
      </c>
      <c r="AG639">
        <v>0.51635136687941996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0.83942168126177807</v>
      </c>
      <c r="AN639">
        <v>0.83942168126177807</v>
      </c>
      <c r="AO639">
        <v>0.43343653250773989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0.16057831873822193</v>
      </c>
      <c r="BA639">
        <v>0</v>
      </c>
      <c r="BB639">
        <v>0.40598514875403818</v>
      </c>
      <c r="BC639">
        <v>0</v>
      </c>
      <c r="BD639">
        <v>0.43343653250773989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2.3071428571428574</v>
      </c>
      <c r="BK639">
        <v>2.3071428571428574</v>
      </c>
      <c r="BL639">
        <v>1.9366657360539596</v>
      </c>
      <c r="CC639">
        <v>0</v>
      </c>
      <c r="CD639">
        <v>0</v>
      </c>
      <c r="CE639">
        <v>0</v>
      </c>
    </row>
    <row r="640" spans="1:84" x14ac:dyDescent="0.25">
      <c r="A640" t="s">
        <v>128</v>
      </c>
      <c r="B640" t="s">
        <v>421</v>
      </c>
      <c r="C640" s="14" t="s">
        <v>72</v>
      </c>
      <c r="D640" s="12">
        <v>46246</v>
      </c>
      <c r="E640" s="14" t="s">
        <v>133</v>
      </c>
      <c r="F640" s="14" t="s">
        <v>133</v>
      </c>
      <c r="G640" s="14" t="s">
        <v>133</v>
      </c>
      <c r="H640" s="14" t="s">
        <v>74</v>
      </c>
      <c r="I640">
        <v>20</v>
      </c>
      <c r="J640">
        <v>4.440974877503046</v>
      </c>
      <c r="K640">
        <v>46246</v>
      </c>
      <c r="L640" t="s">
        <v>490</v>
      </c>
      <c r="M640">
        <v>2.8499999999999996</v>
      </c>
      <c r="N640">
        <v>2.8499999999999996</v>
      </c>
      <c r="O640">
        <v>15.038053827300146</v>
      </c>
      <c r="P640">
        <v>0.64175098455013602</v>
      </c>
      <c r="Q640">
        <v>0.64175098455013602</v>
      </c>
      <c r="R640">
        <v>3.3862055611887061</v>
      </c>
      <c r="S640">
        <v>2.3862055611887061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0.35824901544986398</v>
      </c>
      <c r="AC640">
        <v>0</v>
      </c>
      <c r="AD640">
        <v>0</v>
      </c>
      <c r="AE640">
        <v>0</v>
      </c>
      <c r="AF640">
        <v>0</v>
      </c>
      <c r="AG640">
        <v>0.64175098455013602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1.5582367991238759</v>
      </c>
      <c r="AN640">
        <v>1.5582367991238759</v>
      </c>
      <c r="AO640">
        <v>5.2765101148421572</v>
      </c>
      <c r="BF640">
        <v>0</v>
      </c>
      <c r="BG640">
        <v>0</v>
      </c>
      <c r="BH640">
        <v>0</v>
      </c>
      <c r="BJ640">
        <v>0.18951920459455315</v>
      </c>
      <c r="BK640">
        <v>0.18951920459455315</v>
      </c>
      <c r="BL640">
        <v>0.29531579873991948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0.70468420126008047</v>
      </c>
      <c r="BX640">
        <v>0</v>
      </c>
      <c r="BY640">
        <v>0</v>
      </c>
      <c r="BZ640">
        <v>0</v>
      </c>
      <c r="CA640">
        <v>0.18951920459455315</v>
      </c>
      <c r="CB640">
        <v>0</v>
      </c>
      <c r="CC640">
        <v>0</v>
      </c>
      <c r="CD640">
        <v>0</v>
      </c>
      <c r="CE640">
        <v>0</v>
      </c>
      <c r="CF640">
        <v>0</v>
      </c>
    </row>
    <row r="641" spans="1:84" x14ac:dyDescent="0.25">
      <c r="A641" t="s">
        <v>128</v>
      </c>
      <c r="B641" t="s">
        <v>421</v>
      </c>
      <c r="C641" s="14" t="s">
        <v>72</v>
      </c>
      <c r="D641" s="12">
        <v>46225</v>
      </c>
      <c r="E641" s="14" t="s">
        <v>420</v>
      </c>
      <c r="F641" s="14" t="s">
        <v>420</v>
      </c>
      <c r="G641" s="14" t="s">
        <v>420</v>
      </c>
      <c r="H641" s="14" t="s">
        <v>74</v>
      </c>
      <c r="I641">
        <v>20</v>
      </c>
      <c r="J641">
        <v>0</v>
      </c>
      <c r="K641">
        <v>46225</v>
      </c>
      <c r="L641" t="s">
        <v>430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F641">
        <v>0</v>
      </c>
    </row>
    <row r="642" spans="1:84" x14ac:dyDescent="0.25">
      <c r="A642" t="s">
        <v>128</v>
      </c>
      <c r="B642" t="s">
        <v>421</v>
      </c>
      <c r="C642" s="14" t="s">
        <v>72</v>
      </c>
      <c r="D642" s="12">
        <v>46225</v>
      </c>
      <c r="E642" s="14" t="s">
        <v>420</v>
      </c>
      <c r="F642" s="14" t="s">
        <v>420</v>
      </c>
      <c r="G642" s="14" t="s">
        <v>420</v>
      </c>
      <c r="H642" s="14" t="s">
        <v>73</v>
      </c>
      <c r="I642">
        <v>20</v>
      </c>
      <c r="J642">
        <v>1.869884158948651</v>
      </c>
      <c r="K642">
        <v>46225</v>
      </c>
      <c r="L642" t="s">
        <v>429</v>
      </c>
      <c r="M642">
        <v>1.9</v>
      </c>
      <c r="N642">
        <v>1.9</v>
      </c>
      <c r="O642">
        <v>0</v>
      </c>
      <c r="P642">
        <v>1.0161057255377155</v>
      </c>
      <c r="Q642">
        <v>1.0161057255377155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1.6105725537715498E-2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0.98414955734139531</v>
      </c>
      <c r="AN642">
        <v>0.98414955734139531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 spans="1:84" x14ac:dyDescent="0.25">
      <c r="A643" t="s">
        <v>128</v>
      </c>
      <c r="B643" t="s">
        <v>421</v>
      </c>
      <c r="C643" s="14" t="s">
        <v>72</v>
      </c>
      <c r="D643" s="12">
        <v>46246</v>
      </c>
      <c r="E643" s="14" t="s">
        <v>133</v>
      </c>
      <c r="F643" s="14" t="s">
        <v>133</v>
      </c>
      <c r="G643" s="14" t="s">
        <v>133</v>
      </c>
      <c r="H643" s="14" t="s">
        <v>75</v>
      </c>
      <c r="I643">
        <v>20</v>
      </c>
      <c r="J643">
        <v>8.1807431954003462</v>
      </c>
      <c r="K643">
        <v>46246</v>
      </c>
      <c r="L643" t="s">
        <v>491</v>
      </c>
      <c r="M643">
        <v>4.75</v>
      </c>
      <c r="N643">
        <v>4.75</v>
      </c>
      <c r="O643">
        <v>15.827889328808451</v>
      </c>
      <c r="P643">
        <v>0.58063184316440897</v>
      </c>
      <c r="Q643">
        <v>0.58063184316440897</v>
      </c>
      <c r="R643">
        <v>1.934774011450175</v>
      </c>
      <c r="S643">
        <v>0.93477401145017502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0.41936815683559103</v>
      </c>
      <c r="AC643">
        <v>0</v>
      </c>
      <c r="AD643">
        <v>0</v>
      </c>
      <c r="AE643">
        <v>0</v>
      </c>
      <c r="AF643">
        <v>0</v>
      </c>
      <c r="AG643">
        <v>0.58063184316440897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1.7222617253474413</v>
      </c>
      <c r="AN643">
        <v>1.7222617253474413</v>
      </c>
      <c r="AO643">
        <v>3.3321872271175685</v>
      </c>
      <c r="BF643">
        <v>0</v>
      </c>
      <c r="BG643">
        <v>0</v>
      </c>
      <c r="BH643">
        <v>0</v>
      </c>
      <c r="BJ643">
        <v>0.30010318503772276</v>
      </c>
      <c r="BK643">
        <v>0.30010318503772276</v>
      </c>
      <c r="BL643">
        <v>0.51685622924533081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0.48314377075466919</v>
      </c>
      <c r="BX643">
        <v>0</v>
      </c>
      <c r="BY643">
        <v>0</v>
      </c>
      <c r="BZ643">
        <v>0</v>
      </c>
      <c r="CA643">
        <v>0.30010318503772276</v>
      </c>
      <c r="CB643">
        <v>0</v>
      </c>
      <c r="CC643">
        <v>0</v>
      </c>
      <c r="CD643">
        <v>0</v>
      </c>
      <c r="CE643">
        <v>0</v>
      </c>
      <c r="CF643">
        <v>0</v>
      </c>
    </row>
    <row r="644" spans="1:84" x14ac:dyDescent="0.25">
      <c r="A644" t="s">
        <v>128</v>
      </c>
      <c r="B644" t="s">
        <v>421</v>
      </c>
      <c r="C644" s="14" t="s">
        <v>72</v>
      </c>
      <c r="D644" s="12">
        <v>46224</v>
      </c>
      <c r="E644" s="14" t="s">
        <v>420</v>
      </c>
      <c r="F644" s="14" t="s">
        <v>420</v>
      </c>
      <c r="G644" s="14" t="s">
        <v>420</v>
      </c>
      <c r="H644" s="14" t="s">
        <v>75</v>
      </c>
      <c r="I644">
        <v>20</v>
      </c>
      <c r="J644">
        <v>1.4299114156666153</v>
      </c>
      <c r="K644">
        <v>46224</v>
      </c>
      <c r="L644" t="s">
        <v>428</v>
      </c>
      <c r="M644">
        <v>1.9</v>
      </c>
      <c r="N644">
        <v>1.9</v>
      </c>
      <c r="O644">
        <v>0.82352941176470573</v>
      </c>
      <c r="P644">
        <v>1.328753641087782</v>
      </c>
      <c r="Q644">
        <v>1.328753641087782</v>
      </c>
      <c r="R644">
        <v>0.5759303707501221</v>
      </c>
      <c r="S644">
        <v>0</v>
      </c>
      <c r="T644">
        <v>0</v>
      </c>
      <c r="U644">
        <v>7.8753641087782045E-2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0.25</v>
      </c>
      <c r="AB644">
        <v>0</v>
      </c>
      <c r="AC644">
        <v>0</v>
      </c>
      <c r="AD644">
        <v>0</v>
      </c>
      <c r="AE644">
        <v>0.4240696292498779</v>
      </c>
      <c r="AF644">
        <v>0</v>
      </c>
      <c r="AG644">
        <v>0.5759303707501221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0.75258495561400807</v>
      </c>
      <c r="AN644">
        <v>0.75258495561400807</v>
      </c>
      <c r="AO644">
        <v>0.43343653250773989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0.24741504438599193</v>
      </c>
      <c r="BA644">
        <v>0</v>
      </c>
      <c r="BB644">
        <v>0.31914842310626818</v>
      </c>
      <c r="BC644">
        <v>0</v>
      </c>
      <c r="BD644">
        <v>0.43343653250773989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2.3071428571428574</v>
      </c>
      <c r="BK644">
        <v>2.3071428571428574</v>
      </c>
      <c r="BL644">
        <v>1.7363210047380331</v>
      </c>
      <c r="CC644">
        <v>0</v>
      </c>
      <c r="CD644">
        <v>0</v>
      </c>
      <c r="CE644">
        <v>0</v>
      </c>
    </row>
    <row r="645" spans="1:84" x14ac:dyDescent="0.25">
      <c r="A645" t="s">
        <v>128</v>
      </c>
      <c r="B645" t="s">
        <v>421</v>
      </c>
      <c r="C645" s="14" t="s">
        <v>72</v>
      </c>
      <c r="D645" s="12">
        <v>46224</v>
      </c>
      <c r="E645" s="14" t="s">
        <v>420</v>
      </c>
      <c r="F645" s="14" t="s">
        <v>420</v>
      </c>
      <c r="G645" s="14" t="s">
        <v>420</v>
      </c>
      <c r="H645" s="14" t="s">
        <v>74</v>
      </c>
      <c r="I645">
        <v>20</v>
      </c>
      <c r="J645">
        <v>0</v>
      </c>
      <c r="K645">
        <v>46224</v>
      </c>
      <c r="L645" t="s">
        <v>427</v>
      </c>
      <c r="M645">
        <v>0.95</v>
      </c>
      <c r="N645">
        <v>0.95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F645">
        <v>0</v>
      </c>
    </row>
    <row r="646" spans="1:84" x14ac:dyDescent="0.25">
      <c r="A646" t="s">
        <v>128</v>
      </c>
      <c r="B646" t="s">
        <v>421</v>
      </c>
      <c r="C646" s="14" t="s">
        <v>72</v>
      </c>
      <c r="D646" s="12">
        <v>46227</v>
      </c>
      <c r="E646" s="14" t="s">
        <v>420</v>
      </c>
      <c r="F646" s="14" t="s">
        <v>420</v>
      </c>
      <c r="G646" s="14" t="s">
        <v>420</v>
      </c>
      <c r="H646" s="14" t="s">
        <v>73</v>
      </c>
      <c r="I646">
        <v>20</v>
      </c>
      <c r="J646">
        <v>1.869884158948651</v>
      </c>
      <c r="K646">
        <v>46227</v>
      </c>
      <c r="L646" t="s">
        <v>157</v>
      </c>
      <c r="M646">
        <v>0.95</v>
      </c>
      <c r="N646">
        <v>0.95</v>
      </c>
      <c r="O646">
        <v>0</v>
      </c>
      <c r="P646">
        <v>0.50805286276885775</v>
      </c>
      <c r="Q646">
        <v>0.50805286276885775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0.49194713723114225</v>
      </c>
      <c r="AD646">
        <v>0</v>
      </c>
      <c r="AE646">
        <v>0</v>
      </c>
      <c r="AF646">
        <v>0</v>
      </c>
      <c r="AG646">
        <v>0</v>
      </c>
      <c r="AH646">
        <v>0.50805286276885775</v>
      </c>
      <c r="AI646">
        <v>0</v>
      </c>
      <c r="AJ646">
        <v>0</v>
      </c>
      <c r="AK646">
        <v>0</v>
      </c>
      <c r="AL646">
        <v>0</v>
      </c>
      <c r="AM646">
        <v>1.9682991146827906</v>
      </c>
      <c r="AN646">
        <v>1.9682991146827906</v>
      </c>
      <c r="AO646">
        <v>0</v>
      </c>
      <c r="BF646">
        <v>0</v>
      </c>
      <c r="BG646">
        <v>0</v>
      </c>
      <c r="BH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</row>
    <row r="647" spans="1:84" x14ac:dyDescent="0.25">
      <c r="A647" t="s">
        <v>128</v>
      </c>
      <c r="B647" t="s">
        <v>421</v>
      </c>
      <c r="C647" s="14" t="s">
        <v>72</v>
      </c>
      <c r="D647" s="12">
        <v>46247</v>
      </c>
      <c r="E647" s="14" t="s">
        <v>133</v>
      </c>
      <c r="F647" s="14" t="s">
        <v>133</v>
      </c>
      <c r="G647" s="14" t="s">
        <v>133</v>
      </c>
      <c r="H647" s="14" t="s">
        <v>73</v>
      </c>
      <c r="I647">
        <v>20</v>
      </c>
      <c r="J647">
        <v>9.9337595944147079</v>
      </c>
      <c r="K647">
        <v>46247</v>
      </c>
      <c r="L647" t="s">
        <v>492</v>
      </c>
      <c r="M647">
        <v>27.549999999999997</v>
      </c>
      <c r="N647">
        <v>27.549999999999997</v>
      </c>
      <c r="O647">
        <v>14.177251838235303</v>
      </c>
      <c r="P647">
        <v>2.773370921467647</v>
      </c>
      <c r="Q647">
        <v>2.773370921467647</v>
      </c>
      <c r="R647">
        <v>1.4271788745729779</v>
      </c>
      <c r="S647">
        <v>0</v>
      </c>
      <c r="T647">
        <v>0</v>
      </c>
      <c r="U647">
        <v>1.3461920468946691</v>
      </c>
      <c r="V647">
        <v>0</v>
      </c>
      <c r="W647">
        <v>0.17717887457297787</v>
      </c>
      <c r="X647">
        <v>0</v>
      </c>
      <c r="Y647">
        <v>0.25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0.36057203609490779</v>
      </c>
      <c r="AN647">
        <v>0.36057203609490779</v>
      </c>
      <c r="AO647">
        <v>0.51460079267641756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0.48539920732358244</v>
      </c>
      <c r="BA647">
        <v>0</v>
      </c>
      <c r="BB647">
        <v>0</v>
      </c>
      <c r="BC647">
        <v>0</v>
      </c>
      <c r="BD647">
        <v>0.36057203609490779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1.9432539052243605</v>
      </c>
      <c r="BK647">
        <v>1.9432539052243605</v>
      </c>
      <c r="BL647">
        <v>0.70068301725612858</v>
      </c>
      <c r="CC647">
        <v>0</v>
      </c>
      <c r="CD647">
        <v>0</v>
      </c>
      <c r="CE647">
        <v>0</v>
      </c>
    </row>
    <row r="648" spans="1:84" x14ac:dyDescent="0.25">
      <c r="A648" t="s">
        <v>128</v>
      </c>
      <c r="B648" t="s">
        <v>421</v>
      </c>
      <c r="C648" s="14" t="s">
        <v>72</v>
      </c>
      <c r="D648" s="12">
        <v>46224</v>
      </c>
      <c r="E648" s="14" t="s">
        <v>420</v>
      </c>
      <c r="F648" s="14" t="s">
        <v>420</v>
      </c>
      <c r="G648" s="14" t="s">
        <v>420</v>
      </c>
      <c r="H648" s="14" t="s">
        <v>73</v>
      </c>
      <c r="I648">
        <v>20</v>
      </c>
      <c r="J648">
        <v>1.869884158948651</v>
      </c>
      <c r="K648">
        <v>46224</v>
      </c>
      <c r="L648" t="s">
        <v>426</v>
      </c>
      <c r="M648">
        <v>0.95</v>
      </c>
      <c r="N648">
        <v>0.95</v>
      </c>
      <c r="O648">
        <v>0</v>
      </c>
      <c r="P648">
        <v>0.50805286276885775</v>
      </c>
      <c r="Q648">
        <v>0.50805286276885775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0.49194713723114225</v>
      </c>
      <c r="AD648">
        <v>0</v>
      </c>
      <c r="AE648">
        <v>0</v>
      </c>
      <c r="AF648">
        <v>0</v>
      </c>
      <c r="AG648">
        <v>0</v>
      </c>
      <c r="AH648">
        <v>0.50805286276885775</v>
      </c>
      <c r="AI648">
        <v>0</v>
      </c>
      <c r="AJ648">
        <v>0</v>
      </c>
      <c r="AK648">
        <v>0</v>
      </c>
      <c r="AL648">
        <v>0</v>
      </c>
      <c r="AM648">
        <v>1.9682991146827906</v>
      </c>
      <c r="AN648">
        <v>1.9682991146827906</v>
      </c>
      <c r="AO648">
        <v>0</v>
      </c>
      <c r="BF648">
        <v>0</v>
      </c>
      <c r="BG648">
        <v>0</v>
      </c>
      <c r="BH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</row>
    <row r="649" spans="1:84" x14ac:dyDescent="0.25">
      <c r="A649" t="s">
        <v>128</v>
      </c>
      <c r="B649" t="s">
        <v>421</v>
      </c>
      <c r="C649" s="14" t="s">
        <v>72</v>
      </c>
      <c r="D649" s="12">
        <v>46223</v>
      </c>
      <c r="E649" s="14" t="s">
        <v>420</v>
      </c>
      <c r="F649" s="14" t="s">
        <v>420</v>
      </c>
      <c r="G649" s="14" t="s">
        <v>420</v>
      </c>
      <c r="H649" s="14" t="s">
        <v>75</v>
      </c>
      <c r="I649">
        <v>20</v>
      </c>
      <c r="J649">
        <v>1.4299114156666153</v>
      </c>
      <c r="K649">
        <v>46223</v>
      </c>
      <c r="L649" t="s">
        <v>425</v>
      </c>
      <c r="M649">
        <v>1.9</v>
      </c>
      <c r="N649">
        <v>1.9</v>
      </c>
      <c r="O649">
        <v>0.82352941176470595</v>
      </c>
      <c r="P649">
        <v>1.328753641087782</v>
      </c>
      <c r="Q649">
        <v>1.328753641087782</v>
      </c>
      <c r="R649">
        <v>0.57593037075012232</v>
      </c>
      <c r="S649">
        <v>0</v>
      </c>
      <c r="T649">
        <v>0</v>
      </c>
      <c r="U649">
        <v>7.8753641087782045E-2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0.25</v>
      </c>
      <c r="AB649">
        <v>0</v>
      </c>
      <c r="AC649">
        <v>0</v>
      </c>
      <c r="AD649">
        <v>0</v>
      </c>
      <c r="AE649">
        <v>0.42406962924987768</v>
      </c>
      <c r="AF649">
        <v>0</v>
      </c>
      <c r="AG649">
        <v>0.57593037075012232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0.75258495561400807</v>
      </c>
      <c r="AN649">
        <v>0.75258495561400807</v>
      </c>
      <c r="AO649">
        <v>0.43343653250774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0.24741504438599193</v>
      </c>
      <c r="BA649">
        <v>0</v>
      </c>
      <c r="BB649">
        <v>0.31914842310626806</v>
      </c>
      <c r="BC649">
        <v>0</v>
      </c>
      <c r="BD649">
        <v>0.43343653250774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2.3071428571428569</v>
      </c>
      <c r="BK649">
        <v>2.3071428571428569</v>
      </c>
      <c r="BL649">
        <v>1.7363210047380326</v>
      </c>
      <c r="CC649">
        <v>0</v>
      </c>
      <c r="CD649">
        <v>0</v>
      </c>
      <c r="CE649">
        <v>0</v>
      </c>
    </row>
    <row r="650" spans="1:84" x14ac:dyDescent="0.25">
      <c r="A650" t="s">
        <v>128</v>
      </c>
      <c r="B650" t="s">
        <v>421</v>
      </c>
      <c r="C650" s="14" t="s">
        <v>72</v>
      </c>
      <c r="D650" s="12">
        <v>46223</v>
      </c>
      <c r="E650" s="14" t="s">
        <v>420</v>
      </c>
      <c r="F650" s="14" t="s">
        <v>420</v>
      </c>
      <c r="G650" s="14" t="s">
        <v>420</v>
      </c>
      <c r="H650" s="14" t="s">
        <v>74</v>
      </c>
      <c r="I650">
        <v>20</v>
      </c>
      <c r="J650">
        <v>0</v>
      </c>
      <c r="K650">
        <v>46223</v>
      </c>
      <c r="L650" t="s">
        <v>424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F650">
        <v>0</v>
      </c>
    </row>
    <row r="651" spans="1:84" x14ac:dyDescent="0.25">
      <c r="A651" t="s">
        <v>128</v>
      </c>
      <c r="B651" t="s">
        <v>421</v>
      </c>
      <c r="C651" s="14" t="s">
        <v>72</v>
      </c>
      <c r="D651" s="12">
        <v>46223</v>
      </c>
      <c r="E651" s="14" t="s">
        <v>420</v>
      </c>
      <c r="F651" s="14" t="s">
        <v>420</v>
      </c>
      <c r="G651" s="14" t="s">
        <v>420</v>
      </c>
      <c r="H651" s="14" t="s">
        <v>73</v>
      </c>
      <c r="I651">
        <v>20</v>
      </c>
      <c r="J651">
        <v>1.8698841589486512</v>
      </c>
      <c r="K651">
        <v>46223</v>
      </c>
      <c r="L651" t="s">
        <v>423</v>
      </c>
      <c r="M651">
        <v>0.95</v>
      </c>
      <c r="N651">
        <v>0.95</v>
      </c>
      <c r="O651">
        <v>0</v>
      </c>
      <c r="P651">
        <v>0.50805286276885764</v>
      </c>
      <c r="Q651">
        <v>0.50805286276885764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0.49194713723114236</v>
      </c>
      <c r="AD651">
        <v>0</v>
      </c>
      <c r="AE651">
        <v>0</v>
      </c>
      <c r="AF651">
        <v>0</v>
      </c>
      <c r="AG651">
        <v>0</v>
      </c>
      <c r="AH651">
        <v>0.50805286276885764</v>
      </c>
      <c r="AI651">
        <v>0</v>
      </c>
      <c r="AJ651">
        <v>0</v>
      </c>
      <c r="AK651">
        <v>0</v>
      </c>
      <c r="AL651">
        <v>0</v>
      </c>
      <c r="AM651">
        <v>1.9682991146827908</v>
      </c>
      <c r="AN651">
        <v>1.9682991146827908</v>
      </c>
      <c r="AO651">
        <v>0</v>
      </c>
      <c r="BF651">
        <v>0</v>
      </c>
      <c r="BG651">
        <v>0</v>
      </c>
      <c r="BH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</row>
    <row r="652" spans="1:84" x14ac:dyDescent="0.25">
      <c r="A652" t="s">
        <v>128</v>
      </c>
      <c r="B652" t="s">
        <v>421</v>
      </c>
      <c r="C652" s="14" t="s">
        <v>72</v>
      </c>
      <c r="D652" s="12">
        <v>46247</v>
      </c>
      <c r="E652" s="14" t="s">
        <v>133</v>
      </c>
      <c r="F652" s="14" t="s">
        <v>133</v>
      </c>
      <c r="G652" s="14" t="s">
        <v>133</v>
      </c>
      <c r="H652" s="14" t="s">
        <v>75</v>
      </c>
      <c r="I652">
        <v>20</v>
      </c>
      <c r="J652">
        <v>8.1223093154332009</v>
      </c>
      <c r="K652">
        <v>46247</v>
      </c>
      <c r="L652" t="s">
        <v>494</v>
      </c>
      <c r="M652">
        <v>5.6999999999999993</v>
      </c>
      <c r="N652">
        <v>5.6999999999999993</v>
      </c>
      <c r="O652">
        <v>12.070343137254902</v>
      </c>
      <c r="P652">
        <v>0.70177086080302664</v>
      </c>
      <c r="Q652">
        <v>0.70177086080302664</v>
      </c>
      <c r="R652">
        <v>1.4860728234419787</v>
      </c>
      <c r="S652">
        <v>0.48607282344197866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0.29822913919697336</v>
      </c>
      <c r="AC652">
        <v>0</v>
      </c>
      <c r="AD652">
        <v>0</v>
      </c>
      <c r="AE652">
        <v>0</v>
      </c>
      <c r="AF652">
        <v>0</v>
      </c>
      <c r="AG652">
        <v>0.70177086080302664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1.4249665465672283</v>
      </c>
      <c r="AN652">
        <v>1.4249665465672283</v>
      </c>
      <c r="AO652">
        <v>2.1176040591675269</v>
      </c>
      <c r="AP652">
        <v>0.6926375126002986</v>
      </c>
      <c r="AQ652">
        <v>0</v>
      </c>
      <c r="AR652">
        <v>0</v>
      </c>
      <c r="AS652">
        <v>0</v>
      </c>
      <c r="AT652">
        <v>0</v>
      </c>
      <c r="AU652">
        <v>7.503345343277168E-2</v>
      </c>
      <c r="AV652">
        <v>0.42496654656722832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0.47223181107478623</v>
      </c>
      <c r="BK652">
        <v>0.47223181107478623</v>
      </c>
      <c r="BL652">
        <v>0.67291453300642601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0.32708546699357399</v>
      </c>
      <c r="BX652">
        <v>0</v>
      </c>
      <c r="BY652">
        <v>0</v>
      </c>
      <c r="BZ652">
        <v>0</v>
      </c>
      <c r="CA652">
        <v>0.47223181107478623</v>
      </c>
      <c r="CB652">
        <v>0</v>
      </c>
      <c r="CC652">
        <v>0</v>
      </c>
      <c r="CD652">
        <v>0</v>
      </c>
      <c r="CE652">
        <v>0</v>
      </c>
      <c r="CF652">
        <v>0</v>
      </c>
    </row>
    <row r="653" spans="1:84" x14ac:dyDescent="0.25">
      <c r="A653" t="s">
        <v>128</v>
      </c>
      <c r="B653" t="s">
        <v>421</v>
      </c>
      <c r="C653" s="14" t="s">
        <v>72</v>
      </c>
      <c r="D653" s="12">
        <v>46250</v>
      </c>
      <c r="E653" s="14" t="s">
        <v>133</v>
      </c>
      <c r="F653" s="14" t="s">
        <v>133</v>
      </c>
      <c r="G653" s="14" t="s">
        <v>133</v>
      </c>
      <c r="H653" s="14" t="s">
        <v>75</v>
      </c>
      <c r="I653">
        <v>20</v>
      </c>
      <c r="J653">
        <v>8.1223093154331991</v>
      </c>
      <c r="K653">
        <v>46250</v>
      </c>
      <c r="L653" t="s">
        <v>503</v>
      </c>
      <c r="M653">
        <v>7.6</v>
      </c>
      <c r="N653">
        <v>7.6</v>
      </c>
      <c r="O653">
        <v>4.9663084464555052</v>
      </c>
      <c r="P653">
        <v>0.93569448107070241</v>
      </c>
      <c r="Q653">
        <v>0.93569448107070241</v>
      </c>
      <c r="R653">
        <v>0.61144044797937247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6.4305518929297589E-2</v>
      </c>
      <c r="AD653">
        <v>0</v>
      </c>
      <c r="AE653">
        <v>0.32425403309132994</v>
      </c>
      <c r="AF653">
        <v>0</v>
      </c>
      <c r="AG653">
        <v>0.61144044797937247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1.068724909925421</v>
      </c>
      <c r="AN653">
        <v>1.068724909925421</v>
      </c>
      <c r="AO653">
        <v>0.65346163769151389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6.8724909925421018E-2</v>
      </c>
      <c r="AY653">
        <v>0</v>
      </c>
      <c r="AZ653">
        <v>0</v>
      </c>
      <c r="BA653">
        <v>0</v>
      </c>
      <c r="BB653">
        <v>0.34653836230848611</v>
      </c>
      <c r="BC653">
        <v>0</v>
      </c>
      <c r="BD653">
        <v>0.65346163769151389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1.5303117158226816</v>
      </c>
      <c r="BK653">
        <v>1.5303117158226816</v>
      </c>
      <c r="BL653">
        <v>1.6354822506504116</v>
      </c>
      <c r="CC653">
        <v>0</v>
      </c>
      <c r="CD653">
        <v>0</v>
      </c>
      <c r="CE653">
        <v>0</v>
      </c>
    </row>
    <row r="654" spans="1:84" x14ac:dyDescent="0.25">
      <c r="A654" t="s">
        <v>128</v>
      </c>
      <c r="B654" t="s">
        <v>421</v>
      </c>
      <c r="C654" s="14" t="s">
        <v>72</v>
      </c>
      <c r="D654" s="12">
        <v>46248</v>
      </c>
      <c r="E654" s="14" t="s">
        <v>133</v>
      </c>
      <c r="F654" s="14" t="s">
        <v>133</v>
      </c>
      <c r="G654" s="14" t="s">
        <v>133</v>
      </c>
      <c r="H654" s="14" t="s">
        <v>73</v>
      </c>
      <c r="I654">
        <v>20</v>
      </c>
      <c r="J654">
        <v>9.9337595944147079</v>
      </c>
      <c r="K654">
        <v>46248</v>
      </c>
      <c r="L654" t="s">
        <v>495</v>
      </c>
      <c r="M654">
        <v>32.299999999999997</v>
      </c>
      <c r="N654">
        <v>32.299999999999997</v>
      </c>
      <c r="O654">
        <v>10.510845588235297</v>
      </c>
      <c r="P654">
        <v>3.2515383217206897</v>
      </c>
      <c r="Q654">
        <v>3.2515383217206897</v>
      </c>
      <c r="R654">
        <v>1.0580934125026598</v>
      </c>
      <c r="S654">
        <v>0</v>
      </c>
      <c r="T654">
        <v>0</v>
      </c>
      <c r="U654">
        <v>2.0015383217206897</v>
      </c>
      <c r="V654">
        <v>0</v>
      </c>
      <c r="W654">
        <v>0</v>
      </c>
      <c r="X654">
        <v>0</v>
      </c>
      <c r="Y654">
        <v>5.8093412502659758E-2</v>
      </c>
      <c r="Z654">
        <v>0</v>
      </c>
      <c r="AA654">
        <v>0.19190658749734024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0.30754673666918603</v>
      </c>
      <c r="AN654">
        <v>0.30754673666918603</v>
      </c>
      <c r="AO654">
        <v>0.32541317610635595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0.67458682389364411</v>
      </c>
      <c r="BA654">
        <v>0</v>
      </c>
      <c r="BB654">
        <v>0</v>
      </c>
      <c r="BC654">
        <v>0</v>
      </c>
      <c r="BD654">
        <v>0.30754673666918603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3.0730163171793832</v>
      </c>
      <c r="BK654">
        <v>3.0730163171793832</v>
      </c>
      <c r="BL654">
        <v>0.94509614007967957</v>
      </c>
      <c r="CC654">
        <v>0</v>
      </c>
      <c r="CD654">
        <v>0</v>
      </c>
      <c r="CE654">
        <v>0</v>
      </c>
    </row>
    <row r="655" spans="1:84" x14ac:dyDescent="0.25">
      <c r="A655" t="s">
        <v>128</v>
      </c>
      <c r="B655" t="s">
        <v>421</v>
      </c>
      <c r="C655" s="14" t="s">
        <v>72</v>
      </c>
      <c r="D655" s="12">
        <v>46250</v>
      </c>
      <c r="E655" s="14" t="s">
        <v>133</v>
      </c>
      <c r="F655" s="14" t="s">
        <v>133</v>
      </c>
      <c r="G655" s="14" t="s">
        <v>133</v>
      </c>
      <c r="H655" s="14" t="s">
        <v>74</v>
      </c>
      <c r="I655">
        <v>20</v>
      </c>
      <c r="J655">
        <v>4.440974877503046</v>
      </c>
      <c r="K655">
        <v>46250</v>
      </c>
      <c r="L655" t="s">
        <v>502</v>
      </c>
      <c r="M655">
        <v>4.75</v>
      </c>
      <c r="N655">
        <v>4.75</v>
      </c>
      <c r="O655">
        <v>2.9820772058823524</v>
      </c>
      <c r="P655">
        <v>1.0695849742502268</v>
      </c>
      <c r="Q655">
        <v>1.0695849742502268</v>
      </c>
      <c r="R655">
        <v>0.67149157294018202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6.9584974250226805E-2</v>
      </c>
      <c r="AB655">
        <v>0</v>
      </c>
      <c r="AC655">
        <v>0</v>
      </c>
      <c r="AD655">
        <v>0</v>
      </c>
      <c r="AE655">
        <v>0.32850842705981798</v>
      </c>
      <c r="AF655">
        <v>0</v>
      </c>
      <c r="AG655">
        <v>0.67149157294018202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0.9349420794743255</v>
      </c>
      <c r="AN655">
        <v>0.9349420794743255</v>
      </c>
      <c r="AO655">
        <v>0.6278057275541794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6.5057920525674495E-2</v>
      </c>
      <c r="BA655">
        <v>0</v>
      </c>
      <c r="BB655">
        <v>0.3071363519201461</v>
      </c>
      <c r="BC655">
        <v>0</v>
      </c>
      <c r="BD655">
        <v>0.6278057275541794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1.592849437509632</v>
      </c>
      <c r="BK655">
        <v>1.592849437509632</v>
      </c>
      <c r="BL655">
        <v>1.4892219653947649</v>
      </c>
      <c r="CC655">
        <v>0</v>
      </c>
      <c r="CD655">
        <v>0</v>
      </c>
      <c r="CE655">
        <v>0</v>
      </c>
    </row>
    <row r="656" spans="1:84" x14ac:dyDescent="0.25">
      <c r="A656" t="s">
        <v>128</v>
      </c>
      <c r="B656" t="s">
        <v>421</v>
      </c>
      <c r="C656" s="14" t="s">
        <v>72</v>
      </c>
      <c r="D656" s="12">
        <v>46248</v>
      </c>
      <c r="E656" s="14" t="s">
        <v>133</v>
      </c>
      <c r="F656" s="14" t="s">
        <v>133</v>
      </c>
      <c r="G656" s="14" t="s">
        <v>133</v>
      </c>
      <c r="H656" s="14" t="s">
        <v>74</v>
      </c>
      <c r="I656">
        <v>20</v>
      </c>
      <c r="J656">
        <v>4.440974877503046</v>
      </c>
      <c r="K656">
        <v>46248</v>
      </c>
      <c r="L656" t="s">
        <v>496</v>
      </c>
      <c r="M656">
        <v>3.8</v>
      </c>
      <c r="N656">
        <v>3.8</v>
      </c>
      <c r="O656">
        <v>8.4963235294117627</v>
      </c>
      <c r="P656">
        <v>0.85566797940018147</v>
      </c>
      <c r="Q656">
        <v>0.85566797940018147</v>
      </c>
      <c r="R656">
        <v>1.9131663123005216</v>
      </c>
      <c r="S656">
        <v>0.91316631230052159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0.14433202059981853</v>
      </c>
      <c r="AC656">
        <v>0</v>
      </c>
      <c r="AD656">
        <v>0</v>
      </c>
      <c r="AE656">
        <v>0</v>
      </c>
      <c r="AF656">
        <v>0</v>
      </c>
      <c r="AG656">
        <v>0.85566797940018147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1.1686775993429068</v>
      </c>
      <c r="AN656">
        <v>1.1686775993429068</v>
      </c>
      <c r="AO656">
        <v>2.2358746130030958</v>
      </c>
      <c r="AP656">
        <v>1.0671970136601889</v>
      </c>
      <c r="AQ656">
        <v>0</v>
      </c>
      <c r="AR656">
        <v>0</v>
      </c>
      <c r="AS656">
        <v>0</v>
      </c>
      <c r="AT656">
        <v>0</v>
      </c>
      <c r="AU656">
        <v>0.33132240065709317</v>
      </c>
      <c r="AV656">
        <v>0.16867759934290683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0.44725227174383392</v>
      </c>
      <c r="BK656">
        <v>0.44725227174383392</v>
      </c>
      <c r="BL656">
        <v>0.52269371124224528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0.47730628875775472</v>
      </c>
      <c r="BX656">
        <v>0</v>
      </c>
      <c r="BY656">
        <v>0</v>
      </c>
      <c r="BZ656">
        <v>0</v>
      </c>
      <c r="CA656">
        <v>0.44725227174383392</v>
      </c>
      <c r="CB656">
        <v>0</v>
      </c>
      <c r="CC656">
        <v>0</v>
      </c>
      <c r="CD656">
        <v>0</v>
      </c>
      <c r="CE656">
        <v>0</v>
      </c>
      <c r="CF656">
        <v>0</v>
      </c>
    </row>
    <row r="657" spans="1:84" x14ac:dyDescent="0.25">
      <c r="A657" t="s">
        <v>128</v>
      </c>
      <c r="B657" t="s">
        <v>421</v>
      </c>
      <c r="C657" s="14" t="s">
        <v>72</v>
      </c>
      <c r="D657" s="12">
        <v>46250</v>
      </c>
      <c r="E657" s="14" t="s">
        <v>133</v>
      </c>
      <c r="F657" s="14" t="s">
        <v>133</v>
      </c>
      <c r="G657" s="14" t="s">
        <v>133</v>
      </c>
      <c r="H657" s="14" t="s">
        <v>73</v>
      </c>
      <c r="I657">
        <v>20</v>
      </c>
      <c r="J657">
        <v>9.9337595944147079</v>
      </c>
      <c r="K657">
        <v>46250</v>
      </c>
      <c r="L657" t="s">
        <v>501</v>
      </c>
      <c r="M657">
        <v>43.7</v>
      </c>
      <c r="N657">
        <v>43.7</v>
      </c>
      <c r="O657">
        <v>8.3536835407239813</v>
      </c>
      <c r="P657">
        <v>4.3991400823279916</v>
      </c>
      <c r="Q657">
        <v>4.3991400823279916</v>
      </c>
      <c r="R657">
        <v>0.84093876656939337</v>
      </c>
      <c r="S657">
        <v>0</v>
      </c>
      <c r="T657">
        <v>0</v>
      </c>
      <c r="U657">
        <v>3.1491400823279916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0.25</v>
      </c>
      <c r="AB657">
        <v>0</v>
      </c>
      <c r="AC657">
        <v>0</v>
      </c>
      <c r="AD657">
        <v>0</v>
      </c>
      <c r="AE657">
        <v>0.15906123343060663</v>
      </c>
      <c r="AF657">
        <v>0</v>
      </c>
      <c r="AG657">
        <v>0.84093876656939337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0.22731715319026793</v>
      </c>
      <c r="AN657">
        <v>0.22731715319026793</v>
      </c>
      <c r="AO657">
        <v>0.19115980642388974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0.77268284680973209</v>
      </c>
      <c r="BA657">
        <v>0</v>
      </c>
      <c r="BB657">
        <v>3.615734676637819E-2</v>
      </c>
      <c r="BC657">
        <v>0</v>
      </c>
      <c r="BD657">
        <v>0.19115980642388974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5.2312252178291985</v>
      </c>
      <c r="BK657">
        <v>5.2312252178291985</v>
      </c>
      <c r="BL657">
        <v>1.1891472242140726</v>
      </c>
      <c r="CC657">
        <v>0</v>
      </c>
      <c r="CD657">
        <v>0</v>
      </c>
      <c r="CE657">
        <v>0</v>
      </c>
    </row>
    <row r="658" spans="1:84" x14ac:dyDescent="0.25">
      <c r="A658" t="s">
        <v>128</v>
      </c>
      <c r="B658" t="s">
        <v>421</v>
      </c>
      <c r="C658" s="14" t="s">
        <v>72</v>
      </c>
      <c r="D658" s="12">
        <v>46248</v>
      </c>
      <c r="E658" s="14" t="s">
        <v>133</v>
      </c>
      <c r="F658" s="14" t="s">
        <v>133</v>
      </c>
      <c r="G658" s="14" t="s">
        <v>133</v>
      </c>
      <c r="H658" s="14" t="s">
        <v>75</v>
      </c>
      <c r="I658">
        <v>20</v>
      </c>
      <c r="J658">
        <v>8.0638754354660556</v>
      </c>
      <c r="K658">
        <v>46248</v>
      </c>
      <c r="L658" t="s">
        <v>497</v>
      </c>
      <c r="M658">
        <v>6.6499999999999995</v>
      </c>
      <c r="N658">
        <v>6.6499999999999995</v>
      </c>
      <c r="O658">
        <v>8.7304227941176471</v>
      </c>
      <c r="P658">
        <v>0.82466551637843588</v>
      </c>
      <c r="Q658">
        <v>0.82466551637843588</v>
      </c>
      <c r="R658">
        <v>1.0826584393553529</v>
      </c>
      <c r="S658">
        <v>8.2658439355352886E-2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0.17533448362156412</v>
      </c>
      <c r="AC658">
        <v>0</v>
      </c>
      <c r="AD658">
        <v>0</v>
      </c>
      <c r="AE658">
        <v>0</v>
      </c>
      <c r="AF658">
        <v>0</v>
      </c>
      <c r="AG658">
        <v>0.82466551637843588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1.2126128474385047</v>
      </c>
      <c r="AN658">
        <v>1.2126128474385047</v>
      </c>
      <c r="AO658">
        <v>1.3128455329500222</v>
      </c>
      <c r="AP658">
        <v>0.10023268551151743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0.21261284743850473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0.76170423321086034</v>
      </c>
      <c r="BK658">
        <v>0.76170423321086034</v>
      </c>
      <c r="BL658">
        <v>0.92365233913978417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7.6347660860215827E-2</v>
      </c>
      <c r="BX658">
        <v>0</v>
      </c>
      <c r="BY658">
        <v>0</v>
      </c>
      <c r="BZ658">
        <v>0</v>
      </c>
      <c r="CA658">
        <v>0.76170423321086034</v>
      </c>
      <c r="CB658">
        <v>0</v>
      </c>
      <c r="CC658">
        <v>0</v>
      </c>
      <c r="CD658">
        <v>0</v>
      </c>
      <c r="CE658">
        <v>0</v>
      </c>
      <c r="CF658">
        <v>0</v>
      </c>
    </row>
    <row r="659" spans="1:84" x14ac:dyDescent="0.25">
      <c r="A659" t="s">
        <v>128</v>
      </c>
      <c r="B659" t="s">
        <v>421</v>
      </c>
      <c r="C659" s="14" t="s">
        <v>72</v>
      </c>
      <c r="D659" s="12">
        <v>46249</v>
      </c>
      <c r="E659" s="14" t="s">
        <v>133</v>
      </c>
      <c r="F659" s="14" t="s">
        <v>133</v>
      </c>
      <c r="G659" s="14" t="s">
        <v>133</v>
      </c>
      <c r="H659" s="14" t="s">
        <v>75</v>
      </c>
      <c r="I659">
        <v>20</v>
      </c>
      <c r="J659">
        <v>8.1223093154331991</v>
      </c>
      <c r="K659">
        <v>46249</v>
      </c>
      <c r="L659" t="s">
        <v>500</v>
      </c>
      <c r="M659">
        <v>6.6499999999999995</v>
      </c>
      <c r="N659">
        <v>6.6499999999999995</v>
      </c>
      <c r="O659">
        <v>8.8282569758672693</v>
      </c>
      <c r="P659">
        <v>0.81873267093686464</v>
      </c>
      <c r="Q659">
        <v>0.81873267093686464</v>
      </c>
      <c r="R659">
        <v>1.086914648656965</v>
      </c>
      <c r="S659">
        <v>8.6914648656964966E-2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0.18126732906313536</v>
      </c>
      <c r="AC659">
        <v>0</v>
      </c>
      <c r="AD659">
        <v>0</v>
      </c>
      <c r="AE659">
        <v>0</v>
      </c>
      <c r="AF659">
        <v>0</v>
      </c>
      <c r="AG659">
        <v>0.81873267093686464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1.2213998970576241</v>
      </c>
      <c r="AN659">
        <v>1.2213998970576241</v>
      </c>
      <c r="AO659">
        <v>1.3275574399800405</v>
      </c>
      <c r="AP659">
        <v>0.10615754292241641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0.22139989705762408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0.75326307539283177</v>
      </c>
      <c r="BK659">
        <v>0.75326307539283177</v>
      </c>
      <c r="BL659">
        <v>0.92003544274211391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7.9964557257886093E-2</v>
      </c>
      <c r="BX659">
        <v>0</v>
      </c>
      <c r="BY659">
        <v>0</v>
      </c>
      <c r="BZ659">
        <v>0</v>
      </c>
      <c r="CA659">
        <v>0.75326307539283177</v>
      </c>
      <c r="CB659">
        <v>0</v>
      </c>
      <c r="CC659">
        <v>0</v>
      </c>
      <c r="CD659">
        <v>0</v>
      </c>
      <c r="CE659">
        <v>0</v>
      </c>
      <c r="CF659">
        <v>0</v>
      </c>
    </row>
    <row r="660" spans="1:84" x14ac:dyDescent="0.25">
      <c r="A660" t="s">
        <v>128</v>
      </c>
      <c r="B660" t="s">
        <v>421</v>
      </c>
      <c r="C660" s="14" t="s">
        <v>72</v>
      </c>
      <c r="D660" s="12">
        <v>46247</v>
      </c>
      <c r="E660" s="14" t="s">
        <v>133</v>
      </c>
      <c r="F660" s="14" t="s">
        <v>133</v>
      </c>
      <c r="G660" s="14" t="s">
        <v>133</v>
      </c>
      <c r="H660" s="14" t="s">
        <v>74</v>
      </c>
      <c r="I660">
        <v>20</v>
      </c>
      <c r="J660">
        <v>4.440974877503046</v>
      </c>
      <c r="K660">
        <v>46247</v>
      </c>
      <c r="L660" t="s">
        <v>493</v>
      </c>
      <c r="M660">
        <v>4.75</v>
      </c>
      <c r="N660">
        <v>4.75</v>
      </c>
      <c r="O660">
        <v>13.770465686274507</v>
      </c>
      <c r="P660">
        <v>1.0695849742502268</v>
      </c>
      <c r="Q660">
        <v>1.0695849742502268</v>
      </c>
      <c r="R660">
        <v>3.1007754076773795</v>
      </c>
      <c r="S660">
        <v>2.0311904334271524</v>
      </c>
      <c r="T660">
        <v>0</v>
      </c>
      <c r="U660">
        <v>0</v>
      </c>
      <c r="V660">
        <v>0</v>
      </c>
      <c r="W660">
        <v>0</v>
      </c>
      <c r="X660">
        <v>0.18041502574977319</v>
      </c>
      <c r="Y660">
        <v>6.9584974250226805E-2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0.9349420794743255</v>
      </c>
      <c r="AN660">
        <v>0.9349420794743255</v>
      </c>
      <c r="AO660">
        <v>2.8990454076367382</v>
      </c>
      <c r="AP660">
        <v>1.8990454076367382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0.9349420794743255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0.34494113040305435</v>
      </c>
      <c r="BK660">
        <v>0.34494113040305435</v>
      </c>
      <c r="BL660">
        <v>0.32249997775525607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0.6550588695969457</v>
      </c>
      <c r="BX660">
        <v>0</v>
      </c>
      <c r="BY660">
        <v>2.2441152647798279E-2</v>
      </c>
      <c r="BZ660">
        <v>0</v>
      </c>
      <c r="CA660">
        <v>0.32249997775525607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 spans="1:84" x14ac:dyDescent="0.25">
      <c r="A661" t="s">
        <v>128</v>
      </c>
      <c r="B661" t="s">
        <v>421</v>
      </c>
      <c r="C661" s="14" t="s">
        <v>72</v>
      </c>
      <c r="D661" s="12">
        <v>46245</v>
      </c>
      <c r="E661" s="14" t="s">
        <v>133</v>
      </c>
      <c r="F661" s="14" t="s">
        <v>133</v>
      </c>
      <c r="G661" s="14" t="s">
        <v>133</v>
      </c>
      <c r="H661" s="14" t="s">
        <v>74</v>
      </c>
      <c r="I661">
        <v>20</v>
      </c>
      <c r="J661">
        <v>4.440974877503046</v>
      </c>
      <c r="K661">
        <v>46245</v>
      </c>
      <c r="L661" t="s">
        <v>487</v>
      </c>
      <c r="M661">
        <v>4.75</v>
      </c>
      <c r="N661">
        <v>4.75</v>
      </c>
      <c r="O661">
        <v>15.885012097787827</v>
      </c>
      <c r="P661">
        <v>1.0695849742502268</v>
      </c>
      <c r="Q661">
        <v>1.0695849742502268</v>
      </c>
      <c r="R661">
        <v>3.5769200538056709</v>
      </c>
      <c r="S661">
        <v>2.5073350795554443</v>
      </c>
      <c r="T661">
        <v>0</v>
      </c>
      <c r="U661">
        <v>0</v>
      </c>
      <c r="V661">
        <v>0</v>
      </c>
      <c r="W661">
        <v>0</v>
      </c>
      <c r="X661">
        <v>0.18041502574977319</v>
      </c>
      <c r="Y661">
        <v>6.9584974250226805E-2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0.9349420794743255</v>
      </c>
      <c r="AN661">
        <v>0.9349420794743255</v>
      </c>
      <c r="AO661">
        <v>3.3442130732184898</v>
      </c>
      <c r="AP661">
        <v>2.3442130732184898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0.9349420794743255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0.29902400896890047</v>
      </c>
      <c r="BK661">
        <v>0.29902400896890047</v>
      </c>
      <c r="BL661">
        <v>0.2795701287581332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0.70097599103109953</v>
      </c>
      <c r="BX661">
        <v>0</v>
      </c>
      <c r="BY661">
        <v>1.9453880210767271E-2</v>
      </c>
      <c r="BZ661">
        <v>0</v>
      </c>
      <c r="CA661">
        <v>0.2795701287581332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 spans="1:84" x14ac:dyDescent="0.25">
      <c r="A662" t="s">
        <v>128</v>
      </c>
      <c r="B662" t="s">
        <v>421</v>
      </c>
      <c r="C662" s="14" t="s">
        <v>72</v>
      </c>
      <c r="D662" s="12">
        <v>46230</v>
      </c>
      <c r="E662" s="14" t="s">
        <v>134</v>
      </c>
      <c r="F662" s="14" t="s">
        <v>134</v>
      </c>
      <c r="G662" s="14" t="s">
        <v>134</v>
      </c>
      <c r="H662" s="14" t="s">
        <v>73</v>
      </c>
      <c r="I662">
        <v>20</v>
      </c>
      <c r="J662">
        <v>2.5233188720173527</v>
      </c>
      <c r="K662">
        <v>46230</v>
      </c>
      <c r="L662" t="s">
        <v>441</v>
      </c>
      <c r="M662">
        <v>0</v>
      </c>
      <c r="N662">
        <v>0</v>
      </c>
      <c r="O662">
        <v>0.23529411764705879</v>
      </c>
      <c r="P662">
        <v>0</v>
      </c>
      <c r="Q662">
        <v>0</v>
      </c>
      <c r="R662">
        <v>9.3247872972528817E-2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9.3247872972528817E-2</v>
      </c>
      <c r="AC662">
        <v>0.90675212702747121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10.72410520607375</v>
      </c>
      <c r="BM662">
        <v>9.7241052060737498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</row>
    <row r="663" spans="1:84" x14ac:dyDescent="0.25">
      <c r="A663" t="s">
        <v>128</v>
      </c>
      <c r="B663" t="s">
        <v>421</v>
      </c>
      <c r="C663" s="14" t="s">
        <v>72</v>
      </c>
      <c r="D663" s="12">
        <v>46245</v>
      </c>
      <c r="E663" s="14" t="s">
        <v>133</v>
      </c>
      <c r="F663" s="14" t="s">
        <v>133</v>
      </c>
      <c r="G663" s="14" t="s">
        <v>133</v>
      </c>
      <c r="H663" s="14" t="s">
        <v>73</v>
      </c>
      <c r="I663">
        <v>20</v>
      </c>
      <c r="J663">
        <v>9.9337595944147079</v>
      </c>
      <c r="K663">
        <v>46245</v>
      </c>
      <c r="L663" t="s">
        <v>486</v>
      </c>
      <c r="M663">
        <v>31.35</v>
      </c>
      <c r="N663">
        <v>31.35</v>
      </c>
      <c r="O663">
        <v>14.935658622423333</v>
      </c>
      <c r="P663">
        <v>3.1559048416700812</v>
      </c>
      <c r="Q663">
        <v>3.1559048416700812</v>
      </c>
      <c r="R663">
        <v>1.5035252746423378</v>
      </c>
      <c r="S663">
        <v>0</v>
      </c>
      <c r="T663">
        <v>0</v>
      </c>
      <c r="U663">
        <v>1.6523795670277435</v>
      </c>
      <c r="V663">
        <v>0</v>
      </c>
      <c r="W663">
        <v>0.25352527464233776</v>
      </c>
      <c r="X663">
        <v>0</v>
      </c>
      <c r="Y663">
        <v>0.25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0.31686633475007042</v>
      </c>
      <c r="AN663">
        <v>0.31686633475007042</v>
      </c>
      <c r="AO663">
        <v>0.47641654298001063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0.52358345701998932</v>
      </c>
      <c r="BA663">
        <v>0</v>
      </c>
      <c r="BB663">
        <v>0</v>
      </c>
      <c r="BC663">
        <v>0</v>
      </c>
      <c r="BD663">
        <v>0.31686633475007042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2.0990035185280242</v>
      </c>
      <c r="BK663">
        <v>2.0990035185280242</v>
      </c>
      <c r="BL663">
        <v>0.66510355154347667</v>
      </c>
      <c r="CC663">
        <v>0</v>
      </c>
      <c r="CD663">
        <v>0</v>
      </c>
      <c r="CE663">
        <v>0</v>
      </c>
    </row>
    <row r="664" spans="1:84" x14ac:dyDescent="0.25">
      <c r="A664" t="s">
        <v>128</v>
      </c>
      <c r="B664" t="s">
        <v>421</v>
      </c>
      <c r="C664" s="14" t="s">
        <v>72</v>
      </c>
      <c r="D664" s="12">
        <v>46241</v>
      </c>
      <c r="E664" s="14" t="s">
        <v>133</v>
      </c>
      <c r="F664" s="14" t="s">
        <v>133</v>
      </c>
      <c r="G664" s="14" t="s">
        <v>133</v>
      </c>
      <c r="H664" s="14" t="s">
        <v>74</v>
      </c>
      <c r="I664">
        <v>20</v>
      </c>
      <c r="J664">
        <v>4.440974877503046</v>
      </c>
      <c r="K664">
        <v>46241</v>
      </c>
      <c r="L664" t="s">
        <v>475</v>
      </c>
      <c r="M664">
        <v>3.8</v>
      </c>
      <c r="N664">
        <v>3.8</v>
      </c>
      <c r="O664">
        <v>13.83473950477627</v>
      </c>
      <c r="P664">
        <v>0.85566797940018147</v>
      </c>
      <c r="Q664">
        <v>0.85566797940018147</v>
      </c>
      <c r="R664">
        <v>3.1152483151525732</v>
      </c>
      <c r="S664">
        <v>2.1152483151525732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0.14433202059981853</v>
      </c>
      <c r="AC664">
        <v>0</v>
      </c>
      <c r="AD664">
        <v>0</v>
      </c>
      <c r="AE664">
        <v>0</v>
      </c>
      <c r="AF664">
        <v>0</v>
      </c>
      <c r="AG664">
        <v>0.85566797940018147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1.1686775993429068</v>
      </c>
      <c r="AN664">
        <v>1.1686775993429068</v>
      </c>
      <c r="AO664">
        <v>3.6407209223095447</v>
      </c>
      <c r="AP664">
        <v>2.4720433229666376</v>
      </c>
      <c r="AQ664">
        <v>0</v>
      </c>
      <c r="AR664">
        <v>0</v>
      </c>
      <c r="AS664">
        <v>0</v>
      </c>
      <c r="AT664">
        <v>0</v>
      </c>
      <c r="AU664">
        <v>0.33132240065709317</v>
      </c>
      <c r="AV664">
        <v>0.16867759934290683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0.27467087462601647</v>
      </c>
      <c r="BK664">
        <v>0.27467087462601647</v>
      </c>
      <c r="BL664">
        <v>0.32100169836734949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0.67899830163265051</v>
      </c>
      <c r="BX664">
        <v>0</v>
      </c>
      <c r="BY664">
        <v>0</v>
      </c>
      <c r="BZ664">
        <v>0</v>
      </c>
      <c r="CA664">
        <v>0.27467087462601647</v>
      </c>
      <c r="CB664">
        <v>0</v>
      </c>
      <c r="CC664">
        <v>0</v>
      </c>
      <c r="CD664">
        <v>0</v>
      </c>
      <c r="CE664">
        <v>0</v>
      </c>
      <c r="CF664">
        <v>0</v>
      </c>
    </row>
    <row r="665" spans="1:84" x14ac:dyDescent="0.25">
      <c r="A665" t="s">
        <v>128</v>
      </c>
      <c r="B665" t="s">
        <v>421</v>
      </c>
      <c r="C665" s="14" t="s">
        <v>72</v>
      </c>
      <c r="D665" s="12">
        <v>46232</v>
      </c>
      <c r="E665" s="14" t="s">
        <v>420</v>
      </c>
      <c r="F665" s="14" t="s">
        <v>420</v>
      </c>
      <c r="G665" s="14" t="s">
        <v>420</v>
      </c>
      <c r="H665" s="14" t="s">
        <v>75</v>
      </c>
      <c r="I665">
        <v>20</v>
      </c>
      <c r="J665">
        <v>1.5949011943973781</v>
      </c>
      <c r="K665">
        <v>46232</v>
      </c>
      <c r="L665" t="s">
        <v>449</v>
      </c>
      <c r="M665">
        <v>2.8499999999999996</v>
      </c>
      <c r="N665">
        <v>2.8499999999999996</v>
      </c>
      <c r="O665">
        <v>0</v>
      </c>
      <c r="P665">
        <v>1.7869445518077072</v>
      </c>
      <c r="Q665">
        <v>1.7869445518077072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0.55961445417451872</v>
      </c>
      <c r="AN665">
        <v>0.55961445417451872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</row>
    <row r="666" spans="1:84" x14ac:dyDescent="0.25">
      <c r="A666" t="s">
        <v>128</v>
      </c>
      <c r="B666" t="s">
        <v>421</v>
      </c>
      <c r="C666" s="14" t="s">
        <v>72</v>
      </c>
      <c r="D666" s="12">
        <v>46241</v>
      </c>
      <c r="E666" s="14" t="s">
        <v>133</v>
      </c>
      <c r="F666" s="14" t="s">
        <v>133</v>
      </c>
      <c r="G666" s="14" t="s">
        <v>133</v>
      </c>
      <c r="H666" s="14" t="s">
        <v>75</v>
      </c>
      <c r="I666">
        <v>20</v>
      </c>
      <c r="J666">
        <v>8.0638754354660556</v>
      </c>
      <c r="K666">
        <v>46241</v>
      </c>
      <c r="L666" t="s">
        <v>476</v>
      </c>
      <c r="M666">
        <v>5.6999999999999993</v>
      </c>
      <c r="N666">
        <v>5.6999999999999993</v>
      </c>
      <c r="O666">
        <v>12.182257887129213</v>
      </c>
      <c r="P666">
        <v>0.70685615689580217</v>
      </c>
      <c r="Q666">
        <v>0.70685615689580217</v>
      </c>
      <c r="R666">
        <v>1.5107199986683739</v>
      </c>
      <c r="S666">
        <v>0.51071999866837392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0.29314384310419783</v>
      </c>
      <c r="AC666">
        <v>0</v>
      </c>
      <c r="AD666">
        <v>0</v>
      </c>
      <c r="AE666">
        <v>0</v>
      </c>
      <c r="AF666">
        <v>0</v>
      </c>
      <c r="AG666">
        <v>0.70685615689580217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1.4147149886782555</v>
      </c>
      <c r="AN666">
        <v>1.4147149886782555</v>
      </c>
      <c r="AO666">
        <v>2.1372382258121427</v>
      </c>
      <c r="AP666">
        <v>0.72252323713388722</v>
      </c>
      <c r="AQ666">
        <v>0</v>
      </c>
      <c r="AR666">
        <v>0</v>
      </c>
      <c r="AS666">
        <v>0</v>
      </c>
      <c r="AT666">
        <v>0</v>
      </c>
      <c r="AU666">
        <v>8.5285011321744486E-2</v>
      </c>
      <c r="AV666">
        <v>0.41471498867825551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0.46789355904394025</v>
      </c>
      <c r="BK666">
        <v>0.46789355904394025</v>
      </c>
      <c r="BL666">
        <v>0.66193603108547661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0.33806396891452339</v>
      </c>
      <c r="BX666">
        <v>0</v>
      </c>
      <c r="BY666">
        <v>0</v>
      </c>
      <c r="BZ666">
        <v>0</v>
      </c>
      <c r="CA666">
        <v>0.46789355904394025</v>
      </c>
      <c r="CB666">
        <v>0</v>
      </c>
      <c r="CC666">
        <v>0</v>
      </c>
      <c r="CD666">
        <v>0</v>
      </c>
      <c r="CE666">
        <v>0</v>
      </c>
      <c r="CF666">
        <v>0</v>
      </c>
    </row>
    <row r="667" spans="1:84" x14ac:dyDescent="0.25">
      <c r="A667" t="s">
        <v>128</v>
      </c>
      <c r="B667" t="s">
        <v>421</v>
      </c>
      <c r="C667" s="14" t="s">
        <v>72</v>
      </c>
      <c r="D667" s="12">
        <v>46232</v>
      </c>
      <c r="E667" s="14" t="s">
        <v>420</v>
      </c>
      <c r="F667" s="14" t="s">
        <v>420</v>
      </c>
      <c r="G667" s="14" t="s">
        <v>420</v>
      </c>
      <c r="H667" s="14" t="s">
        <v>74</v>
      </c>
      <c r="I667">
        <v>20</v>
      </c>
      <c r="J667">
        <v>0</v>
      </c>
      <c r="K667">
        <v>46232</v>
      </c>
      <c r="L667" t="s">
        <v>448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F667">
        <v>0</v>
      </c>
    </row>
    <row r="668" spans="1:84" x14ac:dyDescent="0.25">
      <c r="A668" t="s">
        <v>128</v>
      </c>
      <c r="B668" t="s">
        <v>421</v>
      </c>
      <c r="C668" s="14" t="s">
        <v>72</v>
      </c>
      <c r="D668" s="12">
        <v>46242</v>
      </c>
      <c r="E668" s="14" t="s">
        <v>133</v>
      </c>
      <c r="F668" s="14" t="s">
        <v>133</v>
      </c>
      <c r="G668" s="14" t="s">
        <v>133</v>
      </c>
      <c r="H668" s="14" t="s">
        <v>73</v>
      </c>
      <c r="I668">
        <v>20</v>
      </c>
      <c r="J668">
        <v>9.9337595944147097</v>
      </c>
      <c r="K668">
        <v>46242</v>
      </c>
      <c r="L668" t="s">
        <v>477</v>
      </c>
      <c r="M668">
        <v>30.4</v>
      </c>
      <c r="N668">
        <v>30.4</v>
      </c>
      <c r="O668">
        <v>13.231808175994754</v>
      </c>
      <c r="P668">
        <v>3.0602713616194719</v>
      </c>
      <c r="Q668">
        <v>3.0602713616194719</v>
      </c>
      <c r="R668">
        <v>1.3320040665604977</v>
      </c>
      <c r="S668">
        <v>0</v>
      </c>
      <c r="T668">
        <v>0</v>
      </c>
      <c r="U668">
        <v>1.7282672950589741</v>
      </c>
      <c r="V668">
        <v>0</v>
      </c>
      <c r="W668">
        <v>8.2004066560497746E-2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0.32676840771101018</v>
      </c>
      <c r="AN668">
        <v>0.32676840771101018</v>
      </c>
      <c r="AO668">
        <v>0.43525684789456431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0.56474315210543569</v>
      </c>
      <c r="BA668">
        <v>0</v>
      </c>
      <c r="BB668">
        <v>0</v>
      </c>
      <c r="BC668">
        <v>0</v>
      </c>
      <c r="BD668">
        <v>0.32676840771101018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2.2974940080488704</v>
      </c>
      <c r="BK668">
        <v>2.2974940080488704</v>
      </c>
      <c r="BL668">
        <v>0.75074845873571616</v>
      </c>
      <c r="CC668">
        <v>0</v>
      </c>
      <c r="CD668">
        <v>0</v>
      </c>
      <c r="CE668">
        <v>0</v>
      </c>
    </row>
    <row r="669" spans="1:84" x14ac:dyDescent="0.25">
      <c r="A669" t="s">
        <v>128</v>
      </c>
      <c r="B669" t="s">
        <v>421</v>
      </c>
      <c r="C669" s="14" t="s">
        <v>72</v>
      </c>
      <c r="D669" s="12">
        <v>46232</v>
      </c>
      <c r="E669" s="14" t="s">
        <v>420</v>
      </c>
      <c r="F669" s="14" t="s">
        <v>420</v>
      </c>
      <c r="G669" s="14" t="s">
        <v>420</v>
      </c>
      <c r="H669" s="14" t="s">
        <v>73</v>
      </c>
      <c r="I669">
        <v>20</v>
      </c>
      <c r="J669">
        <v>1.636148639080069</v>
      </c>
      <c r="K669">
        <v>46232</v>
      </c>
      <c r="L669" t="s">
        <v>447</v>
      </c>
      <c r="M669">
        <v>0.95</v>
      </c>
      <c r="N669">
        <v>0.95</v>
      </c>
      <c r="O669">
        <v>0</v>
      </c>
      <c r="P669">
        <v>0.58063184316440908</v>
      </c>
      <c r="Q669">
        <v>0.58063184316440908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0.41936815683559092</v>
      </c>
      <c r="AD669">
        <v>0</v>
      </c>
      <c r="AE669">
        <v>0</v>
      </c>
      <c r="AF669">
        <v>0</v>
      </c>
      <c r="AG669">
        <v>0</v>
      </c>
      <c r="AH669">
        <v>0.58063184316440908</v>
      </c>
      <c r="AI669">
        <v>0</v>
      </c>
      <c r="AJ669">
        <v>0</v>
      </c>
      <c r="AK669">
        <v>0</v>
      </c>
      <c r="AL669">
        <v>0</v>
      </c>
      <c r="AM669">
        <v>1.7222617253474413</v>
      </c>
      <c r="AN669">
        <v>1.7222617253474413</v>
      </c>
      <c r="AO669">
        <v>0</v>
      </c>
      <c r="BF669">
        <v>0</v>
      </c>
      <c r="BG669">
        <v>0</v>
      </c>
      <c r="BH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</row>
    <row r="670" spans="1:84" x14ac:dyDescent="0.25">
      <c r="A670" t="s">
        <v>128</v>
      </c>
      <c r="B670" t="s">
        <v>421</v>
      </c>
      <c r="C670" s="14" t="s">
        <v>72</v>
      </c>
      <c r="D670" s="12">
        <v>46231</v>
      </c>
      <c r="E670" s="14" t="s">
        <v>420</v>
      </c>
      <c r="F670" s="14" t="s">
        <v>420</v>
      </c>
      <c r="G670" s="14" t="s">
        <v>420</v>
      </c>
      <c r="H670" s="14" t="s">
        <v>75</v>
      </c>
      <c r="I670">
        <v>20</v>
      </c>
      <c r="J670">
        <v>1.4299114156666153</v>
      </c>
      <c r="K670">
        <v>46231</v>
      </c>
      <c r="L670" t="s">
        <v>446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</row>
    <row r="671" spans="1:84" x14ac:dyDescent="0.25">
      <c r="A671" t="s">
        <v>128</v>
      </c>
      <c r="B671" t="s">
        <v>421</v>
      </c>
      <c r="C671" s="14" t="s">
        <v>72</v>
      </c>
      <c r="D671" s="12">
        <v>46231</v>
      </c>
      <c r="E671" s="14" t="s">
        <v>420</v>
      </c>
      <c r="F671" s="14" t="s">
        <v>420</v>
      </c>
      <c r="G671" s="14" t="s">
        <v>420</v>
      </c>
      <c r="H671" s="14" t="s">
        <v>74</v>
      </c>
      <c r="I671">
        <v>20</v>
      </c>
      <c r="J671">
        <v>0</v>
      </c>
      <c r="K671">
        <v>46231</v>
      </c>
      <c r="L671" t="s">
        <v>445</v>
      </c>
      <c r="M671">
        <v>1.9</v>
      </c>
      <c r="N671">
        <v>1.9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0</v>
      </c>
      <c r="CF671">
        <v>0</v>
      </c>
    </row>
    <row r="672" spans="1:84" x14ac:dyDescent="0.25">
      <c r="A672" t="s">
        <v>128</v>
      </c>
      <c r="B672" t="s">
        <v>421</v>
      </c>
      <c r="C672" s="14" t="s">
        <v>72</v>
      </c>
      <c r="D672" s="12">
        <v>46242</v>
      </c>
      <c r="E672" s="14" t="s">
        <v>133</v>
      </c>
      <c r="F672" s="14" t="s">
        <v>133</v>
      </c>
      <c r="G672" s="14" t="s">
        <v>133</v>
      </c>
      <c r="H672" s="14" t="s">
        <v>74</v>
      </c>
      <c r="I672">
        <v>20</v>
      </c>
      <c r="J672">
        <v>4.440974877503046</v>
      </c>
      <c r="K672">
        <v>46242</v>
      </c>
      <c r="L672" t="s">
        <v>478</v>
      </c>
      <c r="M672">
        <v>3.8</v>
      </c>
      <c r="N672">
        <v>3.8</v>
      </c>
      <c r="O672">
        <v>13.825681314192339</v>
      </c>
      <c r="P672">
        <v>0.85566797940018147</v>
      </c>
      <c r="Q672">
        <v>0.85566797940018147</v>
      </c>
      <c r="R672">
        <v>3.113208629985738</v>
      </c>
      <c r="S672">
        <v>2.113208629985738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0.14433202059981853</v>
      </c>
      <c r="AC672">
        <v>0</v>
      </c>
      <c r="AD672">
        <v>0</v>
      </c>
      <c r="AE672">
        <v>0</v>
      </c>
      <c r="AF672">
        <v>0</v>
      </c>
      <c r="AG672">
        <v>0.85566797940018147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1.1686775993429068</v>
      </c>
      <c r="AN672">
        <v>1.1686775993429068</v>
      </c>
      <c r="AO672">
        <v>3.6383371879453525</v>
      </c>
      <c r="AP672">
        <v>2.4696595886024459</v>
      </c>
      <c r="AQ672">
        <v>0</v>
      </c>
      <c r="AR672">
        <v>0</v>
      </c>
      <c r="AS672">
        <v>0</v>
      </c>
      <c r="AT672">
        <v>0</v>
      </c>
      <c r="AU672">
        <v>0.33132240065709317</v>
      </c>
      <c r="AV672">
        <v>0.16867759934290683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0.27485083111956471</v>
      </c>
      <c r="BK672">
        <v>0.27485083111956471</v>
      </c>
      <c r="BL672">
        <v>0.32121200949021561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0.67878799050978444</v>
      </c>
      <c r="BX672">
        <v>0</v>
      </c>
      <c r="BY672">
        <v>0</v>
      </c>
      <c r="BZ672">
        <v>0</v>
      </c>
      <c r="CA672">
        <v>0.27485083111956471</v>
      </c>
      <c r="CB672">
        <v>0</v>
      </c>
      <c r="CC672">
        <v>0</v>
      </c>
      <c r="CD672">
        <v>0</v>
      </c>
      <c r="CE672">
        <v>0</v>
      </c>
      <c r="CF672">
        <v>0</v>
      </c>
    </row>
    <row r="673" spans="1:84" x14ac:dyDescent="0.25">
      <c r="A673" t="s">
        <v>128</v>
      </c>
      <c r="B673" t="s">
        <v>421</v>
      </c>
      <c r="C673" s="14" t="s">
        <v>72</v>
      </c>
      <c r="D673" s="12">
        <v>46231</v>
      </c>
      <c r="E673" s="14" t="s">
        <v>420</v>
      </c>
      <c r="F673" s="14" t="s">
        <v>420</v>
      </c>
      <c r="G673" s="14" t="s">
        <v>420</v>
      </c>
      <c r="H673" s="14" t="s">
        <v>73</v>
      </c>
      <c r="I673">
        <v>20</v>
      </c>
      <c r="J673">
        <v>1.869884158948651</v>
      </c>
      <c r="K673">
        <v>46231</v>
      </c>
      <c r="L673" t="s">
        <v>444</v>
      </c>
      <c r="M673">
        <v>1.9</v>
      </c>
      <c r="N673">
        <v>1.9</v>
      </c>
      <c r="O673">
        <v>0</v>
      </c>
      <c r="P673">
        <v>1.0161057255377155</v>
      </c>
      <c r="Q673">
        <v>1.0161057255377155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1.6105725537715498E-2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0.98414955734139531</v>
      </c>
      <c r="AN673">
        <v>0.98414955734139531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</row>
    <row r="674" spans="1:84" x14ac:dyDescent="0.25">
      <c r="A674" t="s">
        <v>128</v>
      </c>
      <c r="B674" t="s">
        <v>421</v>
      </c>
      <c r="C674" s="14" t="s">
        <v>72</v>
      </c>
      <c r="D674" s="12">
        <v>46230</v>
      </c>
      <c r="E674" s="14" t="s">
        <v>420</v>
      </c>
      <c r="F674" s="14" t="s">
        <v>420</v>
      </c>
      <c r="G674" s="14" t="s">
        <v>420</v>
      </c>
      <c r="H674" s="14" t="s">
        <v>75</v>
      </c>
      <c r="I674">
        <v>20</v>
      </c>
      <c r="J674">
        <v>1.4299114156666153</v>
      </c>
      <c r="K674">
        <v>46230</v>
      </c>
      <c r="L674" t="s">
        <v>443</v>
      </c>
      <c r="M674">
        <v>0.95</v>
      </c>
      <c r="N674">
        <v>0.95</v>
      </c>
      <c r="O674">
        <v>0</v>
      </c>
      <c r="P674">
        <v>0.66437682054389102</v>
      </c>
      <c r="Q674">
        <v>0.66437682054389102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0.33562317945610898</v>
      </c>
      <c r="AD674">
        <v>0</v>
      </c>
      <c r="AE674">
        <v>0</v>
      </c>
      <c r="AF674">
        <v>0</v>
      </c>
      <c r="AG674">
        <v>0</v>
      </c>
      <c r="AH674">
        <v>0.66437682054389102</v>
      </c>
      <c r="AI674">
        <v>0</v>
      </c>
      <c r="AJ674">
        <v>0</v>
      </c>
      <c r="AK674">
        <v>0</v>
      </c>
      <c r="AL674">
        <v>0</v>
      </c>
      <c r="AM674">
        <v>1.5051699112280161</v>
      </c>
      <c r="AN674">
        <v>1.5051699112280161</v>
      </c>
      <c r="AO674">
        <v>0</v>
      </c>
      <c r="BF674">
        <v>0</v>
      </c>
      <c r="BG674">
        <v>0</v>
      </c>
      <c r="BH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</row>
    <row r="675" spans="1:84" x14ac:dyDescent="0.25">
      <c r="A675" t="s">
        <v>128</v>
      </c>
      <c r="B675" t="s">
        <v>421</v>
      </c>
      <c r="C675" s="14" t="s">
        <v>72</v>
      </c>
      <c r="D675" s="12">
        <v>46242</v>
      </c>
      <c r="E675" s="14" t="s">
        <v>133</v>
      </c>
      <c r="F675" s="14" t="s">
        <v>133</v>
      </c>
      <c r="G675" s="14" t="s">
        <v>133</v>
      </c>
      <c r="H675" s="14" t="s">
        <v>75</v>
      </c>
      <c r="I675">
        <v>20</v>
      </c>
      <c r="J675">
        <v>8.1223093154332009</v>
      </c>
      <c r="K675">
        <v>46242</v>
      </c>
      <c r="L675" t="s">
        <v>479</v>
      </c>
      <c r="M675">
        <v>6.6499999999999995</v>
      </c>
      <c r="N675">
        <v>6.6499999999999995</v>
      </c>
      <c r="O675">
        <v>12.363614949184802</v>
      </c>
      <c r="P675">
        <v>0.81873267093686442</v>
      </c>
      <c r="Q675">
        <v>0.81873267093686442</v>
      </c>
      <c r="R675">
        <v>1.5221797728994013</v>
      </c>
      <c r="S675">
        <v>0.52217977289940132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0.18126732906313558</v>
      </c>
      <c r="AC675">
        <v>0</v>
      </c>
      <c r="AD675">
        <v>0</v>
      </c>
      <c r="AE675">
        <v>0</v>
      </c>
      <c r="AF675">
        <v>0</v>
      </c>
      <c r="AG675">
        <v>0.81873267093686442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1.2213998970576243</v>
      </c>
      <c r="AN675">
        <v>1.2213998970576243</v>
      </c>
      <c r="AO675">
        <v>1.8591902179225268</v>
      </c>
      <c r="AP675">
        <v>0.6377903208649025</v>
      </c>
      <c r="AQ675">
        <v>0</v>
      </c>
      <c r="AR675">
        <v>0</v>
      </c>
      <c r="AS675">
        <v>0</v>
      </c>
      <c r="AT675">
        <v>0</v>
      </c>
      <c r="AU675">
        <v>0.27860010294237569</v>
      </c>
      <c r="AV675">
        <v>0.22139989705762431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0.53786857867475635</v>
      </c>
      <c r="BK675">
        <v>0.53786857867475635</v>
      </c>
      <c r="BL675">
        <v>0.6569526266238781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0.3430473733761219</v>
      </c>
      <c r="BX675">
        <v>0</v>
      </c>
      <c r="BY675">
        <v>0</v>
      </c>
      <c r="BZ675">
        <v>0</v>
      </c>
      <c r="CA675">
        <v>0.53786857867475635</v>
      </c>
      <c r="CB675">
        <v>0</v>
      </c>
      <c r="CC675">
        <v>0</v>
      </c>
      <c r="CD675">
        <v>0</v>
      </c>
      <c r="CE675">
        <v>0</v>
      </c>
      <c r="CF675">
        <v>0</v>
      </c>
    </row>
    <row r="676" spans="1:84" x14ac:dyDescent="0.25">
      <c r="A676" t="s">
        <v>128</v>
      </c>
      <c r="B676" t="s">
        <v>421</v>
      </c>
      <c r="C676" s="14" t="s">
        <v>72</v>
      </c>
      <c r="D676" s="12">
        <v>46230</v>
      </c>
      <c r="E676" s="14" t="s">
        <v>420</v>
      </c>
      <c r="F676" s="14" t="s">
        <v>420</v>
      </c>
      <c r="G676" s="14" t="s">
        <v>420</v>
      </c>
      <c r="H676" s="14" t="s">
        <v>74</v>
      </c>
      <c r="I676">
        <v>20</v>
      </c>
      <c r="J676">
        <v>0</v>
      </c>
      <c r="K676">
        <v>46230</v>
      </c>
      <c r="L676" t="s">
        <v>442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F676">
        <v>0</v>
      </c>
    </row>
    <row r="677" spans="1:84" x14ac:dyDescent="0.25">
      <c r="A677" t="s">
        <v>128</v>
      </c>
      <c r="B677" t="s">
        <v>421</v>
      </c>
      <c r="C677" s="14" t="s">
        <v>72</v>
      </c>
      <c r="D677" s="12">
        <v>46230</v>
      </c>
      <c r="E677" s="14" t="s">
        <v>420</v>
      </c>
      <c r="F677" s="14" t="s">
        <v>420</v>
      </c>
      <c r="G677" s="14" t="s">
        <v>420</v>
      </c>
      <c r="H677" s="14" t="s">
        <v>73</v>
      </c>
      <c r="I677">
        <v>20</v>
      </c>
      <c r="J677">
        <v>1.869884158948651</v>
      </c>
      <c r="K677">
        <v>46230</v>
      </c>
      <c r="L677" t="s">
        <v>441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</row>
    <row r="678" spans="1:84" x14ac:dyDescent="0.25">
      <c r="A678" t="s">
        <v>128</v>
      </c>
      <c r="B678" t="s">
        <v>421</v>
      </c>
      <c r="C678" s="14" t="s">
        <v>72</v>
      </c>
      <c r="D678" s="12">
        <v>46243</v>
      </c>
      <c r="E678" s="14" t="s">
        <v>133</v>
      </c>
      <c r="F678" s="14" t="s">
        <v>133</v>
      </c>
      <c r="G678" s="14" t="s">
        <v>133</v>
      </c>
      <c r="H678" s="14" t="s">
        <v>73</v>
      </c>
      <c r="I678">
        <v>20</v>
      </c>
      <c r="J678">
        <v>9.9337595944147079</v>
      </c>
      <c r="K678">
        <v>46243</v>
      </c>
      <c r="L678" t="s">
        <v>480</v>
      </c>
      <c r="M678">
        <v>27.549999999999997</v>
      </c>
      <c r="N678">
        <v>27.549999999999997</v>
      </c>
      <c r="O678">
        <v>13.97985564017274</v>
      </c>
      <c r="P678">
        <v>2.773370921467647</v>
      </c>
      <c r="Q678">
        <v>2.773370921467647</v>
      </c>
      <c r="R678">
        <v>1.4073076268156282</v>
      </c>
      <c r="S678">
        <v>0</v>
      </c>
      <c r="T678">
        <v>0</v>
      </c>
      <c r="U678">
        <v>1.3660632946520188</v>
      </c>
      <c r="V678">
        <v>0</v>
      </c>
      <c r="W678">
        <v>0.15730762681562815</v>
      </c>
      <c r="X678">
        <v>0</v>
      </c>
      <c r="Y678">
        <v>0.25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0.36057203609490779</v>
      </c>
      <c r="AN678">
        <v>0.36057203609490779</v>
      </c>
      <c r="AO678">
        <v>0.50743577641280369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0.49256422358719631</v>
      </c>
      <c r="BA678">
        <v>0</v>
      </c>
      <c r="BB678">
        <v>0</v>
      </c>
      <c r="BC678">
        <v>0</v>
      </c>
      <c r="BD678">
        <v>0.36057203609490779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1.9706927388314275</v>
      </c>
      <c r="BK678">
        <v>1.9706927388314275</v>
      </c>
      <c r="BL678">
        <v>0.71057669335789808</v>
      </c>
      <c r="CC678">
        <v>0</v>
      </c>
      <c r="CD678">
        <v>0</v>
      </c>
      <c r="CE678">
        <v>0</v>
      </c>
    </row>
    <row r="679" spans="1:84" x14ac:dyDescent="0.25">
      <c r="A679" t="s">
        <v>128</v>
      </c>
      <c r="B679" t="s">
        <v>421</v>
      </c>
      <c r="C679" s="14" t="s">
        <v>72</v>
      </c>
      <c r="D679" s="12">
        <v>46243</v>
      </c>
      <c r="E679" s="14" t="s">
        <v>133</v>
      </c>
      <c r="F679" s="14" t="s">
        <v>133</v>
      </c>
      <c r="G679" s="14" t="s">
        <v>133</v>
      </c>
      <c r="H679" s="14" t="s">
        <v>74</v>
      </c>
      <c r="I679">
        <v>20</v>
      </c>
      <c r="J679">
        <v>4.440974877503046</v>
      </c>
      <c r="K679">
        <v>46243</v>
      </c>
      <c r="L679" t="s">
        <v>481</v>
      </c>
      <c r="M679">
        <v>4.75</v>
      </c>
      <c r="N679">
        <v>4.75</v>
      </c>
      <c r="O679">
        <v>13.813776552287578</v>
      </c>
      <c r="P679">
        <v>1.0695849742502268</v>
      </c>
      <c r="Q679">
        <v>1.0695849742502268</v>
      </c>
      <c r="R679">
        <v>3.1105279658898732</v>
      </c>
      <c r="S679">
        <v>2.0409429916396462</v>
      </c>
      <c r="T679">
        <v>0</v>
      </c>
      <c r="U679">
        <v>0</v>
      </c>
      <c r="V679">
        <v>0</v>
      </c>
      <c r="W679">
        <v>0</v>
      </c>
      <c r="X679">
        <v>0.18041502574977319</v>
      </c>
      <c r="Y679">
        <v>6.9584974250226805E-2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0.9349420794743255</v>
      </c>
      <c r="AN679">
        <v>0.9349420794743255</v>
      </c>
      <c r="AO679">
        <v>2.9081634846921216</v>
      </c>
      <c r="AP679">
        <v>1.9081634846921216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0.9349420794743255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0.34385962318272728</v>
      </c>
      <c r="BK679">
        <v>0.34385962318272728</v>
      </c>
      <c r="BL679">
        <v>0.32148883114571702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0.65614037681727266</v>
      </c>
      <c r="BX679">
        <v>0</v>
      </c>
      <c r="BY679">
        <v>2.2370792037010256E-2</v>
      </c>
      <c r="BZ679">
        <v>0</v>
      </c>
      <c r="CA679">
        <v>0.32148883114571702</v>
      </c>
      <c r="CB679">
        <v>0</v>
      </c>
      <c r="CC679">
        <v>0</v>
      </c>
      <c r="CD679">
        <v>0</v>
      </c>
      <c r="CE679">
        <v>0</v>
      </c>
      <c r="CF679">
        <v>0</v>
      </c>
    </row>
    <row r="680" spans="1:84" x14ac:dyDescent="0.25">
      <c r="A680" t="s">
        <v>128</v>
      </c>
      <c r="B680" t="s">
        <v>421</v>
      </c>
      <c r="C680" s="14" t="s">
        <v>72</v>
      </c>
      <c r="D680" s="12">
        <v>46229</v>
      </c>
      <c r="E680" s="14" t="s">
        <v>420</v>
      </c>
      <c r="F680" s="14" t="s">
        <v>420</v>
      </c>
      <c r="G680" s="14" t="s">
        <v>420</v>
      </c>
      <c r="H680" s="14" t="s">
        <v>75</v>
      </c>
      <c r="I680">
        <v>20</v>
      </c>
      <c r="J680">
        <v>1.4299114156666153</v>
      </c>
      <c r="K680">
        <v>46229</v>
      </c>
      <c r="L680" t="s">
        <v>440</v>
      </c>
      <c r="M680">
        <v>2.8499999999999996</v>
      </c>
      <c r="N680">
        <v>2.8499999999999996</v>
      </c>
      <c r="O680">
        <v>0</v>
      </c>
      <c r="P680">
        <v>1.9931304616316727</v>
      </c>
      <c r="Q680">
        <v>1.9931304616316727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0.50172330374267204</v>
      </c>
      <c r="AN680">
        <v>0.50172330374267204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</row>
    <row r="681" spans="1:84" x14ac:dyDescent="0.25">
      <c r="A681" t="s">
        <v>128</v>
      </c>
      <c r="B681" t="s">
        <v>421</v>
      </c>
      <c r="C681" s="14" t="s">
        <v>72</v>
      </c>
      <c r="D681" s="12">
        <v>46229</v>
      </c>
      <c r="E681" s="14" t="s">
        <v>420</v>
      </c>
      <c r="F681" s="14" t="s">
        <v>420</v>
      </c>
      <c r="G681" s="14" t="s">
        <v>420</v>
      </c>
      <c r="H681" s="14" t="s">
        <v>74</v>
      </c>
      <c r="I681">
        <v>20</v>
      </c>
      <c r="J681">
        <v>0</v>
      </c>
      <c r="K681">
        <v>46229</v>
      </c>
      <c r="L681" t="s">
        <v>439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F681">
        <v>0</v>
      </c>
    </row>
    <row r="682" spans="1:84" x14ac:dyDescent="0.25">
      <c r="A682" t="s">
        <v>128</v>
      </c>
      <c r="B682" t="s">
        <v>421</v>
      </c>
      <c r="C682" s="14" t="s">
        <v>72</v>
      </c>
      <c r="D682" s="12">
        <v>46243</v>
      </c>
      <c r="E682" s="14" t="s">
        <v>133</v>
      </c>
      <c r="F682" s="14" t="s">
        <v>133</v>
      </c>
      <c r="G682" s="14" t="s">
        <v>133</v>
      </c>
      <c r="H682" s="14" t="s">
        <v>75</v>
      </c>
      <c r="I682">
        <v>20</v>
      </c>
      <c r="J682">
        <v>8.1223093154331991</v>
      </c>
      <c r="K682">
        <v>46243</v>
      </c>
      <c r="L682" t="s">
        <v>482</v>
      </c>
      <c r="M682">
        <v>6.6499999999999995</v>
      </c>
      <c r="N682">
        <v>6.6499999999999995</v>
      </c>
      <c r="O682">
        <v>12.353644374416428</v>
      </c>
      <c r="P682">
        <v>0.81873267093686464</v>
      </c>
      <c r="Q682">
        <v>0.81873267093686464</v>
      </c>
      <c r="R682">
        <v>1.5209522187173135</v>
      </c>
      <c r="S682">
        <v>0.52095221871731345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0.18126732906313536</v>
      </c>
      <c r="AC682">
        <v>0</v>
      </c>
      <c r="AD682">
        <v>0</v>
      </c>
      <c r="AE682">
        <v>0</v>
      </c>
      <c r="AF682">
        <v>0</v>
      </c>
      <c r="AG682">
        <v>0.81873267093686464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1.2213998970576241</v>
      </c>
      <c r="AN682">
        <v>1.2213998970576241</v>
      </c>
      <c r="AO682">
        <v>1.8576908833708916</v>
      </c>
      <c r="AP682">
        <v>0.63629098631326753</v>
      </c>
      <c r="AQ682">
        <v>0</v>
      </c>
      <c r="AR682">
        <v>0</v>
      </c>
      <c r="AS682">
        <v>0</v>
      </c>
      <c r="AT682">
        <v>0</v>
      </c>
      <c r="AU682">
        <v>0.27860010294237592</v>
      </c>
      <c r="AV682">
        <v>0.22139989705762408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0.53830269015770804</v>
      </c>
      <c r="BK682">
        <v>0.53830269015770804</v>
      </c>
      <c r="BL682">
        <v>0.65748285034446674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0.34251714965553326</v>
      </c>
      <c r="BX682">
        <v>0</v>
      </c>
      <c r="BY682">
        <v>0</v>
      </c>
      <c r="BZ682">
        <v>0</v>
      </c>
      <c r="CA682">
        <v>0.53830269015770804</v>
      </c>
      <c r="CB682">
        <v>0</v>
      </c>
      <c r="CC682">
        <v>0</v>
      </c>
      <c r="CD682">
        <v>0</v>
      </c>
      <c r="CE682">
        <v>0</v>
      </c>
      <c r="CF682">
        <v>0</v>
      </c>
    </row>
    <row r="683" spans="1:84" x14ac:dyDescent="0.25">
      <c r="A683" t="s">
        <v>128</v>
      </c>
      <c r="B683" t="s">
        <v>421</v>
      </c>
      <c r="C683" s="14" t="s">
        <v>72</v>
      </c>
      <c r="D683" s="12">
        <v>46244</v>
      </c>
      <c r="E683" s="14" t="s">
        <v>133</v>
      </c>
      <c r="F683" s="14" t="s">
        <v>133</v>
      </c>
      <c r="G683" s="14" t="s">
        <v>133</v>
      </c>
      <c r="H683" s="14" t="s">
        <v>73</v>
      </c>
      <c r="I683">
        <v>20</v>
      </c>
      <c r="J683">
        <v>9.9337595944147079</v>
      </c>
      <c r="K683">
        <v>46244</v>
      </c>
      <c r="L683" t="s">
        <v>483</v>
      </c>
      <c r="M683">
        <v>33.25</v>
      </c>
      <c r="N683">
        <v>33.25</v>
      </c>
      <c r="O683">
        <v>13.92407066993464</v>
      </c>
      <c r="P683">
        <v>3.3471718017712986</v>
      </c>
      <c r="Q683">
        <v>3.3471718017712986</v>
      </c>
      <c r="R683">
        <v>1.4016919311962712</v>
      </c>
      <c r="S683">
        <v>0</v>
      </c>
      <c r="T683">
        <v>0</v>
      </c>
      <c r="U683">
        <v>1.9454798705750274</v>
      </c>
      <c r="V683">
        <v>0</v>
      </c>
      <c r="W683">
        <v>0.15169193119627122</v>
      </c>
      <c r="X683">
        <v>0</v>
      </c>
      <c r="Y683">
        <v>0.25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0.29875968705006639</v>
      </c>
      <c r="AN683">
        <v>0.29875968705006639</v>
      </c>
      <c r="AO683">
        <v>0.4187690427048012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0.5812309572951988</v>
      </c>
      <c r="BA683">
        <v>0</v>
      </c>
      <c r="BB683">
        <v>0</v>
      </c>
      <c r="BC683">
        <v>0</v>
      </c>
      <c r="BD683">
        <v>0.29875968705006639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2.3879511091389825</v>
      </c>
      <c r="BK683">
        <v>2.3879511091389825</v>
      </c>
      <c r="BL683">
        <v>0.71342352605722137</v>
      </c>
      <c r="CC683">
        <v>0</v>
      </c>
      <c r="CD683">
        <v>0</v>
      </c>
      <c r="CE683">
        <v>0</v>
      </c>
    </row>
    <row r="684" spans="1:84" x14ac:dyDescent="0.25">
      <c r="A684" t="s">
        <v>128</v>
      </c>
      <c r="B684" t="s">
        <v>421</v>
      </c>
      <c r="C684" s="14" t="s">
        <v>72</v>
      </c>
      <c r="D684" s="12">
        <v>46229</v>
      </c>
      <c r="E684" s="14" t="s">
        <v>420</v>
      </c>
      <c r="F684" s="14" t="s">
        <v>420</v>
      </c>
      <c r="G684" s="14" t="s">
        <v>420</v>
      </c>
      <c r="H684" s="14" t="s">
        <v>73</v>
      </c>
      <c r="I684">
        <v>20</v>
      </c>
      <c r="J684">
        <v>1.869884158948651</v>
      </c>
      <c r="K684">
        <v>46229</v>
      </c>
      <c r="L684" t="s">
        <v>438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</row>
    <row r="685" spans="1:84" x14ac:dyDescent="0.25">
      <c r="A685" t="s">
        <v>128</v>
      </c>
      <c r="B685" t="s">
        <v>421</v>
      </c>
      <c r="C685" s="14" t="s">
        <v>72</v>
      </c>
      <c r="D685" s="12">
        <v>46228</v>
      </c>
      <c r="E685" s="14" t="s">
        <v>420</v>
      </c>
      <c r="F685" s="14" t="s">
        <v>420</v>
      </c>
      <c r="G685" s="14" t="s">
        <v>420</v>
      </c>
      <c r="H685" s="14" t="s">
        <v>75</v>
      </c>
      <c r="I685">
        <v>20</v>
      </c>
      <c r="J685">
        <v>1.4299114156666153</v>
      </c>
      <c r="K685">
        <v>46228</v>
      </c>
      <c r="L685" t="s">
        <v>437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</row>
    <row r="686" spans="1:84" x14ac:dyDescent="0.25">
      <c r="A686" t="s">
        <v>128</v>
      </c>
      <c r="B686" t="s">
        <v>421</v>
      </c>
      <c r="C686" s="14" t="s">
        <v>72</v>
      </c>
      <c r="D686" s="12">
        <v>46228</v>
      </c>
      <c r="E686" s="14" t="s">
        <v>420</v>
      </c>
      <c r="F686" s="14" t="s">
        <v>420</v>
      </c>
      <c r="G686" s="14" t="s">
        <v>420</v>
      </c>
      <c r="H686" s="14" t="s">
        <v>74</v>
      </c>
      <c r="I686">
        <v>20</v>
      </c>
      <c r="J686">
        <v>0</v>
      </c>
      <c r="K686">
        <v>46228</v>
      </c>
      <c r="L686" t="s">
        <v>436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F686">
        <v>0</v>
      </c>
    </row>
    <row r="687" spans="1:84" x14ac:dyDescent="0.25">
      <c r="A687" t="s">
        <v>128</v>
      </c>
      <c r="B687" t="s">
        <v>421</v>
      </c>
      <c r="C687" s="14" t="s">
        <v>72</v>
      </c>
      <c r="D687" s="12">
        <v>46244</v>
      </c>
      <c r="E687" s="14" t="s">
        <v>133</v>
      </c>
      <c r="F687" s="14" t="s">
        <v>133</v>
      </c>
      <c r="G687" s="14" t="s">
        <v>133</v>
      </c>
      <c r="H687" s="14" t="s">
        <v>74</v>
      </c>
      <c r="I687">
        <v>20</v>
      </c>
      <c r="J687">
        <v>4.440974877503046</v>
      </c>
      <c r="K687">
        <v>46244</v>
      </c>
      <c r="L687" t="s">
        <v>484</v>
      </c>
      <c r="M687">
        <v>4.75</v>
      </c>
      <c r="N687">
        <v>4.75</v>
      </c>
      <c r="O687">
        <v>14.947637789089994</v>
      </c>
      <c r="P687">
        <v>1.0695849742502268</v>
      </c>
      <c r="Q687">
        <v>1.0695849742502268</v>
      </c>
      <c r="R687">
        <v>3.3658460588937977</v>
      </c>
      <c r="S687">
        <v>2.2962610846435707</v>
      </c>
      <c r="T687">
        <v>0</v>
      </c>
      <c r="U687">
        <v>0</v>
      </c>
      <c r="V687">
        <v>0</v>
      </c>
      <c r="W687">
        <v>0</v>
      </c>
      <c r="X687">
        <v>0.18041502574977319</v>
      </c>
      <c r="Y687">
        <v>6.9584974250226805E-2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0.9349420794743255</v>
      </c>
      <c r="AN687">
        <v>0.9349420794743255</v>
      </c>
      <c r="AO687">
        <v>3.1468711134926304</v>
      </c>
      <c r="AP687">
        <v>2.1468711134926304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0.9349420794743255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0.31777596346808307</v>
      </c>
      <c r="BK687">
        <v>0.31777596346808307</v>
      </c>
      <c r="BL687">
        <v>0.29710212009180686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0.68222403653191699</v>
      </c>
      <c r="BX687">
        <v>0</v>
      </c>
      <c r="BY687">
        <v>2.0673843376276202E-2</v>
      </c>
      <c r="BZ687">
        <v>0</v>
      </c>
      <c r="CA687">
        <v>0.29710212009180686</v>
      </c>
      <c r="CB687">
        <v>0</v>
      </c>
      <c r="CC687">
        <v>0</v>
      </c>
      <c r="CD687">
        <v>0</v>
      </c>
      <c r="CE687">
        <v>0</v>
      </c>
      <c r="CF687">
        <v>0</v>
      </c>
    </row>
    <row r="688" spans="1:84" x14ac:dyDescent="0.25">
      <c r="A688" t="s">
        <v>128</v>
      </c>
      <c r="B688" t="s">
        <v>421</v>
      </c>
      <c r="C688" s="14" t="s">
        <v>72</v>
      </c>
      <c r="D688" s="12">
        <v>46244</v>
      </c>
      <c r="E688" s="14" t="s">
        <v>133</v>
      </c>
      <c r="F688" s="14" t="s">
        <v>133</v>
      </c>
      <c r="G688" s="14" t="s">
        <v>133</v>
      </c>
      <c r="H688" s="14" t="s">
        <v>75</v>
      </c>
      <c r="I688">
        <v>20</v>
      </c>
      <c r="J688">
        <v>8.180743195400348</v>
      </c>
      <c r="K688">
        <v>46244</v>
      </c>
      <c r="L688" t="s">
        <v>485</v>
      </c>
      <c r="M688">
        <v>6.6499999999999995</v>
      </c>
      <c r="N688">
        <v>6.6499999999999995</v>
      </c>
      <c r="O688">
        <v>15.707439353946713</v>
      </c>
      <c r="P688">
        <v>0.81288458043017231</v>
      </c>
      <c r="Q688">
        <v>0.81288458043017231</v>
      </c>
      <c r="R688">
        <v>1.9200504133632108</v>
      </c>
      <c r="S688">
        <v>0.92005041336321081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0.18711541956982769</v>
      </c>
      <c r="AC688">
        <v>0</v>
      </c>
      <c r="AD688">
        <v>0</v>
      </c>
      <c r="AE688">
        <v>0</v>
      </c>
      <c r="AF688">
        <v>0</v>
      </c>
      <c r="AG688">
        <v>0.81288458043017231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1.2301869466767441</v>
      </c>
      <c r="AN688">
        <v>1.2301869466767441</v>
      </c>
      <c r="AO688">
        <v>2.362020955480709</v>
      </c>
      <c r="AP688">
        <v>1.1318340088039649</v>
      </c>
      <c r="AQ688">
        <v>0</v>
      </c>
      <c r="AR688">
        <v>0</v>
      </c>
      <c r="AS688">
        <v>0</v>
      </c>
      <c r="AT688">
        <v>0</v>
      </c>
      <c r="AU688">
        <v>0.26981305332325589</v>
      </c>
      <c r="AV688">
        <v>0.23018694667674411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0.42336626932951327</v>
      </c>
      <c r="BK688">
        <v>0.42336626932951327</v>
      </c>
      <c r="BL688">
        <v>0.52081965819239806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0.47918034180760194</v>
      </c>
      <c r="BX688">
        <v>0</v>
      </c>
      <c r="BY688">
        <v>0</v>
      </c>
      <c r="BZ688">
        <v>0</v>
      </c>
      <c r="CA688">
        <v>0.42336626932951327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 spans="1:84" x14ac:dyDescent="0.25">
      <c r="A689" t="s">
        <v>128</v>
      </c>
      <c r="B689" t="s">
        <v>421</v>
      </c>
      <c r="C689" s="14" t="s">
        <v>72</v>
      </c>
      <c r="D689" s="12">
        <v>46228</v>
      </c>
      <c r="E689" s="14" t="s">
        <v>420</v>
      </c>
      <c r="F689" s="14" t="s">
        <v>420</v>
      </c>
      <c r="G689" s="14" t="s">
        <v>420</v>
      </c>
      <c r="H689" s="14" t="s">
        <v>73</v>
      </c>
      <c r="I689">
        <v>20</v>
      </c>
      <c r="J689">
        <v>1.869884158948651</v>
      </c>
      <c r="K689">
        <v>46228</v>
      </c>
      <c r="L689" t="s">
        <v>435</v>
      </c>
      <c r="M689">
        <v>0.95</v>
      </c>
      <c r="N689">
        <v>0.95</v>
      </c>
      <c r="O689">
        <v>0</v>
      </c>
      <c r="P689">
        <v>0.50805286276885775</v>
      </c>
      <c r="Q689">
        <v>0.50805286276885775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0.49194713723114225</v>
      </c>
      <c r="AD689">
        <v>0</v>
      </c>
      <c r="AE689">
        <v>0</v>
      </c>
      <c r="AF689">
        <v>0</v>
      </c>
      <c r="AG689">
        <v>0</v>
      </c>
      <c r="AH689">
        <v>0.50805286276885775</v>
      </c>
      <c r="AI689">
        <v>0</v>
      </c>
      <c r="AJ689">
        <v>0</v>
      </c>
      <c r="AK689">
        <v>0</v>
      </c>
      <c r="AL689">
        <v>0</v>
      </c>
      <c r="AM689">
        <v>1.9682991146827906</v>
      </c>
      <c r="AN689">
        <v>1.9682991146827906</v>
      </c>
      <c r="AO689">
        <v>0</v>
      </c>
      <c r="BF689">
        <v>0</v>
      </c>
      <c r="BG689">
        <v>0</v>
      </c>
      <c r="BH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 spans="1:84" x14ac:dyDescent="0.25">
      <c r="A690" t="s">
        <v>128</v>
      </c>
      <c r="B690" t="s">
        <v>421</v>
      </c>
      <c r="C690" s="14" t="s">
        <v>72</v>
      </c>
      <c r="D690" s="12">
        <v>46227</v>
      </c>
      <c r="E690" s="14" t="s">
        <v>420</v>
      </c>
      <c r="F690" s="14" t="s">
        <v>420</v>
      </c>
      <c r="G690" s="14" t="s">
        <v>420</v>
      </c>
      <c r="H690" s="14" t="s">
        <v>75</v>
      </c>
      <c r="I690">
        <v>20</v>
      </c>
      <c r="J690">
        <v>1.4299114156666153</v>
      </c>
      <c r="K690">
        <v>46227</v>
      </c>
      <c r="L690" t="s">
        <v>155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</row>
    <row r="691" spans="1:84" x14ac:dyDescent="0.25">
      <c r="A691" t="s">
        <v>128</v>
      </c>
      <c r="B691" t="s">
        <v>421</v>
      </c>
      <c r="C691" s="14" t="s">
        <v>72</v>
      </c>
      <c r="D691" s="12">
        <v>46241</v>
      </c>
      <c r="E691" s="14" t="s">
        <v>133</v>
      </c>
      <c r="F691" s="14" t="s">
        <v>133</v>
      </c>
      <c r="G691" s="14" t="s">
        <v>133</v>
      </c>
      <c r="H691" s="14" t="s">
        <v>73</v>
      </c>
      <c r="I691">
        <v>20</v>
      </c>
      <c r="J691">
        <v>9.9337595944147079</v>
      </c>
      <c r="K691">
        <v>46241</v>
      </c>
      <c r="L691" t="s">
        <v>474</v>
      </c>
      <c r="M691">
        <v>8.5499999999999989</v>
      </c>
      <c r="N691">
        <v>8.5499999999999989</v>
      </c>
      <c r="O691">
        <v>13.489513024761193</v>
      </c>
      <c r="P691">
        <v>0.86070132045547665</v>
      </c>
      <c r="Q691">
        <v>0.86070132045547665</v>
      </c>
      <c r="R691">
        <v>1.357946394469393</v>
      </c>
      <c r="S691">
        <v>0.35794639446939303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0.13929867954452335</v>
      </c>
      <c r="AC691">
        <v>0</v>
      </c>
      <c r="AD691">
        <v>0</v>
      </c>
      <c r="AE691">
        <v>0</v>
      </c>
      <c r="AF691">
        <v>0</v>
      </c>
      <c r="AG691">
        <v>0.86070132045547665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1.161843227416925</v>
      </c>
      <c r="AN691">
        <v>1.161843227416925</v>
      </c>
      <c r="AO691">
        <v>1.5777208216094964</v>
      </c>
      <c r="AP691">
        <v>0.41587759419257142</v>
      </c>
      <c r="AQ691">
        <v>0</v>
      </c>
      <c r="AR691">
        <v>0</v>
      </c>
      <c r="AS691">
        <v>0</v>
      </c>
      <c r="AT691">
        <v>0</v>
      </c>
      <c r="AU691">
        <v>0.33815677258307497</v>
      </c>
      <c r="AV691">
        <v>0.16184322741692503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0.63382569736251548</v>
      </c>
      <c r="BK691">
        <v>0.63382569736251548</v>
      </c>
      <c r="BL691">
        <v>0.73640609384344824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0.26359390615655176</v>
      </c>
      <c r="BX691">
        <v>0</v>
      </c>
      <c r="BY691">
        <v>0</v>
      </c>
      <c r="BZ691">
        <v>0</v>
      </c>
      <c r="CA691">
        <v>0.63382569736251548</v>
      </c>
      <c r="CB691">
        <v>0</v>
      </c>
      <c r="CC691">
        <v>0</v>
      </c>
      <c r="CD691">
        <v>0</v>
      </c>
      <c r="CE691">
        <v>0</v>
      </c>
      <c r="CF691">
        <v>0</v>
      </c>
    </row>
    <row r="692" spans="1:84" x14ac:dyDescent="0.25">
      <c r="A692" t="s">
        <v>128</v>
      </c>
      <c r="B692" t="s">
        <v>421</v>
      </c>
      <c r="C692" s="14" t="s">
        <v>72</v>
      </c>
      <c r="D692" s="12">
        <v>46232</v>
      </c>
      <c r="E692" s="14" t="s">
        <v>133</v>
      </c>
      <c r="F692" s="14" t="s">
        <v>133</v>
      </c>
      <c r="G692" s="14" t="s">
        <v>133</v>
      </c>
      <c r="H692" s="14" t="s">
        <v>73</v>
      </c>
      <c r="I692">
        <v>20</v>
      </c>
      <c r="J692">
        <v>9.9337595944147079</v>
      </c>
      <c r="K692">
        <v>46232</v>
      </c>
      <c r="L692" t="s">
        <v>447</v>
      </c>
      <c r="M692">
        <v>9.5</v>
      </c>
      <c r="N692">
        <v>9.5</v>
      </c>
      <c r="O692">
        <v>12.181278280542983</v>
      </c>
      <c r="P692">
        <v>0.95633480050608521</v>
      </c>
      <c r="Q692">
        <v>0.95633480050608521</v>
      </c>
      <c r="R692">
        <v>1.2262505615086507</v>
      </c>
      <c r="S692">
        <v>0.22625056150865075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4.3665199493914786E-2</v>
      </c>
      <c r="AC692">
        <v>0</v>
      </c>
      <c r="AD692">
        <v>0</v>
      </c>
      <c r="AE692">
        <v>0</v>
      </c>
      <c r="AF692">
        <v>0</v>
      </c>
      <c r="AG692">
        <v>0.95633480050608521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1.0456589046752325</v>
      </c>
      <c r="AN692">
        <v>1.0456589046752325</v>
      </c>
      <c r="AO692">
        <v>1.2822398190045246</v>
      </c>
      <c r="AP692">
        <v>0.23658091432929207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4.5658904675232481E-2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0.77988531098367908</v>
      </c>
      <c r="BK692">
        <v>0.77988531098367908</v>
      </c>
      <c r="BL692">
        <v>0.81549402005549687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0.18450597994450313</v>
      </c>
      <c r="BX692">
        <v>0</v>
      </c>
      <c r="BY692">
        <v>0</v>
      </c>
      <c r="BZ692">
        <v>0</v>
      </c>
      <c r="CA692">
        <v>0.77988531098367908</v>
      </c>
      <c r="CB692">
        <v>0</v>
      </c>
      <c r="CC692">
        <v>0</v>
      </c>
      <c r="CD692">
        <v>0</v>
      </c>
      <c r="CE692">
        <v>0</v>
      </c>
      <c r="CF692">
        <v>0</v>
      </c>
    </row>
    <row r="693" spans="1:84" x14ac:dyDescent="0.25">
      <c r="A693" t="s">
        <v>128</v>
      </c>
      <c r="B693" t="s">
        <v>421</v>
      </c>
      <c r="C693" s="14" t="s">
        <v>72</v>
      </c>
      <c r="D693" s="12">
        <v>46236</v>
      </c>
      <c r="E693" s="14" t="s">
        <v>133</v>
      </c>
      <c r="F693" s="14" t="s">
        <v>133</v>
      </c>
      <c r="G693" s="14" t="s">
        <v>133</v>
      </c>
      <c r="H693" s="14" t="s">
        <v>75</v>
      </c>
      <c r="I693">
        <v>20</v>
      </c>
      <c r="J693">
        <v>8.1223093154331991</v>
      </c>
      <c r="K693">
        <v>46236</v>
      </c>
      <c r="L693" t="s">
        <v>461</v>
      </c>
      <c r="M693">
        <v>6.6499999999999995</v>
      </c>
      <c r="N693">
        <v>6.6499999999999995</v>
      </c>
      <c r="O693">
        <v>14.110338895173454</v>
      </c>
      <c r="P693">
        <v>0.81873267093686464</v>
      </c>
      <c r="Q693">
        <v>0.81873267093686464</v>
      </c>
      <c r="R693">
        <v>1.7372323987172467</v>
      </c>
      <c r="S693">
        <v>0.73723239871724666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0.18126732906313536</v>
      </c>
      <c r="AC693">
        <v>0</v>
      </c>
      <c r="AD693">
        <v>0</v>
      </c>
      <c r="AE693">
        <v>0</v>
      </c>
      <c r="AF693">
        <v>0</v>
      </c>
      <c r="AG693">
        <v>0.81873267093686464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1.2213998970576241</v>
      </c>
      <c r="AN693">
        <v>1.2213998970576241</v>
      </c>
      <c r="AO693">
        <v>2.1218554729584143</v>
      </c>
      <c r="AP693">
        <v>0.90045557590079017</v>
      </c>
      <c r="AQ693">
        <v>0</v>
      </c>
      <c r="AR693">
        <v>0</v>
      </c>
      <c r="AS693">
        <v>0</v>
      </c>
      <c r="AT693">
        <v>0</v>
      </c>
      <c r="AU693">
        <v>0.27860010294237592</v>
      </c>
      <c r="AV693">
        <v>0.22139989705762408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0.47128563313774707</v>
      </c>
      <c r="BK693">
        <v>0.47128563313774707</v>
      </c>
      <c r="BL693">
        <v>0.57562822379918144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0.42437177620081856</v>
      </c>
      <c r="BX693">
        <v>0</v>
      </c>
      <c r="BY693">
        <v>0</v>
      </c>
      <c r="BZ693">
        <v>0</v>
      </c>
      <c r="CA693">
        <v>0.47128563313774707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 spans="1:84" x14ac:dyDescent="0.25">
      <c r="A694" t="s">
        <v>128</v>
      </c>
      <c r="B694" t="s">
        <v>421</v>
      </c>
      <c r="C694" s="14" t="s">
        <v>72</v>
      </c>
      <c r="D694" s="12">
        <v>46249</v>
      </c>
      <c r="E694" s="14" t="s">
        <v>133</v>
      </c>
      <c r="F694" s="14" t="s">
        <v>133</v>
      </c>
      <c r="G694" s="14" t="s">
        <v>133</v>
      </c>
      <c r="H694" s="14" t="s">
        <v>73</v>
      </c>
      <c r="I694">
        <v>20</v>
      </c>
      <c r="J694">
        <v>9.9337595944147079</v>
      </c>
      <c r="K694">
        <v>46249</v>
      </c>
      <c r="L694" t="s">
        <v>498</v>
      </c>
      <c r="M694">
        <v>37.049999999999997</v>
      </c>
      <c r="N694">
        <v>37.049999999999997</v>
      </c>
      <c r="O694">
        <v>9.3051164215686271</v>
      </c>
      <c r="P694">
        <v>3.7297057219737324</v>
      </c>
      <c r="Q694">
        <v>3.7297057219737324</v>
      </c>
      <c r="R694">
        <v>0.93671649017965586</v>
      </c>
      <c r="S694">
        <v>0</v>
      </c>
      <c r="T694">
        <v>0</v>
      </c>
      <c r="U694">
        <v>2.4797057219737324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0.25</v>
      </c>
      <c r="AB694">
        <v>0</v>
      </c>
      <c r="AC694">
        <v>0</v>
      </c>
      <c r="AD694">
        <v>0</v>
      </c>
      <c r="AE694">
        <v>6.3283509820344142E-2</v>
      </c>
      <c r="AF694">
        <v>0</v>
      </c>
      <c r="AG694">
        <v>0.93671649017965586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0.26811766786544422</v>
      </c>
      <c r="AN694">
        <v>0.26811766786544422</v>
      </c>
      <c r="AO694">
        <v>0.25115024079807363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0.73188233213455578</v>
      </c>
      <c r="BA694">
        <v>0</v>
      </c>
      <c r="BB694">
        <v>1.6967427067370588E-2</v>
      </c>
      <c r="BC694">
        <v>0</v>
      </c>
      <c r="BD694">
        <v>0.25115024079807363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3.981680434875658</v>
      </c>
      <c r="BK694">
        <v>3.981680434875658</v>
      </c>
      <c r="BL694">
        <v>1.0675588723843292</v>
      </c>
      <c r="CC694">
        <v>0</v>
      </c>
      <c r="CD694">
        <v>0</v>
      </c>
      <c r="CE694">
        <v>0</v>
      </c>
    </row>
    <row r="695" spans="1:84" x14ac:dyDescent="0.25">
      <c r="A695" t="s">
        <v>128</v>
      </c>
      <c r="B695" t="s">
        <v>421</v>
      </c>
      <c r="C695" s="14" t="s">
        <v>72</v>
      </c>
      <c r="D695" s="12">
        <v>46227</v>
      </c>
      <c r="E695" s="14" t="s">
        <v>134</v>
      </c>
      <c r="F695" s="14" t="s">
        <v>134</v>
      </c>
      <c r="G695" s="14" t="s">
        <v>134</v>
      </c>
      <c r="H695" s="14" t="s">
        <v>73</v>
      </c>
      <c r="I695">
        <v>20</v>
      </c>
      <c r="J695">
        <v>3.8232104121475055</v>
      </c>
      <c r="K695">
        <v>46227</v>
      </c>
      <c r="L695" t="s">
        <v>157</v>
      </c>
      <c r="M695">
        <v>6.6499999999999995</v>
      </c>
      <c r="N695">
        <v>6.6499999999999995</v>
      </c>
      <c r="O695">
        <v>0.23529411764705879</v>
      </c>
      <c r="P695">
        <v>1.7393758865248226</v>
      </c>
      <c r="Q695">
        <v>1.7393758865248226</v>
      </c>
      <c r="R695">
        <v>6.1543596161868996E-2</v>
      </c>
      <c r="S695">
        <v>0</v>
      </c>
      <c r="T695">
        <v>0</v>
      </c>
      <c r="U695">
        <v>0.48937588652482256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0.25</v>
      </c>
      <c r="AB695">
        <v>0</v>
      </c>
      <c r="AC695">
        <v>0</v>
      </c>
      <c r="AD695">
        <v>0</v>
      </c>
      <c r="AE695">
        <v>0.938456403838131</v>
      </c>
      <c r="AF695">
        <v>0</v>
      </c>
      <c r="AG695">
        <v>6.1543596161868996E-2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0.57491885896954975</v>
      </c>
      <c r="AN695">
        <v>0.57491885896954975</v>
      </c>
      <c r="AO695">
        <v>3.538257408226448E-2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0.42508114103045025</v>
      </c>
      <c r="BA695">
        <v>0</v>
      </c>
      <c r="BB695">
        <v>0.53953628488728522</v>
      </c>
      <c r="BC695">
        <v>0</v>
      </c>
      <c r="BD695">
        <v>3.538257408226448E-2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28.262500000000003</v>
      </c>
      <c r="BK695">
        <v>28.262500000000003</v>
      </c>
      <c r="BL695">
        <v>16.248644251626899</v>
      </c>
      <c r="CC695">
        <v>0</v>
      </c>
      <c r="CD695">
        <v>0</v>
      </c>
      <c r="CE695">
        <v>0</v>
      </c>
    </row>
    <row r="696" spans="1:84" x14ac:dyDescent="0.25">
      <c r="A696" t="s">
        <v>128</v>
      </c>
      <c r="B696" t="s">
        <v>421</v>
      </c>
      <c r="C696" s="14" t="s">
        <v>72</v>
      </c>
      <c r="D696" s="12">
        <v>46225</v>
      </c>
      <c r="E696" s="14" t="s">
        <v>133</v>
      </c>
      <c r="F696" s="14" t="s">
        <v>133</v>
      </c>
      <c r="G696" s="14" t="s">
        <v>133</v>
      </c>
      <c r="H696" s="14" t="s">
        <v>73</v>
      </c>
      <c r="I696">
        <v>20</v>
      </c>
      <c r="J696">
        <v>9.9337595944147079</v>
      </c>
      <c r="K696">
        <v>46225</v>
      </c>
      <c r="L696" t="s">
        <v>429</v>
      </c>
      <c r="M696">
        <v>47.5</v>
      </c>
      <c r="N696">
        <v>47.5</v>
      </c>
      <c r="O696">
        <v>11.047624434389142</v>
      </c>
      <c r="P696">
        <v>4.7816740025304263</v>
      </c>
      <c r="Q696">
        <v>4.7816740025304263</v>
      </c>
      <c r="R696">
        <v>1.1121292325818624</v>
      </c>
      <c r="S696">
        <v>0</v>
      </c>
      <c r="T696">
        <v>0</v>
      </c>
      <c r="U696">
        <v>3.5316740025304263</v>
      </c>
      <c r="V696">
        <v>0</v>
      </c>
      <c r="W696">
        <v>0</v>
      </c>
      <c r="X696">
        <v>0</v>
      </c>
      <c r="Y696">
        <v>0.11212923258186236</v>
      </c>
      <c r="Z696">
        <v>0</v>
      </c>
      <c r="AA696">
        <v>0.13787076741813764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0.20913178093504647</v>
      </c>
      <c r="AN696">
        <v>0.20913178093504647</v>
      </c>
      <c r="AO696">
        <v>0.23258156703977143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0.7674184329602286</v>
      </c>
      <c r="BA696">
        <v>0</v>
      </c>
      <c r="BB696">
        <v>0</v>
      </c>
      <c r="BC696">
        <v>0</v>
      </c>
      <c r="BD696">
        <v>0.20913178093504647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4.2995668690674878</v>
      </c>
      <c r="BK696">
        <v>4.2995668690674878</v>
      </c>
      <c r="BL696">
        <v>0.8991760765774055</v>
      </c>
      <c r="CC696">
        <v>0</v>
      </c>
      <c r="CD696">
        <v>0</v>
      </c>
      <c r="CE696">
        <v>0</v>
      </c>
    </row>
    <row r="697" spans="1:84" x14ac:dyDescent="0.25">
      <c r="A697" t="s">
        <v>128</v>
      </c>
      <c r="B697" t="s">
        <v>421</v>
      </c>
      <c r="C697" s="14" t="s">
        <v>72</v>
      </c>
      <c r="D697" s="12">
        <v>46250</v>
      </c>
      <c r="E697" s="14" t="s">
        <v>420</v>
      </c>
      <c r="F697" s="14" t="s">
        <v>420</v>
      </c>
      <c r="G697" s="14" t="s">
        <v>420</v>
      </c>
      <c r="H697" s="14" t="s">
        <v>73</v>
      </c>
      <c r="I697">
        <v>20</v>
      </c>
      <c r="J697">
        <v>1.869884158948651</v>
      </c>
      <c r="K697">
        <v>46250</v>
      </c>
      <c r="L697" t="s">
        <v>501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 spans="1:84" x14ac:dyDescent="0.25">
      <c r="A698" t="s">
        <v>128</v>
      </c>
      <c r="B698" t="s">
        <v>421</v>
      </c>
      <c r="C698" s="14" t="s">
        <v>72</v>
      </c>
      <c r="D698" s="12">
        <v>46228</v>
      </c>
      <c r="E698" s="14" t="s">
        <v>133</v>
      </c>
      <c r="F698" s="14" t="s">
        <v>133</v>
      </c>
      <c r="G698" s="14" t="s">
        <v>133</v>
      </c>
      <c r="H698" s="14" t="s">
        <v>74</v>
      </c>
      <c r="I698">
        <v>20</v>
      </c>
      <c r="J698">
        <v>4.440974877503046</v>
      </c>
      <c r="K698">
        <v>46228</v>
      </c>
      <c r="L698" t="s">
        <v>436</v>
      </c>
      <c r="M698">
        <v>1.9</v>
      </c>
      <c r="N698">
        <v>1.9</v>
      </c>
      <c r="O698">
        <v>13.178414875565611</v>
      </c>
      <c r="P698">
        <v>0.42783398970009073</v>
      </c>
      <c r="Q698">
        <v>0.42783398970009073</v>
      </c>
      <c r="R698">
        <v>2.9674599021769792</v>
      </c>
      <c r="S698">
        <v>1.9674599021769792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0.57216601029990932</v>
      </c>
      <c r="AC698">
        <v>0</v>
      </c>
      <c r="AD698">
        <v>0</v>
      </c>
      <c r="AE698">
        <v>0</v>
      </c>
      <c r="AF698">
        <v>0</v>
      </c>
      <c r="AG698">
        <v>0.42783398970009073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2.3373551986858137</v>
      </c>
      <c r="AN698">
        <v>2.3373551986858137</v>
      </c>
      <c r="AO698">
        <v>6.9360078292450584</v>
      </c>
      <c r="BF698">
        <v>0</v>
      </c>
      <c r="BG698">
        <v>0</v>
      </c>
      <c r="BH698">
        <v>0</v>
      </c>
      <c r="BJ698">
        <v>0.14417515444310619</v>
      </c>
      <c r="BK698">
        <v>0.14417515444310619</v>
      </c>
      <c r="BL698">
        <v>0.33698854675892431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0.66301145324107569</v>
      </c>
      <c r="BX698">
        <v>0</v>
      </c>
      <c r="BY698">
        <v>0</v>
      </c>
      <c r="BZ698">
        <v>0</v>
      </c>
      <c r="CA698">
        <v>0.14417515444310619</v>
      </c>
      <c r="CB698">
        <v>0</v>
      </c>
      <c r="CC698">
        <v>0</v>
      </c>
      <c r="CD698">
        <v>0</v>
      </c>
      <c r="CE698">
        <v>0</v>
      </c>
      <c r="CF698">
        <v>0</v>
      </c>
    </row>
    <row r="699" spans="1:84" x14ac:dyDescent="0.25">
      <c r="A699" t="s">
        <v>128</v>
      </c>
      <c r="B699" t="s">
        <v>421</v>
      </c>
      <c r="C699" s="14" t="s">
        <v>72</v>
      </c>
      <c r="D699" s="12">
        <v>46249</v>
      </c>
      <c r="E699" s="14" t="s">
        <v>420</v>
      </c>
      <c r="F699" s="14" t="s">
        <v>420</v>
      </c>
      <c r="G699" s="14" t="s">
        <v>420</v>
      </c>
      <c r="H699" s="14" t="s">
        <v>75</v>
      </c>
      <c r="I699">
        <v>20</v>
      </c>
      <c r="J699">
        <v>1.4299114156666153</v>
      </c>
      <c r="K699">
        <v>46249</v>
      </c>
      <c r="L699" t="s">
        <v>500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</row>
    <row r="700" spans="1:84" x14ac:dyDescent="0.25">
      <c r="A700" t="s">
        <v>128</v>
      </c>
      <c r="B700" t="s">
        <v>421</v>
      </c>
      <c r="C700" s="14" t="s">
        <v>72</v>
      </c>
      <c r="D700" s="12">
        <v>46227</v>
      </c>
      <c r="E700" s="14" t="s">
        <v>134</v>
      </c>
      <c r="F700" s="14" t="s">
        <v>134</v>
      </c>
      <c r="G700" s="14" t="s">
        <v>134</v>
      </c>
      <c r="H700" s="14" t="s">
        <v>74</v>
      </c>
      <c r="I700">
        <v>20</v>
      </c>
      <c r="J700">
        <v>2.7731019522776572</v>
      </c>
      <c r="K700">
        <v>46227</v>
      </c>
      <c r="L700" t="s">
        <v>156</v>
      </c>
      <c r="M700">
        <v>0.95</v>
      </c>
      <c r="N700">
        <v>0.95</v>
      </c>
      <c r="O700">
        <v>2.0078431372549019</v>
      </c>
      <c r="P700">
        <v>0.34257665832290363</v>
      </c>
      <c r="Q700">
        <v>0.34257665832290363</v>
      </c>
      <c r="R700">
        <v>0.72404230778669421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0.38146564946379058</v>
      </c>
      <c r="AC700">
        <v>0.27595769221330579</v>
      </c>
      <c r="AD700">
        <v>0</v>
      </c>
      <c r="AE700">
        <v>0</v>
      </c>
      <c r="AF700">
        <v>0</v>
      </c>
      <c r="AG700">
        <v>0.34257665832290363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2.9190546866080602</v>
      </c>
      <c r="AN700">
        <v>2.9190546866080602</v>
      </c>
      <c r="AO700">
        <v>2.1135190918472655</v>
      </c>
      <c r="BF700">
        <v>0</v>
      </c>
      <c r="BG700">
        <v>0</v>
      </c>
      <c r="BH700">
        <v>0</v>
      </c>
      <c r="BJ700">
        <v>0.47314453125</v>
      </c>
      <c r="BK700">
        <v>0.47314453125</v>
      </c>
      <c r="BL700">
        <v>1.3811347613882863</v>
      </c>
      <c r="BM700">
        <v>0.38113476138828628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0.65742334167709637</v>
      </c>
      <c r="BW700">
        <v>0</v>
      </c>
      <c r="BX700">
        <v>0</v>
      </c>
      <c r="BY700">
        <v>0</v>
      </c>
      <c r="BZ700">
        <v>0</v>
      </c>
      <c r="CA700">
        <v>0.47314453125</v>
      </c>
      <c r="CB700">
        <v>0</v>
      </c>
      <c r="CC700">
        <v>0</v>
      </c>
      <c r="CD700">
        <v>0</v>
      </c>
      <c r="CE700">
        <v>0</v>
      </c>
      <c r="CF700">
        <v>0</v>
      </c>
    </row>
    <row r="701" spans="1:84" x14ac:dyDescent="0.25">
      <c r="A701" t="s">
        <v>128</v>
      </c>
      <c r="B701" t="s">
        <v>421</v>
      </c>
      <c r="C701" s="14" t="s">
        <v>72</v>
      </c>
      <c r="D701" s="12">
        <v>46228</v>
      </c>
      <c r="E701" s="14" t="s">
        <v>133</v>
      </c>
      <c r="F701" s="14" t="s">
        <v>133</v>
      </c>
      <c r="G701" s="14" t="s">
        <v>133</v>
      </c>
      <c r="H701" s="14" t="s">
        <v>75</v>
      </c>
      <c r="I701">
        <v>20</v>
      </c>
      <c r="J701">
        <v>8.1223093154331991</v>
      </c>
      <c r="K701">
        <v>46228</v>
      </c>
      <c r="L701" t="s">
        <v>437</v>
      </c>
      <c r="M701">
        <v>6.6499999999999995</v>
      </c>
      <c r="N701">
        <v>6.6499999999999995</v>
      </c>
      <c r="O701">
        <v>14.246687641402699</v>
      </c>
      <c r="P701">
        <v>0.81873267093686464</v>
      </c>
      <c r="Q701">
        <v>0.81873267093686464</v>
      </c>
      <c r="R701">
        <v>1.754019342052459</v>
      </c>
      <c r="S701">
        <v>0.75401934205245902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0.18126732906313536</v>
      </c>
      <c r="AC701">
        <v>0</v>
      </c>
      <c r="AD701">
        <v>0</v>
      </c>
      <c r="AE701">
        <v>0</v>
      </c>
      <c r="AF701">
        <v>0</v>
      </c>
      <c r="AG701">
        <v>0.81873267093686464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1.2213998970576241</v>
      </c>
      <c r="AN701">
        <v>1.2213998970576241</v>
      </c>
      <c r="AO701">
        <v>2.1423590438199551</v>
      </c>
      <c r="AP701">
        <v>0.92095914676233104</v>
      </c>
      <c r="AQ701">
        <v>0</v>
      </c>
      <c r="AR701">
        <v>0</v>
      </c>
      <c r="AS701">
        <v>0</v>
      </c>
      <c r="AT701">
        <v>0</v>
      </c>
      <c r="AU701">
        <v>0.27860010294237592</v>
      </c>
      <c r="AV701">
        <v>0.22139989705762408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0.46677516678854158</v>
      </c>
      <c r="BK701">
        <v>0.46677516678854158</v>
      </c>
      <c r="BL701">
        <v>0.57011914066458003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0.42988085933541997</v>
      </c>
      <c r="BX701">
        <v>0</v>
      </c>
      <c r="BY701">
        <v>0</v>
      </c>
      <c r="BZ701">
        <v>0</v>
      </c>
      <c r="CA701">
        <v>0.46677516678854158</v>
      </c>
      <c r="CB701">
        <v>0</v>
      </c>
      <c r="CC701">
        <v>0</v>
      </c>
      <c r="CD701">
        <v>0</v>
      </c>
      <c r="CE701">
        <v>0</v>
      </c>
      <c r="CF701">
        <v>0</v>
      </c>
    </row>
    <row r="702" spans="1:84" x14ac:dyDescent="0.25">
      <c r="A702" t="s">
        <v>128</v>
      </c>
      <c r="B702" t="s">
        <v>421</v>
      </c>
      <c r="C702" s="14" t="s">
        <v>72</v>
      </c>
      <c r="D702" s="12">
        <v>46249</v>
      </c>
      <c r="E702" s="14" t="s">
        <v>420</v>
      </c>
      <c r="F702" s="14" t="s">
        <v>420</v>
      </c>
      <c r="G702" s="14" t="s">
        <v>420</v>
      </c>
      <c r="H702" s="14" t="s">
        <v>74</v>
      </c>
      <c r="I702">
        <v>20</v>
      </c>
      <c r="J702">
        <v>0</v>
      </c>
      <c r="K702">
        <v>46249</v>
      </c>
      <c r="L702" t="s">
        <v>499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F702">
        <v>0</v>
      </c>
    </row>
    <row r="703" spans="1:84" x14ac:dyDescent="0.25">
      <c r="A703" t="s">
        <v>128</v>
      </c>
      <c r="B703" t="s">
        <v>421</v>
      </c>
      <c r="C703" s="14" t="s">
        <v>72</v>
      </c>
      <c r="D703" s="12">
        <v>46226</v>
      </c>
      <c r="E703" s="14" t="s">
        <v>134</v>
      </c>
      <c r="F703" s="14" t="s">
        <v>134</v>
      </c>
      <c r="G703" s="14" t="s">
        <v>134</v>
      </c>
      <c r="H703" s="14" t="s">
        <v>75</v>
      </c>
      <c r="I703">
        <v>20</v>
      </c>
      <c r="J703">
        <v>2.4468546637744035</v>
      </c>
      <c r="K703">
        <v>46226</v>
      </c>
      <c r="L703" t="s">
        <v>434</v>
      </c>
      <c r="M703">
        <v>6.6499999999999995</v>
      </c>
      <c r="N703">
        <v>6.6499999999999995</v>
      </c>
      <c r="O703">
        <v>1.7716262975778552</v>
      </c>
      <c r="P703">
        <v>2.7177748226950351</v>
      </c>
      <c r="Q703">
        <v>2.7177748226950351</v>
      </c>
      <c r="R703">
        <v>0.72404230778669432</v>
      </c>
      <c r="S703">
        <v>0</v>
      </c>
      <c r="T703">
        <v>0</v>
      </c>
      <c r="U703">
        <v>1.4677748226950351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0.25</v>
      </c>
      <c r="AB703">
        <v>0</v>
      </c>
      <c r="AC703">
        <v>0</v>
      </c>
      <c r="AD703">
        <v>0</v>
      </c>
      <c r="AE703">
        <v>0.27595769221330568</v>
      </c>
      <c r="AF703">
        <v>0</v>
      </c>
      <c r="AG703">
        <v>0.72404230778669432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0.36794806974051186</v>
      </c>
      <c r="AN703">
        <v>0.36794806974051186</v>
      </c>
      <c r="AO703">
        <v>0.26640996956057977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0.63205193025948814</v>
      </c>
      <c r="BA703">
        <v>0</v>
      </c>
      <c r="BB703">
        <v>0.10153810017993209</v>
      </c>
      <c r="BC703">
        <v>0</v>
      </c>
      <c r="BD703">
        <v>0.26640996956057977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3.7536132812499985</v>
      </c>
      <c r="BK703">
        <v>3.7536132812499985</v>
      </c>
      <c r="BL703">
        <v>1.3811347613882861</v>
      </c>
      <c r="CC703">
        <v>0</v>
      </c>
      <c r="CD703">
        <v>0</v>
      </c>
      <c r="CE703">
        <v>0</v>
      </c>
    </row>
    <row r="704" spans="1:84" x14ac:dyDescent="0.25">
      <c r="A704" t="s">
        <v>128</v>
      </c>
      <c r="B704" t="s">
        <v>421</v>
      </c>
      <c r="C704" s="14" t="s">
        <v>72</v>
      </c>
      <c r="D704" s="12">
        <v>46224</v>
      </c>
      <c r="E704" s="14" t="s">
        <v>133</v>
      </c>
      <c r="F704" s="14" t="s">
        <v>133</v>
      </c>
      <c r="G704" s="14" t="s">
        <v>133</v>
      </c>
      <c r="H704" s="14" t="s">
        <v>75</v>
      </c>
      <c r="I704">
        <v>20</v>
      </c>
      <c r="J704">
        <v>8.0638754354660556</v>
      </c>
      <c r="K704">
        <v>46224</v>
      </c>
      <c r="L704" t="s">
        <v>428</v>
      </c>
      <c r="M704">
        <v>6.6499999999999995</v>
      </c>
      <c r="N704">
        <v>6.6499999999999995</v>
      </c>
      <c r="O704">
        <v>10.080191836349917</v>
      </c>
      <c r="P704">
        <v>0.82466551637843588</v>
      </c>
      <c r="Q704">
        <v>0.82466551637843588</v>
      </c>
      <c r="R704">
        <v>1.2500430986341653</v>
      </c>
      <c r="S704">
        <v>0.2500430986341653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0.17533448362156412</v>
      </c>
      <c r="AC704">
        <v>0</v>
      </c>
      <c r="AD704">
        <v>0</v>
      </c>
      <c r="AE704">
        <v>0</v>
      </c>
      <c r="AF704">
        <v>0</v>
      </c>
      <c r="AG704">
        <v>0.82466551637843588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1.2126128474385047</v>
      </c>
      <c r="AN704">
        <v>1.2126128474385047</v>
      </c>
      <c r="AO704">
        <v>1.5158183212556267</v>
      </c>
      <c r="AP704">
        <v>0.30320547381712193</v>
      </c>
      <c r="AQ704">
        <v>0</v>
      </c>
      <c r="AR704">
        <v>0</v>
      </c>
      <c r="AS704">
        <v>0</v>
      </c>
      <c r="AT704">
        <v>0</v>
      </c>
      <c r="AU704">
        <v>0.28738715256149527</v>
      </c>
      <c r="AV704">
        <v>0.21261284743850473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0.65970966703427292</v>
      </c>
      <c r="BK704">
        <v>0.65970966703427292</v>
      </c>
      <c r="BL704">
        <v>0.79997241782513751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0.20002758217486249</v>
      </c>
      <c r="BX704">
        <v>0</v>
      </c>
      <c r="BY704">
        <v>0</v>
      </c>
      <c r="BZ704">
        <v>0</v>
      </c>
      <c r="CA704">
        <v>0.65970966703427292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 spans="1:84" x14ac:dyDescent="0.25">
      <c r="A705" t="s">
        <v>128</v>
      </c>
      <c r="B705" t="s">
        <v>421</v>
      </c>
      <c r="C705" s="14" t="s">
        <v>72</v>
      </c>
      <c r="D705" s="12">
        <v>46249</v>
      </c>
      <c r="E705" s="14" t="s">
        <v>420</v>
      </c>
      <c r="F705" s="14" t="s">
        <v>420</v>
      </c>
      <c r="G705" s="14" t="s">
        <v>420</v>
      </c>
      <c r="H705" s="14" t="s">
        <v>73</v>
      </c>
      <c r="I705">
        <v>20</v>
      </c>
      <c r="J705">
        <v>1.869884158948651</v>
      </c>
      <c r="K705">
        <v>46249</v>
      </c>
      <c r="L705" t="s">
        <v>498</v>
      </c>
      <c r="M705">
        <v>2.8499999999999996</v>
      </c>
      <c r="N705">
        <v>2.8499999999999996</v>
      </c>
      <c r="O705">
        <v>0</v>
      </c>
      <c r="P705">
        <v>1.5241585883065731</v>
      </c>
      <c r="Q705">
        <v>1.5241585883065731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0.65609970489426361</v>
      </c>
      <c r="AN705">
        <v>0.65609970489426361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</row>
    <row r="706" spans="1:84" x14ac:dyDescent="0.25">
      <c r="A706" t="s">
        <v>128</v>
      </c>
      <c r="B706" t="s">
        <v>421</v>
      </c>
      <c r="C706" s="14" t="s">
        <v>72</v>
      </c>
      <c r="D706" s="12">
        <v>46227</v>
      </c>
      <c r="E706" s="14" t="s">
        <v>134</v>
      </c>
      <c r="F706" s="14" t="s">
        <v>134</v>
      </c>
      <c r="G706" s="14" t="s">
        <v>134</v>
      </c>
      <c r="H706" s="14" t="s">
        <v>75</v>
      </c>
      <c r="I706">
        <v>20</v>
      </c>
      <c r="J706">
        <v>2.4468546637744031</v>
      </c>
      <c r="K706">
        <v>46227</v>
      </c>
      <c r="L706" t="s">
        <v>155</v>
      </c>
      <c r="M706">
        <v>1.9</v>
      </c>
      <c r="N706">
        <v>1.9</v>
      </c>
      <c r="O706">
        <v>1.7716262975778552</v>
      </c>
      <c r="P706">
        <v>0.77650709219858161</v>
      </c>
      <c r="Q706">
        <v>0.77650709219858161</v>
      </c>
      <c r="R706">
        <v>0.72404230778669443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0.22349290780141839</v>
      </c>
      <c r="AD706">
        <v>0</v>
      </c>
      <c r="AE706">
        <v>5.2464784411887178E-2</v>
      </c>
      <c r="AF706">
        <v>0</v>
      </c>
      <c r="AG706">
        <v>0.72404230778669443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1.2878182440917911</v>
      </c>
      <c r="AN706">
        <v>1.2878182440917911</v>
      </c>
      <c r="AO706">
        <v>0.93243489346202912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0.28781824409179113</v>
      </c>
      <c r="AY706">
        <v>0</v>
      </c>
      <c r="AZ706">
        <v>0</v>
      </c>
      <c r="BA706">
        <v>0</v>
      </c>
      <c r="BB706">
        <v>6.7565106537970876E-2</v>
      </c>
      <c r="BC706">
        <v>0</v>
      </c>
      <c r="BD706">
        <v>0.93243489346202912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1.0724609374999996</v>
      </c>
      <c r="BK706">
        <v>1.0724609374999996</v>
      </c>
      <c r="BL706">
        <v>1.3811347613882858</v>
      </c>
      <c r="BM706">
        <v>0.30867382388828624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7.24609374999996E-2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0</v>
      </c>
    </row>
    <row r="707" spans="1:84" x14ac:dyDescent="0.25">
      <c r="A707" t="s">
        <v>128</v>
      </c>
      <c r="B707" t="s">
        <v>421</v>
      </c>
      <c r="C707" s="14" t="s">
        <v>72</v>
      </c>
      <c r="D707" s="12">
        <v>46248</v>
      </c>
      <c r="E707" s="14" t="s">
        <v>420</v>
      </c>
      <c r="F707" s="14" t="s">
        <v>420</v>
      </c>
      <c r="G707" s="14" t="s">
        <v>420</v>
      </c>
      <c r="H707" s="14" t="s">
        <v>75</v>
      </c>
      <c r="I707">
        <v>20</v>
      </c>
      <c r="J707">
        <v>1.4299114156666153</v>
      </c>
      <c r="K707">
        <v>46248</v>
      </c>
      <c r="L707" t="s">
        <v>497</v>
      </c>
      <c r="M707">
        <v>0</v>
      </c>
      <c r="N707">
        <v>0</v>
      </c>
      <c r="O707">
        <v>0.16289592760180993</v>
      </c>
      <c r="P707">
        <v>0</v>
      </c>
      <c r="Q707">
        <v>0</v>
      </c>
      <c r="R707">
        <v>0.11392029311540877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0.11392029311540877</v>
      </c>
      <c r="AC707">
        <v>0.88607970688459126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8.7780673017311681</v>
      </c>
      <c r="BM707">
        <v>7.7780673017311681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</row>
    <row r="708" spans="1:84" x14ac:dyDescent="0.25">
      <c r="A708" t="s">
        <v>128</v>
      </c>
      <c r="B708" t="s">
        <v>421</v>
      </c>
      <c r="C708" s="14" t="s">
        <v>72</v>
      </c>
      <c r="D708" s="12">
        <v>46228</v>
      </c>
      <c r="E708" s="14" t="s">
        <v>134</v>
      </c>
      <c r="F708" s="14" t="s">
        <v>134</v>
      </c>
      <c r="G708" s="14" t="s">
        <v>134</v>
      </c>
      <c r="H708" s="14" t="s">
        <v>73</v>
      </c>
      <c r="I708">
        <v>20</v>
      </c>
      <c r="J708">
        <v>0</v>
      </c>
      <c r="K708">
        <v>46228</v>
      </c>
      <c r="L708" t="s">
        <v>435</v>
      </c>
      <c r="M708">
        <v>0.95</v>
      </c>
      <c r="N708">
        <v>0.95</v>
      </c>
      <c r="O708">
        <v>0.23529411764705879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0.24767801857585137</v>
      </c>
      <c r="AK708">
        <v>0</v>
      </c>
      <c r="AL708">
        <v>0</v>
      </c>
      <c r="AM708">
        <v>0</v>
      </c>
      <c r="AN708">
        <v>0</v>
      </c>
      <c r="AO708">
        <v>0.24767801857585137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0.75232198142414863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I708">
        <v>0</v>
      </c>
      <c r="BJ708">
        <v>4.0375000000000005</v>
      </c>
      <c r="BK708">
        <v>4.0375000000000005</v>
      </c>
      <c r="BL708">
        <v>0</v>
      </c>
      <c r="CC708">
        <v>0.75232198142414863</v>
      </c>
      <c r="CD708">
        <v>0.24767801857585137</v>
      </c>
    </row>
    <row r="709" spans="1:84" x14ac:dyDescent="0.25">
      <c r="A709" t="s">
        <v>128</v>
      </c>
      <c r="B709" t="s">
        <v>421</v>
      </c>
      <c r="C709" s="14" t="s">
        <v>72</v>
      </c>
      <c r="D709" s="12">
        <v>46248</v>
      </c>
      <c r="E709" s="14" t="s">
        <v>420</v>
      </c>
      <c r="F709" s="14" t="s">
        <v>420</v>
      </c>
      <c r="G709" s="14" t="s">
        <v>420</v>
      </c>
      <c r="H709" s="14" t="s">
        <v>74</v>
      </c>
      <c r="I709">
        <v>20</v>
      </c>
      <c r="J709">
        <v>0</v>
      </c>
      <c r="K709">
        <v>46248</v>
      </c>
      <c r="L709" t="s">
        <v>496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F709">
        <v>0</v>
      </c>
    </row>
    <row r="710" spans="1:84" x14ac:dyDescent="0.25">
      <c r="A710" t="s">
        <v>128</v>
      </c>
      <c r="B710" t="s">
        <v>421</v>
      </c>
      <c r="C710" s="14" t="s">
        <v>72</v>
      </c>
      <c r="D710" s="12">
        <v>46229</v>
      </c>
      <c r="E710" s="14" t="s">
        <v>133</v>
      </c>
      <c r="F710" s="14" t="s">
        <v>133</v>
      </c>
      <c r="G710" s="14" t="s">
        <v>133</v>
      </c>
      <c r="H710" s="14" t="s">
        <v>74</v>
      </c>
      <c r="I710">
        <v>20</v>
      </c>
      <c r="J710">
        <v>4.440974877503046</v>
      </c>
      <c r="K710">
        <v>46229</v>
      </c>
      <c r="L710" t="s">
        <v>439</v>
      </c>
      <c r="M710">
        <v>3.8</v>
      </c>
      <c r="N710">
        <v>3.8</v>
      </c>
      <c r="O710">
        <v>14.023727375565608</v>
      </c>
      <c r="P710">
        <v>0.85566797940018147</v>
      </c>
      <c r="Q710">
        <v>0.85566797940018147</v>
      </c>
      <c r="R710">
        <v>3.1578038071340089</v>
      </c>
      <c r="S710">
        <v>2.1578038071340089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0.14433202059981853</v>
      </c>
      <c r="AC710">
        <v>0</v>
      </c>
      <c r="AD710">
        <v>0</v>
      </c>
      <c r="AE710">
        <v>0</v>
      </c>
      <c r="AF710">
        <v>0</v>
      </c>
      <c r="AG710">
        <v>0.85566797940018147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1.1686775993429068</v>
      </c>
      <c r="AN710">
        <v>1.1686775993429068</v>
      </c>
      <c r="AO710">
        <v>3.6904545725172655</v>
      </c>
      <c r="AP710">
        <v>2.5217769731743589</v>
      </c>
      <c r="AQ710">
        <v>0</v>
      </c>
      <c r="AR710">
        <v>0</v>
      </c>
      <c r="AS710">
        <v>0</v>
      </c>
      <c r="AT710">
        <v>0</v>
      </c>
      <c r="AU710">
        <v>0.33132240065709317</v>
      </c>
      <c r="AV710">
        <v>0.16867759934290683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0.27096932921136008</v>
      </c>
      <c r="BK710">
        <v>0.27096932921136008</v>
      </c>
      <c r="BL710">
        <v>0.31667578515829009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0.68332421484170991</v>
      </c>
      <c r="BX710">
        <v>0</v>
      </c>
      <c r="BY710">
        <v>0</v>
      </c>
      <c r="BZ710">
        <v>0</v>
      </c>
      <c r="CA710">
        <v>0.27096932921136008</v>
      </c>
      <c r="CB710">
        <v>0</v>
      </c>
      <c r="CC710">
        <v>0</v>
      </c>
      <c r="CD710">
        <v>0</v>
      </c>
      <c r="CE710">
        <v>0</v>
      </c>
      <c r="CF710">
        <v>0</v>
      </c>
    </row>
    <row r="711" spans="1:84" x14ac:dyDescent="0.25">
      <c r="A711" t="s">
        <v>128</v>
      </c>
      <c r="B711" t="s">
        <v>421</v>
      </c>
      <c r="C711" s="14" t="s">
        <v>72</v>
      </c>
      <c r="D711" s="12">
        <v>46224</v>
      </c>
      <c r="E711" s="14" t="s">
        <v>133</v>
      </c>
      <c r="F711" s="14" t="s">
        <v>133</v>
      </c>
      <c r="G711" s="14" t="s">
        <v>133</v>
      </c>
      <c r="H711" s="14" t="s">
        <v>74</v>
      </c>
      <c r="I711">
        <v>20</v>
      </c>
      <c r="J711">
        <v>4.440974877503046</v>
      </c>
      <c r="K711">
        <v>46224</v>
      </c>
      <c r="L711" t="s">
        <v>427</v>
      </c>
      <c r="M711">
        <v>3.8</v>
      </c>
      <c r="N711">
        <v>3.8</v>
      </c>
      <c r="O711">
        <v>10.308623208898943</v>
      </c>
      <c r="P711">
        <v>0.85566797940018147</v>
      </c>
      <c r="Q711">
        <v>0.85566797940018147</v>
      </c>
      <c r="R711">
        <v>2.321252313567467</v>
      </c>
      <c r="S711">
        <v>1.321252313567467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0.14433202059981853</v>
      </c>
      <c r="AC711">
        <v>0</v>
      </c>
      <c r="AD711">
        <v>0</v>
      </c>
      <c r="AE711">
        <v>0</v>
      </c>
      <c r="AF711">
        <v>0</v>
      </c>
      <c r="AG711">
        <v>0.85566797940018147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1.1686775993429068</v>
      </c>
      <c r="AN711">
        <v>1.1686775993429068</v>
      </c>
      <c r="AO711">
        <v>2.7127955812891957</v>
      </c>
      <c r="AP711">
        <v>1.5441179819462889</v>
      </c>
      <c r="AQ711">
        <v>0</v>
      </c>
      <c r="AR711">
        <v>0</v>
      </c>
      <c r="AS711">
        <v>0</v>
      </c>
      <c r="AT711">
        <v>0</v>
      </c>
      <c r="AU711">
        <v>0.33132240065709317</v>
      </c>
      <c r="AV711">
        <v>0.16867759934290683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0.36862342555304967</v>
      </c>
      <c r="BK711">
        <v>0.36862342555304967</v>
      </c>
      <c r="BL711">
        <v>0.43080194003689687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0.56919805996310313</v>
      </c>
      <c r="BX711">
        <v>0</v>
      </c>
      <c r="BY711">
        <v>0</v>
      </c>
      <c r="BZ711">
        <v>0</v>
      </c>
      <c r="CA711">
        <v>0.36862342555304967</v>
      </c>
      <c r="CB711">
        <v>0</v>
      </c>
      <c r="CC711">
        <v>0</v>
      </c>
      <c r="CD711">
        <v>0</v>
      </c>
      <c r="CE711">
        <v>0</v>
      </c>
      <c r="CF711">
        <v>0</v>
      </c>
    </row>
    <row r="712" spans="1:84" x14ac:dyDescent="0.25">
      <c r="A712" t="s">
        <v>128</v>
      </c>
      <c r="B712" t="s">
        <v>421</v>
      </c>
      <c r="C712" s="14" t="s">
        <v>72</v>
      </c>
      <c r="D712" s="12">
        <v>46248</v>
      </c>
      <c r="E712" s="14" t="s">
        <v>420</v>
      </c>
      <c r="F712" s="14" t="s">
        <v>420</v>
      </c>
      <c r="G712" s="14" t="s">
        <v>420</v>
      </c>
      <c r="H712" s="14" t="s">
        <v>73</v>
      </c>
      <c r="I712">
        <v>20</v>
      </c>
      <c r="J712">
        <v>1.869884158948651</v>
      </c>
      <c r="K712">
        <v>46248</v>
      </c>
      <c r="L712" t="s">
        <v>495</v>
      </c>
      <c r="M712">
        <v>0.95</v>
      </c>
      <c r="N712">
        <v>0.95</v>
      </c>
      <c r="O712">
        <v>0.92307692307692291</v>
      </c>
      <c r="P712">
        <v>0.50805286276885775</v>
      </c>
      <c r="Q712">
        <v>0.50805286276885775</v>
      </c>
      <c r="R712">
        <v>0.49365460350010459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0.49194713723114225</v>
      </c>
      <c r="AD712">
        <v>0</v>
      </c>
      <c r="AE712">
        <v>1.4398259268753155E-2</v>
      </c>
      <c r="AF712">
        <v>0</v>
      </c>
      <c r="AG712">
        <v>0.49365460350010459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1.9682991146827906</v>
      </c>
      <c r="AN712">
        <v>1.9682991146827906</v>
      </c>
      <c r="AO712">
        <v>0.97165991902833992</v>
      </c>
      <c r="BF712">
        <v>0</v>
      </c>
      <c r="BG712">
        <v>0</v>
      </c>
      <c r="BH712">
        <v>0</v>
      </c>
      <c r="BJ712">
        <v>1.0291666666666668</v>
      </c>
      <c r="BK712">
        <v>1.0291666666666668</v>
      </c>
      <c r="BL712">
        <v>2.025707838861039</v>
      </c>
      <c r="BM712">
        <v>0.99654117219437222</v>
      </c>
      <c r="BN712">
        <v>0</v>
      </c>
      <c r="BO712">
        <v>0</v>
      </c>
      <c r="BP712">
        <v>0</v>
      </c>
      <c r="BQ712">
        <v>0</v>
      </c>
      <c r="BR712">
        <v>0.47083333333333321</v>
      </c>
      <c r="BS712">
        <v>2.9166666666666785E-2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</row>
    <row r="713" spans="1:84" x14ac:dyDescent="0.25">
      <c r="A713" t="s">
        <v>128</v>
      </c>
      <c r="B713" t="s">
        <v>421</v>
      </c>
      <c r="C713" s="14" t="s">
        <v>72</v>
      </c>
      <c r="D713" s="12">
        <v>46229</v>
      </c>
      <c r="E713" s="14" t="s">
        <v>133</v>
      </c>
      <c r="F713" s="14" t="s">
        <v>133</v>
      </c>
      <c r="G713" s="14" t="s">
        <v>133</v>
      </c>
      <c r="H713" s="14" t="s">
        <v>73</v>
      </c>
      <c r="I713">
        <v>20</v>
      </c>
      <c r="J713">
        <v>9.9337595944147079</v>
      </c>
      <c r="K713">
        <v>46229</v>
      </c>
      <c r="L713" t="s">
        <v>438</v>
      </c>
      <c r="M713">
        <v>18.05</v>
      </c>
      <c r="N713">
        <v>18.05</v>
      </c>
      <c r="O713">
        <v>12.967936934389144</v>
      </c>
      <c r="P713">
        <v>1.817036120961562</v>
      </c>
      <c r="Q713">
        <v>1.817036120961562</v>
      </c>
      <c r="R713">
        <v>1.3054409874867934</v>
      </c>
      <c r="S713">
        <v>0</v>
      </c>
      <c r="T713">
        <v>0</v>
      </c>
      <c r="U713">
        <v>0.51159513347476859</v>
      </c>
      <c r="V713">
        <v>0</v>
      </c>
      <c r="W713">
        <v>5.5440987486793381E-2</v>
      </c>
      <c r="X713">
        <v>0</v>
      </c>
      <c r="Y713">
        <v>0.25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0.55034679193433278</v>
      </c>
      <c r="AN713">
        <v>0.55034679193433278</v>
      </c>
      <c r="AO713">
        <v>0.71844525952294425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0.28155474047705575</v>
      </c>
      <c r="BA713">
        <v>0</v>
      </c>
      <c r="BB713">
        <v>0</v>
      </c>
      <c r="BC713">
        <v>0</v>
      </c>
      <c r="BD713">
        <v>0.55034679193433278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1.3918944926493235</v>
      </c>
      <c r="BK713">
        <v>1.3918944926493235</v>
      </c>
      <c r="BL713">
        <v>0.76602466874062103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0.39189449264932352</v>
      </c>
      <c r="BV713">
        <v>0</v>
      </c>
      <c r="BW713">
        <v>0</v>
      </c>
      <c r="BX713">
        <v>0</v>
      </c>
      <c r="BY713">
        <v>0.23397533125937897</v>
      </c>
      <c r="BZ713">
        <v>0</v>
      </c>
      <c r="CA713">
        <v>0.76602466874062103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 spans="1:84" x14ac:dyDescent="0.25">
      <c r="A714" t="s">
        <v>128</v>
      </c>
      <c r="B714" t="s">
        <v>421</v>
      </c>
      <c r="C714" s="14" t="s">
        <v>72</v>
      </c>
      <c r="D714" s="12">
        <v>46229</v>
      </c>
      <c r="E714" s="14" t="s">
        <v>133</v>
      </c>
      <c r="F714" s="14" t="s">
        <v>133</v>
      </c>
      <c r="G714" s="14" t="s">
        <v>133</v>
      </c>
      <c r="H714" s="14" t="s">
        <v>75</v>
      </c>
      <c r="I714">
        <v>20</v>
      </c>
      <c r="J714">
        <v>8.1223093154331991</v>
      </c>
      <c r="K714">
        <v>46229</v>
      </c>
      <c r="L714" t="s">
        <v>440</v>
      </c>
      <c r="M714">
        <v>7.6</v>
      </c>
      <c r="N714">
        <v>7.6</v>
      </c>
      <c r="O714">
        <v>14.013925810708892</v>
      </c>
      <c r="P714">
        <v>0.93569448107070241</v>
      </c>
      <c r="Q714">
        <v>0.93569448107070241</v>
      </c>
      <c r="R714">
        <v>1.7253622420019186</v>
      </c>
      <c r="S714">
        <v>0.72536224200191857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6.4305518929297589E-2</v>
      </c>
      <c r="AC714">
        <v>0</v>
      </c>
      <c r="AD714">
        <v>0</v>
      </c>
      <c r="AE714">
        <v>0</v>
      </c>
      <c r="AF714">
        <v>0</v>
      </c>
      <c r="AG714">
        <v>0.93569448107070241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1.068724909925421</v>
      </c>
      <c r="AN714">
        <v>1.068724909925421</v>
      </c>
      <c r="AO714">
        <v>1.8439376066722228</v>
      </c>
      <c r="AP714">
        <v>0.77521269674680182</v>
      </c>
      <c r="AQ714">
        <v>0</v>
      </c>
      <c r="AR714">
        <v>0</v>
      </c>
      <c r="AS714">
        <v>0</v>
      </c>
      <c r="AT714">
        <v>0</v>
      </c>
      <c r="AU714">
        <v>0.43127509007457898</v>
      </c>
      <c r="AV714">
        <v>6.8724909925421018E-2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0.54231769902709048</v>
      </c>
      <c r="BK714">
        <v>0.54231769902709048</v>
      </c>
      <c r="BL714">
        <v>0.57958843404368876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0.42041156595631124</v>
      </c>
      <c r="BX714">
        <v>0</v>
      </c>
      <c r="BY714">
        <v>0</v>
      </c>
      <c r="BZ714">
        <v>0</v>
      </c>
      <c r="CA714">
        <v>0.54231769902709048</v>
      </c>
      <c r="CB714">
        <v>0</v>
      </c>
      <c r="CC714">
        <v>0</v>
      </c>
      <c r="CD714">
        <v>0</v>
      </c>
      <c r="CE714">
        <v>0</v>
      </c>
      <c r="CF714">
        <v>0</v>
      </c>
    </row>
    <row r="715" spans="1:84" x14ac:dyDescent="0.25">
      <c r="A715" t="s">
        <v>128</v>
      </c>
      <c r="B715" t="s">
        <v>421</v>
      </c>
      <c r="C715" s="14" t="s">
        <v>72</v>
      </c>
      <c r="D715" s="12">
        <v>46250</v>
      </c>
      <c r="E715" s="14" t="s">
        <v>420</v>
      </c>
      <c r="F715" s="14" t="s">
        <v>420</v>
      </c>
      <c r="G715" s="14" t="s">
        <v>420</v>
      </c>
      <c r="H715" s="14" t="s">
        <v>74</v>
      </c>
      <c r="I715">
        <v>20</v>
      </c>
      <c r="J715">
        <v>0</v>
      </c>
      <c r="K715">
        <v>46250</v>
      </c>
      <c r="L715" t="s">
        <v>502</v>
      </c>
      <c r="M715">
        <v>0.95</v>
      </c>
      <c r="N715">
        <v>0.95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0</v>
      </c>
      <c r="CF715">
        <v>0</v>
      </c>
    </row>
    <row r="716" spans="1:84" x14ac:dyDescent="0.25">
      <c r="A716" t="s">
        <v>128</v>
      </c>
      <c r="B716" t="s">
        <v>421</v>
      </c>
      <c r="C716" s="14" t="s">
        <v>72</v>
      </c>
      <c r="D716" s="12">
        <v>46225</v>
      </c>
      <c r="E716" s="14" t="s">
        <v>133</v>
      </c>
      <c r="F716" s="14" t="s">
        <v>133</v>
      </c>
      <c r="G716" s="14" t="s">
        <v>133</v>
      </c>
      <c r="H716" s="14" t="s">
        <v>74</v>
      </c>
      <c r="I716">
        <v>20</v>
      </c>
      <c r="J716">
        <v>4.440974877503046</v>
      </c>
      <c r="K716">
        <v>46225</v>
      </c>
      <c r="L716" t="s">
        <v>430</v>
      </c>
      <c r="M716">
        <v>4.75</v>
      </c>
      <c r="N716">
        <v>4.75</v>
      </c>
      <c r="O716">
        <v>11.42887443438914</v>
      </c>
      <c r="P716">
        <v>1.0695849742502268</v>
      </c>
      <c r="Q716">
        <v>1.0695849742502268</v>
      </c>
      <c r="R716">
        <v>2.5735057616031969</v>
      </c>
      <c r="S716">
        <v>1.5039207873529701</v>
      </c>
      <c r="T716">
        <v>0</v>
      </c>
      <c r="U716">
        <v>0</v>
      </c>
      <c r="V716">
        <v>0</v>
      </c>
      <c r="W716">
        <v>0</v>
      </c>
      <c r="X716">
        <v>0.18041502574977319</v>
      </c>
      <c r="Y716">
        <v>6.9584974250226805E-2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0.9349420794743255</v>
      </c>
      <c r="AN716">
        <v>0.9349420794743255</v>
      </c>
      <c r="AO716">
        <v>2.4060788282924506</v>
      </c>
      <c r="AP716">
        <v>1.4060788282924506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0.9349420794743255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0.41561398082276524</v>
      </c>
      <c r="BK716">
        <v>0.41561398082276524</v>
      </c>
      <c r="BL716">
        <v>0.38857499948903856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0.58438601917723476</v>
      </c>
      <c r="BX716">
        <v>0</v>
      </c>
      <c r="BY716">
        <v>2.7038981333726675E-2</v>
      </c>
      <c r="BZ716">
        <v>0</v>
      </c>
      <c r="CA716">
        <v>0.38857499948903856</v>
      </c>
      <c r="CB716">
        <v>0</v>
      </c>
      <c r="CC716">
        <v>0</v>
      </c>
      <c r="CD716">
        <v>0</v>
      </c>
      <c r="CE716">
        <v>0</v>
      </c>
      <c r="CF716">
        <v>0</v>
      </c>
    </row>
    <row r="717" spans="1:84" x14ac:dyDescent="0.25">
      <c r="A717" t="s">
        <v>128</v>
      </c>
      <c r="B717" t="s">
        <v>421</v>
      </c>
      <c r="C717" s="14" t="s">
        <v>72</v>
      </c>
      <c r="D717" s="12">
        <v>46224</v>
      </c>
      <c r="E717" s="14" t="s">
        <v>134</v>
      </c>
      <c r="F717" s="14" t="s">
        <v>134</v>
      </c>
      <c r="G717" s="14" t="s">
        <v>134</v>
      </c>
      <c r="H717" s="14" t="s">
        <v>75</v>
      </c>
      <c r="I717">
        <v>20</v>
      </c>
      <c r="J717">
        <v>2.4468546637744035</v>
      </c>
      <c r="K717">
        <v>46224</v>
      </c>
      <c r="L717" t="s">
        <v>428</v>
      </c>
      <c r="M717">
        <v>6.6499999999999995</v>
      </c>
      <c r="N717">
        <v>6.6499999999999995</v>
      </c>
      <c r="O717">
        <v>1.7716262975778552</v>
      </c>
      <c r="P717">
        <v>2.7177748226950351</v>
      </c>
      <c r="Q717">
        <v>2.7177748226950351</v>
      </c>
      <c r="R717">
        <v>0.72404230778669432</v>
      </c>
      <c r="S717">
        <v>0</v>
      </c>
      <c r="T717">
        <v>0</v>
      </c>
      <c r="U717">
        <v>1.4677748226950351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0.25</v>
      </c>
      <c r="AB717">
        <v>0</v>
      </c>
      <c r="AC717">
        <v>0</v>
      </c>
      <c r="AD717">
        <v>0</v>
      </c>
      <c r="AE717">
        <v>0.27595769221330568</v>
      </c>
      <c r="AF717">
        <v>0</v>
      </c>
      <c r="AG717">
        <v>0.72404230778669432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0.36794806974051186</v>
      </c>
      <c r="AN717">
        <v>0.36794806974051186</v>
      </c>
      <c r="AO717">
        <v>0.26640996956057977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0.63205193025948814</v>
      </c>
      <c r="BA717">
        <v>0</v>
      </c>
      <c r="BB717">
        <v>0.10153810017993209</v>
      </c>
      <c r="BC717">
        <v>0</v>
      </c>
      <c r="BD717">
        <v>0.26640996956057977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3.7536132812499985</v>
      </c>
      <c r="BK717">
        <v>3.7536132812499985</v>
      </c>
      <c r="BL717">
        <v>1.3811347613882861</v>
      </c>
      <c r="CC717">
        <v>0</v>
      </c>
      <c r="CD717">
        <v>0</v>
      </c>
      <c r="CE717">
        <v>0</v>
      </c>
    </row>
    <row r="718" spans="1:84" x14ac:dyDescent="0.25">
      <c r="A718" t="s">
        <v>128</v>
      </c>
      <c r="B718" t="s">
        <v>421</v>
      </c>
      <c r="C718" s="14" t="s">
        <v>72</v>
      </c>
      <c r="D718" s="12">
        <v>46225</v>
      </c>
      <c r="E718" s="14" t="s">
        <v>134</v>
      </c>
      <c r="F718" s="14" t="s">
        <v>134</v>
      </c>
      <c r="G718" s="14" t="s">
        <v>134</v>
      </c>
      <c r="H718" s="14" t="s">
        <v>73</v>
      </c>
      <c r="I718">
        <v>20</v>
      </c>
      <c r="J718">
        <v>2.5233188720173532</v>
      </c>
      <c r="K718">
        <v>46225</v>
      </c>
      <c r="L718" t="s">
        <v>429</v>
      </c>
      <c r="M718">
        <v>7.6</v>
      </c>
      <c r="N718">
        <v>7.6</v>
      </c>
      <c r="O718">
        <v>0.23529411764705879</v>
      </c>
      <c r="P718">
        <v>3.0119062970126804</v>
      </c>
      <c r="Q718">
        <v>3.0119062970126804</v>
      </c>
      <c r="R718">
        <v>9.3247872972528789E-2</v>
      </c>
      <c r="S718">
        <v>0</v>
      </c>
      <c r="T718">
        <v>0</v>
      </c>
      <c r="U718">
        <v>1.7619062970126804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0.25</v>
      </c>
      <c r="AB718">
        <v>0</v>
      </c>
      <c r="AC718">
        <v>0</v>
      </c>
      <c r="AD718">
        <v>0</v>
      </c>
      <c r="AE718">
        <v>0.90675212702747121</v>
      </c>
      <c r="AF718">
        <v>0</v>
      </c>
      <c r="AG718">
        <v>9.3247872972528789E-2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0.33201564105491488</v>
      </c>
      <c r="AN718">
        <v>0.33201564105491488</v>
      </c>
      <c r="AO718">
        <v>3.0959752321981421E-2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0.66798435894508512</v>
      </c>
      <c r="BA718">
        <v>0</v>
      </c>
      <c r="BB718">
        <v>0.30105588873293343</v>
      </c>
      <c r="BC718">
        <v>0</v>
      </c>
      <c r="BD718">
        <v>3.0959752321981421E-2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32.300000000000004</v>
      </c>
      <c r="BK718">
        <v>32.300000000000004</v>
      </c>
      <c r="BL718">
        <v>10.724105206073752</v>
      </c>
      <c r="CC718">
        <v>0</v>
      </c>
      <c r="CD718">
        <v>0</v>
      </c>
      <c r="CE718">
        <v>0</v>
      </c>
    </row>
    <row r="719" spans="1:84" x14ac:dyDescent="0.25">
      <c r="A719" t="s">
        <v>128</v>
      </c>
      <c r="B719" t="s">
        <v>421</v>
      </c>
      <c r="C719" s="14" t="s">
        <v>72</v>
      </c>
      <c r="D719" s="12">
        <v>46226</v>
      </c>
      <c r="E719" s="14" t="s">
        <v>133</v>
      </c>
      <c r="F719" s="14" t="s">
        <v>133</v>
      </c>
      <c r="G719" s="14" t="s">
        <v>133</v>
      </c>
      <c r="H719" s="14" t="s">
        <v>75</v>
      </c>
      <c r="I719">
        <v>20</v>
      </c>
      <c r="J719">
        <v>8.005441555498912</v>
      </c>
      <c r="K719">
        <v>46226</v>
      </c>
      <c r="L719" t="s">
        <v>434</v>
      </c>
      <c r="M719">
        <v>6.6499999999999995</v>
      </c>
      <c r="N719">
        <v>6.6499999999999995</v>
      </c>
      <c r="O719">
        <v>12.06515172939806</v>
      </c>
      <c r="P719">
        <v>0.83068497270236596</v>
      </c>
      <c r="Q719">
        <v>0.83068497270236596</v>
      </c>
      <c r="R719">
        <v>1.5071188323285611</v>
      </c>
      <c r="S719">
        <v>0.50711883232856114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0.16931502729763404</v>
      </c>
      <c r="AC719">
        <v>0</v>
      </c>
      <c r="AD719">
        <v>0</v>
      </c>
      <c r="AE719">
        <v>0</v>
      </c>
      <c r="AF719">
        <v>0</v>
      </c>
      <c r="AG719">
        <v>0.83068497270236596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1.2038257978193854</v>
      </c>
      <c r="AN719">
        <v>1.2038257978193854</v>
      </c>
      <c r="AO719">
        <v>1.8143085307365505</v>
      </c>
      <c r="AP719">
        <v>0.61048273291716515</v>
      </c>
      <c r="AQ719">
        <v>0</v>
      </c>
      <c r="AR719">
        <v>0</v>
      </c>
      <c r="AS719">
        <v>0</v>
      </c>
      <c r="AT719">
        <v>0</v>
      </c>
      <c r="AU719">
        <v>0.29617420218061463</v>
      </c>
      <c r="AV719">
        <v>0.20382579781938537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0.55117417079774866</v>
      </c>
      <c r="BK719">
        <v>0.55117417079774866</v>
      </c>
      <c r="BL719">
        <v>0.66351768589803795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0.33648231410196205</v>
      </c>
      <c r="BX719">
        <v>0</v>
      </c>
      <c r="BY719">
        <v>0</v>
      </c>
      <c r="BZ719">
        <v>0</v>
      </c>
      <c r="CA719">
        <v>0.55117417079774866</v>
      </c>
      <c r="CB719">
        <v>0</v>
      </c>
      <c r="CC719">
        <v>0</v>
      </c>
      <c r="CD719">
        <v>0</v>
      </c>
      <c r="CE719">
        <v>0</v>
      </c>
      <c r="CF719">
        <v>0</v>
      </c>
    </row>
    <row r="720" spans="1:84" x14ac:dyDescent="0.25">
      <c r="A720" t="s">
        <v>128</v>
      </c>
      <c r="B720" t="s">
        <v>421</v>
      </c>
      <c r="C720" s="14" t="s">
        <v>72</v>
      </c>
      <c r="D720" s="12">
        <v>46224</v>
      </c>
      <c r="E720" s="14" t="s">
        <v>134</v>
      </c>
      <c r="F720" s="14" t="s">
        <v>134</v>
      </c>
      <c r="G720" s="14" t="s">
        <v>134</v>
      </c>
      <c r="H720" s="14" t="s">
        <v>74</v>
      </c>
      <c r="I720">
        <v>20</v>
      </c>
      <c r="J720">
        <v>2.7731019522776572</v>
      </c>
      <c r="K720">
        <v>46224</v>
      </c>
      <c r="L720" t="s">
        <v>427</v>
      </c>
      <c r="M720">
        <v>0.95</v>
      </c>
      <c r="N720">
        <v>0.95</v>
      </c>
      <c r="O720">
        <v>2.0078431372549019</v>
      </c>
      <c r="P720">
        <v>0.34257665832290363</v>
      </c>
      <c r="Q720">
        <v>0.34257665832290363</v>
      </c>
      <c r="R720">
        <v>0.72404230778669421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0.38146564946379058</v>
      </c>
      <c r="AC720">
        <v>0.27595769221330579</v>
      </c>
      <c r="AD720">
        <v>0</v>
      </c>
      <c r="AE720">
        <v>0</v>
      </c>
      <c r="AF720">
        <v>0</v>
      </c>
      <c r="AG720">
        <v>0.34257665832290363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2.9190546866080602</v>
      </c>
      <c r="AN720">
        <v>2.9190546866080602</v>
      </c>
      <c r="AO720">
        <v>2.1135190918472655</v>
      </c>
      <c r="BF720">
        <v>0</v>
      </c>
      <c r="BG720">
        <v>0</v>
      </c>
      <c r="BH720">
        <v>0</v>
      </c>
      <c r="BJ720">
        <v>0.47314453125</v>
      </c>
      <c r="BK720">
        <v>0.47314453125</v>
      </c>
      <c r="BL720">
        <v>1.3811347613882863</v>
      </c>
      <c r="BM720">
        <v>0.38113476138828628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0.65742334167709637</v>
      </c>
      <c r="BW720">
        <v>0</v>
      </c>
      <c r="BX720">
        <v>0</v>
      </c>
      <c r="BY720">
        <v>0</v>
      </c>
      <c r="BZ720">
        <v>0</v>
      </c>
      <c r="CA720">
        <v>0.47314453125</v>
      </c>
      <c r="CB720">
        <v>0</v>
      </c>
      <c r="CC720">
        <v>0</v>
      </c>
      <c r="CD720">
        <v>0</v>
      </c>
      <c r="CE720">
        <v>0</v>
      </c>
      <c r="CF720">
        <v>0</v>
      </c>
    </row>
    <row r="721" spans="1:84" x14ac:dyDescent="0.25">
      <c r="A721" t="s">
        <v>128</v>
      </c>
      <c r="B721" t="s">
        <v>421</v>
      </c>
      <c r="C721" s="14" t="s">
        <v>72</v>
      </c>
      <c r="D721" s="12">
        <v>46225</v>
      </c>
      <c r="E721" s="14" t="s">
        <v>134</v>
      </c>
      <c r="F721" s="14" t="s">
        <v>134</v>
      </c>
      <c r="G721" s="14" t="s">
        <v>134</v>
      </c>
      <c r="H721" s="14" t="s">
        <v>74</v>
      </c>
      <c r="I721">
        <v>20</v>
      </c>
      <c r="J721">
        <v>2.7731019522776572</v>
      </c>
      <c r="K721">
        <v>46225</v>
      </c>
      <c r="L721" t="s">
        <v>430</v>
      </c>
      <c r="M721">
        <v>0</v>
      </c>
      <c r="N721">
        <v>0</v>
      </c>
      <c r="O721">
        <v>2.0078431372549019</v>
      </c>
      <c r="P721">
        <v>0</v>
      </c>
      <c r="Q721">
        <v>0</v>
      </c>
      <c r="R721">
        <v>0.72404230778669421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0.72404230778669421</v>
      </c>
      <c r="AC721">
        <v>0.27595769221330579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1</v>
      </c>
      <c r="BJ721">
        <v>0</v>
      </c>
      <c r="BK721">
        <v>0</v>
      </c>
      <c r="BL721">
        <v>1.3811347613882863</v>
      </c>
      <c r="BM721">
        <v>0.38113476138828628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1</v>
      </c>
      <c r="CF721">
        <v>1</v>
      </c>
    </row>
    <row r="722" spans="1:84" x14ac:dyDescent="0.25">
      <c r="A722" t="s">
        <v>128</v>
      </c>
      <c r="B722" t="s">
        <v>421</v>
      </c>
      <c r="C722" s="14" t="s">
        <v>72</v>
      </c>
      <c r="D722" s="12">
        <v>46227</v>
      </c>
      <c r="E722" s="14" t="s">
        <v>133</v>
      </c>
      <c r="F722" s="14" t="s">
        <v>133</v>
      </c>
      <c r="G722" s="14" t="s">
        <v>133</v>
      </c>
      <c r="H722" s="14" t="s">
        <v>73</v>
      </c>
      <c r="I722">
        <v>20</v>
      </c>
      <c r="J722">
        <v>9.9337595944147079</v>
      </c>
      <c r="K722">
        <v>46227</v>
      </c>
      <c r="L722" t="s">
        <v>157</v>
      </c>
      <c r="M722">
        <v>8.5499999999999989</v>
      </c>
      <c r="N722">
        <v>8.5499999999999989</v>
      </c>
      <c r="O722">
        <v>12.144228698180909</v>
      </c>
      <c r="P722">
        <v>0.86070132045547665</v>
      </c>
      <c r="Q722">
        <v>0.86070132045547665</v>
      </c>
      <c r="R722">
        <v>1.2225208978289595</v>
      </c>
      <c r="S722">
        <v>0.22252089782895945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0.13929867954452335</v>
      </c>
      <c r="AC722">
        <v>0</v>
      </c>
      <c r="AD722">
        <v>0</v>
      </c>
      <c r="AE722">
        <v>0</v>
      </c>
      <c r="AF722">
        <v>0</v>
      </c>
      <c r="AG722">
        <v>0.86070132045547665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1.161843227416925</v>
      </c>
      <c r="AN722">
        <v>1.161843227416925</v>
      </c>
      <c r="AO722">
        <v>1.4203776255182352</v>
      </c>
      <c r="AP722">
        <v>0.25853439810131018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0.16184322741692503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0.70403812481567551</v>
      </c>
      <c r="BK722">
        <v>0.70403812481567551</v>
      </c>
      <c r="BL722">
        <v>0.8179819271604043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0.1820180728395957</v>
      </c>
      <c r="BX722">
        <v>0</v>
      </c>
      <c r="BY722">
        <v>0</v>
      </c>
      <c r="BZ722">
        <v>0</v>
      </c>
      <c r="CA722">
        <v>0.70403812481567551</v>
      </c>
      <c r="CB722">
        <v>0</v>
      </c>
      <c r="CC722">
        <v>0</v>
      </c>
      <c r="CD722">
        <v>0</v>
      </c>
      <c r="CE722">
        <v>0</v>
      </c>
      <c r="CF722">
        <v>0</v>
      </c>
    </row>
    <row r="723" spans="1:84" x14ac:dyDescent="0.25">
      <c r="A723" t="s">
        <v>128</v>
      </c>
      <c r="B723" t="s">
        <v>421</v>
      </c>
      <c r="C723" s="14" t="s">
        <v>72</v>
      </c>
      <c r="D723" s="12">
        <v>46224</v>
      </c>
      <c r="E723" s="14" t="s">
        <v>134</v>
      </c>
      <c r="F723" s="14" t="s">
        <v>134</v>
      </c>
      <c r="G723" s="14" t="s">
        <v>134</v>
      </c>
      <c r="H723" s="14" t="s">
        <v>73</v>
      </c>
      <c r="I723">
        <v>20</v>
      </c>
      <c r="J723">
        <v>3.7467462039045554</v>
      </c>
      <c r="K723">
        <v>46224</v>
      </c>
      <c r="L723" t="s">
        <v>426</v>
      </c>
      <c r="M723">
        <v>0.95</v>
      </c>
      <c r="N723">
        <v>0.95</v>
      </c>
      <c r="O723">
        <v>0.23529411764705879</v>
      </c>
      <c r="P723">
        <v>0.25355333622810827</v>
      </c>
      <c r="Q723">
        <v>0.25355333622810827</v>
      </c>
      <c r="R723">
        <v>6.2799587920274486E-2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0.74644666377189173</v>
      </c>
      <c r="AD723">
        <v>0</v>
      </c>
      <c r="AE723">
        <v>0.19075374830783379</v>
      </c>
      <c r="AF723">
        <v>0</v>
      </c>
      <c r="AG723">
        <v>6.2799587920274486E-2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3.9439433725311113</v>
      </c>
      <c r="AN723">
        <v>3.9439433725311113</v>
      </c>
      <c r="AO723">
        <v>0.24767801857585137</v>
      </c>
      <c r="BF723">
        <v>0</v>
      </c>
      <c r="BG723">
        <v>0</v>
      </c>
      <c r="BH723">
        <v>0</v>
      </c>
      <c r="BJ723">
        <v>4.0375000000000005</v>
      </c>
      <c r="BK723">
        <v>4.0375000000000005</v>
      </c>
      <c r="BL723">
        <v>15.923671366594363</v>
      </c>
      <c r="CC723">
        <v>0</v>
      </c>
      <c r="CD723">
        <v>0</v>
      </c>
      <c r="CE723">
        <v>0</v>
      </c>
    </row>
    <row r="724" spans="1:84" x14ac:dyDescent="0.25">
      <c r="A724" t="s">
        <v>128</v>
      </c>
      <c r="B724" t="s">
        <v>421</v>
      </c>
      <c r="C724" s="14" t="s">
        <v>72</v>
      </c>
      <c r="D724" s="12">
        <v>46226</v>
      </c>
      <c r="E724" s="14" t="s">
        <v>133</v>
      </c>
      <c r="F724" s="14" t="s">
        <v>133</v>
      </c>
      <c r="G724" s="14" t="s">
        <v>133</v>
      </c>
      <c r="H724" s="14" t="s">
        <v>73</v>
      </c>
      <c r="I724">
        <v>20</v>
      </c>
      <c r="J724">
        <v>9.9337595944147079</v>
      </c>
      <c r="K724">
        <v>46226</v>
      </c>
      <c r="L724" t="s">
        <v>432</v>
      </c>
      <c r="M724">
        <v>23.75</v>
      </c>
      <c r="N724">
        <v>23.75</v>
      </c>
      <c r="O724">
        <v>11.15179110105581</v>
      </c>
      <c r="P724">
        <v>2.3908370012652131</v>
      </c>
      <c r="Q724">
        <v>2.3908370012652131</v>
      </c>
      <c r="R724">
        <v>1.1226153597803943</v>
      </c>
      <c r="S724">
        <v>0</v>
      </c>
      <c r="T724">
        <v>0</v>
      </c>
      <c r="U724">
        <v>1.1408370012652131</v>
      </c>
      <c r="V724">
        <v>0</v>
      </c>
      <c r="W724">
        <v>0</v>
      </c>
      <c r="X724">
        <v>0</v>
      </c>
      <c r="Y724">
        <v>0.12261535978039428</v>
      </c>
      <c r="Z724">
        <v>0</v>
      </c>
      <c r="AA724">
        <v>0.12738464021960572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0.41826356187009295</v>
      </c>
      <c r="AN724">
        <v>0.41826356187009295</v>
      </c>
      <c r="AO724">
        <v>0.46954909899182357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0.53045090100817638</v>
      </c>
      <c r="BA724">
        <v>0</v>
      </c>
      <c r="BB724">
        <v>0</v>
      </c>
      <c r="BC724">
        <v>0</v>
      </c>
      <c r="BD724">
        <v>0.41826356187009295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2.1297027342765986</v>
      </c>
      <c r="BK724">
        <v>2.1297027342765986</v>
      </c>
      <c r="BL724">
        <v>0.89077705136300633</v>
      </c>
      <c r="CC724">
        <v>0</v>
      </c>
      <c r="CD724">
        <v>0</v>
      </c>
      <c r="CE724">
        <v>0</v>
      </c>
    </row>
    <row r="725" spans="1:84" x14ac:dyDescent="0.25">
      <c r="A725" t="s">
        <v>128</v>
      </c>
      <c r="B725" t="s">
        <v>421</v>
      </c>
      <c r="C725" s="14" t="s">
        <v>72</v>
      </c>
      <c r="D725" s="12">
        <v>46228</v>
      </c>
      <c r="E725" s="14" t="s">
        <v>133</v>
      </c>
      <c r="F725" s="14" t="s">
        <v>133</v>
      </c>
      <c r="G725" s="14" t="s">
        <v>133</v>
      </c>
      <c r="H725" s="14" t="s">
        <v>73</v>
      </c>
      <c r="I725">
        <v>20</v>
      </c>
      <c r="J725">
        <v>9.9337595944147079</v>
      </c>
      <c r="K725">
        <v>46228</v>
      </c>
      <c r="L725" t="s">
        <v>435</v>
      </c>
      <c r="M725">
        <v>8.5499999999999989</v>
      </c>
      <c r="N725">
        <v>8.5499999999999989</v>
      </c>
      <c r="O725">
        <v>14.025719386312222</v>
      </c>
      <c r="P725">
        <v>0.86070132045547665</v>
      </c>
      <c r="Q725">
        <v>0.86070132045547665</v>
      </c>
      <c r="R725">
        <v>1.411924584343498</v>
      </c>
      <c r="S725">
        <v>0.41192458434349799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0.13929867954452335</v>
      </c>
      <c r="AC725">
        <v>0</v>
      </c>
      <c r="AD725">
        <v>0</v>
      </c>
      <c r="AE725">
        <v>0</v>
      </c>
      <c r="AF725">
        <v>0</v>
      </c>
      <c r="AG725">
        <v>0.86070132045547665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1.161843227416925</v>
      </c>
      <c r="AN725">
        <v>1.161843227416925</v>
      </c>
      <c r="AO725">
        <v>1.6404350159429502</v>
      </c>
      <c r="AP725">
        <v>0.47859178852602513</v>
      </c>
      <c r="AQ725">
        <v>0</v>
      </c>
      <c r="AR725">
        <v>0</v>
      </c>
      <c r="AS725">
        <v>0</v>
      </c>
      <c r="AT725">
        <v>0</v>
      </c>
      <c r="AU725">
        <v>0.33815677258307497</v>
      </c>
      <c r="AV725">
        <v>0.16184322741692503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0.60959440043724189</v>
      </c>
      <c r="BK725">
        <v>0.60959440043724189</v>
      </c>
      <c r="BL725">
        <v>0.70825312561929044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0.29174687438070956</v>
      </c>
      <c r="BX725">
        <v>0</v>
      </c>
      <c r="BY725">
        <v>0</v>
      </c>
      <c r="BZ725">
        <v>0</v>
      </c>
      <c r="CA725">
        <v>0.60959440043724189</v>
      </c>
      <c r="CB725">
        <v>0</v>
      </c>
      <c r="CC725">
        <v>0</v>
      </c>
      <c r="CD725">
        <v>0</v>
      </c>
      <c r="CE725">
        <v>0</v>
      </c>
      <c r="CF725">
        <v>0</v>
      </c>
    </row>
    <row r="726" spans="1:84" x14ac:dyDescent="0.25">
      <c r="A726" t="s">
        <v>128</v>
      </c>
      <c r="B726" t="s">
        <v>421</v>
      </c>
      <c r="C726" s="14" t="s">
        <v>72</v>
      </c>
      <c r="D726" s="12">
        <v>46225</v>
      </c>
      <c r="E726" s="14" t="s">
        <v>134</v>
      </c>
      <c r="F726" s="14" t="s">
        <v>134</v>
      </c>
      <c r="G726" s="14" t="s">
        <v>134</v>
      </c>
      <c r="H726" s="14" t="s">
        <v>75</v>
      </c>
      <c r="I726">
        <v>20</v>
      </c>
      <c r="J726">
        <v>2.4468546637744035</v>
      </c>
      <c r="K726">
        <v>46225</v>
      </c>
      <c r="L726" t="s">
        <v>431</v>
      </c>
      <c r="M726">
        <v>1.9</v>
      </c>
      <c r="N726">
        <v>1.9</v>
      </c>
      <c r="O726">
        <v>1.7716262975778552</v>
      </c>
      <c r="P726">
        <v>0.77650709219858149</v>
      </c>
      <c r="Q726">
        <v>0.77650709219858149</v>
      </c>
      <c r="R726">
        <v>0.72404230778669432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0.22349290780141851</v>
      </c>
      <c r="AD726">
        <v>0</v>
      </c>
      <c r="AE726">
        <v>5.2464784411887178E-2</v>
      </c>
      <c r="AF726">
        <v>0</v>
      </c>
      <c r="AG726">
        <v>0.72404230778669432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1.2878182440917914</v>
      </c>
      <c r="AN726">
        <v>1.2878182440917914</v>
      </c>
      <c r="AO726">
        <v>0.93243489346202912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0.28781824409179135</v>
      </c>
      <c r="AY726">
        <v>0</v>
      </c>
      <c r="AZ726">
        <v>0</v>
      </c>
      <c r="BA726">
        <v>0</v>
      </c>
      <c r="BB726">
        <v>6.7565106537970876E-2</v>
      </c>
      <c r="BC726">
        <v>0</v>
      </c>
      <c r="BD726">
        <v>0.93243489346202912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1.0724609374999996</v>
      </c>
      <c r="BK726">
        <v>1.0724609374999996</v>
      </c>
      <c r="BL726">
        <v>1.3811347613882861</v>
      </c>
      <c r="BM726">
        <v>0.30867382388828646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7.24609374999996E-2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 spans="1:84" x14ac:dyDescent="0.25">
      <c r="A727" t="s">
        <v>128</v>
      </c>
      <c r="B727" t="s">
        <v>421</v>
      </c>
      <c r="C727" s="14" t="s">
        <v>72</v>
      </c>
      <c r="D727" s="12">
        <v>46226</v>
      </c>
      <c r="E727" s="14" t="s">
        <v>134</v>
      </c>
      <c r="F727" s="14" t="s">
        <v>134</v>
      </c>
      <c r="G727" s="14" t="s">
        <v>134</v>
      </c>
      <c r="H727" s="14" t="s">
        <v>73</v>
      </c>
      <c r="I727">
        <v>20</v>
      </c>
      <c r="J727">
        <v>3.8996746203904551</v>
      </c>
      <c r="K727">
        <v>46226</v>
      </c>
      <c r="L727" t="s">
        <v>432</v>
      </c>
      <c r="M727">
        <v>0.95</v>
      </c>
      <c r="N727">
        <v>0.95</v>
      </c>
      <c r="O727">
        <v>0.23529411764705879</v>
      </c>
      <c r="P727">
        <v>0.24361006814073149</v>
      </c>
      <c r="Q727">
        <v>0.24361006814073149</v>
      </c>
      <c r="R727">
        <v>6.033685898222451E-2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0.75638993185926851</v>
      </c>
      <c r="AD727">
        <v>0</v>
      </c>
      <c r="AE727">
        <v>0.18327320915850698</v>
      </c>
      <c r="AF727">
        <v>0</v>
      </c>
      <c r="AG727">
        <v>6.033685898222451E-2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4.1049206530425844</v>
      </c>
      <c r="AN727">
        <v>4.1049206530425844</v>
      </c>
      <c r="AO727">
        <v>0.24767801857585137</v>
      </c>
      <c r="BF727">
        <v>0</v>
      </c>
      <c r="BG727">
        <v>0</v>
      </c>
      <c r="BH727">
        <v>0</v>
      </c>
      <c r="BJ727">
        <v>4.0375000000000005</v>
      </c>
      <c r="BK727">
        <v>4.0375000000000005</v>
      </c>
      <c r="BL727">
        <v>16.573617136659436</v>
      </c>
      <c r="CC727">
        <v>0</v>
      </c>
      <c r="CD727">
        <v>0</v>
      </c>
      <c r="CE727">
        <v>0</v>
      </c>
    </row>
    <row r="728" spans="1:84" x14ac:dyDescent="0.25">
      <c r="A728" t="s">
        <v>128</v>
      </c>
      <c r="B728" t="s">
        <v>421</v>
      </c>
      <c r="C728" s="14" t="s">
        <v>72</v>
      </c>
      <c r="D728" s="12">
        <v>46223</v>
      </c>
      <c r="E728" s="14" t="s">
        <v>134</v>
      </c>
      <c r="F728" s="14" t="s">
        <v>134</v>
      </c>
      <c r="G728" s="14" t="s">
        <v>134</v>
      </c>
      <c r="H728" s="14" t="s">
        <v>74</v>
      </c>
      <c r="I728">
        <v>20</v>
      </c>
      <c r="J728">
        <v>2.7731019522776572</v>
      </c>
      <c r="K728">
        <v>46223</v>
      </c>
      <c r="L728" t="s">
        <v>424</v>
      </c>
      <c r="M728">
        <v>0.95</v>
      </c>
      <c r="N728">
        <v>0.95</v>
      </c>
      <c r="O728">
        <v>2.0078431372549019</v>
      </c>
      <c r="P728">
        <v>0.34257665832290363</v>
      </c>
      <c r="Q728">
        <v>0.34257665832290363</v>
      </c>
      <c r="R728">
        <v>0.72404230778669421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0.38146564946379058</v>
      </c>
      <c r="AC728">
        <v>0.27595769221330579</v>
      </c>
      <c r="AD728">
        <v>0</v>
      </c>
      <c r="AE728">
        <v>0</v>
      </c>
      <c r="AF728">
        <v>0</v>
      </c>
      <c r="AG728">
        <v>0.34257665832290363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2.9190546866080602</v>
      </c>
      <c r="AN728">
        <v>2.9190546866080602</v>
      </c>
      <c r="AO728">
        <v>2.1135190918472655</v>
      </c>
      <c r="BF728">
        <v>0</v>
      </c>
      <c r="BG728">
        <v>0</v>
      </c>
      <c r="BH728">
        <v>0</v>
      </c>
      <c r="BJ728">
        <v>0.47314453125</v>
      </c>
      <c r="BK728">
        <v>0.47314453125</v>
      </c>
      <c r="BL728">
        <v>1.3811347613882863</v>
      </c>
      <c r="BM728">
        <v>0.38113476138828628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0.65742334167709637</v>
      </c>
      <c r="BW728">
        <v>0</v>
      </c>
      <c r="BX728">
        <v>0</v>
      </c>
      <c r="BY728">
        <v>0</v>
      </c>
      <c r="BZ728">
        <v>0</v>
      </c>
      <c r="CA728">
        <v>0.47314453125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 spans="1:84" x14ac:dyDescent="0.25">
      <c r="A729" t="s">
        <v>128</v>
      </c>
      <c r="B729" t="s">
        <v>421</v>
      </c>
      <c r="C729" s="14" t="s">
        <v>72</v>
      </c>
      <c r="D729" s="12">
        <v>46227</v>
      </c>
      <c r="E729" s="14" t="s">
        <v>133</v>
      </c>
      <c r="F729" s="14" t="s">
        <v>133</v>
      </c>
      <c r="G729" s="14" t="s">
        <v>133</v>
      </c>
      <c r="H729" s="14" t="s">
        <v>74</v>
      </c>
      <c r="I729">
        <v>20</v>
      </c>
      <c r="J729">
        <v>4.440974877503046</v>
      </c>
      <c r="K729">
        <v>46227</v>
      </c>
      <c r="L729" t="s">
        <v>156</v>
      </c>
      <c r="M729">
        <v>3.8</v>
      </c>
      <c r="N729">
        <v>3.8</v>
      </c>
      <c r="O729">
        <v>14.947830768580642</v>
      </c>
      <c r="P729">
        <v>0.85566797940018147</v>
      </c>
      <c r="Q729">
        <v>0.85566797940018147</v>
      </c>
      <c r="R729">
        <v>3.3658895132019109</v>
      </c>
      <c r="S729">
        <v>2.3658895132019109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0.14433202059981853</v>
      </c>
      <c r="AC729">
        <v>0</v>
      </c>
      <c r="AD729">
        <v>0</v>
      </c>
      <c r="AE729">
        <v>0</v>
      </c>
      <c r="AF729">
        <v>0</v>
      </c>
      <c r="AG729">
        <v>0.85566797940018147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1.1686775993429068</v>
      </c>
      <c r="AN729">
        <v>1.1686775993429068</v>
      </c>
      <c r="AO729">
        <v>3.9336396759422745</v>
      </c>
      <c r="AP729">
        <v>2.7649620765993674</v>
      </c>
      <c r="AQ729">
        <v>0</v>
      </c>
      <c r="AR729">
        <v>0</v>
      </c>
      <c r="AS729">
        <v>0</v>
      </c>
      <c r="AT729">
        <v>0</v>
      </c>
      <c r="AU729">
        <v>0.33132240065709317</v>
      </c>
      <c r="AV729">
        <v>0.16867759934290683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0.25421748873337191</v>
      </c>
      <c r="BK729">
        <v>0.25421748873337191</v>
      </c>
      <c r="BL729">
        <v>0.29709828444389957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0.70290171555610037</v>
      </c>
      <c r="BX729">
        <v>0</v>
      </c>
      <c r="BY729">
        <v>0</v>
      </c>
      <c r="BZ729">
        <v>0</v>
      </c>
      <c r="CA729">
        <v>0.25421748873337191</v>
      </c>
      <c r="CB729">
        <v>0</v>
      </c>
      <c r="CC729">
        <v>0</v>
      </c>
      <c r="CD729">
        <v>0</v>
      </c>
      <c r="CE729">
        <v>0</v>
      </c>
      <c r="CF729">
        <v>0</v>
      </c>
    </row>
    <row r="730" spans="1:84" x14ac:dyDescent="0.25">
      <c r="A730" t="s">
        <v>128</v>
      </c>
      <c r="B730" t="s">
        <v>421</v>
      </c>
      <c r="C730" s="14" t="s">
        <v>72</v>
      </c>
      <c r="D730" s="12">
        <v>46225</v>
      </c>
      <c r="E730" s="14" t="s">
        <v>133</v>
      </c>
      <c r="F730" s="14" t="s">
        <v>133</v>
      </c>
      <c r="G730" s="14" t="s">
        <v>133</v>
      </c>
      <c r="H730" s="14" t="s">
        <v>75</v>
      </c>
      <c r="I730">
        <v>20</v>
      </c>
      <c r="J730">
        <v>8.0638754354660556</v>
      </c>
      <c r="K730">
        <v>46225</v>
      </c>
      <c r="L730" t="s">
        <v>431</v>
      </c>
      <c r="M730">
        <v>7.6</v>
      </c>
      <c r="N730">
        <v>7.6</v>
      </c>
      <c r="O730">
        <v>12.910862085218705</v>
      </c>
      <c r="P730">
        <v>0.94247487586106959</v>
      </c>
      <c r="Q730">
        <v>0.94247487586106959</v>
      </c>
      <c r="R730">
        <v>1.6010740975034066</v>
      </c>
      <c r="S730">
        <v>0.60107409750340657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5.7525124138930406E-2</v>
      </c>
      <c r="AC730">
        <v>0</v>
      </c>
      <c r="AD730">
        <v>0</v>
      </c>
      <c r="AE730">
        <v>0</v>
      </c>
      <c r="AF730">
        <v>0</v>
      </c>
      <c r="AG730">
        <v>0.94247487586106959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1.0610362415086916</v>
      </c>
      <c r="AN730">
        <v>1.0610362415086916</v>
      </c>
      <c r="AO730">
        <v>1.6987976427919349</v>
      </c>
      <c r="AP730">
        <v>0.63776140128324332</v>
      </c>
      <c r="AQ730">
        <v>0</v>
      </c>
      <c r="AR730">
        <v>0</v>
      </c>
      <c r="AS730">
        <v>0</v>
      </c>
      <c r="AT730">
        <v>0</v>
      </c>
      <c r="AU730">
        <v>0.43896375849130842</v>
      </c>
      <c r="AV730">
        <v>6.103624150869158E-2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0.58865162913489977</v>
      </c>
      <c r="BK730">
        <v>0.58865162913489977</v>
      </c>
      <c r="BL730">
        <v>0.62458071213526223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0.37541928786473777</v>
      </c>
      <c r="BX730">
        <v>0</v>
      </c>
      <c r="BY730">
        <v>0</v>
      </c>
      <c r="BZ730">
        <v>0</v>
      </c>
      <c r="CA730">
        <v>0.58865162913489977</v>
      </c>
      <c r="CB730">
        <v>0</v>
      </c>
      <c r="CC730">
        <v>0</v>
      </c>
      <c r="CD730">
        <v>0</v>
      </c>
      <c r="CE730">
        <v>0</v>
      </c>
      <c r="CF730">
        <v>0</v>
      </c>
    </row>
    <row r="731" spans="1:84" x14ac:dyDescent="0.25">
      <c r="A731" t="s">
        <v>128</v>
      </c>
      <c r="B731" t="s">
        <v>421</v>
      </c>
      <c r="C731" s="14" t="s">
        <v>72</v>
      </c>
      <c r="D731" s="12">
        <v>46226</v>
      </c>
      <c r="E731" s="14" t="s">
        <v>134</v>
      </c>
      <c r="F731" s="14" t="s">
        <v>134</v>
      </c>
      <c r="G731" s="14" t="s">
        <v>134</v>
      </c>
      <c r="H731" s="14" t="s">
        <v>74</v>
      </c>
      <c r="I731">
        <v>20</v>
      </c>
      <c r="J731">
        <v>2.7731019522776572</v>
      </c>
      <c r="K731">
        <v>46226</v>
      </c>
      <c r="L731" t="s">
        <v>433</v>
      </c>
      <c r="M731">
        <v>0</v>
      </c>
      <c r="N731">
        <v>0</v>
      </c>
      <c r="O731">
        <v>2.0078431372549019</v>
      </c>
      <c r="P731">
        <v>0</v>
      </c>
      <c r="Q731">
        <v>0</v>
      </c>
      <c r="R731">
        <v>0.72404230778669421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0.72404230778669421</v>
      </c>
      <c r="AC731">
        <v>0.27595769221330579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J731">
        <v>0</v>
      </c>
      <c r="BK731">
        <v>0</v>
      </c>
      <c r="BL731">
        <v>1.3811347613882863</v>
      </c>
      <c r="BM731">
        <v>0.38113476138828628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>
        <v>1</v>
      </c>
    </row>
    <row r="732" spans="1:84" x14ac:dyDescent="0.25">
      <c r="A732" t="s">
        <v>128</v>
      </c>
      <c r="B732" t="s">
        <v>421</v>
      </c>
      <c r="C732" s="14" t="s">
        <v>72</v>
      </c>
      <c r="D732" s="12">
        <v>46227</v>
      </c>
      <c r="E732" s="14" t="s">
        <v>133</v>
      </c>
      <c r="F732" s="14" t="s">
        <v>133</v>
      </c>
      <c r="G732" s="14" t="s">
        <v>133</v>
      </c>
      <c r="H732" s="14" t="s">
        <v>75</v>
      </c>
      <c r="I732">
        <v>20</v>
      </c>
      <c r="J732">
        <v>8.0638754354660538</v>
      </c>
      <c r="K732">
        <v>46227</v>
      </c>
      <c r="L732" t="s">
        <v>155</v>
      </c>
      <c r="M732">
        <v>6.6499999999999995</v>
      </c>
      <c r="N732">
        <v>6.6499999999999995</v>
      </c>
      <c r="O732">
        <v>16.244212339103296</v>
      </c>
      <c r="P732">
        <v>0.8246655163784361</v>
      </c>
      <c r="Q732">
        <v>0.8246655163784361</v>
      </c>
      <c r="R732">
        <v>2.0144423694417419</v>
      </c>
      <c r="S732">
        <v>1.0144423694417419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0.1753344836215639</v>
      </c>
      <c r="AC732">
        <v>0</v>
      </c>
      <c r="AD732">
        <v>0</v>
      </c>
      <c r="AE732">
        <v>0</v>
      </c>
      <c r="AF732">
        <v>0</v>
      </c>
      <c r="AG732">
        <v>0.8246655163784361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1.2126128474385045</v>
      </c>
      <c r="AN732">
        <v>1.2126128474385045</v>
      </c>
      <c r="AO732">
        <v>2.4427386976095185</v>
      </c>
      <c r="AP732">
        <v>1.2301258501710139</v>
      </c>
      <c r="AQ732">
        <v>0</v>
      </c>
      <c r="AR732">
        <v>0</v>
      </c>
      <c r="AS732">
        <v>0</v>
      </c>
      <c r="AT732">
        <v>0</v>
      </c>
      <c r="AU732">
        <v>0.2873871525614955</v>
      </c>
      <c r="AV732">
        <v>0.2126128474385045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0.40937657432561542</v>
      </c>
      <c r="BK732">
        <v>0.40937657432561542</v>
      </c>
      <c r="BL732">
        <v>0.49641529346760505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0.50358470653239495</v>
      </c>
      <c r="BX732">
        <v>0</v>
      </c>
      <c r="BY732">
        <v>0</v>
      </c>
      <c r="BZ732">
        <v>0</v>
      </c>
      <c r="CA732">
        <v>0.40937657432561542</v>
      </c>
      <c r="CB732">
        <v>0</v>
      </c>
      <c r="CC732">
        <v>0</v>
      </c>
      <c r="CD732">
        <v>0</v>
      </c>
      <c r="CE732">
        <v>0</v>
      </c>
      <c r="CF732">
        <v>0</v>
      </c>
    </row>
    <row r="733" spans="1:84" x14ac:dyDescent="0.25">
      <c r="A733" t="s">
        <v>128</v>
      </c>
      <c r="B733" t="s">
        <v>421</v>
      </c>
      <c r="C733" s="14" t="s">
        <v>72</v>
      </c>
      <c r="D733" s="12">
        <v>46223</v>
      </c>
      <c r="E733" s="14" t="s">
        <v>134</v>
      </c>
      <c r="F733" s="14" t="s">
        <v>134</v>
      </c>
      <c r="G733" s="14" t="s">
        <v>134</v>
      </c>
      <c r="H733" s="14" t="s">
        <v>73</v>
      </c>
      <c r="I733">
        <v>20</v>
      </c>
      <c r="J733">
        <v>2.5233188720173532</v>
      </c>
      <c r="K733">
        <v>46223</v>
      </c>
      <c r="L733" t="s">
        <v>423</v>
      </c>
      <c r="M733">
        <v>0.95</v>
      </c>
      <c r="N733">
        <v>0.95</v>
      </c>
      <c r="O733">
        <v>0</v>
      </c>
      <c r="P733">
        <v>0.37648828712658505</v>
      </c>
      <c r="Q733">
        <v>0.37648828712658505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0.62351171287341489</v>
      </c>
      <c r="AD733">
        <v>0</v>
      </c>
      <c r="AE733">
        <v>0</v>
      </c>
      <c r="AF733">
        <v>0</v>
      </c>
      <c r="AG733">
        <v>0</v>
      </c>
      <c r="AH733">
        <v>0.37648828712658505</v>
      </c>
      <c r="AI733">
        <v>0</v>
      </c>
      <c r="AJ733">
        <v>0</v>
      </c>
      <c r="AK733">
        <v>0</v>
      </c>
      <c r="AL733">
        <v>0</v>
      </c>
      <c r="AM733">
        <v>2.656125128439319</v>
      </c>
      <c r="AN733">
        <v>2.656125128439319</v>
      </c>
      <c r="AO733">
        <v>0</v>
      </c>
      <c r="BF733">
        <v>0</v>
      </c>
      <c r="BG733">
        <v>0</v>
      </c>
      <c r="BH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</row>
    <row r="734" spans="1:84" x14ac:dyDescent="0.25">
      <c r="A734" t="s">
        <v>128</v>
      </c>
      <c r="B734" t="s">
        <v>421</v>
      </c>
      <c r="C734" s="14" t="s">
        <v>72</v>
      </c>
      <c r="D734" s="12">
        <v>46250</v>
      </c>
      <c r="E734" s="14" t="s">
        <v>420</v>
      </c>
      <c r="F734" s="14" t="s">
        <v>420</v>
      </c>
      <c r="G734" s="14" t="s">
        <v>420</v>
      </c>
      <c r="H734" s="14" t="s">
        <v>75</v>
      </c>
      <c r="I734">
        <v>20</v>
      </c>
      <c r="J734">
        <v>1.4299114156666153</v>
      </c>
      <c r="K734">
        <v>46250</v>
      </c>
      <c r="L734" t="s">
        <v>503</v>
      </c>
      <c r="M734">
        <v>1.9</v>
      </c>
      <c r="N734">
        <v>1.9</v>
      </c>
      <c r="O734">
        <v>0</v>
      </c>
      <c r="P734">
        <v>1.328753641087782</v>
      </c>
      <c r="Q734">
        <v>1.328753641087782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0.75258495561400807</v>
      </c>
      <c r="AN734">
        <v>0.75258495561400807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</row>
    <row r="735" spans="1:84" x14ac:dyDescent="0.25">
      <c r="A735" t="s">
        <v>128</v>
      </c>
      <c r="B735" t="s">
        <v>421</v>
      </c>
      <c r="C735" s="14" t="s">
        <v>72</v>
      </c>
      <c r="D735" s="12">
        <v>46223</v>
      </c>
      <c r="E735" s="14" t="s">
        <v>134</v>
      </c>
      <c r="F735" s="14" t="s">
        <v>134</v>
      </c>
      <c r="G735" s="14" t="s">
        <v>134</v>
      </c>
      <c r="H735" s="14" t="s">
        <v>75</v>
      </c>
      <c r="I735">
        <v>20</v>
      </c>
      <c r="J735">
        <v>2.4468546637744035</v>
      </c>
      <c r="K735">
        <v>46223</v>
      </c>
      <c r="L735" t="s">
        <v>425</v>
      </c>
      <c r="M735">
        <v>7.6</v>
      </c>
      <c r="N735">
        <v>7.6</v>
      </c>
      <c r="O735">
        <v>1.7716262975778552</v>
      </c>
      <c r="P735">
        <v>3.106028368794326</v>
      </c>
      <c r="Q735">
        <v>3.106028368794326</v>
      </c>
      <c r="R735">
        <v>0.72404230778669432</v>
      </c>
      <c r="S735">
        <v>0</v>
      </c>
      <c r="T735">
        <v>0</v>
      </c>
      <c r="U735">
        <v>1.856028368794326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0.25</v>
      </c>
      <c r="AB735">
        <v>0</v>
      </c>
      <c r="AC735">
        <v>0</v>
      </c>
      <c r="AD735">
        <v>0</v>
      </c>
      <c r="AE735">
        <v>0.27595769221330568</v>
      </c>
      <c r="AF735">
        <v>0</v>
      </c>
      <c r="AG735">
        <v>0.72404230778669432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0.32195456102294784</v>
      </c>
      <c r="AN735">
        <v>0.32195456102294784</v>
      </c>
      <c r="AO735">
        <v>0.23310872336550728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0.67804543897705216</v>
      </c>
      <c r="BA735">
        <v>0</v>
      </c>
      <c r="BB735">
        <v>8.8845837657440557E-2</v>
      </c>
      <c r="BC735">
        <v>0</v>
      </c>
      <c r="BD735">
        <v>0.23310872336550728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4.2898437499999984</v>
      </c>
      <c r="BK735">
        <v>4.2898437499999984</v>
      </c>
      <c r="BL735">
        <v>1.3811347613882861</v>
      </c>
      <c r="CC735">
        <v>0</v>
      </c>
      <c r="CD735">
        <v>0</v>
      </c>
      <c r="CE735">
        <v>0</v>
      </c>
    </row>
    <row r="736" spans="1:84" x14ac:dyDescent="0.25">
      <c r="A736" t="s">
        <v>128</v>
      </c>
      <c r="B736" t="s">
        <v>421</v>
      </c>
      <c r="C736" s="14" t="s">
        <v>72</v>
      </c>
      <c r="D736" s="12">
        <v>46228</v>
      </c>
      <c r="E736" s="14" t="s">
        <v>134</v>
      </c>
      <c r="F736" s="14" t="s">
        <v>134</v>
      </c>
      <c r="G736" s="14" t="s">
        <v>134</v>
      </c>
      <c r="H736" s="14" t="s">
        <v>74</v>
      </c>
      <c r="I736">
        <v>20</v>
      </c>
      <c r="J736">
        <v>2.7731019522776572</v>
      </c>
      <c r="K736">
        <v>46228</v>
      </c>
      <c r="L736" t="s">
        <v>436</v>
      </c>
      <c r="M736">
        <v>0.95</v>
      </c>
      <c r="N736">
        <v>0.95</v>
      </c>
      <c r="O736">
        <v>2.0078431372549019</v>
      </c>
      <c r="P736">
        <v>0.34257665832290363</v>
      </c>
      <c r="Q736">
        <v>0.34257665832290363</v>
      </c>
      <c r="R736">
        <v>0.72404230778669421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0.38146564946379058</v>
      </c>
      <c r="AC736">
        <v>0.27595769221330579</v>
      </c>
      <c r="AD736">
        <v>0</v>
      </c>
      <c r="AE736">
        <v>0</v>
      </c>
      <c r="AF736">
        <v>0</v>
      </c>
      <c r="AG736">
        <v>0.34257665832290363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2.9190546866080602</v>
      </c>
      <c r="AN736">
        <v>2.9190546866080602</v>
      </c>
      <c r="AO736">
        <v>2.1135190918472655</v>
      </c>
      <c r="BF736">
        <v>0</v>
      </c>
      <c r="BG736">
        <v>0</v>
      </c>
      <c r="BH736">
        <v>0</v>
      </c>
      <c r="BJ736">
        <v>0.47314453125</v>
      </c>
      <c r="BK736">
        <v>0.47314453125</v>
      </c>
      <c r="BL736">
        <v>1.3811347613882863</v>
      </c>
      <c r="BM736">
        <v>0.38113476138828628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0.65742334167709637</v>
      </c>
      <c r="BW736">
        <v>0</v>
      </c>
      <c r="BX736">
        <v>0</v>
      </c>
      <c r="BY736">
        <v>0</v>
      </c>
      <c r="BZ736">
        <v>0</v>
      </c>
      <c r="CA736">
        <v>0.47314453125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 spans="1:84" x14ac:dyDescent="0.25">
      <c r="A737" t="s">
        <v>128</v>
      </c>
      <c r="B737" t="s">
        <v>421</v>
      </c>
      <c r="C737" s="14" t="s">
        <v>72</v>
      </c>
      <c r="D737" s="12">
        <v>46226</v>
      </c>
      <c r="E737" s="14" t="s">
        <v>133</v>
      </c>
      <c r="F737" s="14" t="s">
        <v>133</v>
      </c>
      <c r="G737" s="14" t="s">
        <v>133</v>
      </c>
      <c r="H737" s="14" t="s">
        <v>74</v>
      </c>
      <c r="I737">
        <v>20</v>
      </c>
      <c r="J737">
        <v>4.440974877503046</v>
      </c>
      <c r="K737">
        <v>46226</v>
      </c>
      <c r="L737" t="s">
        <v>433</v>
      </c>
      <c r="M737">
        <v>2.8499999999999996</v>
      </c>
      <c r="N737">
        <v>2.8499999999999996</v>
      </c>
      <c r="O737">
        <v>12.054594302756067</v>
      </c>
      <c r="P737">
        <v>0.64175098455013602</v>
      </c>
      <c r="Q737">
        <v>0.64175098455013602</v>
      </c>
      <c r="R737">
        <v>2.7144027235600587</v>
      </c>
      <c r="S737">
        <v>1.7144027235600587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0.35824901544986398</v>
      </c>
      <c r="AC737">
        <v>0</v>
      </c>
      <c r="AD737">
        <v>0</v>
      </c>
      <c r="AE737">
        <v>0</v>
      </c>
      <c r="AF737">
        <v>0</v>
      </c>
      <c r="AG737">
        <v>0.64175098455013602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1.5582367991238759</v>
      </c>
      <c r="AN737">
        <v>1.5582367991238759</v>
      </c>
      <c r="AO737">
        <v>4.2296822114933574</v>
      </c>
      <c r="BF737">
        <v>0</v>
      </c>
      <c r="BG737">
        <v>0</v>
      </c>
      <c r="BH737">
        <v>0</v>
      </c>
      <c r="BJ737">
        <v>0.23642438131230997</v>
      </c>
      <c r="BK737">
        <v>0.23642438131230997</v>
      </c>
      <c r="BL737">
        <v>0.36840517117093657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0.63159482882906337</v>
      </c>
      <c r="BX737">
        <v>0</v>
      </c>
      <c r="BY737">
        <v>0</v>
      </c>
      <c r="BZ737">
        <v>0</v>
      </c>
      <c r="CA737">
        <v>0.23642438131230997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 spans="1:84" x14ac:dyDescent="0.25">
      <c r="A738" t="s">
        <v>128</v>
      </c>
      <c r="B738" t="s">
        <v>421</v>
      </c>
      <c r="C738" s="14" t="s">
        <v>72</v>
      </c>
      <c r="D738" s="12">
        <v>46223</v>
      </c>
      <c r="E738" s="14" t="s">
        <v>133</v>
      </c>
      <c r="F738" s="14" t="s">
        <v>133</v>
      </c>
      <c r="G738" s="14" t="s">
        <v>133</v>
      </c>
      <c r="H738" s="14" t="s">
        <v>74</v>
      </c>
      <c r="I738">
        <v>20</v>
      </c>
      <c r="J738">
        <v>4.440974877503046</v>
      </c>
      <c r="K738">
        <v>46223</v>
      </c>
      <c r="L738" t="s">
        <v>424</v>
      </c>
      <c r="M738">
        <v>4.75</v>
      </c>
      <c r="N738">
        <v>4.75</v>
      </c>
      <c r="O738">
        <v>7.5522129524886878</v>
      </c>
      <c r="P738">
        <v>1.0695849742502268</v>
      </c>
      <c r="Q738">
        <v>1.0695849742502268</v>
      </c>
      <c r="R738">
        <v>1.7005754729094407</v>
      </c>
      <c r="S738">
        <v>0.63099049865921386</v>
      </c>
      <c r="T738">
        <v>0</v>
      </c>
      <c r="U738">
        <v>0</v>
      </c>
      <c r="V738">
        <v>0</v>
      </c>
      <c r="W738">
        <v>0</v>
      </c>
      <c r="X738">
        <v>0.18041502574977319</v>
      </c>
      <c r="Y738">
        <v>6.9584974250226805E-2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0.9349420794743255</v>
      </c>
      <c r="AN738">
        <v>0.9349420794743255</v>
      </c>
      <c r="AO738">
        <v>1.5899395689449869</v>
      </c>
      <c r="AP738">
        <v>0.58993956894498689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0.9349420794743255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0.62895472226252946</v>
      </c>
      <c r="BK738">
        <v>0.62895472226252946</v>
      </c>
      <c r="BL738">
        <v>0.58803623592732612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0.37104527773747054</v>
      </c>
      <c r="BX738">
        <v>0</v>
      </c>
      <c r="BY738">
        <v>4.0918486335203341E-2</v>
      </c>
      <c r="BZ738">
        <v>0</v>
      </c>
      <c r="CA738">
        <v>0.58803623592732612</v>
      </c>
      <c r="CB738">
        <v>0</v>
      </c>
      <c r="CC738">
        <v>0</v>
      </c>
      <c r="CD738">
        <v>0</v>
      </c>
      <c r="CE738">
        <v>0</v>
      </c>
      <c r="CF738">
        <v>0</v>
      </c>
    </row>
    <row r="739" spans="1:84" x14ac:dyDescent="0.25">
      <c r="A739" t="s">
        <v>128</v>
      </c>
      <c r="B739" t="s">
        <v>421</v>
      </c>
      <c r="C739" s="14" t="s">
        <v>72</v>
      </c>
      <c r="D739" s="12">
        <v>46229</v>
      </c>
      <c r="E739" s="14" t="s">
        <v>134</v>
      </c>
      <c r="F739" s="14" t="s">
        <v>134</v>
      </c>
      <c r="G739" s="14" t="s">
        <v>134</v>
      </c>
      <c r="H739" s="14" t="s">
        <v>73</v>
      </c>
      <c r="I739">
        <v>20</v>
      </c>
      <c r="J739">
        <v>0</v>
      </c>
      <c r="K739">
        <v>46229</v>
      </c>
      <c r="L739" t="s">
        <v>438</v>
      </c>
      <c r="M739">
        <v>0.95</v>
      </c>
      <c r="N739">
        <v>0.95</v>
      </c>
      <c r="O739">
        <v>0.23529411764705879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0.24767801857585137</v>
      </c>
      <c r="AK739">
        <v>0</v>
      </c>
      <c r="AL739">
        <v>0</v>
      </c>
      <c r="AM739">
        <v>0</v>
      </c>
      <c r="AN739">
        <v>0</v>
      </c>
      <c r="AO739">
        <v>0.24767801857585137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0.75232198142414863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I739">
        <v>0</v>
      </c>
      <c r="BJ739">
        <v>4.0375000000000005</v>
      </c>
      <c r="BK739">
        <v>4.0375000000000005</v>
      </c>
      <c r="BL739">
        <v>0</v>
      </c>
      <c r="CC739">
        <v>0.75232198142414863</v>
      </c>
      <c r="CD739">
        <v>0.24767801857585137</v>
      </c>
    </row>
    <row r="740" spans="1:84" x14ac:dyDescent="0.25">
      <c r="A740" t="s">
        <v>128</v>
      </c>
      <c r="B740" t="s">
        <v>421</v>
      </c>
      <c r="C740" s="14" t="s">
        <v>72</v>
      </c>
      <c r="D740" s="12">
        <v>46247</v>
      </c>
      <c r="E740" s="14" t="s">
        <v>420</v>
      </c>
      <c r="F740" s="14" t="s">
        <v>420</v>
      </c>
      <c r="G740" s="14" t="s">
        <v>420</v>
      </c>
      <c r="H740" s="14" t="s">
        <v>73</v>
      </c>
      <c r="I740">
        <v>20</v>
      </c>
      <c r="J740">
        <v>1.869884158948651</v>
      </c>
      <c r="K740">
        <v>46247</v>
      </c>
      <c r="L740" t="s">
        <v>492</v>
      </c>
      <c r="M740">
        <v>1.9</v>
      </c>
      <c r="N740">
        <v>1.9</v>
      </c>
      <c r="O740">
        <v>0</v>
      </c>
      <c r="P740">
        <v>1.0161057255377155</v>
      </c>
      <c r="Q740">
        <v>1.0161057255377155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1.6105725537715498E-2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0.98414955734139531</v>
      </c>
      <c r="AN740">
        <v>0.98414955734139531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</row>
    <row r="741" spans="1:84" x14ac:dyDescent="0.25">
      <c r="A741" t="s">
        <v>128</v>
      </c>
      <c r="B741" t="s">
        <v>421</v>
      </c>
      <c r="C741" s="14" t="s">
        <v>72</v>
      </c>
      <c r="D741" s="12">
        <v>46229</v>
      </c>
      <c r="E741" s="14" t="s">
        <v>134</v>
      </c>
      <c r="F741" s="14" t="s">
        <v>134</v>
      </c>
      <c r="G741" s="14" t="s">
        <v>134</v>
      </c>
      <c r="H741" s="14" t="s">
        <v>75</v>
      </c>
      <c r="I741">
        <v>20</v>
      </c>
      <c r="J741">
        <v>2.4468546637744031</v>
      </c>
      <c r="K741">
        <v>46229</v>
      </c>
      <c r="L741" t="s">
        <v>440</v>
      </c>
      <c r="M741">
        <v>6.6499999999999995</v>
      </c>
      <c r="N741">
        <v>6.6499999999999995</v>
      </c>
      <c r="O741">
        <v>1.7716262975778552</v>
      </c>
      <c r="P741">
        <v>2.7177748226950356</v>
      </c>
      <c r="Q741">
        <v>2.7177748226950356</v>
      </c>
      <c r="R741">
        <v>0.72404230778669443</v>
      </c>
      <c r="S741">
        <v>0</v>
      </c>
      <c r="T741">
        <v>0</v>
      </c>
      <c r="U741">
        <v>1.4677748226950356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0.25</v>
      </c>
      <c r="AB741">
        <v>0</v>
      </c>
      <c r="AC741">
        <v>0</v>
      </c>
      <c r="AD741">
        <v>0</v>
      </c>
      <c r="AE741">
        <v>0.27595769221330557</v>
      </c>
      <c r="AF741">
        <v>0</v>
      </c>
      <c r="AG741">
        <v>0.72404230778669443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0.36794806974051175</v>
      </c>
      <c r="AN741">
        <v>0.36794806974051175</v>
      </c>
      <c r="AO741">
        <v>0.26640996956057977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0.63205193025948825</v>
      </c>
      <c r="BA741">
        <v>0</v>
      </c>
      <c r="BB741">
        <v>0.10153810017993198</v>
      </c>
      <c r="BC741">
        <v>0</v>
      </c>
      <c r="BD741">
        <v>0.26640996956057977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3.7536132812499985</v>
      </c>
      <c r="BK741">
        <v>3.7536132812499985</v>
      </c>
      <c r="BL741">
        <v>1.3811347613882858</v>
      </c>
      <c r="CC741">
        <v>0</v>
      </c>
      <c r="CD741">
        <v>0</v>
      </c>
      <c r="CE741">
        <v>0</v>
      </c>
    </row>
    <row r="742" spans="1:84" x14ac:dyDescent="0.25">
      <c r="A742" t="s">
        <v>128</v>
      </c>
      <c r="B742" t="s">
        <v>421</v>
      </c>
      <c r="C742" s="14" t="s">
        <v>72</v>
      </c>
      <c r="D742" s="12">
        <v>46246</v>
      </c>
      <c r="E742" s="14" t="s">
        <v>420</v>
      </c>
      <c r="F742" s="14" t="s">
        <v>420</v>
      </c>
      <c r="G742" s="14" t="s">
        <v>420</v>
      </c>
      <c r="H742" s="14" t="s">
        <v>75</v>
      </c>
      <c r="I742">
        <v>20</v>
      </c>
      <c r="J742">
        <v>1.5949011943973783</v>
      </c>
      <c r="K742">
        <v>46246</v>
      </c>
      <c r="L742" t="s">
        <v>491</v>
      </c>
      <c r="M742">
        <v>0.95</v>
      </c>
      <c r="N742">
        <v>0.95</v>
      </c>
      <c r="O742">
        <v>0.82352941176470573</v>
      </c>
      <c r="P742">
        <v>0.59564818393590235</v>
      </c>
      <c r="Q742">
        <v>0.59564818393590235</v>
      </c>
      <c r="R742">
        <v>0.51635136687941996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0.40435181606409765</v>
      </c>
      <c r="AD742">
        <v>0</v>
      </c>
      <c r="AE742">
        <v>7.9296817056482394E-2</v>
      </c>
      <c r="AF742">
        <v>0</v>
      </c>
      <c r="AG742">
        <v>0.51635136687941996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1.6788433625235561</v>
      </c>
      <c r="AN742">
        <v>1.6788433625235561</v>
      </c>
      <c r="AO742">
        <v>0.86687306501547978</v>
      </c>
      <c r="BF742">
        <v>0</v>
      </c>
      <c r="BG742">
        <v>0</v>
      </c>
      <c r="BH742">
        <v>0</v>
      </c>
      <c r="BJ742">
        <v>1.1535714285714287</v>
      </c>
      <c r="BK742">
        <v>1.1535714285714287</v>
      </c>
      <c r="BL742">
        <v>1.9366657360539596</v>
      </c>
      <c r="BM742">
        <v>0.78309430748253095</v>
      </c>
      <c r="BN742">
        <v>0</v>
      </c>
      <c r="BO742">
        <v>0</v>
      </c>
      <c r="BP742">
        <v>0</v>
      </c>
      <c r="BQ742">
        <v>0</v>
      </c>
      <c r="BR742">
        <v>0.34642857142857131</v>
      </c>
      <c r="BS742">
        <v>0.15357142857142869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</row>
    <row r="743" spans="1:84" x14ac:dyDescent="0.25">
      <c r="A743" t="s">
        <v>128</v>
      </c>
      <c r="B743" t="s">
        <v>421</v>
      </c>
      <c r="C743" s="14" t="s">
        <v>72</v>
      </c>
      <c r="D743" s="12">
        <v>46245</v>
      </c>
      <c r="E743" s="14" t="s">
        <v>420</v>
      </c>
      <c r="F743" s="14" t="s">
        <v>420</v>
      </c>
      <c r="G743" s="14" t="s">
        <v>420</v>
      </c>
      <c r="H743" s="14" t="s">
        <v>73</v>
      </c>
      <c r="I743">
        <v>20</v>
      </c>
      <c r="J743">
        <v>1.869884158948651</v>
      </c>
      <c r="K743">
        <v>46245</v>
      </c>
      <c r="L743" t="s">
        <v>486</v>
      </c>
      <c r="M743">
        <v>0.95</v>
      </c>
      <c r="N743">
        <v>0.95</v>
      </c>
      <c r="O743">
        <v>0</v>
      </c>
      <c r="P743">
        <v>0.50805286276885775</v>
      </c>
      <c r="Q743">
        <v>0.50805286276885775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0.49194713723114225</v>
      </c>
      <c r="AD743">
        <v>0</v>
      </c>
      <c r="AE743">
        <v>0</v>
      </c>
      <c r="AF743">
        <v>0</v>
      </c>
      <c r="AG743">
        <v>0</v>
      </c>
      <c r="AH743">
        <v>0.50805286276885775</v>
      </c>
      <c r="AI743">
        <v>0</v>
      </c>
      <c r="AJ743">
        <v>0</v>
      </c>
      <c r="AK743">
        <v>0</v>
      </c>
      <c r="AL743">
        <v>0</v>
      </c>
      <c r="AM743">
        <v>1.9682991146827906</v>
      </c>
      <c r="AN743">
        <v>1.9682991146827906</v>
      </c>
      <c r="AO743">
        <v>0</v>
      </c>
      <c r="BF743">
        <v>0</v>
      </c>
      <c r="BG743">
        <v>0</v>
      </c>
      <c r="BH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</row>
    <row r="744" spans="1:84" x14ac:dyDescent="0.25">
      <c r="A744" t="s">
        <v>128</v>
      </c>
      <c r="B744" t="s">
        <v>421</v>
      </c>
      <c r="C744" s="14" t="s">
        <v>72</v>
      </c>
      <c r="D744" s="12">
        <v>46230</v>
      </c>
      <c r="E744" s="14" t="s">
        <v>133</v>
      </c>
      <c r="F744" s="14" t="s">
        <v>133</v>
      </c>
      <c r="G744" s="14" t="s">
        <v>133</v>
      </c>
      <c r="H744" s="14" t="s">
        <v>74</v>
      </c>
      <c r="I744">
        <v>20</v>
      </c>
      <c r="J744">
        <v>4.440974877503046</v>
      </c>
      <c r="K744">
        <v>46230</v>
      </c>
      <c r="L744" t="s">
        <v>442</v>
      </c>
      <c r="M744">
        <v>4.75</v>
      </c>
      <c r="N744">
        <v>4.75</v>
      </c>
      <c r="O744">
        <v>12.987129996229257</v>
      </c>
      <c r="P744">
        <v>1.0695849742502268</v>
      </c>
      <c r="Q744">
        <v>1.0695849742502268</v>
      </c>
      <c r="R744">
        <v>2.9243871794949934</v>
      </c>
      <c r="S744">
        <v>1.8548022052447666</v>
      </c>
      <c r="T744">
        <v>0</v>
      </c>
      <c r="U744">
        <v>0</v>
      </c>
      <c r="V744">
        <v>0</v>
      </c>
      <c r="W744">
        <v>0</v>
      </c>
      <c r="X744">
        <v>0.18041502574977319</v>
      </c>
      <c r="Y744">
        <v>6.9584974250226805E-2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0.9349420794743255</v>
      </c>
      <c r="AN744">
        <v>0.9349420794743255</v>
      </c>
      <c r="AO744">
        <v>2.7341326307851066</v>
      </c>
      <c r="AP744">
        <v>1.7341326307851066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0.9349420794743255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0.36574670472838394</v>
      </c>
      <c r="BK744">
        <v>0.36574670472838394</v>
      </c>
      <c r="BL744">
        <v>0.34195198467963739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0.634253295271616</v>
      </c>
      <c r="BX744">
        <v>0</v>
      </c>
      <c r="BY744">
        <v>2.3794720048746554E-2</v>
      </c>
      <c r="BZ744">
        <v>0</v>
      </c>
      <c r="CA744">
        <v>0.34195198467963739</v>
      </c>
      <c r="CB744">
        <v>0</v>
      </c>
      <c r="CC744">
        <v>0</v>
      </c>
      <c r="CD744">
        <v>0</v>
      </c>
      <c r="CE744">
        <v>0</v>
      </c>
      <c r="CF744">
        <v>0</v>
      </c>
    </row>
    <row r="745" spans="1:84" x14ac:dyDescent="0.25">
      <c r="A745" t="s">
        <v>128</v>
      </c>
      <c r="B745" t="s">
        <v>421</v>
      </c>
      <c r="C745" s="14" t="s">
        <v>72</v>
      </c>
      <c r="D745" s="12">
        <v>46230</v>
      </c>
      <c r="E745" s="14" t="s">
        <v>133</v>
      </c>
      <c r="F745" s="14" t="s">
        <v>133</v>
      </c>
      <c r="G745" s="14" t="s">
        <v>133</v>
      </c>
      <c r="H745" s="14" t="s">
        <v>75</v>
      </c>
      <c r="I745">
        <v>20</v>
      </c>
      <c r="J745">
        <v>8.1807431954003462</v>
      </c>
      <c r="K745">
        <v>46230</v>
      </c>
      <c r="L745" t="s">
        <v>443</v>
      </c>
      <c r="M745">
        <v>6.6499999999999995</v>
      </c>
      <c r="N745">
        <v>6.6499999999999995</v>
      </c>
      <c r="O745">
        <v>12.399842100301662</v>
      </c>
      <c r="P745">
        <v>0.81288458043017253</v>
      </c>
      <c r="Q745">
        <v>0.81288458043017253</v>
      </c>
      <c r="R745">
        <v>1.5157354049780611</v>
      </c>
      <c r="S745">
        <v>0.51573540497806114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0.18711541956982747</v>
      </c>
      <c r="AC745">
        <v>0</v>
      </c>
      <c r="AD745">
        <v>0</v>
      </c>
      <c r="AE745">
        <v>0</v>
      </c>
      <c r="AF745">
        <v>0</v>
      </c>
      <c r="AG745">
        <v>0.81288458043017253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1.2301869466767439</v>
      </c>
      <c r="AN745">
        <v>1.2301869466767439</v>
      </c>
      <c r="AO745">
        <v>1.8646379098197989</v>
      </c>
      <c r="AP745">
        <v>0.63445096314305505</v>
      </c>
      <c r="AQ745">
        <v>0</v>
      </c>
      <c r="AR745">
        <v>0</v>
      </c>
      <c r="AS745">
        <v>0</v>
      </c>
      <c r="AT745">
        <v>0</v>
      </c>
      <c r="AU745">
        <v>0.26981305332325611</v>
      </c>
      <c r="AV745">
        <v>0.23018694667674389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0.53629715170632852</v>
      </c>
      <c r="BK745">
        <v>0.53629715170632852</v>
      </c>
      <c r="BL745">
        <v>0.6597457555690428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0.3402542444309572</v>
      </c>
      <c r="BX745">
        <v>0</v>
      </c>
      <c r="BY745">
        <v>0</v>
      </c>
      <c r="BZ745">
        <v>0</v>
      </c>
      <c r="CA745">
        <v>0.53629715170632852</v>
      </c>
      <c r="CB745">
        <v>0</v>
      </c>
      <c r="CC745">
        <v>0</v>
      </c>
      <c r="CD745">
        <v>0</v>
      </c>
      <c r="CE745">
        <v>0</v>
      </c>
      <c r="CF745">
        <v>0</v>
      </c>
    </row>
    <row r="746" spans="1:84" x14ac:dyDescent="0.25">
      <c r="A746" t="s">
        <v>128</v>
      </c>
      <c r="B746" t="s">
        <v>421</v>
      </c>
      <c r="C746" s="14" t="s">
        <v>72</v>
      </c>
      <c r="D746" s="12">
        <v>46223</v>
      </c>
      <c r="E746" s="14" t="s">
        <v>133</v>
      </c>
      <c r="F746" s="14" t="s">
        <v>133</v>
      </c>
      <c r="G746" s="14" t="s">
        <v>133</v>
      </c>
      <c r="H746" s="14" t="s">
        <v>75</v>
      </c>
      <c r="I746">
        <v>20</v>
      </c>
      <c r="J746">
        <v>8.1223093154332009</v>
      </c>
      <c r="K746">
        <v>46223</v>
      </c>
      <c r="L746" t="s">
        <v>425</v>
      </c>
      <c r="M746">
        <v>6.6499999999999995</v>
      </c>
      <c r="N746">
        <v>6.6499999999999995</v>
      </c>
      <c r="O746">
        <v>6.975779398297778</v>
      </c>
      <c r="P746">
        <v>0.81873267093686442</v>
      </c>
      <c r="Q746">
        <v>0.81873267093686442</v>
      </c>
      <c r="R746">
        <v>0.85884187949393886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4.0109208557074449E-2</v>
      </c>
      <c r="AC746">
        <v>0.14115812050606114</v>
      </c>
      <c r="AD746">
        <v>0</v>
      </c>
      <c r="AE746">
        <v>0</v>
      </c>
      <c r="AF746">
        <v>0</v>
      </c>
      <c r="AG746">
        <v>0.81873267093686442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1.2213998970576243</v>
      </c>
      <c r="AN746">
        <v>1.2213998970576243</v>
      </c>
      <c r="AO746">
        <v>1.0489893832026735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4.8989383202673542E-2</v>
      </c>
      <c r="AW746">
        <v>0</v>
      </c>
      <c r="AX746">
        <v>0.17241051385495076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0.95329849473490014</v>
      </c>
      <c r="BK746">
        <v>0.95329849473490014</v>
      </c>
      <c r="BL746">
        <v>1.1643586833343953</v>
      </c>
      <c r="BM746">
        <v>0.16435868333439529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0.18126732906313558</v>
      </c>
      <c r="BW746">
        <v>0</v>
      </c>
      <c r="BX746">
        <v>0</v>
      </c>
      <c r="BY746">
        <v>0</v>
      </c>
      <c r="BZ746">
        <v>0</v>
      </c>
      <c r="CA746">
        <v>0.95329849473490014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 spans="1:84" x14ac:dyDescent="0.25">
      <c r="A747" t="s">
        <v>128</v>
      </c>
      <c r="B747" t="s">
        <v>421</v>
      </c>
      <c r="C747" s="14" t="s">
        <v>72</v>
      </c>
      <c r="D747" s="12">
        <v>46231</v>
      </c>
      <c r="E747" s="14" t="s">
        <v>133</v>
      </c>
      <c r="F747" s="14" t="s">
        <v>133</v>
      </c>
      <c r="G747" s="14" t="s">
        <v>133</v>
      </c>
      <c r="H747" s="14" t="s">
        <v>74</v>
      </c>
      <c r="I747">
        <v>20</v>
      </c>
      <c r="J747">
        <v>4.440974877503046</v>
      </c>
      <c r="K747">
        <v>46231</v>
      </c>
      <c r="L747" t="s">
        <v>445</v>
      </c>
      <c r="M747">
        <v>4.75</v>
      </c>
      <c r="N747">
        <v>4.75</v>
      </c>
      <c r="O747">
        <v>11.283208427601808</v>
      </c>
      <c r="P747">
        <v>1.0695849742502268</v>
      </c>
      <c r="Q747">
        <v>1.0695849742502268</v>
      </c>
      <c r="R747">
        <v>2.5407053043150363</v>
      </c>
      <c r="S747">
        <v>1.4711203300648095</v>
      </c>
      <c r="T747">
        <v>0</v>
      </c>
      <c r="U747">
        <v>0</v>
      </c>
      <c r="V747">
        <v>0</v>
      </c>
      <c r="W747">
        <v>0</v>
      </c>
      <c r="X747">
        <v>0.18041502574977319</v>
      </c>
      <c r="Y747">
        <v>6.9584974250226805E-2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0.9349420794743255</v>
      </c>
      <c r="AN747">
        <v>0.9349420794743255</v>
      </c>
      <c r="AO747">
        <v>2.3754123005477492</v>
      </c>
      <c r="AP747">
        <v>1.3754123005477492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0.9349420794743255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0.42097954943207494</v>
      </c>
      <c r="BK747">
        <v>0.42097954943207494</v>
      </c>
      <c r="BL747">
        <v>0.39359149536218874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0.57902045056792506</v>
      </c>
      <c r="BX747">
        <v>0</v>
      </c>
      <c r="BY747">
        <v>2.7388054069886203E-2</v>
      </c>
      <c r="BZ747">
        <v>0</v>
      </c>
      <c r="CA747">
        <v>0.39359149536218874</v>
      </c>
      <c r="CB747">
        <v>0</v>
      </c>
      <c r="CC747">
        <v>0</v>
      </c>
      <c r="CD747">
        <v>0</v>
      </c>
      <c r="CE747">
        <v>0</v>
      </c>
      <c r="CF747">
        <v>0</v>
      </c>
    </row>
    <row r="748" spans="1:84" x14ac:dyDescent="0.25">
      <c r="A748" t="s">
        <v>128</v>
      </c>
      <c r="B748" t="s">
        <v>421</v>
      </c>
      <c r="C748" s="14" t="s">
        <v>72</v>
      </c>
      <c r="D748" s="12">
        <v>46246</v>
      </c>
      <c r="E748" s="14" t="s">
        <v>420</v>
      </c>
      <c r="F748" s="14" t="s">
        <v>420</v>
      </c>
      <c r="G748" s="14" t="s">
        <v>420</v>
      </c>
      <c r="H748" s="14" t="s">
        <v>74</v>
      </c>
      <c r="I748">
        <v>20</v>
      </c>
      <c r="J748">
        <v>0</v>
      </c>
      <c r="K748">
        <v>46246</v>
      </c>
      <c r="L748" t="s">
        <v>490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F748">
        <v>0</v>
      </c>
    </row>
    <row r="749" spans="1:84" x14ac:dyDescent="0.25">
      <c r="A749" t="s">
        <v>128</v>
      </c>
      <c r="B749" t="s">
        <v>421</v>
      </c>
      <c r="C749" s="14" t="s">
        <v>72</v>
      </c>
      <c r="D749" s="12">
        <v>46247</v>
      </c>
      <c r="E749" s="14" t="s">
        <v>420</v>
      </c>
      <c r="F749" s="14" t="s">
        <v>420</v>
      </c>
      <c r="G749" s="14" t="s">
        <v>420</v>
      </c>
      <c r="H749" s="14" t="s">
        <v>75</v>
      </c>
      <c r="I749">
        <v>20</v>
      </c>
      <c r="J749">
        <v>1.4299114156666153</v>
      </c>
      <c r="K749">
        <v>46247</v>
      </c>
      <c r="L749" t="s">
        <v>494</v>
      </c>
      <c r="M749">
        <v>0</v>
      </c>
      <c r="N749">
        <v>0</v>
      </c>
      <c r="O749">
        <v>0.86877828054298623</v>
      </c>
      <c r="P749">
        <v>0</v>
      </c>
      <c r="Q749">
        <v>0</v>
      </c>
      <c r="R749">
        <v>0.60757489661551345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0.60757489661551345</v>
      </c>
      <c r="AC749">
        <v>0.39242510338448655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J749">
        <v>0</v>
      </c>
      <c r="BK749">
        <v>0</v>
      </c>
      <c r="BL749">
        <v>1.6458876190745939</v>
      </c>
      <c r="BM749">
        <v>0.64588761907459391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</row>
    <row r="750" spans="1:84" x14ac:dyDescent="0.25">
      <c r="A750" t="s">
        <v>128</v>
      </c>
      <c r="B750" t="s">
        <v>421</v>
      </c>
      <c r="C750" s="14" t="s">
        <v>72</v>
      </c>
      <c r="D750" s="12">
        <v>46247</v>
      </c>
      <c r="E750" s="14" t="s">
        <v>420</v>
      </c>
      <c r="F750" s="14" t="s">
        <v>420</v>
      </c>
      <c r="G750" s="14" t="s">
        <v>420</v>
      </c>
      <c r="H750" s="14" t="s">
        <v>74</v>
      </c>
      <c r="I750">
        <v>20</v>
      </c>
      <c r="J750">
        <v>0</v>
      </c>
      <c r="K750">
        <v>46247</v>
      </c>
      <c r="L750" t="s">
        <v>493</v>
      </c>
      <c r="M750">
        <v>0.95</v>
      </c>
      <c r="N750">
        <v>0.95</v>
      </c>
      <c r="O750">
        <v>0.92307692307692291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0.97165991902833992</v>
      </c>
      <c r="AK750">
        <v>0</v>
      </c>
      <c r="AL750">
        <v>0</v>
      </c>
      <c r="AM750">
        <v>0</v>
      </c>
      <c r="AN750">
        <v>0</v>
      </c>
      <c r="AO750">
        <v>0.97165991902833992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2.8340080971660075E-2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I750">
        <v>0</v>
      </c>
      <c r="BJ750">
        <v>1.0291666666666668</v>
      </c>
      <c r="BK750">
        <v>1.0291666666666668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2.9166666666666785E-2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</v>
      </c>
      <c r="CC750">
        <v>2.8340080971660075E-2</v>
      </c>
      <c r="CD750">
        <v>0.97165991902833992</v>
      </c>
      <c r="CF750">
        <v>0</v>
      </c>
    </row>
    <row r="751" spans="1:84" x14ac:dyDescent="0.25">
      <c r="A751" t="s">
        <v>128</v>
      </c>
      <c r="B751" t="s">
        <v>421</v>
      </c>
      <c r="C751" s="14" t="s">
        <v>117</v>
      </c>
      <c r="D751" s="12">
        <v>46250</v>
      </c>
      <c r="E751" s="14"/>
      <c r="F751" s="14"/>
      <c r="G751" s="14"/>
      <c r="H751" s="14"/>
      <c r="J751">
        <v>31.01679597801828</v>
      </c>
      <c r="M751">
        <v>66.500000000000014</v>
      </c>
      <c r="N751">
        <v>66.500000000000014</v>
      </c>
      <c r="O751">
        <v>18.497224902404398</v>
      </c>
      <c r="S751">
        <v>0</v>
      </c>
      <c r="T751">
        <v>0</v>
      </c>
      <c r="U751">
        <v>1.1243660435455392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0.10975275104033265</v>
      </c>
      <c r="AB751">
        <v>6.0688181413402625E-3</v>
      </c>
      <c r="AC751">
        <v>0.16046338687171696</v>
      </c>
      <c r="AD751">
        <v>0</v>
      </c>
      <c r="AE751">
        <v>0.20465987684708753</v>
      </c>
      <c r="AF751">
        <v>0</v>
      </c>
      <c r="AG751">
        <v>0.58270672133409873</v>
      </c>
      <c r="AH751">
        <v>4.6101196805756431E-2</v>
      </c>
      <c r="AI751">
        <v>0</v>
      </c>
      <c r="AJ751">
        <v>0</v>
      </c>
      <c r="AK751">
        <v>0</v>
      </c>
      <c r="AL751">
        <v>0</v>
      </c>
    </row>
    <row r="752" spans="1:84" x14ac:dyDescent="0.25">
      <c r="A752" t="s">
        <v>128</v>
      </c>
      <c r="B752" t="s">
        <v>421</v>
      </c>
      <c r="C752" s="14" t="s">
        <v>72</v>
      </c>
      <c r="D752" s="12">
        <v>46228</v>
      </c>
      <c r="E752" s="14" t="s">
        <v>134</v>
      </c>
      <c r="F752" s="14" t="s">
        <v>134</v>
      </c>
      <c r="G752" s="14" t="s">
        <v>134</v>
      </c>
      <c r="H752" s="14" t="s">
        <v>75</v>
      </c>
      <c r="I752">
        <v>20</v>
      </c>
      <c r="J752">
        <v>2.4468546637744031</v>
      </c>
      <c r="K752">
        <v>46228</v>
      </c>
      <c r="L752" t="s">
        <v>437</v>
      </c>
      <c r="M752">
        <v>4.75</v>
      </c>
      <c r="N752">
        <v>4.75</v>
      </c>
      <c r="O752">
        <v>1.7716262975778552</v>
      </c>
      <c r="P752">
        <v>1.9412677304964543</v>
      </c>
      <c r="Q752">
        <v>1.9412677304964543</v>
      </c>
      <c r="R752">
        <v>0.72404230778669443</v>
      </c>
      <c r="S752">
        <v>0</v>
      </c>
      <c r="T752">
        <v>0</v>
      </c>
      <c r="U752">
        <v>0.69126773049645429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0.25</v>
      </c>
      <c r="AB752">
        <v>0</v>
      </c>
      <c r="AC752">
        <v>0</v>
      </c>
      <c r="AD752">
        <v>0</v>
      </c>
      <c r="AE752">
        <v>0.27595769221330557</v>
      </c>
      <c r="AF752">
        <v>0</v>
      </c>
      <c r="AG752">
        <v>0.72404230778669443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0.51512729763671639</v>
      </c>
      <c r="AN752">
        <v>0.51512729763671639</v>
      </c>
      <c r="AO752">
        <v>0.37297395738481159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0.48487270236328361</v>
      </c>
      <c r="BA752">
        <v>0</v>
      </c>
      <c r="BB752">
        <v>0.14215334025190479</v>
      </c>
      <c r="BC752">
        <v>0</v>
      </c>
      <c r="BD752">
        <v>0.37297395738481159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2.6811523437499991</v>
      </c>
      <c r="BK752">
        <v>2.6811523437499991</v>
      </c>
      <c r="BL752">
        <v>1.3811347613882858</v>
      </c>
      <c r="CC752">
        <v>0</v>
      </c>
      <c r="CD752">
        <v>0</v>
      </c>
      <c r="CE752">
        <v>0</v>
      </c>
    </row>
    <row r="753" spans="1:84" x14ac:dyDescent="0.25">
      <c r="A753" t="s">
        <v>128</v>
      </c>
      <c r="B753" t="s">
        <v>421</v>
      </c>
      <c r="C753" s="14" t="s">
        <v>72</v>
      </c>
      <c r="D753" s="12">
        <v>46245</v>
      </c>
      <c r="E753" s="14" t="s">
        <v>420</v>
      </c>
      <c r="F753" s="14" t="s">
        <v>420</v>
      </c>
      <c r="G753" s="14" t="s">
        <v>420</v>
      </c>
      <c r="H753" s="14" t="s">
        <v>74</v>
      </c>
      <c r="I753">
        <v>20</v>
      </c>
      <c r="J753">
        <v>0</v>
      </c>
      <c r="K753">
        <v>46245</v>
      </c>
      <c r="L753" t="s">
        <v>487</v>
      </c>
      <c r="M753">
        <v>0.95</v>
      </c>
      <c r="N753">
        <v>0.95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</v>
      </c>
      <c r="CF753">
        <v>0</v>
      </c>
    </row>
    <row r="754" spans="1:84" x14ac:dyDescent="0.25">
      <c r="A754" t="s">
        <v>128</v>
      </c>
      <c r="B754" t="s">
        <v>421</v>
      </c>
      <c r="C754" s="14" t="s">
        <v>72</v>
      </c>
      <c r="D754" s="12">
        <v>46230</v>
      </c>
      <c r="E754" s="14" t="s">
        <v>133</v>
      </c>
      <c r="F754" s="14" t="s">
        <v>133</v>
      </c>
      <c r="G754" s="14" t="s">
        <v>133</v>
      </c>
      <c r="H754" s="14" t="s">
        <v>73</v>
      </c>
      <c r="I754">
        <v>20</v>
      </c>
      <c r="J754">
        <v>9.9337595944147079</v>
      </c>
      <c r="K754">
        <v>46230</v>
      </c>
      <c r="L754" t="s">
        <v>441</v>
      </c>
      <c r="M754">
        <v>43.7</v>
      </c>
      <c r="N754">
        <v>43.7</v>
      </c>
      <c r="O754">
        <v>13.149317142722481</v>
      </c>
      <c r="P754">
        <v>4.3991400823279916</v>
      </c>
      <c r="Q754">
        <v>4.3991400823279916</v>
      </c>
      <c r="R754">
        <v>1.3236999564712368</v>
      </c>
      <c r="S754">
        <v>0</v>
      </c>
      <c r="T754">
        <v>0</v>
      </c>
      <c r="U754">
        <v>3.0754401258567547</v>
      </c>
      <c r="V754">
        <v>0</v>
      </c>
      <c r="W754">
        <v>7.3699956471236838E-2</v>
      </c>
      <c r="X754">
        <v>0</v>
      </c>
      <c r="Y754">
        <v>0.25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0.22731715319026793</v>
      </c>
      <c r="AN754">
        <v>0.22731715319026793</v>
      </c>
      <c r="AO754">
        <v>0.30089970578312314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0.69910029421687692</v>
      </c>
      <c r="BA754">
        <v>0</v>
      </c>
      <c r="BB754">
        <v>0</v>
      </c>
      <c r="BC754">
        <v>0</v>
      </c>
      <c r="BD754">
        <v>0.22731715319026793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3.3233664931555675</v>
      </c>
      <c r="BK754">
        <v>3.3233664931555675</v>
      </c>
      <c r="BL754">
        <v>0.75545821023204762</v>
      </c>
      <c r="CC754">
        <v>0</v>
      </c>
      <c r="CD754">
        <v>0</v>
      </c>
      <c r="CE754">
        <v>0</v>
      </c>
    </row>
    <row r="755" spans="1:84" x14ac:dyDescent="0.25">
      <c r="A755" t="s">
        <v>128</v>
      </c>
      <c r="B755" t="s">
        <v>421</v>
      </c>
      <c r="C755" s="14" t="s">
        <v>72</v>
      </c>
      <c r="D755" s="12">
        <v>46245</v>
      </c>
      <c r="E755" s="14" t="s">
        <v>420</v>
      </c>
      <c r="F755" s="14" t="s">
        <v>420</v>
      </c>
      <c r="G755" s="14" t="s">
        <v>420</v>
      </c>
      <c r="H755" s="14" t="s">
        <v>75</v>
      </c>
      <c r="I755">
        <v>20</v>
      </c>
      <c r="J755">
        <v>1.4299114156666155</v>
      </c>
      <c r="K755">
        <v>46245</v>
      </c>
      <c r="L755" t="s">
        <v>488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</row>
    <row r="756" spans="1:84" x14ac:dyDescent="0.25">
      <c r="A756" t="s">
        <v>128</v>
      </c>
      <c r="B756" t="s">
        <v>421</v>
      </c>
      <c r="C756" s="14" t="s">
        <v>72</v>
      </c>
      <c r="D756" s="12">
        <v>46231</v>
      </c>
      <c r="E756" s="14" t="s">
        <v>133</v>
      </c>
      <c r="F756" s="14" t="s">
        <v>133</v>
      </c>
      <c r="G756" s="14" t="s">
        <v>133</v>
      </c>
      <c r="H756" s="14" t="s">
        <v>73</v>
      </c>
      <c r="I756">
        <v>20</v>
      </c>
      <c r="J756">
        <v>9.9337595944147079</v>
      </c>
      <c r="K756">
        <v>46231</v>
      </c>
      <c r="L756" t="s">
        <v>444</v>
      </c>
      <c r="M756">
        <v>28.5</v>
      </c>
      <c r="N756">
        <v>28.5</v>
      </c>
      <c r="O756">
        <v>13.914090780542988</v>
      </c>
      <c r="P756">
        <v>2.8690044015182559</v>
      </c>
      <c r="Q756">
        <v>2.8690044015182559</v>
      </c>
      <c r="R756">
        <v>1.4006872874562251</v>
      </c>
      <c r="S756">
        <v>0</v>
      </c>
      <c r="T756">
        <v>0</v>
      </c>
      <c r="U756">
        <v>1.4683171140620308</v>
      </c>
      <c r="V756">
        <v>0</v>
      </c>
      <c r="W756">
        <v>0.15068728745622506</v>
      </c>
      <c r="X756">
        <v>0</v>
      </c>
      <c r="Y756">
        <v>0.25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0.34855296822507748</v>
      </c>
      <c r="AN756">
        <v>0.34855296822507748</v>
      </c>
      <c r="AO756">
        <v>0.48821371159799959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0.51178628840200036</v>
      </c>
      <c r="BA756">
        <v>0</v>
      </c>
      <c r="BB756">
        <v>0</v>
      </c>
      <c r="BC756">
        <v>0</v>
      </c>
      <c r="BD756">
        <v>0.34855296822507748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2.0482833157775189</v>
      </c>
      <c r="BK756">
        <v>2.0482833157775189</v>
      </c>
      <c r="BL756">
        <v>0.71393522948015786</v>
      </c>
      <c r="CC756">
        <v>0</v>
      </c>
      <c r="CD756">
        <v>0</v>
      </c>
      <c r="CE756">
        <v>0</v>
      </c>
    </row>
    <row r="757" spans="1:84" x14ac:dyDescent="0.25">
      <c r="A757" t="s">
        <v>128</v>
      </c>
      <c r="B757" t="s">
        <v>421</v>
      </c>
      <c r="C757" s="14" t="s">
        <v>72</v>
      </c>
      <c r="D757" s="12">
        <v>46231</v>
      </c>
      <c r="E757" s="14" t="s">
        <v>133</v>
      </c>
      <c r="F757" s="14" t="s">
        <v>133</v>
      </c>
      <c r="G757" s="14" t="s">
        <v>133</v>
      </c>
      <c r="H757" s="14" t="s">
        <v>75</v>
      </c>
      <c r="I757">
        <v>20</v>
      </c>
      <c r="J757">
        <v>8.1807431954003444</v>
      </c>
      <c r="K757">
        <v>46231</v>
      </c>
      <c r="L757" t="s">
        <v>446</v>
      </c>
      <c r="M757">
        <v>6.6499999999999995</v>
      </c>
      <c r="N757">
        <v>6.6499999999999995</v>
      </c>
      <c r="O757">
        <v>12.357263386123677</v>
      </c>
      <c r="P757">
        <v>0.81288458043017275</v>
      </c>
      <c r="Q757">
        <v>0.81288458043017275</v>
      </c>
      <c r="R757">
        <v>1.5105306560743279</v>
      </c>
      <c r="S757">
        <v>0.5105306560743279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0.18711541956982725</v>
      </c>
      <c r="AC757">
        <v>0</v>
      </c>
      <c r="AD757">
        <v>0</v>
      </c>
      <c r="AE757">
        <v>0</v>
      </c>
      <c r="AF757">
        <v>0</v>
      </c>
      <c r="AG757">
        <v>0.81288458043017275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1.2301869466767437</v>
      </c>
      <c r="AN757">
        <v>1.2301869466767437</v>
      </c>
      <c r="AO757">
        <v>1.8582350956576958</v>
      </c>
      <c r="AP757">
        <v>0.62804814898095218</v>
      </c>
      <c r="AQ757">
        <v>0</v>
      </c>
      <c r="AR757">
        <v>0</v>
      </c>
      <c r="AS757">
        <v>0</v>
      </c>
      <c r="AT757">
        <v>0</v>
      </c>
      <c r="AU757">
        <v>0.26981305332325634</v>
      </c>
      <c r="AV757">
        <v>0.23018694667674366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0.53814504006343944</v>
      </c>
      <c r="BK757">
        <v>0.53814504006343944</v>
      </c>
      <c r="BL757">
        <v>0.66201900370487643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0.33798099629512357</v>
      </c>
      <c r="BX757">
        <v>0</v>
      </c>
      <c r="BY757">
        <v>0</v>
      </c>
      <c r="BZ757">
        <v>0</v>
      </c>
      <c r="CA757">
        <v>0.53814504006343944</v>
      </c>
      <c r="CB757">
        <v>0</v>
      </c>
      <c r="CC757">
        <v>0</v>
      </c>
      <c r="CD757">
        <v>0</v>
      </c>
      <c r="CE757">
        <v>0</v>
      </c>
      <c r="CF757">
        <v>0</v>
      </c>
    </row>
    <row r="758" spans="1:84" x14ac:dyDescent="0.25">
      <c r="A758" t="s">
        <v>128</v>
      </c>
      <c r="B758" t="s">
        <v>421</v>
      </c>
      <c r="C758" s="14" t="s">
        <v>72</v>
      </c>
      <c r="D758" s="12">
        <v>46224</v>
      </c>
      <c r="E758" s="14" t="s">
        <v>133</v>
      </c>
      <c r="F758" s="14" t="s">
        <v>133</v>
      </c>
      <c r="G758" s="14" t="s">
        <v>133</v>
      </c>
      <c r="H758" s="14" t="s">
        <v>73</v>
      </c>
      <c r="I758">
        <v>20</v>
      </c>
      <c r="J758">
        <v>9.9337595944147097</v>
      </c>
      <c r="K758">
        <v>46224</v>
      </c>
      <c r="L758" t="s">
        <v>426</v>
      </c>
      <c r="M758">
        <v>36.1</v>
      </c>
      <c r="N758">
        <v>36.1</v>
      </c>
      <c r="O758">
        <v>8.2912141779788833</v>
      </c>
      <c r="P758">
        <v>3.6340722419231235</v>
      </c>
      <c r="Q758">
        <v>3.6340722419231235</v>
      </c>
      <c r="R758">
        <v>0.83465017440533262</v>
      </c>
      <c r="S758">
        <v>0</v>
      </c>
      <c r="T758">
        <v>0</v>
      </c>
      <c r="U758">
        <v>2.3840722419231235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0.25</v>
      </c>
      <c r="AB758">
        <v>0</v>
      </c>
      <c r="AC758">
        <v>0</v>
      </c>
      <c r="AD758">
        <v>0</v>
      </c>
      <c r="AE758">
        <v>0.16534982559466738</v>
      </c>
      <c r="AF758">
        <v>0</v>
      </c>
      <c r="AG758">
        <v>0.83465017440533262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0.27517339596716645</v>
      </c>
      <c r="AN758">
        <v>0.27517339596716645</v>
      </c>
      <c r="AO758">
        <v>0.22967352293570312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0.7248266040328335</v>
      </c>
      <c r="BA758">
        <v>0</v>
      </c>
      <c r="BB758">
        <v>4.5499873031463328E-2</v>
      </c>
      <c r="BC758">
        <v>0</v>
      </c>
      <c r="BD758">
        <v>0.22967352293570312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4.3540064488841796</v>
      </c>
      <c r="BK758">
        <v>4.3540064488841796</v>
      </c>
      <c r="BL758">
        <v>1.1981067406024026</v>
      </c>
      <c r="CC758">
        <v>0</v>
      </c>
      <c r="CD758">
        <v>0</v>
      </c>
      <c r="CE758">
        <v>0</v>
      </c>
    </row>
    <row r="759" spans="1:84" x14ac:dyDescent="0.25">
      <c r="A759" t="s">
        <v>128</v>
      </c>
      <c r="B759" t="s">
        <v>421</v>
      </c>
      <c r="C759" s="14" t="s">
        <v>72</v>
      </c>
      <c r="D759" s="12">
        <v>46244</v>
      </c>
      <c r="E759" s="14" t="s">
        <v>420</v>
      </c>
      <c r="F759" s="14" t="s">
        <v>420</v>
      </c>
      <c r="G759" s="14" t="s">
        <v>420</v>
      </c>
      <c r="H759" s="14" t="s">
        <v>75</v>
      </c>
      <c r="I759">
        <v>20</v>
      </c>
      <c r="J759">
        <v>1.4299114156666155</v>
      </c>
      <c r="K759">
        <v>46244</v>
      </c>
      <c r="L759" t="s">
        <v>485</v>
      </c>
      <c r="M759">
        <v>0</v>
      </c>
      <c r="N759">
        <v>0</v>
      </c>
      <c r="O759">
        <v>0.82352941176470573</v>
      </c>
      <c r="P759">
        <v>0</v>
      </c>
      <c r="Q759">
        <v>0</v>
      </c>
      <c r="R759">
        <v>0.57593037075012199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0.57593037075012199</v>
      </c>
      <c r="AC759">
        <v>0.42406962924987801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J759">
        <v>0</v>
      </c>
      <c r="BK759">
        <v>0</v>
      </c>
      <c r="BL759">
        <v>1.7363210047380335</v>
      </c>
      <c r="BM759">
        <v>0.73632100473803352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</row>
    <row r="760" spans="1:84" x14ac:dyDescent="0.25">
      <c r="A760" t="s">
        <v>128</v>
      </c>
      <c r="B760" t="s">
        <v>421</v>
      </c>
      <c r="C760" s="14" t="s">
        <v>72</v>
      </c>
      <c r="D760" s="12">
        <v>46246</v>
      </c>
      <c r="E760" s="14" t="s">
        <v>420</v>
      </c>
      <c r="F760" s="14" t="s">
        <v>420</v>
      </c>
      <c r="G760" s="14" t="s">
        <v>420</v>
      </c>
      <c r="H760" s="14" t="s">
        <v>73</v>
      </c>
      <c r="I760">
        <v>20</v>
      </c>
      <c r="J760">
        <v>1.636148639080069</v>
      </c>
      <c r="K760">
        <v>46246</v>
      </c>
      <c r="L760" t="s">
        <v>489</v>
      </c>
      <c r="M760">
        <v>1.9</v>
      </c>
      <c r="N760">
        <v>1.9</v>
      </c>
      <c r="O760">
        <v>0</v>
      </c>
      <c r="P760">
        <v>1.1612636863288182</v>
      </c>
      <c r="Q760">
        <v>1.1612636863288182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0.16126368632881816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0.86113086267372063</v>
      </c>
      <c r="AN760">
        <v>0.86113086267372063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</row>
    <row r="761" spans="1:84" x14ac:dyDescent="0.25">
      <c r="A761" t="s">
        <v>128</v>
      </c>
      <c r="B761" t="s">
        <v>422</v>
      </c>
      <c r="C761" s="14" t="s">
        <v>72</v>
      </c>
      <c r="D761" s="12">
        <v>46225</v>
      </c>
      <c r="E761" s="14" t="s">
        <v>133</v>
      </c>
      <c r="F761" s="14" t="s">
        <v>133</v>
      </c>
      <c r="G761" s="14" t="s">
        <v>133</v>
      </c>
      <c r="H761" s="14" t="s">
        <v>75</v>
      </c>
      <c r="I761">
        <v>20</v>
      </c>
      <c r="J761">
        <v>10.80347035538737</v>
      </c>
      <c r="K761">
        <v>46225</v>
      </c>
      <c r="L761" t="s">
        <v>431</v>
      </c>
      <c r="M761">
        <v>6.6499999999999995</v>
      </c>
      <c r="N761">
        <v>6.6499999999999995</v>
      </c>
      <c r="O761">
        <v>6.6307438192668346</v>
      </c>
      <c r="P761">
        <v>0.61554294881587213</v>
      </c>
      <c r="Q761">
        <v>0.61554294881587213</v>
      </c>
      <c r="R761">
        <v>0.6137605418577633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0.38445705118412787</v>
      </c>
      <c r="AD761">
        <v>0</v>
      </c>
      <c r="AE761">
        <v>1.7824069581088287E-3</v>
      </c>
      <c r="AF761">
        <v>0</v>
      </c>
      <c r="AG761">
        <v>0.6137605418577633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1.624582008328928</v>
      </c>
      <c r="AN761">
        <v>1.624582008328928</v>
      </c>
      <c r="AO761">
        <v>0.99710433372433616</v>
      </c>
      <c r="BF761">
        <v>0</v>
      </c>
      <c r="BG761">
        <v>0</v>
      </c>
      <c r="BH761">
        <v>0</v>
      </c>
      <c r="BJ761">
        <v>1.0029040755091778</v>
      </c>
      <c r="BK761">
        <v>1.0029040755091778</v>
      </c>
      <c r="BL761">
        <v>1.6292999171519669</v>
      </c>
      <c r="BM761">
        <v>0.62639584164278905</v>
      </c>
      <c r="BN761">
        <v>0</v>
      </c>
      <c r="BO761">
        <v>0</v>
      </c>
      <c r="BP761">
        <v>0</v>
      </c>
      <c r="BQ761">
        <v>0</v>
      </c>
      <c r="BR761">
        <v>0.49709592449082218</v>
      </c>
      <c r="BS761">
        <v>2.904075509177817E-3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</row>
    <row r="762" spans="1:84" x14ac:dyDescent="0.25">
      <c r="A762" t="s">
        <v>128</v>
      </c>
      <c r="B762" t="s">
        <v>422</v>
      </c>
      <c r="C762" s="14" t="s">
        <v>109</v>
      </c>
      <c r="D762" s="12">
        <v>46243</v>
      </c>
      <c r="E762" s="14" t="s">
        <v>134</v>
      </c>
      <c r="F762" s="14" t="s">
        <v>134</v>
      </c>
      <c r="G762" s="14" t="s">
        <v>134</v>
      </c>
      <c r="H762" s="14"/>
      <c r="J762">
        <v>8.1518697913855913</v>
      </c>
      <c r="M762">
        <v>3.8</v>
      </c>
      <c r="N762">
        <v>3.8</v>
      </c>
      <c r="O762">
        <v>3.636274509803922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9.861805808981243E-2</v>
      </c>
      <c r="AC762">
        <v>0.43523121854907437</v>
      </c>
      <c r="AD762">
        <v>0</v>
      </c>
      <c r="AE762">
        <v>0.11870246748127412</v>
      </c>
      <c r="AF762">
        <v>0</v>
      </c>
      <c r="AG762">
        <v>0.34744825587983902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84" x14ac:dyDescent="0.25">
      <c r="A763" t="s">
        <v>128</v>
      </c>
      <c r="B763" t="s">
        <v>422</v>
      </c>
      <c r="C763" s="14" t="s">
        <v>109</v>
      </c>
      <c r="D763" s="12">
        <v>46239</v>
      </c>
      <c r="E763" s="14" t="s">
        <v>134</v>
      </c>
      <c r="F763" s="14" t="s">
        <v>134</v>
      </c>
      <c r="G763" s="14" t="s">
        <v>134</v>
      </c>
      <c r="H763" s="14"/>
      <c r="J763">
        <v>9.8330447905423632</v>
      </c>
      <c r="M763">
        <v>8.5500000000000007</v>
      </c>
      <c r="N763">
        <v>8.5500000000000007</v>
      </c>
      <c r="O763">
        <v>4.6157128914914392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1.2557314321711867E-2</v>
      </c>
      <c r="AB763">
        <v>0</v>
      </c>
      <c r="AC763">
        <v>0.14304027436847416</v>
      </c>
      <c r="AD763">
        <v>0</v>
      </c>
      <c r="AE763">
        <v>0.38755142028841044</v>
      </c>
      <c r="AF763">
        <v>0</v>
      </c>
      <c r="AG763">
        <v>0.46940830534311534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84" x14ac:dyDescent="0.25">
      <c r="A764" t="s">
        <v>128</v>
      </c>
      <c r="B764" t="s">
        <v>422</v>
      </c>
      <c r="C764" s="14" t="s">
        <v>117</v>
      </c>
      <c r="D764" s="12">
        <v>46242</v>
      </c>
      <c r="E764" s="14"/>
      <c r="F764" s="14"/>
      <c r="G764" s="14"/>
      <c r="H764" s="14"/>
      <c r="J764">
        <v>40.032120530081045</v>
      </c>
      <c r="M764">
        <v>39.900000000000006</v>
      </c>
      <c r="N764">
        <v>39.900000000000006</v>
      </c>
      <c r="O764">
        <v>24.361620530565165</v>
      </c>
      <c r="S764">
        <v>0</v>
      </c>
      <c r="T764">
        <v>0</v>
      </c>
      <c r="U764">
        <v>0.24890816549276124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6.887308558992547E-2</v>
      </c>
      <c r="AB764">
        <v>4.4437355430390693E-2</v>
      </c>
      <c r="AC764">
        <v>0.32410614614447436</v>
      </c>
      <c r="AD764">
        <v>0</v>
      </c>
      <c r="AE764">
        <v>6.7342015781914538E-2</v>
      </c>
      <c r="AF764">
        <v>0</v>
      </c>
      <c r="AG764">
        <v>0.56411448264322039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84" x14ac:dyDescent="0.25">
      <c r="A765" t="s">
        <v>128</v>
      </c>
      <c r="B765" t="s">
        <v>422</v>
      </c>
      <c r="C765" s="14" t="s">
        <v>72</v>
      </c>
      <c r="D765" s="12">
        <v>46248</v>
      </c>
      <c r="E765" s="14" t="s">
        <v>133</v>
      </c>
      <c r="F765" s="14" t="s">
        <v>133</v>
      </c>
      <c r="G765" s="14" t="s">
        <v>133</v>
      </c>
      <c r="H765" s="14" t="s">
        <v>74</v>
      </c>
      <c r="I765">
        <v>20</v>
      </c>
      <c r="J765">
        <v>4.220105607573192</v>
      </c>
      <c r="K765">
        <v>46248</v>
      </c>
      <c r="L765" t="s">
        <v>496</v>
      </c>
      <c r="M765">
        <v>3.8</v>
      </c>
      <c r="N765">
        <v>3.8</v>
      </c>
      <c r="O765">
        <v>3.2058823529411757</v>
      </c>
      <c r="P765">
        <v>0.90045139941064711</v>
      </c>
      <c r="Q765">
        <v>0.90045139941064711</v>
      </c>
      <c r="R765">
        <v>0.75966875027678415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9.9548600589352887E-2</v>
      </c>
      <c r="AD765">
        <v>0</v>
      </c>
      <c r="AE765">
        <v>0.14078264913386296</v>
      </c>
      <c r="AF765">
        <v>0</v>
      </c>
      <c r="AG765">
        <v>0.75966875027678415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1.1105541072561032</v>
      </c>
      <c r="AN765">
        <v>1.1105541072561032</v>
      </c>
      <c r="AO765">
        <v>0.84365325077399367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0.11055410725610315</v>
      </c>
      <c r="AY765">
        <v>0</v>
      </c>
      <c r="AZ765">
        <v>0</v>
      </c>
      <c r="BA765">
        <v>0</v>
      </c>
      <c r="BB765">
        <v>0.15634674922600633</v>
      </c>
      <c r="BC765">
        <v>0</v>
      </c>
      <c r="BD765">
        <v>0.84365325077399367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1.1853211009174314</v>
      </c>
      <c r="BK765">
        <v>1.1853211009174314</v>
      </c>
      <c r="BL765">
        <v>1.3163632170411794</v>
      </c>
      <c r="BM765">
        <v>0.13104211612374805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0.18532110091743137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0</v>
      </c>
    </row>
    <row r="766" spans="1:84" x14ac:dyDescent="0.25">
      <c r="A766" t="s">
        <v>128</v>
      </c>
      <c r="B766" t="s">
        <v>422</v>
      </c>
      <c r="C766" s="14" t="s">
        <v>72</v>
      </c>
      <c r="D766" s="12">
        <v>46244</v>
      </c>
      <c r="E766" s="14" t="s">
        <v>133</v>
      </c>
      <c r="F766" s="14" t="s">
        <v>133</v>
      </c>
      <c r="G766" s="14" t="s">
        <v>133</v>
      </c>
      <c r="H766" s="14" t="s">
        <v>74</v>
      </c>
      <c r="I766">
        <v>20</v>
      </c>
      <c r="J766">
        <v>4.220105607573192</v>
      </c>
      <c r="K766">
        <v>46244</v>
      </c>
      <c r="L766" t="s">
        <v>484</v>
      </c>
      <c r="M766">
        <v>4.75</v>
      </c>
      <c r="N766">
        <v>4.75</v>
      </c>
      <c r="O766">
        <v>4.1764705882352935</v>
      </c>
      <c r="P766">
        <v>1.1255642492633089</v>
      </c>
      <c r="Q766">
        <v>1.1255642492633089</v>
      </c>
      <c r="R766">
        <v>0.98966020678259969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0.12556424926330889</v>
      </c>
      <c r="AB766">
        <v>0</v>
      </c>
      <c r="AC766">
        <v>0</v>
      </c>
      <c r="AD766">
        <v>0</v>
      </c>
      <c r="AE766">
        <v>1.0339793217400306E-2</v>
      </c>
      <c r="AF766">
        <v>0</v>
      </c>
      <c r="AG766">
        <v>0.98966020678259969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0.88844328580488252</v>
      </c>
      <c r="AN766">
        <v>0.88844328580488252</v>
      </c>
      <c r="AO766">
        <v>0.87925696594427227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0.11155671419511748</v>
      </c>
      <c r="BA766">
        <v>0</v>
      </c>
      <c r="BB766">
        <v>9.1863198606102481E-3</v>
      </c>
      <c r="BC766">
        <v>0</v>
      </c>
      <c r="BD766">
        <v>0.87925696594427227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1.137323943661972</v>
      </c>
      <c r="BK766">
        <v>1.137323943661972</v>
      </c>
      <c r="BL766">
        <v>1.0104478215316095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1.0447821531609502E-2</v>
      </c>
      <c r="BT766">
        <v>0</v>
      </c>
      <c r="BU766">
        <v>0.12687612213036248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0</v>
      </c>
    </row>
    <row r="767" spans="1:84" x14ac:dyDescent="0.25">
      <c r="A767" t="s">
        <v>128</v>
      </c>
      <c r="B767" t="s">
        <v>422</v>
      </c>
      <c r="C767" s="14" t="s">
        <v>72</v>
      </c>
      <c r="D767" s="12">
        <v>46223</v>
      </c>
      <c r="E767" s="14" t="s">
        <v>133</v>
      </c>
      <c r="F767" s="14" t="s">
        <v>133</v>
      </c>
      <c r="G767" s="14" t="s">
        <v>133</v>
      </c>
      <c r="H767" s="14" t="s">
        <v>74</v>
      </c>
      <c r="I767">
        <v>20</v>
      </c>
      <c r="J767">
        <v>4.220105607573192</v>
      </c>
      <c r="K767">
        <v>46223</v>
      </c>
      <c r="L767" t="s">
        <v>424</v>
      </c>
      <c r="M767">
        <v>4.75</v>
      </c>
      <c r="N767">
        <v>4.75</v>
      </c>
      <c r="O767">
        <v>4.1764705882352935</v>
      </c>
      <c r="P767">
        <v>1.1255642492633089</v>
      </c>
      <c r="Q767">
        <v>1.1255642492633089</v>
      </c>
      <c r="R767">
        <v>0.98966020678259969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0.12556424926330889</v>
      </c>
      <c r="AB767">
        <v>0</v>
      </c>
      <c r="AC767">
        <v>0</v>
      </c>
      <c r="AD767">
        <v>0</v>
      </c>
      <c r="AE767">
        <v>1.0339793217400306E-2</v>
      </c>
      <c r="AF767">
        <v>0</v>
      </c>
      <c r="AG767">
        <v>0.98966020678259969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0.88844328580488252</v>
      </c>
      <c r="AN767">
        <v>0.88844328580488252</v>
      </c>
      <c r="AO767">
        <v>0.87925696594427227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0.11155671419511748</v>
      </c>
      <c r="BA767">
        <v>0</v>
      </c>
      <c r="BB767">
        <v>9.1863198606102481E-3</v>
      </c>
      <c r="BC767">
        <v>0</v>
      </c>
      <c r="BD767">
        <v>0.87925696594427227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1.137323943661972</v>
      </c>
      <c r="BK767">
        <v>1.137323943661972</v>
      </c>
      <c r="BL767">
        <v>1.0104478215316095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1.0447821531609502E-2</v>
      </c>
      <c r="BT767">
        <v>0</v>
      </c>
      <c r="BU767">
        <v>0.12687612213036248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</row>
    <row r="768" spans="1:84" x14ac:dyDescent="0.25">
      <c r="A768" t="s">
        <v>128</v>
      </c>
      <c r="B768" t="s">
        <v>422</v>
      </c>
      <c r="C768" s="14" t="s">
        <v>117</v>
      </c>
      <c r="D768" s="12">
        <v>46241</v>
      </c>
      <c r="E768" s="14"/>
      <c r="F768" s="14"/>
      <c r="G768" s="14"/>
      <c r="H768" s="14"/>
      <c r="J768">
        <v>41.296293897593188</v>
      </c>
      <c r="M768">
        <v>26.599999999999994</v>
      </c>
      <c r="N768">
        <v>26.599999999999994</v>
      </c>
      <c r="O768">
        <v>24.987053056516714</v>
      </c>
      <c r="S768">
        <v>5.442830730955537E-4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4.1091559648214676E-2</v>
      </c>
      <c r="AC768">
        <v>0.33778732804066536</v>
      </c>
      <c r="AD768">
        <v>0</v>
      </c>
      <c r="AE768">
        <v>3.4684781756165114E-2</v>
      </c>
      <c r="AF768">
        <v>0</v>
      </c>
      <c r="AG768">
        <v>0.56343184491380227</v>
      </c>
      <c r="AH768">
        <v>2.3004485641152594E-2</v>
      </c>
      <c r="AI768">
        <v>0</v>
      </c>
      <c r="AJ768">
        <v>0</v>
      </c>
      <c r="AK768">
        <v>0</v>
      </c>
      <c r="AL768">
        <v>0</v>
      </c>
    </row>
    <row r="769" spans="1:84" x14ac:dyDescent="0.25">
      <c r="A769" t="s">
        <v>128</v>
      </c>
      <c r="B769" t="s">
        <v>422</v>
      </c>
      <c r="C769" s="14" t="s">
        <v>109</v>
      </c>
      <c r="D769" s="12">
        <v>46244</v>
      </c>
      <c r="E769" s="14" t="s">
        <v>133</v>
      </c>
      <c r="F769" s="14" t="s">
        <v>133</v>
      </c>
      <c r="G769" s="14" t="s">
        <v>133</v>
      </c>
      <c r="H769" s="14"/>
      <c r="J769">
        <v>27.064943963236065</v>
      </c>
      <c r="M769">
        <v>36.099999999999994</v>
      </c>
      <c r="N769">
        <v>36.099999999999994</v>
      </c>
      <c r="O769">
        <v>20.75</v>
      </c>
      <c r="S769">
        <v>0</v>
      </c>
      <c r="T769">
        <v>0</v>
      </c>
      <c r="U769">
        <v>0.36428286322804693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0.12924598481236627</v>
      </c>
      <c r="AB769">
        <v>4.9300442938388346E-2</v>
      </c>
      <c r="AC769">
        <v>0.1103996689687895</v>
      </c>
      <c r="AD769">
        <v>0</v>
      </c>
      <c r="AE769">
        <v>0.12292591898786882</v>
      </c>
      <c r="AF769">
        <v>0</v>
      </c>
      <c r="AG769">
        <v>0.71737396910495332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84" x14ac:dyDescent="0.25">
      <c r="A770" t="s">
        <v>128</v>
      </c>
      <c r="B770" t="s">
        <v>422</v>
      </c>
      <c r="C770" s="14" t="s">
        <v>72</v>
      </c>
      <c r="D770" s="12">
        <v>46248</v>
      </c>
      <c r="E770" s="14" t="s">
        <v>133</v>
      </c>
      <c r="F770" s="14" t="s">
        <v>133</v>
      </c>
      <c r="G770" s="14" t="s">
        <v>133</v>
      </c>
      <c r="H770" s="14" t="s">
        <v>75</v>
      </c>
      <c r="I770">
        <v>20</v>
      </c>
      <c r="J770">
        <v>11.028542654457937</v>
      </c>
      <c r="K770">
        <v>46248</v>
      </c>
      <c r="L770" t="s">
        <v>497</v>
      </c>
      <c r="M770">
        <v>6.6499999999999995</v>
      </c>
      <c r="N770">
        <v>6.6499999999999995</v>
      </c>
      <c r="O770">
        <v>7.1602941176470605</v>
      </c>
      <c r="P770">
        <v>0.60298084781963002</v>
      </c>
      <c r="Q770">
        <v>0.60298084781963002</v>
      </c>
      <c r="R770">
        <v>0.64925116055589993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4.6270312736269914E-2</v>
      </c>
      <c r="AC770">
        <v>0.35074883944410007</v>
      </c>
      <c r="AD770">
        <v>0</v>
      </c>
      <c r="AE770">
        <v>0</v>
      </c>
      <c r="AF770">
        <v>0</v>
      </c>
      <c r="AG770">
        <v>0.60298084781963002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1.6584274668357801</v>
      </c>
      <c r="AN770">
        <v>1.6584274668357801</v>
      </c>
      <c r="AO770">
        <v>1.0767359575409114</v>
      </c>
      <c r="BF770">
        <v>0</v>
      </c>
      <c r="BG770">
        <v>0</v>
      </c>
      <c r="BH770">
        <v>0</v>
      </c>
      <c r="BJ770">
        <v>0.92873279934278052</v>
      </c>
      <c r="BK770">
        <v>0.92873279934278052</v>
      </c>
      <c r="BL770">
        <v>1.5402359837813504</v>
      </c>
      <c r="BM770">
        <v>0.5402359837813504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0.39701915218036998</v>
      </c>
      <c r="BW770">
        <v>0</v>
      </c>
      <c r="BX770">
        <v>0</v>
      </c>
      <c r="BY770">
        <v>0</v>
      </c>
      <c r="BZ770">
        <v>0</v>
      </c>
      <c r="CA770">
        <v>0.92873279934278052</v>
      </c>
      <c r="CB770">
        <v>0</v>
      </c>
      <c r="CC770">
        <v>0</v>
      </c>
      <c r="CD770">
        <v>0</v>
      </c>
      <c r="CE770">
        <v>0</v>
      </c>
      <c r="CF770">
        <v>0</v>
      </c>
    </row>
    <row r="771" spans="1:84" x14ac:dyDescent="0.25">
      <c r="A771" t="s">
        <v>128</v>
      </c>
      <c r="B771" t="s">
        <v>422</v>
      </c>
      <c r="C771" s="14" t="s">
        <v>117</v>
      </c>
      <c r="D771" s="12">
        <v>46249</v>
      </c>
      <c r="E771" s="14"/>
      <c r="F771" s="14"/>
      <c r="G771" s="14"/>
      <c r="H771" s="14"/>
      <c r="J771">
        <v>41.946222842490528</v>
      </c>
      <c r="M771">
        <v>45.6</v>
      </c>
      <c r="N771">
        <v>45.6</v>
      </c>
      <c r="O771">
        <v>23.261274509803915</v>
      </c>
      <c r="S771">
        <v>0</v>
      </c>
      <c r="T771">
        <v>0</v>
      </c>
      <c r="U771">
        <v>0.37440909973881498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7.912489537098015E-2</v>
      </c>
      <c r="AB771">
        <v>3.981521877397539E-2</v>
      </c>
      <c r="AC771">
        <v>0.32661255055645633</v>
      </c>
      <c r="AD771">
        <v>0</v>
      </c>
      <c r="AE771">
        <v>5.089339061367891E-2</v>
      </c>
      <c r="AF771">
        <v>0</v>
      </c>
      <c r="AG771">
        <v>0.5147347009446791</v>
      </c>
      <c r="AH771">
        <v>6.7944139111210208E-2</v>
      </c>
      <c r="AI771">
        <v>0</v>
      </c>
      <c r="AJ771">
        <v>0</v>
      </c>
      <c r="AK771">
        <v>0</v>
      </c>
      <c r="AL771">
        <v>0</v>
      </c>
    </row>
    <row r="772" spans="1:84" x14ac:dyDescent="0.25">
      <c r="A772" t="s">
        <v>128</v>
      </c>
      <c r="B772" t="s">
        <v>422</v>
      </c>
      <c r="C772" s="14" t="s">
        <v>109</v>
      </c>
      <c r="D772" s="12">
        <v>46239</v>
      </c>
      <c r="E772" s="14" t="s">
        <v>420</v>
      </c>
      <c r="F772" s="14" t="s">
        <v>420</v>
      </c>
      <c r="G772" s="14" t="s">
        <v>420</v>
      </c>
      <c r="H772" s="14"/>
      <c r="J772">
        <v>6.7786480661254069</v>
      </c>
      <c r="M772">
        <v>2.8499999999999996</v>
      </c>
      <c r="N772">
        <v>2.8499999999999996</v>
      </c>
      <c r="O772">
        <v>2.803086869422692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0.10363080858205491</v>
      </c>
      <c r="AC772">
        <v>0.47593137369996097</v>
      </c>
      <c r="AD772">
        <v>0</v>
      </c>
      <c r="AE772">
        <v>0.11055152936880652</v>
      </c>
      <c r="AF772">
        <v>0</v>
      </c>
      <c r="AG772">
        <v>0.30988628834917759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84" x14ac:dyDescent="0.25">
      <c r="A773" t="s">
        <v>128</v>
      </c>
      <c r="B773" t="s">
        <v>422</v>
      </c>
      <c r="C773" s="14" t="s">
        <v>109</v>
      </c>
      <c r="D773" s="12">
        <v>46244</v>
      </c>
      <c r="E773" s="14" t="s">
        <v>420</v>
      </c>
      <c r="F773" s="14" t="s">
        <v>420</v>
      </c>
      <c r="G773" s="14" t="s">
        <v>420</v>
      </c>
      <c r="H773" s="14"/>
      <c r="J773">
        <v>6.7786480661254069</v>
      </c>
      <c r="M773">
        <v>0.95</v>
      </c>
      <c r="N773">
        <v>0.95</v>
      </c>
      <c r="O773">
        <v>0.98961937716262982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0.14599067063357432</v>
      </c>
      <c r="AC773">
        <v>0.85400932936642571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84" x14ac:dyDescent="0.25">
      <c r="A774" t="s">
        <v>128</v>
      </c>
      <c r="B774" t="s">
        <v>422</v>
      </c>
      <c r="C774" s="14" t="s">
        <v>72</v>
      </c>
      <c r="D774" s="12">
        <v>46243</v>
      </c>
      <c r="E774" s="14" t="s">
        <v>133</v>
      </c>
      <c r="F774" s="14" t="s">
        <v>133</v>
      </c>
      <c r="G774" s="14" t="s">
        <v>133</v>
      </c>
      <c r="H774" s="14" t="s">
        <v>75</v>
      </c>
      <c r="I774">
        <v>20</v>
      </c>
      <c r="J774">
        <v>11.816295701204936</v>
      </c>
      <c r="K774">
        <v>46243</v>
      </c>
      <c r="L774" t="s">
        <v>482</v>
      </c>
      <c r="M774">
        <v>6.6499999999999995</v>
      </c>
      <c r="N774">
        <v>6.6499999999999995</v>
      </c>
      <c r="O774">
        <v>6.9838235294117634</v>
      </c>
      <c r="P774">
        <v>0.56278212463165445</v>
      </c>
      <c r="Q774">
        <v>0.56278212463165445</v>
      </c>
      <c r="R774">
        <v>0.59103323968945753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2.8251115057803089E-2</v>
      </c>
      <c r="AC774">
        <v>0.40896676031054247</v>
      </c>
      <c r="AD774">
        <v>0</v>
      </c>
      <c r="AE774">
        <v>0</v>
      </c>
      <c r="AF774">
        <v>0</v>
      </c>
      <c r="AG774">
        <v>0.56278212463165445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1.776886571609765</v>
      </c>
      <c r="AN774">
        <v>1.776886571609765</v>
      </c>
      <c r="AO774">
        <v>1.0501990269792125</v>
      </c>
      <c r="BF774">
        <v>0</v>
      </c>
      <c r="BG774">
        <v>0</v>
      </c>
      <c r="BH774">
        <v>0</v>
      </c>
      <c r="BJ774">
        <v>0.95220046325542229</v>
      </c>
      <c r="BK774">
        <v>0.95220046325542229</v>
      </c>
      <c r="BL774">
        <v>1.6919522166391574</v>
      </c>
      <c r="BM774">
        <v>0.6919522166391574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0.43721787536834555</v>
      </c>
      <c r="BW774">
        <v>0</v>
      </c>
      <c r="BX774">
        <v>0</v>
      </c>
      <c r="BY774">
        <v>0</v>
      </c>
      <c r="BZ774">
        <v>0</v>
      </c>
      <c r="CA774">
        <v>0.95220046325542229</v>
      </c>
      <c r="CB774">
        <v>0</v>
      </c>
      <c r="CC774">
        <v>0</v>
      </c>
      <c r="CD774">
        <v>0</v>
      </c>
      <c r="CE774">
        <v>0</v>
      </c>
      <c r="CF774">
        <v>0</v>
      </c>
    </row>
    <row r="775" spans="1:84" x14ac:dyDescent="0.25">
      <c r="A775" t="s">
        <v>128</v>
      </c>
      <c r="B775" t="s">
        <v>422</v>
      </c>
      <c r="C775" s="14" t="s">
        <v>72</v>
      </c>
      <c r="D775" s="12">
        <v>46223</v>
      </c>
      <c r="E775" s="14" t="s">
        <v>133</v>
      </c>
      <c r="F775" s="14" t="s">
        <v>133</v>
      </c>
      <c r="G775" s="14" t="s">
        <v>133</v>
      </c>
      <c r="H775" s="14" t="s">
        <v>73</v>
      </c>
      <c r="I775">
        <v>20</v>
      </c>
      <c r="J775">
        <v>11.872563775972576</v>
      </c>
      <c r="K775">
        <v>46223</v>
      </c>
      <c r="L775" t="s">
        <v>423</v>
      </c>
      <c r="M775">
        <v>26.6</v>
      </c>
      <c r="N775">
        <v>26.6</v>
      </c>
      <c r="O775">
        <v>8.7959033613445357</v>
      </c>
      <c r="P775">
        <v>2.2404596430833643</v>
      </c>
      <c r="Q775">
        <v>2.2404596430833643</v>
      </c>
      <c r="R775">
        <v>0.74085964306593022</v>
      </c>
      <c r="S775">
        <v>0</v>
      </c>
      <c r="T775">
        <v>0</v>
      </c>
      <c r="U775">
        <v>0.99045964308336432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0.25</v>
      </c>
      <c r="AB775">
        <v>0</v>
      </c>
      <c r="AC775">
        <v>0</v>
      </c>
      <c r="AD775">
        <v>0</v>
      </c>
      <c r="AE775">
        <v>0.25914035693406978</v>
      </c>
      <c r="AF775">
        <v>0</v>
      </c>
      <c r="AG775">
        <v>0.74085964306593022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0.44633698405911942</v>
      </c>
      <c r="AN775">
        <v>0.44633698405911942</v>
      </c>
      <c r="AO775">
        <v>0.33067305869716301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0.55366301594088063</v>
      </c>
      <c r="BA775">
        <v>0</v>
      </c>
      <c r="BB775">
        <v>0.11566392536195641</v>
      </c>
      <c r="BC775">
        <v>0</v>
      </c>
      <c r="BD775">
        <v>0.33067305869716301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3.0241350896258528</v>
      </c>
      <c r="BK775">
        <v>3.0241350896258528</v>
      </c>
      <c r="BL775">
        <v>1.3497833352909581</v>
      </c>
      <c r="CC775">
        <v>0</v>
      </c>
      <c r="CD775">
        <v>0</v>
      </c>
      <c r="CE775">
        <v>0</v>
      </c>
    </row>
    <row r="776" spans="1:84" x14ac:dyDescent="0.25">
      <c r="A776" t="s">
        <v>128</v>
      </c>
      <c r="B776" t="s">
        <v>422</v>
      </c>
      <c r="C776" s="14" t="s">
        <v>72</v>
      </c>
      <c r="D776" s="12">
        <v>46243</v>
      </c>
      <c r="E776" s="14" t="s">
        <v>133</v>
      </c>
      <c r="F776" s="14" t="s">
        <v>133</v>
      </c>
      <c r="G776" s="14" t="s">
        <v>133</v>
      </c>
      <c r="H776" s="14" t="s">
        <v>74</v>
      </c>
      <c r="I776">
        <v>20</v>
      </c>
      <c r="J776">
        <v>4.220105607573192</v>
      </c>
      <c r="K776">
        <v>46243</v>
      </c>
      <c r="L776" t="s">
        <v>481</v>
      </c>
      <c r="M776">
        <v>4.75</v>
      </c>
      <c r="N776">
        <v>4.75</v>
      </c>
      <c r="O776">
        <v>4.0588235294117636</v>
      </c>
      <c r="P776">
        <v>1.1255642492633089</v>
      </c>
      <c r="Q776">
        <v>1.1255642492633089</v>
      </c>
      <c r="R776">
        <v>0.96178245447886435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0.12556424926330889</v>
      </c>
      <c r="AB776">
        <v>0</v>
      </c>
      <c r="AC776">
        <v>0</v>
      </c>
      <c r="AD776">
        <v>0</v>
      </c>
      <c r="AE776">
        <v>3.8217545521135654E-2</v>
      </c>
      <c r="AF776">
        <v>0</v>
      </c>
      <c r="AG776">
        <v>0.96178245447886435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0.88844328580488252</v>
      </c>
      <c r="AN776">
        <v>0.88844328580488252</v>
      </c>
      <c r="AO776">
        <v>0.85448916408668707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0.11155671419511748</v>
      </c>
      <c r="BA776">
        <v>0</v>
      </c>
      <c r="BB776">
        <v>3.3954121718195451E-2</v>
      </c>
      <c r="BC776">
        <v>0</v>
      </c>
      <c r="BD776">
        <v>0.85448916408668707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1.1702898550724641</v>
      </c>
      <c r="BK776">
        <v>1.1702898550724641</v>
      </c>
      <c r="BL776">
        <v>1.0397361641846998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3.9736164184699829E-2</v>
      </c>
      <c r="BT776">
        <v>0</v>
      </c>
      <c r="BU776">
        <v>0.13055369088776425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0</v>
      </c>
      <c r="CC776">
        <v>0</v>
      </c>
      <c r="CD776">
        <v>0</v>
      </c>
      <c r="CE776">
        <v>0</v>
      </c>
      <c r="CF776">
        <v>0</v>
      </c>
    </row>
    <row r="777" spans="1:84" x14ac:dyDescent="0.25">
      <c r="A777" t="s">
        <v>128</v>
      </c>
      <c r="B777" t="s">
        <v>422</v>
      </c>
      <c r="C777" s="14" t="s">
        <v>109</v>
      </c>
      <c r="D777" s="12">
        <v>46244</v>
      </c>
      <c r="E777" s="14" t="s">
        <v>134</v>
      </c>
      <c r="F777" s="14" t="s">
        <v>134</v>
      </c>
      <c r="G777" s="14" t="s">
        <v>134</v>
      </c>
      <c r="H777" s="14"/>
      <c r="J777">
        <v>8.1518697913855895</v>
      </c>
      <c r="M777">
        <v>3.8</v>
      </c>
      <c r="N777">
        <v>3.8</v>
      </c>
      <c r="O777">
        <v>4.6674163783160312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0.28623290030945547</v>
      </c>
      <c r="AC777">
        <v>0.2476163763294314</v>
      </c>
      <c r="AD777">
        <v>0</v>
      </c>
      <c r="AE777">
        <v>0.17982585499174619</v>
      </c>
      <c r="AF777">
        <v>0</v>
      </c>
      <c r="AG777">
        <v>0.28632486836936705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84" x14ac:dyDescent="0.25">
      <c r="A778" t="s">
        <v>128</v>
      </c>
      <c r="B778" t="s">
        <v>422</v>
      </c>
      <c r="C778" s="14" t="s">
        <v>72</v>
      </c>
      <c r="D778" s="12">
        <v>46249</v>
      </c>
      <c r="E778" s="14" t="s">
        <v>133</v>
      </c>
      <c r="F778" s="14" t="s">
        <v>133</v>
      </c>
      <c r="G778" s="14" t="s">
        <v>133</v>
      </c>
      <c r="H778" s="14" t="s">
        <v>73</v>
      </c>
      <c r="I778">
        <v>20</v>
      </c>
      <c r="J778">
        <v>11.028542654457937</v>
      </c>
      <c r="K778">
        <v>46249</v>
      </c>
      <c r="L778" t="s">
        <v>498</v>
      </c>
      <c r="M778">
        <v>27.549999999999997</v>
      </c>
      <c r="N778">
        <v>27.549999999999997</v>
      </c>
      <c r="O778">
        <v>9.2588235294117602</v>
      </c>
      <c r="P778">
        <v>2.4980635123956101</v>
      </c>
      <c r="Q778">
        <v>2.4980635123956101</v>
      </c>
      <c r="R778">
        <v>0.83953282128978091</v>
      </c>
      <c r="S778">
        <v>0</v>
      </c>
      <c r="T778">
        <v>0</v>
      </c>
      <c r="U778">
        <v>1.2480635123956101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0.25</v>
      </c>
      <c r="AB778">
        <v>0</v>
      </c>
      <c r="AC778">
        <v>0</v>
      </c>
      <c r="AD778">
        <v>0</v>
      </c>
      <c r="AE778">
        <v>0.16046717871021909</v>
      </c>
      <c r="AF778">
        <v>0</v>
      </c>
      <c r="AG778">
        <v>0.83953282128978091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0.40031007820174003</v>
      </c>
      <c r="AN778">
        <v>0.40031007820174003</v>
      </c>
      <c r="AO778">
        <v>0.33607344934343963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0.59968992179825997</v>
      </c>
      <c r="BA778">
        <v>0</v>
      </c>
      <c r="BB778">
        <v>6.4236628858300393E-2</v>
      </c>
      <c r="BC778">
        <v>0</v>
      </c>
      <c r="BD778">
        <v>0.33607344934343963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2.9755400254129616</v>
      </c>
      <c r="BK778">
        <v>2.9755400254129616</v>
      </c>
      <c r="BL778">
        <v>1.1911386602654703</v>
      </c>
      <c r="CC778">
        <v>0</v>
      </c>
      <c r="CD778">
        <v>0</v>
      </c>
      <c r="CE778">
        <v>0</v>
      </c>
    </row>
    <row r="779" spans="1:84" x14ac:dyDescent="0.25">
      <c r="A779" t="s">
        <v>128</v>
      </c>
      <c r="B779" t="s">
        <v>422</v>
      </c>
      <c r="C779" s="14" t="s">
        <v>72</v>
      </c>
      <c r="D779" s="12">
        <v>46226</v>
      </c>
      <c r="E779" s="14" t="s">
        <v>133</v>
      </c>
      <c r="F779" s="14" t="s">
        <v>133</v>
      </c>
      <c r="G779" s="14" t="s">
        <v>133</v>
      </c>
      <c r="H779" s="14" t="s">
        <v>73</v>
      </c>
      <c r="I779">
        <v>20</v>
      </c>
      <c r="J779">
        <v>11.731893589053469</v>
      </c>
      <c r="K779">
        <v>46226</v>
      </c>
      <c r="L779" t="s">
        <v>432</v>
      </c>
      <c r="M779">
        <v>14.25</v>
      </c>
      <c r="N779">
        <v>14.25</v>
      </c>
      <c r="O779">
        <v>9.1269607843137184</v>
      </c>
      <c r="P779">
        <v>1.2146376790611253</v>
      </c>
      <c r="Q779">
        <v>1.2146376790611253</v>
      </c>
      <c r="R779">
        <v>0.77796143606601564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0.2146376790611253</v>
      </c>
      <c r="AB779">
        <v>0</v>
      </c>
      <c r="AC779">
        <v>0</v>
      </c>
      <c r="AD779">
        <v>0</v>
      </c>
      <c r="AE779">
        <v>0.22203856393398436</v>
      </c>
      <c r="AF779">
        <v>0</v>
      </c>
      <c r="AG779">
        <v>0.77796143606601564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0.82329077817919083</v>
      </c>
      <c r="AN779">
        <v>0.82329077817919083</v>
      </c>
      <c r="AO779">
        <v>0.64048847609219073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0.17670922182080917</v>
      </c>
      <c r="BA779">
        <v>0</v>
      </c>
      <c r="BB779">
        <v>0.1828023020870001</v>
      </c>
      <c r="BC779">
        <v>0</v>
      </c>
      <c r="BD779">
        <v>0.64048847609219073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1.5613083409420496</v>
      </c>
      <c r="BK779">
        <v>1.5613083409420496</v>
      </c>
      <c r="BL779">
        <v>1.2854107589918413</v>
      </c>
      <c r="CC779">
        <v>0</v>
      </c>
      <c r="CD779">
        <v>0</v>
      </c>
      <c r="CE779">
        <v>0</v>
      </c>
    </row>
    <row r="780" spans="1:84" x14ac:dyDescent="0.25">
      <c r="A780" t="s">
        <v>128</v>
      </c>
      <c r="B780" t="s">
        <v>422</v>
      </c>
      <c r="C780" s="14" t="s">
        <v>117</v>
      </c>
      <c r="D780" s="12">
        <v>46240</v>
      </c>
      <c r="E780" s="14"/>
      <c r="F780" s="14"/>
      <c r="G780" s="14"/>
      <c r="H780" s="14"/>
      <c r="J780">
        <v>44.45775971346233</v>
      </c>
      <c r="M780">
        <v>29.449999999999996</v>
      </c>
      <c r="N780">
        <v>29.449999999999996</v>
      </c>
      <c r="O780">
        <v>25.326039579918646</v>
      </c>
      <c r="S780">
        <v>0</v>
      </c>
      <c r="T780">
        <v>0</v>
      </c>
      <c r="U780">
        <v>1.2036886634238558E-2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6.5972136611625723E-2</v>
      </c>
      <c r="AB780">
        <v>7.6576903254722023E-2</v>
      </c>
      <c r="AC780">
        <v>0.36037417681795392</v>
      </c>
      <c r="AD780">
        <v>0</v>
      </c>
      <c r="AE780">
        <v>6.9960600661856318E-2</v>
      </c>
      <c r="AF780">
        <v>0</v>
      </c>
      <c r="AG780">
        <v>0.49308831926546776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84" x14ac:dyDescent="0.25">
      <c r="A781" t="s">
        <v>128</v>
      </c>
      <c r="B781" t="s">
        <v>422</v>
      </c>
      <c r="C781" s="14" t="s">
        <v>109</v>
      </c>
      <c r="D781" s="12">
        <v>46239</v>
      </c>
      <c r="E781" s="14" t="s">
        <v>133</v>
      </c>
      <c r="F781" s="14" t="s">
        <v>133</v>
      </c>
      <c r="G781" s="14" t="s">
        <v>133</v>
      </c>
      <c r="H781" s="14"/>
      <c r="J781">
        <v>27.599490673528674</v>
      </c>
      <c r="M781">
        <v>17.099999999999998</v>
      </c>
      <c r="N781">
        <v>17.099999999999998</v>
      </c>
      <c r="O781">
        <v>19.169117647058812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8.8716470920716703E-2</v>
      </c>
      <c r="AC781">
        <v>0.29170687810865453</v>
      </c>
      <c r="AD781">
        <v>0</v>
      </c>
      <c r="AE781">
        <v>1.374705675528225E-2</v>
      </c>
      <c r="AF781">
        <v>0</v>
      </c>
      <c r="AG781">
        <v>0.60582959421534643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84" x14ac:dyDescent="0.25">
      <c r="A782" t="s">
        <v>128</v>
      </c>
      <c r="B782" t="s">
        <v>422</v>
      </c>
      <c r="C782" s="14" t="s">
        <v>109</v>
      </c>
      <c r="D782" s="12">
        <v>46245</v>
      </c>
      <c r="E782" s="14" t="s">
        <v>133</v>
      </c>
      <c r="F782" s="14" t="s">
        <v>133</v>
      </c>
      <c r="G782" s="14" t="s">
        <v>133</v>
      </c>
      <c r="H782" s="14"/>
      <c r="J782">
        <v>26.924273776316959</v>
      </c>
      <c r="M782">
        <v>35.15</v>
      </c>
      <c r="N782">
        <v>35.15</v>
      </c>
      <c r="O782">
        <v>19.874999999999996</v>
      </c>
      <c r="S782">
        <v>0</v>
      </c>
      <c r="T782">
        <v>0</v>
      </c>
      <c r="U782">
        <v>0.37271694297323005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0.12861508609142772</v>
      </c>
      <c r="AB782">
        <v>2.6381180177711766E-2</v>
      </c>
      <c r="AC782">
        <v>0.16943745632448715</v>
      </c>
      <c r="AD782">
        <v>0</v>
      </c>
      <c r="AE782">
        <v>9.2381073485502341E-2</v>
      </c>
      <c r="AF782">
        <v>0</v>
      </c>
      <c r="AG782">
        <v>0.71180029001229872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84" x14ac:dyDescent="0.25">
      <c r="A783" t="s">
        <v>128</v>
      </c>
      <c r="B783" t="s">
        <v>422</v>
      </c>
      <c r="C783" s="14" t="s">
        <v>72</v>
      </c>
      <c r="D783" s="12">
        <v>46244</v>
      </c>
      <c r="E783" s="14" t="s">
        <v>133</v>
      </c>
      <c r="F783" s="14" t="s">
        <v>133</v>
      </c>
      <c r="G783" s="14" t="s">
        <v>133</v>
      </c>
      <c r="H783" s="14" t="s">
        <v>73</v>
      </c>
      <c r="I783">
        <v>20</v>
      </c>
      <c r="J783">
        <v>11.872563775972576</v>
      </c>
      <c r="K783">
        <v>46244</v>
      </c>
      <c r="L783" t="s">
        <v>483</v>
      </c>
      <c r="M783">
        <v>24.7</v>
      </c>
      <c r="N783">
        <v>24.7</v>
      </c>
      <c r="O783">
        <v>8.5892156862745086</v>
      </c>
      <c r="P783">
        <v>2.0804268114345525</v>
      </c>
      <c r="Q783">
        <v>2.0804268114345525</v>
      </c>
      <c r="R783">
        <v>0.72345079364047449</v>
      </c>
      <c r="S783">
        <v>0</v>
      </c>
      <c r="T783">
        <v>0</v>
      </c>
      <c r="U783">
        <v>0.83042681143455255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0.25</v>
      </c>
      <c r="AB783">
        <v>0</v>
      </c>
      <c r="AC783">
        <v>0</v>
      </c>
      <c r="AD783">
        <v>0</v>
      </c>
      <c r="AE783">
        <v>0.27654920635952551</v>
      </c>
      <c r="AF783">
        <v>0</v>
      </c>
      <c r="AG783">
        <v>0.72345079364047449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0.48067059821751323</v>
      </c>
      <c r="AN783">
        <v>0.48067059821751323</v>
      </c>
      <c r="AO783">
        <v>0.34774152576010159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0.51932940178248677</v>
      </c>
      <c r="BA783">
        <v>0</v>
      </c>
      <c r="BB783">
        <v>0.13292907245741165</v>
      </c>
      <c r="BC783">
        <v>0</v>
      </c>
      <c r="BD783">
        <v>0.34774152576010159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2.8756991211048972</v>
      </c>
      <c r="BK783">
        <v>2.8756991211048972</v>
      </c>
      <c r="BL783">
        <v>1.3822640168350679</v>
      </c>
      <c r="CC783">
        <v>0</v>
      </c>
      <c r="CD783">
        <v>0</v>
      </c>
      <c r="CE783">
        <v>0</v>
      </c>
    </row>
    <row r="784" spans="1:84" x14ac:dyDescent="0.25">
      <c r="A784" t="s">
        <v>128</v>
      </c>
      <c r="B784" t="s">
        <v>422</v>
      </c>
      <c r="C784" s="14" t="s">
        <v>109</v>
      </c>
      <c r="D784" s="12">
        <v>46241</v>
      </c>
      <c r="E784" s="14" t="s">
        <v>133</v>
      </c>
      <c r="F784" s="14" t="s">
        <v>133</v>
      </c>
      <c r="G784" s="14" t="s">
        <v>133</v>
      </c>
      <c r="H784" s="14"/>
      <c r="J784">
        <v>26.220922841721425</v>
      </c>
      <c r="M784">
        <v>18.049999999999997</v>
      </c>
      <c r="N784">
        <v>18.049999999999997</v>
      </c>
      <c r="O784">
        <v>18.624999999999993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4.9073967138750584E-2</v>
      </c>
      <c r="AC784">
        <v>0.26254446410579213</v>
      </c>
      <c r="AD784">
        <v>0</v>
      </c>
      <c r="AE784">
        <v>2.7144914394463218E-2</v>
      </c>
      <c r="AF784">
        <v>0</v>
      </c>
      <c r="AG784">
        <v>0.6612366543609941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84" x14ac:dyDescent="0.25">
      <c r="A785" t="s">
        <v>128</v>
      </c>
      <c r="B785" t="s">
        <v>422</v>
      </c>
      <c r="C785" s="14" t="s">
        <v>109</v>
      </c>
      <c r="D785" s="12">
        <v>46243</v>
      </c>
      <c r="E785" s="14" t="s">
        <v>133</v>
      </c>
      <c r="F785" s="14" t="s">
        <v>133</v>
      </c>
      <c r="G785" s="14" t="s">
        <v>133</v>
      </c>
      <c r="H785" s="14"/>
      <c r="J785">
        <v>27.008675888468424</v>
      </c>
      <c r="M785">
        <v>31.349999999999998</v>
      </c>
      <c r="N785">
        <v>31.349999999999998</v>
      </c>
      <c r="O785">
        <v>19.624999999999993</v>
      </c>
      <c r="S785">
        <v>0</v>
      </c>
      <c r="T785">
        <v>0</v>
      </c>
      <c r="U785">
        <v>0.23083903857904661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0.12118191394739201</v>
      </c>
      <c r="AB785">
        <v>1.2359862837788851E-2</v>
      </c>
      <c r="AC785">
        <v>0.17892295763586236</v>
      </c>
      <c r="AD785">
        <v>0</v>
      </c>
      <c r="AE785">
        <v>9.4458674213070831E-2</v>
      </c>
      <c r="AF785">
        <v>0</v>
      </c>
      <c r="AG785">
        <v>0.71425850531327795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84" x14ac:dyDescent="0.25">
      <c r="A786" t="s">
        <v>128</v>
      </c>
      <c r="B786" t="s">
        <v>422</v>
      </c>
      <c r="C786" s="14" t="s">
        <v>109</v>
      </c>
      <c r="D786" s="12">
        <v>46243</v>
      </c>
      <c r="E786" s="14" t="s">
        <v>420</v>
      </c>
      <c r="F786" s="14" t="s">
        <v>420</v>
      </c>
      <c r="G786" s="14" t="s">
        <v>420</v>
      </c>
      <c r="H786" s="14"/>
      <c r="J786">
        <v>6.7786480661254078</v>
      </c>
      <c r="M786">
        <v>0.95</v>
      </c>
      <c r="N786">
        <v>0.95</v>
      </c>
      <c r="O786">
        <v>0.98961937716262982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2.4501930735704777E-2</v>
      </c>
      <c r="AC786">
        <v>0.83535213002496711</v>
      </c>
      <c r="AD786">
        <v>0</v>
      </c>
      <c r="AE786">
        <v>1.8657199341458517E-2</v>
      </c>
      <c r="AF786">
        <v>0</v>
      </c>
      <c r="AG786">
        <v>0.12148873989786953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84" x14ac:dyDescent="0.25">
      <c r="A787" t="s">
        <v>128</v>
      </c>
      <c r="B787" t="s">
        <v>422</v>
      </c>
      <c r="C787" s="14" t="s">
        <v>72</v>
      </c>
      <c r="D787" s="12">
        <v>46247</v>
      </c>
      <c r="E787" s="14" t="s">
        <v>133</v>
      </c>
      <c r="F787" s="14" t="s">
        <v>133</v>
      </c>
      <c r="G787" s="14" t="s">
        <v>133</v>
      </c>
      <c r="H787" s="14" t="s">
        <v>73</v>
      </c>
      <c r="I787">
        <v>20</v>
      </c>
      <c r="J787">
        <v>10.887872467538832</v>
      </c>
      <c r="K787">
        <v>46247</v>
      </c>
      <c r="L787" t="s">
        <v>492</v>
      </c>
      <c r="M787">
        <v>26.6</v>
      </c>
      <c r="N787">
        <v>26.6</v>
      </c>
      <c r="O787">
        <v>10.075490196078428</v>
      </c>
      <c r="P787">
        <v>2.4430851921994305</v>
      </c>
      <c r="Q787">
        <v>2.4430851921994305</v>
      </c>
      <c r="R787">
        <v>0.92538650008232137</v>
      </c>
      <c r="S787">
        <v>0</v>
      </c>
      <c r="T787">
        <v>0</v>
      </c>
      <c r="U787">
        <v>1.1930851921994305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0.25</v>
      </c>
      <c r="AB787">
        <v>0</v>
      </c>
      <c r="AC787">
        <v>0</v>
      </c>
      <c r="AD787">
        <v>0</v>
      </c>
      <c r="AE787">
        <v>7.4613499917678627E-2</v>
      </c>
      <c r="AF787">
        <v>0</v>
      </c>
      <c r="AG787">
        <v>0.92538650008232137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0.40931851381724937</v>
      </c>
      <c r="AN787">
        <v>0.40931851381724937</v>
      </c>
      <c r="AO787">
        <v>0.3787778269202417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0.59068148618275063</v>
      </c>
      <c r="BA787">
        <v>0</v>
      </c>
      <c r="BB787">
        <v>3.0540686897007674E-2</v>
      </c>
      <c r="BC787">
        <v>0</v>
      </c>
      <c r="BD787">
        <v>0.3787778269202417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2.6400700593558435</v>
      </c>
      <c r="BK787">
        <v>2.6400700593558435</v>
      </c>
      <c r="BL787">
        <v>1.0806295530689514</v>
      </c>
      <c r="CC787">
        <v>0</v>
      </c>
      <c r="CD787">
        <v>0</v>
      </c>
      <c r="CE787">
        <v>0</v>
      </c>
    </row>
    <row r="788" spans="1:84" x14ac:dyDescent="0.25">
      <c r="A788" t="s">
        <v>128</v>
      </c>
      <c r="B788" t="s">
        <v>422</v>
      </c>
      <c r="C788" s="14" t="s">
        <v>117</v>
      </c>
      <c r="D788" s="12">
        <v>46246</v>
      </c>
      <c r="E788" s="14"/>
      <c r="F788" s="14"/>
      <c r="G788" s="14"/>
      <c r="H788" s="14"/>
      <c r="J788">
        <v>43.719560553941719</v>
      </c>
      <c r="M788">
        <v>55.100000000000009</v>
      </c>
      <c r="N788">
        <v>55.100000000000009</v>
      </c>
      <c r="O788">
        <v>23.749596309111876</v>
      </c>
      <c r="S788">
        <v>0</v>
      </c>
      <c r="T788">
        <v>0</v>
      </c>
      <c r="U788">
        <v>0.57480236062263346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7.191240345984147E-2</v>
      </c>
      <c r="AB788">
        <v>4.3763518550175684E-2</v>
      </c>
      <c r="AC788">
        <v>0.34264580554470009</v>
      </c>
      <c r="AD788">
        <v>0</v>
      </c>
      <c r="AE788">
        <v>0.11412832465705847</v>
      </c>
      <c r="AF788">
        <v>0</v>
      </c>
      <c r="AG788">
        <v>0.49946235124806571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84" x14ac:dyDescent="0.25">
      <c r="A789" t="s">
        <v>128</v>
      </c>
      <c r="B789" t="s">
        <v>422</v>
      </c>
      <c r="C789" s="14" t="s">
        <v>72</v>
      </c>
      <c r="D789" s="12">
        <v>46224</v>
      </c>
      <c r="E789" s="14" t="s">
        <v>133</v>
      </c>
      <c r="F789" s="14" t="s">
        <v>133</v>
      </c>
      <c r="G789" s="14" t="s">
        <v>133</v>
      </c>
      <c r="H789" s="14" t="s">
        <v>73</v>
      </c>
      <c r="I789">
        <v>20</v>
      </c>
      <c r="J789">
        <v>13.02605930870925</v>
      </c>
      <c r="K789">
        <v>46224</v>
      </c>
      <c r="L789" t="s">
        <v>426</v>
      </c>
      <c r="M789">
        <v>25.65</v>
      </c>
      <c r="N789">
        <v>25.65</v>
      </c>
      <c r="O789">
        <v>9.4058823529411733</v>
      </c>
      <c r="P789">
        <v>1.9691296801366747</v>
      </c>
      <c r="Q789">
        <v>1.9691296801366747</v>
      </c>
      <c r="R789">
        <v>0.72208195356921034</v>
      </c>
      <c r="S789">
        <v>0</v>
      </c>
      <c r="T789">
        <v>0</v>
      </c>
      <c r="U789">
        <v>0.71912968013667466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0.25</v>
      </c>
      <c r="AB789">
        <v>0</v>
      </c>
      <c r="AC789">
        <v>0</v>
      </c>
      <c r="AD789">
        <v>0</v>
      </c>
      <c r="AE789">
        <v>0.27791804643078966</v>
      </c>
      <c r="AF789">
        <v>0</v>
      </c>
      <c r="AG789">
        <v>0.72208195356921034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0.50783856954032169</v>
      </c>
      <c r="AN789">
        <v>0.50783856954032169</v>
      </c>
      <c r="AO789">
        <v>0.36670106639146877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0.49216143045967831</v>
      </c>
      <c r="BA789">
        <v>0</v>
      </c>
      <c r="BB789">
        <v>0.14113750314885293</v>
      </c>
      <c r="BC789">
        <v>0</v>
      </c>
      <c r="BD789">
        <v>0.36670106639146877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2.7270168855534718</v>
      </c>
      <c r="BK789">
        <v>2.7270168855534718</v>
      </c>
      <c r="BL789">
        <v>1.3848843542717781</v>
      </c>
      <c r="CC789">
        <v>0</v>
      </c>
      <c r="CD789">
        <v>0</v>
      </c>
      <c r="CE789">
        <v>0</v>
      </c>
    </row>
    <row r="790" spans="1:84" x14ac:dyDescent="0.25">
      <c r="A790" t="s">
        <v>128</v>
      </c>
      <c r="B790" t="s">
        <v>422</v>
      </c>
      <c r="C790" s="14" t="s">
        <v>109</v>
      </c>
      <c r="D790" s="12">
        <v>46241</v>
      </c>
      <c r="E790" s="14" t="s">
        <v>420</v>
      </c>
      <c r="F790" s="14" t="s">
        <v>420</v>
      </c>
      <c r="G790" s="14" t="s">
        <v>420</v>
      </c>
      <c r="H790" s="14"/>
      <c r="J790">
        <v>6.7786480661254078</v>
      </c>
      <c r="M790">
        <v>1.9</v>
      </c>
      <c r="N790">
        <v>1.9</v>
      </c>
      <c r="O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0.85985406076067195</v>
      </c>
      <c r="AD790">
        <v>0</v>
      </c>
      <c r="AE790">
        <v>0</v>
      </c>
      <c r="AF790">
        <v>0</v>
      </c>
      <c r="AG790">
        <v>0</v>
      </c>
      <c r="AH790">
        <v>0.14014593923932805</v>
      </c>
      <c r="AI790">
        <v>0</v>
      </c>
      <c r="AJ790">
        <v>0</v>
      </c>
      <c r="AK790">
        <v>0</v>
      </c>
      <c r="AL790">
        <v>0</v>
      </c>
    </row>
    <row r="791" spans="1:84" x14ac:dyDescent="0.25">
      <c r="A791" t="s">
        <v>128</v>
      </c>
      <c r="B791" t="s">
        <v>422</v>
      </c>
      <c r="C791" s="14" t="s">
        <v>72</v>
      </c>
      <c r="D791" s="12">
        <v>46246</v>
      </c>
      <c r="E791" s="14" t="s">
        <v>133</v>
      </c>
      <c r="F791" s="14" t="s">
        <v>133</v>
      </c>
      <c r="G791" s="14" t="s">
        <v>133</v>
      </c>
      <c r="H791" s="14" t="s">
        <v>75</v>
      </c>
      <c r="I791">
        <v>20</v>
      </c>
      <c r="J791">
        <v>10.80347035538737</v>
      </c>
      <c r="K791">
        <v>46246</v>
      </c>
      <c r="L791" t="s">
        <v>491</v>
      </c>
      <c r="M791">
        <v>4.75</v>
      </c>
      <c r="N791">
        <v>4.75</v>
      </c>
      <c r="O791">
        <v>5.4696078431372541</v>
      </c>
      <c r="P791">
        <v>0.4396735348684801</v>
      </c>
      <c r="Q791">
        <v>0.4396735348684801</v>
      </c>
      <c r="R791">
        <v>0.50628248731295156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6.6608952444471459E-2</v>
      </c>
      <c r="AC791">
        <v>0.49371751268704844</v>
      </c>
      <c r="AD791">
        <v>0</v>
      </c>
      <c r="AE791">
        <v>0</v>
      </c>
      <c r="AF791">
        <v>0</v>
      </c>
      <c r="AG791">
        <v>0.4396735348684801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2.274414811660499</v>
      </c>
      <c r="AN791">
        <v>2.274414811660499</v>
      </c>
      <c r="AO791">
        <v>1.1514963880288955</v>
      </c>
      <c r="BF791">
        <v>0</v>
      </c>
      <c r="BG791">
        <v>0</v>
      </c>
      <c r="BH791">
        <v>0</v>
      </c>
      <c r="BJ791">
        <v>0.86843520344147707</v>
      </c>
      <c r="BK791">
        <v>0.86843520344147707</v>
      </c>
      <c r="BL791">
        <v>1.9751818896746942</v>
      </c>
      <c r="BM791">
        <v>0.97518188967469421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0.56032646513151985</v>
      </c>
      <c r="BW791">
        <v>0</v>
      </c>
      <c r="BX791">
        <v>0</v>
      </c>
      <c r="BY791">
        <v>0</v>
      </c>
      <c r="BZ791">
        <v>0</v>
      </c>
      <c r="CA791">
        <v>0.86843520344147707</v>
      </c>
      <c r="CB791">
        <v>0</v>
      </c>
      <c r="CC791">
        <v>0</v>
      </c>
      <c r="CD791">
        <v>0</v>
      </c>
      <c r="CE791">
        <v>0</v>
      </c>
      <c r="CF791">
        <v>0</v>
      </c>
    </row>
    <row r="792" spans="1:84" x14ac:dyDescent="0.25">
      <c r="A792" t="s">
        <v>128</v>
      </c>
      <c r="B792" t="s">
        <v>422</v>
      </c>
      <c r="C792" s="14" t="s">
        <v>72</v>
      </c>
      <c r="D792" s="12">
        <v>46246</v>
      </c>
      <c r="E792" s="14" t="s">
        <v>133</v>
      </c>
      <c r="F792" s="14" t="s">
        <v>133</v>
      </c>
      <c r="G792" s="14" t="s">
        <v>133</v>
      </c>
      <c r="H792" s="14" t="s">
        <v>74</v>
      </c>
      <c r="I792">
        <v>20</v>
      </c>
      <c r="J792">
        <v>4.220105607573192</v>
      </c>
      <c r="K792">
        <v>46246</v>
      </c>
      <c r="L792" t="s">
        <v>490</v>
      </c>
      <c r="M792">
        <v>2.8499999999999996</v>
      </c>
      <c r="N792">
        <v>2.8499999999999996</v>
      </c>
      <c r="O792">
        <v>3.0882352941176467</v>
      </c>
      <c r="P792">
        <v>0.67533854955798522</v>
      </c>
      <c r="Q792">
        <v>0.67533854955798522</v>
      </c>
      <c r="R792">
        <v>0.73179099797304903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5.6452448415063805E-2</v>
      </c>
      <c r="AC792">
        <v>0.26820900202695097</v>
      </c>
      <c r="AD792">
        <v>0</v>
      </c>
      <c r="AE792">
        <v>0</v>
      </c>
      <c r="AF792">
        <v>0</v>
      </c>
      <c r="AG792">
        <v>0.67533854955798522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1.4807388096748044</v>
      </c>
      <c r="AN792">
        <v>1.4807388096748044</v>
      </c>
      <c r="AO792">
        <v>1.0835913312693499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8.3591331269349922E-2</v>
      </c>
      <c r="AW792">
        <v>0</v>
      </c>
      <c r="AX792">
        <v>0.3971474784054545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0.92285714285714282</v>
      </c>
      <c r="BK792">
        <v>0.92285714285714282</v>
      </c>
      <c r="BL792">
        <v>1.3665103872141766</v>
      </c>
      <c r="BM792">
        <v>0.36651038721417661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0.32466145044201478</v>
      </c>
      <c r="BW792">
        <v>0</v>
      </c>
      <c r="BX792">
        <v>0</v>
      </c>
      <c r="BY792">
        <v>0</v>
      </c>
      <c r="BZ792">
        <v>0</v>
      </c>
      <c r="CA792">
        <v>0.92285714285714282</v>
      </c>
      <c r="CB792">
        <v>0</v>
      </c>
      <c r="CC792">
        <v>0</v>
      </c>
      <c r="CD792">
        <v>0</v>
      </c>
      <c r="CE792">
        <v>0</v>
      </c>
      <c r="CF792">
        <v>0</v>
      </c>
    </row>
    <row r="793" spans="1:84" x14ac:dyDescent="0.25">
      <c r="A793" t="s">
        <v>128</v>
      </c>
      <c r="B793" t="s">
        <v>422</v>
      </c>
      <c r="C793" s="14" t="s">
        <v>109</v>
      </c>
      <c r="D793" s="12">
        <v>46240</v>
      </c>
      <c r="E793" s="14" t="s">
        <v>134</v>
      </c>
      <c r="F793" s="14" t="s">
        <v>134</v>
      </c>
      <c r="G793" s="14" t="s">
        <v>134</v>
      </c>
      <c r="H793" s="14"/>
      <c r="J793">
        <v>10.754837871019967</v>
      </c>
      <c r="M793">
        <v>3.8</v>
      </c>
      <c r="N793">
        <v>3.8</v>
      </c>
      <c r="O793">
        <v>4.6258938869665513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0.15132268844121716</v>
      </c>
      <c r="AC793">
        <v>0.49534794987314584</v>
      </c>
      <c r="AD793">
        <v>0</v>
      </c>
      <c r="AE793">
        <v>7.4529909519648302E-2</v>
      </c>
      <c r="AF793">
        <v>0</v>
      </c>
      <c r="AG793">
        <v>0.27879945216598861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84" x14ac:dyDescent="0.25">
      <c r="A794" t="s">
        <v>128</v>
      </c>
      <c r="B794" t="s">
        <v>422</v>
      </c>
      <c r="C794" s="14" t="s">
        <v>72</v>
      </c>
      <c r="D794" s="12">
        <v>46224</v>
      </c>
      <c r="E794" s="14" t="s">
        <v>133</v>
      </c>
      <c r="F794" s="14" t="s">
        <v>133</v>
      </c>
      <c r="G794" s="14" t="s">
        <v>133</v>
      </c>
      <c r="H794" s="14" t="s">
        <v>74</v>
      </c>
      <c r="I794">
        <v>20</v>
      </c>
      <c r="J794">
        <v>4.220105607573192</v>
      </c>
      <c r="K794">
        <v>46224</v>
      </c>
      <c r="L794" t="s">
        <v>427</v>
      </c>
      <c r="M794">
        <v>3.8</v>
      </c>
      <c r="N794">
        <v>3.8</v>
      </c>
      <c r="O794">
        <v>3.2058823529411757</v>
      </c>
      <c r="P794">
        <v>0.90045139941064711</v>
      </c>
      <c r="Q794">
        <v>0.90045139941064711</v>
      </c>
      <c r="R794">
        <v>0.75966875027678415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9.9548600589352887E-2</v>
      </c>
      <c r="AD794">
        <v>0</v>
      </c>
      <c r="AE794">
        <v>0.14078264913386296</v>
      </c>
      <c r="AF794">
        <v>0</v>
      </c>
      <c r="AG794">
        <v>0.75966875027678415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1.1105541072561032</v>
      </c>
      <c r="AN794">
        <v>1.1105541072561032</v>
      </c>
      <c r="AO794">
        <v>0.84365325077399367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0.11055410725610315</v>
      </c>
      <c r="AY794">
        <v>0</v>
      </c>
      <c r="AZ794">
        <v>0</v>
      </c>
      <c r="BA794">
        <v>0</v>
      </c>
      <c r="BB794">
        <v>0.15634674922600633</v>
      </c>
      <c r="BC794">
        <v>0</v>
      </c>
      <c r="BD794">
        <v>0.84365325077399367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1.1853211009174314</v>
      </c>
      <c r="BK794">
        <v>1.1853211009174314</v>
      </c>
      <c r="BL794">
        <v>1.3163632170411794</v>
      </c>
      <c r="BM794">
        <v>0.13104211612374805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0.18532110091743137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0</v>
      </c>
      <c r="CC794">
        <v>0</v>
      </c>
      <c r="CD794">
        <v>0</v>
      </c>
      <c r="CE794">
        <v>0</v>
      </c>
      <c r="CF794">
        <v>0</v>
      </c>
    </row>
    <row r="795" spans="1:84" x14ac:dyDescent="0.25">
      <c r="A795" t="s">
        <v>128</v>
      </c>
      <c r="B795" t="s">
        <v>422</v>
      </c>
      <c r="C795" s="14" t="s">
        <v>109</v>
      </c>
      <c r="D795" s="12">
        <v>46241</v>
      </c>
      <c r="E795" s="14" t="s">
        <v>134</v>
      </c>
      <c r="F795" s="14" t="s">
        <v>134</v>
      </c>
      <c r="G795" s="14" t="s">
        <v>134</v>
      </c>
      <c r="H795" s="14"/>
      <c r="J795">
        <v>8.2967229897463568</v>
      </c>
      <c r="M795">
        <v>6.65</v>
      </c>
      <c r="N795">
        <v>6.65</v>
      </c>
      <c r="O795">
        <v>6.3620530565167224</v>
      </c>
      <c r="S795">
        <v>2.7091266971089188E-3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4.9436918475850189E-2</v>
      </c>
      <c r="AC795">
        <v>0.14904180520595606</v>
      </c>
      <c r="AD795">
        <v>0</v>
      </c>
      <c r="AE795">
        <v>8.6852150684634227E-2</v>
      </c>
      <c r="AF795">
        <v>0</v>
      </c>
      <c r="AG795">
        <v>0.71466912563355955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84" x14ac:dyDescent="0.25">
      <c r="A796" t="s">
        <v>128</v>
      </c>
      <c r="B796" t="s">
        <v>422</v>
      </c>
      <c r="C796" s="14" t="s">
        <v>117</v>
      </c>
      <c r="D796" s="12">
        <v>46245</v>
      </c>
      <c r="E796" s="14"/>
      <c r="F796" s="14"/>
      <c r="G796" s="14"/>
      <c r="H796" s="14"/>
      <c r="J796">
        <v>45.361994830502269</v>
      </c>
      <c r="M796">
        <v>39.900000000000006</v>
      </c>
      <c r="N796">
        <v>39.900000000000006</v>
      </c>
      <c r="O796">
        <v>25.292416378316027</v>
      </c>
      <c r="S796">
        <v>0</v>
      </c>
      <c r="T796">
        <v>0</v>
      </c>
      <c r="U796">
        <v>0.22122336222602246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7.6338525292579881E-2</v>
      </c>
      <c r="AB796">
        <v>6.9136906706421475E-2</v>
      </c>
      <c r="AC796">
        <v>0.36977667520880203</v>
      </c>
      <c r="AD796">
        <v>0</v>
      </c>
      <c r="AE796">
        <v>7.2654891726853701E-2</v>
      </c>
      <c r="AF796">
        <v>0</v>
      </c>
      <c r="AG796">
        <v>0.4884315263579227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84" x14ac:dyDescent="0.25">
      <c r="A797" t="s">
        <v>128</v>
      </c>
      <c r="B797" t="s">
        <v>422</v>
      </c>
      <c r="C797" s="14" t="s">
        <v>72</v>
      </c>
      <c r="D797" s="12">
        <v>46247</v>
      </c>
      <c r="E797" s="14" t="s">
        <v>133</v>
      </c>
      <c r="F797" s="14" t="s">
        <v>133</v>
      </c>
      <c r="G797" s="14" t="s">
        <v>133</v>
      </c>
      <c r="H797" s="14" t="s">
        <v>74</v>
      </c>
      <c r="I797">
        <v>20</v>
      </c>
      <c r="J797">
        <v>4.220105607573192</v>
      </c>
      <c r="K797">
        <v>46247</v>
      </c>
      <c r="L797" t="s">
        <v>493</v>
      </c>
      <c r="M797">
        <v>3.8</v>
      </c>
      <c r="N797">
        <v>3.8</v>
      </c>
      <c r="O797">
        <v>3.2058823529411757</v>
      </c>
      <c r="P797">
        <v>0.90045139941064711</v>
      </c>
      <c r="Q797">
        <v>0.90045139941064711</v>
      </c>
      <c r="R797">
        <v>0.75966875027678415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9.9548600589352887E-2</v>
      </c>
      <c r="AD797">
        <v>0</v>
      </c>
      <c r="AE797">
        <v>0.14078264913386296</v>
      </c>
      <c r="AF797">
        <v>0</v>
      </c>
      <c r="AG797">
        <v>0.75966875027678415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1.1105541072561032</v>
      </c>
      <c r="AN797">
        <v>1.1105541072561032</v>
      </c>
      <c r="AO797">
        <v>0.84365325077399367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0.11055410725610315</v>
      </c>
      <c r="AY797">
        <v>0</v>
      </c>
      <c r="AZ797">
        <v>0</v>
      </c>
      <c r="BA797">
        <v>0</v>
      </c>
      <c r="BB797">
        <v>0.15634674922600633</v>
      </c>
      <c r="BC797">
        <v>0</v>
      </c>
      <c r="BD797">
        <v>0.84365325077399367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1.1853211009174314</v>
      </c>
      <c r="BK797">
        <v>1.1853211009174314</v>
      </c>
      <c r="BL797">
        <v>1.3163632170411794</v>
      </c>
      <c r="BM797">
        <v>0.13104211612374805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0.18532110091743137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0</v>
      </c>
      <c r="CE797">
        <v>0</v>
      </c>
      <c r="CF797">
        <v>0</v>
      </c>
    </row>
    <row r="798" spans="1:84" x14ac:dyDescent="0.25">
      <c r="A798" t="s">
        <v>128</v>
      </c>
      <c r="B798" t="s">
        <v>422</v>
      </c>
      <c r="C798" s="14" t="s">
        <v>117</v>
      </c>
      <c r="D798" s="12">
        <v>46247</v>
      </c>
      <c r="E798" s="14"/>
      <c r="F798" s="14"/>
      <c r="G798" s="14"/>
      <c r="H798" s="14"/>
      <c r="J798">
        <v>43.249410850616073</v>
      </c>
      <c r="M798">
        <v>44.649999999999991</v>
      </c>
      <c r="N798">
        <v>44.649999999999991</v>
      </c>
      <c r="O798">
        <v>27.542848904267586</v>
      </c>
      <c r="S798">
        <v>0</v>
      </c>
      <c r="T798">
        <v>0</v>
      </c>
      <c r="U798">
        <v>0.30035459813417126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6.2936536321533149E-2</v>
      </c>
      <c r="AB798">
        <v>5.3377263027954258E-2</v>
      </c>
      <c r="AC798">
        <v>0.29949548328044651</v>
      </c>
      <c r="AD798">
        <v>0</v>
      </c>
      <c r="AE798">
        <v>6.3666965350336446E-2</v>
      </c>
      <c r="AF798">
        <v>0</v>
      </c>
      <c r="AG798">
        <v>0.58346028834126273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84" x14ac:dyDescent="0.25">
      <c r="A799" t="s">
        <v>128</v>
      </c>
      <c r="B799" t="s">
        <v>422</v>
      </c>
      <c r="C799" s="14" t="s">
        <v>72</v>
      </c>
      <c r="D799" s="12">
        <v>46243</v>
      </c>
      <c r="E799" s="14" t="s">
        <v>133</v>
      </c>
      <c r="F799" s="14" t="s">
        <v>133</v>
      </c>
      <c r="G799" s="14" t="s">
        <v>133</v>
      </c>
      <c r="H799" s="14" t="s">
        <v>73</v>
      </c>
      <c r="I799">
        <v>20</v>
      </c>
      <c r="J799">
        <v>10.972274579690296</v>
      </c>
      <c r="K799">
        <v>46243</v>
      </c>
      <c r="L799" t="s">
        <v>480</v>
      </c>
      <c r="M799">
        <v>19.95</v>
      </c>
      <c r="N799">
        <v>19.95</v>
      </c>
      <c r="O799">
        <v>8.582352941176465</v>
      </c>
      <c r="P799">
        <v>1.8182191718868841</v>
      </c>
      <c r="Q799">
        <v>1.8182191718868841</v>
      </c>
      <c r="R799">
        <v>0.78218539636826245</v>
      </c>
      <c r="S799">
        <v>0</v>
      </c>
      <c r="T799">
        <v>0</v>
      </c>
      <c r="U799">
        <v>0.56821917188688409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0.25</v>
      </c>
      <c r="AB799">
        <v>0</v>
      </c>
      <c r="AC799">
        <v>0</v>
      </c>
      <c r="AD799">
        <v>0</v>
      </c>
      <c r="AE799">
        <v>0.21781460363173755</v>
      </c>
      <c r="AF799">
        <v>0</v>
      </c>
      <c r="AG799">
        <v>0.78218539636826245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0.54998870073635575</v>
      </c>
      <c r="AN799">
        <v>0.54998870073635575</v>
      </c>
      <c r="AO799">
        <v>0.43019312988353209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0.45001129926364425</v>
      </c>
      <c r="BA799">
        <v>0</v>
      </c>
      <c r="BB799">
        <v>0.11979557085282366</v>
      </c>
      <c r="BC799">
        <v>0</v>
      </c>
      <c r="BD799">
        <v>0.43019312988353209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2.3245373543522976</v>
      </c>
      <c r="BK799">
        <v>2.3245373543522976</v>
      </c>
      <c r="BL799">
        <v>1.2784692793333459</v>
      </c>
      <c r="CC799">
        <v>0</v>
      </c>
      <c r="CD799">
        <v>0</v>
      </c>
      <c r="CE799">
        <v>0</v>
      </c>
    </row>
    <row r="800" spans="1:84" x14ac:dyDescent="0.25">
      <c r="A800" t="s">
        <v>128</v>
      </c>
      <c r="B800" t="s">
        <v>422</v>
      </c>
      <c r="C800" s="14" t="s">
        <v>109</v>
      </c>
      <c r="D800" s="12">
        <v>46242</v>
      </c>
      <c r="E800" s="14" t="s">
        <v>133</v>
      </c>
      <c r="F800" s="14" t="s">
        <v>133</v>
      </c>
      <c r="G800" s="14" t="s">
        <v>133</v>
      </c>
      <c r="H800" s="14"/>
      <c r="J800">
        <v>26.220922841721425</v>
      </c>
      <c r="M800">
        <v>34.200000000000003</v>
      </c>
      <c r="N800">
        <v>34.200000000000003</v>
      </c>
      <c r="O800">
        <v>20.727941176470587</v>
      </c>
      <c r="S800">
        <v>0</v>
      </c>
      <c r="T800">
        <v>0</v>
      </c>
      <c r="U800">
        <v>0.38001414908528108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0.10515021459227467</v>
      </c>
      <c r="AB800">
        <v>3.8866581973890514E-2</v>
      </c>
      <c r="AC800">
        <v>0.14199586195648292</v>
      </c>
      <c r="AD800">
        <v>0</v>
      </c>
      <c r="AE800">
        <v>6.7492633105585662E-2</v>
      </c>
      <c r="AF800">
        <v>0</v>
      </c>
      <c r="AG800">
        <v>0.75164492296404084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84" x14ac:dyDescent="0.25">
      <c r="A801" t="s">
        <v>128</v>
      </c>
      <c r="B801" t="s">
        <v>422</v>
      </c>
      <c r="C801" s="14" t="s">
        <v>72</v>
      </c>
      <c r="D801" s="12">
        <v>46225</v>
      </c>
      <c r="E801" s="14" t="s">
        <v>133</v>
      </c>
      <c r="F801" s="14" t="s">
        <v>133</v>
      </c>
      <c r="G801" s="14" t="s">
        <v>133</v>
      </c>
      <c r="H801" s="14" t="s">
        <v>74</v>
      </c>
      <c r="I801">
        <v>20</v>
      </c>
      <c r="J801">
        <v>4.2201056075731911</v>
      </c>
      <c r="K801">
        <v>46225</v>
      </c>
      <c r="L801" t="s">
        <v>430</v>
      </c>
      <c r="M801">
        <v>4.75</v>
      </c>
      <c r="N801">
        <v>4.75</v>
      </c>
      <c r="O801">
        <v>3.2058823529411757</v>
      </c>
      <c r="P801">
        <v>1.1255642492633091</v>
      </c>
      <c r="Q801">
        <v>1.1255642492633091</v>
      </c>
      <c r="R801">
        <v>0.75966875027678438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0.12556424926330911</v>
      </c>
      <c r="AB801">
        <v>0</v>
      </c>
      <c r="AC801">
        <v>0</v>
      </c>
      <c r="AD801">
        <v>0</v>
      </c>
      <c r="AE801">
        <v>0.24033124972321562</v>
      </c>
      <c r="AF801">
        <v>0</v>
      </c>
      <c r="AG801">
        <v>0.75966875027678438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0.8884432858048823</v>
      </c>
      <c r="AN801">
        <v>0.8884432858048823</v>
      </c>
      <c r="AO801">
        <v>0.67492260061919485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0.1115567141951177</v>
      </c>
      <c r="BA801">
        <v>0</v>
      </c>
      <c r="BB801">
        <v>0.21352068518568745</v>
      </c>
      <c r="BC801">
        <v>0</v>
      </c>
      <c r="BD801">
        <v>0.67492260061919485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1.4816513761467893</v>
      </c>
      <c r="BK801">
        <v>1.4816513761467893</v>
      </c>
      <c r="BL801">
        <v>1.3163632170411792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0.3163632170411792</v>
      </c>
      <c r="BT801">
        <v>0</v>
      </c>
      <c r="BU801">
        <v>0.16528815910561012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</row>
    <row r="802" spans="1:84" x14ac:dyDescent="0.25">
      <c r="A802" t="s">
        <v>128</v>
      </c>
      <c r="B802" t="s">
        <v>422</v>
      </c>
      <c r="C802" s="14" t="s">
        <v>72</v>
      </c>
      <c r="D802" s="12">
        <v>46245</v>
      </c>
      <c r="E802" s="14" t="s">
        <v>133</v>
      </c>
      <c r="F802" s="14" t="s">
        <v>133</v>
      </c>
      <c r="G802" s="14" t="s">
        <v>133</v>
      </c>
      <c r="H802" s="14" t="s">
        <v>75</v>
      </c>
      <c r="I802">
        <v>20</v>
      </c>
      <c r="J802">
        <v>10.972274579690296</v>
      </c>
      <c r="K802">
        <v>46245</v>
      </c>
      <c r="L802" t="s">
        <v>488</v>
      </c>
      <c r="M802">
        <v>5.6999999999999993</v>
      </c>
      <c r="N802">
        <v>5.6999999999999993</v>
      </c>
      <c r="O802">
        <v>6.4102941176470569</v>
      </c>
      <c r="P802">
        <v>0.51949119196768112</v>
      </c>
      <c r="Q802">
        <v>0.51949119196768112</v>
      </c>
      <c r="R802">
        <v>0.58422654948068153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6.4735357513000413E-2</v>
      </c>
      <c r="AC802">
        <v>0.41577345051931847</v>
      </c>
      <c r="AD802">
        <v>0</v>
      </c>
      <c r="AE802">
        <v>0</v>
      </c>
      <c r="AF802">
        <v>0</v>
      </c>
      <c r="AG802">
        <v>0.51949119196768112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1.9249604525772452</v>
      </c>
      <c r="AN802">
        <v>1.9249604525772452</v>
      </c>
      <c r="AO802">
        <v>1.1246130030959751</v>
      </c>
      <c r="BF802">
        <v>0</v>
      </c>
      <c r="BG802">
        <v>0</v>
      </c>
      <c r="BH802">
        <v>0</v>
      </c>
      <c r="BJ802">
        <v>0.88919476944253284</v>
      </c>
      <c r="BK802">
        <v>0.88919476944253284</v>
      </c>
      <c r="BL802">
        <v>1.7116647658154172</v>
      </c>
      <c r="BM802">
        <v>0.71166476581541716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0.48050880803231888</v>
      </c>
      <c r="BW802">
        <v>0</v>
      </c>
      <c r="BX802">
        <v>0</v>
      </c>
      <c r="BY802">
        <v>0</v>
      </c>
      <c r="BZ802">
        <v>0</v>
      </c>
      <c r="CA802">
        <v>0.88919476944253284</v>
      </c>
      <c r="CB802">
        <v>0</v>
      </c>
      <c r="CC802">
        <v>0</v>
      </c>
      <c r="CD802">
        <v>0</v>
      </c>
      <c r="CE802">
        <v>0</v>
      </c>
      <c r="CF802">
        <v>0</v>
      </c>
    </row>
    <row r="803" spans="1:84" x14ac:dyDescent="0.25">
      <c r="A803" t="s">
        <v>128</v>
      </c>
      <c r="B803" t="s">
        <v>422</v>
      </c>
      <c r="C803" s="14" t="s">
        <v>72</v>
      </c>
      <c r="D803" s="12">
        <v>46224</v>
      </c>
      <c r="E803" s="14" t="s">
        <v>133</v>
      </c>
      <c r="F803" s="14" t="s">
        <v>133</v>
      </c>
      <c r="G803" s="14" t="s">
        <v>133</v>
      </c>
      <c r="H803" s="14" t="s">
        <v>75</v>
      </c>
      <c r="I803">
        <v>20</v>
      </c>
      <c r="J803">
        <v>10.972274579690296</v>
      </c>
      <c r="K803">
        <v>46224</v>
      </c>
      <c r="L803" t="s">
        <v>428</v>
      </c>
      <c r="M803">
        <v>7.6</v>
      </c>
      <c r="N803">
        <v>7.6</v>
      </c>
      <c r="O803">
        <v>7.6602941176470525</v>
      </c>
      <c r="P803">
        <v>0.69265492262357486</v>
      </c>
      <c r="Q803">
        <v>0.69265492262357486</v>
      </c>
      <c r="R803">
        <v>0.69815005649113748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5.4951338675626182E-3</v>
      </c>
      <c r="AC803">
        <v>0.30184994350886252</v>
      </c>
      <c r="AD803">
        <v>0</v>
      </c>
      <c r="AE803">
        <v>0</v>
      </c>
      <c r="AF803">
        <v>0</v>
      </c>
      <c r="AG803">
        <v>0.69265492262357486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1.4437203394329339</v>
      </c>
      <c r="AN803">
        <v>1.4437203394329339</v>
      </c>
      <c r="AO803">
        <v>1.007933436532507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7.9334365325069989E-3</v>
      </c>
      <c r="AW803">
        <v>0</v>
      </c>
      <c r="AX803">
        <v>0.43578690290042688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0.99212900748704247</v>
      </c>
      <c r="BK803">
        <v>0.99212900748704247</v>
      </c>
      <c r="BL803">
        <v>1.4323568274504526</v>
      </c>
      <c r="BM803">
        <v>0.43235682745045256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0.30734507737642514</v>
      </c>
      <c r="BW803">
        <v>0</v>
      </c>
      <c r="BX803">
        <v>0</v>
      </c>
      <c r="BY803">
        <v>0</v>
      </c>
      <c r="BZ803">
        <v>0</v>
      </c>
      <c r="CA803">
        <v>0.99212900748704247</v>
      </c>
      <c r="CB803">
        <v>0</v>
      </c>
      <c r="CC803">
        <v>0</v>
      </c>
      <c r="CD803">
        <v>0</v>
      </c>
      <c r="CE803">
        <v>0</v>
      </c>
      <c r="CF803">
        <v>0</v>
      </c>
    </row>
    <row r="804" spans="1:84" x14ac:dyDescent="0.25">
      <c r="A804" t="s">
        <v>128</v>
      </c>
      <c r="B804" t="s">
        <v>422</v>
      </c>
      <c r="C804" s="14" t="s">
        <v>109</v>
      </c>
      <c r="D804" s="12">
        <v>46240</v>
      </c>
      <c r="E804" s="14" t="s">
        <v>420</v>
      </c>
      <c r="F804" s="14" t="s">
        <v>420</v>
      </c>
      <c r="G804" s="14" t="s">
        <v>420</v>
      </c>
      <c r="H804" s="14"/>
      <c r="J804">
        <v>6.7786480661254069</v>
      </c>
      <c r="M804">
        <v>2.8499999999999996</v>
      </c>
      <c r="N804">
        <v>2.8499999999999996</v>
      </c>
      <c r="O804">
        <v>2.097204516481515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0.10363080858205488</v>
      </c>
      <c r="AC804">
        <v>0.61607731293928902</v>
      </c>
      <c r="AD804">
        <v>0</v>
      </c>
      <c r="AE804">
        <v>7.4538795756223825E-2</v>
      </c>
      <c r="AF804">
        <v>0</v>
      </c>
      <c r="AG804">
        <v>0.20575308272243231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84" x14ac:dyDescent="0.25">
      <c r="A805" t="s">
        <v>128</v>
      </c>
      <c r="B805" t="s">
        <v>422</v>
      </c>
      <c r="C805" s="14" t="s">
        <v>117</v>
      </c>
      <c r="D805" s="12">
        <v>46244</v>
      </c>
      <c r="E805" s="14"/>
      <c r="F805" s="14"/>
      <c r="G805" s="14"/>
      <c r="H805" s="14"/>
      <c r="J805">
        <v>41.995461820747067</v>
      </c>
      <c r="M805">
        <v>40.85</v>
      </c>
      <c r="N805">
        <v>40.85</v>
      </c>
      <c r="O805">
        <v>26.40703575547866</v>
      </c>
      <c r="S805">
        <v>0</v>
      </c>
      <c r="T805">
        <v>0</v>
      </c>
      <c r="U805">
        <v>0.23477049310988835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8.3295555871034946E-2</v>
      </c>
      <c r="AB805">
        <v>0.11089927897126553</v>
      </c>
      <c r="AC805">
        <v>0.25706410962438347</v>
      </c>
      <c r="AD805">
        <v>0</v>
      </c>
      <c r="AE805">
        <v>0.1141290000455579</v>
      </c>
      <c r="AF805">
        <v>0</v>
      </c>
      <c r="AG805">
        <v>0.51790761135879293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84" x14ac:dyDescent="0.25">
      <c r="A806" t="s">
        <v>128</v>
      </c>
      <c r="B806" t="s">
        <v>422</v>
      </c>
      <c r="C806" s="14" t="s">
        <v>109</v>
      </c>
      <c r="D806" s="12">
        <v>46242</v>
      </c>
      <c r="E806" s="14" t="s">
        <v>420</v>
      </c>
      <c r="F806" s="14" t="s">
        <v>420</v>
      </c>
      <c r="G806" s="14" t="s">
        <v>420</v>
      </c>
      <c r="H806" s="14"/>
      <c r="J806">
        <v>6.7786480661254078</v>
      </c>
      <c r="M806">
        <v>1.9</v>
      </c>
      <c r="N806">
        <v>1.9</v>
      </c>
      <c r="O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84" x14ac:dyDescent="0.25">
      <c r="A807" t="s">
        <v>128</v>
      </c>
      <c r="B807" t="s">
        <v>422</v>
      </c>
      <c r="C807" s="14" t="s">
        <v>72</v>
      </c>
      <c r="D807" s="12">
        <v>46245</v>
      </c>
      <c r="E807" s="14" t="s">
        <v>133</v>
      </c>
      <c r="F807" s="14" t="s">
        <v>133</v>
      </c>
      <c r="G807" s="14" t="s">
        <v>133</v>
      </c>
      <c r="H807" s="14" t="s">
        <v>74</v>
      </c>
      <c r="I807">
        <v>20</v>
      </c>
      <c r="J807">
        <v>4.220105607573192</v>
      </c>
      <c r="K807">
        <v>46245</v>
      </c>
      <c r="L807" t="s">
        <v>487</v>
      </c>
      <c r="M807">
        <v>4.75</v>
      </c>
      <c r="N807">
        <v>4.75</v>
      </c>
      <c r="O807">
        <v>4.0588235294117636</v>
      </c>
      <c r="P807">
        <v>1.1255642492633089</v>
      </c>
      <c r="Q807">
        <v>1.1255642492633089</v>
      </c>
      <c r="R807">
        <v>0.96178245447886435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0.12556424926330889</v>
      </c>
      <c r="AB807">
        <v>0</v>
      </c>
      <c r="AC807">
        <v>0</v>
      </c>
      <c r="AD807">
        <v>0</v>
      </c>
      <c r="AE807">
        <v>3.8217545521135654E-2</v>
      </c>
      <c r="AF807">
        <v>0</v>
      </c>
      <c r="AG807">
        <v>0.96178245447886435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0.88844328580488252</v>
      </c>
      <c r="AN807">
        <v>0.88844328580488252</v>
      </c>
      <c r="AO807">
        <v>0.85448916408668707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0.11155671419511748</v>
      </c>
      <c r="BA807">
        <v>0</v>
      </c>
      <c r="BB807">
        <v>3.3954121718195451E-2</v>
      </c>
      <c r="BC807">
        <v>0</v>
      </c>
      <c r="BD807">
        <v>0.85448916408668707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1.1702898550724641</v>
      </c>
      <c r="BK807">
        <v>1.1702898550724641</v>
      </c>
      <c r="BL807">
        <v>1.0397361641846998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3.9736164184699829E-2</v>
      </c>
      <c r="BT807">
        <v>0</v>
      </c>
      <c r="BU807">
        <v>0.13055369088776425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0</v>
      </c>
      <c r="CC807">
        <v>0</v>
      </c>
      <c r="CD807">
        <v>0</v>
      </c>
      <c r="CE807">
        <v>0</v>
      </c>
      <c r="CF807">
        <v>0</v>
      </c>
    </row>
    <row r="808" spans="1:84" x14ac:dyDescent="0.25">
      <c r="A808" t="s">
        <v>128</v>
      </c>
      <c r="B808" t="s">
        <v>422</v>
      </c>
      <c r="C808" s="14" t="s">
        <v>72</v>
      </c>
      <c r="D808" s="12">
        <v>46223</v>
      </c>
      <c r="E808" s="14" t="s">
        <v>133</v>
      </c>
      <c r="F808" s="14" t="s">
        <v>133</v>
      </c>
      <c r="G808" s="14" t="s">
        <v>133</v>
      </c>
      <c r="H808" s="14" t="s">
        <v>75</v>
      </c>
      <c r="I808">
        <v>20</v>
      </c>
      <c r="J808">
        <v>10.972274579690296</v>
      </c>
      <c r="K808">
        <v>46223</v>
      </c>
      <c r="L808" t="s">
        <v>425</v>
      </c>
      <c r="M808">
        <v>6.6499999999999995</v>
      </c>
      <c r="N808">
        <v>6.6499999999999995</v>
      </c>
      <c r="O808">
        <v>8.3768907563025117</v>
      </c>
      <c r="P808">
        <v>0.60607305729562799</v>
      </c>
      <c r="Q808">
        <v>0.60607305729562799</v>
      </c>
      <c r="R808">
        <v>0.76345981824116527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0.15738676094553727</v>
      </c>
      <c r="AC808">
        <v>0.23654018175883473</v>
      </c>
      <c r="AD808">
        <v>0</v>
      </c>
      <c r="AE808">
        <v>0</v>
      </c>
      <c r="AF808">
        <v>0</v>
      </c>
      <c r="AG808">
        <v>0.60607305729562799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1.6499661022090673</v>
      </c>
      <c r="AN808">
        <v>1.6499661022090673</v>
      </c>
      <c r="AO808">
        <v>1.2596828204966184</v>
      </c>
      <c r="BF808">
        <v>0</v>
      </c>
      <c r="BG808">
        <v>0</v>
      </c>
      <c r="BH808">
        <v>0</v>
      </c>
      <c r="BJ808">
        <v>0.79385062948287188</v>
      </c>
      <c r="BK808">
        <v>0.79385062948287188</v>
      </c>
      <c r="BL808">
        <v>1.3098266288640685</v>
      </c>
      <c r="BM808">
        <v>0.30982662886406853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0.39392694270437201</v>
      </c>
      <c r="BW808">
        <v>0</v>
      </c>
      <c r="BX808">
        <v>0</v>
      </c>
      <c r="BY808">
        <v>0</v>
      </c>
      <c r="BZ808">
        <v>0</v>
      </c>
      <c r="CA808">
        <v>0.79385062948287188</v>
      </c>
      <c r="CB808">
        <v>0</v>
      </c>
      <c r="CC808">
        <v>0</v>
      </c>
      <c r="CD808">
        <v>0</v>
      </c>
      <c r="CE808">
        <v>0</v>
      </c>
      <c r="CF808">
        <v>0</v>
      </c>
    </row>
    <row r="809" spans="1:84" x14ac:dyDescent="0.25">
      <c r="A809" t="s">
        <v>128</v>
      </c>
      <c r="B809" t="s">
        <v>422</v>
      </c>
      <c r="C809" s="14" t="s">
        <v>109</v>
      </c>
      <c r="D809" s="12">
        <v>46242</v>
      </c>
      <c r="E809" s="14" t="s">
        <v>134</v>
      </c>
      <c r="F809" s="14" t="s">
        <v>134</v>
      </c>
      <c r="G809" s="14" t="s">
        <v>134</v>
      </c>
      <c r="H809" s="14"/>
      <c r="J809">
        <v>7.0325496222342139</v>
      </c>
      <c r="M809">
        <v>3.8</v>
      </c>
      <c r="N809">
        <v>3.8</v>
      </c>
      <c r="O809">
        <v>3.6336793540945793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0.10804103239690201</v>
      </c>
      <c r="AC809">
        <v>0.35161439783485021</v>
      </c>
      <c r="AD809">
        <v>0</v>
      </c>
      <c r="AE809">
        <v>0.13169115288514979</v>
      </c>
      <c r="AF809">
        <v>0</v>
      </c>
      <c r="AG809">
        <v>0.40865341688309798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84" x14ac:dyDescent="0.25">
      <c r="A810" t="s">
        <v>128</v>
      </c>
      <c r="B810" t="s">
        <v>422</v>
      </c>
      <c r="C810" s="14" t="s">
        <v>72</v>
      </c>
      <c r="D810" s="12">
        <v>46248</v>
      </c>
      <c r="E810" s="14" t="s">
        <v>133</v>
      </c>
      <c r="F810" s="14" t="s">
        <v>133</v>
      </c>
      <c r="G810" s="14" t="s">
        <v>133</v>
      </c>
      <c r="H810" s="14" t="s">
        <v>73</v>
      </c>
      <c r="I810">
        <v>20</v>
      </c>
      <c r="J810">
        <v>10.972274579690296</v>
      </c>
      <c r="K810">
        <v>46248</v>
      </c>
      <c r="L810" t="s">
        <v>495</v>
      </c>
      <c r="M810">
        <v>23.75</v>
      </c>
      <c r="N810">
        <v>23.75</v>
      </c>
      <c r="O810">
        <v>9.258823529411762</v>
      </c>
      <c r="P810">
        <v>2.1645466331986714</v>
      </c>
      <c r="Q810">
        <v>2.1645466331986714</v>
      </c>
      <c r="R810">
        <v>0.84383811780921558</v>
      </c>
      <c r="S810">
        <v>0</v>
      </c>
      <c r="T810">
        <v>0</v>
      </c>
      <c r="U810">
        <v>0.91454663319867135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0.25</v>
      </c>
      <c r="AB810">
        <v>0</v>
      </c>
      <c r="AC810">
        <v>0</v>
      </c>
      <c r="AD810">
        <v>0</v>
      </c>
      <c r="AE810">
        <v>0.15616188219078442</v>
      </c>
      <c r="AF810">
        <v>0</v>
      </c>
      <c r="AG810">
        <v>0.84383811780921558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0.4619905086185388</v>
      </c>
      <c r="AN810">
        <v>0.4619905086185388</v>
      </c>
      <c r="AO810">
        <v>0.38984520123839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0.53800949138146126</v>
      </c>
      <c r="BA810">
        <v>0</v>
      </c>
      <c r="BB810">
        <v>7.2145307380148793E-2</v>
      </c>
      <c r="BC810">
        <v>0</v>
      </c>
      <c r="BD810">
        <v>0.38984520123839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2.5651207115628978</v>
      </c>
      <c r="BK810">
        <v>2.5651207115628978</v>
      </c>
      <c r="BL810">
        <v>1.1850614222028912</v>
      </c>
      <c r="CC810">
        <v>0</v>
      </c>
      <c r="CD810">
        <v>0</v>
      </c>
      <c r="CE810">
        <v>0</v>
      </c>
    </row>
    <row r="811" spans="1:84" x14ac:dyDescent="0.25">
      <c r="A811" t="s">
        <v>128</v>
      </c>
      <c r="B811" t="s">
        <v>422</v>
      </c>
      <c r="C811" s="14" t="s">
        <v>117</v>
      </c>
      <c r="D811" s="12">
        <v>46248</v>
      </c>
      <c r="E811" s="14"/>
      <c r="F811" s="14"/>
      <c r="G811" s="14"/>
      <c r="H811" s="14"/>
      <c r="J811">
        <v>41.072429863762913</v>
      </c>
      <c r="M811">
        <v>41.800000000000004</v>
      </c>
      <c r="N811">
        <v>41.800000000000004</v>
      </c>
      <c r="O811">
        <v>27.174769319492498</v>
      </c>
      <c r="S811">
        <v>6.0952327775990241E-3</v>
      </c>
      <c r="T811">
        <v>0</v>
      </c>
      <c r="U811">
        <v>0.24431612175544626</v>
      </c>
      <c r="V811">
        <v>0</v>
      </c>
      <c r="W811">
        <v>9.9156173881370874E-4</v>
      </c>
      <c r="X811">
        <v>0</v>
      </c>
      <c r="Y811">
        <v>1.3679610187881917E-2</v>
      </c>
      <c r="Z811">
        <v>0</v>
      </c>
      <c r="AA811">
        <v>6.6786130112616221E-2</v>
      </c>
      <c r="AB811">
        <v>1.7995750033194754E-2</v>
      </c>
      <c r="AC811">
        <v>0.29006335448095516</v>
      </c>
      <c r="AD811">
        <v>0</v>
      </c>
      <c r="AE811">
        <v>6.9072622960304364E-2</v>
      </c>
      <c r="AF811">
        <v>0</v>
      </c>
      <c r="AG811">
        <v>0.62286827252554566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84" x14ac:dyDescent="0.25">
      <c r="A812" t="s">
        <v>128</v>
      </c>
      <c r="B812" t="s">
        <v>422</v>
      </c>
      <c r="C812" s="14" t="s">
        <v>72</v>
      </c>
      <c r="D812" s="12">
        <v>46245</v>
      </c>
      <c r="E812" s="14" t="s">
        <v>133</v>
      </c>
      <c r="F812" s="14" t="s">
        <v>133</v>
      </c>
      <c r="G812" s="14" t="s">
        <v>133</v>
      </c>
      <c r="H812" s="14" t="s">
        <v>73</v>
      </c>
      <c r="I812">
        <v>20</v>
      </c>
      <c r="J812">
        <v>11.731893589053469</v>
      </c>
      <c r="K812">
        <v>46245</v>
      </c>
      <c r="L812" t="s">
        <v>486</v>
      </c>
      <c r="M812">
        <v>24.7</v>
      </c>
      <c r="N812">
        <v>24.7</v>
      </c>
      <c r="O812">
        <v>9.4058823529411768</v>
      </c>
      <c r="P812">
        <v>2.1053719770392836</v>
      </c>
      <c r="Q812">
        <v>2.1053719770392836</v>
      </c>
      <c r="R812">
        <v>0.80173607794375201</v>
      </c>
      <c r="S812">
        <v>0</v>
      </c>
      <c r="T812">
        <v>0</v>
      </c>
      <c r="U812">
        <v>0.85537197703928358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0.25</v>
      </c>
      <c r="AB812">
        <v>0</v>
      </c>
      <c r="AC812">
        <v>0</v>
      </c>
      <c r="AD812">
        <v>0</v>
      </c>
      <c r="AE812">
        <v>0.19826392205624799</v>
      </c>
      <c r="AF812">
        <v>0</v>
      </c>
      <c r="AG812">
        <v>0.80173607794375201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0.47497544894953314</v>
      </c>
      <c r="AN812">
        <v>0.47497544894953314</v>
      </c>
      <c r="AO812">
        <v>0.38080495356037153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0.52502455105046686</v>
      </c>
      <c r="BA812">
        <v>0</v>
      </c>
      <c r="BB812">
        <v>9.4170495389161613E-2</v>
      </c>
      <c r="BC812">
        <v>0</v>
      </c>
      <c r="BD812">
        <v>0.38080495356037153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2.6260162601626016</v>
      </c>
      <c r="BK812">
        <v>2.6260162601626016</v>
      </c>
      <c r="BL812">
        <v>1.2472932521195057</v>
      </c>
      <c r="CC812">
        <v>0</v>
      </c>
      <c r="CD812">
        <v>0</v>
      </c>
      <c r="CE812">
        <v>0</v>
      </c>
    </row>
    <row r="813" spans="1:84" x14ac:dyDescent="0.25">
      <c r="A813" t="s">
        <v>128</v>
      </c>
      <c r="B813" t="s">
        <v>422</v>
      </c>
      <c r="C813" s="14" t="s">
        <v>72</v>
      </c>
      <c r="D813" s="12">
        <v>46225</v>
      </c>
      <c r="E813" s="14" t="s">
        <v>133</v>
      </c>
      <c r="F813" s="14" t="s">
        <v>133</v>
      </c>
      <c r="G813" s="14" t="s">
        <v>133</v>
      </c>
      <c r="H813" s="14" t="s">
        <v>73</v>
      </c>
      <c r="I813">
        <v>20</v>
      </c>
      <c r="J813">
        <v>12.57591471056811</v>
      </c>
      <c r="K813">
        <v>46225</v>
      </c>
      <c r="L813" t="s">
        <v>429</v>
      </c>
      <c r="M813">
        <v>38</v>
      </c>
      <c r="N813">
        <v>38</v>
      </c>
      <c r="O813">
        <v>7.4758738277919807</v>
      </c>
      <c r="P813">
        <v>3.0216489913108968</v>
      </c>
      <c r="Q813">
        <v>3.0216489913108968</v>
      </c>
      <c r="R813">
        <v>0.59445964765566239</v>
      </c>
      <c r="S813">
        <v>0</v>
      </c>
      <c r="T813">
        <v>0</v>
      </c>
      <c r="U813">
        <v>1.7716489913108968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0.25</v>
      </c>
      <c r="AB813">
        <v>0</v>
      </c>
      <c r="AC813">
        <v>0</v>
      </c>
      <c r="AD813">
        <v>0</v>
      </c>
      <c r="AE813">
        <v>0.40554035234433761</v>
      </c>
      <c r="AF813">
        <v>0</v>
      </c>
      <c r="AG813">
        <v>0.59445964765566239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0.33094512396231868</v>
      </c>
      <c r="AN813">
        <v>0.33094512396231868</v>
      </c>
      <c r="AO813">
        <v>0.1967335217839995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0.66905487603768132</v>
      </c>
      <c r="BA813">
        <v>0</v>
      </c>
      <c r="BB813">
        <v>0.13421160217831918</v>
      </c>
      <c r="BC813">
        <v>0</v>
      </c>
      <c r="BD813">
        <v>0.1967335217839995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5.0830178351503026</v>
      </c>
      <c r="BK813">
        <v>5.0830178351503026</v>
      </c>
      <c r="BL813">
        <v>1.6821999675564936</v>
      </c>
      <c r="CC813">
        <v>0</v>
      </c>
      <c r="CD813">
        <v>0</v>
      </c>
      <c r="CE813">
        <v>0</v>
      </c>
    </row>
    <row r="814" spans="1:84" x14ac:dyDescent="0.25">
      <c r="A814" t="s">
        <v>128</v>
      </c>
      <c r="B814" t="s">
        <v>422</v>
      </c>
      <c r="C814" s="14" t="s">
        <v>109</v>
      </c>
      <c r="D814" s="12">
        <v>46240</v>
      </c>
      <c r="E814" s="14" t="s">
        <v>133</v>
      </c>
      <c r="F814" s="14" t="s">
        <v>133</v>
      </c>
      <c r="G814" s="14" t="s">
        <v>133</v>
      </c>
      <c r="H814" s="14"/>
      <c r="J814">
        <v>26.924273776316959</v>
      </c>
      <c r="M814">
        <v>22.799999999999997</v>
      </c>
      <c r="N814">
        <v>22.799999999999997</v>
      </c>
      <c r="O814">
        <v>18.60294117647058</v>
      </c>
      <c r="S814">
        <v>0</v>
      </c>
      <c r="T814">
        <v>0</v>
      </c>
      <c r="U814">
        <v>1.9875485523916936E-2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0.10893416927899684</v>
      </c>
      <c r="AB814">
        <v>3.9908590027290677E-2</v>
      </c>
      <c r="AC814">
        <v>0.24208156689727134</v>
      </c>
      <c r="AD814">
        <v>0</v>
      </c>
      <c r="AE814">
        <v>6.6982761781705258E-2</v>
      </c>
      <c r="AF814">
        <v>0</v>
      </c>
      <c r="AG814">
        <v>0.65102708129373266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84" x14ac:dyDescent="0.25">
      <c r="A815" t="s">
        <v>128</v>
      </c>
      <c r="B815" t="s">
        <v>422</v>
      </c>
      <c r="C815" s="14" t="s">
        <v>117</v>
      </c>
      <c r="D815" s="12">
        <v>46243</v>
      </c>
      <c r="E815" s="14"/>
      <c r="F815" s="14"/>
      <c r="G815" s="14"/>
      <c r="H815" s="14"/>
      <c r="J815">
        <v>41.939193745979424</v>
      </c>
      <c r="M815">
        <v>36.1</v>
      </c>
      <c r="N815">
        <v>36.1</v>
      </c>
      <c r="O815">
        <v>24.250893886966544</v>
      </c>
      <c r="S815">
        <v>0</v>
      </c>
      <c r="T815">
        <v>0</v>
      </c>
      <c r="U815">
        <v>0.14865943330121423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7.8040676155419667E-2</v>
      </c>
      <c r="AB815">
        <v>3.1088701211909549E-2</v>
      </c>
      <c r="AC815">
        <v>0.33484140349324321</v>
      </c>
      <c r="AD815">
        <v>0</v>
      </c>
      <c r="AE815">
        <v>8.6919204642162406E-2</v>
      </c>
      <c r="AF815">
        <v>0</v>
      </c>
      <c r="AG815">
        <v>0.54715069065268485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84" x14ac:dyDescent="0.25">
      <c r="A816" t="s">
        <v>128</v>
      </c>
      <c r="B816" t="s">
        <v>422</v>
      </c>
      <c r="C816" s="14" t="s">
        <v>72</v>
      </c>
      <c r="D816" s="12">
        <v>46244</v>
      </c>
      <c r="E816" s="14" t="s">
        <v>133</v>
      </c>
      <c r="F816" s="14" t="s">
        <v>133</v>
      </c>
      <c r="G816" s="14" t="s">
        <v>133</v>
      </c>
      <c r="H816" s="14" t="s">
        <v>75</v>
      </c>
      <c r="I816">
        <v>20</v>
      </c>
      <c r="J816">
        <v>10.972274579690296</v>
      </c>
      <c r="K816">
        <v>46244</v>
      </c>
      <c r="L816" t="s">
        <v>485</v>
      </c>
      <c r="M816">
        <v>6.6499999999999995</v>
      </c>
      <c r="N816">
        <v>6.6499999999999995</v>
      </c>
      <c r="O816">
        <v>7.984313725490197</v>
      </c>
      <c r="P816">
        <v>0.60607305729562799</v>
      </c>
      <c r="Q816">
        <v>0.60607305729562799</v>
      </c>
      <c r="R816">
        <v>0.72768081654365258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0.12160775924802458</v>
      </c>
      <c r="AC816">
        <v>0.27231918345634742</v>
      </c>
      <c r="AD816">
        <v>0</v>
      </c>
      <c r="AE816">
        <v>0</v>
      </c>
      <c r="AF816">
        <v>0</v>
      </c>
      <c r="AG816">
        <v>0.60607305729562799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1.6499661022090673</v>
      </c>
      <c r="AN816">
        <v>1.6499661022090673</v>
      </c>
      <c r="AO816">
        <v>1.2006486805248417</v>
      </c>
      <c r="BF816">
        <v>0</v>
      </c>
      <c r="BG816">
        <v>0</v>
      </c>
      <c r="BH816">
        <v>0</v>
      </c>
      <c r="BJ816">
        <v>0.83288310412573663</v>
      </c>
      <c r="BK816">
        <v>0.83288310412573663</v>
      </c>
      <c r="BL816">
        <v>1.3742288889101302</v>
      </c>
      <c r="BM816">
        <v>0.37422888891013018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0.39392694270437201</v>
      </c>
      <c r="BW816">
        <v>0</v>
      </c>
      <c r="BX816">
        <v>0</v>
      </c>
      <c r="BY816">
        <v>0</v>
      </c>
      <c r="BZ816">
        <v>0</v>
      </c>
      <c r="CA816">
        <v>0.83288310412573663</v>
      </c>
      <c r="CB816">
        <v>0</v>
      </c>
      <c r="CC816">
        <v>0</v>
      </c>
      <c r="CD816">
        <v>0</v>
      </c>
      <c r="CE816">
        <v>0</v>
      </c>
      <c r="CF816">
        <v>0</v>
      </c>
    </row>
    <row r="817" spans="1:84" x14ac:dyDescent="0.25">
      <c r="A817" t="s">
        <v>128</v>
      </c>
      <c r="B817" t="s">
        <v>422</v>
      </c>
      <c r="C817" s="14" t="s">
        <v>72</v>
      </c>
      <c r="D817" s="12">
        <v>46247</v>
      </c>
      <c r="E817" s="14" t="s">
        <v>133</v>
      </c>
      <c r="F817" s="14" t="s">
        <v>133</v>
      </c>
      <c r="G817" s="14" t="s">
        <v>133</v>
      </c>
      <c r="H817" s="14" t="s">
        <v>75</v>
      </c>
      <c r="I817">
        <v>20</v>
      </c>
      <c r="J817">
        <v>10.972274579690296</v>
      </c>
      <c r="K817">
        <v>46247</v>
      </c>
      <c r="L817" t="s">
        <v>494</v>
      </c>
      <c r="M817">
        <v>5.6999999999999993</v>
      </c>
      <c r="N817">
        <v>5.6999999999999993</v>
      </c>
      <c r="O817">
        <v>6.4686274509803905</v>
      </c>
      <c r="P817">
        <v>0.51949119196768112</v>
      </c>
      <c r="Q817">
        <v>0.51949119196768112</v>
      </c>
      <c r="R817">
        <v>0.58954297980783621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7.0051787840155089E-2</v>
      </c>
      <c r="AC817">
        <v>0.41045702019216379</v>
      </c>
      <c r="AD817">
        <v>0</v>
      </c>
      <c r="AE817">
        <v>0</v>
      </c>
      <c r="AF817">
        <v>0</v>
      </c>
      <c r="AG817">
        <v>0.51949119196768112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1.9249604525772452</v>
      </c>
      <c r="AN817">
        <v>1.9249604525772452</v>
      </c>
      <c r="AO817">
        <v>1.1348469212246302</v>
      </c>
      <c r="BF817">
        <v>0</v>
      </c>
      <c r="BG817">
        <v>0</v>
      </c>
      <c r="BH817">
        <v>0</v>
      </c>
      <c r="BJ817">
        <v>0.88117611397393159</v>
      </c>
      <c r="BK817">
        <v>0.88117611397393159</v>
      </c>
      <c r="BL817">
        <v>1.6962291711555175</v>
      </c>
      <c r="BM817">
        <v>0.69622917115551752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0.48050880803231888</v>
      </c>
      <c r="BW817">
        <v>0</v>
      </c>
      <c r="BX817">
        <v>0</v>
      </c>
      <c r="BY817">
        <v>0</v>
      </c>
      <c r="BZ817">
        <v>0</v>
      </c>
      <c r="CA817">
        <v>0.88117611397393159</v>
      </c>
      <c r="CB817">
        <v>0</v>
      </c>
      <c r="CC817">
        <v>0</v>
      </c>
      <c r="CD817">
        <v>0</v>
      </c>
      <c r="CE817">
        <v>0</v>
      </c>
      <c r="CF817">
        <v>0</v>
      </c>
    </row>
    <row r="818" spans="1:84" x14ac:dyDescent="0.25">
      <c r="A818" t="s">
        <v>128</v>
      </c>
      <c r="B818" t="s">
        <v>422</v>
      </c>
      <c r="C818" s="14" t="s">
        <v>72</v>
      </c>
      <c r="D818" s="12">
        <v>46246</v>
      </c>
      <c r="E818" s="14" t="s">
        <v>133</v>
      </c>
      <c r="F818" s="14" t="s">
        <v>133</v>
      </c>
      <c r="G818" s="14" t="s">
        <v>133</v>
      </c>
      <c r="H818" s="14" t="s">
        <v>73</v>
      </c>
      <c r="I818">
        <v>20</v>
      </c>
      <c r="J818">
        <v>12.575914710568108</v>
      </c>
      <c r="K818">
        <v>46246</v>
      </c>
      <c r="L818" t="s">
        <v>489</v>
      </c>
      <c r="M818">
        <v>40.85</v>
      </c>
      <c r="N818">
        <v>40.85</v>
      </c>
      <c r="O818">
        <v>7.8392156862745086</v>
      </c>
      <c r="P818">
        <v>3.2482726656592149</v>
      </c>
      <c r="Q818">
        <v>3.2482726656592149</v>
      </c>
      <c r="R818">
        <v>0.62335153081841932</v>
      </c>
      <c r="S818">
        <v>0</v>
      </c>
      <c r="T818">
        <v>0</v>
      </c>
      <c r="U818">
        <v>1.9982726656592149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0.25</v>
      </c>
      <c r="AB818">
        <v>0</v>
      </c>
      <c r="AC818">
        <v>0</v>
      </c>
      <c r="AD818">
        <v>0</v>
      </c>
      <c r="AE818">
        <v>0.37664846918158068</v>
      </c>
      <c r="AF818">
        <v>0</v>
      </c>
      <c r="AG818">
        <v>0.62335153081841932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0.30785592926727312</v>
      </c>
      <c r="AN818">
        <v>0.30785592926727312</v>
      </c>
      <c r="AO818">
        <v>0.19190246478028172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0.69214407073272688</v>
      </c>
      <c r="BA818">
        <v>0</v>
      </c>
      <c r="BB818">
        <v>0.1159534644869914</v>
      </c>
      <c r="BC818">
        <v>0</v>
      </c>
      <c r="BD818">
        <v>0.19190246478028172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5.2109804902451238</v>
      </c>
      <c r="BK818">
        <v>5.2109804902451238</v>
      </c>
      <c r="BL818">
        <v>1.6042312412180431</v>
      </c>
      <c r="CC818">
        <v>0</v>
      </c>
      <c r="CD818">
        <v>0</v>
      </c>
      <c r="CE818">
        <v>0</v>
      </c>
    </row>
    <row r="819" spans="1:84" x14ac:dyDescent="0.25">
      <c r="A819" t="s">
        <v>128</v>
      </c>
      <c r="B819" t="s">
        <v>422</v>
      </c>
      <c r="C819" s="14" t="s">
        <v>109</v>
      </c>
      <c r="D819" s="12">
        <v>46246</v>
      </c>
      <c r="E819" s="14" t="s">
        <v>134</v>
      </c>
      <c r="F819" s="14" t="s">
        <v>134</v>
      </c>
      <c r="G819" s="14" t="s">
        <v>134</v>
      </c>
      <c r="H819" s="14"/>
      <c r="J819">
        <v>9.3414218142876404</v>
      </c>
      <c r="M819">
        <v>3.8</v>
      </c>
      <c r="N819">
        <v>3.8</v>
      </c>
      <c r="O819">
        <v>4.6674163783160312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9.2856997099662539E-2</v>
      </c>
      <c r="AC819">
        <v>0.50035267959131768</v>
      </c>
      <c r="AD819">
        <v>0</v>
      </c>
      <c r="AE819">
        <v>0</v>
      </c>
      <c r="AF819">
        <v>0</v>
      </c>
      <c r="AG819">
        <v>0.40679032330901982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84" x14ac:dyDescent="0.25">
      <c r="A820" t="s">
        <v>128</v>
      </c>
      <c r="B820" t="s">
        <v>422</v>
      </c>
      <c r="C820" s="14" t="s">
        <v>109</v>
      </c>
      <c r="D820" s="12">
        <v>46245</v>
      </c>
      <c r="E820" s="14" t="s">
        <v>420</v>
      </c>
      <c r="F820" s="14" t="s">
        <v>420</v>
      </c>
      <c r="G820" s="14" t="s">
        <v>420</v>
      </c>
      <c r="H820" s="14"/>
      <c r="J820">
        <v>6.7786480661254069</v>
      </c>
      <c r="M820">
        <v>1.9</v>
      </c>
      <c r="N820">
        <v>1.9</v>
      </c>
      <c r="O820">
        <v>0.98961937716262982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2.450193073570478E-2</v>
      </c>
      <c r="AC820">
        <v>0.83535213002496711</v>
      </c>
      <c r="AD820">
        <v>0</v>
      </c>
      <c r="AE820">
        <v>1.8657199341458517E-2</v>
      </c>
      <c r="AF820">
        <v>0</v>
      </c>
      <c r="AG820">
        <v>0.12148873989786954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84" x14ac:dyDescent="0.25">
      <c r="A821" t="s">
        <v>128</v>
      </c>
      <c r="B821" t="s">
        <v>422</v>
      </c>
      <c r="C821" s="14" t="s">
        <v>117</v>
      </c>
      <c r="D821" s="12">
        <v>46228</v>
      </c>
      <c r="E821" s="14"/>
      <c r="F821" s="14"/>
      <c r="G821" s="14"/>
      <c r="H821" s="14"/>
      <c r="J821">
        <v>40.032120530081045</v>
      </c>
      <c r="M821">
        <v>22.799999999999997</v>
      </c>
      <c r="N821">
        <v>22.799999999999997</v>
      </c>
      <c r="O821">
        <v>25.629824466551309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0.10275003973649122</v>
      </c>
      <c r="AC821">
        <v>0.32770731055881591</v>
      </c>
      <c r="AD821">
        <v>0</v>
      </c>
      <c r="AE821">
        <v>3.2061192154087502E-2</v>
      </c>
      <c r="AF821">
        <v>0</v>
      </c>
      <c r="AG821">
        <v>0.5374814575506055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84" x14ac:dyDescent="0.25">
      <c r="A822" t="s">
        <v>128</v>
      </c>
      <c r="B822" t="s">
        <v>422</v>
      </c>
      <c r="C822" s="14" t="s">
        <v>72</v>
      </c>
      <c r="D822" s="12">
        <v>46236</v>
      </c>
      <c r="E822" s="14" t="s">
        <v>133</v>
      </c>
      <c r="F822" s="14" t="s">
        <v>133</v>
      </c>
      <c r="G822" s="14" t="s">
        <v>133</v>
      </c>
      <c r="H822" s="14" t="s">
        <v>73</v>
      </c>
      <c r="I822">
        <v>20</v>
      </c>
      <c r="J822">
        <v>10.972274579690296</v>
      </c>
      <c r="K822">
        <v>46236</v>
      </c>
      <c r="L822" t="s">
        <v>459</v>
      </c>
      <c r="M822">
        <v>26.6</v>
      </c>
      <c r="N822">
        <v>26.6</v>
      </c>
      <c r="O822">
        <v>10.553431372549014</v>
      </c>
      <c r="P822">
        <v>2.424292229182512</v>
      </c>
      <c r="Q822">
        <v>2.424292229182512</v>
      </c>
      <c r="R822">
        <v>0.96182713036396639</v>
      </c>
      <c r="S822">
        <v>0</v>
      </c>
      <c r="T822">
        <v>0</v>
      </c>
      <c r="U822">
        <v>1.174292229182512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0.25</v>
      </c>
      <c r="AB822">
        <v>0</v>
      </c>
      <c r="AC822">
        <v>0</v>
      </c>
      <c r="AD822">
        <v>0</v>
      </c>
      <c r="AE822">
        <v>3.8172869636033613E-2</v>
      </c>
      <c r="AF822">
        <v>0</v>
      </c>
      <c r="AG822">
        <v>0.96182713036396639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0.41249152555226681</v>
      </c>
      <c r="AN822">
        <v>0.41249152555226681</v>
      </c>
      <c r="AO822">
        <v>0.39674554032139153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0.58750847444773324</v>
      </c>
      <c r="BA822">
        <v>0</v>
      </c>
      <c r="BB822">
        <v>1.5745985230875281E-2</v>
      </c>
      <c r="BC822">
        <v>0</v>
      </c>
      <c r="BD822">
        <v>0.39674554032139153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2.5205072228157381</v>
      </c>
      <c r="BK822">
        <v>2.5205072228157381</v>
      </c>
      <c r="BL822">
        <v>1.0396878695047711</v>
      </c>
      <c r="CC822">
        <v>0</v>
      </c>
      <c r="CD822">
        <v>0</v>
      </c>
      <c r="CE822">
        <v>0</v>
      </c>
    </row>
    <row r="823" spans="1:84" x14ac:dyDescent="0.25">
      <c r="A823" t="s">
        <v>128</v>
      </c>
      <c r="B823" t="s">
        <v>422</v>
      </c>
      <c r="C823" s="14" t="s">
        <v>72</v>
      </c>
      <c r="D823" s="12">
        <v>46230</v>
      </c>
      <c r="E823" s="14" t="s">
        <v>133</v>
      </c>
      <c r="F823" s="14" t="s">
        <v>133</v>
      </c>
      <c r="G823" s="14" t="s">
        <v>133</v>
      </c>
      <c r="H823" s="14" t="s">
        <v>73</v>
      </c>
      <c r="I823">
        <v>20</v>
      </c>
      <c r="J823">
        <v>11.872563775972576</v>
      </c>
      <c r="K823">
        <v>46230</v>
      </c>
      <c r="L823" t="s">
        <v>441</v>
      </c>
      <c r="M823">
        <v>36.1</v>
      </c>
      <c r="N823">
        <v>36.1</v>
      </c>
      <c r="O823">
        <v>7.4715686274509761</v>
      </c>
      <c r="P823">
        <v>3.0406238013274232</v>
      </c>
      <c r="Q823">
        <v>3.0406238013274232</v>
      </c>
      <c r="R823">
        <v>0.62931383384705553</v>
      </c>
      <c r="S823">
        <v>0</v>
      </c>
      <c r="T823">
        <v>0</v>
      </c>
      <c r="U823">
        <v>1.7906238013274232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0.25</v>
      </c>
      <c r="AB823">
        <v>0</v>
      </c>
      <c r="AC823">
        <v>0</v>
      </c>
      <c r="AD823">
        <v>0</v>
      </c>
      <c r="AE823">
        <v>0.37068616615294447</v>
      </c>
      <c r="AF823">
        <v>0</v>
      </c>
      <c r="AG823">
        <v>0.62931383384705553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0.32887988299093007</v>
      </c>
      <c r="AN823">
        <v>0.32887988299093007</v>
      </c>
      <c r="AO823">
        <v>0.20696866004019324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0.67112011700906993</v>
      </c>
      <c r="BA823">
        <v>0</v>
      </c>
      <c r="BB823">
        <v>0.12191122295073684</v>
      </c>
      <c r="BC823">
        <v>0</v>
      </c>
      <c r="BD823">
        <v>0.20696866004019324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4.8316493898438555</v>
      </c>
      <c r="BK823">
        <v>4.8316493898438555</v>
      </c>
      <c r="BL823">
        <v>1.5890322859850459</v>
      </c>
      <c r="CC823">
        <v>0</v>
      </c>
      <c r="CD823">
        <v>0</v>
      </c>
      <c r="CE823">
        <v>0</v>
      </c>
    </row>
    <row r="824" spans="1:84" x14ac:dyDescent="0.25">
      <c r="A824" t="s">
        <v>128</v>
      </c>
      <c r="B824" t="s">
        <v>422</v>
      </c>
      <c r="C824" s="14" t="s">
        <v>72</v>
      </c>
      <c r="D824" s="12">
        <v>46236</v>
      </c>
      <c r="E824" s="14" t="s">
        <v>133</v>
      </c>
      <c r="F824" s="14" t="s">
        <v>133</v>
      </c>
      <c r="G824" s="14" t="s">
        <v>133</v>
      </c>
      <c r="H824" s="14" t="s">
        <v>74</v>
      </c>
      <c r="I824">
        <v>20</v>
      </c>
      <c r="J824">
        <v>4.220105607573192</v>
      </c>
      <c r="K824">
        <v>46236</v>
      </c>
      <c r="L824" t="s">
        <v>460</v>
      </c>
      <c r="M824">
        <v>3.8</v>
      </c>
      <c r="N824">
        <v>3.8</v>
      </c>
      <c r="O824">
        <v>2.5</v>
      </c>
      <c r="P824">
        <v>0.90045139941064711</v>
      </c>
      <c r="Q824">
        <v>0.90045139941064711</v>
      </c>
      <c r="R824">
        <v>0.59240223645437307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9.9548600589352887E-2</v>
      </c>
      <c r="AD824">
        <v>0</v>
      </c>
      <c r="AE824">
        <v>0.30804916295627405</v>
      </c>
      <c r="AF824">
        <v>0</v>
      </c>
      <c r="AG824">
        <v>0.59240223645437307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1.1105541072561032</v>
      </c>
      <c r="AN824">
        <v>1.1105541072561032</v>
      </c>
      <c r="AO824">
        <v>0.65789473684210531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0.11055410725610315</v>
      </c>
      <c r="AY824">
        <v>0</v>
      </c>
      <c r="AZ824">
        <v>0</v>
      </c>
      <c r="BA824">
        <v>0</v>
      </c>
      <c r="BB824">
        <v>0.34210526315789469</v>
      </c>
      <c r="BC824">
        <v>0</v>
      </c>
      <c r="BD824">
        <v>0.65789473684210531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1.52</v>
      </c>
      <c r="BK824">
        <v>1.52</v>
      </c>
      <c r="BL824">
        <v>1.6880422430292767</v>
      </c>
      <c r="CC824">
        <v>0</v>
      </c>
      <c r="CD824">
        <v>0</v>
      </c>
      <c r="CE824">
        <v>0</v>
      </c>
    </row>
    <row r="825" spans="1:84" x14ac:dyDescent="0.25">
      <c r="A825" t="s">
        <v>128</v>
      </c>
      <c r="B825" t="s">
        <v>422</v>
      </c>
      <c r="C825" s="14" t="s">
        <v>117</v>
      </c>
      <c r="D825" s="12">
        <v>46229</v>
      </c>
      <c r="E825" s="14"/>
      <c r="F825" s="14"/>
      <c r="G825" s="14"/>
      <c r="H825" s="14"/>
      <c r="J825">
        <v>41.939193745979424</v>
      </c>
      <c r="M825">
        <v>35.15</v>
      </c>
      <c r="N825">
        <v>35.15</v>
      </c>
      <c r="O825">
        <v>24.186096092848896</v>
      </c>
      <c r="S825">
        <v>0</v>
      </c>
      <c r="T825">
        <v>0</v>
      </c>
      <c r="U825">
        <v>4.8182746730565704E-2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8.5501188021155833E-2</v>
      </c>
      <c r="AB825">
        <v>4.842810168257921E-2</v>
      </c>
      <c r="AC825">
        <v>0.24713767054796329</v>
      </c>
      <c r="AD825">
        <v>0</v>
      </c>
      <c r="AE825">
        <v>0.10821245237993014</v>
      </c>
      <c r="AF825">
        <v>0</v>
      </c>
      <c r="AG825">
        <v>0.52826624869862093</v>
      </c>
      <c r="AH825">
        <v>6.7955526690906404E-2</v>
      </c>
      <c r="AI825">
        <v>0</v>
      </c>
      <c r="AJ825">
        <v>0</v>
      </c>
      <c r="AK825">
        <v>0</v>
      </c>
      <c r="AL825">
        <v>0</v>
      </c>
    </row>
    <row r="826" spans="1:84" x14ac:dyDescent="0.25">
      <c r="A826" t="s">
        <v>128</v>
      </c>
      <c r="B826" t="s">
        <v>422</v>
      </c>
      <c r="C826" s="14" t="s">
        <v>72</v>
      </c>
      <c r="D826" s="12">
        <v>46229</v>
      </c>
      <c r="E826" s="14" t="s">
        <v>133</v>
      </c>
      <c r="F826" s="14" t="s">
        <v>133</v>
      </c>
      <c r="G826" s="14" t="s">
        <v>133</v>
      </c>
      <c r="H826" s="14" t="s">
        <v>75</v>
      </c>
      <c r="I826">
        <v>20</v>
      </c>
      <c r="J826">
        <v>11.816295701204936</v>
      </c>
      <c r="K826">
        <v>46229</v>
      </c>
      <c r="L826" t="s">
        <v>440</v>
      </c>
      <c r="M826">
        <v>7.6</v>
      </c>
      <c r="N826">
        <v>7.6</v>
      </c>
      <c r="O826">
        <v>8.6051470588235244</v>
      </c>
      <c r="P826">
        <v>0.64317957100760514</v>
      </c>
      <c r="Q826">
        <v>0.64317957100760514</v>
      </c>
      <c r="R826">
        <v>0.72824405180940388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8.5064480801798736E-2</v>
      </c>
      <c r="AC826">
        <v>0.27175594819059612</v>
      </c>
      <c r="AD826">
        <v>0</v>
      </c>
      <c r="AE826">
        <v>0</v>
      </c>
      <c r="AF826">
        <v>0</v>
      </c>
      <c r="AG826">
        <v>0.64317957100760514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1.5547757501585442</v>
      </c>
      <c r="AN826">
        <v>1.5547757501585442</v>
      </c>
      <c r="AO826">
        <v>1.1322561919504639</v>
      </c>
      <c r="BF826">
        <v>0</v>
      </c>
      <c r="BG826">
        <v>0</v>
      </c>
      <c r="BH826">
        <v>0</v>
      </c>
      <c r="BJ826">
        <v>0.88319234384345946</v>
      </c>
      <c r="BK826">
        <v>0.88319234384345946</v>
      </c>
      <c r="BL826">
        <v>1.3731660389334976</v>
      </c>
      <c r="BM826">
        <v>0.37316603893349765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0.35682042899239486</v>
      </c>
      <c r="BW826">
        <v>0</v>
      </c>
      <c r="BX826">
        <v>0</v>
      </c>
      <c r="BY826">
        <v>0</v>
      </c>
      <c r="BZ826">
        <v>0</v>
      </c>
      <c r="CA826">
        <v>0.88319234384345946</v>
      </c>
      <c r="CB826">
        <v>0</v>
      </c>
      <c r="CC826">
        <v>0</v>
      </c>
      <c r="CD826">
        <v>0</v>
      </c>
      <c r="CE826">
        <v>0</v>
      </c>
      <c r="CF826">
        <v>0</v>
      </c>
    </row>
    <row r="827" spans="1:84" x14ac:dyDescent="0.25">
      <c r="A827" t="s">
        <v>128</v>
      </c>
      <c r="B827" t="s">
        <v>422</v>
      </c>
      <c r="C827" s="14" t="s">
        <v>72</v>
      </c>
      <c r="D827" s="12">
        <v>46236</v>
      </c>
      <c r="E827" s="14" t="s">
        <v>133</v>
      </c>
      <c r="F827" s="14" t="s">
        <v>133</v>
      </c>
      <c r="G827" s="14" t="s">
        <v>133</v>
      </c>
      <c r="H827" s="14" t="s">
        <v>75</v>
      </c>
      <c r="I827">
        <v>20</v>
      </c>
      <c r="J827">
        <v>10.972274579690296</v>
      </c>
      <c r="K827">
        <v>46236</v>
      </c>
      <c r="L827" t="s">
        <v>461</v>
      </c>
      <c r="M827">
        <v>6.6499999999999995</v>
      </c>
      <c r="N827">
        <v>6.6499999999999995</v>
      </c>
      <c r="O827">
        <v>8.6009803921568544</v>
      </c>
      <c r="P827">
        <v>0.60607305729562799</v>
      </c>
      <c r="Q827">
        <v>0.60607305729562799</v>
      </c>
      <c r="R827">
        <v>0.78388308000214357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0.17781002270651558</v>
      </c>
      <c r="AC827">
        <v>0.21611691999785643</v>
      </c>
      <c r="AD827">
        <v>0</v>
      </c>
      <c r="AE827">
        <v>0</v>
      </c>
      <c r="AF827">
        <v>0</v>
      </c>
      <c r="AG827">
        <v>0.60607305729562799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1.6499661022090673</v>
      </c>
      <c r="AN827">
        <v>1.6499661022090673</v>
      </c>
      <c r="AO827">
        <v>1.2933805100987752</v>
      </c>
      <c r="BF827">
        <v>0</v>
      </c>
      <c r="BG827">
        <v>0</v>
      </c>
      <c r="BH827">
        <v>0</v>
      </c>
      <c r="BJ827">
        <v>0.77316767354382832</v>
      </c>
      <c r="BK827">
        <v>0.77316767354382832</v>
      </c>
      <c r="BL827">
        <v>1.2757004526711631</v>
      </c>
      <c r="BM827">
        <v>0.27570045267116305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0.39392694270437201</v>
      </c>
      <c r="BW827">
        <v>0</v>
      </c>
      <c r="BX827">
        <v>0</v>
      </c>
      <c r="BY827">
        <v>0</v>
      </c>
      <c r="BZ827">
        <v>0</v>
      </c>
      <c r="CA827">
        <v>0.77316767354382832</v>
      </c>
      <c r="CB827">
        <v>0</v>
      </c>
      <c r="CC827">
        <v>0</v>
      </c>
      <c r="CD827">
        <v>0</v>
      </c>
      <c r="CE827">
        <v>0</v>
      </c>
      <c r="CF827">
        <v>0</v>
      </c>
    </row>
    <row r="828" spans="1:84" x14ac:dyDescent="0.25">
      <c r="A828" t="s">
        <v>128</v>
      </c>
      <c r="B828" t="s">
        <v>422</v>
      </c>
      <c r="C828" s="14" t="s">
        <v>72</v>
      </c>
      <c r="D828" s="12">
        <v>46237</v>
      </c>
      <c r="E828" s="14" t="s">
        <v>133</v>
      </c>
      <c r="F828" s="14" t="s">
        <v>133</v>
      </c>
      <c r="G828" s="14" t="s">
        <v>133</v>
      </c>
      <c r="H828" s="14" t="s">
        <v>73</v>
      </c>
      <c r="I828">
        <v>20</v>
      </c>
      <c r="J828">
        <v>11.872563775972576</v>
      </c>
      <c r="K828">
        <v>46237</v>
      </c>
      <c r="L828" t="s">
        <v>462</v>
      </c>
      <c r="M828">
        <v>25.65</v>
      </c>
      <c r="N828">
        <v>25.65</v>
      </c>
      <c r="O828">
        <v>9.1049019607843089</v>
      </c>
      <c r="P828">
        <v>2.1604432272589587</v>
      </c>
      <c r="Q828">
        <v>2.1604432272589587</v>
      </c>
      <c r="R828">
        <v>0.76688591719427956</v>
      </c>
      <c r="S828">
        <v>0</v>
      </c>
      <c r="T828">
        <v>0</v>
      </c>
      <c r="U828">
        <v>0.91044322725895865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0.25</v>
      </c>
      <c r="AB828">
        <v>0</v>
      </c>
      <c r="AC828">
        <v>0</v>
      </c>
      <c r="AD828">
        <v>0</v>
      </c>
      <c r="AE828">
        <v>0.23311408280572044</v>
      </c>
      <c r="AF828">
        <v>0</v>
      </c>
      <c r="AG828">
        <v>0.76688591719427956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0.46286798346871644</v>
      </c>
      <c r="AN828">
        <v>0.46286798346871644</v>
      </c>
      <c r="AO828">
        <v>0.35496693804227325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0.53713201653128362</v>
      </c>
      <c r="BA828">
        <v>0</v>
      </c>
      <c r="BB828">
        <v>0.10790104542644319</v>
      </c>
      <c r="BC828">
        <v>0</v>
      </c>
      <c r="BD828">
        <v>0.35496693804227325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2.8171637773231413</v>
      </c>
      <c r="BK828">
        <v>2.8171637773231413</v>
      </c>
      <c r="BL828">
        <v>1.3039749167106744</v>
      </c>
      <c r="CC828">
        <v>0</v>
      </c>
      <c r="CD828">
        <v>0</v>
      </c>
      <c r="CE828">
        <v>0</v>
      </c>
    </row>
    <row r="829" spans="1:84" x14ac:dyDescent="0.25">
      <c r="A829" t="s">
        <v>128</v>
      </c>
      <c r="B829" t="s">
        <v>422</v>
      </c>
      <c r="C829" s="14" t="s">
        <v>117</v>
      </c>
      <c r="D829" s="12">
        <v>46230</v>
      </c>
      <c r="E829" s="14"/>
      <c r="F829" s="14"/>
      <c r="G829" s="14"/>
      <c r="H829" s="14"/>
      <c r="J829">
        <v>41.995461820747067</v>
      </c>
      <c r="M829">
        <v>56.050000000000004</v>
      </c>
      <c r="N829">
        <v>56.050000000000004</v>
      </c>
      <c r="O829">
        <v>21.342156862745089</v>
      </c>
      <c r="S829">
        <v>0</v>
      </c>
      <c r="T829">
        <v>0</v>
      </c>
      <c r="U829">
        <v>0.58685826959564991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0.10336396822962303</v>
      </c>
      <c r="AB829">
        <v>3.0465476726197406E-2</v>
      </c>
      <c r="AC829">
        <v>0.32508873817690453</v>
      </c>
      <c r="AD829">
        <v>0</v>
      </c>
      <c r="AE829">
        <v>0.16670975772149263</v>
      </c>
      <c r="AF829">
        <v>0</v>
      </c>
      <c r="AG829">
        <v>0.47773602737540527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84" x14ac:dyDescent="0.25">
      <c r="A830" t="s">
        <v>128</v>
      </c>
      <c r="B830" t="s">
        <v>422</v>
      </c>
      <c r="C830" s="14" t="s">
        <v>109</v>
      </c>
      <c r="D830" s="12">
        <v>46250</v>
      </c>
      <c r="E830" s="14" t="s">
        <v>134</v>
      </c>
      <c r="F830" s="14" t="s">
        <v>134</v>
      </c>
      <c r="G830" s="14" t="s">
        <v>134</v>
      </c>
      <c r="H830" s="14"/>
      <c r="J830">
        <v>7.1027814759848891</v>
      </c>
      <c r="M830">
        <v>6.65</v>
      </c>
      <c r="N830">
        <v>6.65</v>
      </c>
      <c r="O830">
        <v>3.8758938869665522</v>
      </c>
      <c r="S830">
        <v>0</v>
      </c>
      <c r="T830">
        <v>0</v>
      </c>
      <c r="U830">
        <v>0.27323462738291698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7.9103493737640085E-2</v>
      </c>
      <c r="AB830">
        <v>8.8338770172448951E-3</v>
      </c>
      <c r="AC830">
        <v>0.40725130960374772</v>
      </c>
      <c r="AD830">
        <v>0</v>
      </c>
      <c r="AE830">
        <v>4.7061919647175904E-2</v>
      </c>
      <c r="AF830">
        <v>0</v>
      </c>
      <c r="AG830">
        <v>0.53685289373183143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84" x14ac:dyDescent="0.25">
      <c r="A831" t="s">
        <v>128</v>
      </c>
      <c r="B831" t="s">
        <v>422</v>
      </c>
      <c r="C831" s="14" t="s">
        <v>72</v>
      </c>
      <c r="D831" s="12">
        <v>46229</v>
      </c>
      <c r="E831" s="14" t="s">
        <v>133</v>
      </c>
      <c r="F831" s="14" t="s">
        <v>133</v>
      </c>
      <c r="G831" s="14" t="s">
        <v>133</v>
      </c>
      <c r="H831" s="14" t="s">
        <v>74</v>
      </c>
      <c r="I831">
        <v>20</v>
      </c>
      <c r="J831">
        <v>4.220105607573192</v>
      </c>
      <c r="K831">
        <v>46229</v>
      </c>
      <c r="L831" t="s">
        <v>439</v>
      </c>
      <c r="M831">
        <v>3.8</v>
      </c>
      <c r="N831">
        <v>3.8</v>
      </c>
      <c r="O831">
        <v>2.5294117647058822</v>
      </c>
      <c r="P831">
        <v>0.90045139941064711</v>
      </c>
      <c r="Q831">
        <v>0.90045139941064711</v>
      </c>
      <c r="R831">
        <v>0.59937167453030693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9.9548600589352887E-2</v>
      </c>
      <c r="AD831">
        <v>0</v>
      </c>
      <c r="AE831">
        <v>0.30107972488034018</v>
      </c>
      <c r="AF831">
        <v>0</v>
      </c>
      <c r="AG831">
        <v>0.59937167453030693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1.1105541072561032</v>
      </c>
      <c r="AN831">
        <v>1.1105541072561032</v>
      </c>
      <c r="AO831">
        <v>0.66563467492260064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0.11055410725610315</v>
      </c>
      <c r="AY831">
        <v>0</v>
      </c>
      <c r="AZ831">
        <v>0</v>
      </c>
      <c r="BA831">
        <v>0</v>
      </c>
      <c r="BB831">
        <v>0.33436532507739936</v>
      </c>
      <c r="BC831">
        <v>0</v>
      </c>
      <c r="BD831">
        <v>0.66563467492260064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1.5023255813953489</v>
      </c>
      <c r="BK831">
        <v>1.5023255813953489</v>
      </c>
      <c r="BL831">
        <v>1.6684138448545178</v>
      </c>
      <c r="CC831">
        <v>0</v>
      </c>
      <c r="CD831">
        <v>0</v>
      </c>
      <c r="CE831">
        <v>0</v>
      </c>
    </row>
    <row r="832" spans="1:84" x14ac:dyDescent="0.25">
      <c r="A832" t="s">
        <v>128</v>
      </c>
      <c r="B832" t="s">
        <v>422</v>
      </c>
      <c r="C832" s="14" t="s">
        <v>72</v>
      </c>
      <c r="D832" s="12">
        <v>46237</v>
      </c>
      <c r="E832" s="14" t="s">
        <v>133</v>
      </c>
      <c r="F832" s="14" t="s">
        <v>133</v>
      </c>
      <c r="G832" s="14" t="s">
        <v>133</v>
      </c>
      <c r="H832" s="14" t="s">
        <v>74</v>
      </c>
      <c r="I832">
        <v>20</v>
      </c>
      <c r="J832">
        <v>4.220105607573192</v>
      </c>
      <c r="K832">
        <v>46237</v>
      </c>
      <c r="L832" t="s">
        <v>463</v>
      </c>
      <c r="M832">
        <v>3.8</v>
      </c>
      <c r="N832">
        <v>3.8</v>
      </c>
      <c r="O832">
        <v>4.1764705882352935</v>
      </c>
      <c r="P832">
        <v>0.90045139941064711</v>
      </c>
      <c r="Q832">
        <v>0.90045139941064711</v>
      </c>
      <c r="R832">
        <v>0.98966020678259969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8.9208807371952581E-2</v>
      </c>
      <c r="AC832">
        <v>1.0339793217400306E-2</v>
      </c>
      <c r="AD832">
        <v>0</v>
      </c>
      <c r="AE832">
        <v>0</v>
      </c>
      <c r="AF832">
        <v>0</v>
      </c>
      <c r="AG832">
        <v>0.90045139941064711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1.1105541072561032</v>
      </c>
      <c r="AN832">
        <v>1.1105541072561032</v>
      </c>
      <c r="AO832">
        <v>1.0990712074303404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9.9071207430340369E-2</v>
      </c>
      <c r="AW832">
        <v>0</v>
      </c>
      <c r="AX832">
        <v>1.1482899825762782E-2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0.90985915492957758</v>
      </c>
      <c r="BK832">
        <v>0.90985915492957758</v>
      </c>
      <c r="BL832">
        <v>1.0104478215316095</v>
      </c>
      <c r="BM832">
        <v>1.0447821531609502E-2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9.9548600589352887E-2</v>
      </c>
      <c r="BW832">
        <v>0</v>
      </c>
      <c r="BX832">
        <v>0</v>
      </c>
      <c r="BY832">
        <v>0</v>
      </c>
      <c r="BZ832">
        <v>0</v>
      </c>
      <c r="CA832">
        <v>0.90985915492957758</v>
      </c>
      <c r="CB832">
        <v>0</v>
      </c>
      <c r="CC832">
        <v>0</v>
      </c>
      <c r="CD832">
        <v>0</v>
      </c>
      <c r="CE832">
        <v>0</v>
      </c>
      <c r="CF832">
        <v>0</v>
      </c>
    </row>
    <row r="833" spans="1:84" x14ac:dyDescent="0.25">
      <c r="A833" t="s">
        <v>128</v>
      </c>
      <c r="B833" t="s">
        <v>422</v>
      </c>
      <c r="C833" s="14" t="s">
        <v>72</v>
      </c>
      <c r="D833" s="12">
        <v>46237</v>
      </c>
      <c r="E833" s="14" t="s">
        <v>133</v>
      </c>
      <c r="F833" s="14" t="s">
        <v>133</v>
      </c>
      <c r="G833" s="14" t="s">
        <v>133</v>
      </c>
      <c r="H833" s="14" t="s">
        <v>75</v>
      </c>
      <c r="I833">
        <v>20</v>
      </c>
      <c r="J833">
        <v>10.972274579690296</v>
      </c>
      <c r="K833">
        <v>46237</v>
      </c>
      <c r="L833" t="s">
        <v>464</v>
      </c>
      <c r="M833">
        <v>4.75</v>
      </c>
      <c r="N833">
        <v>4.75</v>
      </c>
      <c r="O833">
        <v>7.1745098039215671</v>
      </c>
      <c r="P833">
        <v>0.4329093266397343</v>
      </c>
      <c r="Q833">
        <v>0.4329093266397343</v>
      </c>
      <c r="R833">
        <v>0.65387625435491747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0.22096692771518317</v>
      </c>
      <c r="AC833">
        <v>0.34612374564508253</v>
      </c>
      <c r="AD833">
        <v>0</v>
      </c>
      <c r="AE833">
        <v>0</v>
      </c>
      <c r="AF833">
        <v>0</v>
      </c>
      <c r="AG833">
        <v>0.4329093266397343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2.3099525430926939</v>
      </c>
      <c r="AN833">
        <v>2.3099525430926939</v>
      </c>
      <c r="AO833">
        <v>1.5104231166150668</v>
      </c>
      <c r="BF833">
        <v>0</v>
      </c>
      <c r="BG833">
        <v>0</v>
      </c>
      <c r="BH833">
        <v>0</v>
      </c>
      <c r="BJ833">
        <v>0.66206613828915017</v>
      </c>
      <c r="BK833">
        <v>0.66206613828915017</v>
      </c>
      <c r="BL833">
        <v>1.5293413598365817</v>
      </c>
      <c r="BM833">
        <v>0.5293413598365817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0.56709067336026564</v>
      </c>
      <c r="BW833">
        <v>0</v>
      </c>
      <c r="BX833">
        <v>0</v>
      </c>
      <c r="BY833">
        <v>0</v>
      </c>
      <c r="BZ833">
        <v>0</v>
      </c>
      <c r="CA833">
        <v>0.66206613828915017</v>
      </c>
      <c r="CB833">
        <v>0</v>
      </c>
      <c r="CC833">
        <v>0</v>
      </c>
      <c r="CD833">
        <v>0</v>
      </c>
      <c r="CE833">
        <v>0</v>
      </c>
      <c r="CF833">
        <v>0</v>
      </c>
    </row>
    <row r="834" spans="1:84" x14ac:dyDescent="0.25">
      <c r="A834" t="s">
        <v>128</v>
      </c>
      <c r="B834" t="s">
        <v>422</v>
      </c>
      <c r="C834" s="14" t="s">
        <v>109</v>
      </c>
      <c r="D834" s="12">
        <v>46250</v>
      </c>
      <c r="E834" s="14" t="s">
        <v>420</v>
      </c>
      <c r="F834" s="14" t="s">
        <v>420</v>
      </c>
      <c r="G834" s="14" t="s">
        <v>420</v>
      </c>
      <c r="H834" s="14"/>
      <c r="J834">
        <v>6.7786480661254078</v>
      </c>
      <c r="M834">
        <v>2.8499999999999996</v>
      </c>
      <c r="N834">
        <v>2.8499999999999996</v>
      </c>
      <c r="O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0.85985406076067195</v>
      </c>
      <c r="AD834">
        <v>0</v>
      </c>
      <c r="AE834">
        <v>0</v>
      </c>
      <c r="AF834">
        <v>0</v>
      </c>
      <c r="AG834">
        <v>0</v>
      </c>
      <c r="AH834">
        <v>0.14014593923932805</v>
      </c>
      <c r="AI834">
        <v>0</v>
      </c>
      <c r="AJ834">
        <v>0</v>
      </c>
      <c r="AK834">
        <v>0</v>
      </c>
      <c r="AL834">
        <v>0</v>
      </c>
    </row>
    <row r="835" spans="1:84" x14ac:dyDescent="0.25">
      <c r="A835" t="s">
        <v>128</v>
      </c>
      <c r="B835" t="s">
        <v>422</v>
      </c>
      <c r="C835" s="14" t="s">
        <v>117</v>
      </c>
      <c r="D835" s="12">
        <v>46231</v>
      </c>
      <c r="E835" s="14"/>
      <c r="F835" s="14"/>
      <c r="G835" s="14"/>
      <c r="H835" s="14"/>
      <c r="J835">
        <v>45.361994830502269</v>
      </c>
      <c r="M835">
        <v>38</v>
      </c>
      <c r="N835">
        <v>38</v>
      </c>
      <c r="O835">
        <v>25.625893886966544</v>
      </c>
      <c r="S835">
        <v>0</v>
      </c>
      <c r="T835">
        <v>0</v>
      </c>
      <c r="U835">
        <v>6.0494843025855463E-2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8.1109154775317299E-2</v>
      </c>
      <c r="AB835">
        <v>4.7414303313001421E-2</v>
      </c>
      <c r="AC835">
        <v>0.29836931368503972</v>
      </c>
      <c r="AD835">
        <v>0</v>
      </c>
      <c r="AE835">
        <v>0.1367107796239255</v>
      </c>
      <c r="AF835">
        <v>0</v>
      </c>
      <c r="AG835">
        <v>0.51750560337803331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84" x14ac:dyDescent="0.25">
      <c r="A836" t="s">
        <v>128</v>
      </c>
      <c r="B836" t="s">
        <v>422</v>
      </c>
      <c r="C836" s="14" t="s">
        <v>72</v>
      </c>
      <c r="D836" s="12">
        <v>46238</v>
      </c>
      <c r="E836" s="14" t="s">
        <v>133</v>
      </c>
      <c r="F836" s="14" t="s">
        <v>133</v>
      </c>
      <c r="G836" s="14" t="s">
        <v>133</v>
      </c>
      <c r="H836" s="14" t="s">
        <v>73</v>
      </c>
      <c r="I836">
        <v>20</v>
      </c>
      <c r="J836">
        <v>13.026059308709248</v>
      </c>
      <c r="K836">
        <v>46238</v>
      </c>
      <c r="L836" t="s">
        <v>465</v>
      </c>
      <c r="M836">
        <v>27.549999999999997</v>
      </c>
      <c r="N836">
        <v>27.549999999999997</v>
      </c>
      <c r="O836">
        <v>9.4058823529411733</v>
      </c>
      <c r="P836">
        <v>2.1149911379245765</v>
      </c>
      <c r="Q836">
        <v>2.1149911379245765</v>
      </c>
      <c r="R836">
        <v>0.72208195356921046</v>
      </c>
      <c r="S836">
        <v>0</v>
      </c>
      <c r="T836">
        <v>0</v>
      </c>
      <c r="U836">
        <v>0.86499113792457649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0.25</v>
      </c>
      <c r="AB836">
        <v>0</v>
      </c>
      <c r="AC836">
        <v>0</v>
      </c>
      <c r="AD836">
        <v>0</v>
      </c>
      <c r="AE836">
        <v>0.27791804643078954</v>
      </c>
      <c r="AF836">
        <v>0</v>
      </c>
      <c r="AG836">
        <v>0.72208195356921046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0.47281521991685116</v>
      </c>
      <c r="AN836">
        <v>0.47281521991685116</v>
      </c>
      <c r="AO836">
        <v>0.34141133767481574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0.52718478008314884</v>
      </c>
      <c r="BA836">
        <v>0</v>
      </c>
      <c r="BB836">
        <v>0.13140388224203542</v>
      </c>
      <c r="BC836">
        <v>0</v>
      </c>
      <c r="BD836">
        <v>0.34141133767481574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2.9290181363352104</v>
      </c>
      <c r="BK836">
        <v>2.9290181363352104</v>
      </c>
      <c r="BL836">
        <v>1.3848843542717779</v>
      </c>
      <c r="CC836">
        <v>0</v>
      </c>
      <c r="CD836">
        <v>0</v>
      </c>
      <c r="CE836">
        <v>0</v>
      </c>
    </row>
    <row r="837" spans="1:84" x14ac:dyDescent="0.25">
      <c r="A837" t="s">
        <v>128</v>
      </c>
      <c r="B837" t="s">
        <v>422</v>
      </c>
      <c r="C837" s="14" t="s">
        <v>72</v>
      </c>
      <c r="D837" s="12">
        <v>46229</v>
      </c>
      <c r="E837" s="14" t="s">
        <v>133</v>
      </c>
      <c r="F837" s="14" t="s">
        <v>133</v>
      </c>
      <c r="G837" s="14" t="s">
        <v>133</v>
      </c>
      <c r="H837" s="14" t="s">
        <v>73</v>
      </c>
      <c r="I837">
        <v>20</v>
      </c>
      <c r="J837">
        <v>10.972274579690298</v>
      </c>
      <c r="K837">
        <v>46229</v>
      </c>
      <c r="L837" t="s">
        <v>438</v>
      </c>
      <c r="M837">
        <v>14.25</v>
      </c>
      <c r="N837">
        <v>14.25</v>
      </c>
      <c r="O837">
        <v>9.0272058823529377</v>
      </c>
      <c r="P837">
        <v>1.2987279799192026</v>
      </c>
      <c r="Q837">
        <v>1.2987279799192026</v>
      </c>
      <c r="R837">
        <v>0.82272876209845436</v>
      </c>
      <c r="S837">
        <v>0</v>
      </c>
      <c r="T837">
        <v>0</v>
      </c>
      <c r="U837">
        <v>4.8727979919202635E-2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0.25</v>
      </c>
      <c r="AB837">
        <v>0</v>
      </c>
      <c r="AC837">
        <v>0</v>
      </c>
      <c r="AD837">
        <v>0</v>
      </c>
      <c r="AE837">
        <v>0.17727123790154564</v>
      </c>
      <c r="AF837">
        <v>0</v>
      </c>
      <c r="AG837">
        <v>0.82272876209845436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0.76998418103089816</v>
      </c>
      <c r="AN837">
        <v>0.76998418103089816</v>
      </c>
      <c r="AO837">
        <v>0.63348813209494303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0.23001581896910184</v>
      </c>
      <c r="BA837">
        <v>0</v>
      </c>
      <c r="BB837">
        <v>0.13649604893595513</v>
      </c>
      <c r="BC837">
        <v>0</v>
      </c>
      <c r="BD837">
        <v>0.63348813209494303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1.5785615378349767</v>
      </c>
      <c r="BK837">
        <v>1.5785615378349767</v>
      </c>
      <c r="BL837">
        <v>1.2154674129167395</v>
      </c>
      <c r="CC837">
        <v>0</v>
      </c>
      <c r="CD837">
        <v>0</v>
      </c>
      <c r="CE837">
        <v>0</v>
      </c>
    </row>
    <row r="838" spans="1:84" x14ac:dyDescent="0.25">
      <c r="A838" t="s">
        <v>128</v>
      </c>
      <c r="B838" t="s">
        <v>422</v>
      </c>
      <c r="C838" s="14" t="s">
        <v>72</v>
      </c>
      <c r="D838" s="12">
        <v>46235</v>
      </c>
      <c r="E838" s="14" t="s">
        <v>133</v>
      </c>
      <c r="F838" s="14" t="s">
        <v>133</v>
      </c>
      <c r="G838" s="14" t="s">
        <v>133</v>
      </c>
      <c r="H838" s="14" t="s">
        <v>75</v>
      </c>
      <c r="I838">
        <v>20</v>
      </c>
      <c r="J838">
        <v>10.972274579690296</v>
      </c>
      <c r="K838">
        <v>46235</v>
      </c>
      <c r="L838" t="s">
        <v>458</v>
      </c>
      <c r="M838">
        <v>6.6499999999999995</v>
      </c>
      <c r="N838">
        <v>6.6499999999999995</v>
      </c>
      <c r="O838">
        <v>8.1009803921568615</v>
      </c>
      <c r="P838">
        <v>0.60607305729562799</v>
      </c>
      <c r="Q838">
        <v>0.60607305729562799</v>
      </c>
      <c r="R838">
        <v>0.73831367719796159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0.1322406199023336</v>
      </c>
      <c r="AC838">
        <v>0.26168632280203841</v>
      </c>
      <c r="AD838">
        <v>0</v>
      </c>
      <c r="AE838">
        <v>0</v>
      </c>
      <c r="AF838">
        <v>0</v>
      </c>
      <c r="AG838">
        <v>0.60607305729562799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1.6499661022090673</v>
      </c>
      <c r="AN838">
        <v>1.6499661022090673</v>
      </c>
      <c r="AO838">
        <v>1.2181925401739642</v>
      </c>
      <c r="BF838">
        <v>0</v>
      </c>
      <c r="BG838">
        <v>0</v>
      </c>
      <c r="BH838">
        <v>0</v>
      </c>
      <c r="BJ838">
        <v>0.82088829722860956</v>
      </c>
      <c r="BK838">
        <v>0.82088829722860956</v>
      </c>
      <c r="BL838">
        <v>1.3544378641273271</v>
      </c>
      <c r="BM838">
        <v>0.35443786412732714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0.39392694270437201</v>
      </c>
      <c r="BW838">
        <v>0</v>
      </c>
      <c r="BX838">
        <v>0</v>
      </c>
      <c r="BY838">
        <v>0</v>
      </c>
      <c r="BZ838">
        <v>0</v>
      </c>
      <c r="CA838">
        <v>0.82088829722860956</v>
      </c>
      <c r="CB838">
        <v>0</v>
      </c>
      <c r="CC838">
        <v>0</v>
      </c>
      <c r="CD838">
        <v>0</v>
      </c>
      <c r="CE838">
        <v>0</v>
      </c>
      <c r="CF838">
        <v>0</v>
      </c>
    </row>
    <row r="839" spans="1:84" x14ac:dyDescent="0.25">
      <c r="A839" t="s">
        <v>128</v>
      </c>
      <c r="B839" t="s">
        <v>422</v>
      </c>
      <c r="C839" s="14" t="s">
        <v>109</v>
      </c>
      <c r="D839" s="12">
        <v>46250</v>
      </c>
      <c r="E839" s="14" t="s">
        <v>133</v>
      </c>
      <c r="F839" s="14" t="s">
        <v>133</v>
      </c>
      <c r="G839" s="14" t="s">
        <v>133</v>
      </c>
      <c r="H839" s="14"/>
      <c r="J839">
        <v>26.164654766953785</v>
      </c>
      <c r="M839">
        <v>45.599999999999994</v>
      </c>
      <c r="N839">
        <v>45.599999999999994</v>
      </c>
      <c r="O839">
        <v>19.749999999999996</v>
      </c>
      <c r="S839">
        <v>0</v>
      </c>
      <c r="T839">
        <v>0</v>
      </c>
      <c r="U839">
        <v>0.78291332172513295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0.125091007945695</v>
      </c>
      <c r="AB839">
        <v>5.0996802265300636E-2</v>
      </c>
      <c r="AC839">
        <v>0.11419836725588763</v>
      </c>
      <c r="AD839">
        <v>0</v>
      </c>
      <c r="AE839">
        <v>0.13096652500386272</v>
      </c>
      <c r="AF839">
        <v>0</v>
      </c>
      <c r="AG839">
        <v>0.70383830547494897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84" x14ac:dyDescent="0.25">
      <c r="A840" t="s">
        <v>128</v>
      </c>
      <c r="B840" t="s">
        <v>422</v>
      </c>
      <c r="C840" s="14" t="s">
        <v>72</v>
      </c>
      <c r="D840" s="12">
        <v>46230</v>
      </c>
      <c r="E840" s="14" t="s">
        <v>133</v>
      </c>
      <c r="F840" s="14" t="s">
        <v>133</v>
      </c>
      <c r="G840" s="14" t="s">
        <v>133</v>
      </c>
      <c r="H840" s="14" t="s">
        <v>74</v>
      </c>
      <c r="I840">
        <v>20</v>
      </c>
      <c r="J840">
        <v>4.220105607573192</v>
      </c>
      <c r="K840">
        <v>46230</v>
      </c>
      <c r="L840" t="s">
        <v>442</v>
      </c>
      <c r="M840">
        <v>4.75</v>
      </c>
      <c r="N840">
        <v>4.75</v>
      </c>
      <c r="O840">
        <v>4.0588235294117636</v>
      </c>
      <c r="P840">
        <v>1.1255642492633089</v>
      </c>
      <c r="Q840">
        <v>1.1255642492633089</v>
      </c>
      <c r="R840">
        <v>0.96178245447886435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0.12556424926330889</v>
      </c>
      <c r="AB840">
        <v>0</v>
      </c>
      <c r="AC840">
        <v>0</v>
      </c>
      <c r="AD840">
        <v>0</v>
      </c>
      <c r="AE840">
        <v>3.8217545521135654E-2</v>
      </c>
      <c r="AF840">
        <v>0</v>
      </c>
      <c r="AG840">
        <v>0.96178245447886435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0.88844328580488252</v>
      </c>
      <c r="AN840">
        <v>0.88844328580488252</v>
      </c>
      <c r="AO840">
        <v>0.85448916408668707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0.11155671419511748</v>
      </c>
      <c r="BA840">
        <v>0</v>
      </c>
      <c r="BB840">
        <v>3.3954121718195451E-2</v>
      </c>
      <c r="BC840">
        <v>0</v>
      </c>
      <c r="BD840">
        <v>0.85448916408668707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1.1702898550724641</v>
      </c>
      <c r="BK840">
        <v>1.1702898550724641</v>
      </c>
      <c r="BL840">
        <v>1.0397361641846998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3.9736164184699829E-2</v>
      </c>
      <c r="BT840">
        <v>0</v>
      </c>
      <c r="BU840">
        <v>0.13055369088776425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1</v>
      </c>
      <c r="CB840">
        <v>0</v>
      </c>
      <c r="CC840">
        <v>0</v>
      </c>
      <c r="CD840">
        <v>0</v>
      </c>
      <c r="CE840">
        <v>0</v>
      </c>
      <c r="CF840">
        <v>0</v>
      </c>
    </row>
    <row r="841" spans="1:84" x14ac:dyDescent="0.25">
      <c r="A841" t="s">
        <v>128</v>
      </c>
      <c r="B841" t="s">
        <v>422</v>
      </c>
      <c r="C841" s="14" t="s">
        <v>117</v>
      </c>
      <c r="D841" s="12">
        <v>46227</v>
      </c>
      <c r="E841" s="14"/>
      <c r="F841" s="14"/>
      <c r="G841" s="14"/>
      <c r="H841" s="14"/>
      <c r="J841">
        <v>41.296293897593188</v>
      </c>
      <c r="M841">
        <v>43.70000000000001</v>
      </c>
      <c r="N841">
        <v>43.70000000000001</v>
      </c>
      <c r="O841">
        <v>24.933160322952702</v>
      </c>
      <c r="S841">
        <v>0</v>
      </c>
      <c r="T841">
        <v>0</v>
      </c>
      <c r="U841">
        <v>0.21998721720441347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8.8804641863768768E-2</v>
      </c>
      <c r="AB841">
        <v>2.8688226098840287E-2</v>
      </c>
      <c r="AC841">
        <v>0.22189729347632275</v>
      </c>
      <c r="AD841">
        <v>0</v>
      </c>
      <c r="AE841">
        <v>0.1743400447995499</v>
      </c>
      <c r="AF841">
        <v>0</v>
      </c>
      <c r="AG841">
        <v>0.57507443562528704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84" x14ac:dyDescent="0.25">
      <c r="A842" t="s">
        <v>128</v>
      </c>
      <c r="B842" t="s">
        <v>422</v>
      </c>
      <c r="C842" s="14" t="s">
        <v>116</v>
      </c>
      <c r="D842" s="12"/>
      <c r="E842" s="14"/>
      <c r="F842" s="14"/>
      <c r="G842" s="14"/>
      <c r="H842" s="14"/>
      <c r="J842">
        <v>1198.3032344330186</v>
      </c>
      <c r="M842">
        <v>1141.9000000000026</v>
      </c>
      <c r="N842">
        <v>1141.9000000000026</v>
      </c>
      <c r="O842">
        <v>709.83821875335786</v>
      </c>
      <c r="S842">
        <v>2.2767433707242813E-4</v>
      </c>
      <c r="T842">
        <v>0</v>
      </c>
      <c r="U842">
        <v>0.22607542688356769</v>
      </c>
      <c r="V842">
        <v>0</v>
      </c>
      <c r="W842">
        <v>3.3986263912812051E-5</v>
      </c>
      <c r="X842">
        <v>0</v>
      </c>
      <c r="Y842">
        <v>4.6887533460697049E-4</v>
      </c>
      <c r="Z842">
        <v>0</v>
      </c>
      <c r="AA842">
        <v>6.7571299323069475E-2</v>
      </c>
      <c r="AB842">
        <v>5.4861995248998957E-2</v>
      </c>
      <c r="AC842">
        <v>0.30062702010748121</v>
      </c>
      <c r="AD842">
        <v>0</v>
      </c>
      <c r="AE842">
        <v>9.9806197016556811E-2</v>
      </c>
      <c r="AF842">
        <v>0</v>
      </c>
      <c r="AG842">
        <v>0.53677691117047344</v>
      </c>
      <c r="AH842">
        <v>7.9278764564922159E-3</v>
      </c>
      <c r="AI842">
        <v>0</v>
      </c>
      <c r="AJ842">
        <v>0</v>
      </c>
      <c r="AK842">
        <v>0</v>
      </c>
      <c r="AL842">
        <v>0</v>
      </c>
    </row>
    <row r="843" spans="1:84" x14ac:dyDescent="0.25">
      <c r="A843" t="s">
        <v>128</v>
      </c>
      <c r="B843" t="s">
        <v>422</v>
      </c>
      <c r="C843" s="14" t="s">
        <v>72</v>
      </c>
      <c r="D843" s="12">
        <v>46232</v>
      </c>
      <c r="E843" s="14" t="s">
        <v>133</v>
      </c>
      <c r="F843" s="14" t="s">
        <v>133</v>
      </c>
      <c r="G843" s="14" t="s">
        <v>133</v>
      </c>
      <c r="H843" s="14" t="s">
        <v>74</v>
      </c>
      <c r="I843">
        <v>20</v>
      </c>
      <c r="J843">
        <v>4.220105607573192</v>
      </c>
      <c r="K843">
        <v>46232</v>
      </c>
      <c r="L843" t="s">
        <v>448</v>
      </c>
      <c r="M843">
        <v>2.8499999999999996</v>
      </c>
      <c r="N843">
        <v>2.8499999999999996</v>
      </c>
      <c r="O843">
        <v>3.0882352941176467</v>
      </c>
      <c r="P843">
        <v>0.67533854955798522</v>
      </c>
      <c r="Q843">
        <v>0.67533854955798522</v>
      </c>
      <c r="R843">
        <v>0.73179099797304903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5.6452448415063805E-2</v>
      </c>
      <c r="AC843">
        <v>0.26820900202695097</v>
      </c>
      <c r="AD843">
        <v>0</v>
      </c>
      <c r="AE843">
        <v>0</v>
      </c>
      <c r="AF843">
        <v>0</v>
      </c>
      <c r="AG843">
        <v>0.67533854955798522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1.4807388096748044</v>
      </c>
      <c r="AN843">
        <v>1.4807388096748044</v>
      </c>
      <c r="AO843">
        <v>1.0835913312693499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8.3591331269349922E-2</v>
      </c>
      <c r="AW843">
        <v>0</v>
      </c>
      <c r="AX843">
        <v>0.3971474784054545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1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0.92285714285714282</v>
      </c>
      <c r="BK843">
        <v>0.92285714285714282</v>
      </c>
      <c r="BL843">
        <v>1.3665103872141766</v>
      </c>
      <c r="BM843">
        <v>0.36651038721417661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0.32466145044201478</v>
      </c>
      <c r="BW843">
        <v>0</v>
      </c>
      <c r="BX843">
        <v>0</v>
      </c>
      <c r="BY843">
        <v>0</v>
      </c>
      <c r="BZ843">
        <v>0</v>
      </c>
      <c r="CA843">
        <v>0.92285714285714282</v>
      </c>
      <c r="CB843">
        <v>0</v>
      </c>
      <c r="CC843">
        <v>0</v>
      </c>
      <c r="CD843">
        <v>0</v>
      </c>
      <c r="CE843">
        <v>0</v>
      </c>
      <c r="CF843">
        <v>0</v>
      </c>
    </row>
    <row r="844" spans="1:84" x14ac:dyDescent="0.25">
      <c r="A844" t="s">
        <v>128</v>
      </c>
      <c r="B844" t="s">
        <v>422</v>
      </c>
      <c r="C844" s="14" t="s">
        <v>72</v>
      </c>
      <c r="D844" s="12">
        <v>46231</v>
      </c>
      <c r="E844" s="14" t="s">
        <v>133</v>
      </c>
      <c r="F844" s="14" t="s">
        <v>133</v>
      </c>
      <c r="G844" s="14" t="s">
        <v>133</v>
      </c>
      <c r="H844" s="14" t="s">
        <v>75</v>
      </c>
      <c r="I844">
        <v>20</v>
      </c>
      <c r="J844">
        <v>10.972274579690296</v>
      </c>
      <c r="K844">
        <v>46231</v>
      </c>
      <c r="L844" t="s">
        <v>446</v>
      </c>
      <c r="M844">
        <v>6.6499999999999995</v>
      </c>
      <c r="N844">
        <v>6.6499999999999995</v>
      </c>
      <c r="O844">
        <v>6.6598039215686242</v>
      </c>
      <c r="P844">
        <v>0.60607305729562799</v>
      </c>
      <c r="Q844">
        <v>0.60607305729562799</v>
      </c>
      <c r="R844">
        <v>0.60696657499767059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8.9351770204260106E-4</v>
      </c>
      <c r="AC844">
        <v>0.39303342500232941</v>
      </c>
      <c r="AD844">
        <v>0</v>
      </c>
      <c r="AE844">
        <v>0</v>
      </c>
      <c r="AF844">
        <v>0</v>
      </c>
      <c r="AG844">
        <v>0.60607305729562799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1.6499661022090673</v>
      </c>
      <c r="AN844">
        <v>1.6499661022090673</v>
      </c>
      <c r="AO844">
        <v>1.0014742739200939</v>
      </c>
      <c r="BF844">
        <v>0</v>
      </c>
      <c r="BG844">
        <v>0</v>
      </c>
      <c r="BH844">
        <v>0</v>
      </c>
      <c r="BJ844">
        <v>0.99852789636390438</v>
      </c>
      <c r="BK844">
        <v>0.99852789636390438</v>
      </c>
      <c r="BL844">
        <v>1.6475371811105708</v>
      </c>
      <c r="BM844">
        <v>0.64753718111057079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0.39392694270437201</v>
      </c>
      <c r="BW844">
        <v>0</v>
      </c>
      <c r="BX844">
        <v>0</v>
      </c>
      <c r="BY844">
        <v>0</v>
      </c>
      <c r="BZ844">
        <v>0</v>
      </c>
      <c r="CA844">
        <v>0.99852789636390438</v>
      </c>
      <c r="CB844">
        <v>0</v>
      </c>
      <c r="CC844">
        <v>0</v>
      </c>
      <c r="CD844">
        <v>0</v>
      </c>
      <c r="CE844">
        <v>0</v>
      </c>
      <c r="CF844">
        <v>0</v>
      </c>
    </row>
    <row r="845" spans="1:84" x14ac:dyDescent="0.25">
      <c r="A845" t="s">
        <v>128</v>
      </c>
      <c r="B845" t="s">
        <v>422</v>
      </c>
      <c r="C845" s="14" t="s">
        <v>72</v>
      </c>
      <c r="D845" s="12">
        <v>46232</v>
      </c>
      <c r="E845" s="14" t="s">
        <v>133</v>
      </c>
      <c r="F845" s="14" t="s">
        <v>133</v>
      </c>
      <c r="G845" s="14" t="s">
        <v>133</v>
      </c>
      <c r="H845" s="14" t="s">
        <v>75</v>
      </c>
      <c r="I845">
        <v>20</v>
      </c>
      <c r="J845">
        <v>10.80347035538737</v>
      </c>
      <c r="K845">
        <v>46232</v>
      </c>
      <c r="L845" t="s">
        <v>449</v>
      </c>
      <c r="M845">
        <v>4.75</v>
      </c>
      <c r="N845">
        <v>4.75</v>
      </c>
      <c r="O845">
        <v>5.3514705882352898</v>
      </c>
      <c r="P845">
        <v>0.4396735348684801</v>
      </c>
      <c r="Q845">
        <v>0.4396735348684801</v>
      </c>
      <c r="R845">
        <v>0.49534736637349774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5.5673831505017646E-2</v>
      </c>
      <c r="AC845">
        <v>0.50465263362650226</v>
      </c>
      <c r="AD845">
        <v>0</v>
      </c>
      <c r="AE845">
        <v>0</v>
      </c>
      <c r="AF845">
        <v>0</v>
      </c>
      <c r="AG845">
        <v>0.4396735348684801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2.274414811660499</v>
      </c>
      <c r="AN845">
        <v>2.274414811660499</v>
      </c>
      <c r="AO845">
        <v>1.1266253869969032</v>
      </c>
      <c r="BF845">
        <v>0</v>
      </c>
      <c r="BG845">
        <v>0</v>
      </c>
      <c r="BH845">
        <v>0</v>
      </c>
      <c r="BJ845">
        <v>0.88760648529815955</v>
      </c>
      <c r="BK845">
        <v>0.88760648529815955</v>
      </c>
      <c r="BL845">
        <v>2.0187853370880511</v>
      </c>
      <c r="BM845">
        <v>1.0187853370880511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0.56032646513151985</v>
      </c>
      <c r="BW845">
        <v>0</v>
      </c>
      <c r="BX845">
        <v>0</v>
      </c>
      <c r="BY845">
        <v>0</v>
      </c>
      <c r="BZ845">
        <v>0</v>
      </c>
      <c r="CA845">
        <v>0.88760648529815955</v>
      </c>
      <c r="CB845">
        <v>0</v>
      </c>
      <c r="CC845">
        <v>0</v>
      </c>
      <c r="CD845">
        <v>0</v>
      </c>
      <c r="CE845">
        <v>0</v>
      </c>
      <c r="CF845">
        <v>0</v>
      </c>
    </row>
    <row r="846" spans="1:84" x14ac:dyDescent="0.25">
      <c r="A846" t="s">
        <v>128</v>
      </c>
      <c r="B846" t="s">
        <v>422</v>
      </c>
      <c r="C846" s="14" t="s">
        <v>117</v>
      </c>
      <c r="D846" s="12">
        <v>46224</v>
      </c>
      <c r="E846" s="14"/>
      <c r="F846" s="14"/>
      <c r="G846" s="14"/>
      <c r="H846" s="14"/>
      <c r="J846">
        <v>45.515177224413193</v>
      </c>
      <c r="M846">
        <v>46.550000000000004</v>
      </c>
      <c r="N846">
        <v>46.550000000000004</v>
      </c>
      <c r="O846">
        <v>24.437537846020749</v>
      </c>
      <c r="S846">
        <v>0</v>
      </c>
      <c r="T846">
        <v>0</v>
      </c>
      <c r="U846">
        <v>0.2058088408164867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8.0970482197050192E-2</v>
      </c>
      <c r="AB846">
        <v>4.3921192979132721E-3</v>
      </c>
      <c r="AC846">
        <v>0.25965142987727069</v>
      </c>
      <c r="AD846">
        <v>0</v>
      </c>
      <c r="AE846">
        <v>0.20343892072092323</v>
      </c>
      <c r="AF846">
        <v>0</v>
      </c>
      <c r="AG846">
        <v>0.53251753010389258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84" x14ac:dyDescent="0.25">
      <c r="A847" t="s">
        <v>128</v>
      </c>
      <c r="B847" t="s">
        <v>422</v>
      </c>
      <c r="C847" s="14" t="s">
        <v>72</v>
      </c>
      <c r="D847" s="12">
        <v>46233</v>
      </c>
      <c r="E847" s="14" t="s">
        <v>133</v>
      </c>
      <c r="F847" s="14" t="s">
        <v>133</v>
      </c>
      <c r="G847" s="14" t="s">
        <v>133</v>
      </c>
      <c r="H847" s="14" t="s">
        <v>73</v>
      </c>
      <c r="I847">
        <v>20</v>
      </c>
      <c r="J847">
        <v>10.887872467538832</v>
      </c>
      <c r="K847">
        <v>46233</v>
      </c>
      <c r="L847" t="s">
        <v>450</v>
      </c>
      <c r="M847">
        <v>21.85</v>
      </c>
      <c r="N847">
        <v>21.85</v>
      </c>
      <c r="O847">
        <v>9.3254901960784284</v>
      </c>
      <c r="P847">
        <v>2.006819979306675</v>
      </c>
      <c r="Q847">
        <v>2.006819979306675</v>
      </c>
      <c r="R847">
        <v>0.85650251909925468</v>
      </c>
      <c r="S847">
        <v>0</v>
      </c>
      <c r="T847">
        <v>0</v>
      </c>
      <c r="U847">
        <v>0.75681997930667499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0.25</v>
      </c>
      <c r="AB847">
        <v>0</v>
      </c>
      <c r="AC847">
        <v>0</v>
      </c>
      <c r="AD847">
        <v>0</v>
      </c>
      <c r="AE847">
        <v>0.14349748090074532</v>
      </c>
      <c r="AF847">
        <v>0</v>
      </c>
      <c r="AG847">
        <v>0.85650251909925468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0.49830079942969491</v>
      </c>
      <c r="AN847">
        <v>0.49830079942969491</v>
      </c>
      <c r="AO847">
        <v>0.42679588998070617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0.50169920057030515</v>
      </c>
      <c r="BA847">
        <v>0</v>
      </c>
      <c r="BB847">
        <v>7.150490944898874E-2</v>
      </c>
      <c r="BC847">
        <v>0</v>
      </c>
      <c r="BD847">
        <v>0.42679588998070617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2.3430403700588736</v>
      </c>
      <c r="BK847">
        <v>2.3430403700588736</v>
      </c>
      <c r="BL847">
        <v>1.1675388894963847</v>
      </c>
      <c r="CC847">
        <v>0</v>
      </c>
      <c r="CD847">
        <v>0</v>
      </c>
      <c r="CE847">
        <v>0</v>
      </c>
    </row>
    <row r="848" spans="1:84" x14ac:dyDescent="0.25">
      <c r="A848" t="s">
        <v>128</v>
      </c>
      <c r="B848" t="s">
        <v>422</v>
      </c>
      <c r="C848" s="14" t="s">
        <v>72</v>
      </c>
      <c r="D848" s="12">
        <v>46231</v>
      </c>
      <c r="E848" s="14" t="s">
        <v>133</v>
      </c>
      <c r="F848" s="14" t="s">
        <v>133</v>
      </c>
      <c r="G848" s="14" t="s">
        <v>133</v>
      </c>
      <c r="H848" s="14" t="s">
        <v>74</v>
      </c>
      <c r="I848">
        <v>20</v>
      </c>
      <c r="J848">
        <v>4.220105607573192</v>
      </c>
      <c r="K848">
        <v>46231</v>
      </c>
      <c r="L848" t="s">
        <v>445</v>
      </c>
      <c r="M848">
        <v>3.8</v>
      </c>
      <c r="N848">
        <v>3.8</v>
      </c>
      <c r="O848">
        <v>3.9411764705882346</v>
      </c>
      <c r="P848">
        <v>0.90045139941064711</v>
      </c>
      <c r="Q848">
        <v>0.90045139941064711</v>
      </c>
      <c r="R848">
        <v>0.93390470217512922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3.3453302764482107E-2</v>
      </c>
      <c r="AC848">
        <v>6.609529782487078E-2</v>
      </c>
      <c r="AD848">
        <v>0</v>
      </c>
      <c r="AE848">
        <v>0</v>
      </c>
      <c r="AF848">
        <v>0</v>
      </c>
      <c r="AG848">
        <v>0.90045139941064711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1.1105541072561032</v>
      </c>
      <c r="AN848">
        <v>1.1105541072561032</v>
      </c>
      <c r="AO848">
        <v>1.0371517027863775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3.7151702786377472E-2</v>
      </c>
      <c r="AW848">
        <v>0</v>
      </c>
      <c r="AX848">
        <v>7.3402404469725679E-2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0.96417910447761201</v>
      </c>
      <c r="BK848">
        <v>0.96417910447761201</v>
      </c>
      <c r="BL848">
        <v>1.0707730646081235</v>
      </c>
      <c r="BM848">
        <v>7.0773064608123493E-2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9.9548600589352887E-2</v>
      </c>
      <c r="BW848">
        <v>0</v>
      </c>
      <c r="BX848">
        <v>0</v>
      </c>
      <c r="BY848">
        <v>0</v>
      </c>
      <c r="BZ848">
        <v>0</v>
      </c>
      <c r="CA848">
        <v>0.96417910447761201</v>
      </c>
      <c r="CB848">
        <v>0</v>
      </c>
      <c r="CC848">
        <v>0</v>
      </c>
      <c r="CD848">
        <v>0</v>
      </c>
      <c r="CE848">
        <v>0</v>
      </c>
      <c r="CF848">
        <v>0</v>
      </c>
    </row>
    <row r="849" spans="1:84" x14ac:dyDescent="0.25">
      <c r="A849" t="s">
        <v>128</v>
      </c>
      <c r="B849" t="s">
        <v>422</v>
      </c>
      <c r="C849" s="14" t="s">
        <v>72</v>
      </c>
      <c r="D849" s="12">
        <v>46233</v>
      </c>
      <c r="E849" s="14" t="s">
        <v>133</v>
      </c>
      <c r="F849" s="14" t="s">
        <v>133</v>
      </c>
      <c r="G849" s="14" t="s">
        <v>133</v>
      </c>
      <c r="H849" s="14" t="s">
        <v>74</v>
      </c>
      <c r="I849">
        <v>20</v>
      </c>
      <c r="J849">
        <v>4.220105607573192</v>
      </c>
      <c r="K849">
        <v>46233</v>
      </c>
      <c r="L849" t="s">
        <v>451</v>
      </c>
      <c r="M849">
        <v>1.9</v>
      </c>
      <c r="N849">
        <v>1.9</v>
      </c>
      <c r="O849">
        <v>2.4705882352941178</v>
      </c>
      <c r="P849">
        <v>0.45022569970532356</v>
      </c>
      <c r="Q849">
        <v>0.45022569970532356</v>
      </c>
      <c r="R849">
        <v>0.58543279837843931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0.13520709867311576</v>
      </c>
      <c r="AC849">
        <v>0.41456720162156069</v>
      </c>
      <c r="AD849">
        <v>0</v>
      </c>
      <c r="AE849">
        <v>0</v>
      </c>
      <c r="AF849">
        <v>0</v>
      </c>
      <c r="AG849">
        <v>0.45022569970532356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2.2211082145122063</v>
      </c>
      <c r="AN849">
        <v>2.2211082145122063</v>
      </c>
      <c r="AO849">
        <v>1.30030959752322</v>
      </c>
      <c r="BF849">
        <v>0</v>
      </c>
      <c r="BG849">
        <v>0</v>
      </c>
      <c r="BH849">
        <v>0</v>
      </c>
      <c r="BJ849">
        <v>0.76904761904761898</v>
      </c>
      <c r="BK849">
        <v>0.76904761904761898</v>
      </c>
      <c r="BL849">
        <v>1.7081379840177204</v>
      </c>
      <c r="BM849">
        <v>0.70813798401772043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0.54977430029467644</v>
      </c>
      <c r="BW849">
        <v>0</v>
      </c>
      <c r="BX849">
        <v>0</v>
      </c>
      <c r="BY849">
        <v>0</v>
      </c>
      <c r="BZ849">
        <v>0</v>
      </c>
      <c r="CA849">
        <v>0.76904761904761898</v>
      </c>
      <c r="CB849">
        <v>0</v>
      </c>
      <c r="CC849">
        <v>0</v>
      </c>
      <c r="CD849">
        <v>0</v>
      </c>
      <c r="CE849">
        <v>0</v>
      </c>
      <c r="CF849">
        <v>0</v>
      </c>
    </row>
    <row r="850" spans="1:84" x14ac:dyDescent="0.25">
      <c r="A850" t="s">
        <v>128</v>
      </c>
      <c r="B850" t="s">
        <v>422</v>
      </c>
      <c r="C850" s="14" t="s">
        <v>117</v>
      </c>
      <c r="D850" s="12">
        <v>46225</v>
      </c>
      <c r="E850" s="14"/>
      <c r="F850" s="14"/>
      <c r="G850" s="14"/>
      <c r="H850" s="14"/>
      <c r="J850">
        <v>44.21118353019645</v>
      </c>
      <c r="M850">
        <v>60.8</v>
      </c>
      <c r="N850">
        <v>60.8</v>
      </c>
      <c r="O850">
        <v>24.139918256389237</v>
      </c>
      <c r="S850">
        <v>0</v>
      </c>
      <c r="T850">
        <v>0</v>
      </c>
      <c r="U850">
        <v>0.50394730094869411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0.10737893277615344</v>
      </c>
      <c r="AB850">
        <v>1.4447731071334256E-2</v>
      </c>
      <c r="AC850">
        <v>0.22166085080139059</v>
      </c>
      <c r="AD850">
        <v>0</v>
      </c>
      <c r="AE850">
        <v>0.2323253054411456</v>
      </c>
      <c r="AF850">
        <v>0</v>
      </c>
      <c r="AG850">
        <v>0.53156611268612941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84" x14ac:dyDescent="0.25">
      <c r="A851" t="s">
        <v>128</v>
      </c>
      <c r="B851" t="s">
        <v>422</v>
      </c>
      <c r="C851" s="14" t="s">
        <v>72</v>
      </c>
      <c r="D851" s="12">
        <v>46233</v>
      </c>
      <c r="E851" s="14" t="s">
        <v>133</v>
      </c>
      <c r="F851" s="14" t="s">
        <v>133</v>
      </c>
      <c r="G851" s="14" t="s">
        <v>133</v>
      </c>
      <c r="H851" s="14" t="s">
        <v>75</v>
      </c>
      <c r="I851">
        <v>20</v>
      </c>
      <c r="J851">
        <v>10.972274579690296</v>
      </c>
      <c r="K851">
        <v>46233</v>
      </c>
      <c r="L851" t="s">
        <v>452</v>
      </c>
      <c r="M851">
        <v>6.6499999999999995</v>
      </c>
      <c r="N851">
        <v>6.6499999999999995</v>
      </c>
      <c r="O851">
        <v>8.1009803921568597</v>
      </c>
      <c r="P851">
        <v>0.60607305729562799</v>
      </c>
      <c r="Q851">
        <v>0.60607305729562799</v>
      </c>
      <c r="R851">
        <v>0.73831367719796148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0.13224061990233349</v>
      </c>
      <c r="AC851">
        <v>0.26168632280203852</v>
      </c>
      <c r="AD851">
        <v>0</v>
      </c>
      <c r="AE851">
        <v>0</v>
      </c>
      <c r="AF851">
        <v>0</v>
      </c>
      <c r="AG851">
        <v>0.60607305729562799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1.6499661022090673</v>
      </c>
      <c r="AN851">
        <v>1.6499661022090673</v>
      </c>
      <c r="AO851">
        <v>1.2181925401739639</v>
      </c>
      <c r="BF851">
        <v>0</v>
      </c>
      <c r="BG851">
        <v>0</v>
      </c>
      <c r="BH851">
        <v>0</v>
      </c>
      <c r="BJ851">
        <v>0.82088829722860968</v>
      </c>
      <c r="BK851">
        <v>0.82088829722860968</v>
      </c>
      <c r="BL851">
        <v>1.3544378641273274</v>
      </c>
      <c r="BM851">
        <v>0.35443786412732736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0.39392694270437201</v>
      </c>
      <c r="BW851">
        <v>0</v>
      </c>
      <c r="BX851">
        <v>0</v>
      </c>
      <c r="BY851">
        <v>0</v>
      </c>
      <c r="BZ851">
        <v>0</v>
      </c>
      <c r="CA851">
        <v>0.82088829722860968</v>
      </c>
      <c r="CB851">
        <v>0</v>
      </c>
      <c r="CC851">
        <v>0</v>
      </c>
      <c r="CD851">
        <v>0</v>
      </c>
      <c r="CE851">
        <v>0</v>
      </c>
      <c r="CF851">
        <v>0</v>
      </c>
    </row>
    <row r="852" spans="1:84" x14ac:dyDescent="0.25">
      <c r="A852" t="s">
        <v>128</v>
      </c>
      <c r="B852" t="s">
        <v>422</v>
      </c>
      <c r="C852" s="14" t="s">
        <v>72</v>
      </c>
      <c r="D852" s="12">
        <v>46231</v>
      </c>
      <c r="E852" s="14" t="s">
        <v>133</v>
      </c>
      <c r="F852" s="14" t="s">
        <v>133</v>
      </c>
      <c r="G852" s="14" t="s">
        <v>133</v>
      </c>
      <c r="H852" s="14" t="s">
        <v>73</v>
      </c>
      <c r="I852">
        <v>20</v>
      </c>
      <c r="J852">
        <v>11.731893589053469</v>
      </c>
      <c r="K852">
        <v>46231</v>
      </c>
      <c r="L852" t="s">
        <v>444</v>
      </c>
      <c r="M852">
        <v>14.25</v>
      </c>
      <c r="N852">
        <v>14.25</v>
      </c>
      <c r="O852">
        <v>8.6490196078431296</v>
      </c>
      <c r="P852">
        <v>1.2146376790611253</v>
      </c>
      <c r="Q852">
        <v>1.2146376790611253</v>
      </c>
      <c r="R852">
        <v>0.73722281421928015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0.2146376790611253</v>
      </c>
      <c r="AB852">
        <v>0</v>
      </c>
      <c r="AC852">
        <v>0</v>
      </c>
      <c r="AD852">
        <v>0</v>
      </c>
      <c r="AE852">
        <v>0.26277718578071985</v>
      </c>
      <c r="AF852">
        <v>0</v>
      </c>
      <c r="AG852">
        <v>0.73722281421928015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0.82329077817919083</v>
      </c>
      <c r="AN852">
        <v>0.82329077817919083</v>
      </c>
      <c r="AO852">
        <v>0.60694874441004421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0.17670922182080917</v>
      </c>
      <c r="BA852">
        <v>0</v>
      </c>
      <c r="BB852">
        <v>0.21634203376914662</v>
      </c>
      <c r="BC852">
        <v>0</v>
      </c>
      <c r="BD852">
        <v>0.60694874441004421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1.6475855815007949</v>
      </c>
      <c r="BK852">
        <v>1.6475855815007949</v>
      </c>
      <c r="BL852">
        <v>1.3564420155106041</v>
      </c>
      <c r="CC852">
        <v>0</v>
      </c>
      <c r="CD852">
        <v>0</v>
      </c>
      <c r="CE852">
        <v>0</v>
      </c>
    </row>
    <row r="853" spans="1:84" x14ac:dyDescent="0.25">
      <c r="A853" t="s">
        <v>128</v>
      </c>
      <c r="B853" t="s">
        <v>422</v>
      </c>
      <c r="C853" s="14" t="s">
        <v>117</v>
      </c>
      <c r="D853" s="12">
        <v>46226</v>
      </c>
      <c r="E853" s="14"/>
      <c r="F853" s="14"/>
      <c r="G853" s="14"/>
      <c r="H853" s="14"/>
      <c r="J853">
        <v>44.45775971346233</v>
      </c>
      <c r="M853">
        <v>30.399999999999995</v>
      </c>
      <c r="N853">
        <v>30.399999999999995</v>
      </c>
      <c r="O853">
        <v>24.484776604140098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5.6640425140091342E-2</v>
      </c>
      <c r="AB853">
        <v>3.2692991768150166E-2</v>
      </c>
      <c r="AC853">
        <v>0.34015229398720692</v>
      </c>
      <c r="AD853">
        <v>0</v>
      </c>
      <c r="AE853">
        <v>0.10910523131437003</v>
      </c>
      <c r="AF853">
        <v>0</v>
      </c>
      <c r="AG853">
        <v>0.51804948293027286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84" x14ac:dyDescent="0.25">
      <c r="A854" t="s">
        <v>128</v>
      </c>
      <c r="B854" t="s">
        <v>422</v>
      </c>
      <c r="C854" s="14" t="s">
        <v>72</v>
      </c>
      <c r="D854" s="12">
        <v>46234</v>
      </c>
      <c r="E854" s="14" t="s">
        <v>133</v>
      </c>
      <c r="F854" s="14" t="s">
        <v>133</v>
      </c>
      <c r="G854" s="14" t="s">
        <v>133</v>
      </c>
      <c r="H854" s="14" t="s">
        <v>73</v>
      </c>
      <c r="I854">
        <v>20</v>
      </c>
      <c r="J854">
        <v>10.972274579690298</v>
      </c>
      <c r="K854">
        <v>46234</v>
      </c>
      <c r="L854" t="s">
        <v>453</v>
      </c>
      <c r="M854">
        <v>22.799999999999997</v>
      </c>
      <c r="N854">
        <v>22.799999999999997</v>
      </c>
      <c r="O854">
        <v>9.7367647058823472</v>
      </c>
      <c r="P854">
        <v>2.077964767870724</v>
      </c>
      <c r="Q854">
        <v>2.077964767870724</v>
      </c>
      <c r="R854">
        <v>0.88739710578380149</v>
      </c>
      <c r="S854">
        <v>0</v>
      </c>
      <c r="T854">
        <v>0</v>
      </c>
      <c r="U854">
        <v>0.82796476787072404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0.25</v>
      </c>
      <c r="AB854">
        <v>0</v>
      </c>
      <c r="AC854">
        <v>0</v>
      </c>
      <c r="AD854">
        <v>0</v>
      </c>
      <c r="AE854">
        <v>0.11260289421619851</v>
      </c>
      <c r="AF854">
        <v>0</v>
      </c>
      <c r="AG854">
        <v>0.88739710578380149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0.48124011314431137</v>
      </c>
      <c r="AN854">
        <v>0.48124011314431137</v>
      </c>
      <c r="AO854">
        <v>0.42705108359133109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0.51875988685568863</v>
      </c>
      <c r="BA854">
        <v>0</v>
      </c>
      <c r="BB854">
        <v>5.4189029552980272E-2</v>
      </c>
      <c r="BC854">
        <v>0</v>
      </c>
      <c r="BD854">
        <v>0.42705108359133109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2.3416402356139567</v>
      </c>
      <c r="BK854">
        <v>2.3416402356139567</v>
      </c>
      <c r="BL854">
        <v>1.1268912119301324</v>
      </c>
      <c r="CC854">
        <v>0</v>
      </c>
      <c r="CD854">
        <v>0</v>
      </c>
      <c r="CE854">
        <v>0</v>
      </c>
    </row>
    <row r="855" spans="1:84" x14ac:dyDescent="0.25">
      <c r="A855" t="s">
        <v>128</v>
      </c>
      <c r="B855" t="s">
        <v>422</v>
      </c>
      <c r="C855" s="14" t="s">
        <v>72</v>
      </c>
      <c r="D855" s="12">
        <v>46234</v>
      </c>
      <c r="E855" s="14" t="s">
        <v>133</v>
      </c>
      <c r="F855" s="14" t="s">
        <v>133</v>
      </c>
      <c r="G855" s="14" t="s">
        <v>133</v>
      </c>
      <c r="H855" s="14" t="s">
        <v>74</v>
      </c>
      <c r="I855">
        <v>20</v>
      </c>
      <c r="J855">
        <v>4.220105607573192</v>
      </c>
      <c r="K855">
        <v>46234</v>
      </c>
      <c r="L855" t="s">
        <v>454</v>
      </c>
      <c r="M855">
        <v>4.75</v>
      </c>
      <c r="N855">
        <v>4.75</v>
      </c>
      <c r="O855">
        <v>3.3235294117647056</v>
      </c>
      <c r="P855">
        <v>1.1255642492633089</v>
      </c>
      <c r="Q855">
        <v>1.1255642492633089</v>
      </c>
      <c r="R855">
        <v>0.7875465025805195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0.12556424926330889</v>
      </c>
      <c r="AB855">
        <v>0</v>
      </c>
      <c r="AC855">
        <v>0</v>
      </c>
      <c r="AD855">
        <v>0</v>
      </c>
      <c r="AE855">
        <v>0.2124534974194805</v>
      </c>
      <c r="AF855">
        <v>0</v>
      </c>
      <c r="AG855">
        <v>0.7875465025805195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0.88844328580488252</v>
      </c>
      <c r="AN855">
        <v>0.88844328580488252</v>
      </c>
      <c r="AO855">
        <v>0.69969040247678016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0.11155671419511748</v>
      </c>
      <c r="BA855">
        <v>0</v>
      </c>
      <c r="BB855">
        <v>0.18875288332810236</v>
      </c>
      <c r="BC855">
        <v>0</v>
      </c>
      <c r="BD855">
        <v>0.69969040247678016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1.429203539823009</v>
      </c>
      <c r="BK855">
        <v>1.429203539823009</v>
      </c>
      <c r="BL855">
        <v>1.2697662890043233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0.26976628900432331</v>
      </c>
      <c r="BT855">
        <v>0</v>
      </c>
      <c r="BU855">
        <v>0.15943725081868565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</v>
      </c>
      <c r="CB855">
        <v>0</v>
      </c>
      <c r="CC855">
        <v>0</v>
      </c>
      <c r="CD855">
        <v>0</v>
      </c>
      <c r="CE855">
        <v>0</v>
      </c>
      <c r="CF855">
        <v>0</v>
      </c>
    </row>
    <row r="856" spans="1:84" x14ac:dyDescent="0.25">
      <c r="A856" t="s">
        <v>128</v>
      </c>
      <c r="B856" t="s">
        <v>422</v>
      </c>
      <c r="C856" s="14" t="s">
        <v>72</v>
      </c>
      <c r="D856" s="12">
        <v>46234</v>
      </c>
      <c r="E856" s="14" t="s">
        <v>133</v>
      </c>
      <c r="F856" s="14" t="s">
        <v>133</v>
      </c>
      <c r="G856" s="14" t="s">
        <v>133</v>
      </c>
      <c r="H856" s="14" t="s">
        <v>75</v>
      </c>
      <c r="I856">
        <v>20</v>
      </c>
      <c r="J856">
        <v>11.028542654457937</v>
      </c>
      <c r="K856">
        <v>46234</v>
      </c>
      <c r="L856" t="s">
        <v>455</v>
      </c>
      <c r="M856">
        <v>6.6499999999999995</v>
      </c>
      <c r="N856">
        <v>6.6499999999999995</v>
      </c>
      <c r="O856">
        <v>8.5426470588235226</v>
      </c>
      <c r="P856">
        <v>0.60298084781963002</v>
      </c>
      <c r="Q856">
        <v>0.60298084781963002</v>
      </c>
      <c r="R856">
        <v>0.77459437085011684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0.17161352303048683</v>
      </c>
      <c r="AC856">
        <v>0.22540562914988316</v>
      </c>
      <c r="AD856">
        <v>0</v>
      </c>
      <c r="AE856">
        <v>0</v>
      </c>
      <c r="AF856">
        <v>0</v>
      </c>
      <c r="AG856">
        <v>0.60298084781963002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1.6584274668357801</v>
      </c>
      <c r="AN856">
        <v>1.6584274668357801</v>
      </c>
      <c r="AO856">
        <v>1.284608580274214</v>
      </c>
      <c r="BF856">
        <v>0</v>
      </c>
      <c r="BG856">
        <v>0</v>
      </c>
      <c r="BH856">
        <v>0</v>
      </c>
      <c r="BJ856">
        <v>0.77844723704596375</v>
      </c>
      <c r="BK856">
        <v>0.77844723704596375</v>
      </c>
      <c r="BL856">
        <v>1.2909982793994497</v>
      </c>
      <c r="BM856">
        <v>0.29099827939944967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0.39701915218036998</v>
      </c>
      <c r="BW856">
        <v>0</v>
      </c>
      <c r="BX856">
        <v>0</v>
      </c>
      <c r="BY856">
        <v>0</v>
      </c>
      <c r="BZ856">
        <v>0</v>
      </c>
      <c r="CA856">
        <v>0.77844723704596375</v>
      </c>
      <c r="CB856">
        <v>0</v>
      </c>
      <c r="CC856">
        <v>0</v>
      </c>
      <c r="CD856">
        <v>0</v>
      </c>
      <c r="CE856">
        <v>0</v>
      </c>
      <c r="CF856">
        <v>0</v>
      </c>
    </row>
    <row r="857" spans="1:84" x14ac:dyDescent="0.25">
      <c r="A857" t="s">
        <v>128</v>
      </c>
      <c r="B857" t="s">
        <v>422</v>
      </c>
      <c r="C857" s="14" t="s">
        <v>72</v>
      </c>
      <c r="D857" s="12">
        <v>46235</v>
      </c>
      <c r="E857" s="14" t="s">
        <v>133</v>
      </c>
      <c r="F857" s="14" t="s">
        <v>133</v>
      </c>
      <c r="G857" s="14" t="s">
        <v>133</v>
      </c>
      <c r="H857" s="14" t="s">
        <v>73</v>
      </c>
      <c r="I857">
        <v>20</v>
      </c>
      <c r="J857">
        <v>11.028542654457937</v>
      </c>
      <c r="K857">
        <v>46235</v>
      </c>
      <c r="L857" t="s">
        <v>456</v>
      </c>
      <c r="M857">
        <v>24.7</v>
      </c>
      <c r="N857">
        <v>24.7</v>
      </c>
      <c r="O857">
        <v>10.700490196078425</v>
      </c>
      <c r="P857">
        <v>2.23964314904434</v>
      </c>
      <c r="Q857">
        <v>2.23964314904434</v>
      </c>
      <c r="R857">
        <v>0.97025423316045234</v>
      </c>
      <c r="S857">
        <v>0</v>
      </c>
      <c r="T857">
        <v>0</v>
      </c>
      <c r="U857">
        <v>0.98964314904434003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0.25</v>
      </c>
      <c r="AB857">
        <v>0</v>
      </c>
      <c r="AC857">
        <v>0</v>
      </c>
      <c r="AD857">
        <v>0</v>
      </c>
      <c r="AE857">
        <v>2.974576683954766E-2</v>
      </c>
      <c r="AF857">
        <v>0</v>
      </c>
      <c r="AG857">
        <v>0.97025423316045234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0.44649970260963306</v>
      </c>
      <c r="AN857">
        <v>0.44649970260963306</v>
      </c>
      <c r="AO857">
        <v>0.43321822656187958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0.55350029739036688</v>
      </c>
      <c r="BA857">
        <v>0</v>
      </c>
      <c r="BB857">
        <v>1.3281476047753482E-2</v>
      </c>
      <c r="BC857">
        <v>0</v>
      </c>
      <c r="BD857">
        <v>0.43321822656187958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2.3083054652068364</v>
      </c>
      <c r="BK857">
        <v>2.3083054652068364</v>
      </c>
      <c r="BL857">
        <v>1.030657703747043</v>
      </c>
      <c r="CC857">
        <v>0</v>
      </c>
      <c r="CD857">
        <v>0</v>
      </c>
      <c r="CE857">
        <v>0</v>
      </c>
    </row>
    <row r="858" spans="1:84" x14ac:dyDescent="0.25">
      <c r="A858" t="s">
        <v>128</v>
      </c>
      <c r="B858" t="s">
        <v>422</v>
      </c>
      <c r="C858" s="14" t="s">
        <v>72</v>
      </c>
      <c r="D858" s="12">
        <v>46230</v>
      </c>
      <c r="E858" s="14" t="s">
        <v>133</v>
      </c>
      <c r="F858" s="14" t="s">
        <v>133</v>
      </c>
      <c r="G858" s="14" t="s">
        <v>133</v>
      </c>
      <c r="H858" s="14" t="s">
        <v>75</v>
      </c>
      <c r="I858">
        <v>20</v>
      </c>
      <c r="J858">
        <v>10.972274579690296</v>
      </c>
      <c r="K858">
        <v>46230</v>
      </c>
      <c r="L858" t="s">
        <v>443</v>
      </c>
      <c r="M858">
        <v>6.6499999999999995</v>
      </c>
      <c r="N858">
        <v>6.6499999999999995</v>
      </c>
      <c r="O858">
        <v>6.9254901960784299</v>
      </c>
      <c r="P858">
        <v>0.60607305729562799</v>
      </c>
      <c r="Q858">
        <v>0.60607305729562799</v>
      </c>
      <c r="R858">
        <v>0.63118090472303046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2.5107847427402463E-2</v>
      </c>
      <c r="AC858">
        <v>0.36881909527696954</v>
      </c>
      <c r="AD858">
        <v>0</v>
      </c>
      <c r="AE858">
        <v>0</v>
      </c>
      <c r="AF858">
        <v>0</v>
      </c>
      <c r="AG858">
        <v>0.60607305729562799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1.6499661022090673</v>
      </c>
      <c r="AN858">
        <v>1.6499661022090673</v>
      </c>
      <c r="AO858">
        <v>1.0414270971546511</v>
      </c>
      <c r="BF858">
        <v>0</v>
      </c>
      <c r="BG858">
        <v>0</v>
      </c>
      <c r="BH858">
        <v>0</v>
      </c>
      <c r="BJ858">
        <v>0.96022083805209524</v>
      </c>
      <c r="BK858">
        <v>0.96022083805209524</v>
      </c>
      <c r="BL858">
        <v>1.5843318334207397</v>
      </c>
      <c r="BM858">
        <v>0.58433183342073969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0.39392694270437201</v>
      </c>
      <c r="BW858">
        <v>0</v>
      </c>
      <c r="BX858">
        <v>0</v>
      </c>
      <c r="BY858">
        <v>0</v>
      </c>
      <c r="BZ858">
        <v>0</v>
      </c>
      <c r="CA858">
        <v>0.96022083805209524</v>
      </c>
      <c r="CB858">
        <v>0</v>
      </c>
      <c r="CC858">
        <v>0</v>
      </c>
      <c r="CD858">
        <v>0</v>
      </c>
      <c r="CE858">
        <v>0</v>
      </c>
      <c r="CF858">
        <v>0</v>
      </c>
    </row>
    <row r="859" spans="1:84" x14ac:dyDescent="0.25">
      <c r="A859" t="s">
        <v>128</v>
      </c>
      <c r="B859" t="s">
        <v>422</v>
      </c>
      <c r="C859" s="14" t="s">
        <v>72</v>
      </c>
      <c r="D859" s="12">
        <v>46235</v>
      </c>
      <c r="E859" s="14" t="s">
        <v>133</v>
      </c>
      <c r="F859" s="14" t="s">
        <v>133</v>
      </c>
      <c r="G859" s="14" t="s">
        <v>133</v>
      </c>
      <c r="H859" s="14" t="s">
        <v>74</v>
      </c>
      <c r="I859">
        <v>20</v>
      </c>
      <c r="J859">
        <v>4.220105607573192</v>
      </c>
      <c r="K859">
        <v>46235</v>
      </c>
      <c r="L859" t="s">
        <v>457</v>
      </c>
      <c r="M859">
        <v>2.8499999999999996</v>
      </c>
      <c r="N859">
        <v>2.8499999999999996</v>
      </c>
      <c r="O859">
        <v>2.4705882352941178</v>
      </c>
      <c r="P859">
        <v>0.67533854955798522</v>
      </c>
      <c r="Q859">
        <v>0.67533854955798522</v>
      </c>
      <c r="R859">
        <v>0.58543279837843931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0.32466145044201478</v>
      </c>
      <c r="AD859">
        <v>0</v>
      </c>
      <c r="AE859">
        <v>8.9905751179545912E-2</v>
      </c>
      <c r="AF859">
        <v>0</v>
      </c>
      <c r="AG859">
        <v>0.58543279837843931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1.4807388096748044</v>
      </c>
      <c r="AN859">
        <v>1.4807388096748044</v>
      </c>
      <c r="AO859">
        <v>0.86687306501548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0.48073880967480442</v>
      </c>
      <c r="AY859">
        <v>0</v>
      </c>
      <c r="AZ859">
        <v>0</v>
      </c>
      <c r="BA859">
        <v>0</v>
      </c>
      <c r="BB859">
        <v>0.13312693498452</v>
      </c>
      <c r="BC859">
        <v>0</v>
      </c>
      <c r="BD859">
        <v>0.86687306501548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1.1535714285714285</v>
      </c>
      <c r="BK859">
        <v>1.1535714285714285</v>
      </c>
      <c r="BL859">
        <v>1.7081379840177204</v>
      </c>
      <c r="BM859">
        <v>0.55456655544629196</v>
      </c>
      <c r="BN859">
        <v>0</v>
      </c>
      <c r="BO859">
        <v>0</v>
      </c>
      <c r="BP859">
        <v>0</v>
      </c>
      <c r="BQ859">
        <v>0</v>
      </c>
      <c r="BR859">
        <v>0.34642857142857153</v>
      </c>
      <c r="BS859">
        <v>0.15357142857142847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</row>
    <row r="860" spans="1:84" x14ac:dyDescent="0.25">
      <c r="A860" t="s">
        <v>128</v>
      </c>
      <c r="B860" t="s">
        <v>422</v>
      </c>
      <c r="C860" s="14" t="s">
        <v>72</v>
      </c>
      <c r="D860" s="12">
        <v>46238</v>
      </c>
      <c r="E860" s="14" t="s">
        <v>133</v>
      </c>
      <c r="F860" s="14" t="s">
        <v>133</v>
      </c>
      <c r="G860" s="14" t="s">
        <v>133</v>
      </c>
      <c r="H860" s="14" t="s">
        <v>74</v>
      </c>
      <c r="I860">
        <v>20</v>
      </c>
      <c r="J860">
        <v>4.220105607573192</v>
      </c>
      <c r="K860">
        <v>46238</v>
      </c>
      <c r="L860" t="s">
        <v>466</v>
      </c>
      <c r="M860">
        <v>4.75</v>
      </c>
      <c r="N860">
        <v>4.75</v>
      </c>
      <c r="O860">
        <v>4.1764705882352935</v>
      </c>
      <c r="P860">
        <v>1.1255642492633089</v>
      </c>
      <c r="Q860">
        <v>1.1255642492633089</v>
      </c>
      <c r="R860">
        <v>0.98966020678259969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0.12556424926330889</v>
      </c>
      <c r="AB860">
        <v>0</v>
      </c>
      <c r="AC860">
        <v>0</v>
      </c>
      <c r="AD860">
        <v>0</v>
      </c>
      <c r="AE860">
        <v>1.0339793217400306E-2</v>
      </c>
      <c r="AF860">
        <v>0</v>
      </c>
      <c r="AG860">
        <v>0.98966020678259969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0.88844328580488252</v>
      </c>
      <c r="AN860">
        <v>0.88844328580488252</v>
      </c>
      <c r="AO860">
        <v>0.87925696594427227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0.11155671419511748</v>
      </c>
      <c r="BA860">
        <v>0</v>
      </c>
      <c r="BB860">
        <v>9.1863198606102481E-3</v>
      </c>
      <c r="BC860">
        <v>0</v>
      </c>
      <c r="BD860">
        <v>0.87925696594427227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1.137323943661972</v>
      </c>
      <c r="BK860">
        <v>1.137323943661972</v>
      </c>
      <c r="BL860">
        <v>1.0104478215316095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1.0447821531609502E-2</v>
      </c>
      <c r="BT860">
        <v>0</v>
      </c>
      <c r="BU860">
        <v>0.12687612213036248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0</v>
      </c>
      <c r="CC860">
        <v>0</v>
      </c>
      <c r="CD860">
        <v>0</v>
      </c>
      <c r="CE860">
        <v>0</v>
      </c>
      <c r="CF860">
        <v>0</v>
      </c>
    </row>
    <row r="861" spans="1:84" x14ac:dyDescent="0.25">
      <c r="A861" t="s">
        <v>128</v>
      </c>
      <c r="B861" t="s">
        <v>422</v>
      </c>
      <c r="C861" s="14" t="s">
        <v>109</v>
      </c>
      <c r="D861" s="12">
        <v>46249</v>
      </c>
      <c r="E861" s="14" t="s">
        <v>134</v>
      </c>
      <c r="F861" s="14" t="s">
        <v>134</v>
      </c>
      <c r="G861" s="14" t="s">
        <v>134</v>
      </c>
      <c r="H861" s="14"/>
      <c r="J861">
        <v>8.8936937466270898</v>
      </c>
      <c r="M861">
        <v>5.7</v>
      </c>
      <c r="N861">
        <v>5.7</v>
      </c>
      <c r="O861">
        <v>3.636274509803922</v>
      </c>
      <c r="S861">
        <v>0</v>
      </c>
      <c r="T861">
        <v>0</v>
      </c>
      <c r="U861">
        <v>0.21821370346927357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6.3174519610423807E-2</v>
      </c>
      <c r="AB861">
        <v>9.0392315221370936E-2</v>
      </c>
      <c r="AC861">
        <v>0.55009234603265533</v>
      </c>
      <c r="AD861">
        <v>0</v>
      </c>
      <c r="AE861">
        <v>4.1047779386777984E-2</v>
      </c>
      <c r="AF861">
        <v>0</v>
      </c>
      <c r="AG861">
        <v>0.3184675593591958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84" x14ac:dyDescent="0.25">
      <c r="A862" t="s">
        <v>128</v>
      </c>
      <c r="B862" t="s">
        <v>422</v>
      </c>
      <c r="C862" s="14" t="s">
        <v>117</v>
      </c>
      <c r="D862" s="12">
        <v>46232</v>
      </c>
      <c r="E862" s="14"/>
      <c r="F862" s="14"/>
      <c r="G862" s="14"/>
      <c r="H862" s="14"/>
      <c r="J862">
        <v>43.719560553941719</v>
      </c>
      <c r="M862">
        <v>26.599999999999998</v>
      </c>
      <c r="N862">
        <v>26.599999999999998</v>
      </c>
      <c r="O862">
        <v>24.865255266193156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5.8952794637892707E-2</v>
      </c>
      <c r="AC862">
        <v>0.33262388950602506</v>
      </c>
      <c r="AD862">
        <v>0</v>
      </c>
      <c r="AE862">
        <v>9.8631709792277492E-2</v>
      </c>
      <c r="AF862">
        <v>0</v>
      </c>
      <c r="AG862">
        <v>0.5097916060638048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84" x14ac:dyDescent="0.25">
      <c r="A863" t="s">
        <v>128</v>
      </c>
      <c r="B863" t="s">
        <v>422</v>
      </c>
      <c r="C863" s="14" t="s">
        <v>72</v>
      </c>
      <c r="D863" s="12">
        <v>46241</v>
      </c>
      <c r="E863" s="14" t="s">
        <v>133</v>
      </c>
      <c r="F863" s="14" t="s">
        <v>133</v>
      </c>
      <c r="G863" s="14" t="s">
        <v>133</v>
      </c>
      <c r="H863" s="14" t="s">
        <v>73</v>
      </c>
      <c r="I863">
        <v>20</v>
      </c>
      <c r="J863">
        <v>10.972274579690296</v>
      </c>
      <c r="K863">
        <v>46241</v>
      </c>
      <c r="L863" t="s">
        <v>474</v>
      </c>
      <c r="M863">
        <v>8.5499999999999989</v>
      </c>
      <c r="N863">
        <v>8.5499999999999989</v>
      </c>
      <c r="O863">
        <v>9.2588235294117602</v>
      </c>
      <c r="P863">
        <v>0.77923678795152163</v>
      </c>
      <c r="Q863">
        <v>0.77923678795152163</v>
      </c>
      <c r="R863">
        <v>0.84383811780921547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6.4601329857693846E-2</v>
      </c>
      <c r="AC863">
        <v>0.15616188219078453</v>
      </c>
      <c r="AD863">
        <v>0</v>
      </c>
      <c r="AE863">
        <v>0</v>
      </c>
      <c r="AF863">
        <v>0</v>
      </c>
      <c r="AG863">
        <v>0.77923678795152163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1.2833069683848302</v>
      </c>
      <c r="AN863">
        <v>1.2833069683848302</v>
      </c>
      <c r="AO863">
        <v>1.0829033367733054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8.2903336773305414E-2</v>
      </c>
      <c r="AW863">
        <v>0</v>
      </c>
      <c r="AX863">
        <v>0.20040363161152475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0.92344345616264323</v>
      </c>
      <c r="BK863">
        <v>0.92344345616264323</v>
      </c>
      <c r="BL863">
        <v>1.1850614222028915</v>
      </c>
      <c r="BM863">
        <v>0.18506142220289146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0.22076321204847837</v>
      </c>
      <c r="BW863">
        <v>0</v>
      </c>
      <c r="BX863">
        <v>0</v>
      </c>
      <c r="BY863">
        <v>0</v>
      </c>
      <c r="BZ863">
        <v>0</v>
      </c>
      <c r="CA863">
        <v>0.92344345616264323</v>
      </c>
      <c r="CB863">
        <v>0</v>
      </c>
      <c r="CC863">
        <v>0</v>
      </c>
      <c r="CD863">
        <v>0</v>
      </c>
      <c r="CE863">
        <v>0</v>
      </c>
      <c r="CF863">
        <v>0</v>
      </c>
    </row>
    <row r="864" spans="1:84" x14ac:dyDescent="0.25">
      <c r="A864" t="s">
        <v>128</v>
      </c>
      <c r="B864" t="s">
        <v>422</v>
      </c>
      <c r="C864" s="14" t="s">
        <v>109</v>
      </c>
      <c r="D864" s="12">
        <v>46247</v>
      </c>
      <c r="E864" s="14" t="s">
        <v>133</v>
      </c>
      <c r="F864" s="14" t="s">
        <v>133</v>
      </c>
      <c r="G864" s="14" t="s">
        <v>133</v>
      </c>
      <c r="H864" s="14"/>
      <c r="J864">
        <v>26.080252654802319</v>
      </c>
      <c r="M864">
        <v>36.099999999999994</v>
      </c>
      <c r="N864">
        <v>36.099999999999994</v>
      </c>
      <c r="O864">
        <v>19.749999999999993</v>
      </c>
      <c r="S864">
        <v>0</v>
      </c>
      <c r="T864">
        <v>0</v>
      </c>
      <c r="U864">
        <v>0.49808410936481079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0.10436893203883495</v>
      </c>
      <c r="AB864">
        <v>2.947162595216881E-2</v>
      </c>
      <c r="AC864">
        <v>0.18879237104999658</v>
      </c>
      <c r="AD864">
        <v>0</v>
      </c>
      <c r="AE864">
        <v>5.3929689145869562E-2</v>
      </c>
      <c r="AF864">
        <v>0</v>
      </c>
      <c r="AG864">
        <v>0.72780631385196515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84" x14ac:dyDescent="0.25">
      <c r="A865" t="s">
        <v>128</v>
      </c>
      <c r="B865" t="s">
        <v>422</v>
      </c>
      <c r="C865" s="14" t="s">
        <v>72</v>
      </c>
      <c r="D865" s="12">
        <v>46241</v>
      </c>
      <c r="E865" s="14" t="s">
        <v>133</v>
      </c>
      <c r="F865" s="14" t="s">
        <v>133</v>
      </c>
      <c r="G865" s="14" t="s">
        <v>133</v>
      </c>
      <c r="H865" s="14" t="s">
        <v>74</v>
      </c>
      <c r="I865">
        <v>20</v>
      </c>
      <c r="J865">
        <v>4.220105607573192</v>
      </c>
      <c r="K865">
        <v>46241</v>
      </c>
      <c r="L865" t="s">
        <v>475</v>
      </c>
      <c r="M865">
        <v>3.8</v>
      </c>
      <c r="N865">
        <v>3.8</v>
      </c>
      <c r="O865">
        <v>3.0882352941176467</v>
      </c>
      <c r="P865">
        <v>0.90045139941064711</v>
      </c>
      <c r="Q865">
        <v>0.90045139941064711</v>
      </c>
      <c r="R865">
        <v>0.73179099797304903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9.9548600589352887E-2</v>
      </c>
      <c r="AD865">
        <v>0</v>
      </c>
      <c r="AE865">
        <v>0.16866040143759808</v>
      </c>
      <c r="AF865">
        <v>0</v>
      </c>
      <c r="AG865">
        <v>0.73179099797304903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1.1105541072561032</v>
      </c>
      <c r="AN865">
        <v>1.1105541072561032</v>
      </c>
      <c r="AO865">
        <v>0.81269349845201233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0.11055410725610315</v>
      </c>
      <c r="AY865">
        <v>0</v>
      </c>
      <c r="AZ865">
        <v>0</v>
      </c>
      <c r="BA865">
        <v>0</v>
      </c>
      <c r="BB865">
        <v>0.18730650154798767</v>
      </c>
      <c r="BC865">
        <v>0</v>
      </c>
      <c r="BD865">
        <v>0.81269349845201233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1.2304761904761905</v>
      </c>
      <c r="BK865">
        <v>1.2304761904761905</v>
      </c>
      <c r="BL865">
        <v>1.3665103872141766</v>
      </c>
      <c r="BM865">
        <v>0.13603419673798611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0.2304761904761905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0</v>
      </c>
      <c r="CD865">
        <v>0</v>
      </c>
      <c r="CE865">
        <v>0</v>
      </c>
      <c r="CF865">
        <v>0</v>
      </c>
    </row>
    <row r="866" spans="1:84" x14ac:dyDescent="0.25">
      <c r="A866" t="s">
        <v>128</v>
      </c>
      <c r="B866" t="s">
        <v>422</v>
      </c>
      <c r="C866" s="14" t="s">
        <v>72</v>
      </c>
      <c r="D866" s="12">
        <v>46227</v>
      </c>
      <c r="E866" s="14" t="s">
        <v>133</v>
      </c>
      <c r="F866" s="14" t="s">
        <v>133</v>
      </c>
      <c r="G866" s="14" t="s">
        <v>133</v>
      </c>
      <c r="H866" s="14" t="s">
        <v>74</v>
      </c>
      <c r="I866">
        <v>20</v>
      </c>
      <c r="J866">
        <v>4.220105607573192</v>
      </c>
      <c r="K866">
        <v>46227</v>
      </c>
      <c r="L866" t="s">
        <v>156</v>
      </c>
      <c r="M866">
        <v>3.8</v>
      </c>
      <c r="N866">
        <v>3.8</v>
      </c>
      <c r="O866">
        <v>3.2058823529411757</v>
      </c>
      <c r="P866">
        <v>0.90045139941064711</v>
      </c>
      <c r="Q866">
        <v>0.90045139941064711</v>
      </c>
      <c r="R866">
        <v>0.75966875027678415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9.9548600589352887E-2</v>
      </c>
      <c r="AD866">
        <v>0</v>
      </c>
      <c r="AE866">
        <v>0.14078264913386296</v>
      </c>
      <c r="AF866">
        <v>0</v>
      </c>
      <c r="AG866">
        <v>0.75966875027678415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1.1105541072561032</v>
      </c>
      <c r="AN866">
        <v>1.1105541072561032</v>
      </c>
      <c r="AO866">
        <v>0.84365325077399367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0.11055410725610315</v>
      </c>
      <c r="AY866">
        <v>0</v>
      </c>
      <c r="AZ866">
        <v>0</v>
      </c>
      <c r="BA866">
        <v>0</v>
      </c>
      <c r="BB866">
        <v>0.15634674922600633</v>
      </c>
      <c r="BC866">
        <v>0</v>
      </c>
      <c r="BD866">
        <v>0.84365325077399367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1.1853211009174314</v>
      </c>
      <c r="BK866">
        <v>1.1853211009174314</v>
      </c>
      <c r="BL866">
        <v>1.3163632170411794</v>
      </c>
      <c r="BM866">
        <v>0.13104211612374805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0.18532110091743137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1</v>
      </c>
      <c r="CB866">
        <v>0</v>
      </c>
      <c r="CC866">
        <v>0</v>
      </c>
      <c r="CD866">
        <v>0</v>
      </c>
      <c r="CE866">
        <v>0</v>
      </c>
      <c r="CF866">
        <v>0</v>
      </c>
    </row>
    <row r="867" spans="1:84" x14ac:dyDescent="0.25">
      <c r="A867" t="s">
        <v>128</v>
      </c>
      <c r="B867" t="s">
        <v>422</v>
      </c>
      <c r="C867" s="14" t="s">
        <v>117</v>
      </c>
      <c r="D867" s="12">
        <v>46223</v>
      </c>
      <c r="E867" s="14"/>
      <c r="F867" s="14"/>
      <c r="G867" s="14"/>
      <c r="H867" s="14"/>
      <c r="J867">
        <v>44.308723503659913</v>
      </c>
      <c r="M867">
        <v>46.550000000000011</v>
      </c>
      <c r="N867">
        <v>46.550000000000011</v>
      </c>
      <c r="O867">
        <v>26.314864475201833</v>
      </c>
      <c r="S867">
        <v>0</v>
      </c>
      <c r="T867">
        <v>0</v>
      </c>
      <c r="U867">
        <v>0.26539458486234563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8.8626032209282862E-2</v>
      </c>
      <c r="AB867">
        <v>4.0390146969454067E-2</v>
      </c>
      <c r="AC867">
        <v>0.28448775520917069</v>
      </c>
      <c r="AD867">
        <v>0</v>
      </c>
      <c r="AE867">
        <v>0.12161419505287586</v>
      </c>
      <c r="AF867">
        <v>0</v>
      </c>
      <c r="AG867">
        <v>0.55350790276849915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84" x14ac:dyDescent="0.25">
      <c r="A868" t="s">
        <v>128</v>
      </c>
      <c r="B868" t="s">
        <v>422</v>
      </c>
      <c r="C868" s="14" t="s">
        <v>117</v>
      </c>
      <c r="D868" s="12">
        <v>46237</v>
      </c>
      <c r="E868" s="14"/>
      <c r="F868" s="14"/>
      <c r="G868" s="14"/>
      <c r="H868" s="14"/>
      <c r="J868">
        <v>44.308723503659913</v>
      </c>
      <c r="M868">
        <v>38</v>
      </c>
      <c r="N868">
        <v>38</v>
      </c>
      <c r="O868">
        <v>26.311014994232984</v>
      </c>
      <c r="S868">
        <v>0</v>
      </c>
      <c r="T868">
        <v>0</v>
      </c>
      <c r="U868">
        <v>0.24395411163540809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6.6987733098381283E-2</v>
      </c>
      <c r="AB868">
        <v>0.11245152709651869</v>
      </c>
      <c r="AC868">
        <v>0.34087138855976756</v>
      </c>
      <c r="AD868">
        <v>0</v>
      </c>
      <c r="AE868">
        <v>6.5317440327174084E-2</v>
      </c>
      <c r="AF868">
        <v>0</v>
      </c>
      <c r="AG868">
        <v>0.48135964401653952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84" x14ac:dyDescent="0.25">
      <c r="A869" t="s">
        <v>128</v>
      </c>
      <c r="B869" t="s">
        <v>422</v>
      </c>
      <c r="C869" s="14" t="s">
        <v>72</v>
      </c>
      <c r="D869" s="12">
        <v>46227</v>
      </c>
      <c r="E869" s="14" t="s">
        <v>133</v>
      </c>
      <c r="F869" s="14" t="s">
        <v>133</v>
      </c>
      <c r="G869" s="14" t="s">
        <v>133</v>
      </c>
      <c r="H869" s="14" t="s">
        <v>73</v>
      </c>
      <c r="I869">
        <v>20</v>
      </c>
      <c r="J869">
        <v>10.972274579690296</v>
      </c>
      <c r="K869">
        <v>46227</v>
      </c>
      <c r="L869" t="s">
        <v>157</v>
      </c>
      <c r="M869">
        <v>22.799999999999997</v>
      </c>
      <c r="N869">
        <v>22.799999999999997</v>
      </c>
      <c r="O869">
        <v>8.2882352941176443</v>
      </c>
      <c r="P869">
        <v>2.0779647678707245</v>
      </c>
      <c r="Q869">
        <v>2.0779647678707245</v>
      </c>
      <c r="R869">
        <v>0.75537986530697887</v>
      </c>
      <c r="S869">
        <v>0</v>
      </c>
      <c r="T869">
        <v>0</v>
      </c>
      <c r="U869">
        <v>0.82796476787072448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0.25</v>
      </c>
      <c r="AB869">
        <v>0</v>
      </c>
      <c r="AC869">
        <v>0</v>
      </c>
      <c r="AD869">
        <v>0</v>
      </c>
      <c r="AE869">
        <v>0.24462013469302113</v>
      </c>
      <c r="AF869">
        <v>0</v>
      </c>
      <c r="AG869">
        <v>0.75537986530697887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0.48124011314431131</v>
      </c>
      <c r="AN869">
        <v>0.48124011314431131</v>
      </c>
      <c r="AO869">
        <v>0.36351909184726516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0.51875988685568863</v>
      </c>
      <c r="BA869">
        <v>0</v>
      </c>
      <c r="BB869">
        <v>0.11772102129704615</v>
      </c>
      <c r="BC869">
        <v>0</v>
      </c>
      <c r="BD869">
        <v>0.36351909184726516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2.7508871540099369</v>
      </c>
      <c r="BK869">
        <v>2.7508871540099369</v>
      </c>
      <c r="BL869">
        <v>1.3238372452429745</v>
      </c>
      <c r="CC869">
        <v>0</v>
      </c>
      <c r="CD869">
        <v>0</v>
      </c>
      <c r="CE869">
        <v>0</v>
      </c>
    </row>
    <row r="870" spans="1:84" x14ac:dyDescent="0.25">
      <c r="A870" t="s">
        <v>128</v>
      </c>
      <c r="B870" t="s">
        <v>422</v>
      </c>
      <c r="C870" s="14" t="s">
        <v>109</v>
      </c>
      <c r="D870" s="12">
        <v>46246</v>
      </c>
      <c r="E870" s="14" t="s">
        <v>420</v>
      </c>
      <c r="F870" s="14" t="s">
        <v>420</v>
      </c>
      <c r="G870" s="14" t="s">
        <v>420</v>
      </c>
      <c r="H870" s="14"/>
      <c r="J870">
        <v>6.7786480661254069</v>
      </c>
      <c r="M870">
        <v>2.8499999999999996</v>
      </c>
      <c r="N870">
        <v>2.8499999999999996</v>
      </c>
      <c r="O870">
        <v>2.6851211072664358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1.2991127858826784E-2</v>
      </c>
      <c r="AC870">
        <v>0.566571054423189</v>
      </c>
      <c r="AD870">
        <v>0</v>
      </c>
      <c r="AE870">
        <v>3.7314398682917034E-2</v>
      </c>
      <c r="AF870">
        <v>0</v>
      </c>
      <c r="AG870">
        <v>0.38312341903506714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84" x14ac:dyDescent="0.25">
      <c r="A871" t="s">
        <v>128</v>
      </c>
      <c r="B871" t="s">
        <v>422</v>
      </c>
      <c r="C871" s="14" t="s">
        <v>72</v>
      </c>
      <c r="D871" s="12">
        <v>46241</v>
      </c>
      <c r="E871" s="14" t="s">
        <v>133</v>
      </c>
      <c r="F871" s="14" t="s">
        <v>133</v>
      </c>
      <c r="G871" s="14" t="s">
        <v>133</v>
      </c>
      <c r="H871" s="14" t="s">
        <v>75</v>
      </c>
      <c r="I871">
        <v>20</v>
      </c>
      <c r="J871">
        <v>11.028542654457937</v>
      </c>
      <c r="K871">
        <v>46241</v>
      </c>
      <c r="L871" t="s">
        <v>476</v>
      </c>
      <c r="M871">
        <v>5.6999999999999993</v>
      </c>
      <c r="N871">
        <v>5.6999999999999993</v>
      </c>
      <c r="O871">
        <v>6.2779411764705886</v>
      </c>
      <c r="P871">
        <v>0.51684072670254</v>
      </c>
      <c r="Q871">
        <v>0.51684072670254</v>
      </c>
      <c r="R871">
        <v>0.56924485611278219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5.2404129410242195E-2</v>
      </c>
      <c r="AC871">
        <v>0.43075514388721781</v>
      </c>
      <c r="AD871">
        <v>0</v>
      </c>
      <c r="AE871">
        <v>0</v>
      </c>
      <c r="AF871">
        <v>0</v>
      </c>
      <c r="AG871">
        <v>0.51684072670254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1.9348320446417435</v>
      </c>
      <c r="AN871">
        <v>1.9348320446417435</v>
      </c>
      <c r="AO871">
        <v>1.1013931888544894</v>
      </c>
      <c r="BF871">
        <v>0</v>
      </c>
      <c r="BG871">
        <v>0</v>
      </c>
      <c r="BH871">
        <v>0</v>
      </c>
      <c r="BJ871">
        <v>0.90794096978215022</v>
      </c>
      <c r="BK871">
        <v>0.90794096978215022</v>
      </c>
      <c r="BL871">
        <v>1.7567132829776051</v>
      </c>
      <c r="BM871">
        <v>0.7567132829776051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0.48315927329746</v>
      </c>
      <c r="BW871">
        <v>0</v>
      </c>
      <c r="BX871">
        <v>0</v>
      </c>
      <c r="BY871">
        <v>0</v>
      </c>
      <c r="BZ871">
        <v>0</v>
      </c>
      <c r="CA871">
        <v>0.90794096978215022</v>
      </c>
      <c r="CB871">
        <v>0</v>
      </c>
      <c r="CC871">
        <v>0</v>
      </c>
      <c r="CD871">
        <v>0</v>
      </c>
      <c r="CE871">
        <v>0</v>
      </c>
      <c r="CF871">
        <v>0</v>
      </c>
    </row>
    <row r="872" spans="1:84" x14ac:dyDescent="0.25">
      <c r="A872" t="s">
        <v>128</v>
      </c>
      <c r="B872" t="s">
        <v>422</v>
      </c>
      <c r="C872" s="14" t="s">
        <v>117</v>
      </c>
      <c r="D872" s="12">
        <v>46238</v>
      </c>
      <c r="E872" s="14"/>
      <c r="F872" s="14"/>
      <c r="G872" s="14"/>
      <c r="H872" s="14"/>
      <c r="J872">
        <v>45.515177224413186</v>
      </c>
      <c r="M872">
        <v>45.600000000000009</v>
      </c>
      <c r="N872">
        <v>45.600000000000009</v>
      </c>
      <c r="O872">
        <v>27.521655132641285</v>
      </c>
      <c r="S872">
        <v>0</v>
      </c>
      <c r="T872">
        <v>0</v>
      </c>
      <c r="U872">
        <v>0.24755315811601131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8.3190035731052506E-2</v>
      </c>
      <c r="AB872">
        <v>0.10799913499365414</v>
      </c>
      <c r="AC872">
        <v>0.28349691961410589</v>
      </c>
      <c r="AD872">
        <v>0</v>
      </c>
      <c r="AE872">
        <v>0.11183323593059501</v>
      </c>
      <c r="AF872">
        <v>0</v>
      </c>
      <c r="AG872">
        <v>0.49667070946164477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84" x14ac:dyDescent="0.25">
      <c r="A873" t="s">
        <v>128</v>
      </c>
      <c r="B873" t="s">
        <v>422</v>
      </c>
      <c r="C873" s="14" t="s">
        <v>109</v>
      </c>
      <c r="D873" s="12">
        <v>46246</v>
      </c>
      <c r="E873" s="14" t="s">
        <v>133</v>
      </c>
      <c r="F873" s="14" t="s">
        <v>133</v>
      </c>
      <c r="G873" s="14" t="s">
        <v>133</v>
      </c>
      <c r="H873" s="14"/>
      <c r="J873">
        <v>27.59949067352867</v>
      </c>
      <c r="M873">
        <v>48.45</v>
      </c>
      <c r="N873">
        <v>48.45</v>
      </c>
      <c r="O873">
        <v>16.397058823529409</v>
      </c>
      <c r="S873">
        <v>0</v>
      </c>
      <c r="T873">
        <v>0</v>
      </c>
      <c r="U873">
        <v>0.91052791187529958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0.113914373088685</v>
      </c>
      <c r="AB873">
        <v>3.4705101937753939E-2</v>
      </c>
      <c r="AC873">
        <v>0.23427000527611547</v>
      </c>
      <c r="AD873">
        <v>0</v>
      </c>
      <c r="AE873">
        <v>0.17162269696653062</v>
      </c>
      <c r="AF873">
        <v>0</v>
      </c>
      <c r="AG873">
        <v>0.55940219581959993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84" x14ac:dyDescent="0.25">
      <c r="A874" t="s">
        <v>128</v>
      </c>
      <c r="B874" t="s">
        <v>422</v>
      </c>
      <c r="C874" s="14" t="s">
        <v>72</v>
      </c>
      <c r="D874" s="12">
        <v>46242</v>
      </c>
      <c r="E874" s="14" t="s">
        <v>133</v>
      </c>
      <c r="F874" s="14" t="s">
        <v>133</v>
      </c>
      <c r="G874" s="14" t="s">
        <v>133</v>
      </c>
      <c r="H874" s="14" t="s">
        <v>73</v>
      </c>
      <c r="I874">
        <v>20</v>
      </c>
      <c r="J874">
        <v>11.028542654457937</v>
      </c>
      <c r="K874">
        <v>46242</v>
      </c>
      <c r="L874" t="s">
        <v>477</v>
      </c>
      <c r="M874">
        <v>23.75</v>
      </c>
      <c r="N874">
        <v>23.75</v>
      </c>
      <c r="O874">
        <v>9.258823529411762</v>
      </c>
      <c r="P874">
        <v>2.15350302792725</v>
      </c>
      <c r="Q874">
        <v>2.15350302792725</v>
      </c>
      <c r="R874">
        <v>0.83953282128978102</v>
      </c>
      <c r="S874">
        <v>0</v>
      </c>
      <c r="T874">
        <v>0</v>
      </c>
      <c r="U874">
        <v>0.90350302792725001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0.25</v>
      </c>
      <c r="AB874">
        <v>0</v>
      </c>
      <c r="AC874">
        <v>0</v>
      </c>
      <c r="AD874">
        <v>0</v>
      </c>
      <c r="AE874">
        <v>0.16046717871021898</v>
      </c>
      <c r="AF874">
        <v>0</v>
      </c>
      <c r="AG874">
        <v>0.83953282128978102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0.46435969071401839</v>
      </c>
      <c r="AN874">
        <v>0.46435969071401839</v>
      </c>
      <c r="AO874">
        <v>0.38984520123839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0.53564030928598161</v>
      </c>
      <c r="BA874">
        <v>0</v>
      </c>
      <c r="BB874">
        <v>7.4514489475628387E-2</v>
      </c>
      <c r="BC874">
        <v>0</v>
      </c>
      <c r="BD874">
        <v>0.38984520123839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2.5651207115628978</v>
      </c>
      <c r="BK874">
        <v>2.5651207115628978</v>
      </c>
      <c r="BL874">
        <v>1.1911386602654699</v>
      </c>
      <c r="CC874">
        <v>0</v>
      </c>
      <c r="CD874">
        <v>0</v>
      </c>
      <c r="CE874">
        <v>0</v>
      </c>
    </row>
    <row r="875" spans="1:84" x14ac:dyDescent="0.25">
      <c r="A875" t="s">
        <v>128</v>
      </c>
      <c r="B875" t="s">
        <v>422</v>
      </c>
      <c r="C875" s="14" t="s">
        <v>72</v>
      </c>
      <c r="D875" s="12">
        <v>46226</v>
      </c>
      <c r="E875" s="14" t="s">
        <v>133</v>
      </c>
      <c r="F875" s="14" t="s">
        <v>133</v>
      </c>
      <c r="G875" s="14" t="s">
        <v>133</v>
      </c>
      <c r="H875" s="14" t="s">
        <v>75</v>
      </c>
      <c r="I875">
        <v>20</v>
      </c>
      <c r="J875">
        <v>10.972274579690296</v>
      </c>
      <c r="K875">
        <v>46226</v>
      </c>
      <c r="L875" t="s">
        <v>434</v>
      </c>
      <c r="M875">
        <v>6.6499999999999995</v>
      </c>
      <c r="N875">
        <v>6.6499999999999995</v>
      </c>
      <c r="O875">
        <v>6.159803921568626</v>
      </c>
      <c r="P875">
        <v>0.60607305729562799</v>
      </c>
      <c r="Q875">
        <v>0.60607305729562799</v>
      </c>
      <c r="R875">
        <v>0.56139717219348817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0.39392694270437201</v>
      </c>
      <c r="AD875">
        <v>0</v>
      </c>
      <c r="AE875">
        <v>4.4675885102139823E-2</v>
      </c>
      <c r="AF875">
        <v>0</v>
      </c>
      <c r="AG875">
        <v>0.56139717219348817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1.6499661022090673</v>
      </c>
      <c r="AN875">
        <v>1.6499661022090673</v>
      </c>
      <c r="AO875">
        <v>0.92628630399528222</v>
      </c>
      <c r="BF875">
        <v>0</v>
      </c>
      <c r="BG875">
        <v>0</v>
      </c>
      <c r="BH875">
        <v>0</v>
      </c>
      <c r="BJ875">
        <v>1.0795798185580139</v>
      </c>
      <c r="BK875">
        <v>1.0795798185580139</v>
      </c>
      <c r="BL875">
        <v>1.7812701052497382</v>
      </c>
      <c r="BM875">
        <v>0.70169028669172429</v>
      </c>
      <c r="BN875">
        <v>0</v>
      </c>
      <c r="BO875">
        <v>0</v>
      </c>
      <c r="BP875">
        <v>0</v>
      </c>
      <c r="BQ875">
        <v>0</v>
      </c>
      <c r="BR875">
        <v>0.42042018144198612</v>
      </c>
      <c r="BS875">
        <v>7.9579818558013882E-2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</row>
    <row r="876" spans="1:84" x14ac:dyDescent="0.25">
      <c r="A876" t="s">
        <v>128</v>
      </c>
      <c r="B876" t="s">
        <v>422</v>
      </c>
      <c r="C876" s="14" t="s">
        <v>109</v>
      </c>
      <c r="D876" s="12">
        <v>46245</v>
      </c>
      <c r="E876" s="14" t="s">
        <v>134</v>
      </c>
      <c r="F876" s="14" t="s">
        <v>134</v>
      </c>
      <c r="G876" s="14" t="s">
        <v>134</v>
      </c>
      <c r="H876" s="14"/>
      <c r="J876">
        <v>11.659072988059902</v>
      </c>
      <c r="M876">
        <v>2.8499999999999996</v>
      </c>
      <c r="N876">
        <v>2.8499999999999996</v>
      </c>
      <c r="O876">
        <v>4.4277970011534018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0.19382363622587315</v>
      </c>
      <c r="AC876">
        <v>0.56173154359685418</v>
      </c>
      <c r="AD876">
        <v>0</v>
      </c>
      <c r="AE876">
        <v>5.8495810182650924E-2</v>
      </c>
      <c r="AF876">
        <v>0</v>
      </c>
      <c r="AG876">
        <v>0.18594900999462172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84" x14ac:dyDescent="0.25">
      <c r="A877" t="s">
        <v>128</v>
      </c>
      <c r="B877" t="s">
        <v>422</v>
      </c>
      <c r="C877" s="14" t="s">
        <v>72</v>
      </c>
      <c r="D877" s="12">
        <v>46242</v>
      </c>
      <c r="E877" s="14" t="s">
        <v>133</v>
      </c>
      <c r="F877" s="14" t="s">
        <v>133</v>
      </c>
      <c r="G877" s="14" t="s">
        <v>133</v>
      </c>
      <c r="H877" s="14" t="s">
        <v>74</v>
      </c>
      <c r="I877">
        <v>20</v>
      </c>
      <c r="J877">
        <v>4.220105607573192</v>
      </c>
      <c r="K877">
        <v>46242</v>
      </c>
      <c r="L877" t="s">
        <v>478</v>
      </c>
      <c r="M877">
        <v>3.8</v>
      </c>
      <c r="N877">
        <v>3.8</v>
      </c>
      <c r="O877">
        <v>4.1764705882352935</v>
      </c>
      <c r="P877">
        <v>0.90045139941064711</v>
      </c>
      <c r="Q877">
        <v>0.90045139941064711</v>
      </c>
      <c r="R877">
        <v>0.98966020678259969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8.9208807371952581E-2</v>
      </c>
      <c r="AC877">
        <v>1.0339793217400306E-2</v>
      </c>
      <c r="AD877">
        <v>0</v>
      </c>
      <c r="AE877">
        <v>0</v>
      </c>
      <c r="AF877">
        <v>0</v>
      </c>
      <c r="AG877">
        <v>0.90045139941064711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1.1105541072561032</v>
      </c>
      <c r="AN877">
        <v>1.1105541072561032</v>
      </c>
      <c r="AO877">
        <v>1.0990712074303404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9.9071207430340369E-2</v>
      </c>
      <c r="AW877">
        <v>0</v>
      </c>
      <c r="AX877">
        <v>1.1482899825762782E-2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0.90985915492957758</v>
      </c>
      <c r="BK877">
        <v>0.90985915492957758</v>
      </c>
      <c r="BL877">
        <v>1.0104478215316095</v>
      </c>
      <c r="BM877">
        <v>1.0447821531609502E-2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9.9548600589352887E-2</v>
      </c>
      <c r="BW877">
        <v>0</v>
      </c>
      <c r="BX877">
        <v>0</v>
      </c>
      <c r="BY877">
        <v>0</v>
      </c>
      <c r="BZ877">
        <v>0</v>
      </c>
      <c r="CA877">
        <v>0.90985915492957758</v>
      </c>
      <c r="CB877">
        <v>0</v>
      </c>
      <c r="CC877">
        <v>0</v>
      </c>
      <c r="CD877">
        <v>0</v>
      </c>
      <c r="CE877">
        <v>0</v>
      </c>
      <c r="CF877">
        <v>0</v>
      </c>
    </row>
    <row r="878" spans="1:84" x14ac:dyDescent="0.25">
      <c r="A878" t="s">
        <v>128</v>
      </c>
      <c r="B878" t="s">
        <v>422</v>
      </c>
      <c r="C878" s="14" t="s">
        <v>72</v>
      </c>
      <c r="D878" s="12">
        <v>46242</v>
      </c>
      <c r="E878" s="14" t="s">
        <v>133</v>
      </c>
      <c r="F878" s="14" t="s">
        <v>133</v>
      </c>
      <c r="G878" s="14" t="s">
        <v>133</v>
      </c>
      <c r="H878" s="14" t="s">
        <v>75</v>
      </c>
      <c r="I878">
        <v>20</v>
      </c>
      <c r="J878">
        <v>10.972274579690296</v>
      </c>
      <c r="K878">
        <v>46242</v>
      </c>
      <c r="L878" t="s">
        <v>479</v>
      </c>
      <c r="M878">
        <v>6.6499999999999995</v>
      </c>
      <c r="N878">
        <v>6.6499999999999995</v>
      </c>
      <c r="O878">
        <v>7.2926470588235297</v>
      </c>
      <c r="P878">
        <v>0.60607305729562799</v>
      </c>
      <c r="Q878">
        <v>0.60607305729562799</v>
      </c>
      <c r="R878">
        <v>0.66464314266453328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5.8570085368905289E-2</v>
      </c>
      <c r="AC878">
        <v>0.33535685733546672</v>
      </c>
      <c r="AD878">
        <v>0</v>
      </c>
      <c r="AE878">
        <v>0</v>
      </c>
      <c r="AF878">
        <v>0</v>
      </c>
      <c r="AG878">
        <v>0.60607305729562799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1.6499661022090673</v>
      </c>
      <c r="AN878">
        <v>1.6499661022090673</v>
      </c>
      <c r="AO878">
        <v>1.096638655462185</v>
      </c>
      <c r="BF878">
        <v>0</v>
      </c>
      <c r="BG878">
        <v>0</v>
      </c>
      <c r="BH878">
        <v>0</v>
      </c>
      <c r="BJ878">
        <v>0.91187739463601525</v>
      </c>
      <c r="BK878">
        <v>0.91187739463601525</v>
      </c>
      <c r="BL878">
        <v>1.5045667905201454</v>
      </c>
      <c r="BM878">
        <v>0.50456679052014541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0.39392694270437201</v>
      </c>
      <c r="BW878">
        <v>0</v>
      </c>
      <c r="BX878">
        <v>0</v>
      </c>
      <c r="BY878">
        <v>0</v>
      </c>
      <c r="BZ878">
        <v>0</v>
      </c>
      <c r="CA878">
        <v>0.91187739463601525</v>
      </c>
      <c r="CB878">
        <v>0</v>
      </c>
      <c r="CC878">
        <v>0</v>
      </c>
      <c r="CD878">
        <v>0</v>
      </c>
      <c r="CE878">
        <v>0</v>
      </c>
      <c r="CF878">
        <v>0</v>
      </c>
    </row>
    <row r="879" spans="1:84" x14ac:dyDescent="0.25">
      <c r="A879" t="s">
        <v>128</v>
      </c>
      <c r="B879" t="s">
        <v>422</v>
      </c>
      <c r="C879" s="14" t="s">
        <v>117</v>
      </c>
      <c r="D879" s="12">
        <v>46239</v>
      </c>
      <c r="E879" s="14"/>
      <c r="F879" s="14"/>
      <c r="G879" s="14"/>
      <c r="H879" s="14"/>
      <c r="J879">
        <v>44.21118353019645</v>
      </c>
      <c r="M879">
        <v>28.499999999999993</v>
      </c>
      <c r="N879">
        <v>28.499999999999993</v>
      </c>
      <c r="O879">
        <v>26.587917407972942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2.7928823504572492E-3</v>
      </c>
      <c r="AB879">
        <v>7.1271699609631686E-2</v>
      </c>
      <c r="AC879">
        <v>0.286887908435143</v>
      </c>
      <c r="AD879">
        <v>0</v>
      </c>
      <c r="AE879">
        <v>0.1117276615413251</v>
      </c>
      <c r="AF879">
        <v>0</v>
      </c>
      <c r="AG879">
        <v>0.53011273041390006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84" x14ac:dyDescent="0.25">
      <c r="A880" t="s">
        <v>128</v>
      </c>
      <c r="B880" t="s">
        <v>422</v>
      </c>
      <c r="C880" s="14" t="s">
        <v>72</v>
      </c>
      <c r="D880" s="12">
        <v>46240</v>
      </c>
      <c r="E880" s="14" t="s">
        <v>133</v>
      </c>
      <c r="F880" s="14" t="s">
        <v>133</v>
      </c>
      <c r="G880" s="14" t="s">
        <v>133</v>
      </c>
      <c r="H880" s="14" t="s">
        <v>75</v>
      </c>
      <c r="I880">
        <v>20</v>
      </c>
      <c r="J880">
        <v>10.972274579690296</v>
      </c>
      <c r="K880">
        <v>46240</v>
      </c>
      <c r="L880" t="s">
        <v>473</v>
      </c>
      <c r="M880">
        <v>4.75</v>
      </c>
      <c r="N880">
        <v>4.75</v>
      </c>
      <c r="O880">
        <v>5.5862745098039195</v>
      </c>
      <c r="P880">
        <v>0.4329093266397343</v>
      </c>
      <c r="Q880">
        <v>0.4329093266397343</v>
      </c>
      <c r="R880">
        <v>0.50912638662398457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7.6217059984250268E-2</v>
      </c>
      <c r="AC880">
        <v>0.49087361337601543</v>
      </c>
      <c r="AD880">
        <v>0</v>
      </c>
      <c r="AE880">
        <v>0</v>
      </c>
      <c r="AF880">
        <v>0</v>
      </c>
      <c r="AG880">
        <v>0.4329093266397343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2.3099525430926939</v>
      </c>
      <c r="AN880">
        <v>2.3099525430926939</v>
      </c>
      <c r="AO880">
        <v>1.1760577915376673</v>
      </c>
      <c r="BF880">
        <v>0</v>
      </c>
      <c r="BG880">
        <v>0</v>
      </c>
      <c r="BH880">
        <v>0</v>
      </c>
      <c r="BJ880">
        <v>0.85029835029835066</v>
      </c>
      <c r="BK880">
        <v>0.85029835029835066</v>
      </c>
      <c r="BL880">
        <v>1.9641488366591973</v>
      </c>
      <c r="BM880">
        <v>0.96414883665919726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0.56709067336026564</v>
      </c>
      <c r="BW880">
        <v>0</v>
      </c>
      <c r="BX880">
        <v>0</v>
      </c>
      <c r="BY880">
        <v>0</v>
      </c>
      <c r="BZ880">
        <v>0</v>
      </c>
      <c r="CA880">
        <v>0.85029835029835066</v>
      </c>
      <c r="CB880">
        <v>0</v>
      </c>
      <c r="CC880">
        <v>0</v>
      </c>
      <c r="CD880">
        <v>0</v>
      </c>
      <c r="CE880">
        <v>0</v>
      </c>
      <c r="CF880">
        <v>0</v>
      </c>
    </row>
    <row r="881" spans="1:84" x14ac:dyDescent="0.25">
      <c r="A881" t="s">
        <v>128</v>
      </c>
      <c r="B881" t="s">
        <v>422</v>
      </c>
      <c r="C881" s="14" t="s">
        <v>109</v>
      </c>
      <c r="D881" s="12">
        <v>46247</v>
      </c>
      <c r="E881" s="14" t="s">
        <v>420</v>
      </c>
      <c r="F881" s="14" t="s">
        <v>420</v>
      </c>
      <c r="G881" s="14" t="s">
        <v>420</v>
      </c>
      <c r="H881" s="14"/>
      <c r="J881">
        <v>6.7786480661254069</v>
      </c>
      <c r="M881">
        <v>2.8499999999999996</v>
      </c>
      <c r="N881">
        <v>2.8499999999999996</v>
      </c>
      <c r="O881">
        <v>1.9792387543252596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4.900386147140956E-2</v>
      </c>
      <c r="AC881">
        <v>0.67070426004993433</v>
      </c>
      <c r="AD881">
        <v>0</v>
      </c>
      <c r="AE881">
        <v>3.7314398682917034E-2</v>
      </c>
      <c r="AF881">
        <v>0</v>
      </c>
      <c r="AG881">
        <v>0.24297747979573908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84" x14ac:dyDescent="0.25">
      <c r="A882" t="s">
        <v>128</v>
      </c>
      <c r="B882" t="s">
        <v>422</v>
      </c>
      <c r="C882" s="14" t="s">
        <v>117</v>
      </c>
      <c r="D882" s="12">
        <v>46236</v>
      </c>
      <c r="E882" s="14"/>
      <c r="F882" s="14"/>
      <c r="G882" s="14"/>
      <c r="H882" s="14"/>
      <c r="J882">
        <v>40.046084309064085</v>
      </c>
      <c r="M882">
        <v>45.600000000000009</v>
      </c>
      <c r="N882">
        <v>45.600000000000009</v>
      </c>
      <c r="O882">
        <v>24.689123774509792</v>
      </c>
      <c r="S882">
        <v>0</v>
      </c>
      <c r="T882">
        <v>0</v>
      </c>
      <c r="U882">
        <v>0.3939307150134907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8.2528005720148026E-2</v>
      </c>
      <c r="AB882">
        <v>5.377153591760573E-2</v>
      </c>
      <c r="AC882">
        <v>0.30772174511400796</v>
      </c>
      <c r="AD882">
        <v>0</v>
      </c>
      <c r="AE882">
        <v>5.2037786513742239E-2</v>
      </c>
      <c r="AF882">
        <v>0</v>
      </c>
      <c r="AG882">
        <v>0.56274626352481361</v>
      </c>
      <c r="AH882">
        <v>2.3722668929830316E-2</v>
      </c>
      <c r="AI882">
        <v>0</v>
      </c>
      <c r="AJ882">
        <v>0</v>
      </c>
      <c r="AK882">
        <v>0</v>
      </c>
      <c r="AL882">
        <v>0</v>
      </c>
    </row>
    <row r="883" spans="1:84" x14ac:dyDescent="0.25">
      <c r="A883" t="s">
        <v>128</v>
      </c>
      <c r="B883" t="s">
        <v>422</v>
      </c>
      <c r="C883" s="14" t="s">
        <v>72</v>
      </c>
      <c r="D883" s="12">
        <v>46227</v>
      </c>
      <c r="E883" s="14" t="s">
        <v>133</v>
      </c>
      <c r="F883" s="14" t="s">
        <v>133</v>
      </c>
      <c r="G883" s="14" t="s">
        <v>133</v>
      </c>
      <c r="H883" s="14" t="s">
        <v>75</v>
      </c>
      <c r="I883">
        <v>20</v>
      </c>
      <c r="J883">
        <v>11.028542654457937</v>
      </c>
      <c r="K883">
        <v>46227</v>
      </c>
      <c r="L883" t="s">
        <v>155</v>
      </c>
      <c r="M883">
        <v>6.6499999999999995</v>
      </c>
      <c r="N883">
        <v>6.6499999999999995</v>
      </c>
      <c r="O883">
        <v>7.4838235294117599</v>
      </c>
      <c r="P883">
        <v>0.60298084781963002</v>
      </c>
      <c r="Q883">
        <v>0.60298084781963002</v>
      </c>
      <c r="R883">
        <v>0.6785868055183758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7.5605957698745785E-2</v>
      </c>
      <c r="AC883">
        <v>0.3214131944816242</v>
      </c>
      <c r="AD883">
        <v>0</v>
      </c>
      <c r="AE883">
        <v>0</v>
      </c>
      <c r="AF883">
        <v>0</v>
      </c>
      <c r="AG883">
        <v>0.60298084781963002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1.6584274668357801</v>
      </c>
      <c r="AN883">
        <v>1.6584274668357801</v>
      </c>
      <c r="AO883">
        <v>1.1253869969040242</v>
      </c>
      <c r="BF883">
        <v>0</v>
      </c>
      <c r="BG883">
        <v>0</v>
      </c>
      <c r="BH883">
        <v>0</v>
      </c>
      <c r="BJ883">
        <v>0.88858321870701562</v>
      </c>
      <c r="BK883">
        <v>0.88858321870701562</v>
      </c>
      <c r="BL883">
        <v>1.47365081647306</v>
      </c>
      <c r="BM883">
        <v>0.47365081647305995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0.39701915218036998</v>
      </c>
      <c r="BW883">
        <v>0</v>
      </c>
      <c r="BX883">
        <v>0</v>
      </c>
      <c r="BY883">
        <v>0</v>
      </c>
      <c r="BZ883">
        <v>0</v>
      </c>
      <c r="CA883">
        <v>0.88858321870701562</v>
      </c>
      <c r="CB883">
        <v>0</v>
      </c>
      <c r="CC883">
        <v>0</v>
      </c>
      <c r="CD883">
        <v>0</v>
      </c>
      <c r="CE883">
        <v>0</v>
      </c>
      <c r="CF883">
        <v>0</v>
      </c>
    </row>
    <row r="884" spans="1:84" x14ac:dyDescent="0.25">
      <c r="A884" t="s">
        <v>128</v>
      </c>
      <c r="B884" t="s">
        <v>422</v>
      </c>
      <c r="C884" s="14" t="s">
        <v>72</v>
      </c>
      <c r="D884" s="12">
        <v>46238</v>
      </c>
      <c r="E884" s="14" t="s">
        <v>133</v>
      </c>
      <c r="F884" s="14" t="s">
        <v>133</v>
      </c>
      <c r="G884" s="14" t="s">
        <v>133</v>
      </c>
      <c r="H884" s="14" t="s">
        <v>75</v>
      </c>
      <c r="I884">
        <v>20</v>
      </c>
      <c r="J884">
        <v>10.972274579690296</v>
      </c>
      <c r="K884">
        <v>46238</v>
      </c>
      <c r="L884" t="s">
        <v>467</v>
      </c>
      <c r="M884">
        <v>5.6999999999999993</v>
      </c>
      <c r="N884">
        <v>5.6999999999999993</v>
      </c>
      <c r="O884">
        <v>8.0426470588235297</v>
      </c>
      <c r="P884">
        <v>0.51949119196768112</v>
      </c>
      <c r="Q884">
        <v>0.51949119196768112</v>
      </c>
      <c r="R884">
        <v>0.73299724687080714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0.21350605490312602</v>
      </c>
      <c r="AC884">
        <v>0.26700275312919286</v>
      </c>
      <c r="AD884">
        <v>0</v>
      </c>
      <c r="AE884">
        <v>0</v>
      </c>
      <c r="AF884">
        <v>0</v>
      </c>
      <c r="AG884">
        <v>0.51949119196768112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1.9249604525772452</v>
      </c>
      <c r="AN884">
        <v>1.9249604525772452</v>
      </c>
      <c r="AO884">
        <v>1.4109907120743037</v>
      </c>
      <c r="BF884">
        <v>0</v>
      </c>
      <c r="BG884">
        <v>0</v>
      </c>
      <c r="BH884">
        <v>0</v>
      </c>
      <c r="BJ884">
        <v>0.70872188699945138</v>
      </c>
      <c r="BK884">
        <v>0.70872188699945138</v>
      </c>
      <c r="BL884">
        <v>1.364261604349863</v>
      </c>
      <c r="BM884">
        <v>0.36426160434986299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0.48050880803231888</v>
      </c>
      <c r="BW884">
        <v>0</v>
      </c>
      <c r="BX884">
        <v>0</v>
      </c>
      <c r="BY884">
        <v>0</v>
      </c>
      <c r="BZ884">
        <v>0</v>
      </c>
      <c r="CA884">
        <v>0.70872188699945138</v>
      </c>
      <c r="CB884">
        <v>0</v>
      </c>
      <c r="CC884">
        <v>0</v>
      </c>
      <c r="CD884">
        <v>0</v>
      </c>
      <c r="CE884">
        <v>0</v>
      </c>
      <c r="CF884">
        <v>0</v>
      </c>
    </row>
    <row r="885" spans="1:84" x14ac:dyDescent="0.25">
      <c r="A885" t="s">
        <v>128</v>
      </c>
      <c r="B885" t="s">
        <v>422</v>
      </c>
      <c r="C885" s="14" t="s">
        <v>109</v>
      </c>
      <c r="D885" s="12">
        <v>46249</v>
      </c>
      <c r="E885" s="14" t="s">
        <v>420</v>
      </c>
      <c r="F885" s="14" t="s">
        <v>420</v>
      </c>
      <c r="G885" s="14" t="s">
        <v>420</v>
      </c>
      <c r="H885" s="14"/>
      <c r="J885">
        <v>6.8316062541420131</v>
      </c>
      <c r="M885">
        <v>2.8499999999999996</v>
      </c>
      <c r="N885">
        <v>2.8499999999999996</v>
      </c>
      <c r="O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0.58282139017130252</v>
      </c>
      <c r="AD885">
        <v>0</v>
      </c>
      <c r="AE885">
        <v>0</v>
      </c>
      <c r="AF885">
        <v>0</v>
      </c>
      <c r="AG885">
        <v>0</v>
      </c>
      <c r="AH885">
        <v>0.41717860982869737</v>
      </c>
      <c r="AI885">
        <v>0</v>
      </c>
      <c r="AJ885">
        <v>0</v>
      </c>
      <c r="AK885">
        <v>0</v>
      </c>
      <c r="AL885">
        <v>0</v>
      </c>
    </row>
    <row r="886" spans="1:84" x14ac:dyDescent="0.25">
      <c r="A886" t="s">
        <v>128</v>
      </c>
      <c r="B886" t="s">
        <v>422</v>
      </c>
      <c r="C886" s="14" t="s">
        <v>72</v>
      </c>
      <c r="D886" s="12">
        <v>46228</v>
      </c>
      <c r="E886" s="14" t="s">
        <v>133</v>
      </c>
      <c r="F886" s="14" t="s">
        <v>133</v>
      </c>
      <c r="G886" s="14" t="s">
        <v>133</v>
      </c>
      <c r="H886" s="14" t="s">
        <v>75</v>
      </c>
      <c r="I886">
        <v>20</v>
      </c>
      <c r="J886">
        <v>10.972274579690296</v>
      </c>
      <c r="K886">
        <v>46228</v>
      </c>
      <c r="L886" t="s">
        <v>437</v>
      </c>
      <c r="M886">
        <v>6.6499999999999995</v>
      </c>
      <c r="N886">
        <v>6.6499999999999995</v>
      </c>
      <c r="O886">
        <v>8.3967320261437859</v>
      </c>
      <c r="P886">
        <v>0.60607305729562799</v>
      </c>
      <c r="Q886">
        <v>0.60607305729562799</v>
      </c>
      <c r="R886">
        <v>0.76526812787625231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0.15919507058062432</v>
      </c>
      <c r="AC886">
        <v>0.23473187212374769</v>
      </c>
      <c r="AD886">
        <v>0</v>
      </c>
      <c r="AE886">
        <v>0</v>
      </c>
      <c r="AF886">
        <v>0</v>
      </c>
      <c r="AG886">
        <v>0.60607305729562799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1.6499661022090673</v>
      </c>
      <c r="AN886">
        <v>1.6499661022090673</v>
      </c>
      <c r="AO886">
        <v>1.26266647009681</v>
      </c>
      <c r="BF886">
        <v>0</v>
      </c>
      <c r="BG886">
        <v>0</v>
      </c>
      <c r="BH886">
        <v>0</v>
      </c>
      <c r="BJ886">
        <v>0.79197478010430489</v>
      </c>
      <c r="BK886">
        <v>0.79197478010430489</v>
      </c>
      <c r="BL886">
        <v>1.3067315409765832</v>
      </c>
      <c r="BM886">
        <v>0.30673154097658317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0.39392694270437201</v>
      </c>
      <c r="BW886">
        <v>0</v>
      </c>
      <c r="BX886">
        <v>0</v>
      </c>
      <c r="BY886">
        <v>0</v>
      </c>
      <c r="BZ886">
        <v>0</v>
      </c>
      <c r="CA886">
        <v>0.79197478010430489</v>
      </c>
      <c r="CB886">
        <v>0</v>
      </c>
      <c r="CC886">
        <v>0</v>
      </c>
      <c r="CD886">
        <v>0</v>
      </c>
      <c r="CE886">
        <v>0</v>
      </c>
      <c r="CF886">
        <v>0</v>
      </c>
    </row>
    <row r="887" spans="1:84" x14ac:dyDescent="0.25">
      <c r="A887" t="s">
        <v>128</v>
      </c>
      <c r="B887" t="s">
        <v>422</v>
      </c>
      <c r="C887" s="14" t="s">
        <v>117</v>
      </c>
      <c r="D887" s="12">
        <v>46233</v>
      </c>
      <c r="E887" s="14"/>
      <c r="F887" s="14"/>
      <c r="G887" s="14"/>
      <c r="H887" s="14"/>
      <c r="J887">
        <v>43.249410850616073</v>
      </c>
      <c r="M887">
        <v>38.950000000000003</v>
      </c>
      <c r="N887">
        <v>38.950000000000003</v>
      </c>
      <c r="O887">
        <v>27.70726795362107</v>
      </c>
      <c r="S887">
        <v>0</v>
      </c>
      <c r="T887">
        <v>0</v>
      </c>
      <c r="U887">
        <v>0.19052651246598604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6.2936536321533149E-2</v>
      </c>
      <c r="AB887">
        <v>8.7259020599255027E-2</v>
      </c>
      <c r="AC887">
        <v>0.2875793428427828</v>
      </c>
      <c r="AD887">
        <v>0</v>
      </c>
      <c r="AE887">
        <v>7.1781457485289399E-2</v>
      </c>
      <c r="AF887">
        <v>0</v>
      </c>
      <c r="AG887">
        <v>0.55338017907267278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84" x14ac:dyDescent="0.25">
      <c r="A888" t="s">
        <v>128</v>
      </c>
      <c r="B888" t="s">
        <v>422</v>
      </c>
      <c r="C888" s="14" t="s">
        <v>72</v>
      </c>
      <c r="D888" s="12">
        <v>46239</v>
      </c>
      <c r="E888" s="14" t="s">
        <v>133</v>
      </c>
      <c r="F888" s="14" t="s">
        <v>133</v>
      </c>
      <c r="G888" s="14" t="s">
        <v>133</v>
      </c>
      <c r="H888" s="14" t="s">
        <v>73</v>
      </c>
      <c r="I888">
        <v>20</v>
      </c>
      <c r="J888">
        <v>12.575914710568108</v>
      </c>
      <c r="K888">
        <v>46239</v>
      </c>
      <c r="L888" t="s">
        <v>468</v>
      </c>
      <c r="M888">
        <v>8.5499999999999989</v>
      </c>
      <c r="N888">
        <v>8.5499999999999989</v>
      </c>
      <c r="O888">
        <v>9.4058823529411679</v>
      </c>
      <c r="P888">
        <v>0.67987102304495184</v>
      </c>
      <c r="Q888">
        <v>0.67987102304495184</v>
      </c>
      <c r="R888">
        <v>0.74792828747772766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6.8057264432775821E-2</v>
      </c>
      <c r="AC888">
        <v>0.25207171252227234</v>
      </c>
      <c r="AD888">
        <v>0</v>
      </c>
      <c r="AE888">
        <v>0</v>
      </c>
      <c r="AF888">
        <v>0</v>
      </c>
      <c r="AG888">
        <v>0.67987102304495184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1.4708672176103053</v>
      </c>
      <c r="AN888">
        <v>1.4708672176103053</v>
      </c>
      <c r="AO888">
        <v>1.1001031991744057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0.10010319917440569</v>
      </c>
      <c r="AW888">
        <v>0</v>
      </c>
      <c r="AX888">
        <v>0.37076401843589957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0.9090056285178244</v>
      </c>
      <c r="BK888">
        <v>0.9090056285178244</v>
      </c>
      <c r="BL888">
        <v>1.3370265796101191</v>
      </c>
      <c r="BM888">
        <v>0.33702657961011906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0.32012897695504816</v>
      </c>
      <c r="BW888">
        <v>0</v>
      </c>
      <c r="BX888">
        <v>0</v>
      </c>
      <c r="BY888">
        <v>0</v>
      </c>
      <c r="BZ888">
        <v>0</v>
      </c>
      <c r="CA888">
        <v>0.9090056285178244</v>
      </c>
      <c r="CB888">
        <v>0</v>
      </c>
      <c r="CC888">
        <v>0</v>
      </c>
      <c r="CD888">
        <v>0</v>
      </c>
      <c r="CE888">
        <v>0</v>
      </c>
      <c r="CF888">
        <v>0</v>
      </c>
    </row>
    <row r="889" spans="1:84" x14ac:dyDescent="0.25">
      <c r="A889" t="s">
        <v>128</v>
      </c>
      <c r="B889" t="s">
        <v>422</v>
      </c>
      <c r="C889" s="14" t="s">
        <v>109</v>
      </c>
      <c r="D889" s="12">
        <v>46249</v>
      </c>
      <c r="E889" s="14" t="s">
        <v>133</v>
      </c>
      <c r="F889" s="14" t="s">
        <v>133</v>
      </c>
      <c r="G889" s="14" t="s">
        <v>133</v>
      </c>
      <c r="H889" s="14"/>
      <c r="J889">
        <v>26.220922841721425</v>
      </c>
      <c r="M889">
        <v>37.049999999999997</v>
      </c>
      <c r="N889">
        <v>37.049999999999997</v>
      </c>
      <c r="O889">
        <v>19.624999999999993</v>
      </c>
      <c r="S889">
        <v>0</v>
      </c>
      <c r="T889">
        <v>0</v>
      </c>
      <c r="U889">
        <v>0.52493658461274584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0.10515021459227467</v>
      </c>
      <c r="AB889">
        <v>3.3033790451113189E-2</v>
      </c>
      <c r="AC889">
        <v>0.18405926236112644</v>
      </c>
      <c r="AD889">
        <v>0</v>
      </c>
      <c r="AE889">
        <v>6.7492633105585703E-2</v>
      </c>
      <c r="AF889">
        <v>0</v>
      </c>
      <c r="AG889">
        <v>0.71541431408217471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84" x14ac:dyDescent="0.25">
      <c r="A890" t="s">
        <v>128</v>
      </c>
      <c r="B890" t="s">
        <v>422</v>
      </c>
      <c r="C890" s="14" t="s">
        <v>72</v>
      </c>
      <c r="D890" s="12">
        <v>46228</v>
      </c>
      <c r="E890" s="14" t="s">
        <v>133</v>
      </c>
      <c r="F890" s="14" t="s">
        <v>133</v>
      </c>
      <c r="G890" s="14" t="s">
        <v>133</v>
      </c>
      <c r="H890" s="14" t="s">
        <v>74</v>
      </c>
      <c r="I890">
        <v>20</v>
      </c>
      <c r="J890">
        <v>4.220105607573192</v>
      </c>
      <c r="K890">
        <v>46228</v>
      </c>
      <c r="L890" t="s">
        <v>436</v>
      </c>
      <c r="M890">
        <v>1.9</v>
      </c>
      <c r="N890">
        <v>1.9</v>
      </c>
      <c r="O890">
        <v>1.5294117647058818</v>
      </c>
      <c r="P890">
        <v>0.45022569970532356</v>
      </c>
      <c r="Q890">
        <v>0.45022569970532356</v>
      </c>
      <c r="R890">
        <v>0.36241077994855753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0.54977430029467644</v>
      </c>
      <c r="AD890">
        <v>0</v>
      </c>
      <c r="AE890">
        <v>8.781491975676603E-2</v>
      </c>
      <c r="AF890">
        <v>0</v>
      </c>
      <c r="AG890">
        <v>0.36241077994855753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2.2211082145122063</v>
      </c>
      <c r="AN890">
        <v>2.2211082145122063</v>
      </c>
      <c r="AO890">
        <v>0.80495356037151677</v>
      </c>
      <c r="BF890">
        <v>0</v>
      </c>
      <c r="BG890">
        <v>0</v>
      </c>
      <c r="BH890">
        <v>0</v>
      </c>
      <c r="BJ890">
        <v>1.2423076923076928</v>
      </c>
      <c r="BK890">
        <v>1.2423076923076928</v>
      </c>
      <c r="BL890">
        <v>2.7592998203363188</v>
      </c>
      <c r="BM890">
        <v>1.516992128028626</v>
      </c>
      <c r="BN890">
        <v>0</v>
      </c>
      <c r="BO890">
        <v>0</v>
      </c>
      <c r="BP890">
        <v>0</v>
      </c>
      <c r="BQ890">
        <v>0</v>
      </c>
      <c r="BR890">
        <v>0.25769230769230722</v>
      </c>
      <c r="BS890">
        <v>0.24230769230769278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</row>
    <row r="891" spans="1:84" x14ac:dyDescent="0.25">
      <c r="A891" t="s">
        <v>128</v>
      </c>
      <c r="B891" t="s">
        <v>422</v>
      </c>
      <c r="C891" s="14" t="s">
        <v>109</v>
      </c>
      <c r="D891" s="12">
        <v>46248</v>
      </c>
      <c r="E891" s="14" t="s">
        <v>134</v>
      </c>
      <c r="F891" s="14" t="s">
        <v>134</v>
      </c>
      <c r="G891" s="14" t="s">
        <v>134</v>
      </c>
      <c r="H891" s="14"/>
      <c r="J891">
        <v>8.0728589559160806</v>
      </c>
      <c r="M891">
        <v>6.6499999999999995</v>
      </c>
      <c r="N891">
        <v>6.6499999999999995</v>
      </c>
      <c r="O891">
        <v>6.5601499423298719</v>
      </c>
      <c r="S891">
        <v>3.1010825548708761E-2</v>
      </c>
      <c r="T891">
        <v>0</v>
      </c>
      <c r="U891">
        <v>0</v>
      </c>
      <c r="V891">
        <v>0</v>
      </c>
      <c r="W891">
        <v>5.0447865118678301E-3</v>
      </c>
      <c r="X891">
        <v>0</v>
      </c>
      <c r="Y891">
        <v>6.9597999057527102E-2</v>
      </c>
      <c r="Z891">
        <v>0</v>
      </c>
      <c r="AA891">
        <v>0</v>
      </c>
      <c r="AB891">
        <v>7.7723515772852476E-3</v>
      </c>
      <c r="AC891">
        <v>0.24312260979326861</v>
      </c>
      <c r="AD891">
        <v>0</v>
      </c>
      <c r="AE891">
        <v>4.9913070285378704E-2</v>
      </c>
      <c r="AF891">
        <v>0</v>
      </c>
      <c r="AG891">
        <v>0.69919196834406749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84" x14ac:dyDescent="0.25">
      <c r="A892" t="s">
        <v>128</v>
      </c>
      <c r="B892" t="s">
        <v>422</v>
      </c>
      <c r="C892" s="14" t="s">
        <v>72</v>
      </c>
      <c r="D892" s="12">
        <v>46226</v>
      </c>
      <c r="E892" s="14" t="s">
        <v>133</v>
      </c>
      <c r="F892" s="14" t="s">
        <v>133</v>
      </c>
      <c r="G892" s="14" t="s">
        <v>133</v>
      </c>
      <c r="H892" s="14" t="s">
        <v>74</v>
      </c>
      <c r="I892">
        <v>20</v>
      </c>
      <c r="J892">
        <v>4.220105607573192</v>
      </c>
      <c r="K892">
        <v>46226</v>
      </c>
      <c r="L892" t="s">
        <v>433</v>
      </c>
      <c r="M892">
        <v>2.8499999999999996</v>
      </c>
      <c r="N892">
        <v>2.8499999999999996</v>
      </c>
      <c r="O892">
        <v>2.235294117647058</v>
      </c>
      <c r="P892">
        <v>0.67533854955798522</v>
      </c>
      <c r="Q892">
        <v>0.67533854955798522</v>
      </c>
      <c r="R892">
        <v>0.52967729377096873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0.32466145044201478</v>
      </c>
      <c r="AD892">
        <v>0</v>
      </c>
      <c r="AE892">
        <v>0.1456612557870165</v>
      </c>
      <c r="AF892">
        <v>0</v>
      </c>
      <c r="AG892">
        <v>0.52967729377096873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1.4807388096748044</v>
      </c>
      <c r="AN892">
        <v>1.4807388096748044</v>
      </c>
      <c r="AO892">
        <v>0.78431372549019585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0.48073880967480442</v>
      </c>
      <c r="AY892">
        <v>0</v>
      </c>
      <c r="AZ892">
        <v>0</v>
      </c>
      <c r="BA892">
        <v>0</v>
      </c>
      <c r="BB892">
        <v>0.21568627450980415</v>
      </c>
      <c r="BC892">
        <v>0</v>
      </c>
      <c r="BD892">
        <v>0.78431372549019585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1.2750000000000004</v>
      </c>
      <c r="BK892">
        <v>1.2750000000000004</v>
      </c>
      <c r="BL892">
        <v>1.887941982335376</v>
      </c>
      <c r="BM892">
        <v>0.61294198233537567</v>
      </c>
      <c r="BN892">
        <v>0</v>
      </c>
      <c r="BO892">
        <v>0</v>
      </c>
      <c r="BP892">
        <v>0</v>
      </c>
      <c r="BQ892">
        <v>0</v>
      </c>
      <c r="BR892">
        <v>0.22499999999999964</v>
      </c>
      <c r="BS892">
        <v>0.27500000000000036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</row>
    <row r="893" spans="1:84" x14ac:dyDescent="0.25">
      <c r="A893" t="s">
        <v>128</v>
      </c>
      <c r="B893" t="s">
        <v>422</v>
      </c>
      <c r="C893" s="14" t="s">
        <v>72</v>
      </c>
      <c r="D893" s="12">
        <v>46239</v>
      </c>
      <c r="E893" s="14" t="s">
        <v>133</v>
      </c>
      <c r="F893" s="14" t="s">
        <v>133</v>
      </c>
      <c r="G893" s="14" t="s">
        <v>133</v>
      </c>
      <c r="H893" s="14" t="s">
        <v>74</v>
      </c>
      <c r="I893">
        <v>20</v>
      </c>
      <c r="J893">
        <v>4.220105607573192</v>
      </c>
      <c r="K893">
        <v>46239</v>
      </c>
      <c r="L893" t="s">
        <v>469</v>
      </c>
      <c r="M893">
        <v>2.8499999999999996</v>
      </c>
      <c r="N893">
        <v>2.8499999999999996</v>
      </c>
      <c r="O893">
        <v>2.4705882352941178</v>
      </c>
      <c r="P893">
        <v>0.67533854955798522</v>
      </c>
      <c r="Q893">
        <v>0.67533854955798522</v>
      </c>
      <c r="R893">
        <v>0.58543279837843931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0.32466145044201478</v>
      </c>
      <c r="AD893">
        <v>0</v>
      </c>
      <c r="AE893">
        <v>8.9905751179545912E-2</v>
      </c>
      <c r="AF893">
        <v>0</v>
      </c>
      <c r="AG893">
        <v>0.58543279837843931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1.4807388096748044</v>
      </c>
      <c r="AN893">
        <v>1.4807388096748044</v>
      </c>
      <c r="AO893">
        <v>0.86687306501548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0.48073880967480442</v>
      </c>
      <c r="AY893">
        <v>0</v>
      </c>
      <c r="AZ893">
        <v>0</v>
      </c>
      <c r="BA893">
        <v>0</v>
      </c>
      <c r="BB893">
        <v>0.13312693498452</v>
      </c>
      <c r="BC893">
        <v>0</v>
      </c>
      <c r="BD893">
        <v>0.86687306501548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1.1535714285714285</v>
      </c>
      <c r="BK893">
        <v>1.1535714285714285</v>
      </c>
      <c r="BL893">
        <v>1.7081379840177204</v>
      </c>
      <c r="BM893">
        <v>0.55456655544629196</v>
      </c>
      <c r="BN893">
        <v>0</v>
      </c>
      <c r="BO893">
        <v>0</v>
      </c>
      <c r="BP893">
        <v>0</v>
      </c>
      <c r="BQ893">
        <v>0</v>
      </c>
      <c r="BR893">
        <v>0.34642857142857153</v>
      </c>
      <c r="BS893">
        <v>0.15357142857142847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</row>
    <row r="894" spans="1:84" x14ac:dyDescent="0.25">
      <c r="A894" t="s">
        <v>128</v>
      </c>
      <c r="B894" t="s">
        <v>422</v>
      </c>
      <c r="C894" s="14" t="s">
        <v>72</v>
      </c>
      <c r="D894" s="12">
        <v>46239</v>
      </c>
      <c r="E894" s="14" t="s">
        <v>133</v>
      </c>
      <c r="F894" s="14" t="s">
        <v>133</v>
      </c>
      <c r="G894" s="14" t="s">
        <v>133</v>
      </c>
      <c r="H894" s="14" t="s">
        <v>75</v>
      </c>
      <c r="I894">
        <v>20</v>
      </c>
      <c r="J894">
        <v>10.803470355387372</v>
      </c>
      <c r="K894">
        <v>46239</v>
      </c>
      <c r="L894" t="s">
        <v>470</v>
      </c>
      <c r="M894">
        <v>5.6999999999999993</v>
      </c>
      <c r="N894">
        <v>5.6999999999999993</v>
      </c>
      <c r="O894">
        <v>7.2926470588235279</v>
      </c>
      <c r="P894">
        <v>0.52760824184217592</v>
      </c>
      <c r="Q894">
        <v>0.52760824184217592</v>
      </c>
      <c r="R894">
        <v>0.67502819176866624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0.14741994992649032</v>
      </c>
      <c r="AC894">
        <v>0.32497180823133376</v>
      </c>
      <c r="AD894">
        <v>0</v>
      </c>
      <c r="AE894">
        <v>0</v>
      </c>
      <c r="AF894">
        <v>0</v>
      </c>
      <c r="AG894">
        <v>0.52760824184217592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1.8953456763837497</v>
      </c>
      <c r="AN894">
        <v>1.8953456763837497</v>
      </c>
      <c r="AO894">
        <v>1.2794117647058822</v>
      </c>
      <c r="BF894">
        <v>0</v>
      </c>
      <c r="BG894">
        <v>0</v>
      </c>
      <c r="BH894">
        <v>0</v>
      </c>
      <c r="BJ894">
        <v>0.7816091954022989</v>
      </c>
      <c r="BK894">
        <v>0.7816091954022989</v>
      </c>
      <c r="BL894">
        <v>1.4814196091275287</v>
      </c>
      <c r="BM894">
        <v>0.48141960912752868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0.47239175815782408</v>
      </c>
      <c r="BW894">
        <v>0</v>
      </c>
      <c r="BX894">
        <v>0</v>
      </c>
      <c r="BY894">
        <v>0</v>
      </c>
      <c r="BZ894">
        <v>0</v>
      </c>
      <c r="CA894">
        <v>0.7816091954022989</v>
      </c>
      <c r="CB894">
        <v>0</v>
      </c>
      <c r="CC894">
        <v>0</v>
      </c>
      <c r="CD894">
        <v>0</v>
      </c>
      <c r="CE894">
        <v>0</v>
      </c>
      <c r="CF894">
        <v>0</v>
      </c>
    </row>
    <row r="895" spans="1:84" x14ac:dyDescent="0.25">
      <c r="A895" t="s">
        <v>128</v>
      </c>
      <c r="B895" t="s">
        <v>422</v>
      </c>
      <c r="C895" s="14" t="s">
        <v>109</v>
      </c>
      <c r="D895" s="12">
        <v>46248</v>
      </c>
      <c r="E895" s="14" t="s">
        <v>420</v>
      </c>
      <c r="F895" s="14" t="s">
        <v>420</v>
      </c>
      <c r="G895" s="14" t="s">
        <v>420</v>
      </c>
      <c r="H895" s="14"/>
      <c r="J895">
        <v>6.7786480661254069</v>
      </c>
      <c r="M895">
        <v>0.95</v>
      </c>
      <c r="N895">
        <v>0.95</v>
      </c>
      <c r="O895">
        <v>0.98961937716262982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2.450193073570478E-2</v>
      </c>
      <c r="AC895">
        <v>0.83535213002496711</v>
      </c>
      <c r="AD895">
        <v>0</v>
      </c>
      <c r="AE895">
        <v>1.8657199341458517E-2</v>
      </c>
      <c r="AF895">
        <v>0</v>
      </c>
      <c r="AG895">
        <v>0.12148873989786954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84" x14ac:dyDescent="0.25">
      <c r="A896" t="s">
        <v>128</v>
      </c>
      <c r="B896" t="s">
        <v>422</v>
      </c>
      <c r="C896" s="14" t="s">
        <v>72</v>
      </c>
      <c r="D896" s="12">
        <v>46228</v>
      </c>
      <c r="E896" s="14" t="s">
        <v>133</v>
      </c>
      <c r="F896" s="14" t="s">
        <v>133</v>
      </c>
      <c r="G896" s="14" t="s">
        <v>133</v>
      </c>
      <c r="H896" s="14" t="s">
        <v>73</v>
      </c>
      <c r="I896">
        <v>20</v>
      </c>
      <c r="J896">
        <v>11.028542654457937</v>
      </c>
      <c r="K896">
        <v>46228</v>
      </c>
      <c r="L896" t="s">
        <v>435</v>
      </c>
      <c r="M896">
        <v>8.5499999999999989</v>
      </c>
      <c r="N896">
        <v>8.5499999999999989</v>
      </c>
      <c r="O896">
        <v>9.8422385620914934</v>
      </c>
      <c r="P896">
        <v>0.77526109005380994</v>
      </c>
      <c r="Q896">
        <v>0.77526109005380994</v>
      </c>
      <c r="R896">
        <v>0.89243328610721584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0.1171721960534059</v>
      </c>
      <c r="AC896">
        <v>0.10756671389278416</v>
      </c>
      <c r="AD896">
        <v>0</v>
      </c>
      <c r="AE896">
        <v>0</v>
      </c>
      <c r="AF896">
        <v>0</v>
      </c>
      <c r="AG896">
        <v>0.77526109005380994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1.2898880297611623</v>
      </c>
      <c r="AN896">
        <v>1.2898880297611623</v>
      </c>
      <c r="AO896">
        <v>1.1511390131101162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0.15113901311011624</v>
      </c>
      <c r="AW896">
        <v>0</v>
      </c>
      <c r="AX896">
        <v>0.13874901665104611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0.86870481202633121</v>
      </c>
      <c r="BK896">
        <v>0.86870481202633121</v>
      </c>
      <c r="BL896">
        <v>1.1205319384286851</v>
      </c>
      <c r="BM896">
        <v>0.12053193842868515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0.22473890994619006</v>
      </c>
      <c r="BW896">
        <v>0</v>
      </c>
      <c r="BX896">
        <v>0</v>
      </c>
      <c r="BY896">
        <v>0</v>
      </c>
      <c r="BZ896">
        <v>0</v>
      </c>
      <c r="CA896">
        <v>0.86870481202633121</v>
      </c>
      <c r="CB896">
        <v>0</v>
      </c>
      <c r="CC896">
        <v>0</v>
      </c>
      <c r="CD896">
        <v>0</v>
      </c>
      <c r="CE896">
        <v>0</v>
      </c>
      <c r="CF896">
        <v>0</v>
      </c>
    </row>
    <row r="897" spans="1:84" x14ac:dyDescent="0.25">
      <c r="A897" t="s">
        <v>128</v>
      </c>
      <c r="B897" t="s">
        <v>422</v>
      </c>
      <c r="C897" s="14" t="s">
        <v>109</v>
      </c>
      <c r="D897" s="12">
        <v>46248</v>
      </c>
      <c r="E897" s="14" t="s">
        <v>133</v>
      </c>
      <c r="F897" s="14" t="s">
        <v>133</v>
      </c>
      <c r="G897" s="14" t="s">
        <v>133</v>
      </c>
      <c r="H897" s="14"/>
      <c r="J897">
        <v>26.220922841721425</v>
      </c>
      <c r="M897">
        <v>34.200000000000003</v>
      </c>
      <c r="N897">
        <v>34.200000000000003</v>
      </c>
      <c r="O897">
        <v>19.625</v>
      </c>
      <c r="S897">
        <v>0</v>
      </c>
      <c r="T897">
        <v>0</v>
      </c>
      <c r="U897">
        <v>0.38269655251875734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0.1046137339055794</v>
      </c>
      <c r="AB897">
        <v>1.9461333253881764E-2</v>
      </c>
      <c r="AC897">
        <v>0.1635470334232727</v>
      </c>
      <c r="AD897">
        <v>0</v>
      </c>
      <c r="AE897">
        <v>8.8004862043439241E-2</v>
      </c>
      <c r="AF897">
        <v>0</v>
      </c>
      <c r="AG897">
        <v>0.72898677127940625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84" x14ac:dyDescent="0.25">
      <c r="A898" t="s">
        <v>128</v>
      </c>
      <c r="B898" t="s">
        <v>422</v>
      </c>
      <c r="C898" s="14" t="s">
        <v>72</v>
      </c>
      <c r="D898" s="12">
        <v>46240</v>
      </c>
      <c r="E898" s="14" t="s">
        <v>133</v>
      </c>
      <c r="F898" s="14" t="s">
        <v>133</v>
      </c>
      <c r="G898" s="14" t="s">
        <v>133</v>
      </c>
      <c r="H898" s="14" t="s">
        <v>73</v>
      </c>
      <c r="I898">
        <v>20</v>
      </c>
      <c r="J898">
        <v>11.731893589053469</v>
      </c>
      <c r="K898">
        <v>46240</v>
      </c>
      <c r="L898" t="s">
        <v>471</v>
      </c>
      <c r="M898">
        <v>15.2</v>
      </c>
      <c r="N898">
        <v>15.2</v>
      </c>
      <c r="O898">
        <v>9.9284313725490154</v>
      </c>
      <c r="P898">
        <v>1.2956135243318669</v>
      </c>
      <c r="Q898">
        <v>1.2956135243318669</v>
      </c>
      <c r="R898">
        <v>0.84627697116284906</v>
      </c>
      <c r="S898">
        <v>0</v>
      </c>
      <c r="T898">
        <v>0</v>
      </c>
      <c r="U898">
        <v>4.5613524331866939E-2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</v>
      </c>
      <c r="AC898">
        <v>0</v>
      </c>
      <c r="AD898">
        <v>0</v>
      </c>
      <c r="AE898">
        <v>0.15372302883715094</v>
      </c>
      <c r="AF898">
        <v>0</v>
      </c>
      <c r="AG898">
        <v>0.84627697116284906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0.77183510454299142</v>
      </c>
      <c r="AN898">
        <v>0.77183510454299142</v>
      </c>
      <c r="AO898">
        <v>0.65318627450980371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0.22816489545700858</v>
      </c>
      <c r="BA898">
        <v>0</v>
      </c>
      <c r="BB898">
        <v>0.11864883003318771</v>
      </c>
      <c r="BC898">
        <v>0</v>
      </c>
      <c r="BD898">
        <v>0.65318627450980371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1.5309568480300193</v>
      </c>
      <c r="BK898">
        <v>1.5309568480300193</v>
      </c>
      <c r="BL898">
        <v>1.1816462388500586</v>
      </c>
      <c r="CC898">
        <v>0</v>
      </c>
      <c r="CD898">
        <v>0</v>
      </c>
      <c r="CE898">
        <v>0</v>
      </c>
    </row>
    <row r="899" spans="1:84" x14ac:dyDescent="0.25">
      <c r="A899" t="s">
        <v>128</v>
      </c>
      <c r="B899" t="s">
        <v>422</v>
      </c>
      <c r="C899" s="14" t="s">
        <v>117</v>
      </c>
      <c r="D899" s="12">
        <v>46235</v>
      </c>
      <c r="E899" s="14"/>
      <c r="F899" s="14"/>
      <c r="G899" s="14"/>
      <c r="H899" s="14"/>
      <c r="J899">
        <v>41.946222842490528</v>
      </c>
      <c r="M899">
        <v>39.900000000000006</v>
      </c>
      <c r="N899">
        <v>39.900000000000006</v>
      </c>
      <c r="O899">
        <v>26.386096092848899</v>
      </c>
      <c r="S899">
        <v>0</v>
      </c>
      <c r="T899">
        <v>0</v>
      </c>
      <c r="U899">
        <v>0.26019796163557374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6.5730248798982954E-2</v>
      </c>
      <c r="AB899">
        <v>6.5918156012737747E-2</v>
      </c>
      <c r="AC899">
        <v>0.33144015323527942</v>
      </c>
      <c r="AD899">
        <v>0</v>
      </c>
      <c r="AE899">
        <v>1.6865981610357277E-2</v>
      </c>
      <c r="AF899">
        <v>0</v>
      </c>
      <c r="AG899">
        <v>0.56312766277122206</v>
      </c>
      <c r="AH899">
        <v>2.2648046370403404E-2</v>
      </c>
      <c r="AI899">
        <v>0</v>
      </c>
      <c r="AJ899">
        <v>0</v>
      </c>
      <c r="AK899">
        <v>0</v>
      </c>
      <c r="AL899">
        <v>0</v>
      </c>
    </row>
    <row r="900" spans="1:84" x14ac:dyDescent="0.25">
      <c r="A900" t="s">
        <v>128</v>
      </c>
      <c r="B900" t="s">
        <v>422</v>
      </c>
      <c r="C900" s="14" t="s">
        <v>72</v>
      </c>
      <c r="D900" s="12">
        <v>46240</v>
      </c>
      <c r="E900" s="14" t="s">
        <v>133</v>
      </c>
      <c r="F900" s="14" t="s">
        <v>133</v>
      </c>
      <c r="G900" s="14" t="s">
        <v>133</v>
      </c>
      <c r="H900" s="14" t="s">
        <v>74</v>
      </c>
      <c r="I900">
        <v>20</v>
      </c>
      <c r="J900">
        <v>4.220105607573192</v>
      </c>
      <c r="K900">
        <v>46240</v>
      </c>
      <c r="L900" t="s">
        <v>472</v>
      </c>
      <c r="M900">
        <v>2.8499999999999996</v>
      </c>
      <c r="N900">
        <v>2.8499999999999996</v>
      </c>
      <c r="O900">
        <v>3.0882352941176467</v>
      </c>
      <c r="P900">
        <v>0.67533854955798522</v>
      </c>
      <c r="Q900">
        <v>0.67533854955798522</v>
      </c>
      <c r="R900">
        <v>0.73179099797304903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5.6452448415063805E-2</v>
      </c>
      <c r="AC900">
        <v>0.26820900202695097</v>
      </c>
      <c r="AD900">
        <v>0</v>
      </c>
      <c r="AE900">
        <v>0</v>
      </c>
      <c r="AF900">
        <v>0</v>
      </c>
      <c r="AG900">
        <v>0.67533854955798522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1.4807388096748044</v>
      </c>
      <c r="AN900">
        <v>1.4807388096748044</v>
      </c>
      <c r="AO900">
        <v>1.0835913312693499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8.3591331269349922E-2</v>
      </c>
      <c r="AW900">
        <v>0</v>
      </c>
      <c r="AX900">
        <v>0.3971474784054545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0.92285714285714282</v>
      </c>
      <c r="BK900">
        <v>0.92285714285714282</v>
      </c>
      <c r="BL900">
        <v>1.3665103872141766</v>
      </c>
      <c r="BM900">
        <v>0.36651038721417661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0.32466145044201478</v>
      </c>
      <c r="BW900">
        <v>0</v>
      </c>
      <c r="BX900">
        <v>0</v>
      </c>
      <c r="BY900">
        <v>0</v>
      </c>
      <c r="BZ900">
        <v>0</v>
      </c>
      <c r="CA900">
        <v>0.92285714285714282</v>
      </c>
      <c r="CB900">
        <v>0</v>
      </c>
      <c r="CC900">
        <v>0</v>
      </c>
      <c r="CD900">
        <v>0</v>
      </c>
      <c r="CE900">
        <v>0</v>
      </c>
      <c r="CF900">
        <v>0</v>
      </c>
    </row>
    <row r="901" spans="1:84" x14ac:dyDescent="0.25">
      <c r="A901" t="s">
        <v>128</v>
      </c>
      <c r="B901" t="s">
        <v>422</v>
      </c>
      <c r="C901" s="14" t="s">
        <v>109</v>
      </c>
      <c r="D901" s="12">
        <v>46247</v>
      </c>
      <c r="E901" s="14" t="s">
        <v>134</v>
      </c>
      <c r="F901" s="14" t="s">
        <v>134</v>
      </c>
      <c r="G901" s="14" t="s">
        <v>134</v>
      </c>
      <c r="H901" s="14"/>
      <c r="J901">
        <v>10.390510129688344</v>
      </c>
      <c r="M901">
        <v>5.6999999999999993</v>
      </c>
      <c r="N901">
        <v>5.6999999999999993</v>
      </c>
      <c r="O901">
        <v>5.8136101499423312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0.11623373462197649</v>
      </c>
      <c r="AC901">
        <v>0.33518877217933607</v>
      </c>
      <c r="AD901">
        <v>0</v>
      </c>
      <c r="AE901">
        <v>0.10529970457683772</v>
      </c>
      <c r="AF901">
        <v>0</v>
      </c>
      <c r="AG901">
        <v>0.44327778862184958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84" x14ac:dyDescent="0.25">
      <c r="A902" t="s">
        <v>128</v>
      </c>
      <c r="B902" t="s">
        <v>422</v>
      </c>
      <c r="C902" s="14" t="s">
        <v>117</v>
      </c>
      <c r="D902" s="12">
        <v>46234</v>
      </c>
      <c r="E902" s="14"/>
      <c r="F902" s="14"/>
      <c r="G902" s="14"/>
      <c r="H902" s="14"/>
      <c r="J902">
        <v>41.072429863762913</v>
      </c>
      <c r="M902">
        <v>43.699999999999996</v>
      </c>
      <c r="N902">
        <v>43.699999999999996</v>
      </c>
      <c r="O902">
        <v>28.696217200115331</v>
      </c>
      <c r="S902">
        <v>0</v>
      </c>
      <c r="T902">
        <v>0</v>
      </c>
      <c r="U902">
        <v>0.2211862508627051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8.4510729646317062E-2</v>
      </c>
      <c r="AB902">
        <v>6.2711675085442412E-2</v>
      </c>
      <c r="AC902">
        <v>0.17901124435748944</v>
      </c>
      <c r="AD902">
        <v>0</v>
      </c>
      <c r="AE902">
        <v>0.12231528306490651</v>
      </c>
      <c r="AF902">
        <v>0</v>
      </c>
      <c r="AG902">
        <v>0.63596179749216175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84" x14ac:dyDescent="0.25">
      <c r="A903" t="s">
        <v>128</v>
      </c>
      <c r="B903" t="s">
        <v>422</v>
      </c>
      <c r="C903" s="14" t="s">
        <v>72</v>
      </c>
      <c r="D903" s="12">
        <v>46232</v>
      </c>
      <c r="E903" s="14" t="s">
        <v>133</v>
      </c>
      <c r="F903" s="14" t="s">
        <v>133</v>
      </c>
      <c r="G903" s="14" t="s">
        <v>133</v>
      </c>
      <c r="H903" s="14" t="s">
        <v>73</v>
      </c>
      <c r="I903">
        <v>20</v>
      </c>
      <c r="J903">
        <v>12.57591471056811</v>
      </c>
      <c r="K903">
        <v>46232</v>
      </c>
      <c r="L903" t="s">
        <v>447</v>
      </c>
      <c r="M903">
        <v>8.5499999999999989</v>
      </c>
      <c r="N903">
        <v>8.5499999999999989</v>
      </c>
      <c r="O903">
        <v>8.5823529411764667</v>
      </c>
      <c r="P903">
        <v>0.67987102304495173</v>
      </c>
      <c r="Q903">
        <v>0.67987102304495173</v>
      </c>
      <c r="R903">
        <v>0.68244363441526268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2.572611370310951E-3</v>
      </c>
      <c r="AC903">
        <v>0.31755636558473732</v>
      </c>
      <c r="AD903">
        <v>0</v>
      </c>
      <c r="AE903">
        <v>0</v>
      </c>
      <c r="AF903">
        <v>0</v>
      </c>
      <c r="AG903">
        <v>0.67987102304495173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1.4708672176103055</v>
      </c>
      <c r="AN903">
        <v>1.4708672176103055</v>
      </c>
      <c r="AO903">
        <v>1.0037839697282418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3.7839697282417983E-3</v>
      </c>
      <c r="AW903">
        <v>0</v>
      </c>
      <c r="AX903">
        <v>0.46708324788206368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0.99623029472241298</v>
      </c>
      <c r="BK903">
        <v>0.99623029472241298</v>
      </c>
      <c r="BL903">
        <v>1.4653224816974502</v>
      </c>
      <c r="BM903">
        <v>0.46532248169745016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0.32012897695504827</v>
      </c>
      <c r="BW903">
        <v>0</v>
      </c>
      <c r="BX903">
        <v>0</v>
      </c>
      <c r="BY903">
        <v>0</v>
      </c>
      <c r="BZ903">
        <v>0</v>
      </c>
      <c r="CA903">
        <v>0.99623029472241298</v>
      </c>
      <c r="CB903">
        <v>0</v>
      </c>
      <c r="CC903">
        <v>0</v>
      </c>
      <c r="CD903">
        <v>0</v>
      </c>
      <c r="CE903">
        <v>0</v>
      </c>
      <c r="CF903">
        <v>0</v>
      </c>
    </row>
    <row r="904" spans="1:84" x14ac:dyDescent="0.25">
      <c r="A904" t="s">
        <v>128</v>
      </c>
      <c r="B904" t="s">
        <v>422</v>
      </c>
      <c r="C904" s="14" t="s">
        <v>72</v>
      </c>
      <c r="D904" s="12">
        <v>46230</v>
      </c>
      <c r="E904" s="14" t="s">
        <v>134</v>
      </c>
      <c r="F904" s="14" t="s">
        <v>134</v>
      </c>
      <c r="G904" s="14" t="s">
        <v>134</v>
      </c>
      <c r="H904" s="14" t="s">
        <v>73</v>
      </c>
      <c r="I904">
        <v>20</v>
      </c>
      <c r="J904">
        <v>3.5072031966743116</v>
      </c>
      <c r="K904">
        <v>46230</v>
      </c>
      <c r="L904" t="s">
        <v>441</v>
      </c>
      <c r="M904">
        <v>0</v>
      </c>
      <c r="N904">
        <v>0</v>
      </c>
      <c r="O904">
        <v>0.1176470588235294</v>
      </c>
      <c r="P904">
        <v>0</v>
      </c>
      <c r="Q904">
        <v>0</v>
      </c>
      <c r="R904">
        <v>3.3544409099275356E-2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3.3544409099275356E-2</v>
      </c>
      <c r="AC904">
        <v>0.96645559090072464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J904">
        <v>0</v>
      </c>
      <c r="BK904">
        <v>0</v>
      </c>
      <c r="BL904">
        <v>29.811227171731652</v>
      </c>
      <c r="BM904">
        <v>28.811227171731652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</row>
    <row r="905" spans="1:84" x14ac:dyDescent="0.25">
      <c r="A905" t="s">
        <v>128</v>
      </c>
      <c r="B905" t="s">
        <v>422</v>
      </c>
      <c r="C905" s="14" t="s">
        <v>72</v>
      </c>
      <c r="D905" s="12">
        <v>46249</v>
      </c>
      <c r="E905" s="14" t="s">
        <v>133</v>
      </c>
      <c r="F905" s="14" t="s">
        <v>133</v>
      </c>
      <c r="G905" s="14" t="s">
        <v>133</v>
      </c>
      <c r="H905" s="14" t="s">
        <v>74</v>
      </c>
      <c r="I905">
        <v>20</v>
      </c>
      <c r="J905">
        <v>4.220105607573192</v>
      </c>
      <c r="K905">
        <v>46249</v>
      </c>
      <c r="L905" t="s">
        <v>499</v>
      </c>
      <c r="M905">
        <v>2.8499999999999996</v>
      </c>
      <c r="N905">
        <v>2.8499999999999996</v>
      </c>
      <c r="O905">
        <v>3.2647058823529398</v>
      </c>
      <c r="P905">
        <v>0.67533854955798522</v>
      </c>
      <c r="Q905">
        <v>0.67533854955798522</v>
      </c>
      <c r="R905">
        <v>0.77360762642865166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9.8269076870666439E-2</v>
      </c>
      <c r="AC905">
        <v>0.22639237357134834</v>
      </c>
      <c r="AD905">
        <v>0</v>
      </c>
      <c r="AE905">
        <v>0</v>
      </c>
      <c r="AF905">
        <v>0</v>
      </c>
      <c r="AG905">
        <v>0.67533854955798522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1.4807388096748044</v>
      </c>
      <c r="AN905">
        <v>1.4807388096748044</v>
      </c>
      <c r="AO905">
        <v>1.1455108359133124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0.14551083591331238</v>
      </c>
      <c r="AW905">
        <v>0</v>
      </c>
      <c r="AX905">
        <v>0.33522797376149205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0.87297297297297327</v>
      </c>
      <c r="BK905">
        <v>0.87297297297297327</v>
      </c>
      <c r="BL905">
        <v>1.2926449608782755</v>
      </c>
      <c r="BM905">
        <v>0.29264496087827552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0.32466145044201478</v>
      </c>
      <c r="BW905">
        <v>0</v>
      </c>
      <c r="BX905">
        <v>0</v>
      </c>
      <c r="BY905">
        <v>0</v>
      </c>
      <c r="BZ905">
        <v>0</v>
      </c>
      <c r="CA905">
        <v>0.87297297297297327</v>
      </c>
      <c r="CB905">
        <v>0</v>
      </c>
      <c r="CC905">
        <v>0</v>
      </c>
      <c r="CD905">
        <v>0</v>
      </c>
      <c r="CE905">
        <v>0</v>
      </c>
      <c r="CF905">
        <v>0</v>
      </c>
    </row>
    <row r="906" spans="1:84" x14ac:dyDescent="0.25">
      <c r="A906" t="s">
        <v>128</v>
      </c>
      <c r="B906" t="s">
        <v>422</v>
      </c>
      <c r="C906" s="14" t="s">
        <v>72</v>
      </c>
      <c r="D906" s="12">
        <v>46243</v>
      </c>
      <c r="E906" s="14" t="s">
        <v>134</v>
      </c>
      <c r="F906" s="14" t="s">
        <v>134</v>
      </c>
      <c r="G906" s="14" t="s">
        <v>134</v>
      </c>
      <c r="H906" s="14" t="s">
        <v>74</v>
      </c>
      <c r="I906">
        <v>20</v>
      </c>
      <c r="J906">
        <v>1.2735376146788988</v>
      </c>
      <c r="K906">
        <v>46243</v>
      </c>
      <c r="L906" t="s">
        <v>481</v>
      </c>
      <c r="M906">
        <v>0</v>
      </c>
      <c r="N906">
        <v>0</v>
      </c>
      <c r="O906">
        <v>6.2745098039215685E-2</v>
      </c>
      <c r="P906">
        <v>0</v>
      </c>
      <c r="Q906">
        <v>0</v>
      </c>
      <c r="R906">
        <v>4.9268350864560689E-2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4.9268350864560689E-2</v>
      </c>
      <c r="AC906">
        <v>0.95073164913543928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J906">
        <v>0</v>
      </c>
      <c r="BK906">
        <v>0</v>
      </c>
      <c r="BL906">
        <v>20.29700573394495</v>
      </c>
      <c r="BM906">
        <v>19.29700573394495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</row>
    <row r="907" spans="1:84" x14ac:dyDescent="0.25">
      <c r="A907" t="s">
        <v>128</v>
      </c>
      <c r="B907" t="s">
        <v>422</v>
      </c>
      <c r="C907" s="14" t="s">
        <v>72</v>
      </c>
      <c r="D907" s="12">
        <v>46245</v>
      </c>
      <c r="E907" s="14" t="s">
        <v>420</v>
      </c>
      <c r="F907" s="14" t="s">
        <v>420</v>
      </c>
      <c r="G907" s="14" t="s">
        <v>420</v>
      </c>
      <c r="H907" s="14" t="s">
        <v>73</v>
      </c>
      <c r="I907">
        <v>20</v>
      </c>
      <c r="J907">
        <v>3.6011567851291222</v>
      </c>
      <c r="K907">
        <v>46245</v>
      </c>
      <c r="L907" t="s">
        <v>486</v>
      </c>
      <c r="M907">
        <v>0.95</v>
      </c>
      <c r="N907">
        <v>0.95</v>
      </c>
      <c r="O907">
        <v>0.82352941176470595</v>
      </c>
      <c r="P907">
        <v>0.26380412092108813</v>
      </c>
      <c r="Q907">
        <v>0.26380412092108813</v>
      </c>
      <c r="R907">
        <v>0.22868468686657797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0.73619587907891182</v>
      </c>
      <c r="AD907">
        <v>0</v>
      </c>
      <c r="AE907">
        <v>3.5119434054510151E-2</v>
      </c>
      <c r="AF907">
        <v>0</v>
      </c>
      <c r="AG907">
        <v>0.22868468686657797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3.7906913527674972</v>
      </c>
      <c r="AN907">
        <v>3.7906913527674972</v>
      </c>
      <c r="AO907">
        <v>0.86687306501548</v>
      </c>
      <c r="BF907">
        <v>0</v>
      </c>
      <c r="BG907">
        <v>0</v>
      </c>
      <c r="BH907">
        <v>0</v>
      </c>
      <c r="BJ907">
        <v>1.1535714285714285</v>
      </c>
      <c r="BK907">
        <v>1.1535714285714285</v>
      </c>
      <c r="BL907">
        <v>4.3728332390853621</v>
      </c>
      <c r="BM907">
        <v>3.2192618105139337</v>
      </c>
      <c r="BN907">
        <v>0</v>
      </c>
      <c r="BO907">
        <v>0</v>
      </c>
      <c r="BP907">
        <v>0</v>
      </c>
      <c r="BQ907">
        <v>0</v>
      </c>
      <c r="BR907">
        <v>0.34642857142857153</v>
      </c>
      <c r="BS907">
        <v>0.15357142857142847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</row>
    <row r="908" spans="1:84" x14ac:dyDescent="0.25">
      <c r="A908" t="s">
        <v>128</v>
      </c>
      <c r="B908" t="s">
        <v>422</v>
      </c>
      <c r="C908" s="14" t="s">
        <v>72</v>
      </c>
      <c r="D908" s="12">
        <v>46245</v>
      </c>
      <c r="E908" s="14" t="s">
        <v>420</v>
      </c>
      <c r="F908" s="14" t="s">
        <v>420</v>
      </c>
      <c r="G908" s="14" t="s">
        <v>420</v>
      </c>
      <c r="H908" s="14" t="s">
        <v>74</v>
      </c>
      <c r="I908">
        <v>20</v>
      </c>
      <c r="J908">
        <v>0</v>
      </c>
      <c r="K908">
        <v>46245</v>
      </c>
      <c r="L908" t="s">
        <v>487</v>
      </c>
      <c r="M908">
        <v>0.95</v>
      </c>
      <c r="N908">
        <v>0.95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0</v>
      </c>
      <c r="CF908">
        <v>0</v>
      </c>
    </row>
    <row r="909" spans="1:84" x14ac:dyDescent="0.25">
      <c r="A909" t="s">
        <v>128</v>
      </c>
      <c r="B909" t="s">
        <v>422</v>
      </c>
      <c r="C909" s="14" t="s">
        <v>72</v>
      </c>
      <c r="D909" s="12">
        <v>46243</v>
      </c>
      <c r="E909" s="14" t="s">
        <v>134</v>
      </c>
      <c r="F909" s="14" t="s">
        <v>134</v>
      </c>
      <c r="G909" s="14" t="s">
        <v>134</v>
      </c>
      <c r="H909" s="14" t="s">
        <v>73</v>
      </c>
      <c r="I909">
        <v>20</v>
      </c>
      <c r="J909">
        <v>3.507203196674312</v>
      </c>
      <c r="K909">
        <v>46243</v>
      </c>
      <c r="L909" t="s">
        <v>480</v>
      </c>
      <c r="M909">
        <v>0.95</v>
      </c>
      <c r="N909">
        <v>0.95</v>
      </c>
      <c r="O909">
        <v>1.6911764705882355</v>
      </c>
      <c r="P909">
        <v>0.2708711034766485</v>
      </c>
      <c r="Q909">
        <v>0.2708711034766485</v>
      </c>
      <c r="R909">
        <v>0.48220088080208334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0.21132977732543484</v>
      </c>
      <c r="AC909">
        <v>0.51779911919791666</v>
      </c>
      <c r="AD909">
        <v>0</v>
      </c>
      <c r="AE909">
        <v>0</v>
      </c>
      <c r="AF909">
        <v>0</v>
      </c>
      <c r="AG909">
        <v>0.2708711034766485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3.6917928386045391</v>
      </c>
      <c r="AN909">
        <v>3.6917928386045391</v>
      </c>
      <c r="AO909">
        <v>1.7801857585139322</v>
      </c>
      <c r="BF909">
        <v>0</v>
      </c>
      <c r="BG909">
        <v>0</v>
      </c>
      <c r="BH909">
        <v>0</v>
      </c>
      <c r="BJ909">
        <v>0.56173913043478252</v>
      </c>
      <c r="BK909">
        <v>0.56173913043478252</v>
      </c>
      <c r="BL909">
        <v>2.0738244989030714</v>
      </c>
      <c r="BM909">
        <v>1.0738244989030714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0.72912889652335156</v>
      </c>
      <c r="BW909">
        <v>0</v>
      </c>
      <c r="BX909">
        <v>0</v>
      </c>
      <c r="BY909">
        <v>0</v>
      </c>
      <c r="BZ909">
        <v>0</v>
      </c>
      <c r="CA909">
        <v>0.56173913043478252</v>
      </c>
      <c r="CB909">
        <v>0</v>
      </c>
      <c r="CC909">
        <v>0</v>
      </c>
      <c r="CD909">
        <v>0</v>
      </c>
      <c r="CE909">
        <v>0</v>
      </c>
      <c r="CF909">
        <v>0</v>
      </c>
    </row>
    <row r="910" spans="1:84" x14ac:dyDescent="0.25">
      <c r="A910" t="s">
        <v>128</v>
      </c>
      <c r="B910" t="s">
        <v>422</v>
      </c>
      <c r="C910" s="14" t="s">
        <v>72</v>
      </c>
      <c r="D910" s="12">
        <v>46242</v>
      </c>
      <c r="E910" s="14" t="s">
        <v>134</v>
      </c>
      <c r="F910" s="14" t="s">
        <v>134</v>
      </c>
      <c r="G910" s="14" t="s">
        <v>134</v>
      </c>
      <c r="H910" s="14" t="s">
        <v>75</v>
      </c>
      <c r="I910">
        <v>20</v>
      </c>
      <c r="J910">
        <v>3.3711289800323798</v>
      </c>
      <c r="K910">
        <v>46242</v>
      </c>
      <c r="L910" t="s">
        <v>479</v>
      </c>
      <c r="M910">
        <v>2.8499999999999996</v>
      </c>
      <c r="N910">
        <v>2.8499999999999996</v>
      </c>
      <c r="O910">
        <v>1.9238754325259515</v>
      </c>
      <c r="P910">
        <v>0.84541410811657092</v>
      </c>
      <c r="Q910">
        <v>0.84541410811657092</v>
      </c>
      <c r="R910">
        <v>0.57069173084782787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0.15458589188342908</v>
      </c>
      <c r="AD910">
        <v>0</v>
      </c>
      <c r="AE910">
        <v>0.27472237726874305</v>
      </c>
      <c r="AF910">
        <v>0</v>
      </c>
      <c r="AG910">
        <v>0.57069173084782787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1.182852273695572</v>
      </c>
      <c r="AN910">
        <v>1.182852273695572</v>
      </c>
      <c r="AO910">
        <v>0.67504401141261461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0.182852273695572</v>
      </c>
      <c r="AY910">
        <v>0</v>
      </c>
      <c r="AZ910">
        <v>0</v>
      </c>
      <c r="BA910">
        <v>0</v>
      </c>
      <c r="BB910">
        <v>0.32495598858738539</v>
      </c>
      <c r="BC910">
        <v>0</v>
      </c>
      <c r="BD910">
        <v>0.67504401141261461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1.4813848920863308</v>
      </c>
      <c r="BK910">
        <v>1.4813848920863308</v>
      </c>
      <c r="BL910">
        <v>1.7522594878225859</v>
      </c>
      <c r="BM910">
        <v>0.27087459573625505</v>
      </c>
      <c r="BN910">
        <v>0</v>
      </c>
      <c r="BO910">
        <v>0</v>
      </c>
      <c r="BP910">
        <v>0</v>
      </c>
      <c r="BQ910">
        <v>0</v>
      </c>
      <c r="BR910">
        <v>1.861510791366916E-2</v>
      </c>
      <c r="BS910">
        <v>0.48138489208633084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</row>
    <row r="911" spans="1:84" x14ac:dyDescent="0.25">
      <c r="A911" t="s">
        <v>128</v>
      </c>
      <c r="B911" t="s">
        <v>422</v>
      </c>
      <c r="C911" s="14" t="s">
        <v>72</v>
      </c>
      <c r="D911" s="12">
        <v>46245</v>
      </c>
      <c r="E911" s="14" t="s">
        <v>420</v>
      </c>
      <c r="F911" s="14" t="s">
        <v>420</v>
      </c>
      <c r="G911" s="14" t="s">
        <v>420</v>
      </c>
      <c r="H911" s="14" t="s">
        <v>75</v>
      </c>
      <c r="I911">
        <v>20</v>
      </c>
      <c r="J911">
        <v>3.1774912809962848</v>
      </c>
      <c r="K911">
        <v>46245</v>
      </c>
      <c r="L911" t="s">
        <v>488</v>
      </c>
      <c r="M911">
        <v>0</v>
      </c>
      <c r="N911">
        <v>0</v>
      </c>
      <c r="O911">
        <v>0.16608996539792387</v>
      </c>
      <c r="P911">
        <v>0</v>
      </c>
      <c r="Q911">
        <v>0</v>
      </c>
      <c r="R911">
        <v>5.2270785569503521E-2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5.2270785569503521E-2</v>
      </c>
      <c r="AC911">
        <v>0.94772921443049651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J911">
        <v>0</v>
      </c>
      <c r="BK911">
        <v>0</v>
      </c>
      <c r="BL911">
        <v>19.131145420998465</v>
      </c>
      <c r="BM911">
        <v>18.131145420998465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</row>
    <row r="912" spans="1:84" x14ac:dyDescent="0.25">
      <c r="A912" t="s">
        <v>128</v>
      </c>
      <c r="B912" t="s">
        <v>422</v>
      </c>
      <c r="C912" s="14" t="s">
        <v>72</v>
      </c>
      <c r="D912" s="12">
        <v>46242</v>
      </c>
      <c r="E912" s="14" t="s">
        <v>134</v>
      </c>
      <c r="F912" s="14" t="s">
        <v>134</v>
      </c>
      <c r="G912" s="14" t="s">
        <v>134</v>
      </c>
      <c r="H912" s="14" t="s">
        <v>74</v>
      </c>
      <c r="I912">
        <v>20</v>
      </c>
      <c r="J912">
        <v>1.2735376146788988</v>
      </c>
      <c r="K912">
        <v>46242</v>
      </c>
      <c r="L912" t="s">
        <v>478</v>
      </c>
      <c r="M912">
        <v>0</v>
      </c>
      <c r="N912">
        <v>0</v>
      </c>
      <c r="O912">
        <v>6.2745098039215685E-2</v>
      </c>
      <c r="P912">
        <v>0</v>
      </c>
      <c r="Q912">
        <v>0</v>
      </c>
      <c r="R912">
        <v>4.9268350864560689E-2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4.9268350864560689E-2</v>
      </c>
      <c r="AC912">
        <v>0.95073164913543928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J912">
        <v>0</v>
      </c>
      <c r="BK912">
        <v>0</v>
      </c>
      <c r="BL912">
        <v>20.29700573394495</v>
      </c>
      <c r="BM912">
        <v>19.29700573394495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</row>
    <row r="913" spans="1:84" x14ac:dyDescent="0.25">
      <c r="A913" t="s">
        <v>128</v>
      </c>
      <c r="B913" t="s">
        <v>422</v>
      </c>
      <c r="C913" s="14" t="s">
        <v>72</v>
      </c>
      <c r="D913" s="12">
        <v>46246</v>
      </c>
      <c r="E913" s="14" t="s">
        <v>420</v>
      </c>
      <c r="F913" s="14" t="s">
        <v>420</v>
      </c>
      <c r="G913" s="14" t="s">
        <v>420</v>
      </c>
      <c r="H913" s="14" t="s">
        <v>73</v>
      </c>
      <c r="I913">
        <v>20</v>
      </c>
      <c r="J913">
        <v>3.6011567851291222</v>
      </c>
      <c r="K913">
        <v>46246</v>
      </c>
      <c r="L913" t="s">
        <v>489</v>
      </c>
      <c r="M913">
        <v>1.9</v>
      </c>
      <c r="N913">
        <v>1.9</v>
      </c>
      <c r="O913">
        <v>1.6470588235294119</v>
      </c>
      <c r="P913">
        <v>0.52760824184217625</v>
      </c>
      <c r="Q913">
        <v>0.52760824184217625</v>
      </c>
      <c r="R913">
        <v>0.45736937373315595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0.47239175815782375</v>
      </c>
      <c r="AD913">
        <v>0</v>
      </c>
      <c r="AE913">
        <v>7.0238868109020303E-2</v>
      </c>
      <c r="AF913">
        <v>0</v>
      </c>
      <c r="AG913">
        <v>0.45736937373315595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1.8953456763837486</v>
      </c>
      <c r="AN913">
        <v>1.8953456763837486</v>
      </c>
      <c r="AO913">
        <v>0.86687306501548</v>
      </c>
      <c r="BF913">
        <v>0</v>
      </c>
      <c r="BG913">
        <v>0</v>
      </c>
      <c r="BH913">
        <v>0</v>
      </c>
      <c r="BJ913">
        <v>1.1535714285714285</v>
      </c>
      <c r="BK913">
        <v>1.1535714285714285</v>
      </c>
      <c r="BL913">
        <v>2.1864166195426811</v>
      </c>
      <c r="BM913">
        <v>1.0328451909712526</v>
      </c>
      <c r="BN913">
        <v>0</v>
      </c>
      <c r="BO913">
        <v>0</v>
      </c>
      <c r="BP913">
        <v>0</v>
      </c>
      <c r="BQ913">
        <v>0</v>
      </c>
      <c r="BR913">
        <v>0.34642857142857153</v>
      </c>
      <c r="BS913">
        <v>0.15357142857142847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</row>
    <row r="914" spans="1:84" x14ac:dyDescent="0.25">
      <c r="A914" t="s">
        <v>128</v>
      </c>
      <c r="B914" t="s">
        <v>422</v>
      </c>
      <c r="C914" s="14" t="s">
        <v>72</v>
      </c>
      <c r="D914" s="12">
        <v>46246</v>
      </c>
      <c r="E914" s="14" t="s">
        <v>420</v>
      </c>
      <c r="F914" s="14" t="s">
        <v>420</v>
      </c>
      <c r="G914" s="14" t="s">
        <v>420</v>
      </c>
      <c r="H914" s="14" t="s">
        <v>74</v>
      </c>
      <c r="I914">
        <v>20</v>
      </c>
      <c r="J914">
        <v>0</v>
      </c>
      <c r="K914">
        <v>46246</v>
      </c>
      <c r="L914" t="s">
        <v>490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F914">
        <v>0</v>
      </c>
    </row>
    <row r="915" spans="1:84" x14ac:dyDescent="0.25">
      <c r="A915" t="s">
        <v>128</v>
      </c>
      <c r="B915" t="s">
        <v>422</v>
      </c>
      <c r="C915" s="14" t="s">
        <v>72</v>
      </c>
      <c r="D915" s="12">
        <v>46242</v>
      </c>
      <c r="E915" s="14" t="s">
        <v>134</v>
      </c>
      <c r="F915" s="14" t="s">
        <v>134</v>
      </c>
      <c r="G915" s="14" t="s">
        <v>134</v>
      </c>
      <c r="H915" s="14" t="s">
        <v>73</v>
      </c>
      <c r="I915">
        <v>20</v>
      </c>
      <c r="J915">
        <v>2.3878830275229355</v>
      </c>
      <c r="K915">
        <v>46242</v>
      </c>
      <c r="L915" t="s">
        <v>477</v>
      </c>
      <c r="M915">
        <v>0.95</v>
      </c>
      <c r="N915">
        <v>0.95</v>
      </c>
      <c r="O915">
        <v>1.6470588235294119</v>
      </c>
      <c r="P915">
        <v>0.39784193323132755</v>
      </c>
      <c r="Q915">
        <v>0.39784193323132755</v>
      </c>
      <c r="R915">
        <v>0.68975691210384971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0.29191497887252216</v>
      </c>
      <c r="AC915">
        <v>0.31024308789615029</v>
      </c>
      <c r="AD915">
        <v>0</v>
      </c>
      <c r="AE915">
        <v>0</v>
      </c>
      <c r="AF915">
        <v>0</v>
      </c>
      <c r="AG915">
        <v>0.39784193323132755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2.5135610816030902</v>
      </c>
      <c r="AN915">
        <v>2.5135610816030902</v>
      </c>
      <c r="AO915">
        <v>1.73374613003096</v>
      </c>
      <c r="BF915">
        <v>0</v>
      </c>
      <c r="BG915">
        <v>0</v>
      </c>
      <c r="BH915">
        <v>0</v>
      </c>
      <c r="BJ915">
        <v>0.57678571428571423</v>
      </c>
      <c r="BK915">
        <v>0.57678571428571423</v>
      </c>
      <c r="BL915">
        <v>1.4497861238532106</v>
      </c>
      <c r="BM915">
        <v>0.4497861238532106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0.60215806676867245</v>
      </c>
      <c r="BW915">
        <v>0</v>
      </c>
      <c r="BX915">
        <v>0</v>
      </c>
      <c r="BY915">
        <v>0</v>
      </c>
      <c r="BZ915">
        <v>0</v>
      </c>
      <c r="CA915">
        <v>0.57678571428571423</v>
      </c>
      <c r="CB915">
        <v>0</v>
      </c>
      <c r="CC915">
        <v>0</v>
      </c>
      <c r="CD915">
        <v>0</v>
      </c>
      <c r="CE915">
        <v>0</v>
      </c>
      <c r="CF915">
        <v>0</v>
      </c>
    </row>
    <row r="916" spans="1:84" x14ac:dyDescent="0.25">
      <c r="A916" t="s">
        <v>128</v>
      </c>
      <c r="B916" t="s">
        <v>422</v>
      </c>
      <c r="C916" s="14" t="s">
        <v>72</v>
      </c>
      <c r="D916" s="12">
        <v>46241</v>
      </c>
      <c r="E916" s="14" t="s">
        <v>134</v>
      </c>
      <c r="F916" s="14" t="s">
        <v>134</v>
      </c>
      <c r="G916" s="14" t="s">
        <v>134</v>
      </c>
      <c r="H916" s="14" t="s">
        <v>75</v>
      </c>
      <c r="I916">
        <v>20</v>
      </c>
      <c r="J916">
        <v>2.2474193200215868</v>
      </c>
      <c r="K916">
        <v>46241</v>
      </c>
      <c r="L916" t="s">
        <v>476</v>
      </c>
      <c r="M916">
        <v>1.9</v>
      </c>
      <c r="N916">
        <v>1.9</v>
      </c>
      <c r="O916">
        <v>2.269896193771626</v>
      </c>
      <c r="P916">
        <v>0.84541410811657081</v>
      </c>
      <c r="Q916">
        <v>0.84541410811657081</v>
      </c>
      <c r="R916">
        <v>1.0100011927234938</v>
      </c>
      <c r="S916">
        <v>1.0001192723493757E-2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0.15458589188342919</v>
      </c>
      <c r="AC916">
        <v>0</v>
      </c>
      <c r="AD916">
        <v>0</v>
      </c>
      <c r="AE916">
        <v>0</v>
      </c>
      <c r="AF916">
        <v>0</v>
      </c>
      <c r="AG916">
        <v>0.84541410811657081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1.182852273695572</v>
      </c>
      <c r="AN916">
        <v>1.182852273695572</v>
      </c>
      <c r="AO916">
        <v>1.1946822072482242</v>
      </c>
      <c r="AP916">
        <v>1.1829933552652161E-2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0.182852273695572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1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0.83704268292682937</v>
      </c>
      <c r="BK916">
        <v>0.83704268292682937</v>
      </c>
      <c r="BL916">
        <v>0.99009784068024187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9.9021593197581304E-3</v>
      </c>
      <c r="BX916">
        <v>0</v>
      </c>
      <c r="BY916">
        <v>0</v>
      </c>
      <c r="BZ916">
        <v>0</v>
      </c>
      <c r="CA916">
        <v>0.83704268292682937</v>
      </c>
      <c r="CB916">
        <v>0</v>
      </c>
      <c r="CC916">
        <v>0</v>
      </c>
      <c r="CD916">
        <v>0</v>
      </c>
      <c r="CE916">
        <v>0</v>
      </c>
      <c r="CF916">
        <v>0</v>
      </c>
    </row>
    <row r="917" spans="1:84" x14ac:dyDescent="0.25">
      <c r="A917" t="s">
        <v>128</v>
      </c>
      <c r="B917" t="s">
        <v>422</v>
      </c>
      <c r="C917" s="14" t="s">
        <v>72</v>
      </c>
      <c r="D917" s="12">
        <v>46241</v>
      </c>
      <c r="E917" s="14" t="s">
        <v>134</v>
      </c>
      <c r="F917" s="14" t="s">
        <v>134</v>
      </c>
      <c r="G917" s="14" t="s">
        <v>134</v>
      </c>
      <c r="H917" s="14" t="s">
        <v>74</v>
      </c>
      <c r="I917">
        <v>20</v>
      </c>
      <c r="J917">
        <v>1.2735376146788988</v>
      </c>
      <c r="K917">
        <v>46241</v>
      </c>
      <c r="L917" t="s">
        <v>475</v>
      </c>
      <c r="M917">
        <v>0</v>
      </c>
      <c r="N917">
        <v>0</v>
      </c>
      <c r="O917">
        <v>6.2745098039215685E-2</v>
      </c>
      <c r="P917">
        <v>0</v>
      </c>
      <c r="Q917">
        <v>0</v>
      </c>
      <c r="R917">
        <v>4.9268350864560689E-2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4.9268350864560689E-2</v>
      </c>
      <c r="AC917">
        <v>0.95073164913543928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J917">
        <v>0</v>
      </c>
      <c r="BK917">
        <v>0</v>
      </c>
      <c r="BL917">
        <v>20.29700573394495</v>
      </c>
      <c r="BM917">
        <v>19.29700573394495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</row>
    <row r="918" spans="1:84" x14ac:dyDescent="0.25">
      <c r="A918" t="s">
        <v>128</v>
      </c>
      <c r="B918" t="s">
        <v>422</v>
      </c>
      <c r="C918" s="14" t="s">
        <v>72</v>
      </c>
      <c r="D918" s="12">
        <v>46246</v>
      </c>
      <c r="E918" s="14" t="s">
        <v>420</v>
      </c>
      <c r="F918" s="14" t="s">
        <v>420</v>
      </c>
      <c r="G918" s="14" t="s">
        <v>420</v>
      </c>
      <c r="H918" s="14" t="s">
        <v>75</v>
      </c>
      <c r="I918">
        <v>20</v>
      </c>
      <c r="J918">
        <v>3.1774912809962848</v>
      </c>
      <c r="K918">
        <v>46246</v>
      </c>
      <c r="L918" t="s">
        <v>491</v>
      </c>
      <c r="M918">
        <v>0.95</v>
      </c>
      <c r="N918">
        <v>0.95</v>
      </c>
      <c r="O918">
        <v>1.0380622837370239</v>
      </c>
      <c r="P918">
        <v>0.29897800371056649</v>
      </c>
      <c r="Q918">
        <v>0.29897800371056649</v>
      </c>
      <c r="R918">
        <v>0.32669240980939696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2.7714406098830469E-2</v>
      </c>
      <c r="AC918">
        <v>0.67330759019060304</v>
      </c>
      <c r="AD918">
        <v>0</v>
      </c>
      <c r="AE918">
        <v>0</v>
      </c>
      <c r="AF918">
        <v>0</v>
      </c>
      <c r="AG918">
        <v>0.29897800371056649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3.3447276642066157</v>
      </c>
      <c r="AN918">
        <v>3.3447276642066157</v>
      </c>
      <c r="AO918">
        <v>1.0926971407758146</v>
      </c>
      <c r="BF918">
        <v>0</v>
      </c>
      <c r="BG918">
        <v>0</v>
      </c>
      <c r="BH918">
        <v>0</v>
      </c>
      <c r="BJ918">
        <v>0.91516666666666691</v>
      </c>
      <c r="BK918">
        <v>0.91516666666666691</v>
      </c>
      <c r="BL918">
        <v>3.060983267359755</v>
      </c>
      <c r="BM918">
        <v>2.060983267359755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0.70102199628943351</v>
      </c>
      <c r="BW918">
        <v>0</v>
      </c>
      <c r="BX918">
        <v>0</v>
      </c>
      <c r="BY918">
        <v>0</v>
      </c>
      <c r="BZ918">
        <v>0</v>
      </c>
      <c r="CA918">
        <v>0.91516666666666691</v>
      </c>
      <c r="CB918">
        <v>0</v>
      </c>
      <c r="CC918">
        <v>0</v>
      </c>
      <c r="CD918">
        <v>0</v>
      </c>
      <c r="CE918">
        <v>0</v>
      </c>
      <c r="CF918">
        <v>0</v>
      </c>
    </row>
    <row r="919" spans="1:84" x14ac:dyDescent="0.25">
      <c r="A919" t="s">
        <v>128</v>
      </c>
      <c r="B919" t="s">
        <v>422</v>
      </c>
      <c r="C919" s="14" t="s">
        <v>72</v>
      </c>
      <c r="D919" s="12">
        <v>46241</v>
      </c>
      <c r="E919" s="14" t="s">
        <v>134</v>
      </c>
      <c r="F919" s="14" t="s">
        <v>134</v>
      </c>
      <c r="G919" s="14" t="s">
        <v>134</v>
      </c>
      <c r="H919" s="14" t="s">
        <v>73</v>
      </c>
      <c r="I919">
        <v>20</v>
      </c>
      <c r="J919">
        <v>4.7757660550458709</v>
      </c>
      <c r="K919">
        <v>46241</v>
      </c>
      <c r="L919" t="s">
        <v>474</v>
      </c>
      <c r="M919">
        <v>4.75</v>
      </c>
      <c r="N919">
        <v>4.75</v>
      </c>
      <c r="O919">
        <v>4.0294117647058805</v>
      </c>
      <c r="P919">
        <v>0.99460483307831893</v>
      </c>
      <c r="Q919">
        <v>0.99460483307831893</v>
      </c>
      <c r="R919">
        <v>0.84372050855560143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5.3951669216810716E-3</v>
      </c>
      <c r="AD919">
        <v>0</v>
      </c>
      <c r="AE919">
        <v>0.15088432452271749</v>
      </c>
      <c r="AF919">
        <v>0</v>
      </c>
      <c r="AG919">
        <v>0.84372050855560143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1.005424432641236</v>
      </c>
      <c r="AN919">
        <v>1.005424432641236</v>
      </c>
      <c r="AO919">
        <v>0.8482972136222906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5.4244326412360433E-3</v>
      </c>
      <c r="AY919">
        <v>0</v>
      </c>
      <c r="AZ919">
        <v>0</v>
      </c>
      <c r="BA919">
        <v>0</v>
      </c>
      <c r="BB919">
        <v>0.1517027863777094</v>
      </c>
      <c r="BC919">
        <v>0</v>
      </c>
      <c r="BD919">
        <v>0.8482972136222906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1.1788321167883218</v>
      </c>
      <c r="BK919">
        <v>1.1788321167883218</v>
      </c>
      <c r="BL919">
        <v>1.1852266122011657</v>
      </c>
      <c r="BM919">
        <v>6.3944954128438702E-3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0.17883211678832178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</row>
    <row r="920" spans="1:84" x14ac:dyDescent="0.25">
      <c r="A920" t="s">
        <v>128</v>
      </c>
      <c r="B920" t="s">
        <v>422</v>
      </c>
      <c r="C920" s="14" t="s">
        <v>72</v>
      </c>
      <c r="D920" s="12">
        <v>46247</v>
      </c>
      <c r="E920" s="14" t="s">
        <v>420</v>
      </c>
      <c r="F920" s="14" t="s">
        <v>420</v>
      </c>
      <c r="G920" s="14" t="s">
        <v>420</v>
      </c>
      <c r="H920" s="14" t="s">
        <v>73</v>
      </c>
      <c r="I920">
        <v>20</v>
      </c>
      <c r="J920">
        <v>3.6011567851291222</v>
      </c>
      <c r="K920">
        <v>46247</v>
      </c>
      <c r="L920" t="s">
        <v>492</v>
      </c>
      <c r="M920">
        <v>1.9</v>
      </c>
      <c r="N920">
        <v>1.9</v>
      </c>
      <c r="O920">
        <v>1.6470588235294119</v>
      </c>
      <c r="P920">
        <v>0.52760824184217625</v>
      </c>
      <c r="Q920">
        <v>0.52760824184217625</v>
      </c>
      <c r="R920">
        <v>0.45736937373315595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0.47239175815782375</v>
      </c>
      <c r="AD920">
        <v>0</v>
      </c>
      <c r="AE920">
        <v>7.0238868109020303E-2</v>
      </c>
      <c r="AF920">
        <v>0</v>
      </c>
      <c r="AG920">
        <v>0.45736937373315595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1.8953456763837486</v>
      </c>
      <c r="AN920">
        <v>1.8953456763837486</v>
      </c>
      <c r="AO920">
        <v>0.86687306501548</v>
      </c>
      <c r="BF920">
        <v>0</v>
      </c>
      <c r="BG920">
        <v>0</v>
      </c>
      <c r="BH920">
        <v>0</v>
      </c>
      <c r="BJ920">
        <v>1.1535714285714285</v>
      </c>
      <c r="BK920">
        <v>1.1535714285714285</v>
      </c>
      <c r="BL920">
        <v>2.1864166195426811</v>
      </c>
      <c r="BM920">
        <v>1.0328451909712526</v>
      </c>
      <c r="BN920">
        <v>0</v>
      </c>
      <c r="BO920">
        <v>0</v>
      </c>
      <c r="BP920">
        <v>0</v>
      </c>
      <c r="BQ920">
        <v>0</v>
      </c>
      <c r="BR920">
        <v>0.34642857142857153</v>
      </c>
      <c r="BS920">
        <v>0.15357142857142847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</row>
    <row r="921" spans="1:84" x14ac:dyDescent="0.25">
      <c r="A921" t="s">
        <v>128</v>
      </c>
      <c r="B921" t="s">
        <v>422</v>
      </c>
      <c r="C921" s="14" t="s">
        <v>72</v>
      </c>
      <c r="D921" s="12">
        <v>46247</v>
      </c>
      <c r="E921" s="14" t="s">
        <v>420</v>
      </c>
      <c r="F921" s="14" t="s">
        <v>420</v>
      </c>
      <c r="G921" s="14" t="s">
        <v>420</v>
      </c>
      <c r="H921" s="14" t="s">
        <v>74</v>
      </c>
      <c r="I921">
        <v>20</v>
      </c>
      <c r="J921">
        <v>0</v>
      </c>
      <c r="K921">
        <v>46247</v>
      </c>
      <c r="L921" t="s">
        <v>493</v>
      </c>
      <c r="M921">
        <v>0.95</v>
      </c>
      <c r="N921">
        <v>0.95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1</v>
      </c>
      <c r="CD921">
        <v>0</v>
      </c>
      <c r="CF921">
        <v>0</v>
      </c>
    </row>
    <row r="922" spans="1:84" x14ac:dyDescent="0.25">
      <c r="A922" t="s">
        <v>128</v>
      </c>
      <c r="B922" t="s">
        <v>422</v>
      </c>
      <c r="C922" s="14" t="s">
        <v>72</v>
      </c>
      <c r="D922" s="12">
        <v>46247</v>
      </c>
      <c r="E922" s="14" t="s">
        <v>420</v>
      </c>
      <c r="F922" s="14" t="s">
        <v>420</v>
      </c>
      <c r="G922" s="14" t="s">
        <v>420</v>
      </c>
      <c r="H922" s="14" t="s">
        <v>75</v>
      </c>
      <c r="I922">
        <v>20</v>
      </c>
      <c r="J922">
        <v>3.1774912809962848</v>
      </c>
      <c r="K922">
        <v>46247</v>
      </c>
      <c r="L922" t="s">
        <v>494</v>
      </c>
      <c r="M922">
        <v>0</v>
      </c>
      <c r="N922">
        <v>0</v>
      </c>
      <c r="O922">
        <v>0.33217993079584773</v>
      </c>
      <c r="P922">
        <v>0</v>
      </c>
      <c r="Q922">
        <v>0</v>
      </c>
      <c r="R922">
        <v>0.10454157113900704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0.10454157113900704</v>
      </c>
      <c r="AC922">
        <v>0.89545842886099292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J922">
        <v>0</v>
      </c>
      <c r="BK922">
        <v>0</v>
      </c>
      <c r="BL922">
        <v>9.5655727104992323</v>
      </c>
      <c r="BM922">
        <v>8.5655727104992323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</row>
    <row r="923" spans="1:84" x14ac:dyDescent="0.25">
      <c r="A923" t="s">
        <v>128</v>
      </c>
      <c r="B923" t="s">
        <v>422</v>
      </c>
      <c r="C923" s="14" t="s">
        <v>72</v>
      </c>
      <c r="D923" s="12">
        <v>46240</v>
      </c>
      <c r="E923" s="14" t="s">
        <v>134</v>
      </c>
      <c r="F923" s="14" t="s">
        <v>134</v>
      </c>
      <c r="G923" s="14" t="s">
        <v>134</v>
      </c>
      <c r="H923" s="14" t="s">
        <v>75</v>
      </c>
      <c r="I923">
        <v>20</v>
      </c>
      <c r="J923">
        <v>3.5115926875337284</v>
      </c>
      <c r="K923">
        <v>46240</v>
      </c>
      <c r="L923" t="s">
        <v>473</v>
      </c>
      <c r="M923">
        <v>2.8499999999999996</v>
      </c>
      <c r="N923">
        <v>2.8499999999999996</v>
      </c>
      <c r="O923">
        <v>2.0484429065743943</v>
      </c>
      <c r="P923">
        <v>0.81159754379190818</v>
      </c>
      <c r="Q923">
        <v>0.81159754379190818</v>
      </c>
      <c r="R923">
        <v>0.58333727423639858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0.18840245620809182</v>
      </c>
      <c r="AD923">
        <v>0</v>
      </c>
      <c r="AE923">
        <v>0.2282602695555096</v>
      </c>
      <c r="AF923">
        <v>0</v>
      </c>
      <c r="AG923">
        <v>0.58333727423639858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1.2321377850995541</v>
      </c>
      <c r="AN923">
        <v>1.2321377850995541</v>
      </c>
      <c r="AO923">
        <v>0.71875189704364717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0.23213778509955407</v>
      </c>
      <c r="AY923">
        <v>0</v>
      </c>
      <c r="AZ923">
        <v>0</v>
      </c>
      <c r="BA923">
        <v>0</v>
      </c>
      <c r="BB923">
        <v>0.28124810295635283</v>
      </c>
      <c r="BC923">
        <v>0</v>
      </c>
      <c r="BD923">
        <v>0.71875189704364717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1.3913006756756756</v>
      </c>
      <c r="BK923">
        <v>1.3913006756756756</v>
      </c>
      <c r="BL923">
        <v>1.7142741329345399</v>
      </c>
      <c r="BM923">
        <v>0.32297345725886428</v>
      </c>
      <c r="BN923">
        <v>0</v>
      </c>
      <c r="BO923">
        <v>0</v>
      </c>
      <c r="BP923">
        <v>0</v>
      </c>
      <c r="BQ923">
        <v>0</v>
      </c>
      <c r="BR923">
        <v>0.10869932432432439</v>
      </c>
      <c r="BS923">
        <v>0.39130067567567561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</row>
    <row r="924" spans="1:84" x14ac:dyDescent="0.25">
      <c r="A924" t="s">
        <v>128</v>
      </c>
      <c r="B924" t="s">
        <v>422</v>
      </c>
      <c r="C924" s="14" t="s">
        <v>72</v>
      </c>
      <c r="D924" s="12">
        <v>46248</v>
      </c>
      <c r="E924" s="14" t="s">
        <v>420</v>
      </c>
      <c r="F924" s="14" t="s">
        <v>420</v>
      </c>
      <c r="G924" s="14" t="s">
        <v>420</v>
      </c>
      <c r="H924" s="14" t="s">
        <v>73</v>
      </c>
      <c r="I924">
        <v>20</v>
      </c>
      <c r="J924">
        <v>3.6011567851291222</v>
      </c>
      <c r="K924">
        <v>46248</v>
      </c>
      <c r="L924" t="s">
        <v>495</v>
      </c>
      <c r="M924">
        <v>0.95</v>
      </c>
      <c r="N924">
        <v>0.95</v>
      </c>
      <c r="O924">
        <v>0.82352941176470595</v>
      </c>
      <c r="P924">
        <v>0.26380412092108813</v>
      </c>
      <c r="Q924">
        <v>0.26380412092108813</v>
      </c>
      <c r="R924">
        <v>0.22868468686657797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0.73619587907891182</v>
      </c>
      <c r="AD924">
        <v>0</v>
      </c>
      <c r="AE924">
        <v>3.5119434054510151E-2</v>
      </c>
      <c r="AF924">
        <v>0</v>
      </c>
      <c r="AG924">
        <v>0.22868468686657797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3.7906913527674972</v>
      </c>
      <c r="AN924">
        <v>3.7906913527674972</v>
      </c>
      <c r="AO924">
        <v>0.86687306501548</v>
      </c>
      <c r="BF924">
        <v>0</v>
      </c>
      <c r="BG924">
        <v>0</v>
      </c>
      <c r="BH924">
        <v>0</v>
      </c>
      <c r="BJ924">
        <v>1.1535714285714285</v>
      </c>
      <c r="BK924">
        <v>1.1535714285714285</v>
      </c>
      <c r="BL924">
        <v>4.3728332390853621</v>
      </c>
      <c r="BM924">
        <v>3.2192618105139337</v>
      </c>
      <c r="BN924">
        <v>0</v>
      </c>
      <c r="BO924">
        <v>0</v>
      </c>
      <c r="BP924">
        <v>0</v>
      </c>
      <c r="BQ924">
        <v>0</v>
      </c>
      <c r="BR924">
        <v>0.34642857142857153</v>
      </c>
      <c r="BS924">
        <v>0.15357142857142847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</row>
    <row r="925" spans="1:84" x14ac:dyDescent="0.25">
      <c r="A925" t="s">
        <v>128</v>
      </c>
      <c r="B925" t="s">
        <v>422</v>
      </c>
      <c r="C925" s="14" t="s">
        <v>72</v>
      </c>
      <c r="D925" s="12">
        <v>46240</v>
      </c>
      <c r="E925" s="14" t="s">
        <v>134</v>
      </c>
      <c r="F925" s="14" t="s">
        <v>134</v>
      </c>
      <c r="G925" s="14" t="s">
        <v>134</v>
      </c>
      <c r="H925" s="14" t="s">
        <v>74</v>
      </c>
      <c r="I925">
        <v>20</v>
      </c>
      <c r="J925">
        <v>1.2735376146788988</v>
      </c>
      <c r="K925">
        <v>46240</v>
      </c>
      <c r="L925" t="s">
        <v>472</v>
      </c>
      <c r="M925">
        <v>0</v>
      </c>
      <c r="N925">
        <v>0</v>
      </c>
      <c r="O925">
        <v>6.2745098039215685E-2</v>
      </c>
      <c r="P925">
        <v>0</v>
      </c>
      <c r="Q925">
        <v>0</v>
      </c>
      <c r="R925">
        <v>4.9268350864560689E-2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4.9268350864560689E-2</v>
      </c>
      <c r="AC925">
        <v>0.95073164913543928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J925">
        <v>0</v>
      </c>
      <c r="BK925">
        <v>0</v>
      </c>
      <c r="BL925">
        <v>20.29700573394495</v>
      </c>
      <c r="BM925">
        <v>19.29700573394495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 spans="1:84" x14ac:dyDescent="0.25">
      <c r="A926" t="s">
        <v>128</v>
      </c>
      <c r="B926" t="s">
        <v>422</v>
      </c>
      <c r="C926" s="14" t="s">
        <v>72</v>
      </c>
      <c r="D926" s="12">
        <v>46240</v>
      </c>
      <c r="E926" s="14" t="s">
        <v>134</v>
      </c>
      <c r="F926" s="14" t="s">
        <v>134</v>
      </c>
      <c r="G926" s="14" t="s">
        <v>134</v>
      </c>
      <c r="H926" s="14" t="s">
        <v>73</v>
      </c>
      <c r="I926">
        <v>20</v>
      </c>
      <c r="J926">
        <v>5.9697075688073395</v>
      </c>
      <c r="K926">
        <v>46240</v>
      </c>
      <c r="L926" t="s">
        <v>471</v>
      </c>
      <c r="M926">
        <v>0.95</v>
      </c>
      <c r="N926">
        <v>0.95</v>
      </c>
      <c r="O926">
        <v>2.514705882352942</v>
      </c>
      <c r="P926">
        <v>0.15913677329253098</v>
      </c>
      <c r="Q926">
        <v>0.15913677329253098</v>
      </c>
      <c r="R926">
        <v>0.42124439989199397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0.26210762659946296</v>
      </c>
      <c r="AC926">
        <v>0.57875560010800609</v>
      </c>
      <c r="AD926">
        <v>0</v>
      </c>
      <c r="AE926">
        <v>0</v>
      </c>
      <c r="AF926">
        <v>0</v>
      </c>
      <c r="AG926">
        <v>0.15913677329253098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6.2839027040077262</v>
      </c>
      <c r="AN926">
        <v>6.2839027040077262</v>
      </c>
      <c r="AO926">
        <v>2.6470588235294126</v>
      </c>
      <c r="BF926">
        <v>0</v>
      </c>
      <c r="BG926">
        <v>0</v>
      </c>
      <c r="BH926">
        <v>0</v>
      </c>
      <c r="BJ926">
        <v>0.37777777777777766</v>
      </c>
      <c r="BK926">
        <v>0.37777777777777766</v>
      </c>
      <c r="BL926">
        <v>2.3739187992918067</v>
      </c>
      <c r="BM926">
        <v>1.3739187992918067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0.84086322670746905</v>
      </c>
      <c r="BW926">
        <v>0</v>
      </c>
      <c r="BX926">
        <v>0</v>
      </c>
      <c r="BY926">
        <v>0</v>
      </c>
      <c r="BZ926">
        <v>0</v>
      </c>
      <c r="CA926">
        <v>0.37777777777777766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 spans="1:84" x14ac:dyDescent="0.25">
      <c r="A927" t="s">
        <v>128</v>
      </c>
      <c r="B927" t="s">
        <v>422</v>
      </c>
      <c r="C927" s="14" t="s">
        <v>72</v>
      </c>
      <c r="D927" s="12">
        <v>46248</v>
      </c>
      <c r="E927" s="14" t="s">
        <v>420</v>
      </c>
      <c r="F927" s="14" t="s">
        <v>420</v>
      </c>
      <c r="G927" s="14" t="s">
        <v>420</v>
      </c>
      <c r="H927" s="14" t="s">
        <v>74</v>
      </c>
      <c r="I927">
        <v>20</v>
      </c>
      <c r="J927">
        <v>0</v>
      </c>
      <c r="K927">
        <v>46248</v>
      </c>
      <c r="L927" t="s">
        <v>496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F927">
        <v>0</v>
      </c>
    </row>
    <row r="928" spans="1:84" x14ac:dyDescent="0.25">
      <c r="A928" t="s">
        <v>128</v>
      </c>
      <c r="B928" t="s">
        <v>422</v>
      </c>
      <c r="C928" s="14" t="s">
        <v>72</v>
      </c>
      <c r="D928" s="12">
        <v>46239</v>
      </c>
      <c r="E928" s="14" t="s">
        <v>134</v>
      </c>
      <c r="F928" s="14" t="s">
        <v>134</v>
      </c>
      <c r="G928" s="14" t="s">
        <v>134</v>
      </c>
      <c r="H928" s="14" t="s">
        <v>75</v>
      </c>
      <c r="I928">
        <v>20</v>
      </c>
      <c r="J928">
        <v>3.9329838100377761</v>
      </c>
      <c r="K928">
        <v>46239</v>
      </c>
      <c r="L928" t="s">
        <v>470</v>
      </c>
      <c r="M928">
        <v>2.8499999999999996</v>
      </c>
      <c r="N928">
        <v>2.8499999999999996</v>
      </c>
      <c r="O928">
        <v>2.2113388341762041</v>
      </c>
      <c r="P928">
        <v>0.72464066409991801</v>
      </c>
      <c r="Q928">
        <v>0.72464066409991801</v>
      </c>
      <c r="R928">
        <v>0.56225475134995895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0.27535933590008199</v>
      </c>
      <c r="AD928">
        <v>0</v>
      </c>
      <c r="AE928">
        <v>0.16238591274995906</v>
      </c>
      <c r="AF928">
        <v>0</v>
      </c>
      <c r="AG928">
        <v>0.56225475134995895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1.3799943193115005</v>
      </c>
      <c r="AN928">
        <v>1.3799943193115005</v>
      </c>
      <c r="AO928">
        <v>0.77590836286884368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0.37999431931150052</v>
      </c>
      <c r="AY928">
        <v>0</v>
      </c>
      <c r="AZ928">
        <v>0</v>
      </c>
      <c r="BA928">
        <v>0</v>
      </c>
      <c r="BB928">
        <v>0.22409163713115632</v>
      </c>
      <c r="BC928">
        <v>0</v>
      </c>
      <c r="BD928">
        <v>0.77590836286884368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1.2888119884448723</v>
      </c>
      <c r="BK928">
        <v>1.2888119884448723</v>
      </c>
      <c r="BL928">
        <v>1.7785532227144831</v>
      </c>
      <c r="BM928">
        <v>0.4897412342696108</v>
      </c>
      <c r="BN928">
        <v>0</v>
      </c>
      <c r="BO928">
        <v>0</v>
      </c>
      <c r="BP928">
        <v>0</v>
      </c>
      <c r="BQ928">
        <v>0</v>
      </c>
      <c r="BR928">
        <v>0.21118801155512767</v>
      </c>
      <c r="BS928">
        <v>0.28881198844487233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</row>
    <row r="929" spans="1:84" x14ac:dyDescent="0.25">
      <c r="A929" t="s">
        <v>128</v>
      </c>
      <c r="B929" t="s">
        <v>422</v>
      </c>
      <c r="C929" s="14" t="s">
        <v>72</v>
      </c>
      <c r="D929" s="12">
        <v>46244</v>
      </c>
      <c r="E929" s="14" t="s">
        <v>420</v>
      </c>
      <c r="F929" s="14" t="s">
        <v>420</v>
      </c>
      <c r="G929" s="14" t="s">
        <v>420</v>
      </c>
      <c r="H929" s="14" t="s">
        <v>75</v>
      </c>
      <c r="I929">
        <v>20</v>
      </c>
      <c r="J929">
        <v>3.1774912809962848</v>
      </c>
      <c r="K929">
        <v>46244</v>
      </c>
      <c r="L929" t="s">
        <v>485</v>
      </c>
      <c r="M929">
        <v>0</v>
      </c>
      <c r="N929">
        <v>0</v>
      </c>
      <c r="O929">
        <v>0.16608996539792387</v>
      </c>
      <c r="P929">
        <v>0</v>
      </c>
      <c r="Q929">
        <v>0</v>
      </c>
      <c r="R929">
        <v>5.2270785569503521E-2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5.2270785569503521E-2</v>
      </c>
      <c r="AC929">
        <v>0.94772921443049651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J929">
        <v>0</v>
      </c>
      <c r="BK929">
        <v>0</v>
      </c>
      <c r="BL929">
        <v>19.131145420998465</v>
      </c>
      <c r="BM929">
        <v>18.131145420998465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</row>
    <row r="930" spans="1:84" x14ac:dyDescent="0.25">
      <c r="A930" t="s">
        <v>128</v>
      </c>
      <c r="B930" t="s">
        <v>422</v>
      </c>
      <c r="C930" s="14" t="s">
        <v>72</v>
      </c>
      <c r="D930" s="12">
        <v>46243</v>
      </c>
      <c r="E930" s="14" t="s">
        <v>134</v>
      </c>
      <c r="F930" s="14" t="s">
        <v>134</v>
      </c>
      <c r="G930" s="14" t="s">
        <v>134</v>
      </c>
      <c r="H930" s="14" t="s">
        <v>75</v>
      </c>
      <c r="I930">
        <v>20</v>
      </c>
      <c r="J930">
        <v>3.3711289800323798</v>
      </c>
      <c r="K930">
        <v>46243</v>
      </c>
      <c r="L930" t="s">
        <v>482</v>
      </c>
      <c r="M930">
        <v>2.8499999999999996</v>
      </c>
      <c r="N930">
        <v>2.8499999999999996</v>
      </c>
      <c r="O930">
        <v>1.882352941176471</v>
      </c>
      <c r="P930">
        <v>0.84541410811657092</v>
      </c>
      <c r="Q930">
        <v>0.84541410811657092</v>
      </c>
      <c r="R930">
        <v>0.55837464313168783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0.15458589188342908</v>
      </c>
      <c r="AD930">
        <v>0</v>
      </c>
      <c r="AE930">
        <v>0.28703946498488309</v>
      </c>
      <c r="AF930">
        <v>0</v>
      </c>
      <c r="AG930">
        <v>0.55837464313168783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1.182852273695572</v>
      </c>
      <c r="AN930">
        <v>1.182852273695572</v>
      </c>
      <c r="AO930">
        <v>0.66047471620227061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0.182852273695572</v>
      </c>
      <c r="AY930">
        <v>0</v>
      </c>
      <c r="AZ930">
        <v>0</v>
      </c>
      <c r="BA930">
        <v>0</v>
      </c>
      <c r="BB930">
        <v>0.33952528379772939</v>
      </c>
      <c r="BC930">
        <v>0</v>
      </c>
      <c r="BD930">
        <v>0.66047471620227061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1.5140624999999994</v>
      </c>
      <c r="BK930">
        <v>1.5140624999999994</v>
      </c>
      <c r="BL930">
        <v>1.7909122706422014</v>
      </c>
      <c r="CC930">
        <v>0</v>
      </c>
      <c r="CD930">
        <v>0</v>
      </c>
      <c r="CE930">
        <v>0</v>
      </c>
    </row>
    <row r="931" spans="1:84" x14ac:dyDescent="0.25">
      <c r="A931" t="s">
        <v>128</v>
      </c>
      <c r="B931" t="s">
        <v>422</v>
      </c>
      <c r="C931" s="14" t="s">
        <v>72</v>
      </c>
      <c r="D931" s="12">
        <v>46244</v>
      </c>
      <c r="E931" s="14" t="s">
        <v>420</v>
      </c>
      <c r="F931" s="14" t="s">
        <v>420</v>
      </c>
      <c r="G931" s="14" t="s">
        <v>420</v>
      </c>
      <c r="H931" s="14" t="s">
        <v>74</v>
      </c>
      <c r="I931">
        <v>20</v>
      </c>
      <c r="J931">
        <v>0</v>
      </c>
      <c r="K931">
        <v>46244</v>
      </c>
      <c r="L931" t="s">
        <v>484</v>
      </c>
      <c r="M931">
        <v>0.95</v>
      </c>
      <c r="N931">
        <v>0.95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1</v>
      </c>
      <c r="CD931">
        <v>0</v>
      </c>
      <c r="CF931">
        <v>0</v>
      </c>
    </row>
    <row r="932" spans="1:84" x14ac:dyDescent="0.25">
      <c r="A932" t="s">
        <v>128</v>
      </c>
      <c r="B932" t="s">
        <v>422</v>
      </c>
      <c r="C932" s="14" t="s">
        <v>72</v>
      </c>
      <c r="D932" s="12">
        <v>46244</v>
      </c>
      <c r="E932" s="14" t="s">
        <v>134</v>
      </c>
      <c r="F932" s="14" t="s">
        <v>134</v>
      </c>
      <c r="G932" s="14" t="s">
        <v>134</v>
      </c>
      <c r="H932" s="14" t="s">
        <v>73</v>
      </c>
      <c r="I932">
        <v>20</v>
      </c>
      <c r="J932">
        <v>3.507203196674312</v>
      </c>
      <c r="K932">
        <v>46244</v>
      </c>
      <c r="L932" t="s">
        <v>483</v>
      </c>
      <c r="M932">
        <v>0.95</v>
      </c>
      <c r="N932">
        <v>0.95</v>
      </c>
      <c r="O932">
        <v>3.2205882352941169</v>
      </c>
      <c r="P932">
        <v>0.2708711034766485</v>
      </c>
      <c r="Q932">
        <v>0.2708711034766485</v>
      </c>
      <c r="R932">
        <v>0.91827819909266273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0.64740709561601428</v>
      </c>
      <c r="AC932">
        <v>8.1721800907337272E-2</v>
      </c>
      <c r="AD932">
        <v>0</v>
      </c>
      <c r="AE932">
        <v>0</v>
      </c>
      <c r="AF932">
        <v>0</v>
      </c>
      <c r="AG932">
        <v>0.2708711034766485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3.6917928386045391</v>
      </c>
      <c r="AN932">
        <v>3.6917928386045391</v>
      </c>
      <c r="AO932">
        <v>3.3900928792569651</v>
      </c>
      <c r="BF932">
        <v>0</v>
      </c>
      <c r="BG932">
        <v>0</v>
      </c>
      <c r="BH932">
        <v>0</v>
      </c>
      <c r="BJ932">
        <v>0.29497716894977177</v>
      </c>
      <c r="BK932">
        <v>0.29497716894977177</v>
      </c>
      <c r="BL932">
        <v>1.0889945998806085</v>
      </c>
      <c r="BM932">
        <v>8.8994599880608538E-2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0.72912889652335156</v>
      </c>
      <c r="BW932">
        <v>0</v>
      </c>
      <c r="BX932">
        <v>0</v>
      </c>
      <c r="BY932">
        <v>0</v>
      </c>
      <c r="BZ932">
        <v>0</v>
      </c>
      <c r="CA932">
        <v>0.29497716894977177</v>
      </c>
      <c r="CB932">
        <v>0</v>
      </c>
      <c r="CC932">
        <v>0</v>
      </c>
      <c r="CD932">
        <v>0</v>
      </c>
      <c r="CE932">
        <v>0</v>
      </c>
      <c r="CF932">
        <v>0</v>
      </c>
    </row>
    <row r="933" spans="1:84" x14ac:dyDescent="0.25">
      <c r="A933" t="s">
        <v>128</v>
      </c>
      <c r="B933" t="s">
        <v>422</v>
      </c>
      <c r="C933" s="14" t="s">
        <v>72</v>
      </c>
      <c r="D933" s="12">
        <v>46248</v>
      </c>
      <c r="E933" s="14" t="s">
        <v>134</v>
      </c>
      <c r="F933" s="14" t="s">
        <v>134</v>
      </c>
      <c r="G933" s="14" t="s">
        <v>134</v>
      </c>
      <c r="H933" s="14" t="s">
        <v>73</v>
      </c>
      <c r="I933">
        <v>20</v>
      </c>
      <c r="J933">
        <v>4.5519020212155956</v>
      </c>
      <c r="K933">
        <v>46248</v>
      </c>
      <c r="L933" t="s">
        <v>495</v>
      </c>
      <c r="M933">
        <v>3.8</v>
      </c>
      <c r="N933">
        <v>3.8</v>
      </c>
      <c r="O933">
        <v>3.3970588235294112</v>
      </c>
      <c r="P933">
        <v>0.83481585989524465</v>
      </c>
      <c r="Q933">
        <v>0.83481585989524465</v>
      </c>
      <c r="R933">
        <v>0.74629436391564052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0.16518414010475535</v>
      </c>
      <c r="AD933">
        <v>0</v>
      </c>
      <c r="AE933">
        <v>8.8521495979604126E-2</v>
      </c>
      <c r="AF933">
        <v>0</v>
      </c>
      <c r="AG933">
        <v>0.74629436391564052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1.1978689529514726</v>
      </c>
      <c r="AN933">
        <v>1.1978689529514726</v>
      </c>
      <c r="AO933">
        <v>0.89396284829721351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0.19786895295147255</v>
      </c>
      <c r="AY933">
        <v>0</v>
      </c>
      <c r="AZ933">
        <v>0</v>
      </c>
      <c r="BA933">
        <v>0</v>
      </c>
      <c r="BB933">
        <v>0.10603715170278649</v>
      </c>
      <c r="BC933">
        <v>0</v>
      </c>
      <c r="BD933">
        <v>0.89396284829721351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1.1186147186147188</v>
      </c>
      <c r="BK933">
        <v>1.1186147186147188</v>
      </c>
      <c r="BL933">
        <v>1.3399538417431192</v>
      </c>
      <c r="BM933">
        <v>0.22133912312840032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0.11861471861471884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0</v>
      </c>
      <c r="CC933">
        <v>0</v>
      </c>
      <c r="CD933">
        <v>0</v>
      </c>
      <c r="CE933">
        <v>0</v>
      </c>
      <c r="CF933">
        <v>0</v>
      </c>
    </row>
    <row r="934" spans="1:84" x14ac:dyDescent="0.25">
      <c r="A934" t="s">
        <v>128</v>
      </c>
      <c r="B934" t="s">
        <v>422</v>
      </c>
      <c r="C934" s="14" t="s">
        <v>72</v>
      </c>
      <c r="D934" s="12">
        <v>46240</v>
      </c>
      <c r="E934" s="14" t="s">
        <v>420</v>
      </c>
      <c r="F934" s="14" t="s">
        <v>420</v>
      </c>
      <c r="G934" s="14" t="s">
        <v>420</v>
      </c>
      <c r="H934" s="14" t="s">
        <v>74</v>
      </c>
      <c r="I934">
        <v>20</v>
      </c>
      <c r="J934">
        <v>0</v>
      </c>
      <c r="K934">
        <v>46240</v>
      </c>
      <c r="L934" t="s">
        <v>472</v>
      </c>
      <c r="M934">
        <v>0.95</v>
      </c>
      <c r="N934">
        <v>0.95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1</v>
      </c>
      <c r="CD934">
        <v>0</v>
      </c>
      <c r="CF934">
        <v>0</v>
      </c>
    </row>
    <row r="935" spans="1:84" x14ac:dyDescent="0.25">
      <c r="A935" t="s">
        <v>128</v>
      </c>
      <c r="B935" t="s">
        <v>422</v>
      </c>
      <c r="C935" s="14" t="s">
        <v>72</v>
      </c>
      <c r="D935" s="12">
        <v>46247</v>
      </c>
      <c r="E935" s="14" t="s">
        <v>134</v>
      </c>
      <c r="F935" s="14" t="s">
        <v>134</v>
      </c>
      <c r="G935" s="14" t="s">
        <v>134</v>
      </c>
      <c r="H935" s="14" t="s">
        <v>75</v>
      </c>
      <c r="I935">
        <v>20</v>
      </c>
      <c r="J935">
        <v>3.3711289800323794</v>
      </c>
      <c r="K935">
        <v>46247</v>
      </c>
      <c r="L935" t="s">
        <v>494</v>
      </c>
      <c r="M935">
        <v>1.9</v>
      </c>
      <c r="N935">
        <v>1.9</v>
      </c>
      <c r="O935">
        <v>3.0449826989619377</v>
      </c>
      <c r="P935">
        <v>0.56360940541104732</v>
      </c>
      <c r="Q935">
        <v>0.56360940541104732</v>
      </c>
      <c r="R935">
        <v>0.90325309918361263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0.33964369377256531</v>
      </c>
      <c r="AC935">
        <v>9.6746900816387371E-2</v>
      </c>
      <c r="AD935">
        <v>0</v>
      </c>
      <c r="AE935">
        <v>0</v>
      </c>
      <c r="AF935">
        <v>0</v>
      </c>
      <c r="AG935">
        <v>0.56360940541104732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1.7742784105433576</v>
      </c>
      <c r="AN935">
        <v>1.7742784105433576</v>
      </c>
      <c r="AO935">
        <v>1.602622473137862</v>
      </c>
      <c r="BF935">
        <v>0</v>
      </c>
      <c r="BG935">
        <v>0</v>
      </c>
      <c r="BH935">
        <v>0</v>
      </c>
      <c r="BJ935">
        <v>0.62397727272727266</v>
      </c>
      <c r="BK935">
        <v>0.62397727272727266</v>
      </c>
      <c r="BL935">
        <v>1.1071094036697247</v>
      </c>
      <c r="BM935">
        <v>0.10710940366972466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0.43639059458895268</v>
      </c>
      <c r="BW935">
        <v>0</v>
      </c>
      <c r="BX935">
        <v>0</v>
      </c>
      <c r="BY935">
        <v>0</v>
      </c>
      <c r="BZ935">
        <v>0</v>
      </c>
      <c r="CA935">
        <v>0.62397727272727266</v>
      </c>
      <c r="CB935">
        <v>0</v>
      </c>
      <c r="CC935">
        <v>0</v>
      </c>
      <c r="CD935">
        <v>0</v>
      </c>
      <c r="CE935">
        <v>0</v>
      </c>
      <c r="CF935">
        <v>0</v>
      </c>
    </row>
    <row r="936" spans="1:84" x14ac:dyDescent="0.25">
      <c r="A936" t="s">
        <v>128</v>
      </c>
      <c r="B936" t="s">
        <v>422</v>
      </c>
      <c r="C936" s="14" t="s">
        <v>72</v>
      </c>
      <c r="D936" s="12">
        <v>46240</v>
      </c>
      <c r="E936" s="14" t="s">
        <v>420</v>
      </c>
      <c r="F936" s="14" t="s">
        <v>420</v>
      </c>
      <c r="G936" s="14" t="s">
        <v>420</v>
      </c>
      <c r="H936" s="14" t="s">
        <v>75</v>
      </c>
      <c r="I936">
        <v>20</v>
      </c>
      <c r="J936">
        <v>3.1774912809962848</v>
      </c>
      <c r="K936">
        <v>46240</v>
      </c>
      <c r="L936" t="s">
        <v>473</v>
      </c>
      <c r="M936">
        <v>0.95</v>
      </c>
      <c r="N936">
        <v>0.95</v>
      </c>
      <c r="O936">
        <v>0.44472773629575663</v>
      </c>
      <c r="P936">
        <v>0.29897800371056649</v>
      </c>
      <c r="Q936">
        <v>0.29897800371056649</v>
      </c>
      <c r="R936">
        <v>0.13996190609728903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0.70102199628943351</v>
      </c>
      <c r="AD936">
        <v>0</v>
      </c>
      <c r="AE936">
        <v>0.15901609761327745</v>
      </c>
      <c r="AF936">
        <v>0</v>
      </c>
      <c r="AG936">
        <v>0.13996190609728903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3.3447276642066157</v>
      </c>
      <c r="AN936">
        <v>3.3447276642066157</v>
      </c>
      <c r="AO936">
        <v>0.46813445925869118</v>
      </c>
      <c r="BF936">
        <v>0</v>
      </c>
      <c r="BG936">
        <v>0</v>
      </c>
      <c r="BH936">
        <v>0</v>
      </c>
      <c r="BJ936">
        <v>2.1361384111384112</v>
      </c>
      <c r="BK936">
        <v>2.1361384111384112</v>
      </c>
      <c r="BL936">
        <v>7.14480123830901</v>
      </c>
      <c r="CC936">
        <v>0</v>
      </c>
      <c r="CD936">
        <v>0</v>
      </c>
      <c r="CE936">
        <v>0</v>
      </c>
    </row>
    <row r="937" spans="1:84" x14ac:dyDescent="0.25">
      <c r="A937" t="s">
        <v>128</v>
      </c>
      <c r="B937" t="s">
        <v>422</v>
      </c>
      <c r="C937" s="14" t="s">
        <v>72</v>
      </c>
      <c r="D937" s="12">
        <v>46247</v>
      </c>
      <c r="E937" s="14" t="s">
        <v>134</v>
      </c>
      <c r="F937" s="14" t="s">
        <v>134</v>
      </c>
      <c r="G937" s="14" t="s">
        <v>134</v>
      </c>
      <c r="H937" s="14" t="s">
        <v>74</v>
      </c>
      <c r="I937">
        <v>20</v>
      </c>
      <c r="J937">
        <v>1.2735376146788988</v>
      </c>
      <c r="K937">
        <v>46247</v>
      </c>
      <c r="L937" t="s">
        <v>493</v>
      </c>
      <c r="M937">
        <v>0</v>
      </c>
      <c r="N937">
        <v>0</v>
      </c>
      <c r="O937">
        <v>6.2745098039215685E-2</v>
      </c>
      <c r="P937">
        <v>0</v>
      </c>
      <c r="Q937">
        <v>0</v>
      </c>
      <c r="R937">
        <v>4.9268350864560689E-2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4.9268350864560689E-2</v>
      </c>
      <c r="AC937">
        <v>0.95073164913543928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J937">
        <v>0</v>
      </c>
      <c r="BK937">
        <v>0</v>
      </c>
      <c r="BL937">
        <v>20.29700573394495</v>
      </c>
      <c r="BM937">
        <v>19.29700573394495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</row>
    <row r="938" spans="1:84" x14ac:dyDescent="0.25">
      <c r="A938" t="s">
        <v>128</v>
      </c>
      <c r="B938" t="s">
        <v>422</v>
      </c>
      <c r="C938" s="14" t="s">
        <v>72</v>
      </c>
      <c r="D938" s="12">
        <v>46241</v>
      </c>
      <c r="E938" s="14" t="s">
        <v>420</v>
      </c>
      <c r="F938" s="14" t="s">
        <v>420</v>
      </c>
      <c r="G938" s="14" t="s">
        <v>420</v>
      </c>
      <c r="H938" s="14" t="s">
        <v>73</v>
      </c>
      <c r="I938">
        <v>20</v>
      </c>
      <c r="J938">
        <v>3.6011567851291222</v>
      </c>
      <c r="K938">
        <v>46241</v>
      </c>
      <c r="L938" t="s">
        <v>474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</row>
    <row r="939" spans="1:84" x14ac:dyDescent="0.25">
      <c r="A939" t="s">
        <v>128</v>
      </c>
      <c r="B939" t="s">
        <v>422</v>
      </c>
      <c r="C939" s="14" t="s">
        <v>72</v>
      </c>
      <c r="D939" s="12">
        <v>46247</v>
      </c>
      <c r="E939" s="14" t="s">
        <v>134</v>
      </c>
      <c r="F939" s="14" t="s">
        <v>134</v>
      </c>
      <c r="G939" s="14" t="s">
        <v>134</v>
      </c>
      <c r="H939" s="14" t="s">
        <v>73</v>
      </c>
      <c r="I939">
        <v>20</v>
      </c>
      <c r="J939">
        <v>5.7458435349770651</v>
      </c>
      <c r="K939">
        <v>46247</v>
      </c>
      <c r="L939" t="s">
        <v>492</v>
      </c>
      <c r="M939">
        <v>3.8</v>
      </c>
      <c r="N939">
        <v>3.8</v>
      </c>
      <c r="O939">
        <v>2.7058823529411775</v>
      </c>
      <c r="P939">
        <v>0.66134762926766122</v>
      </c>
      <c r="Q939">
        <v>0.66134762926766122</v>
      </c>
      <c r="R939">
        <v>0.470928652419697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0.33865237073233878</v>
      </c>
      <c r="AD939">
        <v>0</v>
      </c>
      <c r="AE939">
        <v>0.19041897684796422</v>
      </c>
      <c r="AF939">
        <v>0</v>
      </c>
      <c r="AG939">
        <v>0.470928652419697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1.5120640881518592</v>
      </c>
      <c r="AN939">
        <v>1.5120640881518592</v>
      </c>
      <c r="AO939">
        <v>0.71207430340557309</v>
      </c>
      <c r="BF939">
        <v>0</v>
      </c>
      <c r="BG939">
        <v>0</v>
      </c>
      <c r="BH939">
        <v>0</v>
      </c>
      <c r="BJ939">
        <v>1.404347826086956</v>
      </c>
      <c r="BK939">
        <v>1.404347826086956</v>
      </c>
      <c r="BL939">
        <v>2.1234639151002188</v>
      </c>
      <c r="BM939">
        <v>0.71911608901326285</v>
      </c>
      <c r="BN939">
        <v>0</v>
      </c>
      <c r="BO939">
        <v>0</v>
      </c>
      <c r="BP939">
        <v>0</v>
      </c>
      <c r="BQ939">
        <v>0</v>
      </c>
      <c r="BR939">
        <v>9.5652173913044036E-2</v>
      </c>
      <c r="BS939">
        <v>0.40434782608695596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</row>
    <row r="940" spans="1:84" x14ac:dyDescent="0.25">
      <c r="A940" t="s">
        <v>128</v>
      </c>
      <c r="B940" t="s">
        <v>422</v>
      </c>
      <c r="C940" s="14" t="s">
        <v>72</v>
      </c>
      <c r="D940" s="12">
        <v>46241</v>
      </c>
      <c r="E940" s="14" t="s">
        <v>420</v>
      </c>
      <c r="F940" s="14" t="s">
        <v>420</v>
      </c>
      <c r="G940" s="14" t="s">
        <v>420</v>
      </c>
      <c r="H940" s="14" t="s">
        <v>74</v>
      </c>
      <c r="I940">
        <v>20</v>
      </c>
      <c r="J940">
        <v>0</v>
      </c>
      <c r="K940">
        <v>46241</v>
      </c>
      <c r="L940" t="s">
        <v>475</v>
      </c>
      <c r="M940">
        <v>0.95</v>
      </c>
      <c r="N940">
        <v>0.95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1</v>
      </c>
      <c r="CD940">
        <v>0</v>
      </c>
      <c r="CF940">
        <v>0</v>
      </c>
    </row>
    <row r="941" spans="1:84" x14ac:dyDescent="0.25">
      <c r="A941" t="s">
        <v>128</v>
      </c>
      <c r="B941" t="s">
        <v>422</v>
      </c>
      <c r="C941" s="14" t="s">
        <v>72</v>
      </c>
      <c r="D941" s="12">
        <v>46241</v>
      </c>
      <c r="E941" s="14" t="s">
        <v>420</v>
      </c>
      <c r="F941" s="14" t="s">
        <v>420</v>
      </c>
      <c r="G941" s="14" t="s">
        <v>420</v>
      </c>
      <c r="H941" s="14" t="s">
        <v>75</v>
      </c>
      <c r="I941">
        <v>20</v>
      </c>
      <c r="J941">
        <v>3.1774912809962856</v>
      </c>
      <c r="K941">
        <v>46241</v>
      </c>
      <c r="L941" t="s">
        <v>476</v>
      </c>
      <c r="M941">
        <v>0.95</v>
      </c>
      <c r="N941">
        <v>0.95</v>
      </c>
      <c r="O941">
        <v>0</v>
      </c>
      <c r="P941">
        <v>0.29897800371056643</v>
      </c>
      <c r="Q941">
        <v>0.29897800371056643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0.70102199628943351</v>
      </c>
      <c r="AD941">
        <v>0</v>
      </c>
      <c r="AE941">
        <v>0</v>
      </c>
      <c r="AF941">
        <v>0</v>
      </c>
      <c r="AG941">
        <v>0</v>
      </c>
      <c r="AH941">
        <v>0.29897800371056643</v>
      </c>
      <c r="AI941">
        <v>0</v>
      </c>
      <c r="AJ941">
        <v>0</v>
      </c>
      <c r="AK941">
        <v>0</v>
      </c>
      <c r="AL941">
        <v>0</v>
      </c>
      <c r="AM941">
        <v>3.3447276642066166</v>
      </c>
      <c r="AN941">
        <v>3.3447276642066166</v>
      </c>
      <c r="AO941">
        <v>0</v>
      </c>
      <c r="BF941">
        <v>0</v>
      </c>
      <c r="BG941">
        <v>0</v>
      </c>
      <c r="BH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</row>
    <row r="942" spans="1:84" x14ac:dyDescent="0.25">
      <c r="A942" t="s">
        <v>128</v>
      </c>
      <c r="B942" t="s">
        <v>422</v>
      </c>
      <c r="C942" s="14" t="s">
        <v>72</v>
      </c>
      <c r="D942" s="12">
        <v>46246</v>
      </c>
      <c r="E942" s="14" t="s">
        <v>134</v>
      </c>
      <c r="F942" s="14" t="s">
        <v>134</v>
      </c>
      <c r="G942" s="14" t="s">
        <v>134</v>
      </c>
      <c r="H942" s="14" t="s">
        <v>75</v>
      </c>
      <c r="I942">
        <v>20</v>
      </c>
      <c r="J942">
        <v>2.2474193200215864</v>
      </c>
      <c r="K942">
        <v>46246</v>
      </c>
      <c r="L942" t="s">
        <v>491</v>
      </c>
      <c r="M942">
        <v>0.95</v>
      </c>
      <c r="N942">
        <v>0.95</v>
      </c>
      <c r="O942">
        <v>1.3840830449826986</v>
      </c>
      <c r="P942">
        <v>0.42270705405828551</v>
      </c>
      <c r="Q942">
        <v>0.42270705405828551</v>
      </c>
      <c r="R942">
        <v>0.61585438580700846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0.19314733174872295</v>
      </c>
      <c r="AC942">
        <v>0.38414561419299154</v>
      </c>
      <c r="AD942">
        <v>0</v>
      </c>
      <c r="AE942">
        <v>0</v>
      </c>
      <c r="AF942">
        <v>0</v>
      </c>
      <c r="AG942">
        <v>0.42270705405828551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2.3657045473911436</v>
      </c>
      <c r="AN942">
        <v>2.3657045473911436</v>
      </c>
      <c r="AO942">
        <v>1.4569295210344197</v>
      </c>
      <c r="BF942">
        <v>0</v>
      </c>
      <c r="BG942">
        <v>0</v>
      </c>
      <c r="BH942">
        <v>0</v>
      </c>
      <c r="BJ942">
        <v>0.68637500000000018</v>
      </c>
      <c r="BK942">
        <v>0.68637500000000018</v>
      </c>
      <c r="BL942">
        <v>1.6237604587155965</v>
      </c>
      <c r="BM942">
        <v>0.62376045871559649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0.57729294594171443</v>
      </c>
      <c r="BW942">
        <v>0</v>
      </c>
      <c r="BX942">
        <v>0</v>
      </c>
      <c r="BY942">
        <v>0</v>
      </c>
      <c r="BZ942">
        <v>0</v>
      </c>
      <c r="CA942">
        <v>0.68637500000000018</v>
      </c>
      <c r="CB942">
        <v>0</v>
      </c>
      <c r="CC942">
        <v>0</v>
      </c>
      <c r="CD942">
        <v>0</v>
      </c>
      <c r="CE942">
        <v>0</v>
      </c>
      <c r="CF942">
        <v>0</v>
      </c>
    </row>
    <row r="943" spans="1:84" x14ac:dyDescent="0.25">
      <c r="A943" t="s">
        <v>128</v>
      </c>
      <c r="B943" t="s">
        <v>422</v>
      </c>
      <c r="C943" s="14" t="s">
        <v>72</v>
      </c>
      <c r="D943" s="12">
        <v>46242</v>
      </c>
      <c r="E943" s="14" t="s">
        <v>420</v>
      </c>
      <c r="F943" s="14" t="s">
        <v>420</v>
      </c>
      <c r="G943" s="14" t="s">
        <v>420</v>
      </c>
      <c r="H943" s="14" t="s">
        <v>73</v>
      </c>
      <c r="I943">
        <v>20</v>
      </c>
      <c r="J943">
        <v>3.6011567851291222</v>
      </c>
      <c r="K943">
        <v>46242</v>
      </c>
      <c r="L943" t="s">
        <v>477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</row>
    <row r="944" spans="1:84" x14ac:dyDescent="0.25">
      <c r="A944" t="s">
        <v>128</v>
      </c>
      <c r="B944" t="s">
        <v>422</v>
      </c>
      <c r="C944" s="14" t="s">
        <v>72</v>
      </c>
      <c r="D944" s="12">
        <v>46248</v>
      </c>
      <c r="E944" s="14" t="s">
        <v>420</v>
      </c>
      <c r="F944" s="14" t="s">
        <v>420</v>
      </c>
      <c r="G944" s="14" t="s">
        <v>420</v>
      </c>
      <c r="H944" s="14" t="s">
        <v>75</v>
      </c>
      <c r="I944">
        <v>20</v>
      </c>
      <c r="J944">
        <v>3.1774912809962848</v>
      </c>
      <c r="K944">
        <v>46248</v>
      </c>
      <c r="L944" t="s">
        <v>497</v>
      </c>
      <c r="M944">
        <v>0</v>
      </c>
      <c r="N944">
        <v>0</v>
      </c>
      <c r="O944">
        <v>0.16608996539792387</v>
      </c>
      <c r="P944">
        <v>0</v>
      </c>
      <c r="Q944">
        <v>0</v>
      </c>
      <c r="R944">
        <v>5.2270785569503521E-2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5.2270785569503521E-2</v>
      </c>
      <c r="AC944">
        <v>0.94772921443049651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J944">
        <v>0</v>
      </c>
      <c r="BK944">
        <v>0</v>
      </c>
      <c r="BL944">
        <v>19.131145420998465</v>
      </c>
      <c r="BM944">
        <v>18.131145420998465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</row>
    <row r="945" spans="1:84" x14ac:dyDescent="0.25">
      <c r="A945" t="s">
        <v>128</v>
      </c>
      <c r="B945" t="s">
        <v>422</v>
      </c>
      <c r="C945" s="14" t="s">
        <v>72</v>
      </c>
      <c r="D945" s="12">
        <v>46246</v>
      </c>
      <c r="E945" s="14" t="s">
        <v>134</v>
      </c>
      <c r="F945" s="14" t="s">
        <v>134</v>
      </c>
      <c r="G945" s="14" t="s">
        <v>134</v>
      </c>
      <c r="H945" s="14" t="s">
        <v>74</v>
      </c>
      <c r="I945">
        <v>20</v>
      </c>
      <c r="J945">
        <v>1.2735376146788988</v>
      </c>
      <c r="K945">
        <v>46246</v>
      </c>
      <c r="L945" t="s">
        <v>490</v>
      </c>
      <c r="M945">
        <v>0</v>
      </c>
      <c r="N945">
        <v>0</v>
      </c>
      <c r="O945">
        <v>6.2745098039215685E-2</v>
      </c>
      <c r="P945">
        <v>0</v>
      </c>
      <c r="Q945">
        <v>0</v>
      </c>
      <c r="R945">
        <v>4.9268350864560689E-2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4.9268350864560689E-2</v>
      </c>
      <c r="AC945">
        <v>0.95073164913543928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J945">
        <v>0</v>
      </c>
      <c r="BK945">
        <v>0</v>
      </c>
      <c r="BL945">
        <v>20.29700573394495</v>
      </c>
      <c r="BM945">
        <v>19.29700573394495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</row>
    <row r="946" spans="1:84" x14ac:dyDescent="0.25">
      <c r="A946" t="s">
        <v>128</v>
      </c>
      <c r="B946" t="s">
        <v>422</v>
      </c>
      <c r="C946" s="14" t="s">
        <v>72</v>
      </c>
      <c r="D946" s="12">
        <v>46242</v>
      </c>
      <c r="E946" s="14" t="s">
        <v>420</v>
      </c>
      <c r="F946" s="14" t="s">
        <v>420</v>
      </c>
      <c r="G946" s="14" t="s">
        <v>420</v>
      </c>
      <c r="H946" s="14" t="s">
        <v>74</v>
      </c>
      <c r="I946">
        <v>20</v>
      </c>
      <c r="J946">
        <v>0</v>
      </c>
      <c r="K946">
        <v>46242</v>
      </c>
      <c r="L946" t="s">
        <v>478</v>
      </c>
      <c r="M946">
        <v>1.9</v>
      </c>
      <c r="N946">
        <v>1.9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1</v>
      </c>
      <c r="CD946">
        <v>0</v>
      </c>
      <c r="CF946">
        <v>0</v>
      </c>
    </row>
    <row r="947" spans="1:84" x14ac:dyDescent="0.25">
      <c r="A947" t="s">
        <v>128</v>
      </c>
      <c r="B947" t="s">
        <v>422</v>
      </c>
      <c r="C947" s="14" t="s">
        <v>72</v>
      </c>
      <c r="D947" s="12">
        <v>46245</v>
      </c>
      <c r="E947" s="14" t="s">
        <v>134</v>
      </c>
      <c r="F947" s="14" t="s">
        <v>134</v>
      </c>
      <c r="G947" s="14" t="s">
        <v>134</v>
      </c>
      <c r="H947" s="14" t="s">
        <v>75</v>
      </c>
      <c r="I947">
        <v>20</v>
      </c>
      <c r="J947">
        <v>3.3711289800323794</v>
      </c>
      <c r="K947">
        <v>46245</v>
      </c>
      <c r="L947" t="s">
        <v>488</v>
      </c>
      <c r="M947">
        <v>1.9</v>
      </c>
      <c r="N947">
        <v>1.9</v>
      </c>
      <c r="O947">
        <v>1.2179930795847749</v>
      </c>
      <c r="P947">
        <v>0.56360940541104732</v>
      </c>
      <c r="Q947">
        <v>0.56360940541104732</v>
      </c>
      <c r="R947">
        <v>0.36130123967344502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0.43639059458895268</v>
      </c>
      <c r="AD947">
        <v>0</v>
      </c>
      <c r="AE947">
        <v>0.2023081657376023</v>
      </c>
      <c r="AF947">
        <v>0</v>
      </c>
      <c r="AG947">
        <v>0.36130123967344502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1.7742784105433576</v>
      </c>
      <c r="AN947">
        <v>1.7742784105433576</v>
      </c>
      <c r="AO947">
        <v>0.64104898925514475</v>
      </c>
      <c r="BF947">
        <v>0</v>
      </c>
      <c r="BG947">
        <v>0</v>
      </c>
      <c r="BH947">
        <v>0</v>
      </c>
      <c r="BJ947">
        <v>1.5599431818181819</v>
      </c>
      <c r="BK947">
        <v>1.5599431818181819</v>
      </c>
      <c r="BL947">
        <v>2.7677735091743121</v>
      </c>
      <c r="CC947">
        <v>0</v>
      </c>
      <c r="CD947">
        <v>0</v>
      </c>
      <c r="CE947">
        <v>0</v>
      </c>
    </row>
    <row r="948" spans="1:84" x14ac:dyDescent="0.25">
      <c r="A948" t="s">
        <v>128</v>
      </c>
      <c r="B948" t="s">
        <v>422</v>
      </c>
      <c r="C948" s="14" t="s">
        <v>72</v>
      </c>
      <c r="D948" s="12">
        <v>46245</v>
      </c>
      <c r="E948" s="14" t="s">
        <v>134</v>
      </c>
      <c r="F948" s="14" t="s">
        <v>134</v>
      </c>
      <c r="G948" s="14" t="s">
        <v>134</v>
      </c>
      <c r="H948" s="14" t="s">
        <v>74</v>
      </c>
      <c r="I948">
        <v>20</v>
      </c>
      <c r="J948">
        <v>1.2735376146788988</v>
      </c>
      <c r="K948">
        <v>46245</v>
      </c>
      <c r="L948" t="s">
        <v>487</v>
      </c>
      <c r="M948">
        <v>0</v>
      </c>
      <c r="N948">
        <v>0</v>
      </c>
      <c r="O948">
        <v>6.2745098039215685E-2</v>
      </c>
      <c r="P948">
        <v>0</v>
      </c>
      <c r="Q948">
        <v>0</v>
      </c>
      <c r="R948">
        <v>4.9268350864560689E-2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4.9268350864560689E-2</v>
      </c>
      <c r="AC948">
        <v>0.95073164913543928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J948">
        <v>0</v>
      </c>
      <c r="BK948">
        <v>0</v>
      </c>
      <c r="BL948">
        <v>20.29700573394495</v>
      </c>
      <c r="BM948">
        <v>19.29700573394495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</row>
    <row r="949" spans="1:84" x14ac:dyDescent="0.25">
      <c r="A949" t="s">
        <v>128</v>
      </c>
      <c r="B949" t="s">
        <v>422</v>
      </c>
      <c r="C949" s="14" t="s">
        <v>72</v>
      </c>
      <c r="D949" s="12">
        <v>46242</v>
      </c>
      <c r="E949" s="14" t="s">
        <v>420</v>
      </c>
      <c r="F949" s="14" t="s">
        <v>420</v>
      </c>
      <c r="G949" s="14" t="s">
        <v>420</v>
      </c>
      <c r="H949" s="14" t="s">
        <v>75</v>
      </c>
      <c r="I949">
        <v>20</v>
      </c>
      <c r="J949">
        <v>3.1774912809962856</v>
      </c>
      <c r="K949">
        <v>46242</v>
      </c>
      <c r="L949" t="s">
        <v>479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 spans="1:84" x14ac:dyDescent="0.25">
      <c r="A950" t="s">
        <v>128</v>
      </c>
      <c r="B950" t="s">
        <v>422</v>
      </c>
      <c r="C950" s="14" t="s">
        <v>72</v>
      </c>
      <c r="D950" s="12">
        <v>46245</v>
      </c>
      <c r="E950" s="14" t="s">
        <v>134</v>
      </c>
      <c r="F950" s="14" t="s">
        <v>134</v>
      </c>
      <c r="G950" s="14" t="s">
        <v>134</v>
      </c>
      <c r="H950" s="14" t="s">
        <v>73</v>
      </c>
      <c r="I950">
        <v>20</v>
      </c>
      <c r="J950">
        <v>7.014406393348624</v>
      </c>
      <c r="K950">
        <v>46245</v>
      </c>
      <c r="L950" t="s">
        <v>486</v>
      </c>
      <c r="M950">
        <v>0.95</v>
      </c>
      <c r="N950">
        <v>0.95</v>
      </c>
      <c r="O950">
        <v>3.1470588235294112</v>
      </c>
      <c r="P950">
        <v>0.13543555173832425</v>
      </c>
      <c r="Q950">
        <v>0.13543555173832425</v>
      </c>
      <c r="R950">
        <v>0.44865647170280781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0.31322091996448354</v>
      </c>
      <c r="AC950">
        <v>0.55134352829719213</v>
      </c>
      <c r="AD950">
        <v>0</v>
      </c>
      <c r="AE950">
        <v>0</v>
      </c>
      <c r="AF950">
        <v>0</v>
      </c>
      <c r="AG950">
        <v>0.13543555173832425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7.3835856772090782</v>
      </c>
      <c r="AN950">
        <v>7.3835856772090782</v>
      </c>
      <c r="AO950">
        <v>3.312693498452012</v>
      </c>
      <c r="BF950">
        <v>0</v>
      </c>
      <c r="BG950">
        <v>0</v>
      </c>
      <c r="BH950">
        <v>0</v>
      </c>
      <c r="BJ950">
        <v>0.30186915887850468</v>
      </c>
      <c r="BK950">
        <v>0.30186915887850468</v>
      </c>
      <c r="BL950">
        <v>2.2288767978864792</v>
      </c>
      <c r="BM950">
        <v>1.2288767978864792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0.86456444826167578</v>
      </c>
      <c r="BW950">
        <v>0</v>
      </c>
      <c r="BX950">
        <v>0</v>
      </c>
      <c r="BY950">
        <v>0</v>
      </c>
      <c r="BZ950">
        <v>0</v>
      </c>
      <c r="CA950">
        <v>0.30186915887850468</v>
      </c>
      <c r="CB950">
        <v>0</v>
      </c>
      <c r="CC950">
        <v>0</v>
      </c>
      <c r="CD950">
        <v>0</v>
      </c>
      <c r="CE950">
        <v>0</v>
      </c>
      <c r="CF950">
        <v>0</v>
      </c>
    </row>
    <row r="951" spans="1:84" x14ac:dyDescent="0.25">
      <c r="A951" t="s">
        <v>128</v>
      </c>
      <c r="B951" t="s">
        <v>422</v>
      </c>
      <c r="C951" s="14" t="s">
        <v>72</v>
      </c>
      <c r="D951" s="12">
        <v>46243</v>
      </c>
      <c r="E951" s="14" t="s">
        <v>420</v>
      </c>
      <c r="F951" s="14" t="s">
        <v>420</v>
      </c>
      <c r="G951" s="14" t="s">
        <v>420</v>
      </c>
      <c r="H951" s="14" t="s">
        <v>73</v>
      </c>
      <c r="I951">
        <v>20</v>
      </c>
      <c r="J951">
        <v>3.6011567851291222</v>
      </c>
      <c r="K951">
        <v>46243</v>
      </c>
      <c r="L951" t="s">
        <v>480</v>
      </c>
      <c r="M951">
        <v>0.95</v>
      </c>
      <c r="N951">
        <v>0.95</v>
      </c>
      <c r="O951">
        <v>0.82352941176470595</v>
      </c>
      <c r="P951">
        <v>0.26380412092108813</v>
      </c>
      <c r="Q951">
        <v>0.26380412092108813</v>
      </c>
      <c r="R951">
        <v>0.22868468686657797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0.73619587907891182</v>
      </c>
      <c r="AD951">
        <v>0</v>
      </c>
      <c r="AE951">
        <v>3.5119434054510151E-2</v>
      </c>
      <c r="AF951">
        <v>0</v>
      </c>
      <c r="AG951">
        <v>0.22868468686657797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3.7906913527674972</v>
      </c>
      <c r="AN951">
        <v>3.7906913527674972</v>
      </c>
      <c r="AO951">
        <v>0.86687306501548</v>
      </c>
      <c r="BF951">
        <v>0</v>
      </c>
      <c r="BG951">
        <v>0</v>
      </c>
      <c r="BH951">
        <v>0</v>
      </c>
      <c r="BJ951">
        <v>1.1535714285714285</v>
      </c>
      <c r="BK951">
        <v>1.1535714285714285</v>
      </c>
      <c r="BL951">
        <v>4.3728332390853621</v>
      </c>
      <c r="BM951">
        <v>3.2192618105139337</v>
      </c>
      <c r="BN951">
        <v>0</v>
      </c>
      <c r="BO951">
        <v>0</v>
      </c>
      <c r="BP951">
        <v>0</v>
      </c>
      <c r="BQ951">
        <v>0</v>
      </c>
      <c r="BR951">
        <v>0.34642857142857153</v>
      </c>
      <c r="BS951">
        <v>0.15357142857142847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</row>
    <row r="952" spans="1:84" x14ac:dyDescent="0.25">
      <c r="A952" t="s">
        <v>128</v>
      </c>
      <c r="B952" t="s">
        <v>422</v>
      </c>
      <c r="C952" s="14" t="s">
        <v>72</v>
      </c>
      <c r="D952" s="12">
        <v>46244</v>
      </c>
      <c r="E952" s="14" t="s">
        <v>134</v>
      </c>
      <c r="F952" s="14" t="s">
        <v>134</v>
      </c>
      <c r="G952" s="14" t="s">
        <v>134</v>
      </c>
      <c r="H952" s="14" t="s">
        <v>75</v>
      </c>
      <c r="I952">
        <v>20</v>
      </c>
      <c r="J952">
        <v>3.3711289800323794</v>
      </c>
      <c r="K952">
        <v>46244</v>
      </c>
      <c r="L952" t="s">
        <v>485</v>
      </c>
      <c r="M952">
        <v>2.8499999999999996</v>
      </c>
      <c r="N952">
        <v>2.8499999999999996</v>
      </c>
      <c r="O952">
        <v>1.3840830449826986</v>
      </c>
      <c r="P952">
        <v>0.84541410811657103</v>
      </c>
      <c r="Q952">
        <v>0.84541410811657103</v>
      </c>
      <c r="R952">
        <v>0.41056959053800562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0.15458589188342897</v>
      </c>
      <c r="AD952">
        <v>0</v>
      </c>
      <c r="AE952">
        <v>0.4348445175785654</v>
      </c>
      <c r="AF952">
        <v>0</v>
      </c>
      <c r="AG952">
        <v>0.41056959053800562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1.1828522736955718</v>
      </c>
      <c r="AN952">
        <v>1.1828522736955718</v>
      </c>
      <c r="AO952">
        <v>0.48564317367813992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0.18285227369557178</v>
      </c>
      <c r="AY952">
        <v>0</v>
      </c>
      <c r="AZ952">
        <v>0</v>
      </c>
      <c r="BA952">
        <v>0</v>
      </c>
      <c r="BB952">
        <v>0.51435682632186008</v>
      </c>
      <c r="BC952">
        <v>0</v>
      </c>
      <c r="BD952">
        <v>0.48564317367813992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2.0591250000000003</v>
      </c>
      <c r="BK952">
        <v>2.0591250000000003</v>
      </c>
      <c r="BL952">
        <v>2.4356406880733945</v>
      </c>
      <c r="CC952">
        <v>0</v>
      </c>
      <c r="CD952">
        <v>0</v>
      </c>
      <c r="CE952">
        <v>0</v>
      </c>
    </row>
    <row r="953" spans="1:84" x14ac:dyDescent="0.25">
      <c r="A953" t="s">
        <v>128</v>
      </c>
      <c r="B953" t="s">
        <v>422</v>
      </c>
      <c r="C953" s="14" t="s">
        <v>72</v>
      </c>
      <c r="D953" s="12">
        <v>46243</v>
      </c>
      <c r="E953" s="14" t="s">
        <v>420</v>
      </c>
      <c r="F953" s="14" t="s">
        <v>420</v>
      </c>
      <c r="G953" s="14" t="s">
        <v>420</v>
      </c>
      <c r="H953" s="14" t="s">
        <v>74</v>
      </c>
      <c r="I953">
        <v>20</v>
      </c>
      <c r="J953">
        <v>0</v>
      </c>
      <c r="K953">
        <v>46243</v>
      </c>
      <c r="L953" t="s">
        <v>481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1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F953">
        <v>0</v>
      </c>
    </row>
    <row r="954" spans="1:84" x14ac:dyDescent="0.25">
      <c r="A954" t="s">
        <v>128</v>
      </c>
      <c r="B954" t="s">
        <v>422</v>
      </c>
      <c r="C954" s="14" t="s">
        <v>72</v>
      </c>
      <c r="D954" s="12">
        <v>46243</v>
      </c>
      <c r="E954" s="14" t="s">
        <v>420</v>
      </c>
      <c r="F954" s="14" t="s">
        <v>420</v>
      </c>
      <c r="G954" s="14" t="s">
        <v>420</v>
      </c>
      <c r="H954" s="14" t="s">
        <v>75</v>
      </c>
      <c r="I954">
        <v>20</v>
      </c>
      <c r="J954">
        <v>3.1774912809962856</v>
      </c>
      <c r="K954">
        <v>46243</v>
      </c>
      <c r="L954" t="s">
        <v>482</v>
      </c>
      <c r="M954">
        <v>0</v>
      </c>
      <c r="N954">
        <v>0</v>
      </c>
      <c r="O954">
        <v>0.16608996539792387</v>
      </c>
      <c r="P954">
        <v>0</v>
      </c>
      <c r="Q954">
        <v>0</v>
      </c>
      <c r="R954">
        <v>5.2270785569503507E-2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5.2270785569503507E-2</v>
      </c>
      <c r="AC954">
        <v>0.94772921443049651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J954">
        <v>0</v>
      </c>
      <c r="BK954">
        <v>0</v>
      </c>
      <c r="BL954">
        <v>19.131145420998472</v>
      </c>
      <c r="BM954">
        <v>18.131145420998472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</row>
    <row r="955" spans="1:84" x14ac:dyDescent="0.25">
      <c r="A955" t="s">
        <v>128</v>
      </c>
      <c r="B955" t="s">
        <v>422</v>
      </c>
      <c r="C955" s="14" t="s">
        <v>72</v>
      </c>
      <c r="D955" s="12">
        <v>46244</v>
      </c>
      <c r="E955" s="14" t="s">
        <v>420</v>
      </c>
      <c r="F955" s="14" t="s">
        <v>420</v>
      </c>
      <c r="G955" s="14" t="s">
        <v>420</v>
      </c>
      <c r="H955" s="14" t="s">
        <v>73</v>
      </c>
      <c r="I955">
        <v>20</v>
      </c>
      <c r="J955">
        <v>3.6011567851291222</v>
      </c>
      <c r="K955">
        <v>46244</v>
      </c>
      <c r="L955" t="s">
        <v>483</v>
      </c>
      <c r="M955">
        <v>0</v>
      </c>
      <c r="N955">
        <v>0</v>
      </c>
      <c r="O955">
        <v>0.82352941176470595</v>
      </c>
      <c r="P955">
        <v>0</v>
      </c>
      <c r="Q955">
        <v>0</v>
      </c>
      <c r="R955">
        <v>0.22868468686657797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0.22868468686657797</v>
      </c>
      <c r="AC955">
        <v>0.77131531313342205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J955">
        <v>0</v>
      </c>
      <c r="BK955">
        <v>0</v>
      </c>
      <c r="BL955">
        <v>4.3728332390853621</v>
      </c>
      <c r="BM955">
        <v>3.3728332390853621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</row>
    <row r="956" spans="1:84" x14ac:dyDescent="0.25">
      <c r="A956" t="s">
        <v>128</v>
      </c>
      <c r="B956" t="s">
        <v>422</v>
      </c>
      <c r="C956" s="14" t="s">
        <v>72</v>
      </c>
      <c r="D956" s="12">
        <v>46244</v>
      </c>
      <c r="E956" s="14" t="s">
        <v>134</v>
      </c>
      <c r="F956" s="14" t="s">
        <v>134</v>
      </c>
      <c r="G956" s="14" t="s">
        <v>134</v>
      </c>
      <c r="H956" s="14" t="s">
        <v>74</v>
      </c>
      <c r="I956">
        <v>20</v>
      </c>
      <c r="J956">
        <v>1.2735376146788988</v>
      </c>
      <c r="K956">
        <v>46244</v>
      </c>
      <c r="L956" t="s">
        <v>484</v>
      </c>
      <c r="M956">
        <v>0</v>
      </c>
      <c r="N956">
        <v>0</v>
      </c>
      <c r="O956">
        <v>6.2745098039215685E-2</v>
      </c>
      <c r="P956">
        <v>0</v>
      </c>
      <c r="Q956">
        <v>0</v>
      </c>
      <c r="R956">
        <v>4.9268350864560689E-2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4.9268350864560689E-2</v>
      </c>
      <c r="AC956">
        <v>0.95073164913543928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J956">
        <v>0</v>
      </c>
      <c r="BK956">
        <v>0</v>
      </c>
      <c r="BL956">
        <v>20.29700573394495</v>
      </c>
      <c r="BM956">
        <v>19.29700573394495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 spans="1:84" x14ac:dyDescent="0.25">
      <c r="A957" t="s">
        <v>128</v>
      </c>
      <c r="B957" t="s">
        <v>422</v>
      </c>
      <c r="C957" s="14" t="s">
        <v>72</v>
      </c>
      <c r="D957" s="12">
        <v>46246</v>
      </c>
      <c r="E957" s="14" t="s">
        <v>134</v>
      </c>
      <c r="F957" s="14" t="s">
        <v>134</v>
      </c>
      <c r="G957" s="14" t="s">
        <v>134</v>
      </c>
      <c r="H957" s="14" t="s">
        <v>73</v>
      </c>
      <c r="I957">
        <v>20</v>
      </c>
      <c r="J957">
        <v>5.8204648795871554</v>
      </c>
      <c r="K957">
        <v>46246</v>
      </c>
      <c r="L957" t="s">
        <v>489</v>
      </c>
      <c r="M957">
        <v>2.8499999999999996</v>
      </c>
      <c r="N957">
        <v>2.8499999999999996</v>
      </c>
      <c r="O957">
        <v>3.2205882352941169</v>
      </c>
      <c r="P957">
        <v>0.48965161013086461</v>
      </c>
      <c r="Q957">
        <v>0.48965161013086461</v>
      </c>
      <c r="R957">
        <v>0.5533214789404507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6.3669868809586083E-2</v>
      </c>
      <c r="AC957">
        <v>0.4466785210595493</v>
      </c>
      <c r="AD957">
        <v>0</v>
      </c>
      <c r="AE957">
        <v>0</v>
      </c>
      <c r="AF957">
        <v>0</v>
      </c>
      <c r="AG957">
        <v>0.48965161013086461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2.0422683788025111</v>
      </c>
      <c r="AN957">
        <v>2.0422683788025111</v>
      </c>
      <c r="AO957">
        <v>1.1300309597523219</v>
      </c>
      <c r="BF957">
        <v>0</v>
      </c>
      <c r="BG957">
        <v>0</v>
      </c>
      <c r="BH957">
        <v>0</v>
      </c>
      <c r="BJ957">
        <v>0.88493150684931521</v>
      </c>
      <c r="BK957">
        <v>0.88493150684931521</v>
      </c>
      <c r="BL957">
        <v>1.807267633844414</v>
      </c>
      <c r="BM957">
        <v>0.80726763384441402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0.51034838986913544</v>
      </c>
      <c r="BW957">
        <v>0</v>
      </c>
      <c r="BX957">
        <v>0</v>
      </c>
      <c r="BY957">
        <v>0</v>
      </c>
      <c r="BZ957">
        <v>0</v>
      </c>
      <c r="CA957">
        <v>0.88493150684931521</v>
      </c>
      <c r="CB957">
        <v>0</v>
      </c>
      <c r="CC957">
        <v>0</v>
      </c>
      <c r="CD957">
        <v>0</v>
      </c>
      <c r="CE957">
        <v>0</v>
      </c>
      <c r="CF957">
        <v>0</v>
      </c>
    </row>
    <row r="958" spans="1:84" x14ac:dyDescent="0.25">
      <c r="A958" t="s">
        <v>128</v>
      </c>
      <c r="B958" t="s">
        <v>422</v>
      </c>
      <c r="C958" s="14" t="s">
        <v>72</v>
      </c>
      <c r="D958" s="12">
        <v>46239</v>
      </c>
      <c r="E958" s="14" t="s">
        <v>134</v>
      </c>
      <c r="F958" s="14" t="s">
        <v>134</v>
      </c>
      <c r="G958" s="14" t="s">
        <v>134</v>
      </c>
      <c r="H958" s="14" t="s">
        <v>74</v>
      </c>
      <c r="I958">
        <v>20</v>
      </c>
      <c r="J958">
        <v>1.2735376146788988</v>
      </c>
      <c r="K958">
        <v>46239</v>
      </c>
      <c r="L958" t="s">
        <v>469</v>
      </c>
      <c r="M958">
        <v>0.95</v>
      </c>
      <c r="N958">
        <v>0.95</v>
      </c>
      <c r="O958">
        <v>6.2745098039215685E-2</v>
      </c>
      <c r="P958">
        <v>0.74595362480873917</v>
      </c>
      <c r="Q958">
        <v>0.74595362480873917</v>
      </c>
      <c r="R958">
        <v>4.9268350864560689E-2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0.25404637519126083</v>
      </c>
      <c r="AD958">
        <v>0</v>
      </c>
      <c r="AE958">
        <v>0.69668527394417845</v>
      </c>
      <c r="AF958">
        <v>0</v>
      </c>
      <c r="AG958">
        <v>4.9268350864560689E-2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1.3405659101883145</v>
      </c>
      <c r="AN958">
        <v>1.3405659101883145</v>
      </c>
      <c r="AO958">
        <v>6.6047471620227047E-2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0.3405659101883145</v>
      </c>
      <c r="AY958">
        <v>0</v>
      </c>
      <c r="AZ958">
        <v>0</v>
      </c>
      <c r="BA958">
        <v>0</v>
      </c>
      <c r="BB958">
        <v>0.93395252837977294</v>
      </c>
      <c r="BC958">
        <v>0</v>
      </c>
      <c r="BD958">
        <v>6.6047471620227047E-2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15.140625</v>
      </c>
      <c r="BK958">
        <v>15.140625</v>
      </c>
      <c r="BL958">
        <v>20.29700573394495</v>
      </c>
      <c r="CC958">
        <v>0</v>
      </c>
      <c r="CD958">
        <v>0</v>
      </c>
      <c r="CE958">
        <v>0</v>
      </c>
    </row>
    <row r="959" spans="1:84" x14ac:dyDescent="0.25">
      <c r="A959" t="s">
        <v>128</v>
      </c>
      <c r="B959" t="s">
        <v>422</v>
      </c>
      <c r="C959" s="14" t="s">
        <v>72</v>
      </c>
      <c r="D959" s="12">
        <v>46239</v>
      </c>
      <c r="E959" s="14" t="s">
        <v>134</v>
      </c>
      <c r="F959" s="14" t="s">
        <v>134</v>
      </c>
      <c r="G959" s="14" t="s">
        <v>134</v>
      </c>
      <c r="H959" s="14" t="s">
        <v>73</v>
      </c>
      <c r="I959">
        <v>20</v>
      </c>
      <c r="J959">
        <v>4.6265233658256877</v>
      </c>
      <c r="K959">
        <v>46239</v>
      </c>
      <c r="L959" t="s">
        <v>468</v>
      </c>
      <c r="M959">
        <v>4.75</v>
      </c>
      <c r="N959">
        <v>4.75</v>
      </c>
      <c r="O959">
        <v>2.3416289592760191</v>
      </c>
      <c r="P959">
        <v>1.0266888599518129</v>
      </c>
      <c r="Q959">
        <v>1.0266888599518129</v>
      </c>
      <c r="R959">
        <v>0.50613144560615719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2.6688859951812915E-2</v>
      </c>
      <c r="AB959">
        <v>0</v>
      </c>
      <c r="AC959">
        <v>0</v>
      </c>
      <c r="AD959">
        <v>0</v>
      </c>
      <c r="AE959">
        <v>0.49386855439384281</v>
      </c>
      <c r="AF959">
        <v>0</v>
      </c>
      <c r="AG959">
        <v>0.50613144560615719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0.97400491912119735</v>
      </c>
      <c r="AN959">
        <v>0.97400491912119735</v>
      </c>
      <c r="AO959">
        <v>0.49297451774231982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2.5995080878802646E-2</v>
      </c>
      <c r="BA959">
        <v>0</v>
      </c>
      <c r="BB959">
        <v>0.48103040137887754</v>
      </c>
      <c r="BC959">
        <v>0</v>
      </c>
      <c r="BD959">
        <v>0.49297451774231982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2.0285024154589362</v>
      </c>
      <c r="BK959">
        <v>2.0285024154589362</v>
      </c>
      <c r="BL959">
        <v>1.9757713311062348</v>
      </c>
      <c r="CC959">
        <v>0</v>
      </c>
      <c r="CD959">
        <v>0</v>
      </c>
      <c r="CE959">
        <v>0</v>
      </c>
    </row>
    <row r="960" spans="1:84" x14ac:dyDescent="0.25">
      <c r="A960" t="s">
        <v>128</v>
      </c>
      <c r="B960" t="s">
        <v>422</v>
      </c>
      <c r="C960" s="14" t="s">
        <v>72</v>
      </c>
      <c r="D960" s="12">
        <v>46249</v>
      </c>
      <c r="E960" s="14" t="s">
        <v>420</v>
      </c>
      <c r="F960" s="14" t="s">
        <v>420</v>
      </c>
      <c r="G960" s="14" t="s">
        <v>420</v>
      </c>
      <c r="H960" s="14" t="s">
        <v>73</v>
      </c>
      <c r="I960">
        <v>20</v>
      </c>
      <c r="J960">
        <v>3.6011567851291222</v>
      </c>
      <c r="K960">
        <v>46249</v>
      </c>
      <c r="L960" t="s">
        <v>498</v>
      </c>
      <c r="M960">
        <v>2.8499999999999996</v>
      </c>
      <c r="N960">
        <v>2.8499999999999996</v>
      </c>
      <c r="O960">
        <v>0</v>
      </c>
      <c r="P960">
        <v>0.79141236276326432</v>
      </c>
      <c r="Q960">
        <v>0.79141236276326432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0.20858763723673568</v>
      </c>
      <c r="AD960">
        <v>0</v>
      </c>
      <c r="AE960">
        <v>0</v>
      </c>
      <c r="AF960">
        <v>0</v>
      </c>
      <c r="AG960">
        <v>0</v>
      </c>
      <c r="AH960">
        <v>0.79141236276326432</v>
      </c>
      <c r="AI960">
        <v>0</v>
      </c>
      <c r="AJ960">
        <v>0</v>
      </c>
      <c r="AK960">
        <v>0</v>
      </c>
      <c r="AL960">
        <v>0</v>
      </c>
      <c r="AM960">
        <v>1.2635637842558325</v>
      </c>
      <c r="AN960">
        <v>1.2635637842558325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0.26356378425583249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</row>
    <row r="961" spans="1:84" x14ac:dyDescent="0.25">
      <c r="A961" t="s">
        <v>128</v>
      </c>
      <c r="B961" t="s">
        <v>422</v>
      </c>
      <c r="C961" s="14" t="s">
        <v>72</v>
      </c>
      <c r="D961" s="12">
        <v>46226</v>
      </c>
      <c r="E961" s="14" t="s">
        <v>134</v>
      </c>
      <c r="F961" s="14" t="s">
        <v>134</v>
      </c>
      <c r="G961" s="14" t="s">
        <v>134</v>
      </c>
      <c r="H961" s="14" t="s">
        <v>73</v>
      </c>
      <c r="I961">
        <v>20</v>
      </c>
      <c r="J961">
        <v>5.9697075688073395</v>
      </c>
      <c r="K961">
        <v>46226</v>
      </c>
      <c r="L961" t="s">
        <v>432</v>
      </c>
      <c r="M961">
        <v>0.95</v>
      </c>
      <c r="N961">
        <v>0.95</v>
      </c>
      <c r="O961">
        <v>1.7647058823529416</v>
      </c>
      <c r="P961">
        <v>0.15913677329253098</v>
      </c>
      <c r="Q961">
        <v>0.15913677329253098</v>
      </c>
      <c r="R961">
        <v>0.29561010518736414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0.13647333189483316</v>
      </c>
      <c r="AC961">
        <v>0.70438989481263592</v>
      </c>
      <c r="AD961">
        <v>0</v>
      </c>
      <c r="AE961">
        <v>0</v>
      </c>
      <c r="AF961">
        <v>0</v>
      </c>
      <c r="AG961">
        <v>0.15913677329253098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6.2839027040077262</v>
      </c>
      <c r="AN961">
        <v>6.2839027040077262</v>
      </c>
      <c r="AO961">
        <v>1.857585139318886</v>
      </c>
      <c r="BF961">
        <v>0</v>
      </c>
      <c r="BG961">
        <v>0</v>
      </c>
      <c r="BH961">
        <v>0</v>
      </c>
      <c r="BJ961">
        <v>0.53833333333333322</v>
      </c>
      <c r="BK961">
        <v>0.53833333333333322</v>
      </c>
      <c r="BL961">
        <v>3.3828342889908249</v>
      </c>
      <c r="BM961">
        <v>2.3828342889908249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0.84086322670746905</v>
      </c>
      <c r="BW961">
        <v>0</v>
      </c>
      <c r="BX961">
        <v>0</v>
      </c>
      <c r="BY961">
        <v>0</v>
      </c>
      <c r="BZ961">
        <v>0</v>
      </c>
      <c r="CA961">
        <v>0.53833333333333322</v>
      </c>
      <c r="CB961">
        <v>0</v>
      </c>
      <c r="CC961">
        <v>0</v>
      </c>
      <c r="CD961">
        <v>0</v>
      </c>
      <c r="CE961">
        <v>0</v>
      </c>
      <c r="CF961">
        <v>0</v>
      </c>
    </row>
    <row r="962" spans="1:84" x14ac:dyDescent="0.25">
      <c r="A962" t="s">
        <v>128</v>
      </c>
      <c r="B962" t="s">
        <v>422</v>
      </c>
      <c r="C962" s="14" t="s">
        <v>72</v>
      </c>
      <c r="D962" s="12">
        <v>46234</v>
      </c>
      <c r="E962" s="14" t="s">
        <v>134</v>
      </c>
      <c r="F962" s="14" t="s">
        <v>134</v>
      </c>
      <c r="G962" s="14" t="s">
        <v>134</v>
      </c>
      <c r="H962" s="14" t="s">
        <v>73</v>
      </c>
      <c r="I962">
        <v>20</v>
      </c>
      <c r="J962">
        <v>4.5519020212155965</v>
      </c>
      <c r="K962">
        <v>46234</v>
      </c>
      <c r="L962" t="s">
        <v>453</v>
      </c>
      <c r="M962">
        <v>4.75</v>
      </c>
      <c r="N962">
        <v>4.75</v>
      </c>
      <c r="O962">
        <v>1.9131433823529425</v>
      </c>
      <c r="P962">
        <v>1.0435198248690558</v>
      </c>
      <c r="Q962">
        <v>1.0435198248690558</v>
      </c>
      <c r="R962">
        <v>0.42029537837943903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4.3519824869055812E-2</v>
      </c>
      <c r="AB962">
        <v>0</v>
      </c>
      <c r="AC962">
        <v>0</v>
      </c>
      <c r="AD962">
        <v>0</v>
      </c>
      <c r="AE962">
        <v>0.57970462162056102</v>
      </c>
      <c r="AF962">
        <v>0</v>
      </c>
      <c r="AG962">
        <v>0.42029537837943903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0.95829516236117818</v>
      </c>
      <c r="AN962">
        <v>0.95829516236117818</v>
      </c>
      <c r="AO962">
        <v>0.40276702786377738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4.1704837638821823E-2</v>
      </c>
      <c r="BA962">
        <v>0</v>
      </c>
      <c r="BB962">
        <v>0.55552813449740079</v>
      </c>
      <c r="BC962">
        <v>0</v>
      </c>
      <c r="BD962">
        <v>0.40276702786377738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2.4828248858995901</v>
      </c>
      <c r="BK962">
        <v>2.4828248858995901</v>
      </c>
      <c r="BL962">
        <v>2.3792790771475212</v>
      </c>
      <c r="CC962">
        <v>0</v>
      </c>
      <c r="CD962">
        <v>0</v>
      </c>
      <c r="CE962">
        <v>0</v>
      </c>
    </row>
    <row r="963" spans="1:84" x14ac:dyDescent="0.25">
      <c r="A963" t="s">
        <v>128</v>
      </c>
      <c r="B963" t="s">
        <v>422</v>
      </c>
      <c r="C963" s="14" t="s">
        <v>72</v>
      </c>
      <c r="D963" s="12">
        <v>46233</v>
      </c>
      <c r="E963" s="14" t="s">
        <v>134</v>
      </c>
      <c r="F963" s="14" t="s">
        <v>134</v>
      </c>
      <c r="G963" s="14" t="s">
        <v>134</v>
      </c>
      <c r="H963" s="14" t="s">
        <v>75</v>
      </c>
      <c r="I963">
        <v>20</v>
      </c>
      <c r="J963">
        <v>3.3711289800323794</v>
      </c>
      <c r="K963">
        <v>46233</v>
      </c>
      <c r="L963" t="s">
        <v>452</v>
      </c>
      <c r="M963">
        <v>1.9</v>
      </c>
      <c r="N963">
        <v>1.9</v>
      </c>
      <c r="O963">
        <v>2.0635813148788924</v>
      </c>
      <c r="P963">
        <v>0.56360940541104732</v>
      </c>
      <c r="Q963">
        <v>0.56360940541104732</v>
      </c>
      <c r="R963">
        <v>0.61213359889275787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4.8524193481710554E-2</v>
      </c>
      <c r="AC963">
        <v>0.38786640110724213</v>
      </c>
      <c r="AD963">
        <v>0</v>
      </c>
      <c r="AE963">
        <v>0</v>
      </c>
      <c r="AF963">
        <v>0</v>
      </c>
      <c r="AG963">
        <v>0.56360940541104732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1.7742784105433576</v>
      </c>
      <c r="AN963">
        <v>1.7742784105433576</v>
      </c>
      <c r="AO963">
        <v>1.0860954288836275</v>
      </c>
      <c r="BF963">
        <v>0</v>
      </c>
      <c r="BG963">
        <v>0</v>
      </c>
      <c r="BH963">
        <v>0</v>
      </c>
      <c r="BJ963">
        <v>0.92072940683294913</v>
      </c>
      <c r="BK963">
        <v>0.92072940683294913</v>
      </c>
      <c r="BL963">
        <v>1.6336303084960935</v>
      </c>
      <c r="BM963">
        <v>0.63363030849609348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0.43639059458895268</v>
      </c>
      <c r="BW963">
        <v>0</v>
      </c>
      <c r="BX963">
        <v>0</v>
      </c>
      <c r="BY963">
        <v>0</v>
      </c>
      <c r="BZ963">
        <v>0</v>
      </c>
      <c r="CA963">
        <v>0.92072940683294913</v>
      </c>
      <c r="CB963">
        <v>0</v>
      </c>
      <c r="CC963">
        <v>0</v>
      </c>
      <c r="CD963">
        <v>0</v>
      </c>
      <c r="CE963">
        <v>0</v>
      </c>
      <c r="CF963">
        <v>0</v>
      </c>
    </row>
    <row r="964" spans="1:84" x14ac:dyDescent="0.25">
      <c r="A964" t="s">
        <v>128</v>
      </c>
      <c r="B964" t="s">
        <v>422</v>
      </c>
      <c r="C964" s="14" t="s">
        <v>72</v>
      </c>
      <c r="D964" s="12">
        <v>46226</v>
      </c>
      <c r="E964" s="14" t="s">
        <v>134</v>
      </c>
      <c r="F964" s="14" t="s">
        <v>134</v>
      </c>
      <c r="G964" s="14" t="s">
        <v>134</v>
      </c>
      <c r="H964" s="14" t="s">
        <v>74</v>
      </c>
      <c r="I964">
        <v>20</v>
      </c>
      <c r="J964">
        <v>1.2735376146788988</v>
      </c>
      <c r="K964">
        <v>46226</v>
      </c>
      <c r="L964" t="s">
        <v>433</v>
      </c>
      <c r="M964">
        <v>0</v>
      </c>
      <c r="N964">
        <v>0</v>
      </c>
      <c r="O964">
        <v>6.2745098039215685E-2</v>
      </c>
      <c r="P964">
        <v>0</v>
      </c>
      <c r="Q964">
        <v>0</v>
      </c>
      <c r="R964">
        <v>4.9268350864560689E-2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4.9268350864560689E-2</v>
      </c>
      <c r="AC964">
        <v>0.95073164913543928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J964">
        <v>0</v>
      </c>
      <c r="BK964">
        <v>0</v>
      </c>
      <c r="BL964">
        <v>20.29700573394495</v>
      </c>
      <c r="BM964">
        <v>19.29700573394495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</row>
    <row r="965" spans="1:84" x14ac:dyDescent="0.25">
      <c r="A965" t="s">
        <v>128</v>
      </c>
      <c r="B965" t="s">
        <v>422</v>
      </c>
      <c r="C965" s="14" t="s">
        <v>72</v>
      </c>
      <c r="D965" s="12">
        <v>46226</v>
      </c>
      <c r="E965" s="14" t="s">
        <v>134</v>
      </c>
      <c r="F965" s="14" t="s">
        <v>134</v>
      </c>
      <c r="G965" s="14" t="s">
        <v>134</v>
      </c>
      <c r="H965" s="14" t="s">
        <v>75</v>
      </c>
      <c r="I965">
        <v>20</v>
      </c>
      <c r="J965">
        <v>3.5115926875337284</v>
      </c>
      <c r="K965">
        <v>46226</v>
      </c>
      <c r="L965" t="s">
        <v>434</v>
      </c>
      <c r="M965">
        <v>2.8499999999999996</v>
      </c>
      <c r="N965">
        <v>2.8499999999999996</v>
      </c>
      <c r="O965">
        <v>2.0484429065743943</v>
      </c>
      <c r="P965">
        <v>0.81159754379190818</v>
      </c>
      <c r="Q965">
        <v>0.81159754379190818</v>
      </c>
      <c r="R965">
        <v>0.58333727423639858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0.18840245620809182</v>
      </c>
      <c r="AD965">
        <v>0</v>
      </c>
      <c r="AE965">
        <v>0.2282602695555096</v>
      </c>
      <c r="AF965">
        <v>0</v>
      </c>
      <c r="AG965">
        <v>0.58333727423639858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1.2321377850995541</v>
      </c>
      <c r="AN965">
        <v>1.2321377850995541</v>
      </c>
      <c r="AO965">
        <v>0.71875189704364717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0.23213778509955407</v>
      </c>
      <c r="AY965">
        <v>0</v>
      </c>
      <c r="AZ965">
        <v>0</v>
      </c>
      <c r="BA965">
        <v>0</v>
      </c>
      <c r="BB965">
        <v>0.28124810295635283</v>
      </c>
      <c r="BC965">
        <v>0</v>
      </c>
      <c r="BD965">
        <v>0.71875189704364717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1.3913006756756756</v>
      </c>
      <c r="BK965">
        <v>1.3913006756756756</v>
      </c>
      <c r="BL965">
        <v>1.7142741329345399</v>
      </c>
      <c r="BM965">
        <v>0.32297345725886428</v>
      </c>
      <c r="BN965">
        <v>0</v>
      </c>
      <c r="BO965">
        <v>0</v>
      </c>
      <c r="BP965">
        <v>0</v>
      </c>
      <c r="BQ965">
        <v>0</v>
      </c>
      <c r="BR965">
        <v>0.10869932432432439</v>
      </c>
      <c r="BS965">
        <v>0.39130067567567561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</row>
    <row r="966" spans="1:84" x14ac:dyDescent="0.25">
      <c r="A966" t="s">
        <v>128</v>
      </c>
      <c r="B966" t="s">
        <v>422</v>
      </c>
      <c r="C966" s="14" t="s">
        <v>72</v>
      </c>
      <c r="D966" s="12">
        <v>46233</v>
      </c>
      <c r="E966" s="14" t="s">
        <v>134</v>
      </c>
      <c r="F966" s="14" t="s">
        <v>134</v>
      </c>
      <c r="G966" s="14" t="s">
        <v>134</v>
      </c>
      <c r="H966" s="14" t="s">
        <v>74</v>
      </c>
      <c r="I966">
        <v>20</v>
      </c>
      <c r="J966">
        <v>1.2735376146788988</v>
      </c>
      <c r="K966">
        <v>46233</v>
      </c>
      <c r="L966" t="s">
        <v>451</v>
      </c>
      <c r="M966">
        <v>0</v>
      </c>
      <c r="N966">
        <v>0</v>
      </c>
      <c r="O966">
        <v>1.0127450980392154</v>
      </c>
      <c r="P966">
        <v>0</v>
      </c>
      <c r="Q966">
        <v>0</v>
      </c>
      <c r="R966">
        <v>0.79522197567329966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0.79522197567329966</v>
      </c>
      <c r="AC966">
        <v>0.20477802432670034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1</v>
      </c>
      <c r="BJ966">
        <v>0</v>
      </c>
      <c r="BK966">
        <v>0</v>
      </c>
      <c r="BL966">
        <v>1.2575105198184677</v>
      </c>
      <c r="BM966">
        <v>0.25751051981846773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1</v>
      </c>
      <c r="CF966">
        <v>1</v>
      </c>
    </row>
    <row r="967" spans="1:84" x14ac:dyDescent="0.25">
      <c r="A967" t="s">
        <v>128</v>
      </c>
      <c r="B967" t="s">
        <v>422</v>
      </c>
      <c r="C967" s="14" t="s">
        <v>72</v>
      </c>
      <c r="D967" s="12">
        <v>46227</v>
      </c>
      <c r="E967" s="14" t="s">
        <v>134</v>
      </c>
      <c r="F967" s="14" t="s">
        <v>134</v>
      </c>
      <c r="G967" s="14" t="s">
        <v>134</v>
      </c>
      <c r="H967" s="14" t="s">
        <v>73</v>
      </c>
      <c r="I967">
        <v>20</v>
      </c>
      <c r="J967">
        <v>4.7757660550458709</v>
      </c>
      <c r="K967">
        <v>46227</v>
      </c>
      <c r="L967" t="s">
        <v>157</v>
      </c>
      <c r="M967">
        <v>5.6999999999999993</v>
      </c>
      <c r="N967">
        <v>5.6999999999999993</v>
      </c>
      <c r="O967">
        <v>1.7647058823529416</v>
      </c>
      <c r="P967">
        <v>1.1935257996939825</v>
      </c>
      <c r="Q967">
        <v>1.1935257996939825</v>
      </c>
      <c r="R967">
        <v>0.36951263148420527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0.19352579969398254</v>
      </c>
      <c r="AB967">
        <v>0</v>
      </c>
      <c r="AC967">
        <v>0</v>
      </c>
      <c r="AD967">
        <v>0</v>
      </c>
      <c r="AE967">
        <v>0.63048736851579479</v>
      </c>
      <c r="AF967">
        <v>0</v>
      </c>
      <c r="AG967">
        <v>0.36951263148420527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0.83785369386769681</v>
      </c>
      <c r="AN967">
        <v>0.83785369386769681</v>
      </c>
      <c r="AO967">
        <v>0.30959752321981437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0.16214630613230319</v>
      </c>
      <c r="BA967">
        <v>0</v>
      </c>
      <c r="BB967">
        <v>0.52825617064788244</v>
      </c>
      <c r="BC967">
        <v>0</v>
      </c>
      <c r="BD967">
        <v>0.30959752321981437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3.2299999999999991</v>
      </c>
      <c r="BK967">
        <v>3.2299999999999991</v>
      </c>
      <c r="BL967">
        <v>2.7062674311926598</v>
      </c>
      <c r="CC967">
        <v>0</v>
      </c>
      <c r="CD967">
        <v>0</v>
      </c>
      <c r="CE967">
        <v>0</v>
      </c>
    </row>
    <row r="968" spans="1:84" x14ac:dyDescent="0.25">
      <c r="A968" t="s">
        <v>128</v>
      </c>
      <c r="B968" t="s">
        <v>422</v>
      </c>
      <c r="C968" s="14" t="s">
        <v>72</v>
      </c>
      <c r="D968" s="12">
        <v>46233</v>
      </c>
      <c r="E968" s="14" t="s">
        <v>134</v>
      </c>
      <c r="F968" s="14" t="s">
        <v>134</v>
      </c>
      <c r="G968" s="14" t="s">
        <v>134</v>
      </c>
      <c r="H968" s="14" t="s">
        <v>73</v>
      </c>
      <c r="I968">
        <v>20</v>
      </c>
      <c r="J968">
        <v>5.7458435349770651</v>
      </c>
      <c r="K968">
        <v>46233</v>
      </c>
      <c r="L968" t="s">
        <v>450</v>
      </c>
      <c r="M968">
        <v>2.8499999999999996</v>
      </c>
      <c r="N968">
        <v>2.8499999999999996</v>
      </c>
      <c r="O968">
        <v>1.6470588235294119</v>
      </c>
      <c r="P968">
        <v>0.49601072195074586</v>
      </c>
      <c r="Q968">
        <v>0.49601072195074586</v>
      </c>
      <c r="R968">
        <v>0.28665222321198941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0.50398927804925409</v>
      </c>
      <c r="AD968">
        <v>0</v>
      </c>
      <c r="AE968">
        <v>0.20935849873875645</v>
      </c>
      <c r="AF968">
        <v>0</v>
      </c>
      <c r="AG968">
        <v>0.28665222321198941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2.0160854508691459</v>
      </c>
      <c r="AN968">
        <v>2.0160854508691459</v>
      </c>
      <c r="AO968">
        <v>0.57791537667698667</v>
      </c>
      <c r="BF968">
        <v>0</v>
      </c>
      <c r="BG968">
        <v>0</v>
      </c>
      <c r="BH968">
        <v>0</v>
      </c>
      <c r="BJ968">
        <v>1.7303571428571425</v>
      </c>
      <c r="BK968">
        <v>1.7303571428571425</v>
      </c>
      <c r="BL968">
        <v>3.4885478605217894</v>
      </c>
      <c r="CC968">
        <v>0</v>
      </c>
      <c r="CD968">
        <v>0</v>
      </c>
      <c r="CE968">
        <v>0</v>
      </c>
    </row>
    <row r="969" spans="1:84" x14ac:dyDescent="0.25">
      <c r="A969" t="s">
        <v>128</v>
      </c>
      <c r="B969" t="s">
        <v>422</v>
      </c>
      <c r="C969" s="14" t="s">
        <v>72</v>
      </c>
      <c r="D969" s="12">
        <v>46227</v>
      </c>
      <c r="E969" s="14" t="s">
        <v>134</v>
      </c>
      <c r="F969" s="14" t="s">
        <v>134</v>
      </c>
      <c r="G969" s="14" t="s">
        <v>134</v>
      </c>
      <c r="H969" s="14" t="s">
        <v>74</v>
      </c>
      <c r="I969">
        <v>20</v>
      </c>
      <c r="J969">
        <v>1.2735376146788988</v>
      </c>
      <c r="K969">
        <v>46227</v>
      </c>
      <c r="L969" t="s">
        <v>156</v>
      </c>
      <c r="M969">
        <v>0.95</v>
      </c>
      <c r="N969">
        <v>0.95</v>
      </c>
      <c r="O969">
        <v>1.0127450980392154</v>
      </c>
      <c r="P969">
        <v>0.74595362480873917</v>
      </c>
      <c r="Q969">
        <v>0.74595362480873917</v>
      </c>
      <c r="R969">
        <v>0.79522197567329966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4.9268350864560495E-2</v>
      </c>
      <c r="AC969">
        <v>0.20477802432670034</v>
      </c>
      <c r="AD969">
        <v>0</v>
      </c>
      <c r="AE969">
        <v>0</v>
      </c>
      <c r="AF969">
        <v>0</v>
      </c>
      <c r="AG969">
        <v>0.74595362480873917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1.3405659101883145</v>
      </c>
      <c r="AN969">
        <v>1.3405659101883145</v>
      </c>
      <c r="AO969">
        <v>1.0660474716202268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6.6047471620226839E-2</v>
      </c>
      <c r="AW969">
        <v>0</v>
      </c>
      <c r="AX969">
        <v>0.27451843856808766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0.93804453049370784</v>
      </c>
      <c r="BK969">
        <v>0.93804453049370784</v>
      </c>
      <c r="BL969">
        <v>1.2575105198184677</v>
      </c>
      <c r="BM969">
        <v>0.25751051981846773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0.25404637519126083</v>
      </c>
      <c r="BW969">
        <v>0</v>
      </c>
      <c r="BX969">
        <v>0</v>
      </c>
      <c r="BY969">
        <v>0</v>
      </c>
      <c r="BZ969">
        <v>0</v>
      </c>
      <c r="CA969">
        <v>0.93804453049370784</v>
      </c>
      <c r="CB969">
        <v>0</v>
      </c>
      <c r="CC969">
        <v>0</v>
      </c>
      <c r="CD969">
        <v>0</v>
      </c>
      <c r="CE969">
        <v>0</v>
      </c>
      <c r="CF969">
        <v>0</v>
      </c>
    </row>
    <row r="970" spans="1:84" x14ac:dyDescent="0.25">
      <c r="A970" t="s">
        <v>128</v>
      </c>
      <c r="B970" t="s">
        <v>422</v>
      </c>
      <c r="C970" s="14" t="s">
        <v>72</v>
      </c>
      <c r="D970" s="12">
        <v>46232</v>
      </c>
      <c r="E970" s="14" t="s">
        <v>134</v>
      </c>
      <c r="F970" s="14" t="s">
        <v>134</v>
      </c>
      <c r="G970" s="14" t="s">
        <v>134</v>
      </c>
      <c r="H970" s="14" t="s">
        <v>75</v>
      </c>
      <c r="I970">
        <v>20</v>
      </c>
      <c r="J970">
        <v>2.2474193200215864</v>
      </c>
      <c r="K970">
        <v>46232</v>
      </c>
      <c r="L970" t="s">
        <v>449</v>
      </c>
      <c r="M970">
        <v>1.9</v>
      </c>
      <c r="N970">
        <v>1.9</v>
      </c>
      <c r="O970">
        <v>2.0484429065743943</v>
      </c>
      <c r="P970">
        <v>0.84541410811657103</v>
      </c>
      <c r="Q970">
        <v>0.84541410811657103</v>
      </c>
      <c r="R970">
        <v>0.91146449099437266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6.6050382877801628E-2</v>
      </c>
      <c r="AC970">
        <v>8.8535509005627344E-2</v>
      </c>
      <c r="AD970">
        <v>0</v>
      </c>
      <c r="AE970">
        <v>0</v>
      </c>
      <c r="AF970">
        <v>0</v>
      </c>
      <c r="AG970">
        <v>0.84541410811657103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1.1828522736955718</v>
      </c>
      <c r="AN970">
        <v>1.1828522736955718</v>
      </c>
      <c r="AO970">
        <v>1.0781278455654708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7.812784556547081E-2</v>
      </c>
      <c r="AW970">
        <v>0</v>
      </c>
      <c r="AX970">
        <v>0.10472442813010097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0.92753378378378382</v>
      </c>
      <c r="BK970">
        <v>0.92753378378378382</v>
      </c>
      <c r="BL970">
        <v>1.0971354450781057</v>
      </c>
      <c r="BM970">
        <v>9.7135445078105676E-2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0.15458589188342897</v>
      </c>
      <c r="BW970">
        <v>0</v>
      </c>
      <c r="BX970">
        <v>0</v>
      </c>
      <c r="BY970">
        <v>0</v>
      </c>
      <c r="BZ970">
        <v>0</v>
      </c>
      <c r="CA970">
        <v>0.92753378378378382</v>
      </c>
      <c r="CB970">
        <v>0</v>
      </c>
      <c r="CC970">
        <v>0</v>
      </c>
      <c r="CD970">
        <v>0</v>
      </c>
      <c r="CE970">
        <v>0</v>
      </c>
      <c r="CF970">
        <v>0</v>
      </c>
    </row>
    <row r="971" spans="1:84" x14ac:dyDescent="0.25">
      <c r="A971" t="s">
        <v>128</v>
      </c>
      <c r="B971" t="s">
        <v>422</v>
      </c>
      <c r="C971" s="14" t="s">
        <v>72</v>
      </c>
      <c r="D971" s="12">
        <v>46232</v>
      </c>
      <c r="E971" s="14" t="s">
        <v>134</v>
      </c>
      <c r="F971" s="14" t="s">
        <v>134</v>
      </c>
      <c r="G971" s="14" t="s">
        <v>134</v>
      </c>
      <c r="H971" s="14" t="s">
        <v>74</v>
      </c>
      <c r="I971">
        <v>20</v>
      </c>
      <c r="J971">
        <v>1.2735376146788988</v>
      </c>
      <c r="K971">
        <v>46232</v>
      </c>
      <c r="L971" t="s">
        <v>448</v>
      </c>
      <c r="M971">
        <v>0</v>
      </c>
      <c r="N971">
        <v>0</v>
      </c>
      <c r="O971">
        <v>6.2745098039215685E-2</v>
      </c>
      <c r="P971">
        <v>0</v>
      </c>
      <c r="Q971">
        <v>0</v>
      </c>
      <c r="R971">
        <v>4.9268350864560689E-2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4.9268350864560689E-2</v>
      </c>
      <c r="AC971">
        <v>0.95073164913543928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J971">
        <v>0</v>
      </c>
      <c r="BK971">
        <v>0</v>
      </c>
      <c r="BL971">
        <v>20.29700573394495</v>
      </c>
      <c r="BM971">
        <v>19.29700573394495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</row>
    <row r="972" spans="1:84" x14ac:dyDescent="0.25">
      <c r="A972" t="s">
        <v>128</v>
      </c>
      <c r="B972" t="s">
        <v>422</v>
      </c>
      <c r="C972" s="14" t="s">
        <v>72</v>
      </c>
      <c r="D972" s="12">
        <v>46234</v>
      </c>
      <c r="E972" s="14" t="s">
        <v>134</v>
      </c>
      <c r="F972" s="14" t="s">
        <v>134</v>
      </c>
      <c r="G972" s="14" t="s">
        <v>134</v>
      </c>
      <c r="H972" s="14" t="s">
        <v>74</v>
      </c>
      <c r="I972">
        <v>20</v>
      </c>
      <c r="J972">
        <v>1.2735376146788988</v>
      </c>
      <c r="K972">
        <v>46234</v>
      </c>
      <c r="L972" t="s">
        <v>454</v>
      </c>
      <c r="M972">
        <v>0.95</v>
      </c>
      <c r="N972">
        <v>0.95</v>
      </c>
      <c r="O972">
        <v>1.0127450980392154</v>
      </c>
      <c r="P972">
        <v>0.74595362480873917</v>
      </c>
      <c r="Q972">
        <v>0.74595362480873917</v>
      </c>
      <c r="R972">
        <v>0.79522197567329966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4.9268350864560495E-2</v>
      </c>
      <c r="AC972">
        <v>0.20477802432670034</v>
      </c>
      <c r="AD972">
        <v>0</v>
      </c>
      <c r="AE972">
        <v>0</v>
      </c>
      <c r="AF972">
        <v>0</v>
      </c>
      <c r="AG972">
        <v>0.74595362480873917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1.3405659101883145</v>
      </c>
      <c r="AN972">
        <v>1.3405659101883145</v>
      </c>
      <c r="AO972">
        <v>1.0660474716202268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6.6047471620226839E-2</v>
      </c>
      <c r="AW972">
        <v>0</v>
      </c>
      <c r="AX972">
        <v>0.27451843856808766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0.93804453049370784</v>
      </c>
      <c r="BK972">
        <v>0.93804453049370784</v>
      </c>
      <c r="BL972">
        <v>1.2575105198184677</v>
      </c>
      <c r="BM972">
        <v>0.25751051981846773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0.25404637519126083</v>
      </c>
      <c r="BW972">
        <v>0</v>
      </c>
      <c r="BX972">
        <v>0</v>
      </c>
      <c r="BY972">
        <v>0</v>
      </c>
      <c r="BZ972">
        <v>0</v>
      </c>
      <c r="CA972">
        <v>0.93804453049370784</v>
      </c>
      <c r="CB972">
        <v>0</v>
      </c>
      <c r="CC972">
        <v>0</v>
      </c>
      <c r="CD972">
        <v>0</v>
      </c>
      <c r="CE972">
        <v>0</v>
      </c>
      <c r="CF972">
        <v>0</v>
      </c>
    </row>
    <row r="973" spans="1:84" x14ac:dyDescent="0.25">
      <c r="A973" t="s">
        <v>128</v>
      </c>
      <c r="B973" t="s">
        <v>422</v>
      </c>
      <c r="C973" s="14" t="s">
        <v>72</v>
      </c>
      <c r="D973" s="12">
        <v>46227</v>
      </c>
      <c r="E973" s="14" t="s">
        <v>134</v>
      </c>
      <c r="F973" s="14" t="s">
        <v>134</v>
      </c>
      <c r="G973" s="14" t="s">
        <v>134</v>
      </c>
      <c r="H973" s="14" t="s">
        <v>75</v>
      </c>
      <c r="I973">
        <v>20</v>
      </c>
      <c r="J973">
        <v>2.2474193200215868</v>
      </c>
      <c r="K973">
        <v>46227</v>
      </c>
      <c r="L973" t="s">
        <v>155</v>
      </c>
      <c r="M973">
        <v>1.9</v>
      </c>
      <c r="N973">
        <v>1.9</v>
      </c>
      <c r="O973">
        <v>2.1881487889273359</v>
      </c>
      <c r="P973">
        <v>0.84541410811657081</v>
      </c>
      <c r="Q973">
        <v>0.84541410811657081</v>
      </c>
      <c r="R973">
        <v>0.97362729306176754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0.12821318494519673</v>
      </c>
      <c r="AC973">
        <v>2.637270693823246E-2</v>
      </c>
      <c r="AD973">
        <v>0</v>
      </c>
      <c r="AE973">
        <v>0</v>
      </c>
      <c r="AF973">
        <v>0</v>
      </c>
      <c r="AG973">
        <v>0.84541410811657081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1.182852273695572</v>
      </c>
      <c r="AN973">
        <v>1.182852273695572</v>
      </c>
      <c r="AO973">
        <v>1.1516572573301769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0.15165725733017688</v>
      </c>
      <c r="AW973">
        <v>0</v>
      </c>
      <c r="AX973">
        <v>3.1195016365395123E-2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1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0.86831389602688269</v>
      </c>
      <c r="BK973">
        <v>0.86831389602688269</v>
      </c>
      <c r="BL973">
        <v>1.0270870661968587</v>
      </c>
      <c r="BM973">
        <v>2.7087066196858745E-2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0.15458589188342919</v>
      </c>
      <c r="BW973">
        <v>0</v>
      </c>
      <c r="BX973">
        <v>0</v>
      </c>
      <c r="BY973">
        <v>0</v>
      </c>
      <c r="BZ973">
        <v>0</v>
      </c>
      <c r="CA973">
        <v>0.86831389602688269</v>
      </c>
      <c r="CB973">
        <v>0</v>
      </c>
      <c r="CC973">
        <v>0</v>
      </c>
      <c r="CD973">
        <v>0</v>
      </c>
      <c r="CE973">
        <v>0</v>
      </c>
      <c r="CF973">
        <v>0</v>
      </c>
    </row>
    <row r="974" spans="1:84" x14ac:dyDescent="0.25">
      <c r="A974" t="s">
        <v>128</v>
      </c>
      <c r="B974" t="s">
        <v>422</v>
      </c>
      <c r="C974" s="14" t="s">
        <v>72</v>
      </c>
      <c r="D974" s="12">
        <v>46232</v>
      </c>
      <c r="E974" s="14" t="s">
        <v>134</v>
      </c>
      <c r="F974" s="14" t="s">
        <v>134</v>
      </c>
      <c r="G974" s="14" t="s">
        <v>134</v>
      </c>
      <c r="H974" s="14" t="s">
        <v>73</v>
      </c>
      <c r="I974">
        <v>20</v>
      </c>
      <c r="J974">
        <v>5.8204648795871572</v>
      </c>
      <c r="K974">
        <v>46232</v>
      </c>
      <c r="L974" t="s">
        <v>447</v>
      </c>
      <c r="M974">
        <v>4.75</v>
      </c>
      <c r="N974">
        <v>4.75</v>
      </c>
      <c r="O974">
        <v>1.7647058823529416</v>
      </c>
      <c r="P974">
        <v>0.81608601688477422</v>
      </c>
      <c r="Q974">
        <v>0.81608601688477422</v>
      </c>
      <c r="R974">
        <v>0.30318985147421956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0.18391398311522578</v>
      </c>
      <c r="AD974">
        <v>0</v>
      </c>
      <c r="AE974">
        <v>0.51289616541055461</v>
      </c>
      <c r="AF974">
        <v>0</v>
      </c>
      <c r="AG974">
        <v>0.30318985147421956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1.2253610272815068</v>
      </c>
      <c r="AN974">
        <v>1.2253610272815068</v>
      </c>
      <c r="AO974">
        <v>0.37151702786377716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0.22536102728150675</v>
      </c>
      <c r="AY974">
        <v>0</v>
      </c>
      <c r="AZ974">
        <v>0</v>
      </c>
      <c r="BA974">
        <v>0</v>
      </c>
      <c r="BB974">
        <v>0.62848297213622284</v>
      </c>
      <c r="BC974">
        <v>0</v>
      </c>
      <c r="BD974">
        <v>0.37151702786377716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2.691666666666666</v>
      </c>
      <c r="BK974">
        <v>2.691666666666666</v>
      </c>
      <c r="BL974">
        <v>3.2982634317660549</v>
      </c>
      <c r="CC974">
        <v>0</v>
      </c>
      <c r="CD974">
        <v>0</v>
      </c>
      <c r="CE974">
        <v>0</v>
      </c>
    </row>
    <row r="975" spans="1:84" x14ac:dyDescent="0.25">
      <c r="A975" t="s">
        <v>128</v>
      </c>
      <c r="B975" t="s">
        <v>422</v>
      </c>
      <c r="C975" s="14" t="s">
        <v>72</v>
      </c>
      <c r="D975" s="12">
        <v>46231</v>
      </c>
      <c r="E975" s="14" t="s">
        <v>134</v>
      </c>
      <c r="F975" s="14" t="s">
        <v>134</v>
      </c>
      <c r="G975" s="14" t="s">
        <v>134</v>
      </c>
      <c r="H975" s="14" t="s">
        <v>75</v>
      </c>
      <c r="I975">
        <v>20</v>
      </c>
      <c r="J975">
        <v>3.3711289800323794</v>
      </c>
      <c r="K975">
        <v>46231</v>
      </c>
      <c r="L975" t="s">
        <v>446</v>
      </c>
      <c r="M975">
        <v>6.6499999999999995</v>
      </c>
      <c r="N975">
        <v>6.6499999999999995</v>
      </c>
      <c r="O975">
        <v>1.7162629757785468</v>
      </c>
      <c r="P975">
        <v>1.9726329189386658</v>
      </c>
      <c r="Q975">
        <v>1.9726329189386658</v>
      </c>
      <c r="R975">
        <v>0.50910629226712711</v>
      </c>
      <c r="S975">
        <v>0</v>
      </c>
      <c r="T975">
        <v>0</v>
      </c>
      <c r="U975">
        <v>0.72263291893866577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0.25</v>
      </c>
      <c r="AB975">
        <v>0</v>
      </c>
      <c r="AC975">
        <v>0</v>
      </c>
      <c r="AD975">
        <v>0</v>
      </c>
      <c r="AE975">
        <v>0.49089370773287289</v>
      </c>
      <c r="AF975">
        <v>0</v>
      </c>
      <c r="AG975">
        <v>0.50910629226712711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0.50693668872667363</v>
      </c>
      <c r="AN975">
        <v>0.50693668872667363</v>
      </c>
      <c r="AO975">
        <v>0.25808465801181157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0.49306331127332637</v>
      </c>
      <c r="BA975">
        <v>0</v>
      </c>
      <c r="BB975">
        <v>0.24885203071486206</v>
      </c>
      <c r="BC975">
        <v>0</v>
      </c>
      <c r="BD975">
        <v>0.25808465801181157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3.8746975806451607</v>
      </c>
      <c r="BK975">
        <v>3.8746975806451607</v>
      </c>
      <c r="BL975">
        <v>1.9642263613495112</v>
      </c>
      <c r="CC975">
        <v>0</v>
      </c>
      <c r="CD975">
        <v>0</v>
      </c>
      <c r="CE975">
        <v>0</v>
      </c>
    </row>
    <row r="976" spans="1:84" x14ac:dyDescent="0.25">
      <c r="A976" t="s">
        <v>128</v>
      </c>
      <c r="B976" t="s">
        <v>422</v>
      </c>
      <c r="C976" s="14" t="s">
        <v>72</v>
      </c>
      <c r="D976" s="12">
        <v>46228</v>
      </c>
      <c r="E976" s="14" t="s">
        <v>134</v>
      </c>
      <c r="F976" s="14" t="s">
        <v>134</v>
      </c>
      <c r="G976" s="14" t="s">
        <v>134</v>
      </c>
      <c r="H976" s="14" t="s">
        <v>74</v>
      </c>
      <c r="I976">
        <v>20</v>
      </c>
      <c r="J976">
        <v>1.2735376146788988</v>
      </c>
      <c r="K976">
        <v>46228</v>
      </c>
      <c r="L976" t="s">
        <v>436</v>
      </c>
      <c r="M976">
        <v>0.95</v>
      </c>
      <c r="N976">
        <v>0.95</v>
      </c>
      <c r="O976">
        <v>1.0127450980392154</v>
      </c>
      <c r="P976">
        <v>0.74595362480873917</v>
      </c>
      <c r="Q976">
        <v>0.74595362480873917</v>
      </c>
      <c r="R976">
        <v>0.79522197567329966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4.9268350864560495E-2</v>
      </c>
      <c r="AC976">
        <v>0.20477802432670034</v>
      </c>
      <c r="AD976">
        <v>0</v>
      </c>
      <c r="AE976">
        <v>0</v>
      </c>
      <c r="AF976">
        <v>0</v>
      </c>
      <c r="AG976">
        <v>0.74595362480873917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1.3405659101883145</v>
      </c>
      <c r="AN976">
        <v>1.3405659101883145</v>
      </c>
      <c r="AO976">
        <v>1.0660474716202268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6.6047471620226839E-2</v>
      </c>
      <c r="AW976">
        <v>0</v>
      </c>
      <c r="AX976">
        <v>0.27451843856808766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0.93804453049370784</v>
      </c>
      <c r="BK976">
        <v>0.93804453049370784</v>
      </c>
      <c r="BL976">
        <v>1.2575105198184677</v>
      </c>
      <c r="BM976">
        <v>0.25751051981846773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0.25404637519126083</v>
      </c>
      <c r="BW976">
        <v>0</v>
      </c>
      <c r="BX976">
        <v>0</v>
      </c>
      <c r="BY976">
        <v>0</v>
      </c>
      <c r="BZ976">
        <v>0</v>
      </c>
      <c r="CA976">
        <v>0.93804453049370784</v>
      </c>
      <c r="CB976">
        <v>0</v>
      </c>
      <c r="CC976">
        <v>0</v>
      </c>
      <c r="CD976">
        <v>0</v>
      </c>
      <c r="CE976">
        <v>0</v>
      </c>
      <c r="CF976">
        <v>0</v>
      </c>
    </row>
    <row r="977" spans="1:84" x14ac:dyDescent="0.25">
      <c r="A977" t="s">
        <v>128</v>
      </c>
      <c r="B977" t="s">
        <v>422</v>
      </c>
      <c r="C977" s="14" t="s">
        <v>72</v>
      </c>
      <c r="D977" s="12">
        <v>46228</v>
      </c>
      <c r="E977" s="14" t="s">
        <v>134</v>
      </c>
      <c r="F977" s="14" t="s">
        <v>134</v>
      </c>
      <c r="G977" s="14" t="s">
        <v>134</v>
      </c>
      <c r="H977" s="14" t="s">
        <v>75</v>
      </c>
      <c r="I977">
        <v>20</v>
      </c>
      <c r="J977">
        <v>3.3711289800323798</v>
      </c>
      <c r="K977">
        <v>46228</v>
      </c>
      <c r="L977" t="s">
        <v>437</v>
      </c>
      <c r="M977">
        <v>2.8499999999999996</v>
      </c>
      <c r="N977">
        <v>2.8499999999999996</v>
      </c>
      <c r="O977">
        <v>2.0635813148788924</v>
      </c>
      <c r="P977">
        <v>0.84541410811657092</v>
      </c>
      <c r="Q977">
        <v>0.84541410811657092</v>
      </c>
      <c r="R977">
        <v>0.61213359889275776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0.15458589188342908</v>
      </c>
      <c r="AD977">
        <v>0</v>
      </c>
      <c r="AE977">
        <v>0.23328050922381316</v>
      </c>
      <c r="AF977">
        <v>0</v>
      </c>
      <c r="AG977">
        <v>0.61213359889275776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1.182852273695572</v>
      </c>
      <c r="AN977">
        <v>1.182852273695572</v>
      </c>
      <c r="AO977">
        <v>0.7240636192557518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0.182852273695572</v>
      </c>
      <c r="AY977">
        <v>0</v>
      </c>
      <c r="AZ977">
        <v>0</v>
      </c>
      <c r="BA977">
        <v>0</v>
      </c>
      <c r="BB977">
        <v>0.2759363807442482</v>
      </c>
      <c r="BC977">
        <v>0</v>
      </c>
      <c r="BD977">
        <v>0.7240636192557518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1.3810941102494236</v>
      </c>
      <c r="BK977">
        <v>1.3810941102494236</v>
      </c>
      <c r="BL977">
        <v>1.6336303084960937</v>
      </c>
      <c r="BM977">
        <v>0.25253619824667006</v>
      </c>
      <c r="BN977">
        <v>0</v>
      </c>
      <c r="BO977">
        <v>0</v>
      </c>
      <c r="BP977">
        <v>0</v>
      </c>
      <c r="BQ977">
        <v>0</v>
      </c>
      <c r="BR977">
        <v>0.11890588975057637</v>
      </c>
      <c r="BS977">
        <v>0.38109411024942363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</row>
    <row r="978" spans="1:84" x14ac:dyDescent="0.25">
      <c r="A978" t="s">
        <v>128</v>
      </c>
      <c r="B978" t="s">
        <v>422</v>
      </c>
      <c r="C978" s="14" t="s">
        <v>72</v>
      </c>
      <c r="D978" s="12">
        <v>46231</v>
      </c>
      <c r="E978" s="14" t="s">
        <v>134</v>
      </c>
      <c r="F978" s="14" t="s">
        <v>134</v>
      </c>
      <c r="G978" s="14" t="s">
        <v>134</v>
      </c>
      <c r="H978" s="14" t="s">
        <v>74</v>
      </c>
      <c r="I978">
        <v>20</v>
      </c>
      <c r="J978">
        <v>1.2735376146788988</v>
      </c>
      <c r="K978">
        <v>46231</v>
      </c>
      <c r="L978" t="s">
        <v>445</v>
      </c>
      <c r="M978">
        <v>1.9</v>
      </c>
      <c r="N978">
        <v>1.9</v>
      </c>
      <c r="O978">
        <v>6.2745098039215685E-2</v>
      </c>
      <c r="P978">
        <v>1.4919072496174783</v>
      </c>
      <c r="Q978">
        <v>1.4919072496174783</v>
      </c>
      <c r="R978">
        <v>4.9268350864560689E-2</v>
      </c>
      <c r="S978">
        <v>0</v>
      </c>
      <c r="T978">
        <v>0</v>
      </c>
      <c r="U978">
        <v>0.24190724961747834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0.25</v>
      </c>
      <c r="AB978">
        <v>0</v>
      </c>
      <c r="AC978">
        <v>0</v>
      </c>
      <c r="AD978">
        <v>0</v>
      </c>
      <c r="AE978">
        <v>0.95073164913543928</v>
      </c>
      <c r="AF978">
        <v>0</v>
      </c>
      <c r="AG978">
        <v>4.9268350864560689E-2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0.67028295509415725</v>
      </c>
      <c r="AN978">
        <v>0.67028295509415725</v>
      </c>
      <c r="AO978">
        <v>3.3023735810113523E-2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0.32971704490584275</v>
      </c>
      <c r="BA978">
        <v>0</v>
      </c>
      <c r="BB978">
        <v>0.63725921928404372</v>
      </c>
      <c r="BC978">
        <v>0</v>
      </c>
      <c r="BD978">
        <v>3.3023735810113523E-2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30.28125</v>
      </c>
      <c r="BK978">
        <v>30.28125</v>
      </c>
      <c r="BL978">
        <v>20.29700573394495</v>
      </c>
      <c r="CC978">
        <v>0</v>
      </c>
      <c r="CD978">
        <v>0</v>
      </c>
      <c r="CE978">
        <v>0</v>
      </c>
    </row>
    <row r="979" spans="1:84" x14ac:dyDescent="0.25">
      <c r="A979" t="s">
        <v>128</v>
      </c>
      <c r="B979" t="s">
        <v>422</v>
      </c>
      <c r="C979" s="14" t="s">
        <v>72</v>
      </c>
      <c r="D979" s="12">
        <v>46229</v>
      </c>
      <c r="E979" s="14" t="s">
        <v>134</v>
      </c>
      <c r="F979" s="14" t="s">
        <v>134</v>
      </c>
      <c r="G979" s="14" t="s">
        <v>134</v>
      </c>
      <c r="H979" s="14" t="s">
        <v>73</v>
      </c>
      <c r="I979">
        <v>20</v>
      </c>
      <c r="J979">
        <v>3.507203196674312</v>
      </c>
      <c r="K979">
        <v>46229</v>
      </c>
      <c r="L979" t="s">
        <v>438</v>
      </c>
      <c r="M979">
        <v>0.95</v>
      </c>
      <c r="N979">
        <v>0.95</v>
      </c>
      <c r="O979">
        <v>1.9131433823529416</v>
      </c>
      <c r="P979">
        <v>0.2708711034766485</v>
      </c>
      <c r="Q979">
        <v>0.2708711034766485</v>
      </c>
      <c r="R979">
        <v>0.54548974640735681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0.27461864293070831</v>
      </c>
      <c r="AC979">
        <v>0.45451025359264319</v>
      </c>
      <c r="AD979">
        <v>0</v>
      </c>
      <c r="AE979">
        <v>0</v>
      </c>
      <c r="AF979">
        <v>0</v>
      </c>
      <c r="AG979">
        <v>0.2708711034766485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3.6917928386045391</v>
      </c>
      <c r="AN979">
        <v>3.6917928386045391</v>
      </c>
      <c r="AO979">
        <v>2.013835139318886</v>
      </c>
      <c r="BF979">
        <v>0</v>
      </c>
      <c r="BG979">
        <v>0</v>
      </c>
      <c r="BH979">
        <v>0</v>
      </c>
      <c r="BJ979">
        <v>0.49656497717991821</v>
      </c>
      <c r="BK979">
        <v>0.49656497717991821</v>
      </c>
      <c r="BL979">
        <v>1.8332150266546485</v>
      </c>
      <c r="BM979">
        <v>0.83321502665464853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0.72912889652335156</v>
      </c>
      <c r="BW979">
        <v>0</v>
      </c>
      <c r="BX979">
        <v>0</v>
      </c>
      <c r="BY979">
        <v>0</v>
      </c>
      <c r="BZ979">
        <v>0</v>
      </c>
      <c r="CA979">
        <v>0.49656497717991821</v>
      </c>
      <c r="CB979">
        <v>0</v>
      </c>
      <c r="CC979">
        <v>0</v>
      </c>
      <c r="CD979">
        <v>0</v>
      </c>
      <c r="CE979">
        <v>0</v>
      </c>
      <c r="CF979">
        <v>0</v>
      </c>
    </row>
    <row r="980" spans="1:84" x14ac:dyDescent="0.25">
      <c r="A980" t="s">
        <v>128</v>
      </c>
      <c r="B980" t="s">
        <v>422</v>
      </c>
      <c r="C980" s="14" t="s">
        <v>72</v>
      </c>
      <c r="D980" s="12">
        <v>46231</v>
      </c>
      <c r="E980" s="14" t="s">
        <v>134</v>
      </c>
      <c r="F980" s="14" t="s">
        <v>134</v>
      </c>
      <c r="G980" s="14" t="s">
        <v>134</v>
      </c>
      <c r="H980" s="14" t="s">
        <v>73</v>
      </c>
      <c r="I980">
        <v>20</v>
      </c>
      <c r="J980">
        <v>7.014406393348624</v>
      </c>
      <c r="K980">
        <v>46231</v>
      </c>
      <c r="L980" t="s">
        <v>444</v>
      </c>
      <c r="M980">
        <v>0.95</v>
      </c>
      <c r="N980">
        <v>0.95</v>
      </c>
      <c r="O980">
        <v>2.6176470588235294</v>
      </c>
      <c r="P980">
        <v>0.13543555173832425</v>
      </c>
      <c r="Q980">
        <v>0.13543555173832425</v>
      </c>
      <c r="R980">
        <v>0.37318155122943836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0.23774599949111411</v>
      </c>
      <c r="AC980">
        <v>0.6268184487705617</v>
      </c>
      <c r="AD980">
        <v>0</v>
      </c>
      <c r="AE980">
        <v>0</v>
      </c>
      <c r="AF980">
        <v>0</v>
      </c>
      <c r="AG980">
        <v>0.13543555173832425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7.3835856772090782</v>
      </c>
      <c r="AN980">
        <v>7.3835856772090782</v>
      </c>
      <c r="AO980">
        <v>2.755417956656347</v>
      </c>
      <c r="BF980">
        <v>0</v>
      </c>
      <c r="BG980">
        <v>0</v>
      </c>
      <c r="BH980">
        <v>0</v>
      </c>
      <c r="BJ980">
        <v>0.36292134831460671</v>
      </c>
      <c r="BK980">
        <v>0.36292134831460671</v>
      </c>
      <c r="BL980">
        <v>2.6796608693691373</v>
      </c>
      <c r="BM980">
        <v>1.6796608693691373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0.86456444826167578</v>
      </c>
      <c r="BW980">
        <v>0</v>
      </c>
      <c r="BX980">
        <v>0</v>
      </c>
      <c r="BY980">
        <v>0</v>
      </c>
      <c r="BZ980">
        <v>0</v>
      </c>
      <c r="CA980">
        <v>0.36292134831460671</v>
      </c>
      <c r="CB980">
        <v>0</v>
      </c>
      <c r="CC980">
        <v>0</v>
      </c>
      <c r="CD980">
        <v>0</v>
      </c>
      <c r="CE980">
        <v>0</v>
      </c>
      <c r="CF980">
        <v>0</v>
      </c>
    </row>
    <row r="981" spans="1:84" x14ac:dyDescent="0.25">
      <c r="A981" t="s">
        <v>128</v>
      </c>
      <c r="B981" t="s">
        <v>422</v>
      </c>
      <c r="C981" s="14" t="s">
        <v>72</v>
      </c>
      <c r="D981" s="12">
        <v>46230</v>
      </c>
      <c r="E981" s="14" t="s">
        <v>134</v>
      </c>
      <c r="F981" s="14" t="s">
        <v>134</v>
      </c>
      <c r="G981" s="14" t="s">
        <v>134</v>
      </c>
      <c r="H981" s="14" t="s">
        <v>75</v>
      </c>
      <c r="I981">
        <v>20</v>
      </c>
      <c r="J981">
        <v>3.3711289800323794</v>
      </c>
      <c r="K981">
        <v>46230</v>
      </c>
      <c r="L981" t="s">
        <v>443</v>
      </c>
      <c r="M981">
        <v>7.6</v>
      </c>
      <c r="N981">
        <v>7.6</v>
      </c>
      <c r="O981">
        <v>1.7162629757785473</v>
      </c>
      <c r="P981">
        <v>2.2544376216441893</v>
      </c>
      <c r="Q981">
        <v>2.2544376216441893</v>
      </c>
      <c r="R981">
        <v>0.50910629226712734</v>
      </c>
      <c r="S981">
        <v>0</v>
      </c>
      <c r="T981">
        <v>0</v>
      </c>
      <c r="U981">
        <v>1.0044376216441893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0.25</v>
      </c>
      <c r="AB981">
        <v>0</v>
      </c>
      <c r="AC981">
        <v>0</v>
      </c>
      <c r="AD981">
        <v>0</v>
      </c>
      <c r="AE981">
        <v>0.49089370773287266</v>
      </c>
      <c r="AF981">
        <v>0</v>
      </c>
      <c r="AG981">
        <v>0.50910629226712734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0.44356960263583939</v>
      </c>
      <c r="AN981">
        <v>0.44356960263583939</v>
      </c>
      <c r="AO981">
        <v>0.22582407576033517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0.55643039736416067</v>
      </c>
      <c r="BA981">
        <v>0</v>
      </c>
      <c r="BB981">
        <v>0.21774552687550422</v>
      </c>
      <c r="BC981">
        <v>0</v>
      </c>
      <c r="BD981">
        <v>0.22582407576033517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4.4282258064516116</v>
      </c>
      <c r="BK981">
        <v>4.4282258064516116</v>
      </c>
      <c r="BL981">
        <v>1.9642263613495108</v>
      </c>
      <c r="CC981">
        <v>0</v>
      </c>
      <c r="CD981">
        <v>0</v>
      </c>
      <c r="CE981">
        <v>0</v>
      </c>
    </row>
    <row r="982" spans="1:84" x14ac:dyDescent="0.25">
      <c r="A982" t="s">
        <v>128</v>
      </c>
      <c r="B982" t="s">
        <v>422</v>
      </c>
      <c r="C982" s="14" t="s">
        <v>72</v>
      </c>
      <c r="D982" s="12">
        <v>46229</v>
      </c>
      <c r="E982" s="14" t="s">
        <v>134</v>
      </c>
      <c r="F982" s="14" t="s">
        <v>134</v>
      </c>
      <c r="G982" s="14" t="s">
        <v>134</v>
      </c>
      <c r="H982" s="14" t="s">
        <v>74</v>
      </c>
      <c r="I982">
        <v>20</v>
      </c>
      <c r="J982">
        <v>1.2735376146788988</v>
      </c>
      <c r="K982">
        <v>46229</v>
      </c>
      <c r="L982" t="s">
        <v>439</v>
      </c>
      <c r="M982">
        <v>0</v>
      </c>
      <c r="N982">
        <v>0</v>
      </c>
      <c r="O982">
        <v>6.2745098039215685E-2</v>
      </c>
      <c r="P982">
        <v>0</v>
      </c>
      <c r="Q982">
        <v>0</v>
      </c>
      <c r="R982">
        <v>4.9268350864560689E-2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4.9268350864560689E-2</v>
      </c>
      <c r="AC982">
        <v>0.95073164913543928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J982">
        <v>0</v>
      </c>
      <c r="BK982">
        <v>0</v>
      </c>
      <c r="BL982">
        <v>20.29700573394495</v>
      </c>
      <c r="BM982">
        <v>19.29700573394495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</row>
    <row r="983" spans="1:84" x14ac:dyDescent="0.25">
      <c r="A983" t="s">
        <v>128</v>
      </c>
      <c r="B983" t="s">
        <v>422</v>
      </c>
      <c r="C983" s="14" t="s">
        <v>72</v>
      </c>
      <c r="D983" s="12">
        <v>46229</v>
      </c>
      <c r="E983" s="14" t="s">
        <v>134</v>
      </c>
      <c r="F983" s="14" t="s">
        <v>134</v>
      </c>
      <c r="G983" s="14" t="s">
        <v>134</v>
      </c>
      <c r="H983" s="14" t="s">
        <v>75</v>
      </c>
      <c r="I983">
        <v>20</v>
      </c>
      <c r="J983">
        <v>3.3711289800323794</v>
      </c>
      <c r="K983">
        <v>46229</v>
      </c>
      <c r="L983" t="s">
        <v>440</v>
      </c>
      <c r="M983">
        <v>5.6999999999999993</v>
      </c>
      <c r="N983">
        <v>5.6999999999999993</v>
      </c>
      <c r="O983">
        <v>2.0484429065743948</v>
      </c>
      <c r="P983">
        <v>1.6908282162331421</v>
      </c>
      <c r="Q983">
        <v>1.6908282162331421</v>
      </c>
      <c r="R983">
        <v>0.60764299399624855</v>
      </c>
      <c r="S983">
        <v>0</v>
      </c>
      <c r="T983">
        <v>0</v>
      </c>
      <c r="U983">
        <v>0.44082821623314206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0.25</v>
      </c>
      <c r="AB983">
        <v>0</v>
      </c>
      <c r="AC983">
        <v>0</v>
      </c>
      <c r="AD983">
        <v>0</v>
      </c>
      <c r="AE983">
        <v>0.39235700600375145</v>
      </c>
      <c r="AF983">
        <v>0</v>
      </c>
      <c r="AG983">
        <v>0.60764299399624855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0.59142613684778589</v>
      </c>
      <c r="AN983">
        <v>0.59142613684778589</v>
      </c>
      <c r="AO983">
        <v>0.3593759485218237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0.40857386315221411</v>
      </c>
      <c r="BA983">
        <v>0</v>
      </c>
      <c r="BB983">
        <v>0.23205018832596219</v>
      </c>
      <c r="BC983">
        <v>0</v>
      </c>
      <c r="BD983">
        <v>0.3593759485218237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2.7826013513513508</v>
      </c>
      <c r="BK983">
        <v>2.7826013513513508</v>
      </c>
      <c r="BL983">
        <v>1.6457031676171578</v>
      </c>
      <c r="CC983">
        <v>0</v>
      </c>
      <c r="CD983">
        <v>0</v>
      </c>
      <c r="CE983">
        <v>0</v>
      </c>
    </row>
    <row r="984" spans="1:84" x14ac:dyDescent="0.25">
      <c r="A984" t="s">
        <v>128</v>
      </c>
      <c r="B984" t="s">
        <v>422</v>
      </c>
      <c r="C984" s="14" t="s">
        <v>72</v>
      </c>
      <c r="D984" s="12">
        <v>46230</v>
      </c>
      <c r="E984" s="14" t="s">
        <v>134</v>
      </c>
      <c r="F984" s="14" t="s">
        <v>134</v>
      </c>
      <c r="G984" s="14" t="s">
        <v>134</v>
      </c>
      <c r="H984" s="14" t="s">
        <v>74</v>
      </c>
      <c r="I984">
        <v>20</v>
      </c>
      <c r="J984">
        <v>1.2735376146788988</v>
      </c>
      <c r="K984">
        <v>46230</v>
      </c>
      <c r="L984" t="s">
        <v>442</v>
      </c>
      <c r="M984">
        <v>0</v>
      </c>
      <c r="N984">
        <v>0</v>
      </c>
      <c r="O984">
        <v>6.2745098039215685E-2</v>
      </c>
      <c r="P984">
        <v>0</v>
      </c>
      <c r="Q984">
        <v>0</v>
      </c>
      <c r="R984">
        <v>4.9268350864560689E-2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4.9268350864560689E-2</v>
      </c>
      <c r="AC984">
        <v>0.95073164913543928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J984">
        <v>0</v>
      </c>
      <c r="BK984">
        <v>0</v>
      </c>
      <c r="BL984">
        <v>20.29700573394495</v>
      </c>
      <c r="BM984">
        <v>19.29700573394495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</row>
    <row r="985" spans="1:84" x14ac:dyDescent="0.25">
      <c r="A985" t="s">
        <v>128</v>
      </c>
      <c r="B985" t="s">
        <v>422</v>
      </c>
      <c r="C985" s="14" t="s">
        <v>72</v>
      </c>
      <c r="D985" s="12">
        <v>46228</v>
      </c>
      <c r="E985" s="14" t="s">
        <v>134</v>
      </c>
      <c r="F985" s="14" t="s">
        <v>134</v>
      </c>
      <c r="G985" s="14" t="s">
        <v>134</v>
      </c>
      <c r="H985" s="14" t="s">
        <v>73</v>
      </c>
      <c r="I985">
        <v>20</v>
      </c>
      <c r="J985">
        <v>2.3878830275229355</v>
      </c>
      <c r="K985">
        <v>46228</v>
      </c>
      <c r="L985" t="s">
        <v>435</v>
      </c>
      <c r="M985">
        <v>0.95</v>
      </c>
      <c r="N985">
        <v>0.95</v>
      </c>
      <c r="O985">
        <v>1.7954963235294119</v>
      </c>
      <c r="P985">
        <v>0.39784193323132755</v>
      </c>
      <c r="Q985">
        <v>0.39784193323132755</v>
      </c>
      <c r="R985">
        <v>0.75191971417124459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0.35407778093991704</v>
      </c>
      <c r="AC985">
        <v>0.24808028582875541</v>
      </c>
      <c r="AD985">
        <v>0</v>
      </c>
      <c r="AE985">
        <v>0</v>
      </c>
      <c r="AF985">
        <v>0</v>
      </c>
      <c r="AG985">
        <v>0.39784193323132755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2.5135610816030902</v>
      </c>
      <c r="AN985">
        <v>2.5135610816030902</v>
      </c>
      <c r="AO985">
        <v>1.88999613003096</v>
      </c>
      <c r="BF985">
        <v>0</v>
      </c>
      <c r="BG985">
        <v>0</v>
      </c>
      <c r="BH985">
        <v>0</v>
      </c>
      <c r="BJ985">
        <v>0.52910161249040177</v>
      </c>
      <c r="BK985">
        <v>0.52910161249040177</v>
      </c>
      <c r="BL985">
        <v>1.3299292213693132</v>
      </c>
      <c r="BM985">
        <v>0.32992922136931324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0.60215806676867245</v>
      </c>
      <c r="BW985">
        <v>0</v>
      </c>
      <c r="BX985">
        <v>0</v>
      </c>
      <c r="BY985">
        <v>0</v>
      </c>
      <c r="BZ985">
        <v>0</v>
      </c>
      <c r="CA985">
        <v>0.52910161249040177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 spans="1:84" x14ac:dyDescent="0.25">
      <c r="A986" t="s">
        <v>128</v>
      </c>
      <c r="B986" t="s">
        <v>422</v>
      </c>
      <c r="C986" s="14" t="s">
        <v>72</v>
      </c>
      <c r="D986" s="12">
        <v>46240</v>
      </c>
      <c r="E986" s="14" t="s">
        <v>420</v>
      </c>
      <c r="F986" s="14" t="s">
        <v>420</v>
      </c>
      <c r="G986" s="14" t="s">
        <v>420</v>
      </c>
      <c r="H986" s="14" t="s">
        <v>73</v>
      </c>
      <c r="I986">
        <v>20</v>
      </c>
      <c r="J986">
        <v>3.6011567851291222</v>
      </c>
      <c r="K986">
        <v>46240</v>
      </c>
      <c r="L986" t="s">
        <v>471</v>
      </c>
      <c r="M986">
        <v>0.95</v>
      </c>
      <c r="N986">
        <v>0.95</v>
      </c>
      <c r="O986">
        <v>1.6524767801857585</v>
      </c>
      <c r="P986">
        <v>0.26380412092108813</v>
      </c>
      <c r="Q986">
        <v>0.26380412092108813</v>
      </c>
      <c r="R986">
        <v>0.45887387825201498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0.19506975733092685</v>
      </c>
      <c r="AC986">
        <v>0.54112612174798502</v>
      </c>
      <c r="AD986">
        <v>0</v>
      </c>
      <c r="AE986">
        <v>0</v>
      </c>
      <c r="AF986">
        <v>0</v>
      </c>
      <c r="AG986">
        <v>0.26380412092108813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3.7906913527674972</v>
      </c>
      <c r="AN986">
        <v>3.7906913527674972</v>
      </c>
      <c r="AO986">
        <v>1.7394492423007986</v>
      </c>
      <c r="BF986">
        <v>0</v>
      </c>
      <c r="BG986">
        <v>0</v>
      </c>
      <c r="BH986">
        <v>0</v>
      </c>
      <c r="BJ986">
        <v>0.5748946135831382</v>
      </c>
      <c r="BK986">
        <v>0.5748946135831382</v>
      </c>
      <c r="BL986">
        <v>2.1792480404622134</v>
      </c>
      <c r="BM986">
        <v>1.1792480404622134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0.73619587907891182</v>
      </c>
      <c r="BW986">
        <v>0</v>
      </c>
      <c r="BX986">
        <v>0</v>
      </c>
      <c r="BY986">
        <v>0</v>
      </c>
      <c r="BZ986">
        <v>0</v>
      </c>
      <c r="CA986">
        <v>0.5748946135831382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 spans="1:84" x14ac:dyDescent="0.25">
      <c r="A987" t="s">
        <v>128</v>
      </c>
      <c r="B987" t="s">
        <v>422</v>
      </c>
      <c r="C987" s="14" t="s">
        <v>72</v>
      </c>
      <c r="D987" s="12">
        <v>46225</v>
      </c>
      <c r="E987" s="14" t="s">
        <v>134</v>
      </c>
      <c r="F987" s="14" t="s">
        <v>134</v>
      </c>
      <c r="G987" s="14" t="s">
        <v>134</v>
      </c>
      <c r="H987" s="14" t="s">
        <v>75</v>
      </c>
      <c r="I987">
        <v>20</v>
      </c>
      <c r="J987">
        <v>3.9329838100377761</v>
      </c>
      <c r="K987">
        <v>46225</v>
      </c>
      <c r="L987" t="s">
        <v>431</v>
      </c>
      <c r="M987">
        <v>1.9</v>
      </c>
      <c r="N987">
        <v>1.9</v>
      </c>
      <c r="O987">
        <v>1.8823529411764703</v>
      </c>
      <c r="P987">
        <v>0.48309377606661202</v>
      </c>
      <c r="Q987">
        <v>0.48309377606661202</v>
      </c>
      <c r="R987">
        <v>0.47860683697001805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0.51690622393338792</v>
      </c>
      <c r="AD987">
        <v>0</v>
      </c>
      <c r="AE987">
        <v>4.4869390965939782E-3</v>
      </c>
      <c r="AF987">
        <v>0</v>
      </c>
      <c r="AG987">
        <v>0.47860683697001805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2.0699914789672507</v>
      </c>
      <c r="AN987">
        <v>2.0699914789672507</v>
      </c>
      <c r="AO987">
        <v>0.99071207430340547</v>
      </c>
      <c r="BF987">
        <v>0</v>
      </c>
      <c r="BG987">
        <v>0</v>
      </c>
      <c r="BH987">
        <v>0</v>
      </c>
      <c r="BJ987">
        <v>1.0093750000000001</v>
      </c>
      <c r="BK987">
        <v>1.0093750000000001</v>
      </c>
      <c r="BL987">
        <v>2.089397649082569</v>
      </c>
      <c r="BM987">
        <v>1.0800226490825688</v>
      </c>
      <c r="BN987">
        <v>0</v>
      </c>
      <c r="BO987">
        <v>0</v>
      </c>
      <c r="BP987">
        <v>0</v>
      </c>
      <c r="BQ987">
        <v>0</v>
      </c>
      <c r="BR987">
        <v>0.49062499999999987</v>
      </c>
      <c r="BS987">
        <v>9.3750000000001332E-3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</row>
    <row r="988" spans="1:84" x14ac:dyDescent="0.25">
      <c r="A988" t="s">
        <v>128</v>
      </c>
      <c r="B988" t="s">
        <v>422</v>
      </c>
      <c r="C988" s="14" t="s">
        <v>72</v>
      </c>
      <c r="D988" s="12">
        <v>46235</v>
      </c>
      <c r="E988" s="14" t="s">
        <v>134</v>
      </c>
      <c r="F988" s="14" t="s">
        <v>134</v>
      </c>
      <c r="G988" s="14" t="s">
        <v>134</v>
      </c>
      <c r="H988" s="14" t="s">
        <v>73</v>
      </c>
      <c r="I988">
        <v>20</v>
      </c>
      <c r="J988">
        <v>5.3727368119266048</v>
      </c>
      <c r="K988">
        <v>46235</v>
      </c>
      <c r="L988" t="s">
        <v>456</v>
      </c>
      <c r="M988">
        <v>0.95</v>
      </c>
      <c r="N988">
        <v>0.95</v>
      </c>
      <c r="O988">
        <v>1.9131433823529425</v>
      </c>
      <c r="P988">
        <v>0.17681863699170114</v>
      </c>
      <c r="Q988">
        <v>0.17681863699170114</v>
      </c>
      <c r="R988">
        <v>0.35608358446035815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0.17926494746865701</v>
      </c>
      <c r="AC988">
        <v>0.64391641553964185</v>
      </c>
      <c r="AD988">
        <v>0</v>
      </c>
      <c r="AE988">
        <v>0</v>
      </c>
      <c r="AF988">
        <v>0</v>
      </c>
      <c r="AG988">
        <v>0.17681863699170114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5.6555124336069529</v>
      </c>
      <c r="AN988">
        <v>5.6555124336069529</v>
      </c>
      <c r="AO988">
        <v>2.0138351393188869</v>
      </c>
      <c r="BF988">
        <v>0</v>
      </c>
      <c r="BG988">
        <v>0</v>
      </c>
      <c r="BH988">
        <v>0</v>
      </c>
      <c r="BJ988">
        <v>0.49656497717991799</v>
      </c>
      <c r="BK988">
        <v>0.49656497717991799</v>
      </c>
      <c r="BL988">
        <v>2.8083294025347789</v>
      </c>
      <c r="BM988">
        <v>1.8083294025347789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0.82318136300829892</v>
      </c>
      <c r="BW988">
        <v>0</v>
      </c>
      <c r="BX988">
        <v>0</v>
      </c>
      <c r="BY988">
        <v>0</v>
      </c>
      <c r="BZ988">
        <v>0</v>
      </c>
      <c r="CA988">
        <v>0.49656497717991799</v>
      </c>
      <c r="CB988">
        <v>0</v>
      </c>
      <c r="CC988">
        <v>0</v>
      </c>
      <c r="CD988">
        <v>0</v>
      </c>
      <c r="CE988">
        <v>0</v>
      </c>
      <c r="CF988">
        <v>0</v>
      </c>
    </row>
    <row r="989" spans="1:84" x14ac:dyDescent="0.25">
      <c r="A989" t="s">
        <v>128</v>
      </c>
      <c r="B989" t="s">
        <v>422</v>
      </c>
      <c r="C989" s="14" t="s">
        <v>72</v>
      </c>
      <c r="D989" s="12">
        <v>46249</v>
      </c>
      <c r="E989" s="14" t="s">
        <v>420</v>
      </c>
      <c r="F989" s="14" t="s">
        <v>420</v>
      </c>
      <c r="G989" s="14" t="s">
        <v>420</v>
      </c>
      <c r="H989" s="14" t="s">
        <v>74</v>
      </c>
      <c r="I989">
        <v>20</v>
      </c>
      <c r="J989">
        <v>0</v>
      </c>
      <c r="K989">
        <v>46249</v>
      </c>
      <c r="L989" t="s">
        <v>499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1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F989">
        <v>0</v>
      </c>
    </row>
    <row r="990" spans="1:84" x14ac:dyDescent="0.25">
      <c r="A990" t="s">
        <v>128</v>
      </c>
      <c r="B990" t="s">
        <v>422</v>
      </c>
      <c r="C990" s="14" t="s">
        <v>72</v>
      </c>
      <c r="D990" s="12">
        <v>46249</v>
      </c>
      <c r="E990" s="14" t="s">
        <v>420</v>
      </c>
      <c r="F990" s="14" t="s">
        <v>420</v>
      </c>
      <c r="G990" s="14" t="s">
        <v>420</v>
      </c>
      <c r="H990" s="14" t="s">
        <v>75</v>
      </c>
      <c r="I990">
        <v>20</v>
      </c>
      <c r="J990">
        <v>3.2304494690128904</v>
      </c>
      <c r="K990">
        <v>46249</v>
      </c>
      <c r="L990" t="s">
        <v>500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</row>
    <row r="991" spans="1:84" x14ac:dyDescent="0.25">
      <c r="A991" t="s">
        <v>128</v>
      </c>
      <c r="B991" t="s">
        <v>422</v>
      </c>
      <c r="C991" s="14" t="s">
        <v>72</v>
      </c>
      <c r="D991" s="12">
        <v>46238</v>
      </c>
      <c r="E991" s="14" t="s">
        <v>134</v>
      </c>
      <c r="F991" s="14" t="s">
        <v>134</v>
      </c>
      <c r="G991" s="14" t="s">
        <v>134</v>
      </c>
      <c r="H991" s="14" t="s">
        <v>75</v>
      </c>
      <c r="I991">
        <v>20</v>
      </c>
      <c r="J991">
        <v>3.3711289800323794</v>
      </c>
      <c r="K991">
        <v>46238</v>
      </c>
      <c r="L991" t="s">
        <v>467</v>
      </c>
      <c r="M991">
        <v>2.8499999999999996</v>
      </c>
      <c r="N991">
        <v>2.8499999999999996</v>
      </c>
      <c r="O991">
        <v>1.5501730103806233</v>
      </c>
      <c r="P991">
        <v>0.84541410811657103</v>
      </c>
      <c r="Q991">
        <v>0.84541410811657103</v>
      </c>
      <c r="R991">
        <v>0.45983794140256656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0.15458589188342897</v>
      </c>
      <c r="AD991">
        <v>0</v>
      </c>
      <c r="AE991">
        <v>0.38557616671400446</v>
      </c>
      <c r="AF991">
        <v>0</v>
      </c>
      <c r="AG991">
        <v>0.45983794140256656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1.1828522736955718</v>
      </c>
      <c r="AN991">
        <v>1.1828522736955718</v>
      </c>
      <c r="AO991">
        <v>0.54392035451951704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0.18285227369557178</v>
      </c>
      <c r="AY991">
        <v>0</v>
      </c>
      <c r="AZ991">
        <v>0</v>
      </c>
      <c r="BA991">
        <v>0</v>
      </c>
      <c r="BB991">
        <v>0.45607964548048296</v>
      </c>
      <c r="BC991">
        <v>0</v>
      </c>
      <c r="BD991">
        <v>0.54392035451951704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1.8385044642857136</v>
      </c>
      <c r="BK991">
        <v>1.8385044642857136</v>
      </c>
      <c r="BL991">
        <v>2.1746791857798153</v>
      </c>
      <c r="CC991">
        <v>0</v>
      </c>
      <c r="CD991">
        <v>0</v>
      </c>
      <c r="CE991">
        <v>0</v>
      </c>
    </row>
    <row r="992" spans="1:84" x14ac:dyDescent="0.25">
      <c r="A992" t="s">
        <v>128</v>
      </c>
      <c r="B992" t="s">
        <v>422</v>
      </c>
      <c r="C992" s="14" t="s">
        <v>72</v>
      </c>
      <c r="D992" s="12">
        <v>46238</v>
      </c>
      <c r="E992" s="14" t="s">
        <v>134</v>
      </c>
      <c r="F992" s="14" t="s">
        <v>134</v>
      </c>
      <c r="G992" s="14" t="s">
        <v>134</v>
      </c>
      <c r="H992" s="14" t="s">
        <v>74</v>
      </c>
      <c r="I992">
        <v>20</v>
      </c>
      <c r="J992">
        <v>1.2735376146788988</v>
      </c>
      <c r="K992">
        <v>46238</v>
      </c>
      <c r="L992" t="s">
        <v>466</v>
      </c>
      <c r="M992">
        <v>0</v>
      </c>
      <c r="N992">
        <v>0</v>
      </c>
      <c r="O992">
        <v>6.2745098039215685E-2</v>
      </c>
      <c r="P992">
        <v>0</v>
      </c>
      <c r="Q992">
        <v>0</v>
      </c>
      <c r="R992">
        <v>4.9268350864560689E-2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4.9268350864560689E-2</v>
      </c>
      <c r="AC992">
        <v>0.95073164913543928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J992">
        <v>0</v>
      </c>
      <c r="BK992">
        <v>0</v>
      </c>
      <c r="BL992">
        <v>20.29700573394495</v>
      </c>
      <c r="BM992">
        <v>19.29700573394495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 spans="1:84" x14ac:dyDescent="0.25">
      <c r="A993" t="s">
        <v>128</v>
      </c>
      <c r="B993" t="s">
        <v>422</v>
      </c>
      <c r="C993" s="14" t="s">
        <v>72</v>
      </c>
      <c r="D993" s="12">
        <v>46250</v>
      </c>
      <c r="E993" s="14" t="s">
        <v>420</v>
      </c>
      <c r="F993" s="14" t="s">
        <v>420</v>
      </c>
      <c r="G993" s="14" t="s">
        <v>420</v>
      </c>
      <c r="H993" s="14" t="s">
        <v>73</v>
      </c>
      <c r="I993">
        <v>20</v>
      </c>
      <c r="J993">
        <v>3.6011567851291222</v>
      </c>
      <c r="K993">
        <v>46250</v>
      </c>
      <c r="L993" t="s">
        <v>501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</row>
    <row r="994" spans="1:84" x14ac:dyDescent="0.25">
      <c r="A994" t="s">
        <v>128</v>
      </c>
      <c r="B994" t="s">
        <v>422</v>
      </c>
      <c r="C994" s="14" t="s">
        <v>72</v>
      </c>
      <c r="D994" s="12">
        <v>46238</v>
      </c>
      <c r="E994" s="14" t="s">
        <v>134</v>
      </c>
      <c r="F994" s="14" t="s">
        <v>134</v>
      </c>
      <c r="G994" s="14" t="s">
        <v>134</v>
      </c>
      <c r="H994" s="14" t="s">
        <v>73</v>
      </c>
      <c r="I994">
        <v>20</v>
      </c>
      <c r="J994">
        <v>5.8204648795871554</v>
      </c>
      <c r="K994">
        <v>46238</v>
      </c>
      <c r="L994" t="s">
        <v>465</v>
      </c>
      <c r="M994">
        <v>0.95</v>
      </c>
      <c r="N994">
        <v>0.95</v>
      </c>
      <c r="O994">
        <v>3.2941176470588225</v>
      </c>
      <c r="P994">
        <v>0.16321720337695489</v>
      </c>
      <c r="Q994">
        <v>0.16321720337695489</v>
      </c>
      <c r="R994">
        <v>0.56595438941854315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0.40273718604158826</v>
      </c>
      <c r="AC994">
        <v>0.43404561058145685</v>
      </c>
      <c r="AD994">
        <v>0</v>
      </c>
      <c r="AE994">
        <v>0</v>
      </c>
      <c r="AF994">
        <v>0</v>
      </c>
      <c r="AG994">
        <v>0.16321720337695489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6.1268051364075324</v>
      </c>
      <c r="AN994">
        <v>6.1268051364075324</v>
      </c>
      <c r="AO994">
        <v>3.4674922600619187</v>
      </c>
      <c r="BF994">
        <v>0</v>
      </c>
      <c r="BG994">
        <v>0</v>
      </c>
      <c r="BH994">
        <v>0</v>
      </c>
      <c r="BJ994">
        <v>0.28839285714285723</v>
      </c>
      <c r="BK994">
        <v>0.28839285714285723</v>
      </c>
      <c r="BL994">
        <v>1.7669268384461012</v>
      </c>
      <c r="BM994">
        <v>0.76692683844610121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0.83678279662304511</v>
      </c>
      <c r="BW994">
        <v>0</v>
      </c>
      <c r="BX994">
        <v>0</v>
      </c>
      <c r="BY994">
        <v>0</v>
      </c>
      <c r="BZ994">
        <v>0</v>
      </c>
      <c r="CA994">
        <v>0.28839285714285723</v>
      </c>
      <c r="CB994">
        <v>0</v>
      </c>
      <c r="CC994">
        <v>0</v>
      </c>
      <c r="CD994">
        <v>0</v>
      </c>
      <c r="CE994">
        <v>0</v>
      </c>
      <c r="CF994">
        <v>0</v>
      </c>
    </row>
    <row r="995" spans="1:84" x14ac:dyDescent="0.25">
      <c r="A995" t="s">
        <v>128</v>
      </c>
      <c r="B995" t="s">
        <v>422</v>
      </c>
      <c r="C995" s="14" t="s">
        <v>72</v>
      </c>
      <c r="D995" s="12">
        <v>46250</v>
      </c>
      <c r="E995" s="14" t="s">
        <v>420</v>
      </c>
      <c r="F995" s="14" t="s">
        <v>420</v>
      </c>
      <c r="G995" s="14" t="s">
        <v>420</v>
      </c>
      <c r="H995" s="14" t="s">
        <v>74</v>
      </c>
      <c r="I995">
        <v>20</v>
      </c>
      <c r="J995">
        <v>0</v>
      </c>
      <c r="K995">
        <v>46250</v>
      </c>
      <c r="L995" t="s">
        <v>502</v>
      </c>
      <c r="M995">
        <v>1.9</v>
      </c>
      <c r="N995">
        <v>1.9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1</v>
      </c>
      <c r="CD995">
        <v>0</v>
      </c>
      <c r="CF995">
        <v>0</v>
      </c>
    </row>
    <row r="996" spans="1:84" x14ac:dyDescent="0.25">
      <c r="A996" t="s">
        <v>128</v>
      </c>
      <c r="B996" t="s">
        <v>422</v>
      </c>
      <c r="C996" s="14" t="s">
        <v>72</v>
      </c>
      <c r="D996" s="12">
        <v>46237</v>
      </c>
      <c r="E996" s="14" t="s">
        <v>134</v>
      </c>
      <c r="F996" s="14" t="s">
        <v>134</v>
      </c>
      <c r="G996" s="14" t="s">
        <v>134</v>
      </c>
      <c r="H996" s="14" t="s">
        <v>75</v>
      </c>
      <c r="I996">
        <v>20</v>
      </c>
      <c r="J996">
        <v>3.3711289800323794</v>
      </c>
      <c r="K996">
        <v>46237</v>
      </c>
      <c r="L996" t="s">
        <v>464</v>
      </c>
      <c r="M996">
        <v>1.9</v>
      </c>
      <c r="N996">
        <v>1.9</v>
      </c>
      <c r="O996">
        <v>2.214532871972319</v>
      </c>
      <c r="P996">
        <v>0.56360940541104732</v>
      </c>
      <c r="Q996">
        <v>0.56360940541104732</v>
      </c>
      <c r="R996">
        <v>0.65691134486080938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9.3301939449762061E-2</v>
      </c>
      <c r="AC996">
        <v>0.34308865513919062</v>
      </c>
      <c r="AD996">
        <v>0</v>
      </c>
      <c r="AE996">
        <v>0</v>
      </c>
      <c r="AF996">
        <v>0</v>
      </c>
      <c r="AG996">
        <v>0.56360940541104732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1.7742784105433576</v>
      </c>
      <c r="AN996">
        <v>1.7742784105433576</v>
      </c>
      <c r="AO996">
        <v>1.1655436168275364</v>
      </c>
      <c r="BF996">
        <v>0</v>
      </c>
      <c r="BG996">
        <v>0</v>
      </c>
      <c r="BH996">
        <v>0</v>
      </c>
      <c r="BJ996">
        <v>0.85796874999999972</v>
      </c>
      <c r="BK996">
        <v>0.85796874999999972</v>
      </c>
      <c r="BL996">
        <v>1.522275430045871</v>
      </c>
      <c r="BM996">
        <v>0.52227543004587096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0.43639059458895268</v>
      </c>
      <c r="BW996">
        <v>0</v>
      </c>
      <c r="BX996">
        <v>0</v>
      </c>
      <c r="BY996">
        <v>0</v>
      </c>
      <c r="BZ996">
        <v>0</v>
      </c>
      <c r="CA996">
        <v>0.85796874999999972</v>
      </c>
      <c r="CB996">
        <v>0</v>
      </c>
      <c r="CC996">
        <v>0</v>
      </c>
      <c r="CD996">
        <v>0</v>
      </c>
      <c r="CE996">
        <v>0</v>
      </c>
      <c r="CF996">
        <v>0</v>
      </c>
    </row>
    <row r="997" spans="1:84" x14ac:dyDescent="0.25">
      <c r="A997" t="s">
        <v>128</v>
      </c>
      <c r="B997" t="s">
        <v>422</v>
      </c>
      <c r="C997" s="14" t="s">
        <v>72</v>
      </c>
      <c r="D997" s="12">
        <v>46250</v>
      </c>
      <c r="E997" s="14" t="s">
        <v>420</v>
      </c>
      <c r="F997" s="14" t="s">
        <v>420</v>
      </c>
      <c r="G997" s="14" t="s">
        <v>420</v>
      </c>
      <c r="H997" s="14" t="s">
        <v>75</v>
      </c>
      <c r="I997">
        <v>20</v>
      </c>
      <c r="J997">
        <v>3.1774912809962856</v>
      </c>
      <c r="K997">
        <v>46250</v>
      </c>
      <c r="L997" t="s">
        <v>503</v>
      </c>
      <c r="M997">
        <v>0.95</v>
      </c>
      <c r="N997">
        <v>0.95</v>
      </c>
      <c r="O997">
        <v>0</v>
      </c>
      <c r="P997">
        <v>0.29897800371056643</v>
      </c>
      <c r="Q997">
        <v>0.29897800371056643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0.70102199628943351</v>
      </c>
      <c r="AD997">
        <v>0</v>
      </c>
      <c r="AE997">
        <v>0</v>
      </c>
      <c r="AF997">
        <v>0</v>
      </c>
      <c r="AG997">
        <v>0</v>
      </c>
      <c r="AH997">
        <v>0.29897800371056643</v>
      </c>
      <c r="AI997">
        <v>0</v>
      </c>
      <c r="AJ997">
        <v>0</v>
      </c>
      <c r="AK997">
        <v>0</v>
      </c>
      <c r="AL997">
        <v>0</v>
      </c>
      <c r="AM997">
        <v>3.3447276642066166</v>
      </c>
      <c r="AN997">
        <v>3.3447276642066166</v>
      </c>
      <c r="AO997">
        <v>0</v>
      </c>
      <c r="BF997">
        <v>0</v>
      </c>
      <c r="BG997">
        <v>0</v>
      </c>
      <c r="BH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</row>
    <row r="998" spans="1:84" x14ac:dyDescent="0.25">
      <c r="A998" t="s">
        <v>128</v>
      </c>
      <c r="B998" t="s">
        <v>422</v>
      </c>
      <c r="C998" s="14" t="s">
        <v>72</v>
      </c>
      <c r="D998" s="12">
        <v>46237</v>
      </c>
      <c r="E998" s="14" t="s">
        <v>134</v>
      </c>
      <c r="F998" s="14" t="s">
        <v>134</v>
      </c>
      <c r="G998" s="14" t="s">
        <v>134</v>
      </c>
      <c r="H998" s="14" t="s">
        <v>74</v>
      </c>
      <c r="I998">
        <v>20</v>
      </c>
      <c r="J998">
        <v>1.2735376146788988</v>
      </c>
      <c r="K998">
        <v>46237</v>
      </c>
      <c r="L998" t="s">
        <v>463</v>
      </c>
      <c r="M998">
        <v>0</v>
      </c>
      <c r="N998">
        <v>0</v>
      </c>
      <c r="O998">
        <v>6.2745098039215685E-2</v>
      </c>
      <c r="P998">
        <v>0</v>
      </c>
      <c r="Q998">
        <v>0</v>
      </c>
      <c r="R998">
        <v>4.9268350864560689E-2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4.9268350864560689E-2</v>
      </c>
      <c r="AC998">
        <v>0.95073164913543928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J998">
        <v>0</v>
      </c>
      <c r="BK998">
        <v>0</v>
      </c>
      <c r="BL998">
        <v>20.29700573394495</v>
      </c>
      <c r="BM998">
        <v>19.29700573394495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</row>
    <row r="999" spans="1:84" x14ac:dyDescent="0.25">
      <c r="A999" t="s">
        <v>128</v>
      </c>
      <c r="B999" t="s">
        <v>422</v>
      </c>
      <c r="C999" s="14" t="s">
        <v>72</v>
      </c>
      <c r="D999" s="12">
        <v>46223</v>
      </c>
      <c r="E999" s="14" t="s">
        <v>134</v>
      </c>
      <c r="F999" s="14" t="s">
        <v>134</v>
      </c>
      <c r="G999" s="14" t="s">
        <v>134</v>
      </c>
      <c r="H999" s="14" t="s">
        <v>73</v>
      </c>
      <c r="I999">
        <v>20</v>
      </c>
      <c r="J999">
        <v>5.8204648795871554</v>
      </c>
      <c r="K999">
        <v>46223</v>
      </c>
      <c r="L999" t="s">
        <v>423</v>
      </c>
      <c r="M999">
        <v>0.95</v>
      </c>
      <c r="N999">
        <v>0.95</v>
      </c>
      <c r="O999">
        <v>0.94117647058823517</v>
      </c>
      <c r="P999">
        <v>0.16321720337695489</v>
      </c>
      <c r="Q999">
        <v>0.16321720337695489</v>
      </c>
      <c r="R999">
        <v>0.16170125411958378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0.83678279662304511</v>
      </c>
      <c r="AD999">
        <v>0</v>
      </c>
      <c r="AE999">
        <v>1.5159492573711131E-3</v>
      </c>
      <c r="AF999">
        <v>0</v>
      </c>
      <c r="AG999">
        <v>0.16170125411958378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6.1268051364075324</v>
      </c>
      <c r="AN999">
        <v>6.1268051364075324</v>
      </c>
      <c r="AO999">
        <v>0.99071207430340547</v>
      </c>
      <c r="BF999">
        <v>0</v>
      </c>
      <c r="BG999">
        <v>0</v>
      </c>
      <c r="BH999">
        <v>0</v>
      </c>
      <c r="BJ999">
        <v>1.0093750000000001</v>
      </c>
      <c r="BK999">
        <v>1.0093750000000001</v>
      </c>
      <c r="BL999">
        <v>6.1842439345613531</v>
      </c>
      <c r="BM999">
        <v>5.1748689345613528</v>
      </c>
      <c r="BN999">
        <v>0</v>
      </c>
      <c r="BO999">
        <v>0</v>
      </c>
      <c r="BP999">
        <v>0</v>
      </c>
      <c r="BQ999">
        <v>0</v>
      </c>
      <c r="BR999">
        <v>0.49062499999999987</v>
      </c>
      <c r="BS999">
        <v>9.3750000000001332E-3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</row>
    <row r="1000" spans="1:84" x14ac:dyDescent="0.25">
      <c r="A1000" t="s">
        <v>128</v>
      </c>
      <c r="B1000" t="s">
        <v>422</v>
      </c>
      <c r="C1000" s="14" t="s">
        <v>72</v>
      </c>
      <c r="D1000" s="12">
        <v>46234</v>
      </c>
      <c r="E1000" s="14" t="s">
        <v>134</v>
      </c>
      <c r="F1000" s="14" t="s">
        <v>134</v>
      </c>
      <c r="G1000" s="14" t="s">
        <v>134</v>
      </c>
      <c r="H1000" s="14" t="s">
        <v>75</v>
      </c>
      <c r="I1000">
        <v>20</v>
      </c>
      <c r="J1000">
        <v>2.2474193200215864</v>
      </c>
      <c r="K1000">
        <v>46234</v>
      </c>
      <c r="L1000" t="s">
        <v>455</v>
      </c>
      <c r="M1000">
        <v>1.9</v>
      </c>
      <c r="N1000">
        <v>1.9</v>
      </c>
      <c r="O1000">
        <v>2.188148788927335</v>
      </c>
      <c r="P1000">
        <v>0.84541410811657103</v>
      </c>
      <c r="Q1000">
        <v>0.84541410811657103</v>
      </c>
      <c r="R1000">
        <v>0.97362729306176732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0.12821318494519629</v>
      </c>
      <c r="AC1000">
        <v>2.6372706938232682E-2</v>
      </c>
      <c r="AD1000">
        <v>0</v>
      </c>
      <c r="AE1000">
        <v>0</v>
      </c>
      <c r="AF1000">
        <v>0</v>
      </c>
      <c r="AG1000">
        <v>0.84541410811657103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1.1828522736955718</v>
      </c>
      <c r="AN1000">
        <v>1.1828522736955718</v>
      </c>
      <c r="AO1000">
        <v>1.1516572573301764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0.15165725733017643</v>
      </c>
      <c r="AW1000">
        <v>0</v>
      </c>
      <c r="AX1000">
        <v>3.1195016365395345E-2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0.86831389602688303</v>
      </c>
      <c r="BK1000">
        <v>0.86831389602688303</v>
      </c>
      <c r="BL1000">
        <v>1.027087066196859</v>
      </c>
      <c r="BM1000">
        <v>2.7087066196858967E-2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0.15458589188342897</v>
      </c>
      <c r="BW1000">
        <v>0</v>
      </c>
      <c r="BX1000">
        <v>0</v>
      </c>
      <c r="BY1000">
        <v>0</v>
      </c>
      <c r="BZ1000">
        <v>0</v>
      </c>
      <c r="CA1000">
        <v>0.86831389602688303</v>
      </c>
      <c r="CB1000">
        <v>0</v>
      </c>
      <c r="CC1000">
        <v>0</v>
      </c>
      <c r="CD1000">
        <v>0</v>
      </c>
      <c r="CE1000">
        <v>0</v>
      </c>
      <c r="CF1000">
        <v>0</v>
      </c>
    </row>
    <row r="1001" spans="1:84" x14ac:dyDescent="0.25">
      <c r="A1001" t="s">
        <v>128</v>
      </c>
      <c r="B1001" t="s">
        <v>422</v>
      </c>
      <c r="C1001" s="14" t="s">
        <v>72</v>
      </c>
      <c r="D1001" s="12">
        <v>46237</v>
      </c>
      <c r="E1001" s="14" t="s">
        <v>134</v>
      </c>
      <c r="F1001" s="14" t="s">
        <v>134</v>
      </c>
      <c r="G1001" s="14" t="s">
        <v>134</v>
      </c>
      <c r="H1001" s="14" t="s">
        <v>73</v>
      </c>
      <c r="I1001">
        <v>20</v>
      </c>
      <c r="J1001">
        <v>5.8204648795871554</v>
      </c>
      <c r="K1001">
        <v>46237</v>
      </c>
      <c r="L1001" t="s">
        <v>462</v>
      </c>
      <c r="M1001">
        <v>0.95</v>
      </c>
      <c r="N1001">
        <v>0.95</v>
      </c>
      <c r="O1001">
        <v>2.5882352941176476</v>
      </c>
      <c r="P1001">
        <v>0.16321720337695489</v>
      </c>
      <c r="Q1001">
        <v>0.16321720337695489</v>
      </c>
      <c r="R1001">
        <v>0.44467844882885554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0.28146124545190065</v>
      </c>
      <c r="AC1001">
        <v>0.55532155117114446</v>
      </c>
      <c r="AD1001">
        <v>0</v>
      </c>
      <c r="AE1001">
        <v>0</v>
      </c>
      <c r="AF1001">
        <v>0</v>
      </c>
      <c r="AG1001">
        <v>0.16321720337695489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6.1268051364075324</v>
      </c>
      <c r="AN1001">
        <v>6.1268051364075324</v>
      </c>
      <c r="AO1001">
        <v>2.7244582043343661</v>
      </c>
      <c r="BF1001">
        <v>0</v>
      </c>
      <c r="BG1001">
        <v>0</v>
      </c>
      <c r="BH1001">
        <v>0</v>
      </c>
      <c r="BJ1001">
        <v>0.36704545454545445</v>
      </c>
      <c r="BK1001">
        <v>0.36704545454545445</v>
      </c>
      <c r="BL1001">
        <v>2.2488159762041278</v>
      </c>
      <c r="BM1001">
        <v>1.2488159762041278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0.83678279662304511</v>
      </c>
      <c r="BW1001">
        <v>0</v>
      </c>
      <c r="BX1001">
        <v>0</v>
      </c>
      <c r="BY1001">
        <v>0</v>
      </c>
      <c r="BZ1001">
        <v>0</v>
      </c>
      <c r="CA1001">
        <v>0.36704545454545445</v>
      </c>
      <c r="CB1001">
        <v>0</v>
      </c>
      <c r="CC1001">
        <v>0</v>
      </c>
      <c r="CD1001">
        <v>0</v>
      </c>
      <c r="CE1001">
        <v>0</v>
      </c>
      <c r="CF1001">
        <v>0</v>
      </c>
    </row>
    <row r="1002" spans="1:84" x14ac:dyDescent="0.25">
      <c r="A1002" t="s">
        <v>128</v>
      </c>
      <c r="B1002" t="s">
        <v>422</v>
      </c>
      <c r="C1002" s="14" t="s">
        <v>72</v>
      </c>
      <c r="D1002" s="12">
        <v>46236</v>
      </c>
      <c r="E1002" s="14" t="s">
        <v>134</v>
      </c>
      <c r="F1002" s="14" t="s">
        <v>134</v>
      </c>
      <c r="G1002" s="14" t="s">
        <v>134</v>
      </c>
      <c r="H1002" s="14" t="s">
        <v>75</v>
      </c>
      <c r="I1002">
        <v>20</v>
      </c>
      <c r="J1002">
        <v>2.2474193200215868</v>
      </c>
      <c r="K1002">
        <v>46236</v>
      </c>
      <c r="L1002" t="s">
        <v>461</v>
      </c>
      <c r="M1002">
        <v>5.6999999999999993</v>
      </c>
      <c r="N1002">
        <v>5.6999999999999993</v>
      </c>
      <c r="O1002">
        <v>1.8823529411764703</v>
      </c>
      <c r="P1002">
        <v>2.5362423243497121</v>
      </c>
      <c r="Q1002">
        <v>2.5362423243497121</v>
      </c>
      <c r="R1002">
        <v>0.83756196469753141</v>
      </c>
      <c r="S1002">
        <v>0</v>
      </c>
      <c r="T1002">
        <v>0</v>
      </c>
      <c r="U1002">
        <v>1.2862423243497121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0.25</v>
      </c>
      <c r="AB1002">
        <v>0</v>
      </c>
      <c r="AC1002">
        <v>0</v>
      </c>
      <c r="AD1002">
        <v>0</v>
      </c>
      <c r="AE1002">
        <v>0.16243803530246859</v>
      </c>
      <c r="AF1002">
        <v>0</v>
      </c>
      <c r="AG1002">
        <v>0.83756196469753141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0.39428409123185737</v>
      </c>
      <c r="AN1002">
        <v>0.39428409123185737</v>
      </c>
      <c r="AO1002">
        <v>0.33023735810113519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0.60571590876814263</v>
      </c>
      <c r="BA1002">
        <v>0</v>
      </c>
      <c r="BB1002">
        <v>6.4046733130722178E-2</v>
      </c>
      <c r="BC1002">
        <v>0</v>
      </c>
      <c r="BD1002">
        <v>0.33023735810113519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3.0281250000000002</v>
      </c>
      <c r="BK1002">
        <v>3.0281250000000002</v>
      </c>
      <c r="BL1002">
        <v>1.1939415137614682</v>
      </c>
      <c r="CC1002">
        <v>0</v>
      </c>
      <c r="CD1002">
        <v>0</v>
      </c>
      <c r="CE1002">
        <v>0</v>
      </c>
    </row>
    <row r="1003" spans="1:84" x14ac:dyDescent="0.25">
      <c r="A1003" t="s">
        <v>128</v>
      </c>
      <c r="B1003" t="s">
        <v>422</v>
      </c>
      <c r="C1003" s="14" t="s">
        <v>72</v>
      </c>
      <c r="D1003" s="12">
        <v>46223</v>
      </c>
      <c r="E1003" s="14" t="s">
        <v>134</v>
      </c>
      <c r="F1003" s="14" t="s">
        <v>134</v>
      </c>
      <c r="G1003" s="14" t="s">
        <v>134</v>
      </c>
      <c r="H1003" s="14" t="s">
        <v>75</v>
      </c>
      <c r="I1003">
        <v>20</v>
      </c>
      <c r="J1003">
        <v>3.3711289800323794</v>
      </c>
      <c r="K1003">
        <v>46223</v>
      </c>
      <c r="L1003" t="s">
        <v>425</v>
      </c>
      <c r="M1003">
        <v>3.8</v>
      </c>
      <c r="N1003">
        <v>3.8</v>
      </c>
      <c r="O1003">
        <v>2.0220588235294117</v>
      </c>
      <c r="P1003">
        <v>1.1272188108220946</v>
      </c>
      <c r="Q1003">
        <v>1.1272188108220946</v>
      </c>
      <c r="R1003">
        <v>0.59981651117661772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0.12721881082209463</v>
      </c>
      <c r="AB1003">
        <v>0</v>
      </c>
      <c r="AC1003">
        <v>0</v>
      </c>
      <c r="AD1003">
        <v>0</v>
      </c>
      <c r="AE1003">
        <v>0.40018348882338228</v>
      </c>
      <c r="AF1003">
        <v>0</v>
      </c>
      <c r="AG1003">
        <v>0.59981651117661772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0.88713920527167878</v>
      </c>
      <c r="AN1003">
        <v>0.88713920527167878</v>
      </c>
      <c r="AO1003">
        <v>0.53212074303405577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0.11286079472832122</v>
      </c>
      <c r="BA1003">
        <v>0</v>
      </c>
      <c r="BB1003">
        <v>0.35501846223762301</v>
      </c>
      <c r="BC1003">
        <v>0</v>
      </c>
      <c r="BD1003">
        <v>0.53212074303405577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1.8792727272727272</v>
      </c>
      <c r="BK1003">
        <v>1.8792727272727272</v>
      </c>
      <c r="BL1003">
        <v>1.6671765137614676</v>
      </c>
      <c r="CC1003">
        <v>0</v>
      </c>
      <c r="CD1003">
        <v>0</v>
      </c>
      <c r="CE1003">
        <v>0</v>
      </c>
    </row>
    <row r="1004" spans="1:84" x14ac:dyDescent="0.25">
      <c r="A1004" t="s">
        <v>128</v>
      </c>
      <c r="B1004" t="s">
        <v>422</v>
      </c>
      <c r="C1004" s="14" t="s">
        <v>72</v>
      </c>
      <c r="D1004" s="12">
        <v>46236</v>
      </c>
      <c r="E1004" s="14" t="s">
        <v>134</v>
      </c>
      <c r="F1004" s="14" t="s">
        <v>134</v>
      </c>
      <c r="G1004" s="14" t="s">
        <v>134</v>
      </c>
      <c r="H1004" s="14" t="s">
        <v>74</v>
      </c>
      <c r="I1004">
        <v>20</v>
      </c>
      <c r="J1004">
        <v>1.2735376146788988</v>
      </c>
      <c r="K1004">
        <v>46236</v>
      </c>
      <c r="L1004" t="s">
        <v>460</v>
      </c>
      <c r="M1004">
        <v>0</v>
      </c>
      <c r="N1004">
        <v>0</v>
      </c>
      <c r="O1004">
        <v>6.2745098039215685E-2</v>
      </c>
      <c r="P1004">
        <v>0</v>
      </c>
      <c r="Q1004">
        <v>0</v>
      </c>
      <c r="R1004">
        <v>4.9268350864560689E-2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4.9268350864560689E-2</v>
      </c>
      <c r="AC1004">
        <v>0.95073164913543928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J1004">
        <v>0</v>
      </c>
      <c r="BK1004">
        <v>0</v>
      </c>
      <c r="BL1004">
        <v>20.29700573394495</v>
      </c>
      <c r="BM1004">
        <v>19.29700573394495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 spans="1:84" x14ac:dyDescent="0.25">
      <c r="A1005" t="s">
        <v>128</v>
      </c>
      <c r="B1005" t="s">
        <v>422</v>
      </c>
      <c r="C1005" s="14" t="s">
        <v>72</v>
      </c>
      <c r="D1005" s="12">
        <v>46224</v>
      </c>
      <c r="E1005" s="14" t="s">
        <v>134</v>
      </c>
      <c r="F1005" s="14" t="s">
        <v>134</v>
      </c>
      <c r="G1005" s="14" t="s">
        <v>134</v>
      </c>
      <c r="H1005" s="14" t="s">
        <v>73</v>
      </c>
      <c r="I1005">
        <v>20</v>
      </c>
      <c r="J1005">
        <v>5.8204648795871572</v>
      </c>
      <c r="K1005">
        <v>46224</v>
      </c>
      <c r="L1005" t="s">
        <v>426</v>
      </c>
      <c r="M1005">
        <v>0.95</v>
      </c>
      <c r="N1005">
        <v>0.95</v>
      </c>
      <c r="O1005">
        <v>1.0896139705882353</v>
      </c>
      <c r="P1005">
        <v>0.16321720337695483</v>
      </c>
      <c r="Q1005">
        <v>0.16321720337695483</v>
      </c>
      <c r="R1005">
        <v>0.18720394214723293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2.3986738770278099E-2</v>
      </c>
      <c r="AC1005">
        <v>0.8127960578527671</v>
      </c>
      <c r="AD1005">
        <v>0</v>
      </c>
      <c r="AE1005">
        <v>0</v>
      </c>
      <c r="AF1005">
        <v>0</v>
      </c>
      <c r="AG1005">
        <v>0.16321720337695483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6.1268051364075342</v>
      </c>
      <c r="AN1005">
        <v>6.1268051364075342</v>
      </c>
      <c r="AO1005">
        <v>1.1469620743034057</v>
      </c>
      <c r="BF1005">
        <v>0</v>
      </c>
      <c r="BG1005">
        <v>0</v>
      </c>
      <c r="BH1005">
        <v>0</v>
      </c>
      <c r="BJ1005">
        <v>0.87186840995360604</v>
      </c>
      <c r="BK1005">
        <v>0.87186840995360604</v>
      </c>
      <c r="BL1005">
        <v>5.3417678523752228</v>
      </c>
      <c r="BM1005">
        <v>4.3417678523752228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0.83678279662304522</v>
      </c>
      <c r="BW1005">
        <v>0</v>
      </c>
      <c r="BX1005">
        <v>0</v>
      </c>
      <c r="BY1005">
        <v>0</v>
      </c>
      <c r="BZ1005">
        <v>0</v>
      </c>
      <c r="CA1005">
        <v>0.87186840995360604</v>
      </c>
      <c r="CB1005">
        <v>0</v>
      </c>
      <c r="CC1005">
        <v>0</v>
      </c>
      <c r="CD1005">
        <v>0</v>
      </c>
      <c r="CE1005">
        <v>0</v>
      </c>
      <c r="CF1005">
        <v>0</v>
      </c>
    </row>
    <row r="1006" spans="1:84" x14ac:dyDescent="0.25">
      <c r="A1006" t="s">
        <v>128</v>
      </c>
      <c r="B1006" t="s">
        <v>422</v>
      </c>
      <c r="C1006" s="14" t="s">
        <v>72</v>
      </c>
      <c r="D1006" s="12">
        <v>46236</v>
      </c>
      <c r="E1006" s="14" t="s">
        <v>134</v>
      </c>
      <c r="F1006" s="14" t="s">
        <v>134</v>
      </c>
      <c r="G1006" s="14" t="s">
        <v>134</v>
      </c>
      <c r="H1006" s="14" t="s">
        <v>73</v>
      </c>
      <c r="I1006">
        <v>20</v>
      </c>
      <c r="J1006">
        <v>3.5818245412844019</v>
      </c>
      <c r="K1006">
        <v>46236</v>
      </c>
      <c r="L1006" t="s">
        <v>459</v>
      </c>
      <c r="M1006">
        <v>0.95</v>
      </c>
      <c r="N1006">
        <v>0.95</v>
      </c>
      <c r="O1006">
        <v>1.0896139705882353</v>
      </c>
      <c r="P1006">
        <v>0.26522795548755179</v>
      </c>
      <c r="Q1006">
        <v>0.26522795548755179</v>
      </c>
      <c r="R1006">
        <v>0.30420640598925375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3.8978450501701956E-2</v>
      </c>
      <c r="AC1006">
        <v>0.69579359401074625</v>
      </c>
      <c r="AD1006">
        <v>0</v>
      </c>
      <c r="AE1006">
        <v>0</v>
      </c>
      <c r="AF1006">
        <v>0</v>
      </c>
      <c r="AG1006">
        <v>0.26522795548755179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3.7703416224046338</v>
      </c>
      <c r="AN1006">
        <v>3.7703416224046338</v>
      </c>
      <c r="AO1006">
        <v>1.1469620743034057</v>
      </c>
      <c r="BF1006">
        <v>0</v>
      </c>
      <c r="BG1006">
        <v>0</v>
      </c>
      <c r="BH1006">
        <v>0</v>
      </c>
      <c r="BJ1006">
        <v>0.87186840995360604</v>
      </c>
      <c r="BK1006">
        <v>0.87186840995360604</v>
      </c>
      <c r="BL1006">
        <v>3.2872417553078273</v>
      </c>
      <c r="BM1006">
        <v>2.2872417553078273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0.73477204451244815</v>
      </c>
      <c r="BW1006">
        <v>0</v>
      </c>
      <c r="BX1006">
        <v>0</v>
      </c>
      <c r="BY1006">
        <v>0</v>
      </c>
      <c r="BZ1006">
        <v>0</v>
      </c>
      <c r="CA1006">
        <v>0.87186840995360604</v>
      </c>
      <c r="CB1006">
        <v>0</v>
      </c>
      <c r="CC1006">
        <v>0</v>
      </c>
      <c r="CD1006">
        <v>0</v>
      </c>
      <c r="CE1006">
        <v>0</v>
      </c>
      <c r="CF1006">
        <v>0</v>
      </c>
    </row>
    <row r="1007" spans="1:84" x14ac:dyDescent="0.25">
      <c r="A1007" t="s">
        <v>128</v>
      </c>
      <c r="B1007" t="s">
        <v>422</v>
      </c>
      <c r="C1007" s="14" t="s">
        <v>72</v>
      </c>
      <c r="D1007" s="12">
        <v>46224</v>
      </c>
      <c r="E1007" s="14" t="s">
        <v>134</v>
      </c>
      <c r="F1007" s="14" t="s">
        <v>134</v>
      </c>
      <c r="G1007" s="14" t="s">
        <v>134</v>
      </c>
      <c r="H1007" s="14" t="s">
        <v>74</v>
      </c>
      <c r="I1007">
        <v>20</v>
      </c>
      <c r="J1007">
        <v>1.2735376146788988</v>
      </c>
      <c r="K1007">
        <v>46224</v>
      </c>
      <c r="L1007" t="s">
        <v>427</v>
      </c>
      <c r="M1007">
        <v>0.95</v>
      </c>
      <c r="N1007">
        <v>0.95</v>
      </c>
      <c r="O1007">
        <v>0.94999999999999973</v>
      </c>
      <c r="P1007">
        <v>0.74595362480873917</v>
      </c>
      <c r="Q1007">
        <v>0.74595362480873917</v>
      </c>
      <c r="R1007">
        <v>0.74595362480873906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0.25404637519126083</v>
      </c>
      <c r="AD1007">
        <v>0</v>
      </c>
      <c r="AE1007">
        <v>1.1102230246251565E-16</v>
      </c>
      <c r="AF1007">
        <v>0</v>
      </c>
      <c r="AG1007">
        <v>0.74595362480873906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1.3405659101883145</v>
      </c>
      <c r="AN1007">
        <v>1.3405659101883145</v>
      </c>
      <c r="AO1007">
        <v>0.99999999999999978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-2.2204460492503131E-16</v>
      </c>
      <c r="AW1007">
        <v>0</v>
      </c>
      <c r="AX1007">
        <v>0.34056591018831472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1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1.0000000000000002</v>
      </c>
      <c r="BK1007">
        <v>1.0000000000000002</v>
      </c>
      <c r="BL1007">
        <v>1.3405659101883149</v>
      </c>
      <c r="BM1007">
        <v>0.34056591018831472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2.2204460492503131E-16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0</v>
      </c>
      <c r="CD1007">
        <v>0</v>
      </c>
      <c r="CE1007">
        <v>0</v>
      </c>
      <c r="CF1007">
        <v>0</v>
      </c>
    </row>
    <row r="1008" spans="1:84" x14ac:dyDescent="0.25">
      <c r="A1008" t="s">
        <v>128</v>
      </c>
      <c r="B1008" t="s">
        <v>422</v>
      </c>
      <c r="C1008" s="14" t="s">
        <v>72</v>
      </c>
      <c r="D1008" s="12">
        <v>46224</v>
      </c>
      <c r="E1008" s="14" t="s">
        <v>134</v>
      </c>
      <c r="F1008" s="14" t="s">
        <v>134</v>
      </c>
      <c r="G1008" s="14" t="s">
        <v>134</v>
      </c>
      <c r="H1008" s="14" t="s">
        <v>75</v>
      </c>
      <c r="I1008">
        <v>20</v>
      </c>
      <c r="J1008">
        <v>3.3711289800323794</v>
      </c>
      <c r="K1008">
        <v>46224</v>
      </c>
      <c r="L1008" t="s">
        <v>428</v>
      </c>
      <c r="M1008">
        <v>3.8</v>
      </c>
      <c r="N1008">
        <v>3.8</v>
      </c>
      <c r="O1008">
        <v>1.1362456747404843</v>
      </c>
      <c r="P1008">
        <v>1.1272188108220946</v>
      </c>
      <c r="Q1008">
        <v>1.1272188108220946</v>
      </c>
      <c r="R1008">
        <v>0.33705197323229408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0.12721881082209463</v>
      </c>
      <c r="AB1008">
        <v>0</v>
      </c>
      <c r="AC1008">
        <v>0</v>
      </c>
      <c r="AD1008">
        <v>0</v>
      </c>
      <c r="AE1008">
        <v>0.66294802676770592</v>
      </c>
      <c r="AF1008">
        <v>0</v>
      </c>
      <c r="AG1008">
        <v>0.33705197323229408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0.88713920527167878</v>
      </c>
      <c r="AN1008">
        <v>0.88713920527167878</v>
      </c>
      <c r="AO1008">
        <v>0.29901201966854851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0.11286079472832122</v>
      </c>
      <c r="BA1008">
        <v>0</v>
      </c>
      <c r="BB1008">
        <v>0.58812718560313026</v>
      </c>
      <c r="BC1008">
        <v>0</v>
      </c>
      <c r="BD1008">
        <v>0.29901201966854851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3.3443471640654741</v>
      </c>
      <c r="BK1008">
        <v>3.3443471640654741</v>
      </c>
      <c r="BL1008">
        <v>2.9669014852816376</v>
      </c>
      <c r="CC1008">
        <v>0</v>
      </c>
      <c r="CD1008">
        <v>0</v>
      </c>
      <c r="CE1008">
        <v>0</v>
      </c>
    </row>
    <row r="1009" spans="1:84" x14ac:dyDescent="0.25">
      <c r="A1009" t="s">
        <v>128</v>
      </c>
      <c r="B1009" t="s">
        <v>422</v>
      </c>
      <c r="C1009" s="14" t="s">
        <v>72</v>
      </c>
      <c r="D1009" s="12">
        <v>46235</v>
      </c>
      <c r="E1009" s="14" t="s">
        <v>134</v>
      </c>
      <c r="F1009" s="14" t="s">
        <v>134</v>
      </c>
      <c r="G1009" s="14" t="s">
        <v>134</v>
      </c>
      <c r="H1009" s="14" t="s">
        <v>75</v>
      </c>
      <c r="I1009">
        <v>20</v>
      </c>
      <c r="J1009">
        <v>2.2474193200215868</v>
      </c>
      <c r="K1009">
        <v>46235</v>
      </c>
      <c r="L1009" t="s">
        <v>458</v>
      </c>
      <c r="M1009">
        <v>1.9</v>
      </c>
      <c r="N1009">
        <v>1.9</v>
      </c>
      <c r="O1009">
        <v>2.188148788927335</v>
      </c>
      <c r="P1009">
        <v>0.84541410811657081</v>
      </c>
      <c r="Q1009">
        <v>0.84541410811657081</v>
      </c>
      <c r="R1009">
        <v>0.97362729306176721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0.1282131849451964</v>
      </c>
      <c r="AC1009">
        <v>2.6372706938232793E-2</v>
      </c>
      <c r="AD1009">
        <v>0</v>
      </c>
      <c r="AE1009">
        <v>0</v>
      </c>
      <c r="AF1009">
        <v>0</v>
      </c>
      <c r="AG1009">
        <v>0.84541410811657081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1.182852273695572</v>
      </c>
      <c r="AN1009">
        <v>1.182852273695572</v>
      </c>
      <c r="AO1009">
        <v>1.1516572573301764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0.15165725733017643</v>
      </c>
      <c r="AW1009">
        <v>0</v>
      </c>
      <c r="AX1009">
        <v>3.1195016365395567E-2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0.86831389602688303</v>
      </c>
      <c r="BK1009">
        <v>0.86831389602688303</v>
      </c>
      <c r="BL1009">
        <v>1.0270870661968592</v>
      </c>
      <c r="BM1009">
        <v>2.7087066196859189E-2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0.15458589188342919</v>
      </c>
      <c r="BW1009">
        <v>0</v>
      </c>
      <c r="BX1009">
        <v>0</v>
      </c>
      <c r="BY1009">
        <v>0</v>
      </c>
      <c r="BZ1009">
        <v>0</v>
      </c>
      <c r="CA1009">
        <v>0.86831389602688303</v>
      </c>
      <c r="CB1009">
        <v>0</v>
      </c>
      <c r="CC1009">
        <v>0</v>
      </c>
      <c r="CD1009">
        <v>0</v>
      </c>
      <c r="CE1009">
        <v>0</v>
      </c>
      <c r="CF1009">
        <v>0</v>
      </c>
    </row>
    <row r="1010" spans="1:84" x14ac:dyDescent="0.25">
      <c r="A1010" t="s">
        <v>128</v>
      </c>
      <c r="B1010" t="s">
        <v>422</v>
      </c>
      <c r="C1010" s="14" t="s">
        <v>72</v>
      </c>
      <c r="D1010" s="12">
        <v>46235</v>
      </c>
      <c r="E1010" s="14" t="s">
        <v>134</v>
      </c>
      <c r="F1010" s="14" t="s">
        <v>134</v>
      </c>
      <c r="G1010" s="14" t="s">
        <v>134</v>
      </c>
      <c r="H1010" s="14" t="s">
        <v>74</v>
      </c>
      <c r="I1010">
        <v>20</v>
      </c>
      <c r="J1010">
        <v>1.2735376146788988</v>
      </c>
      <c r="K1010">
        <v>46235</v>
      </c>
      <c r="L1010" t="s">
        <v>457</v>
      </c>
      <c r="M1010">
        <v>0.95</v>
      </c>
      <c r="N1010">
        <v>0.95</v>
      </c>
      <c r="O1010">
        <v>1.0127450980392154</v>
      </c>
      <c r="P1010">
        <v>0.74595362480873917</v>
      </c>
      <c r="Q1010">
        <v>0.74595362480873917</v>
      </c>
      <c r="R1010">
        <v>0.79522197567329966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4.9268350864560495E-2</v>
      </c>
      <c r="AC1010">
        <v>0.20477802432670034</v>
      </c>
      <c r="AD1010">
        <v>0</v>
      </c>
      <c r="AE1010">
        <v>0</v>
      </c>
      <c r="AF1010">
        <v>0</v>
      </c>
      <c r="AG1010">
        <v>0.74595362480873917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1.3405659101883145</v>
      </c>
      <c r="AN1010">
        <v>1.3405659101883145</v>
      </c>
      <c r="AO1010">
        <v>1.0660474716202268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6.6047471620226839E-2</v>
      </c>
      <c r="AW1010">
        <v>0</v>
      </c>
      <c r="AX1010">
        <v>0.27451843856808766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0.93804453049370784</v>
      </c>
      <c r="BK1010">
        <v>0.93804453049370784</v>
      </c>
      <c r="BL1010">
        <v>1.2575105198184677</v>
      </c>
      <c r="BM1010">
        <v>0.25751051981846773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0.25404637519126083</v>
      </c>
      <c r="BW1010">
        <v>0</v>
      </c>
      <c r="BX1010">
        <v>0</v>
      </c>
      <c r="BY1010">
        <v>0</v>
      </c>
      <c r="BZ1010">
        <v>0</v>
      </c>
      <c r="CA1010">
        <v>0.93804453049370784</v>
      </c>
      <c r="CB1010">
        <v>0</v>
      </c>
      <c r="CC1010">
        <v>0</v>
      </c>
      <c r="CD1010">
        <v>0</v>
      </c>
      <c r="CE1010">
        <v>0</v>
      </c>
      <c r="CF1010">
        <v>0</v>
      </c>
    </row>
    <row r="1011" spans="1:84" x14ac:dyDescent="0.25">
      <c r="A1011" t="s">
        <v>128</v>
      </c>
      <c r="B1011" t="s">
        <v>422</v>
      </c>
      <c r="C1011" s="14" t="s">
        <v>72</v>
      </c>
      <c r="D1011" s="12">
        <v>46225</v>
      </c>
      <c r="E1011" s="14" t="s">
        <v>134</v>
      </c>
      <c r="F1011" s="14" t="s">
        <v>134</v>
      </c>
      <c r="G1011" s="14" t="s">
        <v>134</v>
      </c>
      <c r="H1011" s="14" t="s">
        <v>73</v>
      </c>
      <c r="I1011">
        <v>20</v>
      </c>
      <c r="J1011">
        <v>4.6265233658256886</v>
      </c>
      <c r="K1011">
        <v>46225</v>
      </c>
      <c r="L1011" t="s">
        <v>429</v>
      </c>
      <c r="M1011">
        <v>5.6999999999999993</v>
      </c>
      <c r="N1011">
        <v>5.6999999999999993</v>
      </c>
      <c r="O1011">
        <v>1.0896139705882353</v>
      </c>
      <c r="P1011">
        <v>1.2320266319421753</v>
      </c>
      <c r="Q1011">
        <v>1.2320266319421753</v>
      </c>
      <c r="R1011">
        <v>0.23551463689490598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0.23202663194217532</v>
      </c>
      <c r="AB1011">
        <v>0</v>
      </c>
      <c r="AC1011">
        <v>0</v>
      </c>
      <c r="AD1011">
        <v>0</v>
      </c>
      <c r="AE1011">
        <v>0.76448536310509407</v>
      </c>
      <c r="AF1011">
        <v>0</v>
      </c>
      <c r="AG1011">
        <v>0.23551463689490598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0.81167076593433141</v>
      </c>
      <c r="AN1011">
        <v>0.81167076593433141</v>
      </c>
      <c r="AO1011">
        <v>0.19116034571723428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0.18832923406566859</v>
      </c>
      <c r="BA1011">
        <v>0</v>
      </c>
      <c r="BB1011">
        <v>0.62051042021709713</v>
      </c>
      <c r="BC1011">
        <v>0</v>
      </c>
      <c r="BD1011">
        <v>0.19116034571723428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5.2312104597216358</v>
      </c>
      <c r="BK1011">
        <v>5.2312104597216358</v>
      </c>
      <c r="BL1011">
        <v>4.246020600605946</v>
      </c>
      <c r="CC1011">
        <v>0</v>
      </c>
      <c r="CD1011">
        <v>0</v>
      </c>
      <c r="CE1011">
        <v>0</v>
      </c>
    </row>
    <row r="1012" spans="1:84" x14ac:dyDescent="0.25">
      <c r="A1012" t="s">
        <v>128</v>
      </c>
      <c r="B1012" t="s">
        <v>422</v>
      </c>
      <c r="C1012" s="14" t="s">
        <v>72</v>
      </c>
      <c r="D1012" s="12">
        <v>46225</v>
      </c>
      <c r="E1012" s="14" t="s">
        <v>134</v>
      </c>
      <c r="F1012" s="14" t="s">
        <v>134</v>
      </c>
      <c r="G1012" s="14" t="s">
        <v>134</v>
      </c>
      <c r="H1012" s="14" t="s">
        <v>74</v>
      </c>
      <c r="I1012">
        <v>20</v>
      </c>
      <c r="J1012">
        <v>1.2735376146788988</v>
      </c>
      <c r="K1012">
        <v>46225</v>
      </c>
      <c r="L1012" t="s">
        <v>430</v>
      </c>
      <c r="M1012">
        <v>0</v>
      </c>
      <c r="N1012">
        <v>0</v>
      </c>
      <c r="O1012">
        <v>6.2745098039215685E-2</v>
      </c>
      <c r="P1012">
        <v>0</v>
      </c>
      <c r="Q1012">
        <v>0</v>
      </c>
      <c r="R1012">
        <v>4.9268350864560689E-2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4.9268350864560689E-2</v>
      </c>
      <c r="AC1012">
        <v>0.95073164913543928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J1012">
        <v>0</v>
      </c>
      <c r="BK1012">
        <v>0</v>
      </c>
      <c r="BL1012">
        <v>20.29700573394495</v>
      </c>
      <c r="BM1012">
        <v>19.29700573394495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</row>
    <row r="1013" spans="1:84" x14ac:dyDescent="0.25">
      <c r="A1013" t="s">
        <v>128</v>
      </c>
      <c r="B1013" t="s">
        <v>422</v>
      </c>
      <c r="C1013" s="14" t="s">
        <v>72</v>
      </c>
      <c r="D1013" s="12">
        <v>46223</v>
      </c>
      <c r="E1013" s="14" t="s">
        <v>134</v>
      </c>
      <c r="F1013" s="14" t="s">
        <v>134</v>
      </c>
      <c r="G1013" s="14" t="s">
        <v>134</v>
      </c>
      <c r="H1013" s="14" t="s">
        <v>74</v>
      </c>
      <c r="I1013">
        <v>20</v>
      </c>
      <c r="J1013">
        <v>1.2735376146788988</v>
      </c>
      <c r="K1013">
        <v>46223</v>
      </c>
      <c r="L1013" t="s">
        <v>424</v>
      </c>
      <c r="M1013">
        <v>0.95</v>
      </c>
      <c r="N1013">
        <v>0.95</v>
      </c>
      <c r="O1013">
        <v>1.0127450980392154</v>
      </c>
      <c r="P1013">
        <v>0.74595362480873917</v>
      </c>
      <c r="Q1013">
        <v>0.74595362480873917</v>
      </c>
      <c r="R1013">
        <v>0.79522197567329966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4.9268350864560495E-2</v>
      </c>
      <c r="AC1013">
        <v>0.20477802432670034</v>
      </c>
      <c r="AD1013">
        <v>0</v>
      </c>
      <c r="AE1013">
        <v>0</v>
      </c>
      <c r="AF1013">
        <v>0</v>
      </c>
      <c r="AG1013">
        <v>0.74595362480873917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1.3405659101883145</v>
      </c>
      <c r="AN1013">
        <v>1.3405659101883145</v>
      </c>
      <c r="AO1013">
        <v>1.0660474716202268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6.6047471620226839E-2</v>
      </c>
      <c r="AW1013">
        <v>0</v>
      </c>
      <c r="AX1013">
        <v>0.27451843856808766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0.93804453049370784</v>
      </c>
      <c r="BK1013">
        <v>0.93804453049370784</v>
      </c>
      <c r="BL1013">
        <v>1.2575105198184677</v>
      </c>
      <c r="BM1013">
        <v>0.25751051981846773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0.25404637519126083</v>
      </c>
      <c r="BW1013">
        <v>0</v>
      </c>
      <c r="BX1013">
        <v>0</v>
      </c>
      <c r="BY1013">
        <v>0</v>
      </c>
      <c r="BZ1013">
        <v>0</v>
      </c>
      <c r="CA1013">
        <v>0.93804453049370784</v>
      </c>
      <c r="CB1013">
        <v>0</v>
      </c>
      <c r="CC1013">
        <v>0</v>
      </c>
      <c r="CD1013">
        <v>0</v>
      </c>
      <c r="CE1013">
        <v>0</v>
      </c>
      <c r="CF1013">
        <v>0</v>
      </c>
    </row>
    <row r="1014" spans="1:84" x14ac:dyDescent="0.25">
      <c r="A1014" t="s">
        <v>128</v>
      </c>
      <c r="B1014" t="s">
        <v>422</v>
      </c>
      <c r="C1014" s="14" t="s">
        <v>109</v>
      </c>
      <c r="D1014" s="12">
        <v>46238</v>
      </c>
      <c r="E1014" s="14" t="s">
        <v>134</v>
      </c>
      <c r="F1014" s="14" t="s">
        <v>134</v>
      </c>
      <c r="G1014" s="14" t="s">
        <v>134</v>
      </c>
      <c r="H1014" s="14"/>
      <c r="J1014">
        <v>10.465131474298435</v>
      </c>
      <c r="M1014">
        <v>3.8</v>
      </c>
      <c r="N1014">
        <v>3.8</v>
      </c>
      <c r="O1014">
        <v>4.9070357554786614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0.2299887728127554</v>
      </c>
      <c r="AC1014">
        <v>0.40690064330853165</v>
      </c>
      <c r="AD1014">
        <v>0</v>
      </c>
      <c r="AE1014">
        <v>0.12420550977421092</v>
      </c>
      <c r="AF1014">
        <v>0</v>
      </c>
      <c r="AG1014">
        <v>0.23890507410450196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84" x14ac:dyDescent="0.25">
      <c r="A1015" t="s">
        <v>128</v>
      </c>
      <c r="B1015" t="s">
        <v>422</v>
      </c>
      <c r="C1015" s="14" t="s">
        <v>72</v>
      </c>
      <c r="D1015" s="12">
        <v>46248</v>
      </c>
      <c r="E1015" s="14" t="s">
        <v>134</v>
      </c>
      <c r="F1015" s="14" t="s">
        <v>134</v>
      </c>
      <c r="G1015" s="14" t="s">
        <v>134</v>
      </c>
      <c r="H1015" s="14" t="s">
        <v>74</v>
      </c>
      <c r="I1015">
        <v>20</v>
      </c>
      <c r="J1015">
        <v>1.2735376146788988</v>
      </c>
      <c r="K1015">
        <v>46248</v>
      </c>
      <c r="L1015" t="s">
        <v>496</v>
      </c>
      <c r="M1015">
        <v>0</v>
      </c>
      <c r="N1015">
        <v>0</v>
      </c>
      <c r="O1015">
        <v>6.2745098039215685E-2</v>
      </c>
      <c r="P1015">
        <v>0</v>
      </c>
      <c r="Q1015">
        <v>0</v>
      </c>
      <c r="R1015">
        <v>4.9268350864560689E-2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4.9268350864560689E-2</v>
      </c>
      <c r="AC1015">
        <v>0.95073164913543928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J1015">
        <v>0</v>
      </c>
      <c r="BK1015">
        <v>0</v>
      </c>
      <c r="BL1015">
        <v>20.29700573394495</v>
      </c>
      <c r="BM1015">
        <v>19.29700573394495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</row>
    <row r="1016" spans="1:84" x14ac:dyDescent="0.25">
      <c r="A1016" t="s">
        <v>128</v>
      </c>
      <c r="B1016" t="s">
        <v>422</v>
      </c>
      <c r="C1016" s="14" t="s">
        <v>72</v>
      </c>
      <c r="D1016" s="12">
        <v>46239</v>
      </c>
      <c r="E1016" s="14" t="s">
        <v>420</v>
      </c>
      <c r="F1016" s="14" t="s">
        <v>420</v>
      </c>
      <c r="G1016" s="14" t="s">
        <v>420</v>
      </c>
      <c r="H1016" s="14" t="s">
        <v>75</v>
      </c>
      <c r="I1016">
        <v>20</v>
      </c>
      <c r="J1016">
        <v>3.1774912809962848</v>
      </c>
      <c r="K1016">
        <v>46239</v>
      </c>
      <c r="L1016" t="s">
        <v>470</v>
      </c>
      <c r="M1016">
        <v>1.9</v>
      </c>
      <c r="N1016">
        <v>1.9</v>
      </c>
      <c r="O1016">
        <v>1.1506100892369333</v>
      </c>
      <c r="P1016">
        <v>0.59795600742113297</v>
      </c>
      <c r="Q1016">
        <v>0.59795600742113297</v>
      </c>
      <c r="R1016">
        <v>0.36211274476767907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0.40204399257886703</v>
      </c>
      <c r="AD1016">
        <v>0</v>
      </c>
      <c r="AE1016">
        <v>0.2358432626534539</v>
      </c>
      <c r="AF1016">
        <v>0</v>
      </c>
      <c r="AG1016">
        <v>0.36211274476767907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1.6723638321033079</v>
      </c>
      <c r="AN1016">
        <v>1.6723638321033079</v>
      </c>
      <c r="AO1016">
        <v>0.60558425749312284</v>
      </c>
      <c r="BF1016">
        <v>0</v>
      </c>
      <c r="BG1016">
        <v>0</v>
      </c>
      <c r="BH1016">
        <v>0</v>
      </c>
      <c r="BJ1016">
        <v>1.6512978790756565</v>
      </c>
      <c r="BK1016">
        <v>1.6512978790756565</v>
      </c>
      <c r="BL1016">
        <v>2.7615708489950297</v>
      </c>
      <c r="CC1016">
        <v>0</v>
      </c>
      <c r="CD1016">
        <v>0</v>
      </c>
      <c r="CE1016">
        <v>0</v>
      </c>
    </row>
    <row r="1017" spans="1:84" x14ac:dyDescent="0.25">
      <c r="A1017" t="s">
        <v>128</v>
      </c>
      <c r="B1017" t="s">
        <v>422</v>
      </c>
      <c r="C1017" s="14" t="s">
        <v>109</v>
      </c>
      <c r="D1017" s="12">
        <v>46233</v>
      </c>
      <c r="E1017" s="14" t="s">
        <v>134</v>
      </c>
      <c r="F1017" s="14" t="s">
        <v>134</v>
      </c>
      <c r="G1017" s="14" t="s">
        <v>134</v>
      </c>
      <c r="H1017" s="14"/>
      <c r="J1017">
        <v>10.390510129688344</v>
      </c>
      <c r="M1017">
        <v>4.75</v>
      </c>
      <c r="N1017">
        <v>4.75</v>
      </c>
      <c r="O1017">
        <v>4.7233852364475197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0.1132116131196526</v>
      </c>
      <c r="AC1017">
        <v>0.42964047588144116</v>
      </c>
      <c r="AD1017">
        <v>0</v>
      </c>
      <c r="AE1017">
        <v>0.11577306229012541</v>
      </c>
      <c r="AF1017">
        <v>0</v>
      </c>
      <c r="AG1017">
        <v>0.34137484870878065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84" x14ac:dyDescent="0.25">
      <c r="A1018" t="s">
        <v>128</v>
      </c>
      <c r="B1018" t="s">
        <v>422</v>
      </c>
      <c r="C1018" s="14" t="s">
        <v>72</v>
      </c>
      <c r="D1018" s="12">
        <v>46226</v>
      </c>
      <c r="E1018" s="14" t="s">
        <v>420</v>
      </c>
      <c r="F1018" s="14" t="s">
        <v>420</v>
      </c>
      <c r="G1018" s="14" t="s">
        <v>420</v>
      </c>
      <c r="H1018" s="14" t="s">
        <v>74</v>
      </c>
      <c r="I1018">
        <v>20</v>
      </c>
      <c r="J1018">
        <v>0</v>
      </c>
      <c r="K1018">
        <v>46226</v>
      </c>
      <c r="L1018" t="s">
        <v>433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1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F1018">
        <v>0</v>
      </c>
    </row>
    <row r="1019" spans="1:84" x14ac:dyDescent="0.25">
      <c r="A1019" t="s">
        <v>128</v>
      </c>
      <c r="B1019" t="s">
        <v>422</v>
      </c>
      <c r="C1019" s="14" t="s">
        <v>72</v>
      </c>
      <c r="D1019" s="12">
        <v>46226</v>
      </c>
      <c r="E1019" s="14" t="s">
        <v>420</v>
      </c>
      <c r="F1019" s="14" t="s">
        <v>420</v>
      </c>
      <c r="G1019" s="14" t="s">
        <v>420</v>
      </c>
      <c r="H1019" s="14" t="s">
        <v>75</v>
      </c>
      <c r="I1019">
        <v>20</v>
      </c>
      <c r="J1019">
        <v>3.1774912809962856</v>
      </c>
      <c r="K1019">
        <v>46226</v>
      </c>
      <c r="L1019" t="s">
        <v>434</v>
      </c>
      <c r="M1019">
        <v>0.95</v>
      </c>
      <c r="N1019">
        <v>0.95</v>
      </c>
      <c r="O1019">
        <v>0.61081770169368066</v>
      </c>
      <c r="P1019">
        <v>0.29897800371056643</v>
      </c>
      <c r="Q1019">
        <v>0.29897800371056643</v>
      </c>
      <c r="R1019">
        <v>0.19223269166679255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0.70102199628943351</v>
      </c>
      <c r="AD1019">
        <v>0</v>
      </c>
      <c r="AE1019">
        <v>0.10674531204377388</v>
      </c>
      <c r="AF1019">
        <v>0</v>
      </c>
      <c r="AG1019">
        <v>0.19223269166679255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3.3447276642066166</v>
      </c>
      <c r="AN1019">
        <v>3.3447276642066166</v>
      </c>
      <c r="AO1019">
        <v>0.64296600178282182</v>
      </c>
      <c r="BF1019">
        <v>0</v>
      </c>
      <c r="BG1019">
        <v>0</v>
      </c>
      <c r="BH1019">
        <v>0</v>
      </c>
      <c r="BJ1019">
        <v>1.555292188431723</v>
      </c>
      <c r="BK1019">
        <v>1.555292188431723</v>
      </c>
      <c r="BL1019">
        <v>5.2020288085720336</v>
      </c>
      <c r="CC1019">
        <v>0</v>
      </c>
      <c r="CD1019">
        <v>0</v>
      </c>
      <c r="CE1019">
        <v>0</v>
      </c>
    </row>
    <row r="1020" spans="1:84" x14ac:dyDescent="0.25">
      <c r="A1020" t="s">
        <v>128</v>
      </c>
      <c r="B1020" t="s">
        <v>422</v>
      </c>
      <c r="C1020" s="14" t="s">
        <v>109</v>
      </c>
      <c r="D1020" s="12">
        <v>46233</v>
      </c>
      <c r="E1020" s="14" t="s">
        <v>420</v>
      </c>
      <c r="F1020" s="14" t="s">
        <v>420</v>
      </c>
      <c r="G1020" s="14" t="s">
        <v>420</v>
      </c>
      <c r="H1020" s="14"/>
      <c r="J1020">
        <v>6.7786480661254069</v>
      </c>
      <c r="M1020">
        <v>3.8</v>
      </c>
      <c r="N1020">
        <v>3.8</v>
      </c>
      <c r="O1020">
        <v>3.0868238936441452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8.4973609240596409E-2</v>
      </c>
      <c r="AC1020">
        <v>0.49458857304141945</v>
      </c>
      <c r="AD1020">
        <v>0</v>
      </c>
      <c r="AE1020">
        <v>5.0036865020519017E-2</v>
      </c>
      <c r="AF1020">
        <v>0</v>
      </c>
      <c r="AG1020">
        <v>0.37040095269746515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84" x14ac:dyDescent="0.25">
      <c r="A1021" t="s">
        <v>128</v>
      </c>
      <c r="B1021" t="s">
        <v>422</v>
      </c>
      <c r="C1021" s="14" t="s">
        <v>109</v>
      </c>
      <c r="D1021" s="12">
        <v>46233</v>
      </c>
      <c r="E1021" s="14" t="s">
        <v>133</v>
      </c>
      <c r="F1021" s="14" t="s">
        <v>133</v>
      </c>
      <c r="G1021" s="14" t="s">
        <v>133</v>
      </c>
      <c r="H1021" s="14"/>
      <c r="J1021">
        <v>26.080252654802319</v>
      </c>
      <c r="M1021">
        <v>30.4</v>
      </c>
      <c r="N1021">
        <v>30.4</v>
      </c>
      <c r="O1021">
        <v>19.897058823529406</v>
      </c>
      <c r="S1021">
        <v>0</v>
      </c>
      <c r="T1021">
        <v>0</v>
      </c>
      <c r="U1021">
        <v>0.31595397194356334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0.10436893203883495</v>
      </c>
      <c r="AB1021">
        <v>7.7513383562974575E-2</v>
      </c>
      <c r="AC1021">
        <v>0.17717664092344029</v>
      </c>
      <c r="AD1021">
        <v>0</v>
      </c>
      <c r="AE1021">
        <v>5.9906715327495627E-2</v>
      </c>
      <c r="AF1021">
        <v>0</v>
      </c>
      <c r="AG1021">
        <v>0.68540326018608955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84" x14ac:dyDescent="0.25">
      <c r="A1022" t="s">
        <v>128</v>
      </c>
      <c r="B1022" t="s">
        <v>422</v>
      </c>
      <c r="C1022" s="14" t="s">
        <v>72</v>
      </c>
      <c r="D1022" s="12">
        <v>46227</v>
      </c>
      <c r="E1022" s="14" t="s">
        <v>420</v>
      </c>
      <c r="F1022" s="14" t="s">
        <v>420</v>
      </c>
      <c r="G1022" s="14" t="s">
        <v>420</v>
      </c>
      <c r="H1022" s="14" t="s">
        <v>73</v>
      </c>
      <c r="I1022">
        <v>20</v>
      </c>
      <c r="J1022">
        <v>3.6011567851291222</v>
      </c>
      <c r="K1022">
        <v>46227</v>
      </c>
      <c r="L1022" t="s">
        <v>157</v>
      </c>
      <c r="M1022">
        <v>0.95</v>
      </c>
      <c r="N1022">
        <v>0.95</v>
      </c>
      <c r="O1022">
        <v>0.82352941176470595</v>
      </c>
      <c r="P1022">
        <v>0.26380412092108813</v>
      </c>
      <c r="Q1022">
        <v>0.26380412092108813</v>
      </c>
      <c r="R1022">
        <v>0.22868468686657797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0.73619587907891182</v>
      </c>
      <c r="AD1022">
        <v>0</v>
      </c>
      <c r="AE1022">
        <v>3.5119434054510151E-2</v>
      </c>
      <c r="AF1022">
        <v>0</v>
      </c>
      <c r="AG1022">
        <v>0.22868468686657797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3.7906913527674972</v>
      </c>
      <c r="AN1022">
        <v>3.7906913527674972</v>
      </c>
      <c r="AO1022">
        <v>0.86687306501548</v>
      </c>
      <c r="BF1022">
        <v>0</v>
      </c>
      <c r="BG1022">
        <v>0</v>
      </c>
      <c r="BH1022">
        <v>0</v>
      </c>
      <c r="BJ1022">
        <v>1.1535714285714285</v>
      </c>
      <c r="BK1022">
        <v>1.1535714285714285</v>
      </c>
      <c r="BL1022">
        <v>4.3728332390853621</v>
      </c>
      <c r="BM1022">
        <v>3.2192618105139337</v>
      </c>
      <c r="BN1022">
        <v>0</v>
      </c>
      <c r="BO1022">
        <v>0</v>
      </c>
      <c r="BP1022">
        <v>0</v>
      </c>
      <c r="BQ1022">
        <v>0</v>
      </c>
      <c r="BR1022">
        <v>0.34642857142857153</v>
      </c>
      <c r="BS1022">
        <v>0.15357142857142847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</row>
    <row r="1023" spans="1:84" x14ac:dyDescent="0.25">
      <c r="A1023" t="s">
        <v>128</v>
      </c>
      <c r="B1023" t="s">
        <v>422</v>
      </c>
      <c r="C1023" s="14" t="s">
        <v>109</v>
      </c>
      <c r="D1023" s="12">
        <v>46232</v>
      </c>
      <c r="E1023" s="14" t="s">
        <v>134</v>
      </c>
      <c r="F1023" s="14" t="s">
        <v>134</v>
      </c>
      <c r="G1023" s="14" t="s">
        <v>134</v>
      </c>
      <c r="H1023" s="14"/>
      <c r="J1023">
        <v>9.3414218142876422</v>
      </c>
      <c r="M1023">
        <v>6.65</v>
      </c>
      <c r="N1023">
        <v>6.65</v>
      </c>
      <c r="O1023">
        <v>3.8758938869665513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2.2607693862041367E-2</v>
      </c>
      <c r="AC1023">
        <v>0.26550924034717399</v>
      </c>
      <c r="AD1023">
        <v>0</v>
      </c>
      <c r="AE1023">
        <v>0.31957598928688469</v>
      </c>
      <c r="AF1023">
        <v>0</v>
      </c>
      <c r="AG1023">
        <v>0.3923070765038999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84" x14ac:dyDescent="0.25">
      <c r="A1024" t="s">
        <v>128</v>
      </c>
      <c r="B1024" t="s">
        <v>422</v>
      </c>
      <c r="C1024" s="14" t="s">
        <v>72</v>
      </c>
      <c r="D1024" s="12">
        <v>46227</v>
      </c>
      <c r="E1024" s="14" t="s">
        <v>420</v>
      </c>
      <c r="F1024" s="14" t="s">
        <v>420</v>
      </c>
      <c r="G1024" s="14" t="s">
        <v>420</v>
      </c>
      <c r="H1024" s="14" t="s">
        <v>74</v>
      </c>
      <c r="I1024">
        <v>20</v>
      </c>
      <c r="J1024">
        <v>0</v>
      </c>
      <c r="K1024">
        <v>46227</v>
      </c>
      <c r="L1024" t="s">
        <v>156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F1024">
        <v>0</v>
      </c>
    </row>
    <row r="1025" spans="1:84" x14ac:dyDescent="0.25">
      <c r="A1025" t="s">
        <v>128</v>
      </c>
      <c r="B1025" t="s">
        <v>422</v>
      </c>
      <c r="C1025" s="14" t="s">
        <v>72</v>
      </c>
      <c r="D1025" s="12">
        <v>46227</v>
      </c>
      <c r="E1025" s="14" t="s">
        <v>420</v>
      </c>
      <c r="F1025" s="14" t="s">
        <v>420</v>
      </c>
      <c r="G1025" s="14" t="s">
        <v>420</v>
      </c>
      <c r="H1025" s="14" t="s">
        <v>75</v>
      </c>
      <c r="I1025">
        <v>20</v>
      </c>
      <c r="J1025">
        <v>3.1774912809962848</v>
      </c>
      <c r="K1025">
        <v>46227</v>
      </c>
      <c r="L1025" t="s">
        <v>155</v>
      </c>
      <c r="M1025">
        <v>0.95</v>
      </c>
      <c r="N1025">
        <v>0.95</v>
      </c>
      <c r="O1025">
        <v>0.16608996539792387</v>
      </c>
      <c r="P1025">
        <v>0.29897800371056649</v>
      </c>
      <c r="Q1025">
        <v>0.29897800371056649</v>
      </c>
      <c r="R1025">
        <v>5.2270785569503521E-2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0.70102199628943351</v>
      </c>
      <c r="AD1025">
        <v>0</v>
      </c>
      <c r="AE1025">
        <v>0.24670721814106297</v>
      </c>
      <c r="AF1025">
        <v>0</v>
      </c>
      <c r="AG1025">
        <v>5.2270785569503521E-2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3.3447276642066157</v>
      </c>
      <c r="AN1025">
        <v>3.3447276642066157</v>
      </c>
      <c r="AO1025">
        <v>0.17483154252413038</v>
      </c>
      <c r="BF1025">
        <v>0</v>
      </c>
      <c r="BG1025">
        <v>0</v>
      </c>
      <c r="BH1025">
        <v>0</v>
      </c>
      <c r="BJ1025">
        <v>5.7197916666666666</v>
      </c>
      <c r="BK1025">
        <v>5.7197916666666666</v>
      </c>
      <c r="BL1025">
        <v>19.131145420998465</v>
      </c>
      <c r="CC1025">
        <v>0</v>
      </c>
      <c r="CD1025">
        <v>0</v>
      </c>
      <c r="CE1025">
        <v>0</v>
      </c>
    </row>
    <row r="1026" spans="1:84" x14ac:dyDescent="0.25">
      <c r="A1026" t="s">
        <v>128</v>
      </c>
      <c r="B1026" t="s">
        <v>422</v>
      </c>
      <c r="C1026" s="14" t="s">
        <v>109</v>
      </c>
      <c r="D1026" s="12">
        <v>46232</v>
      </c>
      <c r="E1026" s="14" t="s">
        <v>420</v>
      </c>
      <c r="F1026" s="14" t="s">
        <v>420</v>
      </c>
      <c r="G1026" s="14" t="s">
        <v>420</v>
      </c>
      <c r="H1026" s="14"/>
      <c r="J1026">
        <v>6.7786480661254078</v>
      </c>
      <c r="M1026">
        <v>3.8</v>
      </c>
      <c r="N1026">
        <v>3.8</v>
      </c>
      <c r="O1026">
        <v>3.9673025556972017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0.22041909128149501</v>
      </c>
      <c r="AC1026">
        <v>0.21899715176119292</v>
      </c>
      <c r="AD1026">
        <v>0</v>
      </c>
      <c r="AE1026">
        <v>0.19573827674957459</v>
      </c>
      <c r="AF1026">
        <v>0</v>
      </c>
      <c r="AG1026">
        <v>0.36484548020773755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84" x14ac:dyDescent="0.25">
      <c r="A1027" t="s">
        <v>128</v>
      </c>
      <c r="B1027" t="s">
        <v>422</v>
      </c>
      <c r="C1027" s="14" t="s">
        <v>109</v>
      </c>
      <c r="D1027" s="12">
        <v>46232</v>
      </c>
      <c r="E1027" s="14" t="s">
        <v>133</v>
      </c>
      <c r="F1027" s="14" t="s">
        <v>133</v>
      </c>
      <c r="G1027" s="14" t="s">
        <v>133</v>
      </c>
      <c r="H1027" s="14"/>
      <c r="J1027">
        <v>27.59949067352867</v>
      </c>
      <c r="M1027">
        <v>16.149999999999999</v>
      </c>
      <c r="N1027">
        <v>16.149999999999999</v>
      </c>
      <c r="O1027">
        <v>17.022058823529402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3.1596917270861717E-2</v>
      </c>
      <c r="AC1027">
        <v>0.38324735681243333</v>
      </c>
      <c r="AD1027">
        <v>0</v>
      </c>
      <c r="AE1027">
        <v>0</v>
      </c>
      <c r="AF1027">
        <v>0</v>
      </c>
      <c r="AG1027">
        <v>0.58515572591670495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84" x14ac:dyDescent="0.25">
      <c r="A1028" t="s">
        <v>128</v>
      </c>
      <c r="B1028" t="s">
        <v>422</v>
      </c>
      <c r="C1028" s="14" t="s">
        <v>72</v>
      </c>
      <c r="D1028" s="12">
        <v>46228</v>
      </c>
      <c r="E1028" s="14" t="s">
        <v>420</v>
      </c>
      <c r="F1028" s="14" t="s">
        <v>420</v>
      </c>
      <c r="G1028" s="14" t="s">
        <v>420</v>
      </c>
      <c r="H1028" s="14" t="s">
        <v>73</v>
      </c>
      <c r="I1028">
        <v>20</v>
      </c>
      <c r="J1028">
        <v>3.6011567851291222</v>
      </c>
      <c r="K1028">
        <v>46228</v>
      </c>
      <c r="L1028" t="s">
        <v>435</v>
      </c>
      <c r="M1028">
        <v>0.95</v>
      </c>
      <c r="N1028">
        <v>0.95</v>
      </c>
      <c r="O1028">
        <v>0.82352941176470595</v>
      </c>
      <c r="P1028">
        <v>0.26380412092108813</v>
      </c>
      <c r="Q1028">
        <v>0.26380412092108813</v>
      </c>
      <c r="R1028">
        <v>0.22868468686657797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0.73619587907891182</v>
      </c>
      <c r="AD1028">
        <v>0</v>
      </c>
      <c r="AE1028">
        <v>3.5119434054510151E-2</v>
      </c>
      <c r="AF1028">
        <v>0</v>
      </c>
      <c r="AG1028">
        <v>0.22868468686657797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3.7906913527674972</v>
      </c>
      <c r="AN1028">
        <v>3.7906913527674972</v>
      </c>
      <c r="AO1028">
        <v>0.86687306501548</v>
      </c>
      <c r="BF1028">
        <v>0</v>
      </c>
      <c r="BG1028">
        <v>0</v>
      </c>
      <c r="BH1028">
        <v>0</v>
      </c>
      <c r="BJ1028">
        <v>1.1535714285714285</v>
      </c>
      <c r="BK1028">
        <v>1.1535714285714285</v>
      </c>
      <c r="BL1028">
        <v>4.3728332390853621</v>
      </c>
      <c r="BM1028">
        <v>3.2192618105139337</v>
      </c>
      <c r="BN1028">
        <v>0</v>
      </c>
      <c r="BO1028">
        <v>0</v>
      </c>
      <c r="BP1028">
        <v>0</v>
      </c>
      <c r="BQ1028">
        <v>0</v>
      </c>
      <c r="BR1028">
        <v>0.34642857142857153</v>
      </c>
      <c r="BS1028">
        <v>0.15357142857142847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</row>
    <row r="1029" spans="1:84" x14ac:dyDescent="0.25">
      <c r="A1029" t="s">
        <v>128</v>
      </c>
      <c r="B1029" t="s">
        <v>422</v>
      </c>
      <c r="C1029" s="14" t="s">
        <v>109</v>
      </c>
      <c r="D1029" s="12">
        <v>46231</v>
      </c>
      <c r="E1029" s="14" t="s">
        <v>134</v>
      </c>
      <c r="F1029" s="14" t="s">
        <v>134</v>
      </c>
      <c r="G1029" s="14" t="s">
        <v>134</v>
      </c>
      <c r="H1029" s="14"/>
      <c r="J1029">
        <v>11.659072988059902</v>
      </c>
      <c r="M1029">
        <v>9.4999999999999982</v>
      </c>
      <c r="N1029">
        <v>9.4999999999999982</v>
      </c>
      <c r="O1029">
        <v>4.3966551326412917</v>
      </c>
      <c r="S1029">
        <v>0</v>
      </c>
      <c r="T1029">
        <v>0</v>
      </c>
      <c r="U1029">
        <v>0.23536749100217597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9.9593393905928404E-2</v>
      </c>
      <c r="AB1029">
        <v>0.14303427558360537</v>
      </c>
      <c r="AC1029">
        <v>0.37711054206692346</v>
      </c>
      <c r="AD1029">
        <v>0</v>
      </c>
      <c r="AE1029">
        <v>0.24578785327343319</v>
      </c>
      <c r="AF1029">
        <v>0</v>
      </c>
      <c r="AG1029">
        <v>0.23406732907603792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84" x14ac:dyDescent="0.25">
      <c r="A1030" t="s">
        <v>128</v>
      </c>
      <c r="B1030" t="s">
        <v>422</v>
      </c>
      <c r="C1030" s="14" t="s">
        <v>72</v>
      </c>
      <c r="D1030" s="12">
        <v>46228</v>
      </c>
      <c r="E1030" s="14" t="s">
        <v>420</v>
      </c>
      <c r="F1030" s="14" t="s">
        <v>420</v>
      </c>
      <c r="G1030" s="14" t="s">
        <v>420</v>
      </c>
      <c r="H1030" s="14" t="s">
        <v>74</v>
      </c>
      <c r="I1030">
        <v>20</v>
      </c>
      <c r="J1030">
        <v>0</v>
      </c>
      <c r="K1030">
        <v>46228</v>
      </c>
      <c r="L1030" t="s">
        <v>436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F1030">
        <v>0</v>
      </c>
    </row>
    <row r="1031" spans="1:84" x14ac:dyDescent="0.25">
      <c r="A1031" t="s">
        <v>128</v>
      </c>
      <c r="B1031" t="s">
        <v>422</v>
      </c>
      <c r="C1031" s="14" t="s">
        <v>109</v>
      </c>
      <c r="D1031" s="12">
        <v>46231</v>
      </c>
      <c r="E1031" s="14" t="s">
        <v>420</v>
      </c>
      <c r="F1031" s="14" t="s">
        <v>420</v>
      </c>
      <c r="G1031" s="14" t="s">
        <v>420</v>
      </c>
      <c r="H1031" s="14"/>
      <c r="J1031">
        <v>6.7786480661254069</v>
      </c>
      <c r="M1031">
        <v>3.8</v>
      </c>
      <c r="N1031">
        <v>3.8</v>
      </c>
      <c r="O1031">
        <v>1.9792387543252596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4.900386147140956E-2</v>
      </c>
      <c r="AC1031">
        <v>0.67070426004993433</v>
      </c>
      <c r="AD1031">
        <v>0</v>
      </c>
      <c r="AE1031">
        <v>3.7314398682917034E-2</v>
      </c>
      <c r="AF1031">
        <v>0</v>
      </c>
      <c r="AG1031">
        <v>0.24297747979573908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84" x14ac:dyDescent="0.25">
      <c r="A1032" t="s">
        <v>128</v>
      </c>
      <c r="B1032" t="s">
        <v>422</v>
      </c>
      <c r="C1032" s="14" t="s">
        <v>72</v>
      </c>
      <c r="D1032" s="12">
        <v>46228</v>
      </c>
      <c r="E1032" s="14" t="s">
        <v>420</v>
      </c>
      <c r="F1032" s="14" t="s">
        <v>420</v>
      </c>
      <c r="G1032" s="14" t="s">
        <v>420</v>
      </c>
      <c r="H1032" s="14" t="s">
        <v>75</v>
      </c>
      <c r="I1032">
        <v>20</v>
      </c>
      <c r="J1032">
        <v>3.1774912809962856</v>
      </c>
      <c r="K1032">
        <v>46228</v>
      </c>
      <c r="L1032" t="s">
        <v>437</v>
      </c>
      <c r="M1032">
        <v>0</v>
      </c>
      <c r="N1032">
        <v>0</v>
      </c>
      <c r="O1032">
        <v>0.16608996539792387</v>
      </c>
      <c r="P1032">
        <v>0</v>
      </c>
      <c r="Q1032">
        <v>0</v>
      </c>
      <c r="R1032">
        <v>5.2270785569503507E-2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5.2270785569503507E-2</v>
      </c>
      <c r="AC1032">
        <v>0.94772921443049651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J1032">
        <v>0</v>
      </c>
      <c r="BK1032">
        <v>0</v>
      </c>
      <c r="BL1032">
        <v>19.131145420998472</v>
      </c>
      <c r="BM1032">
        <v>18.131145420998472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</row>
    <row r="1033" spans="1:84" x14ac:dyDescent="0.25">
      <c r="A1033" t="s">
        <v>128</v>
      </c>
      <c r="B1033" t="s">
        <v>422</v>
      </c>
      <c r="C1033" s="14" t="s">
        <v>109</v>
      </c>
      <c r="D1033" s="12">
        <v>46231</v>
      </c>
      <c r="E1033" s="14" t="s">
        <v>133</v>
      </c>
      <c r="F1033" s="14" t="s">
        <v>133</v>
      </c>
      <c r="G1033" s="14" t="s">
        <v>133</v>
      </c>
      <c r="H1033" s="14"/>
      <c r="J1033">
        <v>26.924273776316959</v>
      </c>
      <c r="M1033">
        <v>24.7</v>
      </c>
      <c r="N1033">
        <v>24.7</v>
      </c>
      <c r="O1033">
        <v>19.249999999999989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9.3525509057982487E-2</v>
      </c>
      <c r="AB1033">
        <v>5.6075938541995116E-3</v>
      </c>
      <c r="AC1033">
        <v>0.17053012583556851</v>
      </c>
      <c r="AD1033">
        <v>0</v>
      </c>
      <c r="AE1033">
        <v>0.11450165775398136</v>
      </c>
      <c r="AF1033">
        <v>0</v>
      </c>
      <c r="AG1033">
        <v>0.70936062255625054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84" x14ac:dyDescent="0.25">
      <c r="A1034" t="s">
        <v>128</v>
      </c>
      <c r="B1034" t="s">
        <v>422</v>
      </c>
      <c r="C1034" s="14" t="s">
        <v>72</v>
      </c>
      <c r="D1034" s="12">
        <v>46229</v>
      </c>
      <c r="E1034" s="14" t="s">
        <v>420</v>
      </c>
      <c r="F1034" s="14" t="s">
        <v>420</v>
      </c>
      <c r="G1034" s="14" t="s">
        <v>420</v>
      </c>
      <c r="H1034" s="14" t="s">
        <v>73</v>
      </c>
      <c r="I1034">
        <v>20</v>
      </c>
      <c r="J1034">
        <v>3.6011567851291222</v>
      </c>
      <c r="K1034">
        <v>46229</v>
      </c>
      <c r="L1034" t="s">
        <v>438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</row>
    <row r="1035" spans="1:84" x14ac:dyDescent="0.25">
      <c r="A1035" t="s">
        <v>128</v>
      </c>
      <c r="B1035" t="s">
        <v>422</v>
      </c>
      <c r="C1035" s="14" t="s">
        <v>109</v>
      </c>
      <c r="D1035" s="12">
        <v>46230</v>
      </c>
      <c r="E1035" s="14" t="s">
        <v>134</v>
      </c>
      <c r="F1035" s="14" t="s">
        <v>134</v>
      </c>
      <c r="G1035" s="14" t="s">
        <v>134</v>
      </c>
      <c r="H1035" s="14"/>
      <c r="J1035">
        <v>8.1518697913855895</v>
      </c>
      <c r="M1035">
        <v>7.6</v>
      </c>
      <c r="N1035">
        <v>7.6</v>
      </c>
      <c r="O1035">
        <v>1.8966551326412924</v>
      </c>
      <c r="S1035">
        <v>0</v>
      </c>
      <c r="T1035">
        <v>0</v>
      </c>
      <c r="U1035">
        <v>0.41537571889798108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0.10338514556484905</v>
      </c>
      <c r="AB1035">
        <v>2.2128930107957901E-2</v>
      </c>
      <c r="AC1035">
        <v>0.56433048763264593</v>
      </c>
      <c r="AD1035">
        <v>0</v>
      </c>
      <c r="AE1035">
        <v>0.20300446972332603</v>
      </c>
      <c r="AF1035">
        <v>0</v>
      </c>
      <c r="AG1035">
        <v>0.21053611253607019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84" x14ac:dyDescent="0.25">
      <c r="A1036" t="s">
        <v>128</v>
      </c>
      <c r="B1036" t="s">
        <v>422</v>
      </c>
      <c r="C1036" s="14" t="s">
        <v>72</v>
      </c>
      <c r="D1036" s="12">
        <v>46229</v>
      </c>
      <c r="E1036" s="14" t="s">
        <v>420</v>
      </c>
      <c r="F1036" s="14" t="s">
        <v>420</v>
      </c>
      <c r="G1036" s="14" t="s">
        <v>420</v>
      </c>
      <c r="H1036" s="14" t="s">
        <v>74</v>
      </c>
      <c r="I1036">
        <v>20</v>
      </c>
      <c r="J1036">
        <v>0</v>
      </c>
      <c r="K1036">
        <v>46229</v>
      </c>
      <c r="L1036" t="s">
        <v>439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F1036">
        <v>0</v>
      </c>
    </row>
    <row r="1037" spans="1:84" x14ac:dyDescent="0.25">
      <c r="A1037" t="s">
        <v>128</v>
      </c>
      <c r="B1037" t="s">
        <v>422</v>
      </c>
      <c r="C1037" s="14" t="s">
        <v>109</v>
      </c>
      <c r="D1037" s="12">
        <v>46230</v>
      </c>
      <c r="E1037" s="14" t="s">
        <v>420</v>
      </c>
      <c r="F1037" s="14" t="s">
        <v>420</v>
      </c>
      <c r="G1037" s="14" t="s">
        <v>420</v>
      </c>
      <c r="H1037" s="14"/>
      <c r="J1037">
        <v>6.7786480661254069</v>
      </c>
      <c r="M1037">
        <v>0.95</v>
      </c>
      <c r="N1037">
        <v>0.95</v>
      </c>
      <c r="O1037">
        <v>0.98961937716262982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0.12148873989786954</v>
      </c>
      <c r="AC1037">
        <v>0.73836532086280249</v>
      </c>
      <c r="AD1037">
        <v>0</v>
      </c>
      <c r="AE1037">
        <v>0.11564400850362329</v>
      </c>
      <c r="AF1037">
        <v>0</v>
      </c>
      <c r="AG1037">
        <v>2.450193073570478E-2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84" x14ac:dyDescent="0.25">
      <c r="A1038" t="s">
        <v>128</v>
      </c>
      <c r="B1038" t="s">
        <v>422</v>
      </c>
      <c r="C1038" s="14" t="s">
        <v>72</v>
      </c>
      <c r="D1038" s="12">
        <v>46229</v>
      </c>
      <c r="E1038" s="14" t="s">
        <v>420</v>
      </c>
      <c r="F1038" s="14" t="s">
        <v>420</v>
      </c>
      <c r="G1038" s="14" t="s">
        <v>420</v>
      </c>
      <c r="H1038" s="14" t="s">
        <v>75</v>
      </c>
      <c r="I1038">
        <v>20</v>
      </c>
      <c r="J1038">
        <v>3.1774912809962848</v>
      </c>
      <c r="K1038">
        <v>46229</v>
      </c>
      <c r="L1038" t="s">
        <v>440</v>
      </c>
      <c r="M1038">
        <v>2.8499999999999996</v>
      </c>
      <c r="N1038">
        <v>2.8499999999999996</v>
      </c>
      <c r="O1038">
        <v>0</v>
      </c>
      <c r="P1038">
        <v>0.89693401113169946</v>
      </c>
      <c r="Q1038">
        <v>0.89693401113169946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0.10306598886830054</v>
      </c>
      <c r="AD1038">
        <v>0</v>
      </c>
      <c r="AE1038">
        <v>0</v>
      </c>
      <c r="AF1038">
        <v>0</v>
      </c>
      <c r="AG1038">
        <v>0</v>
      </c>
      <c r="AH1038">
        <v>0.89693401113169946</v>
      </c>
      <c r="AI1038">
        <v>0</v>
      </c>
      <c r="AJ1038">
        <v>0</v>
      </c>
      <c r="AK1038">
        <v>0</v>
      </c>
      <c r="AL1038">
        <v>0</v>
      </c>
      <c r="AM1038">
        <v>1.1149092214022054</v>
      </c>
      <c r="AN1038">
        <v>1.1149092214022054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0.11490922140220539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</row>
    <row r="1039" spans="1:84" x14ac:dyDescent="0.25">
      <c r="A1039" t="s">
        <v>128</v>
      </c>
      <c r="B1039" t="s">
        <v>422</v>
      </c>
      <c r="C1039" s="14" t="s">
        <v>72</v>
      </c>
      <c r="D1039" s="12">
        <v>46230</v>
      </c>
      <c r="E1039" s="14" t="s">
        <v>420</v>
      </c>
      <c r="F1039" s="14" t="s">
        <v>420</v>
      </c>
      <c r="G1039" s="14" t="s">
        <v>420</v>
      </c>
      <c r="H1039" s="14" t="s">
        <v>73</v>
      </c>
      <c r="I1039">
        <v>20</v>
      </c>
      <c r="J1039">
        <v>3.6011567851291222</v>
      </c>
      <c r="K1039">
        <v>46230</v>
      </c>
      <c r="L1039" t="s">
        <v>441</v>
      </c>
      <c r="M1039">
        <v>0</v>
      </c>
      <c r="N1039">
        <v>0</v>
      </c>
      <c r="O1039">
        <v>0.82352941176470595</v>
      </c>
      <c r="P1039">
        <v>0</v>
      </c>
      <c r="Q1039">
        <v>0</v>
      </c>
      <c r="R1039">
        <v>0.22868468686657797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0.22868468686657797</v>
      </c>
      <c r="AC1039">
        <v>0.77131531313342205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J1039">
        <v>0</v>
      </c>
      <c r="BK1039">
        <v>0</v>
      </c>
      <c r="BL1039">
        <v>4.3728332390853621</v>
      </c>
      <c r="BM1039">
        <v>3.3728332390853621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</row>
    <row r="1040" spans="1:84" x14ac:dyDescent="0.25">
      <c r="A1040" t="s">
        <v>128</v>
      </c>
      <c r="B1040" t="s">
        <v>422</v>
      </c>
      <c r="C1040" s="14" t="s">
        <v>109</v>
      </c>
      <c r="D1040" s="12">
        <v>46234</v>
      </c>
      <c r="E1040" s="14" t="s">
        <v>133</v>
      </c>
      <c r="F1040" s="14" t="s">
        <v>133</v>
      </c>
      <c r="G1040" s="14" t="s">
        <v>133</v>
      </c>
      <c r="H1040" s="14"/>
      <c r="J1040">
        <v>26.220922841721425</v>
      </c>
      <c r="M1040">
        <v>34.199999999999996</v>
      </c>
      <c r="N1040">
        <v>34.199999999999996</v>
      </c>
      <c r="O1040">
        <v>21.602941176470576</v>
      </c>
      <c r="S1040">
        <v>0</v>
      </c>
      <c r="T1040">
        <v>0</v>
      </c>
      <c r="U1040">
        <v>0.34646594363689104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0.12482257230632657</v>
      </c>
      <c r="AB1040">
        <v>7.2180795094367839E-2</v>
      </c>
      <c r="AC1040">
        <v>9.4805801101667572E-2</v>
      </c>
      <c r="AD1040">
        <v>0</v>
      </c>
      <c r="AE1040">
        <v>8.1312396306050985E-2</v>
      </c>
      <c r="AF1040">
        <v>0</v>
      </c>
      <c r="AG1040">
        <v>0.75170100749791369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84" x14ac:dyDescent="0.25">
      <c r="A1041" t="s">
        <v>128</v>
      </c>
      <c r="B1041" t="s">
        <v>422</v>
      </c>
      <c r="C1041" s="14" t="s">
        <v>72</v>
      </c>
      <c r="D1041" s="12">
        <v>46226</v>
      </c>
      <c r="E1041" s="14" t="s">
        <v>420</v>
      </c>
      <c r="F1041" s="14" t="s">
        <v>420</v>
      </c>
      <c r="G1041" s="14" t="s">
        <v>420</v>
      </c>
      <c r="H1041" s="14" t="s">
        <v>73</v>
      </c>
      <c r="I1041">
        <v>20</v>
      </c>
      <c r="J1041">
        <v>3.6011567851291222</v>
      </c>
      <c r="K1041">
        <v>46226</v>
      </c>
      <c r="L1041" t="s">
        <v>432</v>
      </c>
      <c r="M1041">
        <v>1.9</v>
      </c>
      <c r="N1041">
        <v>1.9</v>
      </c>
      <c r="O1041">
        <v>2.4760061919504648</v>
      </c>
      <c r="P1041">
        <v>0.52760824184217625</v>
      </c>
      <c r="Q1041">
        <v>0.52760824184217625</v>
      </c>
      <c r="R1041">
        <v>0.68755856511859303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0.15995032327641678</v>
      </c>
      <c r="AC1041">
        <v>0.31244143488140697</v>
      </c>
      <c r="AD1041">
        <v>0</v>
      </c>
      <c r="AE1041">
        <v>0</v>
      </c>
      <c r="AF1041">
        <v>0</v>
      </c>
      <c r="AG1041">
        <v>0.52760824184217625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1.8953456763837486</v>
      </c>
      <c r="AN1041">
        <v>1.8953456763837486</v>
      </c>
      <c r="AO1041">
        <v>1.3031611536581393</v>
      </c>
      <c r="BF1041">
        <v>0</v>
      </c>
      <c r="BG1041">
        <v>0</v>
      </c>
      <c r="BH1041">
        <v>0</v>
      </c>
      <c r="BJ1041">
        <v>0.76736480150046871</v>
      </c>
      <c r="BK1041">
        <v>0.76736480150046871</v>
      </c>
      <c r="BL1041">
        <v>1.454421558732987</v>
      </c>
      <c r="BM1041">
        <v>0.45442155873298695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0.47239175815782375</v>
      </c>
      <c r="BW1041">
        <v>0</v>
      </c>
      <c r="BX1041">
        <v>0</v>
      </c>
      <c r="BY1041">
        <v>0</v>
      </c>
      <c r="BZ1041">
        <v>0</v>
      </c>
      <c r="CA1041">
        <v>0.76736480150046871</v>
      </c>
      <c r="CB1041">
        <v>0</v>
      </c>
      <c r="CC1041">
        <v>0</v>
      </c>
      <c r="CD1041">
        <v>0</v>
      </c>
      <c r="CE1041">
        <v>0</v>
      </c>
      <c r="CF1041">
        <v>0</v>
      </c>
    </row>
    <row r="1042" spans="1:84" x14ac:dyDescent="0.25">
      <c r="A1042" t="s">
        <v>128</v>
      </c>
      <c r="B1042" t="s">
        <v>422</v>
      </c>
      <c r="C1042" s="14" t="s">
        <v>72</v>
      </c>
      <c r="D1042" s="12">
        <v>46225</v>
      </c>
      <c r="E1042" s="14" t="s">
        <v>420</v>
      </c>
      <c r="F1042" s="14" t="s">
        <v>420</v>
      </c>
      <c r="G1042" s="14" t="s">
        <v>420</v>
      </c>
      <c r="H1042" s="14" t="s">
        <v>75</v>
      </c>
      <c r="I1042">
        <v>20</v>
      </c>
      <c r="J1042">
        <v>3.1774912809962848</v>
      </c>
      <c r="K1042">
        <v>46225</v>
      </c>
      <c r="L1042" t="s">
        <v>431</v>
      </c>
      <c r="M1042">
        <v>1.9</v>
      </c>
      <c r="N1042">
        <v>1.9</v>
      </c>
      <c r="O1042">
        <v>1.3167000546348568</v>
      </c>
      <c r="P1042">
        <v>0.59795600742113297</v>
      </c>
      <c r="Q1042">
        <v>0.59795600742113297</v>
      </c>
      <c r="R1042">
        <v>0.4143835303371825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0.40204399257886703</v>
      </c>
      <c r="AD1042">
        <v>0</v>
      </c>
      <c r="AE1042">
        <v>0.18357247708395047</v>
      </c>
      <c r="AF1042">
        <v>0</v>
      </c>
      <c r="AG1042">
        <v>0.4143835303371825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1.6723638321033079</v>
      </c>
      <c r="AN1042">
        <v>1.6723638321033079</v>
      </c>
      <c r="AO1042">
        <v>0.69300002875518785</v>
      </c>
      <c r="BF1042">
        <v>0</v>
      </c>
      <c r="BG1042">
        <v>0</v>
      </c>
      <c r="BH1042">
        <v>0</v>
      </c>
      <c r="BJ1042">
        <v>1.4430013831258646</v>
      </c>
      <c r="BK1042">
        <v>1.4430013831258646</v>
      </c>
      <c r="BL1042">
        <v>2.4132233228147446</v>
      </c>
      <c r="BM1042">
        <v>0.97022193968888004</v>
      </c>
      <c r="BN1042">
        <v>0</v>
      </c>
      <c r="BO1042">
        <v>0</v>
      </c>
      <c r="BP1042">
        <v>0</v>
      </c>
      <c r="BQ1042">
        <v>0</v>
      </c>
      <c r="BR1042">
        <v>5.6998616874135433E-2</v>
      </c>
      <c r="BS1042">
        <v>0.44300138312586457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</row>
    <row r="1043" spans="1:84" x14ac:dyDescent="0.25">
      <c r="A1043" t="s">
        <v>128</v>
      </c>
      <c r="B1043" t="s">
        <v>422</v>
      </c>
      <c r="C1043" s="14" t="s">
        <v>109</v>
      </c>
      <c r="D1043" s="12">
        <v>46234</v>
      </c>
      <c r="E1043" s="14" t="s">
        <v>420</v>
      </c>
      <c r="F1043" s="14" t="s">
        <v>420</v>
      </c>
      <c r="G1043" s="14" t="s">
        <v>420</v>
      </c>
      <c r="H1043" s="14"/>
      <c r="J1043">
        <v>6.7786480661254078</v>
      </c>
      <c r="M1043">
        <v>1.9</v>
      </c>
      <c r="N1043">
        <v>1.9</v>
      </c>
      <c r="O1043">
        <v>1.9792387543252596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4.9003861471409553E-2</v>
      </c>
      <c r="AC1043">
        <v>0.67070426004993444</v>
      </c>
      <c r="AD1043">
        <v>0</v>
      </c>
      <c r="AE1043">
        <v>3.7314398682917013E-2</v>
      </c>
      <c r="AF1043">
        <v>0</v>
      </c>
      <c r="AG1043">
        <v>0.24297747979573905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84" x14ac:dyDescent="0.25">
      <c r="A1044" t="s">
        <v>128</v>
      </c>
      <c r="B1044" t="s">
        <v>422</v>
      </c>
      <c r="C1044" s="14" t="s">
        <v>109</v>
      </c>
      <c r="D1044" s="12">
        <v>46238</v>
      </c>
      <c r="E1044" s="14" t="s">
        <v>420</v>
      </c>
      <c r="F1044" s="14" t="s">
        <v>420</v>
      </c>
      <c r="G1044" s="14" t="s">
        <v>420</v>
      </c>
      <c r="H1044" s="14"/>
      <c r="J1044">
        <v>6.8316062541420122</v>
      </c>
      <c r="M1044">
        <v>3.8</v>
      </c>
      <c r="N1044">
        <v>3.8</v>
      </c>
      <c r="O1044">
        <v>0.98961937716262982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2.4311993288141175E-2</v>
      </c>
      <c r="AC1044">
        <v>0.83662847010229302</v>
      </c>
      <c r="AD1044">
        <v>0</v>
      </c>
      <c r="AE1044">
        <v>1.8512569889199148E-2</v>
      </c>
      <c r="AF1044">
        <v>0</v>
      </c>
      <c r="AG1044">
        <v>0.12054696672036667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84" x14ac:dyDescent="0.25">
      <c r="A1045" t="s">
        <v>128</v>
      </c>
      <c r="B1045" t="s">
        <v>422</v>
      </c>
      <c r="C1045" s="14" t="s">
        <v>72</v>
      </c>
      <c r="D1045" s="12">
        <v>46249</v>
      </c>
      <c r="E1045" s="14" t="s">
        <v>133</v>
      </c>
      <c r="F1045" s="14" t="s">
        <v>133</v>
      </c>
      <c r="G1045" s="14" t="s">
        <v>133</v>
      </c>
      <c r="H1045" s="14" t="s">
        <v>75</v>
      </c>
      <c r="I1045">
        <v>20</v>
      </c>
      <c r="J1045">
        <v>10.972274579690296</v>
      </c>
      <c r="K1045">
        <v>46249</v>
      </c>
      <c r="L1045" t="s">
        <v>500</v>
      </c>
      <c r="M1045">
        <v>6.6499999999999995</v>
      </c>
      <c r="N1045">
        <v>6.6499999999999995</v>
      </c>
      <c r="O1045">
        <v>7.1014705882352924</v>
      </c>
      <c r="P1045">
        <v>0.60607305729562799</v>
      </c>
      <c r="Q1045">
        <v>0.60607305729562799</v>
      </c>
      <c r="R1045">
        <v>0.64721954747469856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4.1146490179070572E-2</v>
      </c>
      <c r="AC1045">
        <v>0.35278045252530144</v>
      </c>
      <c r="AD1045">
        <v>0</v>
      </c>
      <c r="AE1045">
        <v>0</v>
      </c>
      <c r="AF1045">
        <v>0</v>
      </c>
      <c r="AG1045">
        <v>0.60607305729562799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1.6499661022090673</v>
      </c>
      <c r="AN1045">
        <v>1.6499661022090673</v>
      </c>
      <c r="AO1045">
        <v>1.0678903140203448</v>
      </c>
      <c r="BF1045">
        <v>0</v>
      </c>
      <c r="BG1045">
        <v>0</v>
      </c>
      <c r="BH1045">
        <v>0</v>
      </c>
      <c r="BJ1045">
        <v>0.93642576102712793</v>
      </c>
      <c r="BK1045">
        <v>0.93642576102712793</v>
      </c>
      <c r="BL1045">
        <v>1.5450707629300897</v>
      </c>
      <c r="BM1045">
        <v>0.54507076293008971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0.39392694270437201</v>
      </c>
      <c r="BW1045">
        <v>0</v>
      </c>
      <c r="BX1045">
        <v>0</v>
      </c>
      <c r="BY1045">
        <v>0</v>
      </c>
      <c r="BZ1045">
        <v>0</v>
      </c>
      <c r="CA1045">
        <v>0.93642576102712793</v>
      </c>
      <c r="CB1045">
        <v>0</v>
      </c>
      <c r="CC1045">
        <v>0</v>
      </c>
      <c r="CD1045">
        <v>0</v>
      </c>
      <c r="CE1045">
        <v>0</v>
      </c>
      <c r="CF1045">
        <v>0</v>
      </c>
    </row>
    <row r="1046" spans="1:84" x14ac:dyDescent="0.25">
      <c r="A1046" t="s">
        <v>128</v>
      </c>
      <c r="B1046" t="s">
        <v>422</v>
      </c>
      <c r="C1046" s="14" t="s">
        <v>109</v>
      </c>
      <c r="D1046" s="12">
        <v>46238</v>
      </c>
      <c r="E1046" s="14" t="s">
        <v>133</v>
      </c>
      <c r="F1046" s="14" t="s">
        <v>133</v>
      </c>
      <c r="G1046" s="14" t="s">
        <v>133</v>
      </c>
      <c r="H1046" s="14"/>
      <c r="J1046">
        <v>28.218439495972738</v>
      </c>
      <c r="M1046">
        <v>38</v>
      </c>
      <c r="N1046">
        <v>38</v>
      </c>
      <c r="O1046">
        <v>21.624999999999996</v>
      </c>
      <c r="S1046">
        <v>0</v>
      </c>
      <c r="T1046">
        <v>0</v>
      </c>
      <c r="U1046">
        <v>0.39929301780566184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0.13418209111614787</v>
      </c>
      <c r="AB1046">
        <v>8.3018306492740918E-2</v>
      </c>
      <c r="AC1046">
        <v>0.10381961487575793</v>
      </c>
      <c r="AD1046">
        <v>0</v>
      </c>
      <c r="AE1046">
        <v>0.1298375119442329</v>
      </c>
      <c r="AF1046">
        <v>0</v>
      </c>
      <c r="AG1046">
        <v>0.68332456668726815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84" x14ac:dyDescent="0.25">
      <c r="A1047" t="s">
        <v>128</v>
      </c>
      <c r="B1047" t="s">
        <v>422</v>
      </c>
      <c r="C1047" s="14" t="s">
        <v>72</v>
      </c>
      <c r="D1047" s="12">
        <v>46250</v>
      </c>
      <c r="E1047" s="14" t="s">
        <v>133</v>
      </c>
      <c r="F1047" s="14" t="s">
        <v>133</v>
      </c>
      <c r="G1047" s="14" t="s">
        <v>133</v>
      </c>
      <c r="H1047" s="14" t="s">
        <v>73</v>
      </c>
      <c r="I1047">
        <v>20</v>
      </c>
      <c r="J1047">
        <v>10.972274579690296</v>
      </c>
      <c r="K1047">
        <v>46250</v>
      </c>
      <c r="L1047" t="s">
        <v>501</v>
      </c>
      <c r="M1047">
        <v>34.199999999999996</v>
      </c>
      <c r="N1047">
        <v>34.199999999999996</v>
      </c>
      <c r="O1047">
        <v>8.4421568627450938</v>
      </c>
      <c r="P1047">
        <v>3.1169471518060865</v>
      </c>
      <c r="Q1047">
        <v>3.1169471518060865</v>
      </c>
      <c r="R1047">
        <v>0.76940809322905068</v>
      </c>
      <c r="S1047">
        <v>0</v>
      </c>
      <c r="T1047">
        <v>0</v>
      </c>
      <c r="U1047">
        <v>1.8669471518060865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0.25</v>
      </c>
      <c r="AB1047">
        <v>0</v>
      </c>
      <c r="AC1047">
        <v>0</v>
      </c>
      <c r="AD1047">
        <v>0</v>
      </c>
      <c r="AE1047">
        <v>0.23059190677094932</v>
      </c>
      <c r="AF1047">
        <v>0</v>
      </c>
      <c r="AG1047">
        <v>0.76940809322905068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0.32082674209620754</v>
      </c>
      <c r="AN1047">
        <v>0.32082674209620754</v>
      </c>
      <c r="AO1047">
        <v>0.24684669189313144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0.67917325790379246</v>
      </c>
      <c r="BA1047">
        <v>0</v>
      </c>
      <c r="BB1047">
        <v>7.3980050203076103E-2</v>
      </c>
      <c r="BC1047">
        <v>0</v>
      </c>
      <c r="BD1047">
        <v>0.24684669189313144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4.051097433515273</v>
      </c>
      <c r="BK1047">
        <v>4.051097433515273</v>
      </c>
      <c r="BL1047">
        <v>1.2997003915090126</v>
      </c>
      <c r="CC1047">
        <v>0</v>
      </c>
      <c r="CD1047">
        <v>0</v>
      </c>
      <c r="CE1047">
        <v>0</v>
      </c>
    </row>
    <row r="1048" spans="1:84" x14ac:dyDescent="0.25">
      <c r="A1048" t="s">
        <v>128</v>
      </c>
      <c r="B1048" t="s">
        <v>422</v>
      </c>
      <c r="C1048" s="14" t="s">
        <v>72</v>
      </c>
      <c r="D1048" s="12">
        <v>46250</v>
      </c>
      <c r="E1048" s="14" t="s">
        <v>133</v>
      </c>
      <c r="F1048" s="14" t="s">
        <v>133</v>
      </c>
      <c r="G1048" s="14" t="s">
        <v>133</v>
      </c>
      <c r="H1048" s="14" t="s">
        <v>74</v>
      </c>
      <c r="I1048">
        <v>20</v>
      </c>
      <c r="J1048">
        <v>4.220105607573192</v>
      </c>
      <c r="K1048">
        <v>46250</v>
      </c>
      <c r="L1048" t="s">
        <v>502</v>
      </c>
      <c r="M1048">
        <v>4.75</v>
      </c>
      <c r="N1048">
        <v>4.75</v>
      </c>
      <c r="O1048">
        <v>3.3235294117647056</v>
      </c>
      <c r="P1048">
        <v>1.1255642492633089</v>
      </c>
      <c r="Q1048">
        <v>1.1255642492633089</v>
      </c>
      <c r="R1048">
        <v>0.7875465025805195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0.12556424926330889</v>
      </c>
      <c r="AB1048">
        <v>0</v>
      </c>
      <c r="AC1048">
        <v>0</v>
      </c>
      <c r="AD1048">
        <v>0</v>
      </c>
      <c r="AE1048">
        <v>0.2124534974194805</v>
      </c>
      <c r="AF1048">
        <v>0</v>
      </c>
      <c r="AG1048">
        <v>0.7875465025805195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0.88844328580488252</v>
      </c>
      <c r="AN1048">
        <v>0.88844328580488252</v>
      </c>
      <c r="AO1048">
        <v>0.69969040247678016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0.11155671419511748</v>
      </c>
      <c r="BA1048">
        <v>0</v>
      </c>
      <c r="BB1048">
        <v>0.18875288332810236</v>
      </c>
      <c r="BC1048">
        <v>0</v>
      </c>
      <c r="BD1048">
        <v>0.69969040247678016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1.429203539823009</v>
      </c>
      <c r="BK1048">
        <v>1.429203539823009</v>
      </c>
      <c r="BL1048">
        <v>1.2697662890043233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0.26976628900432331</v>
      </c>
      <c r="BT1048">
        <v>0</v>
      </c>
      <c r="BU1048">
        <v>0.15943725081868565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0</v>
      </c>
      <c r="CC1048">
        <v>0</v>
      </c>
      <c r="CD1048">
        <v>0</v>
      </c>
      <c r="CE1048">
        <v>0</v>
      </c>
      <c r="CF1048">
        <v>0</v>
      </c>
    </row>
    <row r="1049" spans="1:84" x14ac:dyDescent="0.25">
      <c r="A1049" t="s">
        <v>128</v>
      </c>
      <c r="B1049" t="s">
        <v>422</v>
      </c>
      <c r="C1049" s="14" t="s">
        <v>109</v>
      </c>
      <c r="D1049" s="12">
        <v>46237</v>
      </c>
      <c r="E1049" s="14" t="s">
        <v>134</v>
      </c>
      <c r="F1049" s="14" t="s">
        <v>134</v>
      </c>
      <c r="G1049" s="14" t="s">
        <v>134</v>
      </c>
      <c r="H1049" s="14"/>
      <c r="J1049">
        <v>10.465131474298435</v>
      </c>
      <c r="M1049">
        <v>2.8499999999999996</v>
      </c>
      <c r="N1049">
        <v>2.8499999999999996</v>
      </c>
      <c r="O1049">
        <v>4.8655132641291825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0.19259321004032576</v>
      </c>
      <c r="AC1049">
        <v>0.53507385205063962</v>
      </c>
      <c r="AD1049">
        <v>0</v>
      </c>
      <c r="AE1049">
        <v>0</v>
      </c>
      <c r="AF1049">
        <v>0</v>
      </c>
      <c r="AG1049">
        <v>0.27233293790903462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84" x14ac:dyDescent="0.25">
      <c r="A1050" t="s">
        <v>128</v>
      </c>
      <c r="B1050" t="s">
        <v>422</v>
      </c>
      <c r="C1050" s="14" t="s">
        <v>72</v>
      </c>
      <c r="D1050" s="12">
        <v>46250</v>
      </c>
      <c r="E1050" s="14" t="s">
        <v>133</v>
      </c>
      <c r="F1050" s="14" t="s">
        <v>133</v>
      </c>
      <c r="G1050" s="14" t="s">
        <v>133</v>
      </c>
      <c r="H1050" s="14" t="s">
        <v>75</v>
      </c>
      <c r="I1050">
        <v>20</v>
      </c>
      <c r="J1050">
        <v>10.972274579690296</v>
      </c>
      <c r="K1050">
        <v>46250</v>
      </c>
      <c r="L1050" t="s">
        <v>503</v>
      </c>
      <c r="M1050">
        <v>6.6499999999999995</v>
      </c>
      <c r="N1050">
        <v>6.6499999999999995</v>
      </c>
      <c r="O1050">
        <v>7.984313725490197</v>
      </c>
      <c r="P1050">
        <v>0.60607305729562799</v>
      </c>
      <c r="Q1050">
        <v>0.60607305729562799</v>
      </c>
      <c r="R1050">
        <v>0.72768081654365258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0.12160775924802458</v>
      </c>
      <c r="AC1050">
        <v>0.27231918345634742</v>
      </c>
      <c r="AD1050">
        <v>0</v>
      </c>
      <c r="AE1050">
        <v>0</v>
      </c>
      <c r="AF1050">
        <v>0</v>
      </c>
      <c r="AG1050">
        <v>0.60607305729562799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1.6499661022090673</v>
      </c>
      <c r="AN1050">
        <v>1.6499661022090673</v>
      </c>
      <c r="AO1050">
        <v>1.2006486805248417</v>
      </c>
      <c r="BF1050">
        <v>0</v>
      </c>
      <c r="BG1050">
        <v>0</v>
      </c>
      <c r="BH1050">
        <v>0</v>
      </c>
      <c r="BJ1050">
        <v>0.83288310412573663</v>
      </c>
      <c r="BK1050">
        <v>0.83288310412573663</v>
      </c>
      <c r="BL1050">
        <v>1.3742288889101302</v>
      </c>
      <c r="BM1050">
        <v>0.37422888891013018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0.39392694270437201</v>
      </c>
      <c r="BW1050">
        <v>0</v>
      </c>
      <c r="BX1050">
        <v>0</v>
      </c>
      <c r="BY1050">
        <v>0</v>
      </c>
      <c r="BZ1050">
        <v>0</v>
      </c>
      <c r="CA1050">
        <v>0.83288310412573663</v>
      </c>
      <c r="CB1050">
        <v>0</v>
      </c>
      <c r="CC1050">
        <v>0</v>
      </c>
      <c r="CD1050">
        <v>0</v>
      </c>
      <c r="CE1050">
        <v>0</v>
      </c>
      <c r="CF1050">
        <v>0</v>
      </c>
    </row>
    <row r="1051" spans="1:84" x14ac:dyDescent="0.25">
      <c r="A1051" t="s">
        <v>128</v>
      </c>
      <c r="B1051" t="s">
        <v>422</v>
      </c>
      <c r="C1051" s="14" t="s">
        <v>109</v>
      </c>
      <c r="D1051" s="12">
        <v>46237</v>
      </c>
      <c r="E1051" s="14" t="s">
        <v>420</v>
      </c>
      <c r="F1051" s="14" t="s">
        <v>420</v>
      </c>
      <c r="G1051" s="14" t="s">
        <v>420</v>
      </c>
      <c r="H1051" s="14"/>
      <c r="J1051">
        <v>6.7786480661254069</v>
      </c>
      <c r="M1051">
        <v>0.95</v>
      </c>
      <c r="N1051">
        <v>0.95</v>
      </c>
      <c r="O1051">
        <v>0.98961937716262982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2.450193073570478E-2</v>
      </c>
      <c r="AC1051">
        <v>0.83535213002496711</v>
      </c>
      <c r="AD1051">
        <v>0</v>
      </c>
      <c r="AE1051">
        <v>1.8657199341458517E-2</v>
      </c>
      <c r="AF1051">
        <v>0</v>
      </c>
      <c r="AG1051">
        <v>0.12148873989786954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84" x14ac:dyDescent="0.25">
      <c r="A1052" t="s">
        <v>128</v>
      </c>
      <c r="B1052" t="s">
        <v>422</v>
      </c>
      <c r="C1052" s="14" t="s">
        <v>72</v>
      </c>
      <c r="D1052" s="12">
        <v>46223</v>
      </c>
      <c r="E1052" s="14" t="s">
        <v>420</v>
      </c>
      <c r="F1052" s="14" t="s">
        <v>420</v>
      </c>
      <c r="G1052" s="14" t="s">
        <v>420</v>
      </c>
      <c r="H1052" s="14" t="s">
        <v>73</v>
      </c>
      <c r="I1052">
        <v>20</v>
      </c>
      <c r="J1052">
        <v>3.6011567851291222</v>
      </c>
      <c r="K1052">
        <v>46223</v>
      </c>
      <c r="L1052" t="s">
        <v>423</v>
      </c>
      <c r="M1052">
        <v>0.95</v>
      </c>
      <c r="N1052">
        <v>0.95</v>
      </c>
      <c r="O1052">
        <v>0.82352941176470595</v>
      </c>
      <c r="P1052">
        <v>0.26380412092108813</v>
      </c>
      <c r="Q1052">
        <v>0.26380412092108813</v>
      </c>
      <c r="R1052">
        <v>0.22868468686657797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0.73619587907891182</v>
      </c>
      <c r="AD1052">
        <v>0</v>
      </c>
      <c r="AE1052">
        <v>3.5119434054510151E-2</v>
      </c>
      <c r="AF1052">
        <v>0</v>
      </c>
      <c r="AG1052">
        <v>0.22868468686657797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3.7906913527674972</v>
      </c>
      <c r="AN1052">
        <v>3.7906913527674972</v>
      </c>
      <c r="AO1052">
        <v>0.86687306501548</v>
      </c>
      <c r="BF1052">
        <v>0</v>
      </c>
      <c r="BG1052">
        <v>0</v>
      </c>
      <c r="BH1052">
        <v>0</v>
      </c>
      <c r="BJ1052">
        <v>1.1535714285714285</v>
      </c>
      <c r="BK1052">
        <v>1.1535714285714285</v>
      </c>
      <c r="BL1052">
        <v>4.3728332390853621</v>
      </c>
      <c r="BM1052">
        <v>3.2192618105139337</v>
      </c>
      <c r="BN1052">
        <v>0</v>
      </c>
      <c r="BO1052">
        <v>0</v>
      </c>
      <c r="BP1052">
        <v>0</v>
      </c>
      <c r="BQ1052">
        <v>0</v>
      </c>
      <c r="BR1052">
        <v>0.34642857142857153</v>
      </c>
      <c r="BS1052">
        <v>0.15357142857142847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</row>
    <row r="1053" spans="1:84" x14ac:dyDescent="0.25">
      <c r="A1053" t="s">
        <v>128</v>
      </c>
      <c r="B1053" t="s">
        <v>422</v>
      </c>
      <c r="C1053" s="14" t="s">
        <v>109</v>
      </c>
      <c r="D1053" s="12">
        <v>46237</v>
      </c>
      <c r="E1053" s="14" t="s">
        <v>133</v>
      </c>
      <c r="F1053" s="14" t="s">
        <v>133</v>
      </c>
      <c r="G1053" s="14" t="s">
        <v>133</v>
      </c>
      <c r="H1053" s="14"/>
      <c r="J1053">
        <v>27.064943963236065</v>
      </c>
      <c r="M1053">
        <v>34.199999999999996</v>
      </c>
      <c r="N1053">
        <v>34.199999999999996</v>
      </c>
      <c r="O1053">
        <v>20.45588235294117</v>
      </c>
      <c r="S1053">
        <v>0</v>
      </c>
      <c r="T1053">
        <v>0</v>
      </c>
      <c r="U1053">
        <v>0.39938361944207956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0.10966735966735966</v>
      </c>
      <c r="AB1053">
        <v>0.10349108411092965</v>
      </c>
      <c r="AC1053">
        <v>0.14193267129333911</v>
      </c>
      <c r="AD1053">
        <v>0</v>
      </c>
      <c r="AE1053">
        <v>0.10226002385032641</v>
      </c>
      <c r="AF1053">
        <v>0</v>
      </c>
      <c r="AG1053">
        <v>0.65231622074540485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84" x14ac:dyDescent="0.25">
      <c r="A1054" t="s">
        <v>128</v>
      </c>
      <c r="B1054" t="s">
        <v>422</v>
      </c>
      <c r="C1054" s="14" t="s">
        <v>72</v>
      </c>
      <c r="D1054" s="12">
        <v>46223</v>
      </c>
      <c r="E1054" s="14" t="s">
        <v>420</v>
      </c>
      <c r="F1054" s="14" t="s">
        <v>420</v>
      </c>
      <c r="G1054" s="14" t="s">
        <v>420</v>
      </c>
      <c r="H1054" s="14" t="s">
        <v>74</v>
      </c>
      <c r="I1054">
        <v>20</v>
      </c>
      <c r="J1054">
        <v>0</v>
      </c>
      <c r="K1054">
        <v>46223</v>
      </c>
      <c r="L1054" t="s">
        <v>424</v>
      </c>
      <c r="M1054">
        <v>0.95</v>
      </c>
      <c r="N1054">
        <v>0.95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1</v>
      </c>
      <c r="CD1054">
        <v>0</v>
      </c>
      <c r="CF1054">
        <v>0</v>
      </c>
    </row>
    <row r="1055" spans="1:84" x14ac:dyDescent="0.25">
      <c r="A1055" t="s">
        <v>128</v>
      </c>
      <c r="B1055" t="s">
        <v>422</v>
      </c>
      <c r="C1055" s="14" t="s">
        <v>109</v>
      </c>
      <c r="D1055" s="12">
        <v>46230</v>
      </c>
      <c r="E1055" s="14" t="s">
        <v>133</v>
      </c>
      <c r="F1055" s="14" t="s">
        <v>133</v>
      </c>
      <c r="G1055" s="14" t="s">
        <v>133</v>
      </c>
      <c r="H1055" s="14"/>
      <c r="J1055">
        <v>27.064943963236065</v>
      </c>
      <c r="M1055">
        <v>47.5</v>
      </c>
      <c r="N1055">
        <v>47.5</v>
      </c>
      <c r="O1055">
        <v>18.455882352941167</v>
      </c>
      <c r="S1055">
        <v>0</v>
      </c>
      <c r="T1055">
        <v>0</v>
      </c>
      <c r="U1055">
        <v>0.78549193779643711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0.12924598481236627</v>
      </c>
      <c r="AB1055">
        <v>1.0178857065163161E-2</v>
      </c>
      <c r="AC1055">
        <v>0.14952125484201467</v>
      </c>
      <c r="AD1055">
        <v>0</v>
      </c>
      <c r="AE1055">
        <v>0.16856776917329824</v>
      </c>
      <c r="AF1055">
        <v>0</v>
      </c>
      <c r="AG1055">
        <v>0.67173211891952389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84" x14ac:dyDescent="0.25">
      <c r="A1056" t="s">
        <v>128</v>
      </c>
      <c r="B1056" t="s">
        <v>422</v>
      </c>
      <c r="C1056" s="14" t="s">
        <v>109</v>
      </c>
      <c r="D1056" s="12">
        <v>46236</v>
      </c>
      <c r="E1056" s="14" t="s">
        <v>134</v>
      </c>
      <c r="F1056" s="14" t="s">
        <v>134</v>
      </c>
      <c r="G1056" s="14" t="s">
        <v>134</v>
      </c>
      <c r="H1056" s="14"/>
      <c r="J1056">
        <v>7.1027814759848873</v>
      </c>
      <c r="M1056">
        <v>6.6499999999999995</v>
      </c>
      <c r="N1056">
        <v>6.6499999999999995</v>
      </c>
      <c r="O1056">
        <v>3.0347120098039211</v>
      </c>
      <c r="S1056">
        <v>0</v>
      </c>
      <c r="T1056">
        <v>0</v>
      </c>
      <c r="U1056">
        <v>0.40698504659714047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7.9103493737640113E-2</v>
      </c>
      <c r="AB1056">
        <v>2.849011606391727E-2</v>
      </c>
      <c r="AC1056">
        <v>0.5213454897712988</v>
      </c>
      <c r="AD1056">
        <v>0</v>
      </c>
      <c r="AE1056">
        <v>5.1397664433213544E-2</v>
      </c>
      <c r="AF1056">
        <v>0</v>
      </c>
      <c r="AG1056">
        <v>0.3987667297315704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84" x14ac:dyDescent="0.25">
      <c r="A1057" t="s">
        <v>128</v>
      </c>
      <c r="B1057" t="s">
        <v>422</v>
      </c>
      <c r="C1057" s="14" t="s">
        <v>72</v>
      </c>
      <c r="D1057" s="12">
        <v>46223</v>
      </c>
      <c r="E1057" s="14" t="s">
        <v>420</v>
      </c>
      <c r="F1057" s="14" t="s">
        <v>420</v>
      </c>
      <c r="G1057" s="14" t="s">
        <v>420</v>
      </c>
      <c r="H1057" s="14" t="s">
        <v>75</v>
      </c>
      <c r="I1057">
        <v>20</v>
      </c>
      <c r="J1057">
        <v>3.1774912809962848</v>
      </c>
      <c r="K1057">
        <v>46223</v>
      </c>
      <c r="L1057" t="s">
        <v>425</v>
      </c>
      <c r="M1057">
        <v>0.95</v>
      </c>
      <c r="N1057">
        <v>0.95</v>
      </c>
      <c r="O1057">
        <v>0.16608996539792387</v>
      </c>
      <c r="P1057">
        <v>0.29897800371056649</v>
      </c>
      <c r="Q1057">
        <v>0.29897800371056649</v>
      </c>
      <c r="R1057">
        <v>5.2270785569503521E-2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0.70102199628943351</v>
      </c>
      <c r="AD1057">
        <v>0</v>
      </c>
      <c r="AE1057">
        <v>0.24670721814106297</v>
      </c>
      <c r="AF1057">
        <v>0</v>
      </c>
      <c r="AG1057">
        <v>5.2270785569503521E-2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3.3447276642066157</v>
      </c>
      <c r="AN1057">
        <v>3.3447276642066157</v>
      </c>
      <c r="AO1057">
        <v>0.17483154252413038</v>
      </c>
      <c r="BF1057">
        <v>0</v>
      </c>
      <c r="BG1057">
        <v>0</v>
      </c>
      <c r="BH1057">
        <v>0</v>
      </c>
      <c r="BJ1057">
        <v>5.7197916666666666</v>
      </c>
      <c r="BK1057">
        <v>5.7197916666666666</v>
      </c>
      <c r="BL1057">
        <v>19.131145420998465</v>
      </c>
      <c r="CC1057">
        <v>0</v>
      </c>
      <c r="CD1057">
        <v>0</v>
      </c>
      <c r="CE1057">
        <v>0</v>
      </c>
    </row>
    <row r="1058" spans="1:84" x14ac:dyDescent="0.25">
      <c r="A1058" t="s">
        <v>128</v>
      </c>
      <c r="B1058" t="s">
        <v>422</v>
      </c>
      <c r="C1058" s="14" t="s">
        <v>109</v>
      </c>
      <c r="D1058" s="12">
        <v>46236</v>
      </c>
      <c r="E1058" s="14" t="s">
        <v>133</v>
      </c>
      <c r="F1058" s="14" t="s">
        <v>133</v>
      </c>
      <c r="G1058" s="14" t="s">
        <v>133</v>
      </c>
      <c r="H1058" s="14"/>
      <c r="J1058">
        <v>26.164654766953785</v>
      </c>
      <c r="M1058">
        <v>37.049999999999997</v>
      </c>
      <c r="N1058">
        <v>37.049999999999997</v>
      </c>
      <c r="O1058">
        <v>21.65441176470587</v>
      </c>
      <c r="S1058">
        <v>0</v>
      </c>
      <c r="T1058">
        <v>0</v>
      </c>
      <c r="U1058">
        <v>0.49244512836685989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0.10483870967741934</v>
      </c>
      <c r="AB1058">
        <v>7.4565493393054919E-2</v>
      </c>
      <c r="AC1058">
        <v>0.10668590202964187</v>
      </c>
      <c r="AD1058">
        <v>0</v>
      </c>
      <c r="AE1058">
        <v>6.5693326453219597E-2</v>
      </c>
      <c r="AF1058">
        <v>0</v>
      </c>
      <c r="AG1058">
        <v>0.75305527812408357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84" x14ac:dyDescent="0.25">
      <c r="A1059" t="s">
        <v>128</v>
      </c>
      <c r="B1059" t="s">
        <v>422</v>
      </c>
      <c r="C1059" s="14" t="s">
        <v>72</v>
      </c>
      <c r="D1059" s="12">
        <v>46224</v>
      </c>
      <c r="E1059" s="14" t="s">
        <v>420</v>
      </c>
      <c r="F1059" s="14" t="s">
        <v>420</v>
      </c>
      <c r="G1059" s="14" t="s">
        <v>420</v>
      </c>
      <c r="H1059" s="14" t="s">
        <v>73</v>
      </c>
      <c r="I1059">
        <v>20</v>
      </c>
      <c r="J1059">
        <v>3.6011567851291235</v>
      </c>
      <c r="K1059">
        <v>46224</v>
      </c>
      <c r="L1059" t="s">
        <v>426</v>
      </c>
      <c r="M1059">
        <v>0.95</v>
      </c>
      <c r="N1059">
        <v>0.95</v>
      </c>
      <c r="O1059">
        <v>0.82352941176470595</v>
      </c>
      <c r="P1059">
        <v>0.26380412092108801</v>
      </c>
      <c r="Q1059">
        <v>0.26380412092108801</v>
      </c>
      <c r="R1059">
        <v>0.22868468686657789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0.73619587907891204</v>
      </c>
      <c r="AD1059">
        <v>0</v>
      </c>
      <c r="AE1059">
        <v>3.5119434054510124E-2</v>
      </c>
      <c r="AF1059">
        <v>0</v>
      </c>
      <c r="AG1059">
        <v>0.22868468686657789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3.7906913527674986</v>
      </c>
      <c r="AN1059">
        <v>3.7906913527674986</v>
      </c>
      <c r="AO1059">
        <v>0.86687306501548</v>
      </c>
      <c r="BF1059">
        <v>0</v>
      </c>
      <c r="BG1059">
        <v>0</v>
      </c>
      <c r="BH1059">
        <v>0</v>
      </c>
      <c r="BJ1059">
        <v>1.1535714285714285</v>
      </c>
      <c r="BK1059">
        <v>1.1535714285714285</v>
      </c>
      <c r="BL1059">
        <v>4.3728332390853639</v>
      </c>
      <c r="BM1059">
        <v>3.2192618105139355</v>
      </c>
      <c r="BN1059">
        <v>0</v>
      </c>
      <c r="BO1059">
        <v>0</v>
      </c>
      <c r="BP1059">
        <v>0</v>
      </c>
      <c r="BQ1059">
        <v>0</v>
      </c>
      <c r="BR1059">
        <v>0.34642857142857153</v>
      </c>
      <c r="BS1059">
        <v>0.15357142857142847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</row>
    <row r="1060" spans="1:84" x14ac:dyDescent="0.25">
      <c r="A1060" t="s">
        <v>128</v>
      </c>
      <c r="B1060" t="s">
        <v>422</v>
      </c>
      <c r="C1060" s="14" t="s">
        <v>109</v>
      </c>
      <c r="D1060" s="12">
        <v>46235</v>
      </c>
      <c r="E1060" s="14" t="s">
        <v>134</v>
      </c>
      <c r="F1060" s="14" t="s">
        <v>134</v>
      </c>
      <c r="G1060" s="14" t="s">
        <v>134</v>
      </c>
      <c r="H1060" s="14"/>
      <c r="J1060">
        <v>8.8936937466270898</v>
      </c>
      <c r="M1060">
        <v>3.8</v>
      </c>
      <c r="N1060">
        <v>3.8</v>
      </c>
      <c r="O1060">
        <v>5.1140372693194927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0.14774932741728805</v>
      </c>
      <c r="AC1060">
        <v>0.42498163136559797</v>
      </c>
      <c r="AD1060">
        <v>0</v>
      </c>
      <c r="AE1060">
        <v>0</v>
      </c>
      <c r="AF1060">
        <v>0</v>
      </c>
      <c r="AG1060">
        <v>0.42726904121711407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84" x14ac:dyDescent="0.25">
      <c r="A1061" t="s">
        <v>128</v>
      </c>
      <c r="B1061" t="s">
        <v>422</v>
      </c>
      <c r="C1061" s="14" t="s">
        <v>72</v>
      </c>
      <c r="D1061" s="12">
        <v>46224</v>
      </c>
      <c r="E1061" s="14" t="s">
        <v>420</v>
      </c>
      <c r="F1061" s="14" t="s">
        <v>420</v>
      </c>
      <c r="G1061" s="14" t="s">
        <v>420</v>
      </c>
      <c r="H1061" s="14" t="s">
        <v>74</v>
      </c>
      <c r="I1061">
        <v>20</v>
      </c>
      <c r="J1061">
        <v>0</v>
      </c>
      <c r="K1061">
        <v>46224</v>
      </c>
      <c r="L1061" t="s">
        <v>427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F1061">
        <v>0</v>
      </c>
    </row>
    <row r="1062" spans="1:84" x14ac:dyDescent="0.25">
      <c r="A1062" t="s">
        <v>128</v>
      </c>
      <c r="B1062" t="s">
        <v>422</v>
      </c>
      <c r="C1062" s="14" t="s">
        <v>109</v>
      </c>
      <c r="D1062" s="12">
        <v>46235</v>
      </c>
      <c r="E1062" s="14" t="s">
        <v>420</v>
      </c>
      <c r="F1062" s="14" t="s">
        <v>420</v>
      </c>
      <c r="G1062" s="14" t="s">
        <v>420</v>
      </c>
      <c r="H1062" s="14"/>
      <c r="J1062">
        <v>6.8316062541420131</v>
      </c>
      <c r="M1062">
        <v>1.9</v>
      </c>
      <c r="N1062">
        <v>1.9</v>
      </c>
      <c r="O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0.86094046339043406</v>
      </c>
      <c r="AD1062">
        <v>0</v>
      </c>
      <c r="AE1062">
        <v>0</v>
      </c>
      <c r="AF1062">
        <v>0</v>
      </c>
      <c r="AG1062">
        <v>0</v>
      </c>
      <c r="AH1062">
        <v>0.1390595366095658</v>
      </c>
      <c r="AI1062">
        <v>0</v>
      </c>
      <c r="AJ1062">
        <v>0</v>
      </c>
      <c r="AK1062">
        <v>0</v>
      </c>
      <c r="AL1062">
        <v>0</v>
      </c>
    </row>
    <row r="1063" spans="1:84" x14ac:dyDescent="0.25">
      <c r="A1063" t="s">
        <v>128</v>
      </c>
      <c r="B1063" t="s">
        <v>422</v>
      </c>
      <c r="C1063" s="14" t="s">
        <v>72</v>
      </c>
      <c r="D1063" s="12">
        <v>46224</v>
      </c>
      <c r="E1063" s="14" t="s">
        <v>420</v>
      </c>
      <c r="F1063" s="14" t="s">
        <v>420</v>
      </c>
      <c r="G1063" s="14" t="s">
        <v>420</v>
      </c>
      <c r="H1063" s="14" t="s">
        <v>75</v>
      </c>
      <c r="I1063">
        <v>20</v>
      </c>
      <c r="J1063">
        <v>3.23044946901289</v>
      </c>
      <c r="K1063">
        <v>46224</v>
      </c>
      <c r="L1063" t="s">
        <v>428</v>
      </c>
      <c r="M1063">
        <v>2.8499999999999996</v>
      </c>
      <c r="N1063">
        <v>2.8499999999999996</v>
      </c>
      <c r="O1063">
        <v>0.16608996539792387</v>
      </c>
      <c r="P1063">
        <v>0.88223017488363864</v>
      </c>
      <c r="Q1063">
        <v>0.88223017488363864</v>
      </c>
      <c r="R1063">
        <v>5.1413887445413295E-2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0.11776982511636136</v>
      </c>
      <c r="AD1063">
        <v>0</v>
      </c>
      <c r="AE1063">
        <v>0.83081628743822533</v>
      </c>
      <c r="AF1063">
        <v>0</v>
      </c>
      <c r="AG1063">
        <v>5.1413887445413295E-2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1.1334910417589088</v>
      </c>
      <c r="AN1063">
        <v>1.1334910417589088</v>
      </c>
      <c r="AO1063">
        <v>5.8277180841376799E-2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0.1334910417589088</v>
      </c>
      <c r="AY1063">
        <v>0</v>
      </c>
      <c r="AZ1063">
        <v>0</v>
      </c>
      <c r="BA1063">
        <v>0</v>
      </c>
      <c r="BB1063">
        <v>0.94172281915862321</v>
      </c>
      <c r="BC1063">
        <v>0</v>
      </c>
      <c r="BD1063">
        <v>5.8277180841376799E-2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17.159374999999997</v>
      </c>
      <c r="BK1063">
        <v>17.159374999999997</v>
      </c>
      <c r="BL1063">
        <v>19.449997844681775</v>
      </c>
      <c r="CC1063">
        <v>0</v>
      </c>
      <c r="CD1063">
        <v>0</v>
      </c>
      <c r="CE1063">
        <v>0</v>
      </c>
    </row>
    <row r="1064" spans="1:84" x14ac:dyDescent="0.25">
      <c r="A1064" t="s">
        <v>128</v>
      </c>
      <c r="B1064" t="s">
        <v>422</v>
      </c>
      <c r="C1064" s="14" t="s">
        <v>72</v>
      </c>
      <c r="D1064" s="12">
        <v>46225</v>
      </c>
      <c r="E1064" s="14" t="s">
        <v>420</v>
      </c>
      <c r="F1064" s="14" t="s">
        <v>420</v>
      </c>
      <c r="G1064" s="14" t="s">
        <v>420</v>
      </c>
      <c r="H1064" s="14" t="s">
        <v>73</v>
      </c>
      <c r="I1064">
        <v>20</v>
      </c>
      <c r="J1064">
        <v>3.6011567851291222</v>
      </c>
      <c r="K1064">
        <v>46225</v>
      </c>
      <c r="L1064" t="s">
        <v>429</v>
      </c>
      <c r="M1064">
        <v>1.9</v>
      </c>
      <c r="N1064">
        <v>1.9</v>
      </c>
      <c r="O1064">
        <v>2.4760061919504648</v>
      </c>
      <c r="P1064">
        <v>0.52760824184217625</v>
      </c>
      <c r="Q1064">
        <v>0.52760824184217625</v>
      </c>
      <c r="R1064">
        <v>0.68755856511859303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0.15995032327641678</v>
      </c>
      <c r="AC1064">
        <v>0.31244143488140697</v>
      </c>
      <c r="AD1064">
        <v>0</v>
      </c>
      <c r="AE1064">
        <v>0</v>
      </c>
      <c r="AF1064">
        <v>0</v>
      </c>
      <c r="AG1064">
        <v>0.52760824184217625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1.8953456763837486</v>
      </c>
      <c r="AN1064">
        <v>1.8953456763837486</v>
      </c>
      <c r="AO1064">
        <v>1.3031611536581393</v>
      </c>
      <c r="BF1064">
        <v>0</v>
      </c>
      <c r="BG1064">
        <v>0</v>
      </c>
      <c r="BH1064">
        <v>0</v>
      </c>
      <c r="BJ1064">
        <v>0.76736480150046871</v>
      </c>
      <c r="BK1064">
        <v>0.76736480150046871</v>
      </c>
      <c r="BL1064">
        <v>1.454421558732987</v>
      </c>
      <c r="BM1064">
        <v>0.45442155873298695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0.47239175815782375</v>
      </c>
      <c r="BW1064">
        <v>0</v>
      </c>
      <c r="BX1064">
        <v>0</v>
      </c>
      <c r="BY1064">
        <v>0</v>
      </c>
      <c r="BZ1064">
        <v>0</v>
      </c>
      <c r="CA1064">
        <v>0.76736480150046871</v>
      </c>
      <c r="CB1064">
        <v>0</v>
      </c>
      <c r="CC1064">
        <v>0</v>
      </c>
      <c r="CD1064">
        <v>0</v>
      </c>
      <c r="CE1064">
        <v>0</v>
      </c>
      <c r="CF1064">
        <v>0</v>
      </c>
    </row>
    <row r="1065" spans="1:84" x14ac:dyDescent="0.25">
      <c r="A1065" t="s">
        <v>128</v>
      </c>
      <c r="B1065" t="s">
        <v>422</v>
      </c>
      <c r="C1065" s="14" t="s">
        <v>109</v>
      </c>
      <c r="D1065" s="12">
        <v>46235</v>
      </c>
      <c r="E1065" s="14" t="s">
        <v>133</v>
      </c>
      <c r="F1065" s="14" t="s">
        <v>133</v>
      </c>
      <c r="G1065" s="14" t="s">
        <v>133</v>
      </c>
      <c r="H1065" s="14"/>
      <c r="J1065">
        <v>26.220922841721425</v>
      </c>
      <c r="M1065">
        <v>34.199999999999996</v>
      </c>
      <c r="N1065">
        <v>34.199999999999996</v>
      </c>
      <c r="O1065">
        <v>21.272058823529406</v>
      </c>
      <c r="S1065">
        <v>0</v>
      </c>
      <c r="T1065">
        <v>0</v>
      </c>
      <c r="U1065">
        <v>0.41624475796714722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0.10515021459227467</v>
      </c>
      <c r="AB1065">
        <v>5.5336740087886381E-2</v>
      </c>
      <c r="AC1065">
        <v>0.16175631272435326</v>
      </c>
      <c r="AD1065">
        <v>0</v>
      </c>
      <c r="AE1065">
        <v>2.6980904804758121E-2</v>
      </c>
      <c r="AF1065">
        <v>0</v>
      </c>
      <c r="AG1065">
        <v>0.75592604238300221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84" x14ac:dyDescent="0.25">
      <c r="A1066" t="s">
        <v>128</v>
      </c>
      <c r="B1066" t="s">
        <v>422</v>
      </c>
      <c r="C1066" s="14" t="s">
        <v>109</v>
      </c>
      <c r="D1066" s="12">
        <v>46234</v>
      </c>
      <c r="E1066" s="14" t="s">
        <v>134</v>
      </c>
      <c r="F1066" s="14" t="s">
        <v>134</v>
      </c>
      <c r="G1066" s="14" t="s">
        <v>134</v>
      </c>
      <c r="H1066" s="14"/>
      <c r="J1066">
        <v>8.0728589559160824</v>
      </c>
      <c r="M1066">
        <v>7.6</v>
      </c>
      <c r="N1066">
        <v>7.6</v>
      </c>
      <c r="O1066">
        <v>5.1140372693194927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2.4538763759675324E-2</v>
      </c>
      <c r="AB1066">
        <v>4.3465876077198477E-2</v>
      </c>
      <c r="AC1066">
        <v>3.9646802883801305E-2</v>
      </c>
      <c r="AD1066">
        <v>0</v>
      </c>
      <c r="AE1066">
        <v>0.32686792290962507</v>
      </c>
      <c r="AF1066">
        <v>0</v>
      </c>
      <c r="AG1066">
        <v>0.59001939812937498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84" x14ac:dyDescent="0.25">
      <c r="A1067" t="s">
        <v>128</v>
      </c>
      <c r="B1067" t="s">
        <v>422</v>
      </c>
      <c r="C1067" s="14" t="s">
        <v>72</v>
      </c>
      <c r="D1067" s="12">
        <v>46225</v>
      </c>
      <c r="E1067" s="14" t="s">
        <v>420</v>
      </c>
      <c r="F1067" s="14" t="s">
        <v>420</v>
      </c>
      <c r="G1067" s="14" t="s">
        <v>420</v>
      </c>
      <c r="H1067" s="14" t="s">
        <v>74</v>
      </c>
      <c r="I1067">
        <v>20</v>
      </c>
      <c r="J1067">
        <v>0</v>
      </c>
      <c r="K1067">
        <v>46225</v>
      </c>
      <c r="L1067" t="s">
        <v>430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F1067">
        <v>0</v>
      </c>
    </row>
    <row r="1068" spans="1:84" x14ac:dyDescent="0.25">
      <c r="A1068" t="s">
        <v>128</v>
      </c>
      <c r="B1068" t="s">
        <v>422</v>
      </c>
      <c r="C1068" s="14" t="s">
        <v>109</v>
      </c>
      <c r="D1068" s="12">
        <v>46236</v>
      </c>
      <c r="E1068" s="14" t="s">
        <v>420</v>
      </c>
      <c r="F1068" s="14" t="s">
        <v>420</v>
      </c>
      <c r="G1068" s="14" t="s">
        <v>420</v>
      </c>
      <c r="H1068" s="14"/>
      <c r="J1068">
        <v>6.7786480661254078</v>
      </c>
      <c r="M1068">
        <v>1.9</v>
      </c>
      <c r="N1068">
        <v>1.9</v>
      </c>
      <c r="O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0.85985406076067195</v>
      </c>
      <c r="AD1068">
        <v>0</v>
      </c>
      <c r="AE1068">
        <v>0</v>
      </c>
      <c r="AF1068">
        <v>0</v>
      </c>
      <c r="AG1068">
        <v>0</v>
      </c>
      <c r="AH1068">
        <v>0.14014593923932805</v>
      </c>
      <c r="AI1068">
        <v>0</v>
      </c>
      <c r="AJ1068">
        <v>0</v>
      </c>
      <c r="AK1068">
        <v>0</v>
      </c>
      <c r="AL1068">
        <v>0</v>
      </c>
    </row>
    <row r="1069" spans="1:84" x14ac:dyDescent="0.25">
      <c r="A1069" t="s">
        <v>128</v>
      </c>
      <c r="B1069" t="s">
        <v>422</v>
      </c>
      <c r="C1069" s="14" t="s">
        <v>72</v>
      </c>
      <c r="D1069" s="12">
        <v>46230</v>
      </c>
      <c r="E1069" s="14" t="s">
        <v>420</v>
      </c>
      <c r="F1069" s="14" t="s">
        <v>420</v>
      </c>
      <c r="G1069" s="14" t="s">
        <v>420</v>
      </c>
      <c r="H1069" s="14" t="s">
        <v>74</v>
      </c>
      <c r="I1069">
        <v>20</v>
      </c>
      <c r="J1069">
        <v>0</v>
      </c>
      <c r="K1069">
        <v>46230</v>
      </c>
      <c r="L1069" t="s">
        <v>442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F1069">
        <v>0</v>
      </c>
    </row>
    <row r="1070" spans="1:84" x14ac:dyDescent="0.25">
      <c r="A1070" t="s">
        <v>128</v>
      </c>
      <c r="B1070" t="s">
        <v>422</v>
      </c>
      <c r="C1070" s="14" t="s">
        <v>109</v>
      </c>
      <c r="D1070" s="12">
        <v>46229</v>
      </c>
      <c r="E1070" s="14" t="s">
        <v>134</v>
      </c>
      <c r="F1070" s="14" t="s">
        <v>134</v>
      </c>
      <c r="G1070" s="14" t="s">
        <v>134</v>
      </c>
      <c r="H1070" s="14"/>
      <c r="J1070">
        <v>8.1518697913855895</v>
      </c>
      <c r="M1070">
        <v>6.6499999999999995</v>
      </c>
      <c r="N1070">
        <v>6.6499999999999995</v>
      </c>
      <c r="O1070">
        <v>4.0243313869665522</v>
      </c>
      <c r="S1070">
        <v>0</v>
      </c>
      <c r="T1070">
        <v>0</v>
      </c>
      <c r="U1070">
        <v>0.18230035721742457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0.10338514556484905</v>
      </c>
      <c r="AB1070">
        <v>0.12584701505858878</v>
      </c>
      <c r="AC1070">
        <v>0.34407472184173676</v>
      </c>
      <c r="AD1070">
        <v>0</v>
      </c>
      <c r="AE1070">
        <v>0.16225554471634479</v>
      </c>
      <c r="AF1070">
        <v>0</v>
      </c>
      <c r="AG1070">
        <v>0.36782271838332975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84" x14ac:dyDescent="0.25">
      <c r="A1071" t="s">
        <v>128</v>
      </c>
      <c r="B1071" t="s">
        <v>422</v>
      </c>
      <c r="C1071" s="14" t="s">
        <v>72</v>
      </c>
      <c r="D1071" s="12">
        <v>46230</v>
      </c>
      <c r="E1071" s="14" t="s">
        <v>420</v>
      </c>
      <c r="F1071" s="14" t="s">
        <v>420</v>
      </c>
      <c r="G1071" s="14" t="s">
        <v>420</v>
      </c>
      <c r="H1071" s="14" t="s">
        <v>75</v>
      </c>
      <c r="I1071">
        <v>20</v>
      </c>
      <c r="J1071">
        <v>3.1774912809962848</v>
      </c>
      <c r="K1071">
        <v>46230</v>
      </c>
      <c r="L1071" t="s">
        <v>443</v>
      </c>
      <c r="M1071">
        <v>0.95</v>
      </c>
      <c r="N1071">
        <v>0.95</v>
      </c>
      <c r="O1071">
        <v>0.16608996539792387</v>
      </c>
      <c r="P1071">
        <v>0.29897800371056649</v>
      </c>
      <c r="Q1071">
        <v>0.29897800371056649</v>
      </c>
      <c r="R1071">
        <v>5.2270785569503521E-2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0.70102199628943351</v>
      </c>
      <c r="AD1071">
        <v>0</v>
      </c>
      <c r="AE1071">
        <v>0.24670721814106297</v>
      </c>
      <c r="AF1071">
        <v>0</v>
      </c>
      <c r="AG1071">
        <v>5.2270785569503521E-2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3.3447276642066157</v>
      </c>
      <c r="AN1071">
        <v>3.3447276642066157</v>
      </c>
      <c r="AO1071">
        <v>0.17483154252413038</v>
      </c>
      <c r="BF1071">
        <v>0</v>
      </c>
      <c r="BG1071">
        <v>0</v>
      </c>
      <c r="BH1071">
        <v>0</v>
      </c>
      <c r="BJ1071">
        <v>5.7197916666666666</v>
      </c>
      <c r="BK1071">
        <v>5.7197916666666666</v>
      </c>
      <c r="BL1071">
        <v>19.131145420998465</v>
      </c>
      <c r="CC1071">
        <v>0</v>
      </c>
      <c r="CD1071">
        <v>0</v>
      </c>
      <c r="CE1071">
        <v>0</v>
      </c>
    </row>
    <row r="1072" spans="1:84" x14ac:dyDescent="0.25">
      <c r="A1072" t="s">
        <v>128</v>
      </c>
      <c r="B1072" t="s">
        <v>422</v>
      </c>
      <c r="C1072" s="14" t="s">
        <v>109</v>
      </c>
      <c r="D1072" s="12">
        <v>46224</v>
      </c>
      <c r="E1072" s="14" t="s">
        <v>134</v>
      </c>
      <c r="F1072" s="14" t="s">
        <v>134</v>
      </c>
      <c r="G1072" s="14" t="s">
        <v>134</v>
      </c>
      <c r="H1072" s="14"/>
      <c r="J1072">
        <v>10.465131474298435</v>
      </c>
      <c r="M1072">
        <v>5.6999999999999993</v>
      </c>
      <c r="N1072">
        <v>5.6999999999999993</v>
      </c>
      <c r="O1072">
        <v>3.1758596453287193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4.0980949070816231E-2</v>
      </c>
      <c r="AB1072">
        <v>1.3340871152084096E-2</v>
      </c>
      <c r="AC1072">
        <v>0.48297420210066289</v>
      </c>
      <c r="AD1072">
        <v>0</v>
      </c>
      <c r="AE1072">
        <v>0.21355520575929676</v>
      </c>
      <c r="AF1072">
        <v>0</v>
      </c>
      <c r="AG1072">
        <v>0.29012972098795625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84" x14ac:dyDescent="0.25">
      <c r="A1073" t="s">
        <v>128</v>
      </c>
      <c r="B1073" t="s">
        <v>422</v>
      </c>
      <c r="C1073" s="14" t="s">
        <v>72</v>
      </c>
      <c r="D1073" s="12">
        <v>46235</v>
      </c>
      <c r="E1073" s="14" t="s">
        <v>420</v>
      </c>
      <c r="F1073" s="14" t="s">
        <v>420</v>
      </c>
      <c r="G1073" s="14" t="s">
        <v>420</v>
      </c>
      <c r="H1073" s="14" t="s">
        <v>75</v>
      </c>
      <c r="I1073">
        <v>20</v>
      </c>
      <c r="J1073">
        <v>3.2304494690128904</v>
      </c>
      <c r="K1073">
        <v>46235</v>
      </c>
      <c r="L1073" t="s">
        <v>458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</row>
    <row r="1074" spans="1:84" x14ac:dyDescent="0.25">
      <c r="A1074" t="s">
        <v>128</v>
      </c>
      <c r="B1074" t="s">
        <v>422</v>
      </c>
      <c r="C1074" s="14" t="s">
        <v>109</v>
      </c>
      <c r="D1074" s="12">
        <v>46224</v>
      </c>
      <c r="E1074" s="14" t="s">
        <v>420</v>
      </c>
      <c r="F1074" s="14" t="s">
        <v>420</v>
      </c>
      <c r="G1074" s="14" t="s">
        <v>420</v>
      </c>
      <c r="H1074" s="14"/>
      <c r="J1074">
        <v>6.8316062541420131</v>
      </c>
      <c r="M1074">
        <v>3.8</v>
      </c>
      <c r="N1074">
        <v>3.8</v>
      </c>
      <c r="O1074">
        <v>0.98961937716262982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0.44376185356173692</v>
      </c>
      <c r="AD1074">
        <v>0</v>
      </c>
      <c r="AE1074">
        <v>0.41137918642975529</v>
      </c>
      <c r="AF1074">
        <v>0</v>
      </c>
      <c r="AG1074">
        <v>0.14485896000850781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84" x14ac:dyDescent="0.25">
      <c r="A1075" t="s">
        <v>128</v>
      </c>
      <c r="B1075" t="s">
        <v>422</v>
      </c>
      <c r="C1075" s="14" t="s">
        <v>72</v>
      </c>
      <c r="D1075" s="12">
        <v>46236</v>
      </c>
      <c r="E1075" s="14" t="s">
        <v>420</v>
      </c>
      <c r="F1075" s="14" t="s">
        <v>420</v>
      </c>
      <c r="G1075" s="14" t="s">
        <v>420</v>
      </c>
      <c r="H1075" s="14" t="s">
        <v>73</v>
      </c>
      <c r="I1075">
        <v>20</v>
      </c>
      <c r="J1075">
        <v>3.6011567851291222</v>
      </c>
      <c r="K1075">
        <v>46236</v>
      </c>
      <c r="L1075" t="s">
        <v>459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</row>
    <row r="1076" spans="1:84" x14ac:dyDescent="0.25">
      <c r="A1076" t="s">
        <v>128</v>
      </c>
      <c r="B1076" t="s">
        <v>422</v>
      </c>
      <c r="C1076" s="14" t="s">
        <v>109</v>
      </c>
      <c r="D1076" s="12">
        <v>46224</v>
      </c>
      <c r="E1076" s="14" t="s">
        <v>133</v>
      </c>
      <c r="F1076" s="14" t="s">
        <v>133</v>
      </c>
      <c r="G1076" s="14" t="s">
        <v>133</v>
      </c>
      <c r="H1076" s="14"/>
      <c r="J1076">
        <v>28.218439495972738</v>
      </c>
      <c r="M1076">
        <v>37.049999999999997</v>
      </c>
      <c r="N1076">
        <v>37.049999999999997</v>
      </c>
      <c r="O1076">
        <v>20.272058823529402</v>
      </c>
      <c r="S1076">
        <v>0</v>
      </c>
      <c r="T1076">
        <v>0</v>
      </c>
      <c r="U1076">
        <v>0.33196115842799634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0.11540378863409771</v>
      </c>
      <c r="AB1076">
        <v>2.1366921319535604E-3</v>
      </c>
      <c r="AC1076">
        <v>0.13225699706566232</v>
      </c>
      <c r="AD1076">
        <v>0</v>
      </c>
      <c r="AE1076">
        <v>0.14934541661768203</v>
      </c>
      <c r="AF1076">
        <v>0</v>
      </c>
      <c r="AG1076">
        <v>0.71626089418470207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84" x14ac:dyDescent="0.25">
      <c r="A1077" t="s">
        <v>128</v>
      </c>
      <c r="B1077" t="s">
        <v>422</v>
      </c>
      <c r="C1077" s="14" t="s">
        <v>72</v>
      </c>
      <c r="D1077" s="12">
        <v>46236</v>
      </c>
      <c r="E1077" s="14" t="s">
        <v>420</v>
      </c>
      <c r="F1077" s="14" t="s">
        <v>420</v>
      </c>
      <c r="G1077" s="14" t="s">
        <v>420</v>
      </c>
      <c r="H1077" s="14" t="s">
        <v>74</v>
      </c>
      <c r="I1077">
        <v>20</v>
      </c>
      <c r="J1077">
        <v>0</v>
      </c>
      <c r="K1077">
        <v>46236</v>
      </c>
      <c r="L1077" t="s">
        <v>460</v>
      </c>
      <c r="M1077">
        <v>0.95</v>
      </c>
      <c r="N1077">
        <v>0.95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1</v>
      </c>
      <c r="CD1077">
        <v>0</v>
      </c>
      <c r="CF1077">
        <v>0</v>
      </c>
    </row>
    <row r="1078" spans="1:84" x14ac:dyDescent="0.25">
      <c r="A1078" t="s">
        <v>128</v>
      </c>
      <c r="B1078" t="s">
        <v>422</v>
      </c>
      <c r="C1078" s="14" t="s">
        <v>109</v>
      </c>
      <c r="D1078" s="12">
        <v>46223</v>
      </c>
      <c r="E1078" s="14" t="s">
        <v>134</v>
      </c>
      <c r="F1078" s="14" t="s">
        <v>134</v>
      </c>
      <c r="G1078" s="14" t="s">
        <v>134</v>
      </c>
      <c r="H1078" s="14"/>
      <c r="J1078">
        <v>10.465131474298435</v>
      </c>
      <c r="M1078">
        <v>5.7</v>
      </c>
      <c r="N1078">
        <v>5.7</v>
      </c>
      <c r="O1078">
        <v>3.9759803921568619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4.0980949070816231E-2</v>
      </c>
      <c r="AB1078">
        <v>5.9956339959333161E-3</v>
      </c>
      <c r="AC1078">
        <v>0.49031943925681354</v>
      </c>
      <c r="AD1078">
        <v>0</v>
      </c>
      <c r="AE1078">
        <v>0.12975409714150427</v>
      </c>
      <c r="AF1078">
        <v>0</v>
      </c>
      <c r="AG1078">
        <v>0.3739308296057488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84" x14ac:dyDescent="0.25">
      <c r="A1079" t="s">
        <v>128</v>
      </c>
      <c r="B1079" t="s">
        <v>422</v>
      </c>
      <c r="C1079" s="14" t="s">
        <v>109</v>
      </c>
      <c r="D1079" s="12">
        <v>46223</v>
      </c>
      <c r="E1079" s="14" t="s">
        <v>420</v>
      </c>
      <c r="F1079" s="14" t="s">
        <v>420</v>
      </c>
      <c r="G1079" s="14" t="s">
        <v>420</v>
      </c>
      <c r="H1079" s="14"/>
      <c r="J1079">
        <v>6.7786480661254069</v>
      </c>
      <c r="M1079">
        <v>2.8499999999999996</v>
      </c>
      <c r="N1079">
        <v>2.8499999999999996</v>
      </c>
      <c r="O1079">
        <v>0.98961937716262982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0.71970812152134389</v>
      </c>
      <c r="AD1079">
        <v>0</v>
      </c>
      <c r="AE1079">
        <v>0.13430120784508182</v>
      </c>
      <c r="AF1079">
        <v>0</v>
      </c>
      <c r="AG1079">
        <v>0.14599067063357432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84" x14ac:dyDescent="0.25">
      <c r="A1080" t="s">
        <v>128</v>
      </c>
      <c r="B1080" t="s">
        <v>422</v>
      </c>
      <c r="C1080" s="14" t="s">
        <v>72</v>
      </c>
      <c r="D1080" s="12">
        <v>46236</v>
      </c>
      <c r="E1080" s="14" t="s">
        <v>420</v>
      </c>
      <c r="F1080" s="14" t="s">
        <v>420</v>
      </c>
      <c r="G1080" s="14" t="s">
        <v>420</v>
      </c>
      <c r="H1080" s="14" t="s">
        <v>75</v>
      </c>
      <c r="I1080">
        <v>20</v>
      </c>
      <c r="J1080">
        <v>3.1774912809962856</v>
      </c>
      <c r="K1080">
        <v>46236</v>
      </c>
      <c r="L1080" t="s">
        <v>461</v>
      </c>
      <c r="M1080">
        <v>0.95</v>
      </c>
      <c r="N1080">
        <v>0.95</v>
      </c>
      <c r="O1080">
        <v>0</v>
      </c>
      <c r="P1080">
        <v>0.29897800371056643</v>
      </c>
      <c r="Q1080">
        <v>0.29897800371056643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0.70102199628943351</v>
      </c>
      <c r="AD1080">
        <v>0</v>
      </c>
      <c r="AE1080">
        <v>0</v>
      </c>
      <c r="AF1080">
        <v>0</v>
      </c>
      <c r="AG1080">
        <v>0</v>
      </c>
      <c r="AH1080">
        <v>0.29897800371056643</v>
      </c>
      <c r="AI1080">
        <v>0</v>
      </c>
      <c r="AJ1080">
        <v>0</v>
      </c>
      <c r="AK1080">
        <v>0</v>
      </c>
      <c r="AL1080">
        <v>0</v>
      </c>
      <c r="AM1080">
        <v>3.3447276642066166</v>
      </c>
      <c r="AN1080">
        <v>3.3447276642066166</v>
      </c>
      <c r="AO1080">
        <v>0</v>
      </c>
      <c r="BF1080">
        <v>0</v>
      </c>
      <c r="BG1080">
        <v>0</v>
      </c>
      <c r="BH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</row>
    <row r="1081" spans="1:84" x14ac:dyDescent="0.25">
      <c r="A1081" t="s">
        <v>128</v>
      </c>
      <c r="B1081" t="s">
        <v>422</v>
      </c>
      <c r="C1081" s="14" t="s">
        <v>109</v>
      </c>
      <c r="D1081" s="12">
        <v>46223</v>
      </c>
      <c r="E1081" s="14" t="s">
        <v>133</v>
      </c>
      <c r="F1081" s="14" t="s">
        <v>133</v>
      </c>
      <c r="G1081" s="14" t="s">
        <v>133</v>
      </c>
      <c r="H1081" s="14"/>
      <c r="J1081">
        <v>27.064943963236065</v>
      </c>
      <c r="M1081">
        <v>38</v>
      </c>
      <c r="N1081">
        <v>38</v>
      </c>
      <c r="O1081">
        <v>21.349264705882341</v>
      </c>
      <c r="S1081">
        <v>0</v>
      </c>
      <c r="T1081">
        <v>0</v>
      </c>
      <c r="U1081">
        <v>0.43448437565611198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0.12924598481236627</v>
      </c>
      <c r="AB1081">
        <v>6.3805443626569161E-2</v>
      </c>
      <c r="AC1081">
        <v>9.5894668280608678E-2</v>
      </c>
      <c r="AD1081">
        <v>0</v>
      </c>
      <c r="AE1081">
        <v>0.11528918878252338</v>
      </c>
      <c r="AF1081">
        <v>0</v>
      </c>
      <c r="AG1081">
        <v>0.72501069931029871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84" x14ac:dyDescent="0.25">
      <c r="A1082" t="s">
        <v>128</v>
      </c>
      <c r="B1082" t="s">
        <v>422</v>
      </c>
      <c r="C1082" s="14" t="s">
        <v>72</v>
      </c>
      <c r="D1082" s="12">
        <v>46237</v>
      </c>
      <c r="E1082" s="14" t="s">
        <v>420</v>
      </c>
      <c r="F1082" s="14" t="s">
        <v>420</v>
      </c>
      <c r="G1082" s="14" t="s">
        <v>420</v>
      </c>
      <c r="H1082" s="14" t="s">
        <v>73</v>
      </c>
      <c r="I1082">
        <v>20</v>
      </c>
      <c r="J1082">
        <v>3.6011567851291222</v>
      </c>
      <c r="K1082">
        <v>46237</v>
      </c>
      <c r="L1082" t="s">
        <v>462</v>
      </c>
      <c r="M1082">
        <v>0.95</v>
      </c>
      <c r="N1082">
        <v>0.95</v>
      </c>
      <c r="O1082">
        <v>0.82352941176470595</v>
      </c>
      <c r="P1082">
        <v>0.26380412092108813</v>
      </c>
      <c r="Q1082">
        <v>0.26380412092108813</v>
      </c>
      <c r="R1082">
        <v>0.22868468686657797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0.73619587907891182</v>
      </c>
      <c r="AD1082">
        <v>0</v>
      </c>
      <c r="AE1082">
        <v>3.5119434054510151E-2</v>
      </c>
      <c r="AF1082">
        <v>0</v>
      </c>
      <c r="AG1082">
        <v>0.22868468686657797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3.7906913527674972</v>
      </c>
      <c r="AN1082">
        <v>3.7906913527674972</v>
      </c>
      <c r="AO1082">
        <v>0.86687306501548</v>
      </c>
      <c r="BF1082">
        <v>0</v>
      </c>
      <c r="BG1082">
        <v>0</v>
      </c>
      <c r="BH1082">
        <v>0</v>
      </c>
      <c r="BJ1082">
        <v>1.1535714285714285</v>
      </c>
      <c r="BK1082">
        <v>1.1535714285714285</v>
      </c>
      <c r="BL1082">
        <v>4.3728332390853621</v>
      </c>
      <c r="BM1082">
        <v>3.2192618105139337</v>
      </c>
      <c r="BN1082">
        <v>0</v>
      </c>
      <c r="BO1082">
        <v>0</v>
      </c>
      <c r="BP1082">
        <v>0</v>
      </c>
      <c r="BQ1082">
        <v>0</v>
      </c>
      <c r="BR1082">
        <v>0.34642857142857153</v>
      </c>
      <c r="BS1082">
        <v>0.15357142857142847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</row>
    <row r="1083" spans="1:84" x14ac:dyDescent="0.25">
      <c r="A1083" t="s">
        <v>128</v>
      </c>
      <c r="B1083" t="s">
        <v>422</v>
      </c>
      <c r="C1083" s="14" t="s">
        <v>72</v>
      </c>
      <c r="D1083" s="12">
        <v>46235</v>
      </c>
      <c r="E1083" s="14" t="s">
        <v>420</v>
      </c>
      <c r="F1083" s="14" t="s">
        <v>420</v>
      </c>
      <c r="G1083" s="14" t="s">
        <v>420</v>
      </c>
      <c r="H1083" s="14" t="s">
        <v>74</v>
      </c>
      <c r="I1083">
        <v>20</v>
      </c>
      <c r="J1083">
        <v>0</v>
      </c>
      <c r="K1083">
        <v>46235</v>
      </c>
      <c r="L1083" t="s">
        <v>457</v>
      </c>
      <c r="M1083">
        <v>0.95</v>
      </c>
      <c r="N1083">
        <v>0.95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1</v>
      </c>
      <c r="CD1083">
        <v>0</v>
      </c>
      <c r="CF1083">
        <v>0</v>
      </c>
    </row>
    <row r="1084" spans="1:84" x14ac:dyDescent="0.25">
      <c r="A1084" t="s">
        <v>128</v>
      </c>
      <c r="B1084" t="s">
        <v>422</v>
      </c>
      <c r="C1084" s="14" t="s">
        <v>72</v>
      </c>
      <c r="D1084" s="12">
        <v>46250</v>
      </c>
      <c r="E1084" s="14" t="s">
        <v>134</v>
      </c>
      <c r="F1084" s="14" t="s">
        <v>134</v>
      </c>
      <c r="G1084" s="14" t="s">
        <v>134</v>
      </c>
      <c r="H1084" s="14" t="s">
        <v>75</v>
      </c>
      <c r="I1084">
        <v>20</v>
      </c>
      <c r="J1084">
        <v>2.2474193200215868</v>
      </c>
      <c r="K1084">
        <v>46250</v>
      </c>
      <c r="L1084" t="s">
        <v>503</v>
      </c>
      <c r="M1084">
        <v>4.75</v>
      </c>
      <c r="N1084">
        <v>4.75</v>
      </c>
      <c r="O1084">
        <v>2.0484429065743948</v>
      </c>
      <c r="P1084">
        <v>2.1135352702914272</v>
      </c>
      <c r="Q1084">
        <v>2.1135352702914272</v>
      </c>
      <c r="R1084">
        <v>0.91146449099437266</v>
      </c>
      <c r="S1084">
        <v>0</v>
      </c>
      <c r="T1084">
        <v>0</v>
      </c>
      <c r="U1084">
        <v>0.86353527029142718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0.25</v>
      </c>
      <c r="AB1084">
        <v>0</v>
      </c>
      <c r="AC1084">
        <v>0</v>
      </c>
      <c r="AD1084">
        <v>0</v>
      </c>
      <c r="AE1084">
        <v>8.8535509005627344E-2</v>
      </c>
      <c r="AF1084">
        <v>0</v>
      </c>
      <c r="AG1084">
        <v>0.91146449099437266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0.47314090947822879</v>
      </c>
      <c r="AN1084">
        <v>0.47314090947822879</v>
      </c>
      <c r="AO1084">
        <v>0.43125113822618838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0.52685909052177116</v>
      </c>
      <c r="BA1084">
        <v>0</v>
      </c>
      <c r="BB1084">
        <v>4.1889771252040409E-2</v>
      </c>
      <c r="BC1084">
        <v>0</v>
      </c>
      <c r="BD1084">
        <v>0.43125113822618838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2.3188344594594592</v>
      </c>
      <c r="BK1084">
        <v>2.3188344594594592</v>
      </c>
      <c r="BL1084">
        <v>1.0971354450781057</v>
      </c>
      <c r="CC1084">
        <v>0</v>
      </c>
      <c r="CD1084">
        <v>0</v>
      </c>
      <c r="CE1084">
        <v>0</v>
      </c>
    </row>
    <row r="1085" spans="1:84" x14ac:dyDescent="0.25">
      <c r="A1085" t="s">
        <v>128</v>
      </c>
      <c r="B1085" t="s">
        <v>422</v>
      </c>
      <c r="C1085" s="14" t="s">
        <v>72</v>
      </c>
      <c r="D1085" s="12">
        <v>46237</v>
      </c>
      <c r="E1085" s="14" t="s">
        <v>420</v>
      </c>
      <c r="F1085" s="14" t="s">
        <v>420</v>
      </c>
      <c r="G1085" s="14" t="s">
        <v>420</v>
      </c>
      <c r="H1085" s="14" t="s">
        <v>75</v>
      </c>
      <c r="I1085">
        <v>20</v>
      </c>
      <c r="J1085">
        <v>3.1774912809962848</v>
      </c>
      <c r="K1085">
        <v>46237</v>
      </c>
      <c r="L1085" t="s">
        <v>464</v>
      </c>
      <c r="M1085">
        <v>0</v>
      </c>
      <c r="N1085">
        <v>0</v>
      </c>
      <c r="O1085">
        <v>0.16608996539792387</v>
      </c>
      <c r="P1085">
        <v>0</v>
      </c>
      <c r="Q1085">
        <v>0</v>
      </c>
      <c r="R1085">
        <v>5.2270785569503521E-2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5.2270785569503521E-2</v>
      </c>
      <c r="AC1085">
        <v>0.94772921443049651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J1085">
        <v>0</v>
      </c>
      <c r="BK1085">
        <v>0</v>
      </c>
      <c r="BL1085">
        <v>19.131145420998465</v>
      </c>
      <c r="BM1085">
        <v>18.131145420998465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</row>
    <row r="1086" spans="1:84" x14ac:dyDescent="0.25">
      <c r="A1086" t="s">
        <v>128</v>
      </c>
      <c r="B1086" t="s">
        <v>422</v>
      </c>
      <c r="C1086" s="14" t="s">
        <v>72</v>
      </c>
      <c r="D1086" s="12">
        <v>46250</v>
      </c>
      <c r="E1086" s="14" t="s">
        <v>134</v>
      </c>
      <c r="F1086" s="14" t="s">
        <v>134</v>
      </c>
      <c r="G1086" s="14" t="s">
        <v>134</v>
      </c>
      <c r="H1086" s="14" t="s">
        <v>74</v>
      </c>
      <c r="I1086">
        <v>20</v>
      </c>
      <c r="J1086">
        <v>1.2735376146788988</v>
      </c>
      <c r="K1086">
        <v>46250</v>
      </c>
      <c r="L1086" t="s">
        <v>502</v>
      </c>
      <c r="M1086">
        <v>0</v>
      </c>
      <c r="N1086">
        <v>0</v>
      </c>
      <c r="O1086">
        <v>6.2745098039215685E-2</v>
      </c>
      <c r="P1086">
        <v>0</v>
      </c>
      <c r="Q1086">
        <v>0</v>
      </c>
      <c r="R1086">
        <v>4.9268350864560689E-2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4.9268350864560689E-2</v>
      </c>
      <c r="AC1086">
        <v>0.95073164913543928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J1086">
        <v>0</v>
      </c>
      <c r="BK1086">
        <v>0</v>
      </c>
      <c r="BL1086">
        <v>20.29700573394495</v>
      </c>
      <c r="BM1086">
        <v>19.29700573394495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</row>
    <row r="1087" spans="1:84" x14ac:dyDescent="0.25">
      <c r="A1087" t="s">
        <v>128</v>
      </c>
      <c r="B1087" t="s">
        <v>422</v>
      </c>
      <c r="C1087" s="14" t="s">
        <v>72</v>
      </c>
      <c r="D1087" s="12">
        <v>46250</v>
      </c>
      <c r="E1087" s="14" t="s">
        <v>134</v>
      </c>
      <c r="F1087" s="14" t="s">
        <v>134</v>
      </c>
      <c r="G1087" s="14" t="s">
        <v>134</v>
      </c>
      <c r="H1087" s="14" t="s">
        <v>73</v>
      </c>
      <c r="I1087">
        <v>20</v>
      </c>
      <c r="J1087">
        <v>3.5818245412844032</v>
      </c>
      <c r="K1087">
        <v>46250</v>
      </c>
      <c r="L1087" t="s">
        <v>501</v>
      </c>
      <c r="M1087">
        <v>1.9</v>
      </c>
      <c r="N1087">
        <v>1.9</v>
      </c>
      <c r="O1087">
        <v>1.7647058823529416</v>
      </c>
      <c r="P1087">
        <v>0.53045591097510336</v>
      </c>
      <c r="Q1087">
        <v>0.53045591097510336</v>
      </c>
      <c r="R1087">
        <v>0.492683508645607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0.46954408902489664</v>
      </c>
      <c r="AD1087">
        <v>0</v>
      </c>
      <c r="AE1087">
        <v>3.7772402329496357E-2</v>
      </c>
      <c r="AF1087">
        <v>0</v>
      </c>
      <c r="AG1087">
        <v>0.492683508645607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1.8851708112023176</v>
      </c>
      <c r="AN1087">
        <v>1.8851708112023176</v>
      </c>
      <c r="AO1087">
        <v>0.92879256965944301</v>
      </c>
      <c r="BF1087">
        <v>0</v>
      </c>
      <c r="BG1087">
        <v>0</v>
      </c>
      <c r="BH1087">
        <v>0</v>
      </c>
      <c r="BJ1087">
        <v>1.0766666666666664</v>
      </c>
      <c r="BK1087">
        <v>1.0766666666666664</v>
      </c>
      <c r="BL1087">
        <v>2.0297005733944946</v>
      </c>
      <c r="BM1087">
        <v>0.95303390672782817</v>
      </c>
      <c r="BN1087">
        <v>0</v>
      </c>
      <c r="BO1087">
        <v>0</v>
      </c>
      <c r="BP1087">
        <v>0</v>
      </c>
      <c r="BQ1087">
        <v>0</v>
      </c>
      <c r="BR1087">
        <v>0.42333333333333356</v>
      </c>
      <c r="BS1087">
        <v>7.6666666666666439E-2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</row>
    <row r="1088" spans="1:84" x14ac:dyDescent="0.25">
      <c r="A1088" t="s">
        <v>128</v>
      </c>
      <c r="B1088" t="s">
        <v>422</v>
      </c>
      <c r="C1088" s="14" t="s">
        <v>72</v>
      </c>
      <c r="D1088" s="12">
        <v>46238</v>
      </c>
      <c r="E1088" s="14" t="s">
        <v>420</v>
      </c>
      <c r="F1088" s="14" t="s">
        <v>420</v>
      </c>
      <c r="G1088" s="14" t="s">
        <v>420</v>
      </c>
      <c r="H1088" s="14" t="s">
        <v>73</v>
      </c>
      <c r="I1088">
        <v>20</v>
      </c>
      <c r="J1088">
        <v>3.6011567851291222</v>
      </c>
      <c r="K1088">
        <v>46238</v>
      </c>
      <c r="L1088" t="s">
        <v>465</v>
      </c>
      <c r="M1088">
        <v>0.95</v>
      </c>
      <c r="N1088">
        <v>0.95</v>
      </c>
      <c r="O1088">
        <v>0.82352941176470595</v>
      </c>
      <c r="P1088">
        <v>0.26380412092108813</v>
      </c>
      <c r="Q1088">
        <v>0.26380412092108813</v>
      </c>
      <c r="R1088">
        <v>0.22868468686657797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0.73619587907891182</v>
      </c>
      <c r="AD1088">
        <v>0</v>
      </c>
      <c r="AE1088">
        <v>3.5119434054510151E-2</v>
      </c>
      <c r="AF1088">
        <v>0</v>
      </c>
      <c r="AG1088">
        <v>0.22868468686657797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3.7906913527674972</v>
      </c>
      <c r="AN1088">
        <v>3.7906913527674972</v>
      </c>
      <c r="AO1088">
        <v>0.86687306501548</v>
      </c>
      <c r="BF1088">
        <v>0</v>
      </c>
      <c r="BG1088">
        <v>0</v>
      </c>
      <c r="BH1088">
        <v>0</v>
      </c>
      <c r="BJ1088">
        <v>1.1535714285714285</v>
      </c>
      <c r="BK1088">
        <v>1.1535714285714285</v>
      </c>
      <c r="BL1088">
        <v>4.3728332390853621</v>
      </c>
      <c r="BM1088">
        <v>3.2192618105139337</v>
      </c>
      <c r="BN1088">
        <v>0</v>
      </c>
      <c r="BO1088">
        <v>0</v>
      </c>
      <c r="BP1088">
        <v>0</v>
      </c>
      <c r="BQ1088">
        <v>0</v>
      </c>
      <c r="BR1088">
        <v>0.34642857142857153</v>
      </c>
      <c r="BS1088">
        <v>0.15357142857142847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</row>
    <row r="1089" spans="1:84" x14ac:dyDescent="0.25">
      <c r="A1089" t="s">
        <v>128</v>
      </c>
      <c r="B1089" t="s">
        <v>422</v>
      </c>
      <c r="C1089" s="14" t="s">
        <v>72</v>
      </c>
      <c r="D1089" s="12">
        <v>46238</v>
      </c>
      <c r="E1089" s="14" t="s">
        <v>420</v>
      </c>
      <c r="F1089" s="14" t="s">
        <v>420</v>
      </c>
      <c r="G1089" s="14" t="s">
        <v>420</v>
      </c>
      <c r="H1089" s="14" t="s">
        <v>74</v>
      </c>
      <c r="I1089">
        <v>20</v>
      </c>
      <c r="J1089">
        <v>0</v>
      </c>
      <c r="K1089">
        <v>46238</v>
      </c>
      <c r="L1089" t="s">
        <v>466</v>
      </c>
      <c r="M1089">
        <v>2.8499999999999996</v>
      </c>
      <c r="N1089">
        <v>2.8499999999999996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1</v>
      </c>
      <c r="CD1089">
        <v>0</v>
      </c>
      <c r="CF1089">
        <v>0</v>
      </c>
    </row>
    <row r="1090" spans="1:84" x14ac:dyDescent="0.25">
      <c r="A1090" t="s">
        <v>128</v>
      </c>
      <c r="B1090" t="s">
        <v>422</v>
      </c>
      <c r="C1090" s="14" t="s">
        <v>72</v>
      </c>
      <c r="D1090" s="12">
        <v>46249</v>
      </c>
      <c r="E1090" s="14" t="s">
        <v>134</v>
      </c>
      <c r="F1090" s="14" t="s">
        <v>134</v>
      </c>
      <c r="G1090" s="14" t="s">
        <v>134</v>
      </c>
      <c r="H1090" s="14" t="s">
        <v>75</v>
      </c>
      <c r="I1090">
        <v>20</v>
      </c>
      <c r="J1090">
        <v>2.2474193200215868</v>
      </c>
      <c r="K1090">
        <v>46249</v>
      </c>
      <c r="L1090" t="s">
        <v>500</v>
      </c>
      <c r="M1090">
        <v>4.75</v>
      </c>
      <c r="N1090">
        <v>4.75</v>
      </c>
      <c r="O1090">
        <v>1.882352941176471</v>
      </c>
      <c r="P1090">
        <v>2.1135352702914272</v>
      </c>
      <c r="Q1090">
        <v>2.1135352702914272</v>
      </c>
      <c r="R1090">
        <v>0.83756196469753175</v>
      </c>
      <c r="S1090">
        <v>0</v>
      </c>
      <c r="T1090">
        <v>0</v>
      </c>
      <c r="U1090">
        <v>0.86353527029142718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0.25</v>
      </c>
      <c r="AB1090">
        <v>0</v>
      </c>
      <c r="AC1090">
        <v>0</v>
      </c>
      <c r="AD1090">
        <v>0</v>
      </c>
      <c r="AE1090">
        <v>0.16243803530246825</v>
      </c>
      <c r="AF1090">
        <v>0</v>
      </c>
      <c r="AG1090">
        <v>0.83756196469753175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0.47314090947822879</v>
      </c>
      <c r="AN1090">
        <v>0.47314090947822879</v>
      </c>
      <c r="AO1090">
        <v>0.39628482972136231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0.52685909052177116</v>
      </c>
      <c r="BA1090">
        <v>0</v>
      </c>
      <c r="BB1090">
        <v>7.685607975686648E-2</v>
      </c>
      <c r="BC1090">
        <v>0</v>
      </c>
      <c r="BD1090">
        <v>0.39628482972136231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2.5234374999999996</v>
      </c>
      <c r="BK1090">
        <v>2.5234374999999996</v>
      </c>
      <c r="BL1090">
        <v>1.1939415137614677</v>
      </c>
      <c r="CC1090">
        <v>0</v>
      </c>
      <c r="CD1090">
        <v>0</v>
      </c>
      <c r="CE1090">
        <v>0</v>
      </c>
    </row>
    <row r="1091" spans="1:84" x14ac:dyDescent="0.25">
      <c r="A1091" t="s">
        <v>128</v>
      </c>
      <c r="B1091" t="s">
        <v>422</v>
      </c>
      <c r="C1091" s="14" t="s">
        <v>72</v>
      </c>
      <c r="D1091" s="12">
        <v>46238</v>
      </c>
      <c r="E1091" s="14" t="s">
        <v>420</v>
      </c>
      <c r="F1091" s="14" t="s">
        <v>420</v>
      </c>
      <c r="G1091" s="14" t="s">
        <v>420</v>
      </c>
      <c r="H1091" s="14" t="s">
        <v>75</v>
      </c>
      <c r="I1091">
        <v>20</v>
      </c>
      <c r="J1091">
        <v>3.23044946901289</v>
      </c>
      <c r="K1091">
        <v>46238</v>
      </c>
      <c r="L1091" t="s">
        <v>467</v>
      </c>
      <c r="M1091">
        <v>0</v>
      </c>
      <c r="N1091">
        <v>0</v>
      </c>
      <c r="O1091">
        <v>0.16608996539792387</v>
      </c>
      <c r="P1091">
        <v>0</v>
      </c>
      <c r="Q1091">
        <v>0</v>
      </c>
      <c r="R1091">
        <v>5.1413887445413295E-2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5.1413887445413295E-2</v>
      </c>
      <c r="AC1091">
        <v>0.94858611255458669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J1091">
        <v>0</v>
      </c>
      <c r="BK1091">
        <v>0</v>
      </c>
      <c r="BL1091">
        <v>19.449997844681775</v>
      </c>
      <c r="BM1091">
        <v>18.449997844681775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</row>
    <row r="1092" spans="1:84" x14ac:dyDescent="0.25">
      <c r="A1092" t="s">
        <v>128</v>
      </c>
      <c r="B1092" t="s">
        <v>422</v>
      </c>
      <c r="C1092" s="14" t="s">
        <v>72</v>
      </c>
      <c r="D1092" s="12">
        <v>46249</v>
      </c>
      <c r="E1092" s="14" t="s">
        <v>134</v>
      </c>
      <c r="F1092" s="14" t="s">
        <v>134</v>
      </c>
      <c r="G1092" s="14" t="s">
        <v>134</v>
      </c>
      <c r="H1092" s="14" t="s">
        <v>74</v>
      </c>
      <c r="I1092">
        <v>20</v>
      </c>
      <c r="J1092">
        <v>1.2735376146788988</v>
      </c>
      <c r="K1092">
        <v>46249</v>
      </c>
      <c r="L1092" t="s">
        <v>499</v>
      </c>
      <c r="M1092">
        <v>0</v>
      </c>
      <c r="N1092">
        <v>0</v>
      </c>
      <c r="O1092">
        <v>6.2745098039215685E-2</v>
      </c>
      <c r="P1092">
        <v>0</v>
      </c>
      <c r="Q1092">
        <v>0</v>
      </c>
      <c r="R1092">
        <v>4.9268350864560689E-2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4.9268350864560689E-2</v>
      </c>
      <c r="AC1092">
        <v>0.95073164913543928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J1092">
        <v>0</v>
      </c>
      <c r="BK1092">
        <v>0</v>
      </c>
      <c r="BL1092">
        <v>20.29700573394495</v>
      </c>
      <c r="BM1092">
        <v>19.29700573394495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</row>
    <row r="1093" spans="1:84" x14ac:dyDescent="0.25">
      <c r="A1093" t="s">
        <v>128</v>
      </c>
      <c r="B1093" t="s">
        <v>422</v>
      </c>
      <c r="C1093" s="14" t="s">
        <v>72</v>
      </c>
      <c r="D1093" s="12">
        <v>46239</v>
      </c>
      <c r="E1093" s="14" t="s">
        <v>420</v>
      </c>
      <c r="F1093" s="14" t="s">
        <v>420</v>
      </c>
      <c r="G1093" s="14" t="s">
        <v>420</v>
      </c>
      <c r="H1093" s="14" t="s">
        <v>73</v>
      </c>
      <c r="I1093">
        <v>20</v>
      </c>
      <c r="J1093">
        <v>3.6011567851291222</v>
      </c>
      <c r="K1093">
        <v>46239</v>
      </c>
      <c r="L1093" t="s">
        <v>468</v>
      </c>
      <c r="M1093">
        <v>0.95</v>
      </c>
      <c r="N1093">
        <v>0.95</v>
      </c>
      <c r="O1093">
        <v>1.6524767801857587</v>
      </c>
      <c r="P1093">
        <v>0.26380412092108813</v>
      </c>
      <c r="Q1093">
        <v>0.26380412092108813</v>
      </c>
      <c r="R1093">
        <v>0.45887387825201503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0.19506975733092691</v>
      </c>
      <c r="AC1093">
        <v>0.54112612174798502</v>
      </c>
      <c r="AD1093">
        <v>0</v>
      </c>
      <c r="AE1093">
        <v>0</v>
      </c>
      <c r="AF1093">
        <v>0</v>
      </c>
      <c r="AG1093">
        <v>0.26380412092108813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3.7906913527674972</v>
      </c>
      <c r="AN1093">
        <v>3.7906913527674972</v>
      </c>
      <c r="AO1093">
        <v>1.7394492423007988</v>
      </c>
      <c r="BF1093">
        <v>0</v>
      </c>
      <c r="BG1093">
        <v>0</v>
      </c>
      <c r="BH1093">
        <v>0</v>
      </c>
      <c r="BJ1093">
        <v>0.57489461358313809</v>
      </c>
      <c r="BK1093">
        <v>0.57489461358313809</v>
      </c>
      <c r="BL1093">
        <v>2.1792480404622134</v>
      </c>
      <c r="BM1093">
        <v>1.1792480404622134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0.73619587907891182</v>
      </c>
      <c r="BW1093">
        <v>0</v>
      </c>
      <c r="BX1093">
        <v>0</v>
      </c>
      <c r="BY1093">
        <v>0</v>
      </c>
      <c r="BZ1093">
        <v>0</v>
      </c>
      <c r="CA1093">
        <v>0.57489461358313809</v>
      </c>
      <c r="CB1093">
        <v>0</v>
      </c>
      <c r="CC1093">
        <v>0</v>
      </c>
      <c r="CD1093">
        <v>0</v>
      </c>
      <c r="CE1093">
        <v>0</v>
      </c>
      <c r="CF1093">
        <v>0</v>
      </c>
    </row>
    <row r="1094" spans="1:84" x14ac:dyDescent="0.25">
      <c r="A1094" t="s">
        <v>128</v>
      </c>
      <c r="B1094" t="s">
        <v>422</v>
      </c>
      <c r="C1094" s="14" t="s">
        <v>72</v>
      </c>
      <c r="D1094" s="12">
        <v>46249</v>
      </c>
      <c r="E1094" s="14" t="s">
        <v>134</v>
      </c>
      <c r="F1094" s="14" t="s">
        <v>134</v>
      </c>
      <c r="G1094" s="14" t="s">
        <v>134</v>
      </c>
      <c r="H1094" s="14" t="s">
        <v>73</v>
      </c>
      <c r="I1094">
        <v>20</v>
      </c>
      <c r="J1094">
        <v>5.3727368119266048</v>
      </c>
      <c r="K1094">
        <v>46249</v>
      </c>
      <c r="L1094" t="s">
        <v>498</v>
      </c>
      <c r="M1094">
        <v>0.95</v>
      </c>
      <c r="N1094">
        <v>0.95</v>
      </c>
      <c r="O1094">
        <v>1.6911764705882355</v>
      </c>
      <c r="P1094">
        <v>0.17681863699170114</v>
      </c>
      <c r="Q1094">
        <v>0.17681863699170114</v>
      </c>
      <c r="R1094">
        <v>0.31477001941247112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0.13795138242076999</v>
      </c>
      <c r="AC1094">
        <v>0.68522998058752882</v>
      </c>
      <c r="AD1094">
        <v>0</v>
      </c>
      <c r="AE1094">
        <v>0</v>
      </c>
      <c r="AF1094">
        <v>0</v>
      </c>
      <c r="AG1094">
        <v>0.17681863699170114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5.6555124336069529</v>
      </c>
      <c r="AN1094">
        <v>5.6555124336069529</v>
      </c>
      <c r="AO1094">
        <v>1.7801857585139322</v>
      </c>
      <c r="BF1094">
        <v>0</v>
      </c>
      <c r="BG1094">
        <v>0</v>
      </c>
      <c r="BH1094">
        <v>0</v>
      </c>
      <c r="BJ1094">
        <v>0.56173913043478252</v>
      </c>
      <c r="BK1094">
        <v>0.56173913043478252</v>
      </c>
      <c r="BL1094">
        <v>3.1769226366174701</v>
      </c>
      <c r="BM1094">
        <v>2.1769226366174701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0.82318136300829892</v>
      </c>
      <c r="BW1094">
        <v>0</v>
      </c>
      <c r="BX1094">
        <v>0</v>
      </c>
      <c r="BY1094">
        <v>0</v>
      </c>
      <c r="BZ1094">
        <v>0</v>
      </c>
      <c r="CA1094">
        <v>0.56173913043478252</v>
      </c>
      <c r="CB1094">
        <v>0</v>
      </c>
      <c r="CC1094">
        <v>0</v>
      </c>
      <c r="CD1094">
        <v>0</v>
      </c>
      <c r="CE1094">
        <v>0</v>
      </c>
      <c r="CF1094">
        <v>0</v>
      </c>
    </row>
    <row r="1095" spans="1:84" x14ac:dyDescent="0.25">
      <c r="A1095" t="s">
        <v>128</v>
      </c>
      <c r="B1095" t="s">
        <v>422</v>
      </c>
      <c r="C1095" s="14" t="s">
        <v>72</v>
      </c>
      <c r="D1095" s="12">
        <v>46239</v>
      </c>
      <c r="E1095" s="14" t="s">
        <v>420</v>
      </c>
      <c r="F1095" s="14" t="s">
        <v>420</v>
      </c>
      <c r="G1095" s="14" t="s">
        <v>420</v>
      </c>
      <c r="H1095" s="14" t="s">
        <v>74</v>
      </c>
      <c r="I1095">
        <v>20</v>
      </c>
      <c r="J1095">
        <v>0</v>
      </c>
      <c r="K1095">
        <v>46239</v>
      </c>
      <c r="L1095" t="s">
        <v>469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F1095">
        <v>0</v>
      </c>
    </row>
    <row r="1096" spans="1:84" x14ac:dyDescent="0.25">
      <c r="A1096" t="s">
        <v>128</v>
      </c>
      <c r="B1096" t="s">
        <v>422</v>
      </c>
      <c r="C1096" s="14" t="s">
        <v>72</v>
      </c>
      <c r="D1096" s="12">
        <v>46237</v>
      </c>
      <c r="E1096" s="14" t="s">
        <v>420</v>
      </c>
      <c r="F1096" s="14" t="s">
        <v>420</v>
      </c>
      <c r="G1096" s="14" t="s">
        <v>420</v>
      </c>
      <c r="H1096" s="14" t="s">
        <v>74</v>
      </c>
      <c r="I1096">
        <v>20</v>
      </c>
      <c r="J1096">
        <v>0</v>
      </c>
      <c r="K1096">
        <v>46237</v>
      </c>
      <c r="L1096" t="s">
        <v>463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F1096">
        <v>0</v>
      </c>
    </row>
    <row r="1097" spans="1:84" x14ac:dyDescent="0.25">
      <c r="A1097" t="s">
        <v>128</v>
      </c>
      <c r="B1097" t="s">
        <v>422</v>
      </c>
      <c r="C1097" s="14" t="s">
        <v>72</v>
      </c>
      <c r="D1097" s="12">
        <v>46248</v>
      </c>
      <c r="E1097" s="14" t="s">
        <v>134</v>
      </c>
      <c r="F1097" s="14" t="s">
        <v>134</v>
      </c>
      <c r="G1097" s="14" t="s">
        <v>134</v>
      </c>
      <c r="H1097" s="14" t="s">
        <v>75</v>
      </c>
      <c r="I1097">
        <v>20</v>
      </c>
      <c r="J1097">
        <v>2.2474193200215864</v>
      </c>
      <c r="K1097">
        <v>46248</v>
      </c>
      <c r="L1097" t="s">
        <v>497</v>
      </c>
      <c r="M1097">
        <v>2.8499999999999996</v>
      </c>
      <c r="N1097">
        <v>2.8499999999999996</v>
      </c>
      <c r="O1097">
        <v>3.1003460207612448</v>
      </c>
      <c r="P1097">
        <v>1.2681211621748565</v>
      </c>
      <c r="Q1097">
        <v>1.2681211621748565</v>
      </c>
      <c r="R1097">
        <v>1.3795138242076987</v>
      </c>
      <c r="S1097">
        <v>0.11139266203284226</v>
      </c>
      <c r="T1097">
        <v>0</v>
      </c>
      <c r="U1097">
        <v>0</v>
      </c>
      <c r="V1097">
        <v>0</v>
      </c>
      <c r="W1097">
        <v>1.8121162174856487E-2</v>
      </c>
      <c r="X1097">
        <v>0</v>
      </c>
      <c r="Y1097">
        <v>0.25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0.78856818246371463</v>
      </c>
      <c r="AN1097">
        <v>0.78856818246371463</v>
      </c>
      <c r="AO1097">
        <v>1.0878407090390334</v>
      </c>
      <c r="AP1097">
        <v>8.7840709039033404E-2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0.78856818246371463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0.91925223214285734</v>
      </c>
      <c r="BK1097">
        <v>0.91925223214285734</v>
      </c>
      <c r="BL1097">
        <v>0.72489306192660563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8.074776785714266E-2</v>
      </c>
      <c r="BX1097">
        <v>0</v>
      </c>
      <c r="BY1097">
        <v>0.19435917021625171</v>
      </c>
      <c r="BZ1097">
        <v>0</v>
      </c>
      <c r="CA1097">
        <v>0.72489306192660563</v>
      </c>
      <c r="CB1097">
        <v>0</v>
      </c>
      <c r="CC1097">
        <v>0</v>
      </c>
      <c r="CD1097">
        <v>0</v>
      </c>
      <c r="CE1097">
        <v>0</v>
      </c>
      <c r="CF1097">
        <v>0</v>
      </c>
    </row>
    <row r="1098" spans="1:84" x14ac:dyDescent="0.25">
      <c r="A1098" t="s">
        <v>128</v>
      </c>
      <c r="B1098" t="s">
        <v>422</v>
      </c>
      <c r="C1098" s="14" t="s">
        <v>109</v>
      </c>
      <c r="D1098" s="12">
        <v>46225</v>
      </c>
      <c r="E1098" s="14" t="s">
        <v>133</v>
      </c>
      <c r="F1098" s="14" t="s">
        <v>133</v>
      </c>
      <c r="G1098" s="14" t="s">
        <v>133</v>
      </c>
      <c r="H1098" s="14"/>
      <c r="J1098">
        <v>27.599490673528674</v>
      </c>
      <c r="M1098">
        <v>49.4</v>
      </c>
      <c r="N1098">
        <v>49.4</v>
      </c>
      <c r="O1098">
        <v>17.312499999999993</v>
      </c>
      <c r="S1098">
        <v>0</v>
      </c>
      <c r="T1098">
        <v>0</v>
      </c>
      <c r="U1098">
        <v>0.80726513671352784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0.13311379958154573</v>
      </c>
      <c r="AB1098">
        <v>0</v>
      </c>
      <c r="AC1098">
        <v>0.15049083349103476</v>
      </c>
      <c r="AD1098">
        <v>0</v>
      </c>
      <c r="AE1098">
        <v>0.22223309809206426</v>
      </c>
      <c r="AF1098">
        <v>0</v>
      </c>
      <c r="AG1098">
        <v>0.62727606841690098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84" x14ac:dyDescent="0.25">
      <c r="A1099" t="s">
        <v>128</v>
      </c>
      <c r="B1099" t="s">
        <v>422</v>
      </c>
      <c r="C1099" s="14" t="s">
        <v>72</v>
      </c>
      <c r="D1099" s="12">
        <v>46234</v>
      </c>
      <c r="E1099" s="14" t="s">
        <v>420</v>
      </c>
      <c r="F1099" s="14" t="s">
        <v>420</v>
      </c>
      <c r="G1099" s="14" t="s">
        <v>420</v>
      </c>
      <c r="H1099" s="14" t="s">
        <v>75</v>
      </c>
      <c r="I1099">
        <v>20</v>
      </c>
      <c r="J1099">
        <v>3.1774912809962848</v>
      </c>
      <c r="K1099">
        <v>46234</v>
      </c>
      <c r="L1099" t="s">
        <v>455</v>
      </c>
      <c r="M1099">
        <v>0</v>
      </c>
      <c r="N1099">
        <v>0</v>
      </c>
      <c r="O1099">
        <v>0.33217993079584773</v>
      </c>
      <c r="P1099">
        <v>0</v>
      </c>
      <c r="Q1099">
        <v>0</v>
      </c>
      <c r="R1099">
        <v>0.10454157113900704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0.10454157113900704</v>
      </c>
      <c r="AC1099">
        <v>0.89545842886099292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J1099">
        <v>0</v>
      </c>
      <c r="BK1099">
        <v>0</v>
      </c>
      <c r="BL1099">
        <v>9.5655727104992323</v>
      </c>
      <c r="BM1099">
        <v>8.5655727104992323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</row>
    <row r="1100" spans="1:84" x14ac:dyDescent="0.25">
      <c r="A1100" t="s">
        <v>128</v>
      </c>
      <c r="B1100" t="s">
        <v>422</v>
      </c>
      <c r="C1100" s="14" t="s">
        <v>109</v>
      </c>
      <c r="D1100" s="12">
        <v>46229</v>
      </c>
      <c r="E1100" s="14" t="s">
        <v>420</v>
      </c>
      <c r="F1100" s="14" t="s">
        <v>420</v>
      </c>
      <c r="G1100" s="14" t="s">
        <v>420</v>
      </c>
      <c r="H1100" s="14"/>
      <c r="J1100">
        <v>6.7786480661254069</v>
      </c>
      <c r="M1100">
        <v>2.8499999999999996</v>
      </c>
      <c r="N1100">
        <v>2.8499999999999996</v>
      </c>
      <c r="O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0.57956218228201584</v>
      </c>
      <c r="AD1100">
        <v>0</v>
      </c>
      <c r="AE1100">
        <v>0</v>
      </c>
      <c r="AF1100">
        <v>0</v>
      </c>
      <c r="AG1100">
        <v>0</v>
      </c>
      <c r="AH1100">
        <v>0.42043781771798416</v>
      </c>
      <c r="AI1100">
        <v>0</v>
      </c>
      <c r="AJ1100">
        <v>0</v>
      </c>
      <c r="AK1100">
        <v>0</v>
      </c>
      <c r="AL1100">
        <v>0</v>
      </c>
    </row>
    <row r="1101" spans="1:84" x14ac:dyDescent="0.25">
      <c r="A1101" t="s">
        <v>128</v>
      </c>
      <c r="B1101" t="s">
        <v>422</v>
      </c>
      <c r="C1101" s="14" t="s">
        <v>109</v>
      </c>
      <c r="D1101" s="12">
        <v>46229</v>
      </c>
      <c r="E1101" s="14" t="s">
        <v>133</v>
      </c>
      <c r="F1101" s="14" t="s">
        <v>133</v>
      </c>
      <c r="G1101" s="14" t="s">
        <v>133</v>
      </c>
      <c r="H1101" s="14"/>
      <c r="J1101">
        <v>27.008675888468424</v>
      </c>
      <c r="M1101">
        <v>25.65</v>
      </c>
      <c r="N1101">
        <v>25.65</v>
      </c>
      <c r="O1101">
        <v>20.161764705882344</v>
      </c>
      <c r="S1101">
        <v>0</v>
      </c>
      <c r="T1101">
        <v>0</v>
      </c>
      <c r="U1101">
        <v>1.9795741842176074E-2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0.1015625</v>
      </c>
      <c r="AB1101">
        <v>3.7215710350786954E-2</v>
      </c>
      <c r="AC1101">
        <v>0.1344476961754722</v>
      </c>
      <c r="AD1101">
        <v>0</v>
      </c>
      <c r="AE1101">
        <v>0.11906014741005608</v>
      </c>
      <c r="AF1101">
        <v>0</v>
      </c>
      <c r="AG1101">
        <v>0.7092764460636849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84" x14ac:dyDescent="0.25">
      <c r="A1102" t="s">
        <v>128</v>
      </c>
      <c r="B1102" t="s">
        <v>422</v>
      </c>
      <c r="C1102" s="14" t="s">
        <v>72</v>
      </c>
      <c r="D1102" s="12">
        <v>46231</v>
      </c>
      <c r="E1102" s="14" t="s">
        <v>420</v>
      </c>
      <c r="F1102" s="14" t="s">
        <v>420</v>
      </c>
      <c r="G1102" s="14" t="s">
        <v>420</v>
      </c>
      <c r="H1102" s="14" t="s">
        <v>73</v>
      </c>
      <c r="I1102">
        <v>20</v>
      </c>
      <c r="J1102">
        <v>3.6011567851291222</v>
      </c>
      <c r="K1102">
        <v>46231</v>
      </c>
      <c r="L1102" t="s">
        <v>444</v>
      </c>
      <c r="M1102">
        <v>1.9</v>
      </c>
      <c r="N1102">
        <v>1.9</v>
      </c>
      <c r="O1102">
        <v>1.6470588235294119</v>
      </c>
      <c r="P1102">
        <v>0.52760824184217625</v>
      </c>
      <c r="Q1102">
        <v>0.52760824184217625</v>
      </c>
      <c r="R1102">
        <v>0.45736937373315595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0.47239175815782375</v>
      </c>
      <c r="AD1102">
        <v>0</v>
      </c>
      <c r="AE1102">
        <v>7.0238868109020303E-2</v>
      </c>
      <c r="AF1102">
        <v>0</v>
      </c>
      <c r="AG1102">
        <v>0.45736937373315595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1.8953456763837486</v>
      </c>
      <c r="AN1102">
        <v>1.8953456763837486</v>
      </c>
      <c r="AO1102">
        <v>0.86687306501548</v>
      </c>
      <c r="BF1102">
        <v>0</v>
      </c>
      <c r="BG1102">
        <v>0</v>
      </c>
      <c r="BH1102">
        <v>0</v>
      </c>
      <c r="BJ1102">
        <v>1.1535714285714285</v>
      </c>
      <c r="BK1102">
        <v>1.1535714285714285</v>
      </c>
      <c r="BL1102">
        <v>2.1864166195426811</v>
      </c>
      <c r="BM1102">
        <v>1.0328451909712526</v>
      </c>
      <c r="BN1102">
        <v>0</v>
      </c>
      <c r="BO1102">
        <v>0</v>
      </c>
      <c r="BP1102">
        <v>0</v>
      </c>
      <c r="BQ1102">
        <v>0</v>
      </c>
      <c r="BR1102">
        <v>0.34642857142857153</v>
      </c>
      <c r="BS1102">
        <v>0.15357142857142847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</row>
    <row r="1103" spans="1:84" x14ac:dyDescent="0.25">
      <c r="A1103" t="s">
        <v>128</v>
      </c>
      <c r="B1103" t="s">
        <v>422</v>
      </c>
      <c r="C1103" s="14" t="s">
        <v>72</v>
      </c>
      <c r="D1103" s="12">
        <v>46231</v>
      </c>
      <c r="E1103" s="14" t="s">
        <v>420</v>
      </c>
      <c r="F1103" s="14" t="s">
        <v>420</v>
      </c>
      <c r="G1103" s="14" t="s">
        <v>420</v>
      </c>
      <c r="H1103" s="14" t="s">
        <v>74</v>
      </c>
      <c r="I1103">
        <v>20</v>
      </c>
      <c r="J1103">
        <v>0</v>
      </c>
      <c r="K1103">
        <v>46231</v>
      </c>
      <c r="L1103" t="s">
        <v>445</v>
      </c>
      <c r="M1103">
        <v>1.9</v>
      </c>
      <c r="N1103">
        <v>1.9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1</v>
      </c>
      <c r="CD1103">
        <v>0</v>
      </c>
      <c r="CF1103">
        <v>0</v>
      </c>
    </row>
    <row r="1104" spans="1:84" x14ac:dyDescent="0.25">
      <c r="A1104" t="s">
        <v>128</v>
      </c>
      <c r="B1104" t="s">
        <v>422</v>
      </c>
      <c r="C1104" s="14" t="s">
        <v>109</v>
      </c>
      <c r="D1104" s="12">
        <v>46228</v>
      </c>
      <c r="E1104" s="14" t="s">
        <v>134</v>
      </c>
      <c r="F1104" s="14" t="s">
        <v>134</v>
      </c>
      <c r="G1104" s="14" t="s">
        <v>134</v>
      </c>
      <c r="H1104" s="14"/>
      <c r="J1104">
        <v>7.0325496222342139</v>
      </c>
      <c r="M1104">
        <v>4.75</v>
      </c>
      <c r="N1104">
        <v>4.75</v>
      </c>
      <c r="O1104">
        <v>4.8718227364475197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0.12914824215347415</v>
      </c>
      <c r="AC1104">
        <v>0.19542104563621618</v>
      </c>
      <c r="AD1104">
        <v>0</v>
      </c>
      <c r="AE1104">
        <v>0.11182554370249367</v>
      </c>
      <c r="AF1104">
        <v>0</v>
      </c>
      <c r="AG1104">
        <v>0.56360516850781606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84" x14ac:dyDescent="0.25">
      <c r="A1105" t="s">
        <v>128</v>
      </c>
      <c r="B1105" t="s">
        <v>422</v>
      </c>
      <c r="C1105" s="14" t="s">
        <v>109</v>
      </c>
      <c r="D1105" s="12">
        <v>46228</v>
      </c>
      <c r="E1105" s="14" t="s">
        <v>420</v>
      </c>
      <c r="F1105" s="14" t="s">
        <v>420</v>
      </c>
      <c r="G1105" s="14" t="s">
        <v>420</v>
      </c>
      <c r="H1105" s="14"/>
      <c r="J1105">
        <v>6.7786480661254078</v>
      </c>
      <c r="M1105">
        <v>0.95</v>
      </c>
      <c r="N1105">
        <v>0.95</v>
      </c>
      <c r="O1105">
        <v>0.98961937716262982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2.4501930735704777E-2</v>
      </c>
      <c r="AC1105">
        <v>0.83535213002496711</v>
      </c>
      <c r="AD1105">
        <v>0</v>
      </c>
      <c r="AE1105">
        <v>1.8657199341458517E-2</v>
      </c>
      <c r="AF1105">
        <v>0</v>
      </c>
      <c r="AG1105">
        <v>0.12148873989786953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84" x14ac:dyDescent="0.25">
      <c r="A1106" t="s">
        <v>128</v>
      </c>
      <c r="B1106" t="s">
        <v>422</v>
      </c>
      <c r="C1106" s="14" t="s">
        <v>72</v>
      </c>
      <c r="D1106" s="12">
        <v>46231</v>
      </c>
      <c r="E1106" s="14" t="s">
        <v>420</v>
      </c>
      <c r="F1106" s="14" t="s">
        <v>420</v>
      </c>
      <c r="G1106" s="14" t="s">
        <v>420</v>
      </c>
      <c r="H1106" s="14" t="s">
        <v>75</v>
      </c>
      <c r="I1106">
        <v>20</v>
      </c>
      <c r="J1106">
        <v>3.1774912809962848</v>
      </c>
      <c r="K1106">
        <v>46231</v>
      </c>
      <c r="L1106" t="s">
        <v>446</v>
      </c>
      <c r="M1106">
        <v>0</v>
      </c>
      <c r="N1106">
        <v>0</v>
      </c>
      <c r="O1106">
        <v>0.33217993079584773</v>
      </c>
      <c r="P1106">
        <v>0</v>
      </c>
      <c r="Q1106">
        <v>0</v>
      </c>
      <c r="R1106">
        <v>0.10454157113900704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0.10454157113900704</v>
      </c>
      <c r="AC1106">
        <v>0.89545842886099292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J1106">
        <v>0</v>
      </c>
      <c r="BK1106">
        <v>0</v>
      </c>
      <c r="BL1106">
        <v>9.5655727104992323</v>
      </c>
      <c r="BM1106">
        <v>8.5655727104992323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</row>
    <row r="1107" spans="1:84" x14ac:dyDescent="0.25">
      <c r="A1107" t="s">
        <v>128</v>
      </c>
      <c r="B1107" t="s">
        <v>422</v>
      </c>
      <c r="C1107" s="14" t="s">
        <v>109</v>
      </c>
      <c r="D1107" s="12">
        <v>46228</v>
      </c>
      <c r="E1107" s="14" t="s">
        <v>133</v>
      </c>
      <c r="F1107" s="14" t="s">
        <v>133</v>
      </c>
      <c r="G1107" s="14" t="s">
        <v>133</v>
      </c>
      <c r="H1107" s="14"/>
      <c r="J1107">
        <v>26.220922841721425</v>
      </c>
      <c r="M1107">
        <v>17.099999999999998</v>
      </c>
      <c r="N1107">
        <v>17.099999999999998</v>
      </c>
      <c r="O1107">
        <v>19.76838235294116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0.1158986892482603</v>
      </c>
      <c r="AC1107">
        <v>0.23195035087814858</v>
      </c>
      <c r="AD1107">
        <v>0</v>
      </c>
      <c r="AE1107">
        <v>1.4133302535960202E-2</v>
      </c>
      <c r="AF1107">
        <v>0</v>
      </c>
      <c r="AG1107">
        <v>0.63801765733763094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84" x14ac:dyDescent="0.25">
      <c r="A1108" t="s">
        <v>128</v>
      </c>
      <c r="B1108" t="s">
        <v>422</v>
      </c>
      <c r="C1108" s="14" t="s">
        <v>72</v>
      </c>
      <c r="D1108" s="12">
        <v>46232</v>
      </c>
      <c r="E1108" s="14" t="s">
        <v>420</v>
      </c>
      <c r="F1108" s="14" t="s">
        <v>420</v>
      </c>
      <c r="G1108" s="14" t="s">
        <v>420</v>
      </c>
      <c r="H1108" s="14" t="s">
        <v>73</v>
      </c>
      <c r="I1108">
        <v>20</v>
      </c>
      <c r="J1108">
        <v>3.6011567851291235</v>
      </c>
      <c r="K1108">
        <v>46232</v>
      </c>
      <c r="L1108" t="s">
        <v>447</v>
      </c>
      <c r="M1108">
        <v>0.95</v>
      </c>
      <c r="N1108">
        <v>0.95</v>
      </c>
      <c r="O1108">
        <v>2.4441434468524257</v>
      </c>
      <c r="P1108">
        <v>0.26380412092108801</v>
      </c>
      <c r="Q1108">
        <v>0.26380412092108801</v>
      </c>
      <c r="R1108">
        <v>0.67871064568625505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0.41490652476516704</v>
      </c>
      <c r="AC1108">
        <v>0.32128935431374495</v>
      </c>
      <c r="AD1108">
        <v>0</v>
      </c>
      <c r="AE1108">
        <v>0</v>
      </c>
      <c r="AF1108">
        <v>0</v>
      </c>
      <c r="AG1108">
        <v>0.26380412092108801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3.7906913527674986</v>
      </c>
      <c r="AN1108">
        <v>3.7906913527674986</v>
      </c>
      <c r="AO1108">
        <v>2.5727825756341325</v>
      </c>
      <c r="BF1108">
        <v>0</v>
      </c>
      <c r="BG1108">
        <v>0</v>
      </c>
      <c r="BH1108">
        <v>0</v>
      </c>
      <c r="BJ1108">
        <v>0.38868422441547462</v>
      </c>
      <c r="BK1108">
        <v>0.38868422441547462</v>
      </c>
      <c r="BL1108">
        <v>1.4733819284488816</v>
      </c>
      <c r="BM1108">
        <v>0.47338192844888161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0.73619587907891204</v>
      </c>
      <c r="BW1108">
        <v>0</v>
      </c>
      <c r="BX1108">
        <v>0</v>
      </c>
      <c r="BY1108">
        <v>0</v>
      </c>
      <c r="BZ1108">
        <v>0</v>
      </c>
      <c r="CA1108">
        <v>0.38868422441547462</v>
      </c>
      <c r="CB1108">
        <v>0</v>
      </c>
      <c r="CC1108">
        <v>0</v>
      </c>
      <c r="CD1108">
        <v>0</v>
      </c>
      <c r="CE1108">
        <v>0</v>
      </c>
      <c r="CF1108">
        <v>0</v>
      </c>
    </row>
    <row r="1109" spans="1:84" x14ac:dyDescent="0.25">
      <c r="A1109" t="s">
        <v>128</v>
      </c>
      <c r="B1109" t="s">
        <v>422</v>
      </c>
      <c r="C1109" s="14" t="s">
        <v>109</v>
      </c>
      <c r="D1109" s="12">
        <v>46227</v>
      </c>
      <c r="E1109" s="14" t="s">
        <v>134</v>
      </c>
      <c r="F1109" s="14" t="s">
        <v>134</v>
      </c>
      <c r="G1109" s="14" t="s">
        <v>134</v>
      </c>
      <c r="H1109" s="14"/>
      <c r="J1109">
        <v>8.2967229897463568</v>
      </c>
      <c r="M1109">
        <v>8.5499999999999989</v>
      </c>
      <c r="N1109">
        <v>8.5499999999999989</v>
      </c>
      <c r="O1109">
        <v>4.9655997693194927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0.11139746934980935</v>
      </c>
      <c r="AB1109">
        <v>4.2293070095290576E-2</v>
      </c>
      <c r="AC1109">
        <v>3.8577043988269791E-2</v>
      </c>
      <c r="AD1109">
        <v>0</v>
      </c>
      <c r="AE1109">
        <v>0.36292162296055902</v>
      </c>
      <c r="AF1109">
        <v>0</v>
      </c>
      <c r="AG1109">
        <v>0.55620826295588066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84" x14ac:dyDescent="0.25">
      <c r="A1110" t="s">
        <v>128</v>
      </c>
      <c r="B1110" t="s">
        <v>422</v>
      </c>
      <c r="C1110" s="14" t="s">
        <v>72</v>
      </c>
      <c r="D1110" s="12">
        <v>46232</v>
      </c>
      <c r="E1110" s="14" t="s">
        <v>420</v>
      </c>
      <c r="F1110" s="14" t="s">
        <v>420</v>
      </c>
      <c r="G1110" s="14" t="s">
        <v>420</v>
      </c>
      <c r="H1110" s="14" t="s">
        <v>74</v>
      </c>
      <c r="I1110">
        <v>20</v>
      </c>
      <c r="J1110">
        <v>0</v>
      </c>
      <c r="K1110">
        <v>46232</v>
      </c>
      <c r="L1110" t="s">
        <v>448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F1110">
        <v>0</v>
      </c>
    </row>
    <row r="1111" spans="1:84" x14ac:dyDescent="0.25">
      <c r="A1111" t="s">
        <v>128</v>
      </c>
      <c r="B1111" t="s">
        <v>422</v>
      </c>
      <c r="C1111" s="14" t="s">
        <v>72</v>
      </c>
      <c r="D1111" s="12">
        <v>46235</v>
      </c>
      <c r="E1111" s="14" t="s">
        <v>420</v>
      </c>
      <c r="F1111" s="14" t="s">
        <v>420</v>
      </c>
      <c r="G1111" s="14" t="s">
        <v>420</v>
      </c>
      <c r="H1111" s="14" t="s">
        <v>73</v>
      </c>
      <c r="I1111">
        <v>20</v>
      </c>
      <c r="J1111">
        <v>3.6011567851291222</v>
      </c>
      <c r="K1111">
        <v>46235</v>
      </c>
      <c r="L1111" t="s">
        <v>456</v>
      </c>
      <c r="M1111">
        <v>0.95</v>
      </c>
      <c r="N1111">
        <v>0.95</v>
      </c>
      <c r="O1111">
        <v>0</v>
      </c>
      <c r="P1111">
        <v>0.26380412092108813</v>
      </c>
      <c r="Q1111">
        <v>0.26380412092108813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0.73619587907891182</v>
      </c>
      <c r="AD1111">
        <v>0</v>
      </c>
      <c r="AE1111">
        <v>0</v>
      </c>
      <c r="AF1111">
        <v>0</v>
      </c>
      <c r="AG1111">
        <v>0</v>
      </c>
      <c r="AH1111">
        <v>0.26380412092108813</v>
      </c>
      <c r="AI1111">
        <v>0</v>
      </c>
      <c r="AJ1111">
        <v>0</v>
      </c>
      <c r="AK1111">
        <v>0</v>
      </c>
      <c r="AL1111">
        <v>0</v>
      </c>
      <c r="AM1111">
        <v>3.7906913527674972</v>
      </c>
      <c r="AN1111">
        <v>3.7906913527674972</v>
      </c>
      <c r="AO1111">
        <v>0</v>
      </c>
      <c r="BF1111">
        <v>0</v>
      </c>
      <c r="BG1111">
        <v>0</v>
      </c>
      <c r="BH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</row>
    <row r="1112" spans="1:84" x14ac:dyDescent="0.25">
      <c r="A1112" t="s">
        <v>128</v>
      </c>
      <c r="B1112" t="s">
        <v>422</v>
      </c>
      <c r="C1112" s="14" t="s">
        <v>109</v>
      </c>
      <c r="D1112" s="12">
        <v>46227</v>
      </c>
      <c r="E1112" s="14" t="s">
        <v>420</v>
      </c>
      <c r="F1112" s="14" t="s">
        <v>420</v>
      </c>
      <c r="G1112" s="14" t="s">
        <v>420</v>
      </c>
      <c r="H1112" s="14"/>
      <c r="J1112">
        <v>6.7786480661254069</v>
      </c>
      <c r="M1112">
        <v>1.9</v>
      </c>
      <c r="N1112">
        <v>1.9</v>
      </c>
      <c r="O1112">
        <v>0.98961937716262982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0.71970812152134389</v>
      </c>
      <c r="AD1112">
        <v>0</v>
      </c>
      <c r="AE1112">
        <v>0.13430120784508182</v>
      </c>
      <c r="AF1112">
        <v>0</v>
      </c>
      <c r="AG1112">
        <v>0.14599067063357432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84" x14ac:dyDescent="0.25">
      <c r="A1113" t="s">
        <v>128</v>
      </c>
      <c r="B1113" t="s">
        <v>422</v>
      </c>
      <c r="C1113" s="14" t="s">
        <v>109</v>
      </c>
      <c r="D1113" s="12">
        <v>46227</v>
      </c>
      <c r="E1113" s="14" t="s">
        <v>133</v>
      </c>
      <c r="F1113" s="14" t="s">
        <v>133</v>
      </c>
      <c r="G1113" s="14" t="s">
        <v>133</v>
      </c>
      <c r="H1113" s="14"/>
      <c r="J1113">
        <v>26.220922841721425</v>
      </c>
      <c r="M1113">
        <v>33.25</v>
      </c>
      <c r="N1113">
        <v>33.25</v>
      </c>
      <c r="O1113">
        <v>18.97794117647058</v>
      </c>
      <c r="S1113">
        <v>0</v>
      </c>
      <c r="T1113">
        <v>0</v>
      </c>
      <c r="U1113">
        <v>0.3464659436368912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0.1046137339055794</v>
      </c>
      <c r="AB1113">
        <v>3.1799930705910237E-2</v>
      </c>
      <c r="AC1113">
        <v>0.1512084359712442</v>
      </c>
      <c r="AD1113">
        <v>0</v>
      </c>
      <c r="AE1113">
        <v>0.12502065439952542</v>
      </c>
      <c r="AF1113">
        <v>0</v>
      </c>
      <c r="AG1113">
        <v>0.69197097892332016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84" x14ac:dyDescent="0.25">
      <c r="A1114" t="s">
        <v>128</v>
      </c>
      <c r="B1114" t="s">
        <v>422</v>
      </c>
      <c r="C1114" s="14" t="s">
        <v>72</v>
      </c>
      <c r="D1114" s="12">
        <v>46233</v>
      </c>
      <c r="E1114" s="14" t="s">
        <v>420</v>
      </c>
      <c r="F1114" s="14" t="s">
        <v>420</v>
      </c>
      <c r="G1114" s="14" t="s">
        <v>420</v>
      </c>
      <c r="H1114" s="14" t="s">
        <v>73</v>
      </c>
      <c r="I1114">
        <v>20</v>
      </c>
      <c r="J1114">
        <v>3.6011567851291222</v>
      </c>
      <c r="K1114">
        <v>46233</v>
      </c>
      <c r="L1114" t="s">
        <v>450</v>
      </c>
      <c r="M1114">
        <v>1.9</v>
      </c>
      <c r="N1114">
        <v>1.9</v>
      </c>
      <c r="O1114">
        <v>2.4760061919504648</v>
      </c>
      <c r="P1114">
        <v>0.52760824184217625</v>
      </c>
      <c r="Q1114">
        <v>0.52760824184217625</v>
      </c>
      <c r="R1114">
        <v>0.68755856511859303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0.15995032327641678</v>
      </c>
      <c r="AC1114">
        <v>0.31244143488140697</v>
      </c>
      <c r="AD1114">
        <v>0</v>
      </c>
      <c r="AE1114">
        <v>0</v>
      </c>
      <c r="AF1114">
        <v>0</v>
      </c>
      <c r="AG1114">
        <v>0.52760824184217625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1.8953456763837486</v>
      </c>
      <c r="AN1114">
        <v>1.8953456763837486</v>
      </c>
      <c r="AO1114">
        <v>1.3031611536581393</v>
      </c>
      <c r="BF1114">
        <v>0</v>
      </c>
      <c r="BG1114">
        <v>0</v>
      </c>
      <c r="BH1114">
        <v>0</v>
      </c>
      <c r="BJ1114">
        <v>0.76736480150046871</v>
      </c>
      <c r="BK1114">
        <v>0.76736480150046871</v>
      </c>
      <c r="BL1114">
        <v>1.454421558732987</v>
      </c>
      <c r="BM1114">
        <v>0.45442155873298695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0.47239175815782375</v>
      </c>
      <c r="BW1114">
        <v>0</v>
      </c>
      <c r="BX1114">
        <v>0</v>
      </c>
      <c r="BY1114">
        <v>0</v>
      </c>
      <c r="BZ1114">
        <v>0</v>
      </c>
      <c r="CA1114">
        <v>0.76736480150046871</v>
      </c>
      <c r="CB1114">
        <v>0</v>
      </c>
      <c r="CC1114">
        <v>0</v>
      </c>
      <c r="CD1114">
        <v>0</v>
      </c>
      <c r="CE1114">
        <v>0</v>
      </c>
      <c r="CF1114">
        <v>0</v>
      </c>
    </row>
    <row r="1115" spans="1:84" x14ac:dyDescent="0.25">
      <c r="A1115" t="s">
        <v>128</v>
      </c>
      <c r="B1115" t="s">
        <v>422</v>
      </c>
      <c r="C1115" s="14" t="s">
        <v>109</v>
      </c>
      <c r="D1115" s="12">
        <v>46226</v>
      </c>
      <c r="E1115" s="14" t="s">
        <v>134</v>
      </c>
      <c r="F1115" s="14" t="s">
        <v>134</v>
      </c>
      <c r="G1115" s="14" t="s">
        <v>134</v>
      </c>
      <c r="H1115" s="14"/>
      <c r="J1115">
        <v>10.754837871019967</v>
      </c>
      <c r="M1115">
        <v>3.8</v>
      </c>
      <c r="N1115">
        <v>3.8</v>
      </c>
      <c r="O1115">
        <v>3.8758938869665513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8.1586630213788758E-2</v>
      </c>
      <c r="AC1115">
        <v>0.56508400810057424</v>
      </c>
      <c r="AD1115">
        <v>0</v>
      </c>
      <c r="AE1115">
        <v>7.4529909519648302E-2</v>
      </c>
      <c r="AF1115">
        <v>0</v>
      </c>
      <c r="AG1115">
        <v>0.27879945216598861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84" x14ac:dyDescent="0.25">
      <c r="A1116" t="s">
        <v>128</v>
      </c>
      <c r="B1116" t="s">
        <v>422</v>
      </c>
      <c r="C1116" s="14" t="s">
        <v>72</v>
      </c>
      <c r="D1116" s="12">
        <v>46233</v>
      </c>
      <c r="E1116" s="14" t="s">
        <v>420</v>
      </c>
      <c r="F1116" s="14" t="s">
        <v>420</v>
      </c>
      <c r="G1116" s="14" t="s">
        <v>420</v>
      </c>
      <c r="H1116" s="14" t="s">
        <v>74</v>
      </c>
      <c r="I1116">
        <v>20</v>
      </c>
      <c r="J1116">
        <v>0</v>
      </c>
      <c r="K1116">
        <v>46233</v>
      </c>
      <c r="L1116" t="s">
        <v>451</v>
      </c>
      <c r="M1116">
        <v>0.95</v>
      </c>
      <c r="N1116">
        <v>0.95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1</v>
      </c>
      <c r="CD1116">
        <v>0</v>
      </c>
      <c r="CF1116">
        <v>0</v>
      </c>
    </row>
    <row r="1117" spans="1:84" x14ac:dyDescent="0.25">
      <c r="A1117" t="s">
        <v>128</v>
      </c>
      <c r="B1117" t="s">
        <v>422</v>
      </c>
      <c r="C1117" s="14" t="s">
        <v>72</v>
      </c>
      <c r="D1117" s="12">
        <v>46233</v>
      </c>
      <c r="E1117" s="14" t="s">
        <v>420</v>
      </c>
      <c r="F1117" s="14" t="s">
        <v>420</v>
      </c>
      <c r="G1117" s="14" t="s">
        <v>420</v>
      </c>
      <c r="H1117" s="14" t="s">
        <v>75</v>
      </c>
      <c r="I1117">
        <v>20</v>
      </c>
      <c r="J1117">
        <v>3.1774912809962848</v>
      </c>
      <c r="K1117">
        <v>46233</v>
      </c>
      <c r="L1117" t="s">
        <v>452</v>
      </c>
      <c r="M1117">
        <v>0.95</v>
      </c>
      <c r="N1117">
        <v>0.95</v>
      </c>
      <c r="O1117">
        <v>0.61081770169368066</v>
      </c>
      <c r="P1117">
        <v>0.29897800371056649</v>
      </c>
      <c r="Q1117">
        <v>0.29897800371056649</v>
      </c>
      <c r="R1117">
        <v>0.1922326916667926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0.70102199628943351</v>
      </c>
      <c r="AD1117">
        <v>0</v>
      </c>
      <c r="AE1117">
        <v>0.10674531204377388</v>
      </c>
      <c r="AF1117">
        <v>0</v>
      </c>
      <c r="AG1117">
        <v>0.1922326916667926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3.3447276642066157</v>
      </c>
      <c r="AN1117">
        <v>3.3447276642066157</v>
      </c>
      <c r="AO1117">
        <v>0.64296600178282182</v>
      </c>
      <c r="BF1117">
        <v>0</v>
      </c>
      <c r="BG1117">
        <v>0</v>
      </c>
      <c r="BH1117">
        <v>0</v>
      </c>
      <c r="BJ1117">
        <v>1.555292188431723</v>
      </c>
      <c r="BK1117">
        <v>1.555292188431723</v>
      </c>
      <c r="BL1117">
        <v>5.2020288085720328</v>
      </c>
      <c r="CC1117">
        <v>0</v>
      </c>
      <c r="CD1117">
        <v>0</v>
      </c>
      <c r="CE1117">
        <v>0</v>
      </c>
    </row>
    <row r="1118" spans="1:84" x14ac:dyDescent="0.25">
      <c r="A1118" t="s">
        <v>128</v>
      </c>
      <c r="B1118" t="s">
        <v>422</v>
      </c>
      <c r="C1118" s="14" t="s">
        <v>109</v>
      </c>
      <c r="D1118" s="12">
        <v>46226</v>
      </c>
      <c r="E1118" s="14" t="s">
        <v>420</v>
      </c>
      <c r="F1118" s="14" t="s">
        <v>420</v>
      </c>
      <c r="G1118" s="14" t="s">
        <v>420</v>
      </c>
      <c r="H1118" s="14"/>
      <c r="J1118">
        <v>6.7786480661254078</v>
      </c>
      <c r="M1118">
        <v>2.8499999999999996</v>
      </c>
      <c r="N1118">
        <v>2.8499999999999996</v>
      </c>
      <c r="O1118">
        <v>3.0868238936441452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8.4973609240596396E-2</v>
      </c>
      <c r="AC1118">
        <v>0.49458857304141945</v>
      </c>
      <c r="AD1118">
        <v>0</v>
      </c>
      <c r="AE1118">
        <v>5.0036865020519017E-2</v>
      </c>
      <c r="AF1118">
        <v>0</v>
      </c>
      <c r="AG1118">
        <v>0.37040095269746509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84" x14ac:dyDescent="0.25">
      <c r="A1119" t="s">
        <v>128</v>
      </c>
      <c r="B1119" t="s">
        <v>422</v>
      </c>
      <c r="C1119" s="14" t="s">
        <v>109</v>
      </c>
      <c r="D1119" s="12">
        <v>46226</v>
      </c>
      <c r="E1119" s="14" t="s">
        <v>133</v>
      </c>
      <c r="F1119" s="14" t="s">
        <v>133</v>
      </c>
      <c r="G1119" s="14" t="s">
        <v>133</v>
      </c>
      <c r="H1119" s="14"/>
      <c r="J1119">
        <v>26.924273776316955</v>
      </c>
      <c r="M1119">
        <v>23.75</v>
      </c>
      <c r="N1119">
        <v>23.75</v>
      </c>
      <c r="O1119">
        <v>17.522058823529402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9.3525509057982487E-2</v>
      </c>
      <c r="AB1119">
        <v>0</v>
      </c>
      <c r="AC1119">
        <v>0.2114218654346994</v>
      </c>
      <c r="AD1119">
        <v>0</v>
      </c>
      <c r="AE1119">
        <v>0.13778773742775183</v>
      </c>
      <c r="AF1119">
        <v>0</v>
      </c>
      <c r="AG1119">
        <v>0.65079039713754883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84" x14ac:dyDescent="0.25">
      <c r="A1120" t="s">
        <v>128</v>
      </c>
      <c r="B1120" t="s">
        <v>422</v>
      </c>
      <c r="C1120" s="14" t="s">
        <v>72</v>
      </c>
      <c r="D1120" s="12">
        <v>46234</v>
      </c>
      <c r="E1120" s="14" t="s">
        <v>420</v>
      </c>
      <c r="F1120" s="14" t="s">
        <v>420</v>
      </c>
      <c r="G1120" s="14" t="s">
        <v>420</v>
      </c>
      <c r="H1120" s="14" t="s">
        <v>73</v>
      </c>
      <c r="I1120">
        <v>20</v>
      </c>
      <c r="J1120">
        <v>3.6011567851291235</v>
      </c>
      <c r="K1120">
        <v>46234</v>
      </c>
      <c r="L1120" t="s">
        <v>453</v>
      </c>
      <c r="M1120">
        <v>1.9</v>
      </c>
      <c r="N1120">
        <v>1.9</v>
      </c>
      <c r="O1120">
        <v>1.6470588235294119</v>
      </c>
      <c r="P1120">
        <v>0.52760824184217603</v>
      </c>
      <c r="Q1120">
        <v>0.52760824184217603</v>
      </c>
      <c r="R1120">
        <v>0.45736937373315578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0.47239175815782397</v>
      </c>
      <c r="AD1120">
        <v>0</v>
      </c>
      <c r="AE1120">
        <v>7.0238868109020247E-2</v>
      </c>
      <c r="AF1120">
        <v>0</v>
      </c>
      <c r="AG1120">
        <v>0.45736937373315578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1.8953456763837493</v>
      </c>
      <c r="AN1120">
        <v>1.8953456763837493</v>
      </c>
      <c r="AO1120">
        <v>0.86687306501548</v>
      </c>
      <c r="BF1120">
        <v>0</v>
      </c>
      <c r="BG1120">
        <v>0</v>
      </c>
      <c r="BH1120">
        <v>0</v>
      </c>
      <c r="BJ1120">
        <v>1.1535714285714285</v>
      </c>
      <c r="BK1120">
        <v>1.1535714285714285</v>
      </c>
      <c r="BL1120">
        <v>2.186416619542682</v>
      </c>
      <c r="BM1120">
        <v>1.0328451909712535</v>
      </c>
      <c r="BN1120">
        <v>0</v>
      </c>
      <c r="BO1120">
        <v>0</v>
      </c>
      <c r="BP1120">
        <v>0</v>
      </c>
      <c r="BQ1120">
        <v>0</v>
      </c>
      <c r="BR1120">
        <v>0.34642857142857153</v>
      </c>
      <c r="BS1120">
        <v>0.15357142857142847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</row>
    <row r="1121" spans="1:84" x14ac:dyDescent="0.25">
      <c r="A1121" t="s">
        <v>128</v>
      </c>
      <c r="B1121" t="s">
        <v>422</v>
      </c>
      <c r="C1121" s="14" t="s">
        <v>109</v>
      </c>
      <c r="D1121" s="12">
        <v>46225</v>
      </c>
      <c r="E1121" s="14" t="s">
        <v>134</v>
      </c>
      <c r="F1121" s="14" t="s">
        <v>134</v>
      </c>
      <c r="G1121" s="14" t="s">
        <v>134</v>
      </c>
      <c r="H1121" s="14"/>
      <c r="J1121">
        <v>9.8330447905423632</v>
      </c>
      <c r="M1121">
        <v>7.6</v>
      </c>
      <c r="N1121">
        <v>7.6</v>
      </c>
      <c r="O1121">
        <v>3.0347120098039211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0.10917031876096042</v>
      </c>
      <c r="AB1121">
        <v>6.3810446688461432E-3</v>
      </c>
      <c r="AC1121">
        <v>0.32988523857812524</v>
      </c>
      <c r="AD1121">
        <v>0</v>
      </c>
      <c r="AE1121">
        <v>0.36149092471131966</v>
      </c>
      <c r="AF1121">
        <v>0</v>
      </c>
      <c r="AG1121">
        <v>0.30224279204170901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84" x14ac:dyDescent="0.25">
      <c r="A1122" t="s">
        <v>128</v>
      </c>
      <c r="B1122" t="s">
        <v>422</v>
      </c>
      <c r="C1122" s="14" t="s">
        <v>72</v>
      </c>
      <c r="D1122" s="12">
        <v>46234</v>
      </c>
      <c r="E1122" s="14" t="s">
        <v>420</v>
      </c>
      <c r="F1122" s="14" t="s">
        <v>420</v>
      </c>
      <c r="G1122" s="14" t="s">
        <v>420</v>
      </c>
      <c r="H1122" s="14" t="s">
        <v>74</v>
      </c>
      <c r="I1122">
        <v>20</v>
      </c>
      <c r="J1122">
        <v>0</v>
      </c>
      <c r="K1122">
        <v>46234</v>
      </c>
      <c r="L1122" t="s">
        <v>454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1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F1122">
        <v>0</v>
      </c>
    </row>
    <row r="1123" spans="1:84" x14ac:dyDescent="0.25">
      <c r="A1123" t="s">
        <v>128</v>
      </c>
      <c r="B1123" t="s">
        <v>422</v>
      </c>
      <c r="C1123" s="14" t="s">
        <v>109</v>
      </c>
      <c r="D1123" s="12">
        <v>46225</v>
      </c>
      <c r="E1123" s="14" t="s">
        <v>420</v>
      </c>
      <c r="F1123" s="14" t="s">
        <v>420</v>
      </c>
      <c r="G1123" s="14" t="s">
        <v>420</v>
      </c>
      <c r="H1123" s="14"/>
      <c r="J1123">
        <v>6.7786480661254069</v>
      </c>
      <c r="M1123">
        <v>3.8</v>
      </c>
      <c r="N1123">
        <v>3.8</v>
      </c>
      <c r="O1123">
        <v>3.7927062465853218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8.4973609240596409E-2</v>
      </c>
      <c r="AC1123">
        <v>0.35444263380209134</v>
      </c>
      <c r="AD1123">
        <v>0</v>
      </c>
      <c r="AE1123">
        <v>8.6049598633101798E-2</v>
      </c>
      <c r="AF1123">
        <v>0</v>
      </c>
      <c r="AG1123">
        <v>0.47453415832421048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84" x14ac:dyDescent="0.25">
      <c r="A1124" t="s">
        <v>128</v>
      </c>
      <c r="B1124" t="s">
        <v>422</v>
      </c>
      <c r="C1124" s="14" t="s">
        <v>72</v>
      </c>
      <c r="D1124" s="12">
        <v>46232</v>
      </c>
      <c r="E1124" s="14" t="s">
        <v>420</v>
      </c>
      <c r="F1124" s="14" t="s">
        <v>420</v>
      </c>
      <c r="G1124" s="14" t="s">
        <v>420</v>
      </c>
      <c r="H1124" s="14" t="s">
        <v>75</v>
      </c>
      <c r="I1124">
        <v>20</v>
      </c>
      <c r="J1124">
        <v>3.1774912809962848</v>
      </c>
      <c r="K1124">
        <v>46232</v>
      </c>
      <c r="L1124" t="s">
        <v>449</v>
      </c>
      <c r="M1124">
        <v>2.8499999999999996</v>
      </c>
      <c r="N1124">
        <v>2.8499999999999996</v>
      </c>
      <c r="O1124">
        <v>1.523159108844776</v>
      </c>
      <c r="P1124">
        <v>0.89693401113169946</v>
      </c>
      <c r="Q1124">
        <v>0.89693401113169946</v>
      </c>
      <c r="R1124">
        <v>0.479359020732607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0.10306598886830054</v>
      </c>
      <c r="AD1124">
        <v>0</v>
      </c>
      <c r="AE1124">
        <v>0.41757499039909246</v>
      </c>
      <c r="AF1124">
        <v>0</v>
      </c>
      <c r="AG1124">
        <v>0.479359020732607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1.1149092214022054</v>
      </c>
      <c r="AN1124">
        <v>1.1149092214022054</v>
      </c>
      <c r="AO1124">
        <v>0.53444179257711444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0.11490922140220539</v>
      </c>
      <c r="AY1124">
        <v>0</v>
      </c>
      <c r="AZ1124">
        <v>0</v>
      </c>
      <c r="BA1124">
        <v>0</v>
      </c>
      <c r="BB1124">
        <v>0.46555820742288556</v>
      </c>
      <c r="BC1124">
        <v>0</v>
      </c>
      <c r="BD1124">
        <v>0.53444179257711444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1.8711111553943647</v>
      </c>
      <c r="BK1124">
        <v>1.8711111553943647</v>
      </c>
      <c r="BL1124">
        <v>2.0861190814177117</v>
      </c>
      <c r="CC1124">
        <v>0</v>
      </c>
      <c r="CD1124">
        <v>0</v>
      </c>
      <c r="CE1124">
        <v>0</v>
      </c>
    </row>
    <row r="1125" spans="1:84" x14ac:dyDescent="0.25">
      <c r="A1125" t="s">
        <v>128</v>
      </c>
      <c r="B1125" t="s">
        <v>422</v>
      </c>
      <c r="C1125" s="14" t="s">
        <v>117</v>
      </c>
      <c r="D1125" s="12">
        <v>46250</v>
      </c>
      <c r="E1125" s="14"/>
      <c r="F1125" s="14"/>
      <c r="G1125" s="14"/>
      <c r="H1125" s="14"/>
      <c r="J1125">
        <v>40.046084309064085</v>
      </c>
      <c r="M1125">
        <v>55.099999999999994</v>
      </c>
      <c r="N1125">
        <v>55.099999999999994</v>
      </c>
      <c r="O1125">
        <v>23.625893886966548</v>
      </c>
      <c r="S1125">
        <v>0</v>
      </c>
      <c r="T1125">
        <v>0</v>
      </c>
      <c r="U1125">
        <v>0.55998939752230281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9.5760120708900387E-2</v>
      </c>
      <c r="AB1125">
        <v>3.4886277837985806E-2</v>
      </c>
      <c r="AC1125">
        <v>0.29239378032271962</v>
      </c>
      <c r="AD1125">
        <v>0</v>
      </c>
      <c r="AE1125">
        <v>9.3915909850808485E-2</v>
      </c>
      <c r="AF1125">
        <v>0</v>
      </c>
      <c r="AG1125">
        <v>0.55508136305865563</v>
      </c>
      <c r="AH1125">
        <v>2.3722668929830316E-2</v>
      </c>
      <c r="AI1125">
        <v>0</v>
      </c>
      <c r="AJ1125">
        <v>0</v>
      </c>
      <c r="AK1125">
        <v>0</v>
      </c>
      <c r="AL112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AB9E-7BB2-4FBF-A9F1-4832F9811283}">
  <dimension ref="A1:CD1125"/>
  <sheetViews>
    <sheetView topLeftCell="N1" workbookViewId="0">
      <selection activeCell="P13" sqref="P13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9.7109375" bestFit="1" customWidth="1"/>
    <col min="5" max="5" width="7.28515625" bestFit="1" customWidth="1"/>
    <col min="6" max="6" width="7.42578125" bestFit="1" customWidth="1"/>
    <col min="7" max="7" width="12" bestFit="1" customWidth="1"/>
    <col min="8" max="8" width="7" bestFit="1" customWidth="1"/>
    <col min="9" max="9" width="17.140625" bestFit="1" customWidth="1"/>
    <col min="10" max="10" width="7" bestFit="1" customWidth="1"/>
    <col min="11" max="11" width="8.5703125" bestFit="1" customWidth="1"/>
    <col min="12" max="12" width="16.42578125" bestFit="1" customWidth="1"/>
    <col min="13" max="16" width="12" bestFit="1" customWidth="1"/>
    <col min="17" max="17" width="30.28515625" bestFit="1" customWidth="1"/>
    <col min="18" max="18" width="20" bestFit="1" customWidth="1"/>
    <col min="19" max="19" width="17.7109375" bestFit="1" customWidth="1"/>
    <col min="20" max="20" width="30.85546875" bestFit="1" customWidth="1"/>
    <col min="21" max="21" width="28.7109375" bestFit="1" customWidth="1"/>
    <col min="22" max="22" width="33.140625" bestFit="1" customWidth="1"/>
    <col min="23" max="23" width="29.42578125" bestFit="1" customWidth="1"/>
    <col min="24" max="24" width="20.7109375" bestFit="1" customWidth="1"/>
    <col min="25" max="25" width="18.42578125" bestFit="1" customWidth="1"/>
    <col min="26" max="26" width="44.85546875" bestFit="1" customWidth="1"/>
    <col min="27" max="27" width="26.5703125" bestFit="1" customWidth="1"/>
    <col min="28" max="28" width="22" bestFit="1" customWidth="1"/>
    <col min="29" max="29" width="19.85546875" bestFit="1" customWidth="1"/>
    <col min="30" max="30" width="24.7109375" bestFit="1" customWidth="1"/>
    <col min="31" max="31" width="22.42578125" bestFit="1" customWidth="1"/>
    <col min="32" max="32" width="25.42578125" bestFit="1" customWidth="1"/>
    <col min="33" max="33" width="12.7109375" bestFit="1" customWidth="1"/>
    <col min="34" max="34" width="23.85546875" bestFit="1" customWidth="1"/>
    <col min="35" max="35" width="29.28515625" bestFit="1" customWidth="1"/>
    <col min="36" max="36" width="14.28515625" bestFit="1" customWidth="1"/>
    <col min="37" max="39" width="12" bestFit="1" customWidth="1"/>
    <col min="40" max="40" width="29.85546875" bestFit="1" customWidth="1"/>
    <col min="41" max="41" width="19.5703125" bestFit="1" customWidth="1"/>
    <col min="42" max="42" width="17.28515625" bestFit="1" customWidth="1"/>
    <col min="43" max="43" width="30.42578125" bestFit="1" customWidth="1"/>
    <col min="44" max="44" width="28.28515625" bestFit="1" customWidth="1"/>
    <col min="45" max="45" width="32.7109375" bestFit="1" customWidth="1"/>
    <col min="46" max="46" width="29" bestFit="1" customWidth="1"/>
    <col min="47" max="47" width="20.28515625" bestFit="1" customWidth="1"/>
    <col min="48" max="48" width="18" bestFit="1" customWidth="1"/>
    <col min="49" max="49" width="44.42578125" bestFit="1" customWidth="1"/>
    <col min="50" max="50" width="26.140625" bestFit="1" customWidth="1"/>
    <col min="51" max="51" width="21.5703125" bestFit="1" customWidth="1"/>
    <col min="52" max="52" width="19.28515625" bestFit="1" customWidth="1"/>
    <col min="53" max="53" width="24.28515625" bestFit="1" customWidth="1"/>
    <col min="54" max="54" width="22" bestFit="1" customWidth="1"/>
    <col min="55" max="55" width="25" bestFit="1" customWidth="1"/>
    <col min="56" max="56" width="12.28515625" bestFit="1" customWidth="1"/>
    <col min="57" max="57" width="23.28515625" bestFit="1" customWidth="1"/>
    <col min="58" max="58" width="28.42578125" bestFit="1" customWidth="1"/>
    <col min="59" max="59" width="13.85546875" bestFit="1" customWidth="1"/>
    <col min="60" max="62" width="12" bestFit="1" customWidth="1"/>
    <col min="63" max="63" width="29.85546875" bestFit="1" customWidth="1"/>
    <col min="64" max="64" width="19.5703125" bestFit="1" customWidth="1"/>
    <col min="65" max="65" width="17.28515625" bestFit="1" customWidth="1"/>
    <col min="66" max="66" width="30.42578125" bestFit="1" customWidth="1"/>
    <col min="67" max="67" width="28.28515625" bestFit="1" customWidth="1"/>
    <col min="68" max="68" width="32.7109375" bestFit="1" customWidth="1"/>
    <col min="69" max="69" width="29" bestFit="1" customWidth="1"/>
    <col min="70" max="70" width="20.28515625" bestFit="1" customWidth="1"/>
    <col min="71" max="71" width="18" bestFit="1" customWidth="1"/>
    <col min="72" max="72" width="44.42578125" bestFit="1" customWidth="1"/>
    <col min="73" max="73" width="26.140625" bestFit="1" customWidth="1"/>
    <col min="74" max="74" width="21.5703125" bestFit="1" customWidth="1"/>
    <col min="75" max="75" width="19.28515625" bestFit="1" customWidth="1"/>
    <col min="76" max="76" width="24.28515625" bestFit="1" customWidth="1"/>
    <col min="77" max="77" width="22" bestFit="1" customWidth="1"/>
    <col min="78" max="78" width="25" bestFit="1" customWidth="1"/>
    <col min="79" max="79" width="12.28515625" bestFit="1" customWidth="1"/>
    <col min="80" max="80" width="23.28515625" bestFit="1" customWidth="1"/>
    <col min="81" max="81" width="28.42578125" bestFit="1" customWidth="1"/>
    <col min="82" max="82" width="13.85546875" bestFit="1" customWidth="1"/>
    <col min="83" max="84" width="13.85546875" customWidth="1"/>
    <col min="85" max="85" width="17" bestFit="1" customWidth="1"/>
  </cols>
  <sheetData>
    <row r="1" spans="1:82" x14ac:dyDescent="0.25">
      <c r="A1" t="s">
        <v>127</v>
      </c>
      <c r="B1" t="s">
        <v>114</v>
      </c>
      <c r="C1" t="s">
        <v>0</v>
      </c>
      <c r="D1" t="s">
        <v>1</v>
      </c>
      <c r="E1" t="s">
        <v>79</v>
      </c>
      <c r="F1" t="s">
        <v>101</v>
      </c>
      <c r="G1" t="s">
        <v>2</v>
      </c>
      <c r="H1" t="s">
        <v>3</v>
      </c>
      <c r="I1" t="s">
        <v>112</v>
      </c>
      <c r="J1" t="s">
        <v>4</v>
      </c>
      <c r="K1" t="s">
        <v>136</v>
      </c>
      <c r="L1" t="s">
        <v>113</v>
      </c>
      <c r="M1" t="s">
        <v>5</v>
      </c>
      <c r="N1" t="s">
        <v>130</v>
      </c>
      <c r="O1" t="s">
        <v>131</v>
      </c>
      <c r="P1" t="s">
        <v>132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</row>
    <row r="2" spans="1:82" hidden="1" x14ac:dyDescent="0.25">
      <c r="A2" t="s">
        <v>128</v>
      </c>
      <c r="B2" t="s">
        <v>421</v>
      </c>
      <c r="C2" s="14" t="s">
        <v>72</v>
      </c>
      <c r="D2" s="12">
        <v>46223</v>
      </c>
      <c r="E2" s="14" t="s">
        <v>133</v>
      </c>
      <c r="F2" s="14" t="s">
        <v>73</v>
      </c>
      <c r="G2">
        <v>9.9337595944147097</v>
      </c>
      <c r="H2">
        <v>34.199999999999996</v>
      </c>
      <c r="I2">
        <v>20</v>
      </c>
      <c r="J2">
        <v>34.199999999999996</v>
      </c>
      <c r="K2">
        <v>46223</v>
      </c>
      <c r="L2" t="s">
        <v>423</v>
      </c>
      <c r="M2">
        <v>3.3244791666666664</v>
      </c>
      <c r="N2">
        <v>3.4428052818219057</v>
      </c>
      <c r="O2">
        <v>3.4428052818219057</v>
      </c>
      <c r="P2">
        <v>0.33466474954113712</v>
      </c>
      <c r="Q2">
        <v>0</v>
      </c>
      <c r="R2">
        <v>0</v>
      </c>
      <c r="S2">
        <v>2.1928052818219057</v>
      </c>
      <c r="T2">
        <v>0</v>
      </c>
      <c r="U2">
        <v>0</v>
      </c>
      <c r="V2">
        <v>0</v>
      </c>
      <c r="W2">
        <v>0</v>
      </c>
      <c r="X2">
        <v>0</v>
      </c>
      <c r="Y2">
        <v>0.25</v>
      </c>
      <c r="Z2">
        <v>0</v>
      </c>
      <c r="AA2">
        <v>0</v>
      </c>
      <c r="AB2">
        <v>0</v>
      </c>
      <c r="AC2">
        <v>0.66533525045886288</v>
      </c>
      <c r="AD2">
        <v>0</v>
      </c>
      <c r="AE2">
        <v>0.33466474954113712</v>
      </c>
      <c r="AF2">
        <v>0</v>
      </c>
      <c r="AG2">
        <v>0</v>
      </c>
      <c r="AH2">
        <v>0</v>
      </c>
      <c r="AI2">
        <v>0</v>
      </c>
      <c r="AJ2">
        <v>0</v>
      </c>
      <c r="AK2">
        <v>0.29046080685423131</v>
      </c>
      <c r="AL2">
        <v>0.29046080685423131</v>
      </c>
      <c r="AM2">
        <v>9.7206993177387915E-2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0.70953919314576863</v>
      </c>
      <c r="AY2">
        <v>0</v>
      </c>
      <c r="AZ2">
        <v>0.19325381367684341</v>
      </c>
      <c r="BA2">
        <v>0</v>
      </c>
      <c r="BB2">
        <v>9.7206993177387915E-2</v>
      </c>
      <c r="BC2">
        <v>0</v>
      </c>
      <c r="BD2">
        <v>0</v>
      </c>
      <c r="BE2">
        <v>0</v>
      </c>
      <c r="BF2">
        <v>0</v>
      </c>
      <c r="BG2">
        <v>0</v>
      </c>
      <c r="BH2">
        <v>10.287325708914302</v>
      </c>
      <c r="BI2">
        <v>10.287325708914302</v>
      </c>
      <c r="BJ2">
        <v>2.9880649257835254</v>
      </c>
      <c r="CA2">
        <v>0</v>
      </c>
      <c r="CB2">
        <v>0</v>
      </c>
      <c r="CC2">
        <v>0</v>
      </c>
    </row>
    <row r="3" spans="1:82" hidden="1" x14ac:dyDescent="0.25">
      <c r="A3" t="s">
        <v>128</v>
      </c>
      <c r="B3" t="s">
        <v>291</v>
      </c>
      <c r="C3" s="14" t="s">
        <v>72</v>
      </c>
      <c r="D3" s="12">
        <v>46223</v>
      </c>
      <c r="E3" s="14" t="s">
        <v>133</v>
      </c>
      <c r="F3" s="14" t="s">
        <v>73</v>
      </c>
      <c r="G3">
        <v>11.872563775972576</v>
      </c>
      <c r="H3">
        <v>15.2</v>
      </c>
      <c r="I3">
        <v>20</v>
      </c>
      <c r="J3">
        <v>15.2</v>
      </c>
      <c r="K3">
        <v>46223</v>
      </c>
      <c r="L3" t="s">
        <v>423</v>
      </c>
      <c r="M3">
        <v>10.316176470588236</v>
      </c>
      <c r="N3">
        <v>1.2802626531904939</v>
      </c>
      <c r="O3">
        <v>1.2802626531904939</v>
      </c>
      <c r="P3">
        <v>0.86890891177741059</v>
      </c>
      <c r="Q3">
        <v>0</v>
      </c>
      <c r="R3">
        <v>0</v>
      </c>
      <c r="S3">
        <v>3.0262653190493927E-2</v>
      </c>
      <c r="T3">
        <v>0</v>
      </c>
      <c r="U3">
        <v>0</v>
      </c>
      <c r="V3">
        <v>0</v>
      </c>
      <c r="W3">
        <v>0</v>
      </c>
      <c r="X3">
        <v>0</v>
      </c>
      <c r="Y3">
        <v>0.25</v>
      </c>
      <c r="Z3">
        <v>0</v>
      </c>
      <c r="AA3">
        <v>0</v>
      </c>
      <c r="AB3">
        <v>0</v>
      </c>
      <c r="AC3">
        <v>0.13109108822258941</v>
      </c>
      <c r="AD3">
        <v>0</v>
      </c>
      <c r="AE3">
        <v>0.86890891177741059</v>
      </c>
      <c r="AF3">
        <v>0</v>
      </c>
      <c r="AG3">
        <v>0</v>
      </c>
      <c r="AH3">
        <v>0</v>
      </c>
      <c r="AI3">
        <v>0</v>
      </c>
      <c r="AJ3">
        <v>0</v>
      </c>
      <c r="AK3">
        <v>0.78108972210345906</v>
      </c>
      <c r="AL3">
        <v>0.78108972210345906</v>
      </c>
      <c r="AM3">
        <v>0.67869582043343657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0.21891027789654094</v>
      </c>
      <c r="AY3">
        <v>0</v>
      </c>
      <c r="AZ3">
        <v>0.10239390167002249</v>
      </c>
      <c r="BA3">
        <v>0</v>
      </c>
      <c r="BB3">
        <v>0.67869582043343657</v>
      </c>
      <c r="BC3">
        <v>0</v>
      </c>
      <c r="BD3">
        <v>0</v>
      </c>
      <c r="BE3">
        <v>0</v>
      </c>
      <c r="BF3">
        <v>0</v>
      </c>
      <c r="BG3">
        <v>0</v>
      </c>
      <c r="BH3">
        <v>1.4734141126158231</v>
      </c>
      <c r="BI3">
        <v>1.4734141126158231</v>
      </c>
      <c r="BJ3">
        <v>1.150868619766408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0.15086861976640797</v>
      </c>
      <c r="BR3">
        <v>0</v>
      </c>
      <c r="BS3">
        <v>0.32254549284941514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hidden="1" x14ac:dyDescent="0.25">
      <c r="A4" t="s">
        <v>128</v>
      </c>
      <c r="B4" t="s">
        <v>422</v>
      </c>
      <c r="C4" s="14" t="s">
        <v>72</v>
      </c>
      <c r="D4" s="12">
        <v>46223</v>
      </c>
      <c r="E4" s="14" t="s">
        <v>133</v>
      </c>
      <c r="F4" s="14" t="s">
        <v>73</v>
      </c>
      <c r="G4">
        <v>11.872563775972576</v>
      </c>
      <c r="H4">
        <v>26.6</v>
      </c>
      <c r="I4">
        <v>20</v>
      </c>
      <c r="J4">
        <v>26.6</v>
      </c>
      <c r="K4">
        <v>46223</v>
      </c>
      <c r="L4" t="s">
        <v>423</v>
      </c>
      <c r="M4">
        <v>8.7959033613445357</v>
      </c>
      <c r="N4">
        <v>2.2404596430833643</v>
      </c>
      <c r="O4">
        <v>2.2404596430833643</v>
      </c>
      <c r="P4">
        <v>0.74085964306593022</v>
      </c>
      <c r="Q4">
        <v>0</v>
      </c>
      <c r="R4">
        <v>0</v>
      </c>
      <c r="S4">
        <v>0.99045964308336432</v>
      </c>
      <c r="T4">
        <v>0</v>
      </c>
      <c r="U4">
        <v>0</v>
      </c>
      <c r="V4">
        <v>0</v>
      </c>
      <c r="W4">
        <v>0</v>
      </c>
      <c r="X4">
        <v>0</v>
      </c>
      <c r="Y4">
        <v>0.25</v>
      </c>
      <c r="Z4">
        <v>0</v>
      </c>
      <c r="AA4">
        <v>0</v>
      </c>
      <c r="AB4">
        <v>0</v>
      </c>
      <c r="AC4">
        <v>0.25914035693406978</v>
      </c>
      <c r="AD4">
        <v>0</v>
      </c>
      <c r="AE4">
        <v>0.74085964306593022</v>
      </c>
      <c r="AF4">
        <v>0</v>
      </c>
      <c r="AG4">
        <v>0</v>
      </c>
      <c r="AH4">
        <v>0</v>
      </c>
      <c r="AI4">
        <v>0</v>
      </c>
      <c r="AJ4">
        <v>0</v>
      </c>
      <c r="AK4">
        <v>0.44633698405911942</v>
      </c>
      <c r="AL4">
        <v>0.44633698405911942</v>
      </c>
      <c r="AM4">
        <v>0.33067305869716301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0.55366301594088063</v>
      </c>
      <c r="AY4">
        <v>0</v>
      </c>
      <c r="AZ4">
        <v>0.11566392536195641</v>
      </c>
      <c r="BA4">
        <v>0</v>
      </c>
      <c r="BB4">
        <v>0.33067305869716301</v>
      </c>
      <c r="BC4">
        <v>0</v>
      </c>
      <c r="BD4">
        <v>0</v>
      </c>
      <c r="BE4">
        <v>0</v>
      </c>
      <c r="BF4">
        <v>0</v>
      </c>
      <c r="BG4">
        <v>0</v>
      </c>
      <c r="BH4">
        <v>3.0241350896258528</v>
      </c>
      <c r="BI4">
        <v>3.0241350896258528</v>
      </c>
      <c r="BJ4">
        <v>1.3497833352909581</v>
      </c>
      <c r="CA4">
        <v>0</v>
      </c>
      <c r="CB4">
        <v>0</v>
      </c>
      <c r="CC4">
        <v>0</v>
      </c>
    </row>
    <row r="5" spans="1:82" hidden="1" x14ac:dyDescent="0.25">
      <c r="A5" t="s">
        <v>128</v>
      </c>
      <c r="B5" t="s">
        <v>291</v>
      </c>
      <c r="C5" s="14" t="s">
        <v>72</v>
      </c>
      <c r="D5" s="12">
        <v>46223</v>
      </c>
      <c r="E5" s="14" t="s">
        <v>133</v>
      </c>
      <c r="F5" s="14" t="s">
        <v>74</v>
      </c>
      <c r="G5">
        <v>4.220105607573192</v>
      </c>
      <c r="H5">
        <v>32.299999999999997</v>
      </c>
      <c r="I5">
        <v>20</v>
      </c>
      <c r="J5">
        <v>32.299999999999997</v>
      </c>
      <c r="K5">
        <v>46223</v>
      </c>
      <c r="L5" t="s">
        <v>424</v>
      </c>
      <c r="M5">
        <v>5.6041666666666661</v>
      </c>
      <c r="N5">
        <v>7.6538368949904996</v>
      </c>
      <c r="O5">
        <v>7.6538368949904996</v>
      </c>
      <c r="P5">
        <v>1.327968346718553</v>
      </c>
      <c r="Q5">
        <v>0</v>
      </c>
      <c r="R5">
        <v>0</v>
      </c>
      <c r="S5">
        <v>6.3258685482719468</v>
      </c>
      <c r="T5">
        <v>0</v>
      </c>
      <c r="U5">
        <v>7.7968346718553017E-2</v>
      </c>
      <c r="V5">
        <v>0</v>
      </c>
      <c r="W5">
        <v>0.25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0.13065342438307098</v>
      </c>
      <c r="AL5">
        <v>0.13065342438307098</v>
      </c>
      <c r="AM5">
        <v>0.17350361197110423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0.8264963880288958</v>
      </c>
      <c r="AY5">
        <v>0</v>
      </c>
      <c r="AZ5">
        <v>0</v>
      </c>
      <c r="BA5">
        <v>0</v>
      </c>
      <c r="BB5">
        <v>0.13065342438307098</v>
      </c>
      <c r="BC5">
        <v>0</v>
      </c>
      <c r="BD5">
        <v>0</v>
      </c>
      <c r="BE5">
        <v>0</v>
      </c>
      <c r="BF5">
        <v>0</v>
      </c>
      <c r="BG5">
        <v>0</v>
      </c>
      <c r="BH5">
        <v>5.7635687732342005</v>
      </c>
      <c r="BI5">
        <v>5.7635687732342005</v>
      </c>
      <c r="BJ5">
        <v>0.75302999689038375</v>
      </c>
      <c r="CA5">
        <v>0</v>
      </c>
      <c r="CB5">
        <v>0</v>
      </c>
      <c r="CC5">
        <v>0</v>
      </c>
    </row>
    <row r="6" spans="1:82" hidden="1" x14ac:dyDescent="0.25">
      <c r="A6" t="s">
        <v>128</v>
      </c>
      <c r="B6" t="s">
        <v>422</v>
      </c>
      <c r="C6" s="14" t="s">
        <v>72</v>
      </c>
      <c r="D6" s="12">
        <v>46223</v>
      </c>
      <c r="E6" s="14" t="s">
        <v>133</v>
      </c>
      <c r="F6" s="14" t="s">
        <v>74</v>
      </c>
      <c r="G6">
        <v>4.220105607573192</v>
      </c>
      <c r="H6">
        <v>4.75</v>
      </c>
      <c r="I6">
        <v>20</v>
      </c>
      <c r="J6">
        <v>4.75</v>
      </c>
      <c r="K6">
        <v>46223</v>
      </c>
      <c r="L6" t="s">
        <v>424</v>
      </c>
      <c r="M6">
        <v>4.1764705882352935</v>
      </c>
      <c r="N6">
        <v>1.1255642492633089</v>
      </c>
      <c r="O6">
        <v>1.1255642492633089</v>
      </c>
      <c r="P6">
        <v>0.98966020678259969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0.12556424926330889</v>
      </c>
      <c r="Z6">
        <v>0</v>
      </c>
      <c r="AA6">
        <v>0</v>
      </c>
      <c r="AB6">
        <v>0</v>
      </c>
      <c r="AC6">
        <v>1.0339793217400306E-2</v>
      </c>
      <c r="AD6">
        <v>0</v>
      </c>
      <c r="AE6">
        <v>0.98966020678259969</v>
      </c>
      <c r="AF6">
        <v>0</v>
      </c>
      <c r="AG6">
        <v>0</v>
      </c>
      <c r="AH6">
        <v>0</v>
      </c>
      <c r="AI6">
        <v>0</v>
      </c>
      <c r="AJ6">
        <v>0</v>
      </c>
      <c r="AK6">
        <v>0.88844328580488252</v>
      </c>
      <c r="AL6">
        <v>0.88844328580488252</v>
      </c>
      <c r="AM6">
        <v>0.87925696594427227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0.11155671419511748</v>
      </c>
      <c r="AY6">
        <v>0</v>
      </c>
      <c r="AZ6">
        <v>9.1863198606102481E-3</v>
      </c>
      <c r="BA6">
        <v>0</v>
      </c>
      <c r="BB6">
        <v>0.87925696594427227</v>
      </c>
      <c r="BC6">
        <v>0</v>
      </c>
      <c r="BD6">
        <v>0</v>
      </c>
      <c r="BE6">
        <v>0</v>
      </c>
      <c r="BF6">
        <v>0</v>
      </c>
      <c r="BG6">
        <v>0</v>
      </c>
      <c r="BH6">
        <v>1.137323943661972</v>
      </c>
      <c r="BI6">
        <v>1.137323943661972</v>
      </c>
      <c r="BJ6">
        <v>1.0104478215316095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1.0447821531609502E-2</v>
      </c>
      <c r="BR6">
        <v>0</v>
      </c>
      <c r="BS6">
        <v>0.12687612213036248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hidden="1" x14ac:dyDescent="0.25">
      <c r="A7" t="s">
        <v>128</v>
      </c>
      <c r="B7" t="s">
        <v>421</v>
      </c>
      <c r="C7" s="14" t="s">
        <v>72</v>
      </c>
      <c r="D7" s="12">
        <v>46223</v>
      </c>
      <c r="E7" s="14" t="s">
        <v>133</v>
      </c>
      <c r="F7" s="14" t="s">
        <v>74</v>
      </c>
      <c r="G7">
        <v>4.440974877503046</v>
      </c>
      <c r="H7">
        <v>4.75</v>
      </c>
      <c r="I7">
        <v>20</v>
      </c>
      <c r="J7">
        <v>4.75</v>
      </c>
      <c r="K7">
        <v>46223</v>
      </c>
      <c r="L7" t="s">
        <v>424</v>
      </c>
      <c r="M7">
        <v>7.5522129524886878</v>
      </c>
      <c r="N7">
        <v>1.0695849742502268</v>
      </c>
      <c r="O7">
        <v>1.0695849742502268</v>
      </c>
      <c r="P7">
        <v>1.7005754729094407</v>
      </c>
      <c r="Q7">
        <v>0.63099049865921386</v>
      </c>
      <c r="R7">
        <v>0</v>
      </c>
      <c r="S7">
        <v>0</v>
      </c>
      <c r="T7">
        <v>0</v>
      </c>
      <c r="U7">
        <v>0</v>
      </c>
      <c r="V7">
        <v>0.18041502574977319</v>
      </c>
      <c r="W7">
        <v>6.9584974250226805E-2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0.9349420794743255</v>
      </c>
      <c r="AL7">
        <v>0.9349420794743255</v>
      </c>
      <c r="AM7">
        <v>1.5899395689449869</v>
      </c>
      <c r="AN7">
        <v>0.58993956894498689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0.9349420794743255</v>
      </c>
      <c r="BC7">
        <v>0</v>
      </c>
      <c r="BD7">
        <v>0</v>
      </c>
      <c r="BE7">
        <v>0</v>
      </c>
      <c r="BF7">
        <v>0</v>
      </c>
      <c r="BG7">
        <v>0</v>
      </c>
      <c r="BH7">
        <v>0.62895472226252946</v>
      </c>
      <c r="BI7">
        <v>0.62895472226252946</v>
      </c>
      <c r="BJ7">
        <v>0.58803623592732612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0.37104527773747054</v>
      </c>
      <c r="BV7">
        <v>0</v>
      </c>
      <c r="BW7">
        <v>4.0918486335203341E-2</v>
      </c>
      <c r="BX7">
        <v>0</v>
      </c>
      <c r="BY7">
        <v>0.58803623592732612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hidden="1" x14ac:dyDescent="0.25">
      <c r="A8" t="s">
        <v>128</v>
      </c>
      <c r="B8" t="s">
        <v>291</v>
      </c>
      <c r="C8" s="14" t="s">
        <v>72</v>
      </c>
      <c r="D8" s="12">
        <v>46223</v>
      </c>
      <c r="E8" s="14" t="s">
        <v>133</v>
      </c>
      <c r="F8" s="14" t="s">
        <v>75</v>
      </c>
      <c r="G8">
        <v>10.972274579690296</v>
      </c>
      <c r="H8">
        <v>19.95</v>
      </c>
      <c r="I8">
        <v>20</v>
      </c>
      <c r="J8">
        <v>19.95</v>
      </c>
      <c r="K8">
        <v>46223</v>
      </c>
      <c r="L8" t="s">
        <v>425</v>
      </c>
      <c r="M8">
        <v>10.407781862745098</v>
      </c>
      <c r="N8">
        <v>1.8182191718868841</v>
      </c>
      <c r="O8">
        <v>1.8182191718868841</v>
      </c>
      <c r="P8">
        <v>0.94855280800299369</v>
      </c>
      <c r="Q8">
        <v>0</v>
      </c>
      <c r="R8">
        <v>0</v>
      </c>
      <c r="S8">
        <v>0.56821917188688409</v>
      </c>
      <c r="T8">
        <v>0</v>
      </c>
      <c r="U8">
        <v>0</v>
      </c>
      <c r="V8">
        <v>0</v>
      </c>
      <c r="W8">
        <v>0</v>
      </c>
      <c r="X8">
        <v>0</v>
      </c>
      <c r="Y8">
        <v>0.25</v>
      </c>
      <c r="Z8">
        <v>0</v>
      </c>
      <c r="AA8">
        <v>0</v>
      </c>
      <c r="AB8">
        <v>0</v>
      </c>
      <c r="AC8">
        <v>5.1447191997006314E-2</v>
      </c>
      <c r="AD8">
        <v>0</v>
      </c>
      <c r="AE8">
        <v>0.94855280800299369</v>
      </c>
      <c r="AF8">
        <v>0</v>
      </c>
      <c r="AG8">
        <v>0</v>
      </c>
      <c r="AH8">
        <v>0</v>
      </c>
      <c r="AI8">
        <v>0</v>
      </c>
      <c r="AJ8">
        <v>0</v>
      </c>
      <c r="AK8">
        <v>0.54998870073635575</v>
      </c>
      <c r="AL8">
        <v>0.54998870073635575</v>
      </c>
      <c r="AM8">
        <v>0.5216933264533884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0.45001129926364425</v>
      </c>
      <c r="AY8">
        <v>0</v>
      </c>
      <c r="AZ8">
        <v>2.8295374282967356E-2</v>
      </c>
      <c r="BA8">
        <v>0</v>
      </c>
      <c r="BB8">
        <v>0.5216933264533884</v>
      </c>
      <c r="BC8">
        <v>0</v>
      </c>
      <c r="BD8">
        <v>0</v>
      </c>
      <c r="BE8">
        <v>0</v>
      </c>
      <c r="BF8">
        <v>0</v>
      </c>
      <c r="BG8">
        <v>0</v>
      </c>
      <c r="BH8">
        <v>1.9168349474551822</v>
      </c>
      <c r="BI8">
        <v>1.9168349474551822</v>
      </c>
      <c r="BJ8">
        <v>1.0542375622769165</v>
      </c>
      <c r="CA8">
        <v>0</v>
      </c>
      <c r="CB8">
        <v>0</v>
      </c>
      <c r="CC8">
        <v>0</v>
      </c>
    </row>
    <row r="9" spans="1:82" hidden="1" x14ac:dyDescent="0.25">
      <c r="A9" t="s">
        <v>128</v>
      </c>
      <c r="B9" t="s">
        <v>422</v>
      </c>
      <c r="C9" s="14" t="s">
        <v>72</v>
      </c>
      <c r="D9" s="12">
        <v>46223</v>
      </c>
      <c r="E9" s="14" t="s">
        <v>133</v>
      </c>
      <c r="F9" s="14" t="s">
        <v>75</v>
      </c>
      <c r="G9">
        <v>10.972274579690296</v>
      </c>
      <c r="H9">
        <v>6.6499999999999995</v>
      </c>
      <c r="I9">
        <v>20</v>
      </c>
      <c r="J9">
        <v>6.6499999999999995</v>
      </c>
      <c r="K9">
        <v>46223</v>
      </c>
      <c r="L9" t="s">
        <v>425</v>
      </c>
      <c r="M9">
        <v>8.3768907563025117</v>
      </c>
      <c r="N9">
        <v>0.60607305729562799</v>
      </c>
      <c r="O9">
        <v>0.60607305729562799</v>
      </c>
      <c r="P9">
        <v>0.76345981824116527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0.15738676094553727</v>
      </c>
      <c r="AA9">
        <v>0.23654018175883473</v>
      </c>
      <c r="AB9">
        <v>0</v>
      </c>
      <c r="AC9">
        <v>0</v>
      </c>
      <c r="AD9">
        <v>0</v>
      </c>
      <c r="AE9">
        <v>0.60607305729562799</v>
      </c>
      <c r="AF9">
        <v>0</v>
      </c>
      <c r="AG9">
        <v>0</v>
      </c>
      <c r="AH9">
        <v>0</v>
      </c>
      <c r="AI9">
        <v>0</v>
      </c>
      <c r="AJ9">
        <v>0</v>
      </c>
      <c r="AK9">
        <v>1.6499661022090673</v>
      </c>
      <c r="AL9">
        <v>1.6499661022090673</v>
      </c>
      <c r="AM9">
        <v>1.2596828204966184</v>
      </c>
      <c r="BD9">
        <v>0</v>
      </c>
      <c r="BE9">
        <v>0</v>
      </c>
      <c r="BF9">
        <v>0</v>
      </c>
      <c r="BH9">
        <v>0.79385062948287188</v>
      </c>
      <c r="BI9">
        <v>0.79385062948287188</v>
      </c>
      <c r="BJ9">
        <v>1.3098266288640685</v>
      </c>
      <c r="BK9">
        <v>0.30982662886406853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0.39392694270437201</v>
      </c>
      <c r="BU9">
        <v>0</v>
      </c>
      <c r="BV9">
        <v>0</v>
      </c>
      <c r="BW9">
        <v>0</v>
      </c>
      <c r="BX9">
        <v>0</v>
      </c>
      <c r="BY9">
        <v>0.79385062948287188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hidden="1" x14ac:dyDescent="0.25">
      <c r="A10" t="s">
        <v>128</v>
      </c>
      <c r="B10" t="s">
        <v>421</v>
      </c>
      <c r="C10" s="14" t="s">
        <v>72</v>
      </c>
      <c r="D10" s="12">
        <v>46223</v>
      </c>
      <c r="E10" s="14" t="s">
        <v>133</v>
      </c>
      <c r="F10" s="14" t="s">
        <v>75</v>
      </c>
      <c r="G10">
        <v>8.1223093154332009</v>
      </c>
      <c r="H10">
        <v>6.6499999999999995</v>
      </c>
      <c r="I10">
        <v>20</v>
      </c>
      <c r="J10">
        <v>6.6499999999999995</v>
      </c>
      <c r="K10">
        <v>46223</v>
      </c>
      <c r="L10" t="s">
        <v>425</v>
      </c>
      <c r="M10">
        <v>6.975779398297778</v>
      </c>
      <c r="N10">
        <v>0.81873267093686442</v>
      </c>
      <c r="O10">
        <v>0.81873267093686442</v>
      </c>
      <c r="P10">
        <v>0.85884187949393886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4.0109208557074449E-2</v>
      </c>
      <c r="AA10">
        <v>0.14115812050606114</v>
      </c>
      <c r="AB10">
        <v>0</v>
      </c>
      <c r="AC10">
        <v>0</v>
      </c>
      <c r="AD10">
        <v>0</v>
      </c>
      <c r="AE10">
        <v>0.81873267093686442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1.2213998970576243</v>
      </c>
      <c r="AL10">
        <v>1.2213998970576243</v>
      </c>
      <c r="AM10">
        <v>1.0489893832026735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4.8989383202673542E-2</v>
      </c>
      <c r="AU10">
        <v>0</v>
      </c>
      <c r="AV10">
        <v>0.17241051385495076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0.95329849473490014</v>
      </c>
      <c r="BI10">
        <v>0.95329849473490014</v>
      </c>
      <c r="BJ10">
        <v>1.1643586833343953</v>
      </c>
      <c r="BK10">
        <v>0.16435868333439529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0.18126732906313558</v>
      </c>
      <c r="BU10">
        <v>0</v>
      </c>
      <c r="BV10">
        <v>0</v>
      </c>
      <c r="BW10">
        <v>0</v>
      </c>
      <c r="BX10">
        <v>0</v>
      </c>
      <c r="BY10">
        <v>0.95329849473490014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hidden="1" x14ac:dyDescent="0.25">
      <c r="A11" t="s">
        <v>128</v>
      </c>
      <c r="B11" t="s">
        <v>422</v>
      </c>
      <c r="C11" s="14" t="s">
        <v>72</v>
      </c>
      <c r="D11" s="12">
        <v>46224</v>
      </c>
      <c r="E11" s="14" t="s">
        <v>133</v>
      </c>
      <c r="F11" s="14" t="s">
        <v>73</v>
      </c>
      <c r="G11">
        <v>13.02605930870925</v>
      </c>
      <c r="H11">
        <v>25.65</v>
      </c>
      <c r="I11">
        <v>20</v>
      </c>
      <c r="J11">
        <v>25.65</v>
      </c>
      <c r="K11">
        <v>46224</v>
      </c>
      <c r="L11" t="s">
        <v>426</v>
      </c>
      <c r="M11">
        <v>9.4058823529411733</v>
      </c>
      <c r="N11">
        <v>1.9691296801366747</v>
      </c>
      <c r="O11">
        <v>1.9691296801366747</v>
      </c>
      <c r="P11">
        <v>0.72208195356921034</v>
      </c>
      <c r="Q11">
        <v>0</v>
      </c>
      <c r="R11">
        <v>0</v>
      </c>
      <c r="S11">
        <v>0.71912968013667466</v>
      </c>
      <c r="T11">
        <v>0</v>
      </c>
      <c r="U11">
        <v>0</v>
      </c>
      <c r="V11">
        <v>0</v>
      </c>
      <c r="W11">
        <v>0</v>
      </c>
      <c r="X11">
        <v>0</v>
      </c>
      <c r="Y11">
        <v>0.25</v>
      </c>
      <c r="Z11">
        <v>0</v>
      </c>
      <c r="AA11">
        <v>0</v>
      </c>
      <c r="AB11">
        <v>0</v>
      </c>
      <c r="AC11">
        <v>0.27791804643078966</v>
      </c>
      <c r="AD11">
        <v>0</v>
      </c>
      <c r="AE11">
        <v>0.72208195356921034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0.50783856954032169</v>
      </c>
      <c r="AL11">
        <v>0.50783856954032169</v>
      </c>
      <c r="AM11">
        <v>0.36670106639146877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0.49216143045967831</v>
      </c>
      <c r="AY11">
        <v>0</v>
      </c>
      <c r="AZ11">
        <v>0.14113750314885293</v>
      </c>
      <c r="BA11">
        <v>0</v>
      </c>
      <c r="BB11">
        <v>0.36670106639146877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2.7270168855534718</v>
      </c>
      <c r="BI11">
        <v>2.7270168855534718</v>
      </c>
      <c r="BJ11">
        <v>1.3848843542717781</v>
      </c>
      <c r="CA11">
        <v>0</v>
      </c>
      <c r="CB11">
        <v>0</v>
      </c>
      <c r="CC11">
        <v>0</v>
      </c>
    </row>
    <row r="12" spans="1:82" hidden="1" x14ac:dyDescent="0.25">
      <c r="A12" t="s">
        <v>128</v>
      </c>
      <c r="B12" t="s">
        <v>421</v>
      </c>
      <c r="C12" s="14" t="s">
        <v>72</v>
      </c>
      <c r="D12" s="12">
        <v>46224</v>
      </c>
      <c r="E12" s="14" t="s">
        <v>133</v>
      </c>
      <c r="F12" s="14" t="s">
        <v>73</v>
      </c>
      <c r="G12">
        <v>9.9337595944147097</v>
      </c>
      <c r="H12">
        <v>36.1</v>
      </c>
      <c r="I12">
        <v>20</v>
      </c>
      <c r="J12">
        <v>36.1</v>
      </c>
      <c r="K12">
        <v>46224</v>
      </c>
      <c r="L12" t="s">
        <v>426</v>
      </c>
      <c r="M12">
        <v>8.2912141779788833</v>
      </c>
      <c r="N12">
        <v>3.6340722419231235</v>
      </c>
      <c r="O12">
        <v>3.6340722419231235</v>
      </c>
      <c r="P12">
        <v>0.83465017440533262</v>
      </c>
      <c r="Q12">
        <v>0</v>
      </c>
      <c r="R12">
        <v>0</v>
      </c>
      <c r="S12">
        <v>2.3840722419231235</v>
      </c>
      <c r="T12">
        <v>0</v>
      </c>
      <c r="U12">
        <v>0</v>
      </c>
      <c r="V12">
        <v>0</v>
      </c>
      <c r="W12">
        <v>0</v>
      </c>
      <c r="X12">
        <v>0</v>
      </c>
      <c r="Y12">
        <v>0.25</v>
      </c>
      <c r="Z12">
        <v>0</v>
      </c>
      <c r="AA12">
        <v>0</v>
      </c>
      <c r="AB12">
        <v>0</v>
      </c>
      <c r="AC12">
        <v>0.16534982559466738</v>
      </c>
      <c r="AD12">
        <v>0</v>
      </c>
      <c r="AE12">
        <v>0.83465017440533262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0.27517339596716645</v>
      </c>
      <c r="AL12">
        <v>0.27517339596716645</v>
      </c>
      <c r="AM12">
        <v>0.22967352293570312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0.7248266040328335</v>
      </c>
      <c r="AY12">
        <v>0</v>
      </c>
      <c r="AZ12">
        <v>4.5499873031463328E-2</v>
      </c>
      <c r="BA12">
        <v>0</v>
      </c>
      <c r="BB12">
        <v>0.22967352293570312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4.3540064488841796</v>
      </c>
      <c r="BI12">
        <v>4.3540064488841796</v>
      </c>
      <c r="BJ12">
        <v>1.1981067406024026</v>
      </c>
      <c r="CA12">
        <v>0</v>
      </c>
      <c r="CB12">
        <v>0</v>
      </c>
      <c r="CC12">
        <v>0</v>
      </c>
    </row>
    <row r="13" spans="1:82" hidden="1" x14ac:dyDescent="0.25">
      <c r="A13" t="s">
        <v>128</v>
      </c>
      <c r="B13" t="s">
        <v>291</v>
      </c>
      <c r="C13" s="14" t="s">
        <v>72</v>
      </c>
      <c r="D13" s="12">
        <v>46224</v>
      </c>
      <c r="E13" s="14" t="s">
        <v>133</v>
      </c>
      <c r="F13" s="14" t="s">
        <v>73</v>
      </c>
      <c r="G13">
        <v>13.02605930870925</v>
      </c>
      <c r="H13">
        <v>15.2</v>
      </c>
      <c r="I13">
        <v>20</v>
      </c>
      <c r="J13">
        <v>15.2</v>
      </c>
      <c r="K13">
        <v>46224</v>
      </c>
      <c r="L13" t="s">
        <v>426</v>
      </c>
      <c r="M13">
        <v>13.041666666666664</v>
      </c>
      <c r="N13">
        <v>1.1668916623032146</v>
      </c>
      <c r="O13">
        <v>1.1668916623032146</v>
      </c>
      <c r="P13">
        <v>1.0011981642020453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1.1981642020453265E-3</v>
      </c>
      <c r="X13">
        <v>0</v>
      </c>
      <c r="Y13">
        <v>0.16569349810116929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0.85697758609929287</v>
      </c>
      <c r="AL13">
        <v>0.85697758609929287</v>
      </c>
      <c r="AM13">
        <v>0.85800438596491213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0.14199561403508787</v>
      </c>
      <c r="AY13">
        <v>0</v>
      </c>
      <c r="AZ13">
        <v>0</v>
      </c>
      <c r="BA13">
        <v>0</v>
      </c>
      <c r="BB13">
        <v>0.85697758609929287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1.1654952076677318</v>
      </c>
      <c r="BI13">
        <v>1.1654952076677318</v>
      </c>
      <c r="BJ13">
        <v>0.99880326967738675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0.16549520766773185</v>
      </c>
      <c r="BT13">
        <v>0</v>
      </c>
      <c r="BU13">
        <v>0</v>
      </c>
      <c r="BV13">
        <v>0</v>
      </c>
      <c r="BW13">
        <v>1.1967303226132486E-3</v>
      </c>
      <c r="BX13">
        <v>0</v>
      </c>
      <c r="BY13">
        <v>0.99880326967738675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hidden="1" x14ac:dyDescent="0.25">
      <c r="A14" t="s">
        <v>128</v>
      </c>
      <c r="B14" t="s">
        <v>421</v>
      </c>
      <c r="C14" s="14" t="s">
        <v>72</v>
      </c>
      <c r="D14" s="12">
        <v>46224</v>
      </c>
      <c r="E14" s="14" t="s">
        <v>133</v>
      </c>
      <c r="F14" s="14" t="s">
        <v>74</v>
      </c>
      <c r="G14">
        <v>4.440974877503046</v>
      </c>
      <c r="H14">
        <v>3.8</v>
      </c>
      <c r="I14">
        <v>20</v>
      </c>
      <c r="J14">
        <v>3.8</v>
      </c>
      <c r="K14">
        <v>46224</v>
      </c>
      <c r="L14" t="s">
        <v>427</v>
      </c>
      <c r="M14">
        <v>10.308623208898943</v>
      </c>
      <c r="N14">
        <v>0.85566797940018147</v>
      </c>
      <c r="O14">
        <v>0.85566797940018147</v>
      </c>
      <c r="P14">
        <v>2.321252313567467</v>
      </c>
      <c r="Q14">
        <v>1.321252313567467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0.14433202059981853</v>
      </c>
      <c r="AA14">
        <v>0</v>
      </c>
      <c r="AB14">
        <v>0</v>
      </c>
      <c r="AC14">
        <v>0</v>
      </c>
      <c r="AD14">
        <v>0</v>
      </c>
      <c r="AE14">
        <v>0.85566797940018147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1.1686775993429068</v>
      </c>
      <c r="AL14">
        <v>1.1686775993429068</v>
      </c>
      <c r="AM14">
        <v>2.7127955812891957</v>
      </c>
      <c r="AN14">
        <v>1.5441179819462889</v>
      </c>
      <c r="AO14">
        <v>0</v>
      </c>
      <c r="AP14">
        <v>0</v>
      </c>
      <c r="AQ14">
        <v>0</v>
      </c>
      <c r="AR14">
        <v>0</v>
      </c>
      <c r="AS14">
        <v>0.33132240065709317</v>
      </c>
      <c r="AT14">
        <v>0.16867759934290683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0.36862342555304967</v>
      </c>
      <c r="BI14">
        <v>0.36862342555304967</v>
      </c>
      <c r="BJ14">
        <v>0.43080194003689687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0.56919805996310313</v>
      </c>
      <c r="BV14">
        <v>0</v>
      </c>
      <c r="BW14">
        <v>0</v>
      </c>
      <c r="BX14">
        <v>0</v>
      </c>
      <c r="BY14">
        <v>0.36862342555304967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hidden="1" x14ac:dyDescent="0.25">
      <c r="A15" t="s">
        <v>128</v>
      </c>
      <c r="B15" t="s">
        <v>291</v>
      </c>
      <c r="C15" s="14" t="s">
        <v>72</v>
      </c>
      <c r="D15" s="12">
        <v>46224</v>
      </c>
      <c r="E15" s="14" t="s">
        <v>133</v>
      </c>
      <c r="F15" s="14" t="s">
        <v>74</v>
      </c>
      <c r="G15">
        <v>4.220105607573192</v>
      </c>
      <c r="H15">
        <v>28.5</v>
      </c>
      <c r="I15">
        <v>20</v>
      </c>
      <c r="J15">
        <v>28.5</v>
      </c>
      <c r="K15">
        <v>46224</v>
      </c>
      <c r="L15" t="s">
        <v>427</v>
      </c>
      <c r="M15">
        <v>5.6041666666666661</v>
      </c>
      <c r="N15">
        <v>6.7533854955798533</v>
      </c>
      <c r="O15">
        <v>6.7533854955798533</v>
      </c>
      <c r="P15">
        <v>1.327968346718553</v>
      </c>
      <c r="Q15">
        <v>0</v>
      </c>
      <c r="R15">
        <v>0</v>
      </c>
      <c r="S15">
        <v>5.4254171488613006</v>
      </c>
      <c r="T15">
        <v>0</v>
      </c>
      <c r="U15">
        <v>7.7968346718553017E-2</v>
      </c>
      <c r="V15">
        <v>0</v>
      </c>
      <c r="W15">
        <v>0.25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0.14807388096748042</v>
      </c>
      <c r="AL15">
        <v>0.14807388096748042</v>
      </c>
      <c r="AM15">
        <v>0.19663742690058478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0.80336257309941517</v>
      </c>
      <c r="AY15">
        <v>0</v>
      </c>
      <c r="AZ15">
        <v>0</v>
      </c>
      <c r="BA15">
        <v>0</v>
      </c>
      <c r="BB15">
        <v>0.14807388096748042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5.0855018587360599</v>
      </c>
      <c r="BI15">
        <v>5.0855018587360599</v>
      </c>
      <c r="BJ15">
        <v>0.75302999689038375</v>
      </c>
      <c r="CA15">
        <v>0</v>
      </c>
      <c r="CB15">
        <v>0</v>
      </c>
      <c r="CC15">
        <v>0</v>
      </c>
    </row>
    <row r="16" spans="1:82" hidden="1" x14ac:dyDescent="0.25">
      <c r="A16" t="s">
        <v>128</v>
      </c>
      <c r="B16" t="s">
        <v>422</v>
      </c>
      <c r="C16" s="14" t="s">
        <v>72</v>
      </c>
      <c r="D16" s="12">
        <v>46224</v>
      </c>
      <c r="E16" s="14" t="s">
        <v>133</v>
      </c>
      <c r="F16" s="14" t="s">
        <v>74</v>
      </c>
      <c r="G16">
        <v>4.220105607573192</v>
      </c>
      <c r="H16">
        <v>3.8</v>
      </c>
      <c r="I16">
        <v>20</v>
      </c>
      <c r="J16">
        <v>3.8</v>
      </c>
      <c r="K16">
        <v>46224</v>
      </c>
      <c r="L16" t="s">
        <v>427</v>
      </c>
      <c r="M16">
        <v>3.2058823529411757</v>
      </c>
      <c r="N16">
        <v>0.90045139941064711</v>
      </c>
      <c r="O16">
        <v>0.90045139941064711</v>
      </c>
      <c r="P16">
        <v>0.75966875027678415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9.9548600589352887E-2</v>
      </c>
      <c r="AB16">
        <v>0</v>
      </c>
      <c r="AC16">
        <v>0.14078264913386296</v>
      </c>
      <c r="AD16">
        <v>0</v>
      </c>
      <c r="AE16">
        <v>0.75966875027678415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1.1105541072561032</v>
      </c>
      <c r="AL16">
        <v>1.1105541072561032</v>
      </c>
      <c r="AM16">
        <v>0.84365325077399367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0.11055410725610315</v>
      </c>
      <c r="AW16">
        <v>0</v>
      </c>
      <c r="AX16">
        <v>0</v>
      </c>
      <c r="AY16">
        <v>0</v>
      </c>
      <c r="AZ16">
        <v>0.15634674922600633</v>
      </c>
      <c r="BA16">
        <v>0</v>
      </c>
      <c r="BB16">
        <v>0.84365325077399367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1.1853211009174314</v>
      </c>
      <c r="BI16">
        <v>1.1853211009174314</v>
      </c>
      <c r="BJ16">
        <v>1.3163632170411794</v>
      </c>
      <c r="BK16">
        <v>0.13104211612374805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0.18532110091743137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hidden="1" x14ac:dyDescent="0.25">
      <c r="A17" t="s">
        <v>128</v>
      </c>
      <c r="B17" t="s">
        <v>421</v>
      </c>
      <c r="C17" s="14" t="s">
        <v>72</v>
      </c>
      <c r="D17" s="12">
        <v>46224</v>
      </c>
      <c r="E17" s="14" t="s">
        <v>133</v>
      </c>
      <c r="F17" s="14" t="s">
        <v>75</v>
      </c>
      <c r="G17">
        <v>8.0638754354660556</v>
      </c>
      <c r="H17">
        <v>6.6499999999999995</v>
      </c>
      <c r="I17">
        <v>20</v>
      </c>
      <c r="J17">
        <v>6.6499999999999995</v>
      </c>
      <c r="K17">
        <v>46224</v>
      </c>
      <c r="L17" t="s">
        <v>428</v>
      </c>
      <c r="M17">
        <v>10.080191836349917</v>
      </c>
      <c r="N17">
        <v>0.82466551637843588</v>
      </c>
      <c r="O17">
        <v>0.82466551637843588</v>
      </c>
      <c r="P17">
        <v>1.2500430986341653</v>
      </c>
      <c r="Q17">
        <v>0.2500430986341653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0.17533448362156412</v>
      </c>
      <c r="AA17">
        <v>0</v>
      </c>
      <c r="AB17">
        <v>0</v>
      </c>
      <c r="AC17">
        <v>0</v>
      </c>
      <c r="AD17">
        <v>0</v>
      </c>
      <c r="AE17">
        <v>0.82466551637843588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1.2126128474385047</v>
      </c>
      <c r="AL17">
        <v>1.2126128474385047</v>
      </c>
      <c r="AM17">
        <v>1.5158183212556267</v>
      </c>
      <c r="AN17">
        <v>0.30320547381712193</v>
      </c>
      <c r="AO17">
        <v>0</v>
      </c>
      <c r="AP17">
        <v>0</v>
      </c>
      <c r="AQ17">
        <v>0</v>
      </c>
      <c r="AR17">
        <v>0</v>
      </c>
      <c r="AS17">
        <v>0.28738715256149527</v>
      </c>
      <c r="AT17">
        <v>0.21261284743850473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0.65970966703427292</v>
      </c>
      <c r="BI17">
        <v>0.65970966703427292</v>
      </c>
      <c r="BJ17">
        <v>0.79997241782513751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0.20002758217486249</v>
      </c>
      <c r="BV17">
        <v>0</v>
      </c>
      <c r="BW17">
        <v>0</v>
      </c>
      <c r="BX17">
        <v>0</v>
      </c>
      <c r="BY17">
        <v>0.65970966703427292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hidden="1" x14ac:dyDescent="0.25">
      <c r="A18" t="s">
        <v>128</v>
      </c>
      <c r="B18" t="s">
        <v>291</v>
      </c>
      <c r="C18" s="14" t="s">
        <v>72</v>
      </c>
      <c r="D18" s="12">
        <v>46224</v>
      </c>
      <c r="E18" s="14" t="s">
        <v>133</v>
      </c>
      <c r="F18" s="14" t="s">
        <v>75</v>
      </c>
      <c r="G18">
        <v>10.972274579690296</v>
      </c>
      <c r="H18">
        <v>1.9</v>
      </c>
      <c r="I18">
        <v>20</v>
      </c>
      <c r="J18">
        <v>1.9</v>
      </c>
      <c r="K18">
        <v>46224</v>
      </c>
      <c r="L18" t="s">
        <v>428</v>
      </c>
      <c r="M18">
        <v>13.104166666666664</v>
      </c>
      <c r="N18">
        <v>0.17316373065589372</v>
      </c>
      <c r="O18">
        <v>0.17316373065589372</v>
      </c>
      <c r="P18">
        <v>1.194298098492951</v>
      </c>
      <c r="Q18">
        <v>0.19429809849295099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0.82683626934410626</v>
      </c>
      <c r="AA18">
        <v>0</v>
      </c>
      <c r="AB18">
        <v>0</v>
      </c>
      <c r="AC18">
        <v>0</v>
      </c>
      <c r="AD18">
        <v>0</v>
      </c>
      <c r="AE18">
        <v>0.17316373065589372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5.7748813577317355</v>
      </c>
      <c r="AL18">
        <v>5.7748813577317355</v>
      </c>
      <c r="AM18">
        <v>6.8969298245614024</v>
      </c>
      <c r="BD18">
        <v>0</v>
      </c>
      <c r="BE18">
        <v>0</v>
      </c>
      <c r="BF18">
        <v>0</v>
      </c>
      <c r="BH18">
        <v>0.14499205087440384</v>
      </c>
      <c r="BI18">
        <v>0.14499205087440384</v>
      </c>
      <c r="BJ18">
        <v>0.83731189161388608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0.16268810838611392</v>
      </c>
      <c r="BV18">
        <v>0</v>
      </c>
      <c r="BW18">
        <v>0</v>
      </c>
      <c r="BX18">
        <v>0</v>
      </c>
      <c r="BY18">
        <v>0.14499205087440384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hidden="1" x14ac:dyDescent="0.25">
      <c r="A19" t="s">
        <v>128</v>
      </c>
      <c r="B19" t="s">
        <v>422</v>
      </c>
      <c r="C19" s="14" t="s">
        <v>72</v>
      </c>
      <c r="D19" s="12">
        <v>46224</v>
      </c>
      <c r="E19" s="14" t="s">
        <v>133</v>
      </c>
      <c r="F19" s="14" t="s">
        <v>75</v>
      </c>
      <c r="G19">
        <v>10.972274579690296</v>
      </c>
      <c r="H19">
        <v>7.6</v>
      </c>
      <c r="I19">
        <v>20</v>
      </c>
      <c r="J19">
        <v>7.6</v>
      </c>
      <c r="K19">
        <v>46224</v>
      </c>
      <c r="L19" t="s">
        <v>428</v>
      </c>
      <c r="M19">
        <v>7.6602941176470525</v>
      </c>
      <c r="N19">
        <v>0.69265492262357486</v>
      </c>
      <c r="O19">
        <v>0.69265492262357486</v>
      </c>
      <c r="P19">
        <v>0.69815005649113748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5.4951338675626182E-3</v>
      </c>
      <c r="AA19">
        <v>0.30184994350886252</v>
      </c>
      <c r="AB19">
        <v>0</v>
      </c>
      <c r="AC19">
        <v>0</v>
      </c>
      <c r="AD19">
        <v>0</v>
      </c>
      <c r="AE19">
        <v>0.69265492262357486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1.4437203394329339</v>
      </c>
      <c r="AL19">
        <v>1.4437203394329339</v>
      </c>
      <c r="AM19">
        <v>1.007933436532507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7.9334365325069989E-3</v>
      </c>
      <c r="AU19">
        <v>0</v>
      </c>
      <c r="AV19">
        <v>0.43578690290042688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0.99212900748704247</v>
      </c>
      <c r="BI19">
        <v>0.99212900748704247</v>
      </c>
      <c r="BJ19">
        <v>1.4323568274504526</v>
      </c>
      <c r="BK19">
        <v>0.43235682745045256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0.30734507737642514</v>
      </c>
      <c r="BU19">
        <v>0</v>
      </c>
      <c r="BV19">
        <v>0</v>
      </c>
      <c r="BW19">
        <v>0</v>
      </c>
      <c r="BX19">
        <v>0</v>
      </c>
      <c r="BY19">
        <v>0.99212900748704247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hidden="1" x14ac:dyDescent="0.25">
      <c r="A20" t="s">
        <v>128</v>
      </c>
      <c r="B20" t="s">
        <v>421</v>
      </c>
      <c r="C20" s="14" t="s">
        <v>72</v>
      </c>
      <c r="D20" s="12">
        <v>46225</v>
      </c>
      <c r="E20" s="14" t="s">
        <v>133</v>
      </c>
      <c r="F20" s="14" t="s">
        <v>73</v>
      </c>
      <c r="G20">
        <v>9.9337595944147079</v>
      </c>
      <c r="H20">
        <v>47.5</v>
      </c>
      <c r="I20">
        <v>20</v>
      </c>
      <c r="J20">
        <v>47.5</v>
      </c>
      <c r="K20">
        <v>46225</v>
      </c>
      <c r="L20" t="s">
        <v>429</v>
      </c>
      <c r="M20">
        <v>11.047624434389142</v>
      </c>
      <c r="N20">
        <v>4.7816740025304263</v>
      </c>
      <c r="O20">
        <v>4.7816740025304263</v>
      </c>
      <c r="P20">
        <v>1.1121292325818624</v>
      </c>
      <c r="Q20">
        <v>0</v>
      </c>
      <c r="R20">
        <v>0</v>
      </c>
      <c r="S20">
        <v>3.5316740025304263</v>
      </c>
      <c r="T20">
        <v>0</v>
      </c>
      <c r="U20">
        <v>0</v>
      </c>
      <c r="V20">
        <v>0</v>
      </c>
      <c r="W20">
        <v>0.11212923258186236</v>
      </c>
      <c r="X20">
        <v>0</v>
      </c>
      <c r="Y20">
        <v>0.13787076741813764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0.20913178093504647</v>
      </c>
      <c r="AL20">
        <v>0.20913178093504647</v>
      </c>
      <c r="AM20">
        <v>0.23258156703977143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0.7674184329602286</v>
      </c>
      <c r="AY20">
        <v>0</v>
      </c>
      <c r="AZ20">
        <v>0</v>
      </c>
      <c r="BA20">
        <v>0</v>
      </c>
      <c r="BB20">
        <v>0.20913178093504647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4.2995668690674878</v>
      </c>
      <c r="BI20">
        <v>4.2995668690674878</v>
      </c>
      <c r="BJ20">
        <v>0.8991760765774055</v>
      </c>
      <c r="CA20">
        <v>0</v>
      </c>
      <c r="CB20">
        <v>0</v>
      </c>
      <c r="CC20">
        <v>0</v>
      </c>
    </row>
    <row r="21" spans="1:82" hidden="1" x14ac:dyDescent="0.25">
      <c r="A21" t="s">
        <v>128</v>
      </c>
      <c r="B21" t="s">
        <v>422</v>
      </c>
      <c r="C21" s="14" t="s">
        <v>72</v>
      </c>
      <c r="D21" s="12">
        <v>46225</v>
      </c>
      <c r="E21" s="14" t="s">
        <v>133</v>
      </c>
      <c r="F21" s="14" t="s">
        <v>73</v>
      </c>
      <c r="G21">
        <v>12.57591471056811</v>
      </c>
      <c r="H21">
        <v>38</v>
      </c>
      <c r="I21">
        <v>20</v>
      </c>
      <c r="J21">
        <v>38</v>
      </c>
      <c r="K21">
        <v>46225</v>
      </c>
      <c r="L21" t="s">
        <v>429</v>
      </c>
      <c r="M21">
        <v>7.4758738277919807</v>
      </c>
      <c r="N21">
        <v>3.0216489913108968</v>
      </c>
      <c r="O21">
        <v>3.0216489913108968</v>
      </c>
      <c r="P21">
        <v>0.59445964765566239</v>
      </c>
      <c r="Q21">
        <v>0</v>
      </c>
      <c r="R21">
        <v>0</v>
      </c>
      <c r="S21">
        <v>1.7716489913108968</v>
      </c>
      <c r="T21">
        <v>0</v>
      </c>
      <c r="U21">
        <v>0</v>
      </c>
      <c r="V21">
        <v>0</v>
      </c>
      <c r="W21">
        <v>0</v>
      </c>
      <c r="X21">
        <v>0</v>
      </c>
      <c r="Y21">
        <v>0.25</v>
      </c>
      <c r="Z21">
        <v>0</v>
      </c>
      <c r="AA21">
        <v>0</v>
      </c>
      <c r="AB21">
        <v>0</v>
      </c>
      <c r="AC21">
        <v>0.40554035234433761</v>
      </c>
      <c r="AD21">
        <v>0</v>
      </c>
      <c r="AE21">
        <v>0.59445964765566239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0.33094512396231868</v>
      </c>
      <c r="AL21">
        <v>0.33094512396231868</v>
      </c>
      <c r="AM21">
        <v>0.1967335217839995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0.66905487603768132</v>
      </c>
      <c r="AY21">
        <v>0</v>
      </c>
      <c r="AZ21">
        <v>0.13421160217831918</v>
      </c>
      <c r="BA21">
        <v>0</v>
      </c>
      <c r="BB21">
        <v>0.1967335217839995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5.0830178351503026</v>
      </c>
      <c r="BI21">
        <v>5.0830178351503026</v>
      </c>
      <c r="BJ21">
        <v>1.6821999675564936</v>
      </c>
      <c r="CA21">
        <v>0</v>
      </c>
      <c r="CB21">
        <v>0</v>
      </c>
      <c r="CC21">
        <v>0</v>
      </c>
    </row>
    <row r="22" spans="1:82" hidden="1" x14ac:dyDescent="0.25">
      <c r="A22" t="s">
        <v>128</v>
      </c>
      <c r="B22" t="s">
        <v>291</v>
      </c>
      <c r="C22" s="14" t="s">
        <v>72</v>
      </c>
      <c r="D22" s="12">
        <v>46225</v>
      </c>
      <c r="E22" s="14" t="s">
        <v>133</v>
      </c>
      <c r="F22" s="14" t="s">
        <v>73</v>
      </c>
      <c r="G22">
        <v>12.57591471056811</v>
      </c>
      <c r="H22">
        <v>4.75</v>
      </c>
      <c r="I22">
        <v>20</v>
      </c>
      <c r="J22">
        <v>4.75</v>
      </c>
      <c r="K22">
        <v>46225</v>
      </c>
      <c r="L22" t="s">
        <v>429</v>
      </c>
      <c r="M22">
        <v>12.225490196078432</v>
      </c>
      <c r="N22">
        <v>0.3777061239138621</v>
      </c>
      <c r="O22">
        <v>0.3777061239138621</v>
      </c>
      <c r="P22">
        <v>0.97213526629635927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0.59442914238249722</v>
      </c>
      <c r="AA22">
        <v>2.7864733703640732E-2</v>
      </c>
      <c r="AB22">
        <v>0</v>
      </c>
      <c r="AC22">
        <v>0</v>
      </c>
      <c r="AD22">
        <v>0</v>
      </c>
      <c r="AE22">
        <v>0.3777061239138621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2.6475609916985494</v>
      </c>
      <c r="AL22">
        <v>2.6475609916985494</v>
      </c>
      <c r="AM22">
        <v>2.5737874097007225</v>
      </c>
      <c r="BD22">
        <v>0</v>
      </c>
      <c r="BE22">
        <v>0</v>
      </c>
      <c r="BF22">
        <v>0</v>
      </c>
      <c r="BH22">
        <v>0.38853247794707296</v>
      </c>
      <c r="BI22">
        <v>0.38853247794707296</v>
      </c>
      <c r="BJ22">
        <v>1.0286634326206472</v>
      </c>
      <c r="BK22">
        <v>2.8663432620647189E-2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0.62229387608613784</v>
      </c>
      <c r="BU22">
        <v>0</v>
      </c>
      <c r="BV22">
        <v>0</v>
      </c>
      <c r="BW22">
        <v>0</v>
      </c>
      <c r="BX22">
        <v>0</v>
      </c>
      <c r="BY22">
        <v>0.38853247794707296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hidden="1" x14ac:dyDescent="0.25">
      <c r="A23" t="s">
        <v>128</v>
      </c>
      <c r="B23" t="s">
        <v>422</v>
      </c>
      <c r="C23" s="14" t="s">
        <v>72</v>
      </c>
      <c r="D23" s="12">
        <v>46225</v>
      </c>
      <c r="E23" s="14" t="s">
        <v>133</v>
      </c>
      <c r="F23" s="14" t="s">
        <v>74</v>
      </c>
      <c r="G23">
        <v>4.2201056075731911</v>
      </c>
      <c r="H23">
        <v>4.75</v>
      </c>
      <c r="I23">
        <v>20</v>
      </c>
      <c r="J23">
        <v>4.75</v>
      </c>
      <c r="K23">
        <v>46225</v>
      </c>
      <c r="L23" t="s">
        <v>430</v>
      </c>
      <c r="M23">
        <v>3.2058823529411757</v>
      </c>
      <c r="N23">
        <v>1.1255642492633091</v>
      </c>
      <c r="O23">
        <v>1.1255642492633091</v>
      </c>
      <c r="P23">
        <v>0.75966875027678438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0.12556424926330911</v>
      </c>
      <c r="Z23">
        <v>0</v>
      </c>
      <c r="AA23">
        <v>0</v>
      </c>
      <c r="AB23">
        <v>0</v>
      </c>
      <c r="AC23">
        <v>0.24033124972321562</v>
      </c>
      <c r="AD23">
        <v>0</v>
      </c>
      <c r="AE23">
        <v>0.75966875027678438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0.8884432858048823</v>
      </c>
      <c r="AL23">
        <v>0.8884432858048823</v>
      </c>
      <c r="AM23">
        <v>0.67492260061919485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0.1115567141951177</v>
      </c>
      <c r="AY23">
        <v>0</v>
      </c>
      <c r="AZ23">
        <v>0.21352068518568745</v>
      </c>
      <c r="BA23">
        <v>0</v>
      </c>
      <c r="BB23">
        <v>0.67492260061919485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1.4816513761467893</v>
      </c>
      <c r="BI23">
        <v>1.4816513761467893</v>
      </c>
      <c r="BJ23">
        <v>1.3163632170411792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0.3163632170411792</v>
      </c>
      <c r="BR23">
        <v>0</v>
      </c>
      <c r="BS23">
        <v>0.16528815910561012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hidden="1" x14ac:dyDescent="0.25">
      <c r="A24" t="s">
        <v>128</v>
      </c>
      <c r="B24" t="s">
        <v>421</v>
      </c>
      <c r="C24" s="14" t="s">
        <v>72</v>
      </c>
      <c r="D24" s="12">
        <v>46225</v>
      </c>
      <c r="E24" s="14" t="s">
        <v>133</v>
      </c>
      <c r="F24" s="14" t="s">
        <v>74</v>
      </c>
      <c r="G24">
        <v>4.440974877503046</v>
      </c>
      <c r="H24">
        <v>4.75</v>
      </c>
      <c r="I24">
        <v>20</v>
      </c>
      <c r="J24">
        <v>4.75</v>
      </c>
      <c r="K24">
        <v>46225</v>
      </c>
      <c r="L24" t="s">
        <v>430</v>
      </c>
      <c r="M24">
        <v>11.42887443438914</v>
      </c>
      <c r="N24">
        <v>1.0695849742502268</v>
      </c>
      <c r="O24">
        <v>1.0695849742502268</v>
      </c>
      <c r="P24">
        <v>2.5735057616031969</v>
      </c>
      <c r="Q24">
        <v>1.5039207873529701</v>
      </c>
      <c r="R24">
        <v>0</v>
      </c>
      <c r="S24">
        <v>0</v>
      </c>
      <c r="T24">
        <v>0</v>
      </c>
      <c r="U24">
        <v>0</v>
      </c>
      <c r="V24">
        <v>0.18041502574977319</v>
      </c>
      <c r="W24">
        <v>6.9584974250226805E-2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0.9349420794743255</v>
      </c>
      <c r="AL24">
        <v>0.9349420794743255</v>
      </c>
      <c r="AM24">
        <v>2.4060788282924506</v>
      </c>
      <c r="AN24">
        <v>1.4060788282924506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0.9349420794743255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0.41561398082276524</v>
      </c>
      <c r="BI24">
        <v>0.41561398082276524</v>
      </c>
      <c r="BJ24">
        <v>0.38857499948903856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0.58438601917723476</v>
      </c>
      <c r="BV24">
        <v>0</v>
      </c>
      <c r="BW24">
        <v>2.7038981333726675E-2</v>
      </c>
      <c r="BX24">
        <v>0</v>
      </c>
      <c r="BY24">
        <v>0.38857499948903856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hidden="1" x14ac:dyDescent="0.25">
      <c r="A25" t="s">
        <v>128</v>
      </c>
      <c r="B25" t="s">
        <v>291</v>
      </c>
      <c r="C25" s="14" t="s">
        <v>72</v>
      </c>
      <c r="D25" s="12">
        <v>46225</v>
      </c>
      <c r="E25" s="14" t="s">
        <v>133</v>
      </c>
      <c r="F25" s="14" t="s">
        <v>74</v>
      </c>
      <c r="G25">
        <v>4.2201056075731911</v>
      </c>
      <c r="H25">
        <v>18.05</v>
      </c>
      <c r="I25">
        <v>20</v>
      </c>
      <c r="J25">
        <v>18.05</v>
      </c>
      <c r="K25">
        <v>46225</v>
      </c>
      <c r="L25" t="s">
        <v>430</v>
      </c>
      <c r="M25">
        <v>5.6532738095238084</v>
      </c>
      <c r="N25">
        <v>4.2771441472005751</v>
      </c>
      <c r="O25">
        <v>4.2771441472005751</v>
      </c>
      <c r="P25">
        <v>1.3396048192203354</v>
      </c>
      <c r="Q25">
        <v>0</v>
      </c>
      <c r="R25">
        <v>0</v>
      </c>
      <c r="S25">
        <v>2.9375393279802395</v>
      </c>
      <c r="T25">
        <v>0</v>
      </c>
      <c r="U25">
        <v>8.9604819220335363E-2</v>
      </c>
      <c r="V25">
        <v>0</v>
      </c>
      <c r="W25">
        <v>0.25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0.23380086468549535</v>
      </c>
      <c r="AL25">
        <v>0.23380086468549535</v>
      </c>
      <c r="AM25">
        <v>0.3132007650705711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0.68679923492942896</v>
      </c>
      <c r="AY25">
        <v>0</v>
      </c>
      <c r="AZ25">
        <v>0</v>
      </c>
      <c r="BA25">
        <v>0</v>
      </c>
      <c r="BB25">
        <v>0.23380086468549535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3.1928402211108193</v>
      </c>
      <c r="BI25">
        <v>3.1928402211108193</v>
      </c>
      <c r="BJ25">
        <v>0.74648880449833777</v>
      </c>
      <c r="CA25">
        <v>0</v>
      </c>
      <c r="CB25">
        <v>0</v>
      </c>
      <c r="CC25">
        <v>0</v>
      </c>
    </row>
    <row r="26" spans="1:82" hidden="1" x14ac:dyDescent="0.25">
      <c r="A26" t="s">
        <v>128</v>
      </c>
      <c r="B26" t="s">
        <v>421</v>
      </c>
      <c r="C26" s="14" t="s">
        <v>72</v>
      </c>
      <c r="D26" s="12">
        <v>46225</v>
      </c>
      <c r="E26" s="14" t="s">
        <v>133</v>
      </c>
      <c r="F26" s="14" t="s">
        <v>75</v>
      </c>
      <c r="G26">
        <v>8.0638754354660556</v>
      </c>
      <c r="H26">
        <v>7.6</v>
      </c>
      <c r="I26">
        <v>20</v>
      </c>
      <c r="J26">
        <v>7.6</v>
      </c>
      <c r="K26">
        <v>46225</v>
      </c>
      <c r="L26" t="s">
        <v>431</v>
      </c>
      <c r="M26">
        <v>12.910862085218705</v>
      </c>
      <c r="N26">
        <v>0.94247487586106959</v>
      </c>
      <c r="O26">
        <v>0.94247487586106959</v>
      </c>
      <c r="P26">
        <v>1.6010740975034066</v>
      </c>
      <c r="Q26">
        <v>0.60107409750340657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5.7525124138930406E-2</v>
      </c>
      <c r="AA26">
        <v>0</v>
      </c>
      <c r="AB26">
        <v>0</v>
      </c>
      <c r="AC26">
        <v>0</v>
      </c>
      <c r="AD26">
        <v>0</v>
      </c>
      <c r="AE26">
        <v>0.94247487586106959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1.0610362415086916</v>
      </c>
      <c r="AL26">
        <v>1.0610362415086916</v>
      </c>
      <c r="AM26">
        <v>1.6987976427919349</v>
      </c>
      <c r="AN26">
        <v>0.63776140128324332</v>
      </c>
      <c r="AO26">
        <v>0</v>
      </c>
      <c r="AP26">
        <v>0</v>
      </c>
      <c r="AQ26">
        <v>0</v>
      </c>
      <c r="AR26">
        <v>0</v>
      </c>
      <c r="AS26">
        <v>0.43896375849130842</v>
      </c>
      <c r="AT26">
        <v>6.103624150869158E-2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0.58865162913489977</v>
      </c>
      <c r="BI26">
        <v>0.58865162913489977</v>
      </c>
      <c r="BJ26">
        <v>0.62458071213526223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0.37541928786473777</v>
      </c>
      <c r="BV26">
        <v>0</v>
      </c>
      <c r="BW26">
        <v>0</v>
      </c>
      <c r="BX26">
        <v>0</v>
      </c>
      <c r="BY26">
        <v>0.58865162913489977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hidden="1" x14ac:dyDescent="0.25">
      <c r="A27" t="s">
        <v>128</v>
      </c>
      <c r="B27" t="s">
        <v>422</v>
      </c>
      <c r="C27" s="14" t="s">
        <v>72</v>
      </c>
      <c r="D27" s="12">
        <v>46225</v>
      </c>
      <c r="E27" s="14" t="s">
        <v>133</v>
      </c>
      <c r="F27" s="14" t="s">
        <v>75</v>
      </c>
      <c r="G27">
        <v>10.80347035538737</v>
      </c>
      <c r="H27">
        <v>6.6499999999999995</v>
      </c>
      <c r="I27">
        <v>20</v>
      </c>
      <c r="J27">
        <v>6.6499999999999995</v>
      </c>
      <c r="K27">
        <v>46225</v>
      </c>
      <c r="L27" t="s">
        <v>431</v>
      </c>
      <c r="M27">
        <v>6.6307438192668346</v>
      </c>
      <c r="N27">
        <v>0.61554294881587213</v>
      </c>
      <c r="O27">
        <v>0.61554294881587213</v>
      </c>
      <c r="P27">
        <v>0.6137605418577633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0.38445705118412787</v>
      </c>
      <c r="AB27">
        <v>0</v>
      </c>
      <c r="AC27">
        <v>1.7824069581088287E-3</v>
      </c>
      <c r="AD27">
        <v>0</v>
      </c>
      <c r="AE27">
        <v>0.6137605418577633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1.624582008328928</v>
      </c>
      <c r="AL27">
        <v>1.624582008328928</v>
      </c>
      <c r="AM27">
        <v>0.99710433372433616</v>
      </c>
      <c r="BD27">
        <v>0</v>
      </c>
      <c r="BE27">
        <v>0</v>
      </c>
      <c r="BF27">
        <v>0</v>
      </c>
      <c r="BH27">
        <v>1.0029040755091778</v>
      </c>
      <c r="BI27">
        <v>1.0029040755091778</v>
      </c>
      <c r="BJ27">
        <v>1.6292999171519669</v>
      </c>
      <c r="BK27">
        <v>0.62639584164278905</v>
      </c>
      <c r="BL27">
        <v>0</v>
      </c>
      <c r="BM27">
        <v>0</v>
      </c>
      <c r="BN27">
        <v>0</v>
      </c>
      <c r="BO27">
        <v>0</v>
      </c>
      <c r="BP27">
        <v>0.49709592449082218</v>
      </c>
      <c r="BQ27">
        <v>2.904075509177817E-3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hidden="1" x14ac:dyDescent="0.25">
      <c r="A28" t="s">
        <v>128</v>
      </c>
      <c r="B28" t="s">
        <v>291</v>
      </c>
      <c r="C28" s="14" t="s">
        <v>72</v>
      </c>
      <c r="D28" s="12">
        <v>46225</v>
      </c>
      <c r="E28" s="14" t="s">
        <v>133</v>
      </c>
      <c r="F28" s="14" t="s">
        <v>75</v>
      </c>
      <c r="G28">
        <v>10.80347035538737</v>
      </c>
      <c r="H28">
        <v>10.45</v>
      </c>
      <c r="I28">
        <v>20</v>
      </c>
      <c r="J28">
        <v>10.45</v>
      </c>
      <c r="K28">
        <v>46225</v>
      </c>
      <c r="L28" t="s">
        <v>431</v>
      </c>
      <c r="M28">
        <v>13.09891456582633</v>
      </c>
      <c r="N28">
        <v>0.96728177671065618</v>
      </c>
      <c r="O28">
        <v>0.96728177671065618</v>
      </c>
      <c r="P28">
        <v>1.2124728568625442</v>
      </c>
      <c r="Q28">
        <v>0.21247285686254425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3.2718223289343817E-2</v>
      </c>
      <c r="AA28">
        <v>0</v>
      </c>
      <c r="AB28">
        <v>0</v>
      </c>
      <c r="AC28">
        <v>0</v>
      </c>
      <c r="AD28">
        <v>0</v>
      </c>
      <c r="AE28">
        <v>0.96728177671065618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1.033824914391136</v>
      </c>
      <c r="AL28">
        <v>1.033824914391136</v>
      </c>
      <c r="AM28">
        <v>1.2534846474474959</v>
      </c>
      <c r="AN28">
        <v>0.21965973305635988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3.3824914391135996E-2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0.79777602544740112</v>
      </c>
      <c r="BI28">
        <v>0.79777602544740112</v>
      </c>
      <c r="BJ28">
        <v>0.8247607312114601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0.1752392687885399</v>
      </c>
      <c r="BV28">
        <v>0</v>
      </c>
      <c r="BW28">
        <v>0</v>
      </c>
      <c r="BX28">
        <v>0</v>
      </c>
      <c r="BY28">
        <v>0.79777602544740112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hidden="1" x14ac:dyDescent="0.25">
      <c r="A29" t="s">
        <v>128</v>
      </c>
      <c r="B29" t="s">
        <v>421</v>
      </c>
      <c r="C29" s="14" t="s">
        <v>72</v>
      </c>
      <c r="D29" s="12">
        <v>46226</v>
      </c>
      <c r="E29" s="14" t="s">
        <v>133</v>
      </c>
      <c r="F29" s="14" t="s">
        <v>73</v>
      </c>
      <c r="G29">
        <v>9.9337595944147079</v>
      </c>
      <c r="H29">
        <v>23.75</v>
      </c>
      <c r="I29">
        <v>20</v>
      </c>
      <c r="J29">
        <v>23.75</v>
      </c>
      <c r="K29">
        <v>46226</v>
      </c>
      <c r="L29" t="s">
        <v>432</v>
      </c>
      <c r="M29">
        <v>11.15179110105581</v>
      </c>
      <c r="N29">
        <v>2.3908370012652131</v>
      </c>
      <c r="O29">
        <v>2.3908370012652131</v>
      </c>
      <c r="P29">
        <v>1.1226153597803943</v>
      </c>
      <c r="Q29">
        <v>0</v>
      </c>
      <c r="R29">
        <v>0</v>
      </c>
      <c r="S29">
        <v>1.1408370012652131</v>
      </c>
      <c r="T29">
        <v>0</v>
      </c>
      <c r="U29">
        <v>0</v>
      </c>
      <c r="V29">
        <v>0</v>
      </c>
      <c r="W29">
        <v>0.12261535978039428</v>
      </c>
      <c r="X29">
        <v>0</v>
      </c>
      <c r="Y29">
        <v>0.12738464021960572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0.41826356187009295</v>
      </c>
      <c r="AL29">
        <v>0.41826356187009295</v>
      </c>
      <c r="AM29">
        <v>0.46954909899182357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0.53045090100817638</v>
      </c>
      <c r="AY29">
        <v>0</v>
      </c>
      <c r="AZ29">
        <v>0</v>
      </c>
      <c r="BA29">
        <v>0</v>
      </c>
      <c r="BB29">
        <v>0.41826356187009295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2.1297027342765986</v>
      </c>
      <c r="BI29">
        <v>2.1297027342765986</v>
      </c>
      <c r="BJ29">
        <v>0.89077705136300633</v>
      </c>
      <c r="CA29">
        <v>0</v>
      </c>
      <c r="CB29">
        <v>0</v>
      </c>
      <c r="CC29">
        <v>0</v>
      </c>
    </row>
    <row r="30" spans="1:82" hidden="1" x14ac:dyDescent="0.25">
      <c r="A30" t="s">
        <v>128</v>
      </c>
      <c r="B30" t="s">
        <v>291</v>
      </c>
      <c r="C30" s="14" t="s">
        <v>72</v>
      </c>
      <c r="D30" s="12">
        <v>46226</v>
      </c>
      <c r="E30" s="14" t="s">
        <v>133</v>
      </c>
      <c r="F30" s="14" t="s">
        <v>73</v>
      </c>
      <c r="G30">
        <v>11.731893589053469</v>
      </c>
      <c r="H30">
        <v>2.8499999999999996</v>
      </c>
      <c r="I30">
        <v>20</v>
      </c>
      <c r="J30">
        <v>2.8499999999999996</v>
      </c>
      <c r="K30">
        <v>46226</v>
      </c>
      <c r="L30" t="s">
        <v>432</v>
      </c>
      <c r="M30">
        <v>11.220238095238097</v>
      </c>
      <c r="N30">
        <v>0.24292753581222501</v>
      </c>
      <c r="O30">
        <v>0.24292753581222501</v>
      </c>
      <c r="P30">
        <v>0.95638764621145422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0.71346011039922919</v>
      </c>
      <c r="AA30">
        <v>4.3612353788545777E-2</v>
      </c>
      <c r="AB30">
        <v>0</v>
      </c>
      <c r="AC30">
        <v>0</v>
      </c>
      <c r="AD30">
        <v>0</v>
      </c>
      <c r="AE30">
        <v>0.24292753581222501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4.1164538908959543</v>
      </c>
      <c r="AL30">
        <v>4.1164538908959543</v>
      </c>
      <c r="AM30">
        <v>3.936925647451964</v>
      </c>
      <c r="BD30">
        <v>0</v>
      </c>
      <c r="BE30">
        <v>0</v>
      </c>
      <c r="BF30">
        <v>0</v>
      </c>
      <c r="BH30">
        <v>0.25400530503978774</v>
      </c>
      <c r="BI30">
        <v>0.25400530503978774</v>
      </c>
      <c r="BJ30">
        <v>1.0456011262392479</v>
      </c>
      <c r="BK30">
        <v>4.5601126239247947E-2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0.75707246418777496</v>
      </c>
      <c r="BU30">
        <v>0</v>
      </c>
      <c r="BV30">
        <v>0</v>
      </c>
      <c r="BW30">
        <v>0</v>
      </c>
      <c r="BX30">
        <v>0</v>
      </c>
      <c r="BY30">
        <v>0.25400530503978774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hidden="1" x14ac:dyDescent="0.25">
      <c r="A31" t="s">
        <v>128</v>
      </c>
      <c r="B31" t="s">
        <v>422</v>
      </c>
      <c r="C31" s="14" t="s">
        <v>72</v>
      </c>
      <c r="D31" s="12">
        <v>46226</v>
      </c>
      <c r="E31" s="14" t="s">
        <v>133</v>
      </c>
      <c r="F31" s="14" t="s">
        <v>73</v>
      </c>
      <c r="G31">
        <v>11.731893589053469</v>
      </c>
      <c r="H31">
        <v>14.25</v>
      </c>
      <c r="I31">
        <v>20</v>
      </c>
      <c r="J31">
        <v>14.25</v>
      </c>
      <c r="K31">
        <v>46226</v>
      </c>
      <c r="L31" t="s">
        <v>432</v>
      </c>
      <c r="M31">
        <v>9.1269607843137184</v>
      </c>
      <c r="N31">
        <v>1.2146376790611253</v>
      </c>
      <c r="O31">
        <v>1.2146376790611253</v>
      </c>
      <c r="P31">
        <v>0.77796143606601564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0.2146376790611253</v>
      </c>
      <c r="Z31">
        <v>0</v>
      </c>
      <c r="AA31">
        <v>0</v>
      </c>
      <c r="AB31">
        <v>0</v>
      </c>
      <c r="AC31">
        <v>0.22203856393398436</v>
      </c>
      <c r="AD31">
        <v>0</v>
      </c>
      <c r="AE31">
        <v>0.77796143606601564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0.82329077817919083</v>
      </c>
      <c r="AL31">
        <v>0.82329077817919083</v>
      </c>
      <c r="AM31">
        <v>0.64048847609219073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0.17670922182080917</v>
      </c>
      <c r="AY31">
        <v>0</v>
      </c>
      <c r="AZ31">
        <v>0.1828023020870001</v>
      </c>
      <c r="BA31">
        <v>0</v>
      </c>
      <c r="BB31">
        <v>0.64048847609219073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1.5613083409420496</v>
      </c>
      <c r="BI31">
        <v>1.5613083409420496</v>
      </c>
      <c r="BJ31">
        <v>1.2854107589918413</v>
      </c>
      <c r="CA31">
        <v>0</v>
      </c>
      <c r="CB31">
        <v>0</v>
      </c>
      <c r="CC31">
        <v>0</v>
      </c>
    </row>
    <row r="32" spans="1:82" hidden="1" x14ac:dyDescent="0.25">
      <c r="A32" t="s">
        <v>128</v>
      </c>
      <c r="B32" t="s">
        <v>291</v>
      </c>
      <c r="C32" s="14" t="s">
        <v>72</v>
      </c>
      <c r="D32" s="12">
        <v>46226</v>
      </c>
      <c r="E32" s="14" t="s">
        <v>133</v>
      </c>
      <c r="F32" s="14" t="s">
        <v>74</v>
      </c>
      <c r="G32">
        <v>4.220105607573192</v>
      </c>
      <c r="H32">
        <v>1.9</v>
      </c>
      <c r="I32">
        <v>20</v>
      </c>
      <c r="J32">
        <v>1.9</v>
      </c>
      <c r="K32">
        <v>46226</v>
      </c>
      <c r="L32" t="s">
        <v>433</v>
      </c>
      <c r="M32">
        <v>3.7291666666666665</v>
      </c>
      <c r="N32">
        <v>0.45022569970532356</v>
      </c>
      <c r="O32">
        <v>0.45022569970532356</v>
      </c>
      <c r="P32">
        <v>0.88366666937777316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0.43344096967244961</v>
      </c>
      <c r="AA32">
        <v>0.11633333062222684</v>
      </c>
      <c r="AB32">
        <v>0</v>
      </c>
      <c r="AC32">
        <v>0</v>
      </c>
      <c r="AD32">
        <v>0</v>
      </c>
      <c r="AE32">
        <v>0.45022569970532356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2.2211082145122063</v>
      </c>
      <c r="AL32">
        <v>2.2211082145122063</v>
      </c>
      <c r="AM32">
        <v>1.9627192982456141</v>
      </c>
      <c r="BD32">
        <v>0</v>
      </c>
      <c r="BE32">
        <v>0</v>
      </c>
      <c r="BF32">
        <v>0</v>
      </c>
      <c r="BH32">
        <v>0.50949720670391063</v>
      </c>
      <c r="BI32">
        <v>0.50949720670391063</v>
      </c>
      <c r="BJ32">
        <v>1.1316484310810795</v>
      </c>
      <c r="BK32">
        <v>0.13164843108107949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0.54977430029467644</v>
      </c>
      <c r="BU32">
        <v>0</v>
      </c>
      <c r="BV32">
        <v>0</v>
      </c>
      <c r="BW32">
        <v>0</v>
      </c>
      <c r="BX32">
        <v>0</v>
      </c>
      <c r="BY32">
        <v>0.50949720670391063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hidden="1" x14ac:dyDescent="0.25">
      <c r="A33" t="s">
        <v>128</v>
      </c>
      <c r="B33" t="s">
        <v>422</v>
      </c>
      <c r="C33" s="14" t="s">
        <v>72</v>
      </c>
      <c r="D33" s="12">
        <v>46226</v>
      </c>
      <c r="E33" s="14" t="s">
        <v>133</v>
      </c>
      <c r="F33" s="14" t="s">
        <v>74</v>
      </c>
      <c r="G33">
        <v>4.220105607573192</v>
      </c>
      <c r="H33">
        <v>2.8499999999999996</v>
      </c>
      <c r="I33">
        <v>20</v>
      </c>
      <c r="J33">
        <v>2.8499999999999996</v>
      </c>
      <c r="K33">
        <v>46226</v>
      </c>
      <c r="L33" t="s">
        <v>433</v>
      </c>
      <c r="M33">
        <v>2.235294117647058</v>
      </c>
      <c r="N33">
        <v>0.67533854955798522</v>
      </c>
      <c r="O33">
        <v>0.67533854955798522</v>
      </c>
      <c r="P33">
        <v>0.52967729377096873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0.32466145044201478</v>
      </c>
      <c r="AB33">
        <v>0</v>
      </c>
      <c r="AC33">
        <v>0.1456612557870165</v>
      </c>
      <c r="AD33">
        <v>0</v>
      </c>
      <c r="AE33">
        <v>0.52967729377096873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1.4807388096748044</v>
      </c>
      <c r="AL33">
        <v>1.4807388096748044</v>
      </c>
      <c r="AM33">
        <v>0.78431372549019585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0.48073880967480442</v>
      </c>
      <c r="AW33">
        <v>0</v>
      </c>
      <c r="AX33">
        <v>0</v>
      </c>
      <c r="AY33">
        <v>0</v>
      </c>
      <c r="AZ33">
        <v>0.21568627450980415</v>
      </c>
      <c r="BA33">
        <v>0</v>
      </c>
      <c r="BB33">
        <v>0.78431372549019585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1.2750000000000004</v>
      </c>
      <c r="BI33">
        <v>1.2750000000000004</v>
      </c>
      <c r="BJ33">
        <v>1.887941982335376</v>
      </c>
      <c r="BK33">
        <v>0.61294198233537567</v>
      </c>
      <c r="BL33">
        <v>0</v>
      </c>
      <c r="BM33">
        <v>0</v>
      </c>
      <c r="BN33">
        <v>0</v>
      </c>
      <c r="BO33">
        <v>0</v>
      </c>
      <c r="BP33">
        <v>0.22499999999999964</v>
      </c>
      <c r="BQ33">
        <v>0.27500000000000036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hidden="1" x14ac:dyDescent="0.25">
      <c r="A34" t="s">
        <v>128</v>
      </c>
      <c r="B34" t="s">
        <v>421</v>
      </c>
      <c r="C34" s="14" t="s">
        <v>72</v>
      </c>
      <c r="D34" s="12">
        <v>46226</v>
      </c>
      <c r="E34" s="14" t="s">
        <v>133</v>
      </c>
      <c r="F34" s="14" t="s">
        <v>74</v>
      </c>
      <c r="G34">
        <v>4.440974877503046</v>
      </c>
      <c r="H34">
        <v>2.8499999999999996</v>
      </c>
      <c r="I34">
        <v>20</v>
      </c>
      <c r="J34">
        <v>2.8499999999999996</v>
      </c>
      <c r="K34">
        <v>46226</v>
      </c>
      <c r="L34" t="s">
        <v>433</v>
      </c>
      <c r="M34">
        <v>12.054594302756067</v>
      </c>
      <c r="N34">
        <v>0.64175098455013602</v>
      </c>
      <c r="O34">
        <v>0.64175098455013602</v>
      </c>
      <c r="P34">
        <v>2.7144027235600587</v>
      </c>
      <c r="Q34">
        <v>1.7144027235600587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0.35824901544986398</v>
      </c>
      <c r="AA34">
        <v>0</v>
      </c>
      <c r="AB34">
        <v>0</v>
      </c>
      <c r="AC34">
        <v>0</v>
      </c>
      <c r="AD34">
        <v>0</v>
      </c>
      <c r="AE34">
        <v>0.64175098455013602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1.5582367991238759</v>
      </c>
      <c r="AL34">
        <v>1.5582367991238759</v>
      </c>
      <c r="AM34">
        <v>4.2296822114933574</v>
      </c>
      <c r="BD34">
        <v>0</v>
      </c>
      <c r="BE34">
        <v>0</v>
      </c>
      <c r="BF34">
        <v>0</v>
      </c>
      <c r="BH34">
        <v>0.23642438131230997</v>
      </c>
      <c r="BI34">
        <v>0.23642438131230997</v>
      </c>
      <c r="BJ34">
        <v>0.36840517117093657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0.63159482882906337</v>
      </c>
      <c r="BV34">
        <v>0</v>
      </c>
      <c r="BW34">
        <v>0</v>
      </c>
      <c r="BX34">
        <v>0</v>
      </c>
      <c r="BY34">
        <v>0.23642438131230997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hidden="1" x14ac:dyDescent="0.25">
      <c r="A35" t="s">
        <v>128</v>
      </c>
      <c r="B35" t="s">
        <v>291</v>
      </c>
      <c r="C35" s="14" t="s">
        <v>72</v>
      </c>
      <c r="D35" s="12">
        <v>46226</v>
      </c>
      <c r="E35" s="14" t="s">
        <v>133</v>
      </c>
      <c r="F35" s="14" t="s">
        <v>75</v>
      </c>
      <c r="G35">
        <v>10.972274579690296</v>
      </c>
      <c r="H35">
        <v>38</v>
      </c>
      <c r="I35">
        <v>20</v>
      </c>
      <c r="J35">
        <v>38</v>
      </c>
      <c r="K35">
        <v>46226</v>
      </c>
      <c r="L35" t="s">
        <v>434</v>
      </c>
      <c r="M35">
        <v>12.225260416666666</v>
      </c>
      <c r="N35">
        <v>3.4632746131178744</v>
      </c>
      <c r="O35">
        <v>3.4632746131178744</v>
      </c>
      <c r="P35">
        <v>1.1141956326262241</v>
      </c>
      <c r="Q35">
        <v>0</v>
      </c>
      <c r="R35">
        <v>0</v>
      </c>
      <c r="S35">
        <v>2.2132746131178744</v>
      </c>
      <c r="T35">
        <v>0</v>
      </c>
      <c r="U35">
        <v>0</v>
      </c>
      <c r="V35">
        <v>0</v>
      </c>
      <c r="W35">
        <v>0.11419563262622412</v>
      </c>
      <c r="X35">
        <v>0</v>
      </c>
      <c r="Y35">
        <v>0.13580436737377588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0.28874406788658674</v>
      </c>
      <c r="AL35">
        <v>0.28874406788658674</v>
      </c>
      <c r="AM35">
        <v>0.3217173793859649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0.6782826206140351</v>
      </c>
      <c r="AY35">
        <v>0</v>
      </c>
      <c r="AZ35">
        <v>0</v>
      </c>
      <c r="BA35">
        <v>0</v>
      </c>
      <c r="BB35">
        <v>0.28874406788658674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3.1083182447544999</v>
      </c>
      <c r="BI35">
        <v>3.1083182447544999</v>
      </c>
      <c r="BJ35">
        <v>0.89750845427650949</v>
      </c>
      <c r="CA35">
        <v>0</v>
      </c>
      <c r="CB35">
        <v>0</v>
      </c>
      <c r="CC35">
        <v>0</v>
      </c>
    </row>
    <row r="36" spans="1:82" hidden="1" x14ac:dyDescent="0.25">
      <c r="A36" t="s">
        <v>128</v>
      </c>
      <c r="B36" t="s">
        <v>421</v>
      </c>
      <c r="C36" s="14" t="s">
        <v>72</v>
      </c>
      <c r="D36" s="12">
        <v>46226</v>
      </c>
      <c r="E36" s="14" t="s">
        <v>133</v>
      </c>
      <c r="F36" s="14" t="s">
        <v>75</v>
      </c>
      <c r="G36">
        <v>8.005441555498912</v>
      </c>
      <c r="H36">
        <v>6.6499999999999995</v>
      </c>
      <c r="I36">
        <v>20</v>
      </c>
      <c r="J36">
        <v>6.6499999999999995</v>
      </c>
      <c r="K36">
        <v>46226</v>
      </c>
      <c r="L36" t="s">
        <v>434</v>
      </c>
      <c r="M36">
        <v>12.06515172939806</v>
      </c>
      <c r="N36">
        <v>0.83068497270236596</v>
      </c>
      <c r="O36">
        <v>0.83068497270236596</v>
      </c>
      <c r="P36">
        <v>1.5071188323285611</v>
      </c>
      <c r="Q36">
        <v>0.50711883232856114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0.16931502729763404</v>
      </c>
      <c r="AA36">
        <v>0</v>
      </c>
      <c r="AB36">
        <v>0</v>
      </c>
      <c r="AC36">
        <v>0</v>
      </c>
      <c r="AD36">
        <v>0</v>
      </c>
      <c r="AE36">
        <v>0.83068497270236596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1.2038257978193854</v>
      </c>
      <c r="AL36">
        <v>1.2038257978193854</v>
      </c>
      <c r="AM36">
        <v>1.8143085307365505</v>
      </c>
      <c r="AN36">
        <v>0.61048273291716515</v>
      </c>
      <c r="AO36">
        <v>0</v>
      </c>
      <c r="AP36">
        <v>0</v>
      </c>
      <c r="AQ36">
        <v>0</v>
      </c>
      <c r="AR36">
        <v>0</v>
      </c>
      <c r="AS36">
        <v>0.29617420218061463</v>
      </c>
      <c r="AT36">
        <v>0.20382579781938537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0.55117417079774866</v>
      </c>
      <c r="BI36">
        <v>0.55117417079774866</v>
      </c>
      <c r="BJ36">
        <v>0.66351768589803795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0.33648231410196205</v>
      </c>
      <c r="BV36">
        <v>0</v>
      </c>
      <c r="BW36">
        <v>0</v>
      </c>
      <c r="BX36">
        <v>0</v>
      </c>
      <c r="BY36">
        <v>0.55117417079774866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hidden="1" x14ac:dyDescent="0.25">
      <c r="A37" t="s">
        <v>128</v>
      </c>
      <c r="B37" t="s">
        <v>422</v>
      </c>
      <c r="C37" s="14" t="s">
        <v>72</v>
      </c>
      <c r="D37" s="12">
        <v>46226</v>
      </c>
      <c r="E37" s="14" t="s">
        <v>133</v>
      </c>
      <c r="F37" s="14" t="s">
        <v>75</v>
      </c>
      <c r="G37">
        <v>10.972274579690296</v>
      </c>
      <c r="H37">
        <v>6.6499999999999995</v>
      </c>
      <c r="I37">
        <v>20</v>
      </c>
      <c r="J37">
        <v>6.6499999999999995</v>
      </c>
      <c r="K37">
        <v>46226</v>
      </c>
      <c r="L37" t="s">
        <v>434</v>
      </c>
      <c r="M37">
        <v>6.159803921568626</v>
      </c>
      <c r="N37">
        <v>0.60607305729562799</v>
      </c>
      <c r="O37">
        <v>0.60607305729562799</v>
      </c>
      <c r="P37">
        <v>0.56139717219348817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0.39392694270437201</v>
      </c>
      <c r="AB37">
        <v>0</v>
      </c>
      <c r="AC37">
        <v>4.4675885102139823E-2</v>
      </c>
      <c r="AD37">
        <v>0</v>
      </c>
      <c r="AE37">
        <v>0.56139717219348817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1.6499661022090673</v>
      </c>
      <c r="AL37">
        <v>1.6499661022090673</v>
      </c>
      <c r="AM37">
        <v>0.92628630399528222</v>
      </c>
      <c r="BD37">
        <v>0</v>
      </c>
      <c r="BE37">
        <v>0</v>
      </c>
      <c r="BF37">
        <v>0</v>
      </c>
      <c r="BH37">
        <v>1.0795798185580139</v>
      </c>
      <c r="BI37">
        <v>1.0795798185580139</v>
      </c>
      <c r="BJ37">
        <v>1.7812701052497382</v>
      </c>
      <c r="BK37">
        <v>0.70169028669172429</v>
      </c>
      <c r="BL37">
        <v>0</v>
      </c>
      <c r="BM37">
        <v>0</v>
      </c>
      <c r="BN37">
        <v>0</v>
      </c>
      <c r="BO37">
        <v>0</v>
      </c>
      <c r="BP37">
        <v>0.42042018144198612</v>
      </c>
      <c r="BQ37">
        <v>7.9579818558013882E-2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hidden="1" x14ac:dyDescent="0.25">
      <c r="A38" t="s">
        <v>128</v>
      </c>
      <c r="B38" t="s">
        <v>421</v>
      </c>
      <c r="C38" s="14" t="s">
        <v>72</v>
      </c>
      <c r="D38" s="12">
        <v>46227</v>
      </c>
      <c r="E38" s="14" t="s">
        <v>133</v>
      </c>
      <c r="F38" s="14" t="s">
        <v>73</v>
      </c>
      <c r="G38">
        <v>9.9337595944147079</v>
      </c>
      <c r="H38">
        <v>8.5499999999999989</v>
      </c>
      <c r="I38">
        <v>20</v>
      </c>
      <c r="J38">
        <v>8.5499999999999989</v>
      </c>
      <c r="K38">
        <v>46227</v>
      </c>
      <c r="L38" t="s">
        <v>157</v>
      </c>
      <c r="M38">
        <v>12.144228698180909</v>
      </c>
      <c r="N38">
        <v>0.86070132045547665</v>
      </c>
      <c r="O38">
        <v>0.86070132045547665</v>
      </c>
      <c r="P38">
        <v>1.2225208978289595</v>
      </c>
      <c r="Q38">
        <v>0.22252089782895945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0.13929867954452335</v>
      </c>
      <c r="AA38">
        <v>0</v>
      </c>
      <c r="AB38">
        <v>0</v>
      </c>
      <c r="AC38">
        <v>0</v>
      </c>
      <c r="AD38">
        <v>0</v>
      </c>
      <c r="AE38">
        <v>0.86070132045547665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1.161843227416925</v>
      </c>
      <c r="AL38">
        <v>1.161843227416925</v>
      </c>
      <c r="AM38">
        <v>1.4203776255182352</v>
      </c>
      <c r="AN38">
        <v>0.25853439810131018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0.16184322741692503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0.70403812481567551</v>
      </c>
      <c r="BI38">
        <v>0.70403812481567551</v>
      </c>
      <c r="BJ38">
        <v>0.8179819271604043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0.1820180728395957</v>
      </c>
      <c r="BV38">
        <v>0</v>
      </c>
      <c r="BW38">
        <v>0</v>
      </c>
      <c r="BX38">
        <v>0</v>
      </c>
      <c r="BY38">
        <v>0.70403812481567551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hidden="1" x14ac:dyDescent="0.25">
      <c r="A39" t="s">
        <v>128</v>
      </c>
      <c r="B39" t="s">
        <v>291</v>
      </c>
      <c r="C39" s="14" t="s">
        <v>72</v>
      </c>
      <c r="D39" s="12">
        <v>46227</v>
      </c>
      <c r="E39" s="14" t="s">
        <v>133</v>
      </c>
      <c r="F39" s="14" t="s">
        <v>73</v>
      </c>
      <c r="G39">
        <v>10.972274579690296</v>
      </c>
      <c r="H39">
        <v>12.35</v>
      </c>
      <c r="I39">
        <v>20</v>
      </c>
      <c r="J39">
        <v>12.35</v>
      </c>
      <c r="K39">
        <v>46227</v>
      </c>
      <c r="L39" t="s">
        <v>157</v>
      </c>
      <c r="M39">
        <v>11.229166666666668</v>
      </c>
      <c r="N39">
        <v>1.1255642492633091</v>
      </c>
      <c r="O39">
        <v>1.1255642492633091</v>
      </c>
      <c r="P39">
        <v>1.0234128379772667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2.3412837977266676E-2</v>
      </c>
      <c r="X39">
        <v>0</v>
      </c>
      <c r="Y39">
        <v>0.10215141128604244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0.8884432858048823</v>
      </c>
      <c r="AL39">
        <v>0.8884432858048823</v>
      </c>
      <c r="AM39">
        <v>0.90924426450742257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9.0755735492577427E-2</v>
      </c>
      <c r="AY39">
        <v>0</v>
      </c>
      <c r="AZ39">
        <v>0</v>
      </c>
      <c r="BA39">
        <v>0</v>
      </c>
      <c r="BB39">
        <v>0.8884432858048823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1.0998144712430424</v>
      </c>
      <c r="BI39">
        <v>1.0998144712430424</v>
      </c>
      <c r="BJ39">
        <v>0.97712278260692798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9.9814471243042435E-2</v>
      </c>
      <c r="BT39">
        <v>0</v>
      </c>
      <c r="BU39">
        <v>0</v>
      </c>
      <c r="BV39">
        <v>0</v>
      </c>
      <c r="BW39">
        <v>2.2877217393072025E-2</v>
      </c>
      <c r="BX39">
        <v>0</v>
      </c>
      <c r="BY39">
        <v>0.97712278260692798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hidden="1" x14ac:dyDescent="0.25">
      <c r="A40" t="s">
        <v>128</v>
      </c>
      <c r="B40" t="s">
        <v>422</v>
      </c>
      <c r="C40" s="14" t="s">
        <v>72</v>
      </c>
      <c r="D40" s="12">
        <v>46227</v>
      </c>
      <c r="E40" s="14" t="s">
        <v>133</v>
      </c>
      <c r="F40" s="14" t="s">
        <v>73</v>
      </c>
      <c r="G40">
        <v>10.972274579690296</v>
      </c>
      <c r="H40">
        <v>22.799999999999997</v>
      </c>
      <c r="I40">
        <v>20</v>
      </c>
      <c r="J40">
        <v>22.799999999999997</v>
      </c>
      <c r="K40">
        <v>46227</v>
      </c>
      <c r="L40" t="s">
        <v>157</v>
      </c>
      <c r="M40">
        <v>8.2882352941176443</v>
      </c>
      <c r="N40">
        <v>2.0779647678707245</v>
      </c>
      <c r="O40">
        <v>2.0779647678707245</v>
      </c>
      <c r="P40">
        <v>0.75537986530697887</v>
      </c>
      <c r="Q40">
        <v>0</v>
      </c>
      <c r="R40">
        <v>0</v>
      </c>
      <c r="S40">
        <v>0.82796476787072448</v>
      </c>
      <c r="T40">
        <v>0</v>
      </c>
      <c r="U40">
        <v>0</v>
      </c>
      <c r="V40">
        <v>0</v>
      </c>
      <c r="W40">
        <v>0</v>
      </c>
      <c r="X40">
        <v>0</v>
      </c>
      <c r="Y40">
        <v>0.25</v>
      </c>
      <c r="Z40">
        <v>0</v>
      </c>
      <c r="AA40">
        <v>0</v>
      </c>
      <c r="AB40">
        <v>0</v>
      </c>
      <c r="AC40">
        <v>0.24462013469302113</v>
      </c>
      <c r="AD40">
        <v>0</v>
      </c>
      <c r="AE40">
        <v>0.75537986530697887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0.48124011314431131</v>
      </c>
      <c r="AL40">
        <v>0.48124011314431131</v>
      </c>
      <c r="AM40">
        <v>0.36351909184726516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0.51875988685568863</v>
      </c>
      <c r="AY40">
        <v>0</v>
      </c>
      <c r="AZ40">
        <v>0.11772102129704615</v>
      </c>
      <c r="BA40">
        <v>0</v>
      </c>
      <c r="BB40">
        <v>0.36351909184726516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2.7508871540099369</v>
      </c>
      <c r="BI40">
        <v>2.7508871540099369</v>
      </c>
      <c r="BJ40">
        <v>1.3238372452429745</v>
      </c>
      <c r="CA40">
        <v>0</v>
      </c>
      <c r="CB40">
        <v>0</v>
      </c>
      <c r="CC40">
        <v>0</v>
      </c>
    </row>
    <row r="41" spans="1:82" hidden="1" x14ac:dyDescent="0.25">
      <c r="A41" t="s">
        <v>128</v>
      </c>
      <c r="B41" t="s">
        <v>291</v>
      </c>
      <c r="C41" s="14" t="s">
        <v>72</v>
      </c>
      <c r="D41" s="12">
        <v>46227</v>
      </c>
      <c r="E41" s="14" t="s">
        <v>133</v>
      </c>
      <c r="F41" s="14" t="s">
        <v>74</v>
      </c>
      <c r="G41">
        <v>4.220105607573192</v>
      </c>
      <c r="H41">
        <v>29.45</v>
      </c>
      <c r="I41">
        <v>20</v>
      </c>
      <c r="J41">
        <v>29.45</v>
      </c>
      <c r="K41">
        <v>46227</v>
      </c>
      <c r="L41" t="s">
        <v>156</v>
      </c>
      <c r="M41">
        <v>6.532738095238094</v>
      </c>
      <c r="N41">
        <v>6.9784983454325156</v>
      </c>
      <c r="O41">
        <v>6.9784983454325156</v>
      </c>
      <c r="P41">
        <v>1.5480034631158914</v>
      </c>
      <c r="Q41">
        <v>0</v>
      </c>
      <c r="R41">
        <v>0</v>
      </c>
      <c r="S41">
        <v>5.4304948823166246</v>
      </c>
      <c r="T41">
        <v>0</v>
      </c>
      <c r="U41">
        <v>0.29800346311589143</v>
      </c>
      <c r="V41">
        <v>0</v>
      </c>
      <c r="W41">
        <v>0.25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0.14329730416207784</v>
      </c>
      <c r="AL41">
        <v>0.14329730416207784</v>
      </c>
      <c r="AM41">
        <v>0.22182472309806772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0.77817527690193233</v>
      </c>
      <c r="AY41">
        <v>0</v>
      </c>
      <c r="AZ41">
        <v>0</v>
      </c>
      <c r="BA41">
        <v>0</v>
      </c>
      <c r="BB41">
        <v>0.14329730416207784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4.5080637813211855</v>
      </c>
      <c r="BI41">
        <v>4.5080637813211855</v>
      </c>
      <c r="BJ41">
        <v>0.64599338685402863</v>
      </c>
      <c r="CA41">
        <v>0</v>
      </c>
      <c r="CB41">
        <v>0</v>
      </c>
      <c r="CC41">
        <v>0</v>
      </c>
    </row>
    <row r="42" spans="1:82" hidden="1" x14ac:dyDescent="0.25">
      <c r="A42" t="s">
        <v>128</v>
      </c>
      <c r="B42" t="s">
        <v>422</v>
      </c>
      <c r="C42" s="14" t="s">
        <v>72</v>
      </c>
      <c r="D42" s="12">
        <v>46227</v>
      </c>
      <c r="E42" s="14" t="s">
        <v>133</v>
      </c>
      <c r="F42" s="14" t="s">
        <v>74</v>
      </c>
      <c r="G42">
        <v>4.220105607573192</v>
      </c>
      <c r="H42">
        <v>3.8</v>
      </c>
      <c r="I42">
        <v>20</v>
      </c>
      <c r="J42">
        <v>3.8</v>
      </c>
      <c r="K42">
        <v>46227</v>
      </c>
      <c r="L42" t="s">
        <v>156</v>
      </c>
      <c r="M42">
        <v>3.2058823529411757</v>
      </c>
      <c r="N42">
        <v>0.90045139941064711</v>
      </c>
      <c r="O42">
        <v>0.90045139941064711</v>
      </c>
      <c r="P42">
        <v>0.75966875027678415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9.9548600589352887E-2</v>
      </c>
      <c r="AB42">
        <v>0</v>
      </c>
      <c r="AC42">
        <v>0.14078264913386296</v>
      </c>
      <c r="AD42">
        <v>0</v>
      </c>
      <c r="AE42">
        <v>0.75966875027678415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1.1105541072561032</v>
      </c>
      <c r="AL42">
        <v>1.1105541072561032</v>
      </c>
      <c r="AM42">
        <v>0.84365325077399367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0.11055410725610315</v>
      </c>
      <c r="AW42">
        <v>0</v>
      </c>
      <c r="AX42">
        <v>0</v>
      </c>
      <c r="AY42">
        <v>0</v>
      </c>
      <c r="AZ42">
        <v>0.15634674922600633</v>
      </c>
      <c r="BA42">
        <v>0</v>
      </c>
      <c r="BB42">
        <v>0.84365325077399367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1.1853211009174314</v>
      </c>
      <c r="BI42">
        <v>1.1853211009174314</v>
      </c>
      <c r="BJ42">
        <v>1.3163632170411794</v>
      </c>
      <c r="BK42">
        <v>0.13104211612374805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0.18532110091743137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hidden="1" x14ac:dyDescent="0.25">
      <c r="A43" t="s">
        <v>128</v>
      </c>
      <c r="B43" t="s">
        <v>421</v>
      </c>
      <c r="C43" s="14" t="s">
        <v>72</v>
      </c>
      <c r="D43" s="12">
        <v>46227</v>
      </c>
      <c r="E43" s="14" t="s">
        <v>133</v>
      </c>
      <c r="F43" s="14" t="s">
        <v>74</v>
      </c>
      <c r="G43">
        <v>4.440974877503046</v>
      </c>
      <c r="H43">
        <v>3.8</v>
      </c>
      <c r="I43">
        <v>20</v>
      </c>
      <c r="J43">
        <v>3.8</v>
      </c>
      <c r="K43">
        <v>46227</v>
      </c>
      <c r="L43" t="s">
        <v>156</v>
      </c>
      <c r="M43">
        <v>14.947830768580642</v>
      </c>
      <c r="N43">
        <v>0.85566797940018147</v>
      </c>
      <c r="O43">
        <v>0.85566797940018147</v>
      </c>
      <c r="P43">
        <v>3.3658895132019109</v>
      </c>
      <c r="Q43">
        <v>2.3658895132019109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0.14433202059981853</v>
      </c>
      <c r="AA43">
        <v>0</v>
      </c>
      <c r="AB43">
        <v>0</v>
      </c>
      <c r="AC43">
        <v>0</v>
      </c>
      <c r="AD43">
        <v>0</v>
      </c>
      <c r="AE43">
        <v>0.85566797940018147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1.1686775993429068</v>
      </c>
      <c r="AL43">
        <v>1.1686775993429068</v>
      </c>
      <c r="AM43">
        <v>3.9336396759422745</v>
      </c>
      <c r="AN43">
        <v>2.7649620765993674</v>
      </c>
      <c r="AO43">
        <v>0</v>
      </c>
      <c r="AP43">
        <v>0</v>
      </c>
      <c r="AQ43">
        <v>0</v>
      </c>
      <c r="AR43">
        <v>0</v>
      </c>
      <c r="AS43">
        <v>0.33132240065709317</v>
      </c>
      <c r="AT43">
        <v>0.16867759934290683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0.25421748873337191</v>
      </c>
      <c r="BI43">
        <v>0.25421748873337191</v>
      </c>
      <c r="BJ43">
        <v>0.29709828444389957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0.70290171555610037</v>
      </c>
      <c r="BV43">
        <v>0</v>
      </c>
      <c r="BW43">
        <v>0</v>
      </c>
      <c r="BX43">
        <v>0</v>
      </c>
      <c r="BY43">
        <v>0.25421748873337191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hidden="1" x14ac:dyDescent="0.25">
      <c r="A44" t="s">
        <v>128</v>
      </c>
      <c r="B44" t="s">
        <v>422</v>
      </c>
      <c r="C44" s="14" t="s">
        <v>72</v>
      </c>
      <c r="D44" s="12">
        <v>46227</v>
      </c>
      <c r="E44" s="14" t="s">
        <v>133</v>
      </c>
      <c r="F44" s="14" t="s">
        <v>75</v>
      </c>
      <c r="G44">
        <v>11.028542654457937</v>
      </c>
      <c r="H44">
        <v>6.6499999999999995</v>
      </c>
      <c r="I44">
        <v>20</v>
      </c>
      <c r="J44">
        <v>6.6499999999999995</v>
      </c>
      <c r="K44">
        <v>46227</v>
      </c>
      <c r="L44" t="s">
        <v>155</v>
      </c>
      <c r="M44">
        <v>7.4838235294117599</v>
      </c>
      <c r="N44">
        <v>0.60298084781963002</v>
      </c>
      <c r="O44">
        <v>0.60298084781963002</v>
      </c>
      <c r="P44">
        <v>0.6785868055183758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7.5605957698745785E-2</v>
      </c>
      <c r="AA44">
        <v>0.3214131944816242</v>
      </c>
      <c r="AB44">
        <v>0</v>
      </c>
      <c r="AC44">
        <v>0</v>
      </c>
      <c r="AD44">
        <v>0</v>
      </c>
      <c r="AE44">
        <v>0.60298084781963002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1.6584274668357801</v>
      </c>
      <c r="AL44">
        <v>1.6584274668357801</v>
      </c>
      <c r="AM44">
        <v>1.1253869969040242</v>
      </c>
      <c r="BD44">
        <v>0</v>
      </c>
      <c r="BE44">
        <v>0</v>
      </c>
      <c r="BF44">
        <v>0</v>
      </c>
      <c r="BH44">
        <v>0.88858321870701562</v>
      </c>
      <c r="BI44">
        <v>0.88858321870701562</v>
      </c>
      <c r="BJ44">
        <v>1.47365081647306</v>
      </c>
      <c r="BK44">
        <v>0.47365081647305995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0.39701915218036998</v>
      </c>
      <c r="BU44">
        <v>0</v>
      </c>
      <c r="BV44">
        <v>0</v>
      </c>
      <c r="BW44">
        <v>0</v>
      </c>
      <c r="BX44">
        <v>0</v>
      </c>
      <c r="BY44">
        <v>0.88858321870701562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hidden="1" x14ac:dyDescent="0.25">
      <c r="A45" t="s">
        <v>128</v>
      </c>
      <c r="B45" t="s">
        <v>291</v>
      </c>
      <c r="C45" s="14" t="s">
        <v>72</v>
      </c>
      <c r="D45" s="12">
        <v>46227</v>
      </c>
      <c r="E45" s="14" t="s">
        <v>133</v>
      </c>
      <c r="F45" s="14" t="s">
        <v>75</v>
      </c>
      <c r="G45">
        <v>11.028542654457937</v>
      </c>
      <c r="H45">
        <v>0.95</v>
      </c>
      <c r="I45">
        <v>20</v>
      </c>
      <c r="J45">
        <v>0.95</v>
      </c>
      <c r="K45">
        <v>46227</v>
      </c>
      <c r="L45" t="s">
        <v>155</v>
      </c>
      <c r="M45">
        <v>12.157738095238097</v>
      </c>
      <c r="N45">
        <v>8.6140121117090004E-2</v>
      </c>
      <c r="O45">
        <v>8.6140121117090004E-2</v>
      </c>
      <c r="P45">
        <v>1.1023884547722831</v>
      </c>
      <c r="Q45">
        <v>0.10238845477228309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0.91385987888290998</v>
      </c>
      <c r="AA45">
        <v>0</v>
      </c>
      <c r="AB45">
        <v>0</v>
      </c>
      <c r="AC45">
        <v>0</v>
      </c>
      <c r="AD45">
        <v>0</v>
      </c>
      <c r="AE45">
        <v>8.6140121117090004E-2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11.608992267850461</v>
      </c>
      <c r="AL45">
        <v>11.608992267850461</v>
      </c>
      <c r="AM45">
        <v>12.797619047619049</v>
      </c>
      <c r="BD45">
        <v>0</v>
      </c>
      <c r="BE45">
        <v>0</v>
      </c>
      <c r="BF45">
        <v>0</v>
      </c>
      <c r="BH45">
        <v>7.8139534883720912E-2</v>
      </c>
      <c r="BI45">
        <v>7.8139534883720912E-2</v>
      </c>
      <c r="BJ45">
        <v>0.90712125627854745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9.287874372145255E-2</v>
      </c>
      <c r="BV45">
        <v>0</v>
      </c>
      <c r="BW45">
        <v>0</v>
      </c>
      <c r="BX45">
        <v>0</v>
      </c>
      <c r="BY45">
        <v>7.8139534883720912E-2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hidden="1" x14ac:dyDescent="0.25">
      <c r="A46" t="s">
        <v>128</v>
      </c>
      <c r="B46" t="s">
        <v>421</v>
      </c>
      <c r="C46" s="14" t="s">
        <v>72</v>
      </c>
      <c r="D46" s="12">
        <v>46227</v>
      </c>
      <c r="E46" s="14" t="s">
        <v>133</v>
      </c>
      <c r="F46" s="14" t="s">
        <v>75</v>
      </c>
      <c r="G46">
        <v>8.0638754354660538</v>
      </c>
      <c r="H46">
        <v>6.6499999999999995</v>
      </c>
      <c r="I46">
        <v>20</v>
      </c>
      <c r="J46">
        <v>6.6499999999999995</v>
      </c>
      <c r="K46">
        <v>46227</v>
      </c>
      <c r="L46" t="s">
        <v>155</v>
      </c>
      <c r="M46">
        <v>16.244212339103296</v>
      </c>
      <c r="N46">
        <v>0.8246655163784361</v>
      </c>
      <c r="O46">
        <v>0.8246655163784361</v>
      </c>
      <c r="P46">
        <v>2.0144423694417419</v>
      </c>
      <c r="Q46">
        <v>1.0144423694417419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0.1753344836215639</v>
      </c>
      <c r="AA46">
        <v>0</v>
      </c>
      <c r="AB46">
        <v>0</v>
      </c>
      <c r="AC46">
        <v>0</v>
      </c>
      <c r="AD46">
        <v>0</v>
      </c>
      <c r="AE46">
        <v>0.8246655163784361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1.2126128474385045</v>
      </c>
      <c r="AL46">
        <v>1.2126128474385045</v>
      </c>
      <c r="AM46">
        <v>2.4427386976095185</v>
      </c>
      <c r="AN46">
        <v>1.2301258501710139</v>
      </c>
      <c r="AO46">
        <v>0</v>
      </c>
      <c r="AP46">
        <v>0</v>
      </c>
      <c r="AQ46">
        <v>0</v>
      </c>
      <c r="AR46">
        <v>0</v>
      </c>
      <c r="AS46">
        <v>0.2873871525614955</v>
      </c>
      <c r="AT46">
        <v>0.2126128474385045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0.40937657432561542</v>
      </c>
      <c r="BI46">
        <v>0.40937657432561542</v>
      </c>
      <c r="BJ46">
        <v>0.49641529346760505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0.50358470653239495</v>
      </c>
      <c r="BV46">
        <v>0</v>
      </c>
      <c r="BW46">
        <v>0</v>
      </c>
      <c r="BX46">
        <v>0</v>
      </c>
      <c r="BY46">
        <v>0.40937657432561542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hidden="1" x14ac:dyDescent="0.25">
      <c r="A47" t="s">
        <v>128</v>
      </c>
      <c r="B47" t="s">
        <v>421</v>
      </c>
      <c r="C47" s="14" t="s">
        <v>72</v>
      </c>
      <c r="D47" s="12">
        <v>46228</v>
      </c>
      <c r="E47" s="14" t="s">
        <v>133</v>
      </c>
      <c r="F47" s="14" t="s">
        <v>73</v>
      </c>
      <c r="G47">
        <v>9.9337595944147079</v>
      </c>
      <c r="H47">
        <v>8.5499999999999989</v>
      </c>
      <c r="I47">
        <v>20</v>
      </c>
      <c r="J47">
        <v>8.5499999999999989</v>
      </c>
      <c r="K47">
        <v>46228</v>
      </c>
      <c r="L47" t="s">
        <v>435</v>
      </c>
      <c r="M47">
        <v>14.025719386312222</v>
      </c>
      <c r="N47">
        <v>0.86070132045547665</v>
      </c>
      <c r="O47">
        <v>0.86070132045547665</v>
      </c>
      <c r="P47">
        <v>1.411924584343498</v>
      </c>
      <c r="Q47">
        <v>0.41192458434349799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0.13929867954452335</v>
      </c>
      <c r="AA47">
        <v>0</v>
      </c>
      <c r="AB47">
        <v>0</v>
      </c>
      <c r="AC47">
        <v>0</v>
      </c>
      <c r="AD47">
        <v>0</v>
      </c>
      <c r="AE47">
        <v>0.86070132045547665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1.161843227416925</v>
      </c>
      <c r="AL47">
        <v>1.161843227416925</v>
      </c>
      <c r="AM47">
        <v>1.6404350159429502</v>
      </c>
      <c r="AN47">
        <v>0.47859178852602513</v>
      </c>
      <c r="AO47">
        <v>0</v>
      </c>
      <c r="AP47">
        <v>0</v>
      </c>
      <c r="AQ47">
        <v>0</v>
      </c>
      <c r="AR47">
        <v>0</v>
      </c>
      <c r="AS47">
        <v>0.33815677258307497</v>
      </c>
      <c r="AT47">
        <v>0.16184322741692503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0.60959440043724189</v>
      </c>
      <c r="BI47">
        <v>0.60959440043724189</v>
      </c>
      <c r="BJ47">
        <v>0.70825312561929044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0.29174687438070956</v>
      </c>
      <c r="BV47">
        <v>0</v>
      </c>
      <c r="BW47">
        <v>0</v>
      </c>
      <c r="BX47">
        <v>0</v>
      </c>
      <c r="BY47">
        <v>0.60959440043724189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hidden="1" x14ac:dyDescent="0.25">
      <c r="A48" t="s">
        <v>128</v>
      </c>
      <c r="B48" t="s">
        <v>422</v>
      </c>
      <c r="C48" s="14" t="s">
        <v>72</v>
      </c>
      <c r="D48" s="12">
        <v>46228</v>
      </c>
      <c r="E48" s="14" t="s">
        <v>133</v>
      </c>
      <c r="F48" s="14" t="s">
        <v>73</v>
      </c>
      <c r="G48">
        <v>11.028542654457937</v>
      </c>
      <c r="H48">
        <v>8.5499999999999989</v>
      </c>
      <c r="I48">
        <v>20</v>
      </c>
      <c r="J48">
        <v>8.5499999999999989</v>
      </c>
      <c r="K48">
        <v>46228</v>
      </c>
      <c r="L48" t="s">
        <v>435</v>
      </c>
      <c r="M48">
        <v>9.8422385620914934</v>
      </c>
      <c r="N48">
        <v>0.77526109005380994</v>
      </c>
      <c r="O48">
        <v>0.77526109005380994</v>
      </c>
      <c r="P48">
        <v>0.89243328610721584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0.1171721960534059</v>
      </c>
      <c r="AA48">
        <v>0.10756671389278416</v>
      </c>
      <c r="AB48">
        <v>0</v>
      </c>
      <c r="AC48">
        <v>0</v>
      </c>
      <c r="AD48">
        <v>0</v>
      </c>
      <c r="AE48">
        <v>0.77526109005380994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1.2898880297611623</v>
      </c>
      <c r="AL48">
        <v>1.2898880297611623</v>
      </c>
      <c r="AM48">
        <v>1.1511390131101162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0.15113901311011624</v>
      </c>
      <c r="AU48">
        <v>0</v>
      </c>
      <c r="AV48">
        <v>0.13874901665104611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0.86870481202633121</v>
      </c>
      <c r="BI48">
        <v>0.86870481202633121</v>
      </c>
      <c r="BJ48">
        <v>1.1205319384286851</v>
      </c>
      <c r="BK48">
        <v>0.12053193842868515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0.22473890994619006</v>
      </c>
      <c r="BU48">
        <v>0</v>
      </c>
      <c r="BV48">
        <v>0</v>
      </c>
      <c r="BW48">
        <v>0</v>
      </c>
      <c r="BX48">
        <v>0</v>
      </c>
      <c r="BY48">
        <v>0.86870481202633121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hidden="1" x14ac:dyDescent="0.25">
      <c r="A49" t="s">
        <v>128</v>
      </c>
      <c r="B49" t="s">
        <v>291</v>
      </c>
      <c r="C49" s="14" t="s">
        <v>72</v>
      </c>
      <c r="D49" s="12">
        <v>46228</v>
      </c>
      <c r="E49" s="14" t="s">
        <v>133</v>
      </c>
      <c r="F49" s="14" t="s">
        <v>73</v>
      </c>
      <c r="G49">
        <v>11.028542654457937</v>
      </c>
      <c r="H49">
        <v>45.599999999999994</v>
      </c>
      <c r="I49">
        <v>20</v>
      </c>
      <c r="J49">
        <v>45.599999999999994</v>
      </c>
      <c r="K49">
        <v>46228</v>
      </c>
      <c r="L49" t="s">
        <v>435</v>
      </c>
      <c r="M49">
        <v>13.2250306372549</v>
      </c>
      <c r="N49">
        <v>4.13472581362032</v>
      </c>
      <c r="O49">
        <v>4.13472581362032</v>
      </c>
      <c r="P49">
        <v>1.199163937758277</v>
      </c>
      <c r="Q49">
        <v>0</v>
      </c>
      <c r="R49">
        <v>0</v>
      </c>
      <c r="S49">
        <v>2.88472581362032</v>
      </c>
      <c r="T49">
        <v>0</v>
      </c>
      <c r="U49">
        <v>0</v>
      </c>
      <c r="V49">
        <v>0</v>
      </c>
      <c r="W49">
        <v>0.19916393775827701</v>
      </c>
      <c r="X49">
        <v>0</v>
      </c>
      <c r="Y49">
        <v>5.083606224172299E-2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0.24185400558021794</v>
      </c>
      <c r="AL49">
        <v>0.24185400558021794</v>
      </c>
      <c r="AM49">
        <v>0.29002260169418642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0.70997739830581352</v>
      </c>
      <c r="AY49">
        <v>0</v>
      </c>
      <c r="AZ49">
        <v>0</v>
      </c>
      <c r="BA49">
        <v>0</v>
      </c>
      <c r="BB49">
        <v>0.24185400558021794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3.4480071351626842</v>
      </c>
      <c r="BI49">
        <v>3.4480071351626842</v>
      </c>
      <c r="BJ49">
        <v>0.83391433690826711</v>
      </c>
      <c r="CA49">
        <v>0</v>
      </c>
      <c r="CB49">
        <v>0</v>
      </c>
      <c r="CC49">
        <v>0</v>
      </c>
    </row>
    <row r="50" spans="1:82" hidden="1" x14ac:dyDescent="0.25">
      <c r="A50" t="s">
        <v>128</v>
      </c>
      <c r="B50" t="s">
        <v>421</v>
      </c>
      <c r="C50" s="14" t="s">
        <v>72</v>
      </c>
      <c r="D50" s="12">
        <v>46228</v>
      </c>
      <c r="E50" s="14" t="s">
        <v>133</v>
      </c>
      <c r="F50" s="14" t="s">
        <v>74</v>
      </c>
      <c r="G50">
        <v>4.440974877503046</v>
      </c>
      <c r="H50">
        <v>1.9</v>
      </c>
      <c r="I50">
        <v>20</v>
      </c>
      <c r="J50">
        <v>1.9</v>
      </c>
      <c r="K50">
        <v>46228</v>
      </c>
      <c r="L50" t="s">
        <v>436</v>
      </c>
      <c r="M50">
        <v>13.178414875565611</v>
      </c>
      <c r="N50">
        <v>0.42783398970009073</v>
      </c>
      <c r="O50">
        <v>0.42783398970009073</v>
      </c>
      <c r="P50">
        <v>2.9674599021769792</v>
      </c>
      <c r="Q50">
        <v>1.9674599021769792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0.57216601029990932</v>
      </c>
      <c r="AA50">
        <v>0</v>
      </c>
      <c r="AB50">
        <v>0</v>
      </c>
      <c r="AC50">
        <v>0</v>
      </c>
      <c r="AD50">
        <v>0</v>
      </c>
      <c r="AE50">
        <v>0.42783398970009073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2.3373551986858137</v>
      </c>
      <c r="AL50">
        <v>2.3373551986858137</v>
      </c>
      <c r="AM50">
        <v>6.9360078292450584</v>
      </c>
      <c r="BD50">
        <v>0</v>
      </c>
      <c r="BE50">
        <v>0</v>
      </c>
      <c r="BF50">
        <v>0</v>
      </c>
      <c r="BH50">
        <v>0.14417515444310619</v>
      </c>
      <c r="BI50">
        <v>0.14417515444310619</v>
      </c>
      <c r="BJ50">
        <v>0.33698854675892431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0.66301145324107569</v>
      </c>
      <c r="BV50">
        <v>0</v>
      </c>
      <c r="BW50">
        <v>0</v>
      </c>
      <c r="BX50">
        <v>0</v>
      </c>
      <c r="BY50">
        <v>0.14417515444310619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hidden="1" x14ac:dyDescent="0.25">
      <c r="A51" t="s">
        <v>128</v>
      </c>
      <c r="B51" t="s">
        <v>291</v>
      </c>
      <c r="C51" s="14" t="s">
        <v>72</v>
      </c>
      <c r="D51" s="12">
        <v>46228</v>
      </c>
      <c r="E51" s="14" t="s">
        <v>133</v>
      </c>
      <c r="F51" s="14" t="s">
        <v>74</v>
      </c>
      <c r="G51">
        <v>4.220105607573192</v>
      </c>
      <c r="H51">
        <v>3.8</v>
      </c>
      <c r="I51">
        <v>20</v>
      </c>
      <c r="J51">
        <v>3.8</v>
      </c>
      <c r="K51">
        <v>46228</v>
      </c>
      <c r="L51" t="s">
        <v>436</v>
      </c>
      <c r="M51">
        <v>4.6874999999999991</v>
      </c>
      <c r="N51">
        <v>0.90045139941064711</v>
      </c>
      <c r="O51">
        <v>0.90045139941064711</v>
      </c>
      <c r="P51">
        <v>1.1107541933519494</v>
      </c>
      <c r="Q51">
        <v>0.11075419335194936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9.9548600589352887E-2</v>
      </c>
      <c r="AA51">
        <v>0</v>
      </c>
      <c r="AB51">
        <v>0</v>
      </c>
      <c r="AC51">
        <v>0</v>
      </c>
      <c r="AD51">
        <v>0</v>
      </c>
      <c r="AE51">
        <v>0.90045139941064711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1.1105541072561032</v>
      </c>
      <c r="AL51">
        <v>1.1105541072561032</v>
      </c>
      <c r="AM51">
        <v>1.2335526315789471</v>
      </c>
      <c r="AN51">
        <v>0.12299852432284397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0.11055410725610315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0.81066666666666676</v>
      </c>
      <c r="BI51">
        <v>0.81066666666666676</v>
      </c>
      <c r="BJ51">
        <v>0.9002891962822811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9.9710803717718899E-2</v>
      </c>
      <c r="BV51">
        <v>0</v>
      </c>
      <c r="BW51">
        <v>0</v>
      </c>
      <c r="BX51">
        <v>0</v>
      </c>
      <c r="BY51">
        <v>0.81066666666666676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hidden="1" x14ac:dyDescent="0.25">
      <c r="A52" t="s">
        <v>128</v>
      </c>
      <c r="B52" t="s">
        <v>422</v>
      </c>
      <c r="C52" s="14" t="s">
        <v>72</v>
      </c>
      <c r="D52" s="12">
        <v>46228</v>
      </c>
      <c r="E52" s="14" t="s">
        <v>133</v>
      </c>
      <c r="F52" s="14" t="s">
        <v>74</v>
      </c>
      <c r="G52">
        <v>4.220105607573192</v>
      </c>
      <c r="H52">
        <v>1.9</v>
      </c>
      <c r="I52">
        <v>20</v>
      </c>
      <c r="J52">
        <v>1.9</v>
      </c>
      <c r="K52">
        <v>46228</v>
      </c>
      <c r="L52" t="s">
        <v>436</v>
      </c>
      <c r="M52">
        <v>1.5294117647058818</v>
      </c>
      <c r="N52">
        <v>0.45022569970532356</v>
      </c>
      <c r="O52">
        <v>0.45022569970532356</v>
      </c>
      <c r="P52">
        <v>0.36241077994855753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0.54977430029467644</v>
      </c>
      <c r="AB52">
        <v>0</v>
      </c>
      <c r="AC52">
        <v>8.781491975676603E-2</v>
      </c>
      <c r="AD52">
        <v>0</v>
      </c>
      <c r="AE52">
        <v>0.36241077994855753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2.2211082145122063</v>
      </c>
      <c r="AL52">
        <v>2.2211082145122063</v>
      </c>
      <c r="AM52">
        <v>0.80495356037151677</v>
      </c>
      <c r="BD52">
        <v>0</v>
      </c>
      <c r="BE52">
        <v>0</v>
      </c>
      <c r="BF52">
        <v>0</v>
      </c>
      <c r="BH52">
        <v>1.2423076923076928</v>
      </c>
      <c r="BI52">
        <v>1.2423076923076928</v>
      </c>
      <c r="BJ52">
        <v>2.7592998203363188</v>
      </c>
      <c r="BK52">
        <v>1.516992128028626</v>
      </c>
      <c r="BL52">
        <v>0</v>
      </c>
      <c r="BM52">
        <v>0</v>
      </c>
      <c r="BN52">
        <v>0</v>
      </c>
      <c r="BO52">
        <v>0</v>
      </c>
      <c r="BP52">
        <v>0.25769230769230722</v>
      </c>
      <c r="BQ52">
        <v>0.24230769230769278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hidden="1" x14ac:dyDescent="0.25">
      <c r="A53" t="s">
        <v>128</v>
      </c>
      <c r="B53" t="s">
        <v>291</v>
      </c>
      <c r="C53" s="14" t="s">
        <v>72</v>
      </c>
      <c r="D53" s="12">
        <v>46228</v>
      </c>
      <c r="E53" s="14" t="s">
        <v>133</v>
      </c>
      <c r="F53" s="14" t="s">
        <v>75</v>
      </c>
      <c r="G53">
        <v>10.972274579690296</v>
      </c>
      <c r="H53">
        <v>13.3</v>
      </c>
      <c r="I53">
        <v>20</v>
      </c>
      <c r="J53">
        <v>13.3</v>
      </c>
      <c r="K53">
        <v>46228</v>
      </c>
      <c r="L53" t="s">
        <v>437</v>
      </c>
      <c r="M53">
        <v>12.304917279411764</v>
      </c>
      <c r="N53">
        <v>1.212146114591256</v>
      </c>
      <c r="O53">
        <v>1.212146114591256</v>
      </c>
      <c r="P53">
        <v>1.1214554639553218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0.12145546395532181</v>
      </c>
      <c r="X53">
        <v>0</v>
      </c>
      <c r="Y53">
        <v>9.0690650635934178E-2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0.82498305110453363</v>
      </c>
      <c r="AL53">
        <v>0.82498305110453363</v>
      </c>
      <c r="AM53">
        <v>0.92518175033171168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7.4818249668288317E-2</v>
      </c>
      <c r="AY53">
        <v>0</v>
      </c>
      <c r="AZ53">
        <v>0</v>
      </c>
      <c r="BA53">
        <v>0</v>
      </c>
      <c r="BB53">
        <v>0.82498305110453363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1.0808687045993539</v>
      </c>
      <c r="BI53">
        <v>1.0808687045993539</v>
      </c>
      <c r="BJ53">
        <v>0.89169836176377981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8.0868704599353913E-2</v>
      </c>
      <c r="BT53">
        <v>0</v>
      </c>
      <c r="BU53">
        <v>0</v>
      </c>
      <c r="BV53">
        <v>0</v>
      </c>
      <c r="BW53">
        <v>0.10830163823622019</v>
      </c>
      <c r="BX53">
        <v>0</v>
      </c>
      <c r="BY53">
        <v>0.89169836176377981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hidden="1" x14ac:dyDescent="0.25">
      <c r="A54" t="s">
        <v>128</v>
      </c>
      <c r="B54" t="s">
        <v>422</v>
      </c>
      <c r="C54" s="14" t="s">
        <v>72</v>
      </c>
      <c r="D54" s="12">
        <v>46228</v>
      </c>
      <c r="E54" s="14" t="s">
        <v>133</v>
      </c>
      <c r="F54" s="14" t="s">
        <v>75</v>
      </c>
      <c r="G54">
        <v>10.972274579690296</v>
      </c>
      <c r="H54">
        <v>6.6499999999999995</v>
      </c>
      <c r="I54">
        <v>20</v>
      </c>
      <c r="J54">
        <v>6.6499999999999995</v>
      </c>
      <c r="K54">
        <v>46228</v>
      </c>
      <c r="L54" t="s">
        <v>437</v>
      </c>
      <c r="M54">
        <v>8.3967320261437859</v>
      </c>
      <c r="N54">
        <v>0.60607305729562799</v>
      </c>
      <c r="O54">
        <v>0.60607305729562799</v>
      </c>
      <c r="P54">
        <v>0.76526812787625231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0.15919507058062432</v>
      </c>
      <c r="AA54">
        <v>0.23473187212374769</v>
      </c>
      <c r="AB54">
        <v>0</v>
      </c>
      <c r="AC54">
        <v>0</v>
      </c>
      <c r="AD54">
        <v>0</v>
      </c>
      <c r="AE54">
        <v>0.60607305729562799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1.6499661022090673</v>
      </c>
      <c r="AL54">
        <v>1.6499661022090673</v>
      </c>
      <c r="AM54">
        <v>1.26266647009681</v>
      </c>
      <c r="BD54">
        <v>0</v>
      </c>
      <c r="BE54">
        <v>0</v>
      </c>
      <c r="BF54">
        <v>0</v>
      </c>
      <c r="BH54">
        <v>0.79197478010430489</v>
      </c>
      <c r="BI54">
        <v>0.79197478010430489</v>
      </c>
      <c r="BJ54">
        <v>1.3067315409765832</v>
      </c>
      <c r="BK54">
        <v>0.30673154097658317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0.39392694270437201</v>
      </c>
      <c r="BU54">
        <v>0</v>
      </c>
      <c r="BV54">
        <v>0</v>
      </c>
      <c r="BW54">
        <v>0</v>
      </c>
      <c r="BX54">
        <v>0</v>
      </c>
      <c r="BY54">
        <v>0.79197478010430489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hidden="1" x14ac:dyDescent="0.25">
      <c r="A55" t="s">
        <v>128</v>
      </c>
      <c r="B55" t="s">
        <v>421</v>
      </c>
      <c r="C55" s="14" t="s">
        <v>72</v>
      </c>
      <c r="D55" s="12">
        <v>46228</v>
      </c>
      <c r="E55" s="14" t="s">
        <v>133</v>
      </c>
      <c r="F55" s="14" t="s">
        <v>75</v>
      </c>
      <c r="G55">
        <v>8.1223093154331991</v>
      </c>
      <c r="H55">
        <v>6.6499999999999995</v>
      </c>
      <c r="I55">
        <v>20</v>
      </c>
      <c r="J55">
        <v>6.6499999999999995</v>
      </c>
      <c r="K55">
        <v>46228</v>
      </c>
      <c r="L55" t="s">
        <v>437</v>
      </c>
      <c r="M55">
        <v>14.246687641402699</v>
      </c>
      <c r="N55">
        <v>0.81873267093686464</v>
      </c>
      <c r="O55">
        <v>0.81873267093686464</v>
      </c>
      <c r="P55">
        <v>1.754019342052459</v>
      </c>
      <c r="Q55">
        <v>0.75401934205245902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0.18126732906313536</v>
      </c>
      <c r="AA55">
        <v>0</v>
      </c>
      <c r="AB55">
        <v>0</v>
      </c>
      <c r="AC55">
        <v>0</v>
      </c>
      <c r="AD55">
        <v>0</v>
      </c>
      <c r="AE55">
        <v>0.81873267093686464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1.2213998970576241</v>
      </c>
      <c r="AL55">
        <v>1.2213998970576241</v>
      </c>
      <c r="AM55">
        <v>2.1423590438199551</v>
      </c>
      <c r="AN55">
        <v>0.92095914676233104</v>
      </c>
      <c r="AO55">
        <v>0</v>
      </c>
      <c r="AP55">
        <v>0</v>
      </c>
      <c r="AQ55">
        <v>0</v>
      </c>
      <c r="AR55">
        <v>0</v>
      </c>
      <c r="AS55">
        <v>0.27860010294237592</v>
      </c>
      <c r="AT55">
        <v>0.22139989705762408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0.46677516678854158</v>
      </c>
      <c r="BI55">
        <v>0.46677516678854158</v>
      </c>
      <c r="BJ55">
        <v>0.57011914066458003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0.42988085933541997</v>
      </c>
      <c r="BV55">
        <v>0</v>
      </c>
      <c r="BW55">
        <v>0</v>
      </c>
      <c r="BX55">
        <v>0</v>
      </c>
      <c r="BY55">
        <v>0.46677516678854158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hidden="1" x14ac:dyDescent="0.25">
      <c r="A56" t="s">
        <v>128</v>
      </c>
      <c r="B56" t="s">
        <v>421</v>
      </c>
      <c r="C56" s="14" t="s">
        <v>72</v>
      </c>
      <c r="D56" s="12">
        <v>46229</v>
      </c>
      <c r="E56" s="14" t="s">
        <v>133</v>
      </c>
      <c r="F56" s="14" t="s">
        <v>73</v>
      </c>
      <c r="G56">
        <v>9.9337595944147079</v>
      </c>
      <c r="H56">
        <v>18.05</v>
      </c>
      <c r="I56">
        <v>20</v>
      </c>
      <c r="J56">
        <v>18.05</v>
      </c>
      <c r="K56">
        <v>46229</v>
      </c>
      <c r="L56" t="s">
        <v>438</v>
      </c>
      <c r="M56">
        <v>12.967936934389144</v>
      </c>
      <c r="N56">
        <v>1.817036120961562</v>
      </c>
      <c r="O56">
        <v>1.817036120961562</v>
      </c>
      <c r="P56">
        <v>1.3054409874867934</v>
      </c>
      <c r="Q56">
        <v>0</v>
      </c>
      <c r="R56">
        <v>0</v>
      </c>
      <c r="S56">
        <v>0.51159513347476859</v>
      </c>
      <c r="T56">
        <v>0</v>
      </c>
      <c r="U56">
        <v>5.5440987486793381E-2</v>
      </c>
      <c r="V56">
        <v>0</v>
      </c>
      <c r="W56">
        <v>0.25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0.55034679193433278</v>
      </c>
      <c r="AL56">
        <v>0.55034679193433278</v>
      </c>
      <c r="AM56">
        <v>0.71844525952294425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0.28155474047705575</v>
      </c>
      <c r="AY56">
        <v>0</v>
      </c>
      <c r="AZ56">
        <v>0</v>
      </c>
      <c r="BA56">
        <v>0</v>
      </c>
      <c r="BB56">
        <v>0.55034679193433278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1.3918944926493235</v>
      </c>
      <c r="BI56">
        <v>1.3918944926493235</v>
      </c>
      <c r="BJ56">
        <v>0.76602466874062103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0.39189449264932352</v>
      </c>
      <c r="BT56">
        <v>0</v>
      </c>
      <c r="BU56">
        <v>0</v>
      </c>
      <c r="BV56">
        <v>0</v>
      </c>
      <c r="BW56">
        <v>0.23397533125937897</v>
      </c>
      <c r="BX56">
        <v>0</v>
      </c>
      <c r="BY56">
        <v>0.76602466874062103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hidden="1" x14ac:dyDescent="0.25">
      <c r="A57" t="s">
        <v>128</v>
      </c>
      <c r="B57" t="s">
        <v>422</v>
      </c>
      <c r="C57" s="14" t="s">
        <v>72</v>
      </c>
      <c r="D57" s="12">
        <v>46229</v>
      </c>
      <c r="E57" s="14" t="s">
        <v>133</v>
      </c>
      <c r="F57" s="14" t="s">
        <v>73</v>
      </c>
      <c r="G57">
        <v>10.972274579690298</v>
      </c>
      <c r="H57">
        <v>14.25</v>
      </c>
      <c r="I57">
        <v>20</v>
      </c>
      <c r="J57">
        <v>14.25</v>
      </c>
      <c r="K57">
        <v>46229</v>
      </c>
      <c r="L57" t="s">
        <v>438</v>
      </c>
      <c r="M57">
        <v>9.0272058823529377</v>
      </c>
      <c r="N57">
        <v>1.2987279799192026</v>
      </c>
      <c r="O57">
        <v>1.2987279799192026</v>
      </c>
      <c r="P57">
        <v>0.82272876209845436</v>
      </c>
      <c r="Q57">
        <v>0</v>
      </c>
      <c r="R57">
        <v>0</v>
      </c>
      <c r="S57">
        <v>4.8727979919202635E-2</v>
      </c>
      <c r="T57">
        <v>0</v>
      </c>
      <c r="U57">
        <v>0</v>
      </c>
      <c r="V57">
        <v>0</v>
      </c>
      <c r="W57">
        <v>0</v>
      </c>
      <c r="X57">
        <v>0</v>
      </c>
      <c r="Y57">
        <v>0.25</v>
      </c>
      <c r="Z57">
        <v>0</v>
      </c>
      <c r="AA57">
        <v>0</v>
      </c>
      <c r="AB57">
        <v>0</v>
      </c>
      <c r="AC57">
        <v>0.17727123790154564</v>
      </c>
      <c r="AD57">
        <v>0</v>
      </c>
      <c r="AE57">
        <v>0.82272876209845436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0.76998418103089816</v>
      </c>
      <c r="AL57">
        <v>0.76998418103089816</v>
      </c>
      <c r="AM57">
        <v>0.63348813209494303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0.23001581896910184</v>
      </c>
      <c r="AY57">
        <v>0</v>
      </c>
      <c r="AZ57">
        <v>0.13649604893595513</v>
      </c>
      <c r="BA57">
        <v>0</v>
      </c>
      <c r="BB57">
        <v>0.63348813209494303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1.5785615378349767</v>
      </c>
      <c r="BI57">
        <v>1.5785615378349767</v>
      </c>
      <c r="BJ57">
        <v>1.2154674129167395</v>
      </c>
      <c r="CA57">
        <v>0</v>
      </c>
      <c r="CB57">
        <v>0</v>
      </c>
      <c r="CC57">
        <v>0</v>
      </c>
    </row>
    <row r="58" spans="1:82" hidden="1" x14ac:dyDescent="0.25">
      <c r="A58" t="s">
        <v>128</v>
      </c>
      <c r="B58" t="s">
        <v>291</v>
      </c>
      <c r="C58" s="14" t="s">
        <v>72</v>
      </c>
      <c r="D58" s="12">
        <v>46229</v>
      </c>
      <c r="E58" s="14" t="s">
        <v>133</v>
      </c>
      <c r="F58" s="14" t="s">
        <v>73</v>
      </c>
      <c r="G58">
        <v>10.972274579690298</v>
      </c>
      <c r="H58">
        <v>12.35</v>
      </c>
      <c r="I58">
        <v>20</v>
      </c>
      <c r="J58">
        <v>12.35</v>
      </c>
      <c r="K58">
        <v>46229</v>
      </c>
      <c r="L58" t="s">
        <v>438</v>
      </c>
      <c r="M58">
        <v>11.25</v>
      </c>
      <c r="N58">
        <v>1.1255642492633089</v>
      </c>
      <c r="O58">
        <v>1.1255642492633089</v>
      </c>
      <c r="P58">
        <v>1.0253115630941074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2.5311563094107425E-2</v>
      </c>
      <c r="X58">
        <v>0</v>
      </c>
      <c r="Y58">
        <v>0.10025268616920147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0.88844328580488241</v>
      </c>
      <c r="AL58">
        <v>0.88844328580488241</v>
      </c>
      <c r="AM58">
        <v>0.91093117408906887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8.9068825910931126E-2</v>
      </c>
      <c r="AY58">
        <v>0</v>
      </c>
      <c r="AZ58">
        <v>0</v>
      </c>
      <c r="BA58">
        <v>0</v>
      </c>
      <c r="BB58">
        <v>0.88844328580488241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1.0977777777777777</v>
      </c>
      <c r="BI58">
        <v>1.0977777777777777</v>
      </c>
      <c r="BJ58">
        <v>0.97531329597247096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9.7777777777777741E-2</v>
      </c>
      <c r="BT58">
        <v>0</v>
      </c>
      <c r="BU58">
        <v>0</v>
      </c>
      <c r="BV58">
        <v>0</v>
      </c>
      <c r="BW58">
        <v>2.4686704027529038E-2</v>
      </c>
      <c r="BX58">
        <v>0</v>
      </c>
      <c r="BY58">
        <v>0.97531329597247096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hidden="1" x14ac:dyDescent="0.25">
      <c r="A59" t="s">
        <v>128</v>
      </c>
      <c r="B59" t="s">
        <v>421</v>
      </c>
      <c r="C59" s="14" t="s">
        <v>72</v>
      </c>
      <c r="D59" s="12">
        <v>46229</v>
      </c>
      <c r="E59" s="14" t="s">
        <v>133</v>
      </c>
      <c r="F59" s="14" t="s">
        <v>74</v>
      </c>
      <c r="G59">
        <v>4.440974877503046</v>
      </c>
      <c r="H59">
        <v>3.8</v>
      </c>
      <c r="I59">
        <v>20</v>
      </c>
      <c r="J59">
        <v>3.8</v>
      </c>
      <c r="K59">
        <v>46229</v>
      </c>
      <c r="L59" t="s">
        <v>439</v>
      </c>
      <c r="M59">
        <v>14.023727375565608</v>
      </c>
      <c r="N59">
        <v>0.85566797940018147</v>
      </c>
      <c r="O59">
        <v>0.85566797940018147</v>
      </c>
      <c r="P59">
        <v>3.1578038071340089</v>
      </c>
      <c r="Q59">
        <v>2.1578038071340089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0.14433202059981853</v>
      </c>
      <c r="AA59">
        <v>0</v>
      </c>
      <c r="AB59">
        <v>0</v>
      </c>
      <c r="AC59">
        <v>0</v>
      </c>
      <c r="AD59">
        <v>0</v>
      </c>
      <c r="AE59">
        <v>0.85566797940018147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1.1686775993429068</v>
      </c>
      <c r="AL59">
        <v>1.1686775993429068</v>
      </c>
      <c r="AM59">
        <v>3.6904545725172655</v>
      </c>
      <c r="AN59">
        <v>2.5217769731743589</v>
      </c>
      <c r="AO59">
        <v>0</v>
      </c>
      <c r="AP59">
        <v>0</v>
      </c>
      <c r="AQ59">
        <v>0</v>
      </c>
      <c r="AR59">
        <v>0</v>
      </c>
      <c r="AS59">
        <v>0.33132240065709317</v>
      </c>
      <c r="AT59">
        <v>0.16867759934290683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0.27096932921136008</v>
      </c>
      <c r="BI59">
        <v>0.27096932921136008</v>
      </c>
      <c r="BJ59">
        <v>0.31667578515829009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0.68332421484170991</v>
      </c>
      <c r="BV59">
        <v>0</v>
      </c>
      <c r="BW59">
        <v>0</v>
      </c>
      <c r="BX59">
        <v>0</v>
      </c>
      <c r="BY59">
        <v>0.27096932921136008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hidden="1" x14ac:dyDescent="0.25">
      <c r="A60" t="s">
        <v>128</v>
      </c>
      <c r="B60" t="s">
        <v>291</v>
      </c>
      <c r="C60" s="14" t="s">
        <v>72</v>
      </c>
      <c r="D60" s="12">
        <v>46229</v>
      </c>
      <c r="E60" s="14" t="s">
        <v>133</v>
      </c>
      <c r="F60" s="14" t="s">
        <v>74</v>
      </c>
      <c r="G60">
        <v>4.220105607573192</v>
      </c>
      <c r="H60">
        <v>31.35</v>
      </c>
      <c r="I60">
        <v>20</v>
      </c>
      <c r="J60">
        <v>31.35</v>
      </c>
      <c r="K60">
        <v>46229</v>
      </c>
      <c r="L60" t="s">
        <v>439</v>
      </c>
      <c r="M60">
        <v>4.6874999999999991</v>
      </c>
      <c r="N60">
        <v>7.4287240451378382</v>
      </c>
      <c r="O60">
        <v>7.4287240451378382</v>
      </c>
      <c r="P60">
        <v>1.1107541933519494</v>
      </c>
      <c r="Q60">
        <v>0</v>
      </c>
      <c r="R60">
        <v>0</v>
      </c>
      <c r="S60">
        <v>6.1787240451378382</v>
      </c>
      <c r="T60">
        <v>0</v>
      </c>
      <c r="U60">
        <v>0</v>
      </c>
      <c r="V60">
        <v>0</v>
      </c>
      <c r="W60">
        <v>0.11075419335194936</v>
      </c>
      <c r="X60">
        <v>0</v>
      </c>
      <c r="Y60">
        <v>0.13924580664805064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0.13461261906134583</v>
      </c>
      <c r="AL60">
        <v>0.13461261906134583</v>
      </c>
      <c r="AM60">
        <v>0.14952153110047844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0.8504784688995215</v>
      </c>
      <c r="AY60">
        <v>0</v>
      </c>
      <c r="AZ60">
        <v>0</v>
      </c>
      <c r="BA60">
        <v>0</v>
      </c>
      <c r="BB60">
        <v>0.13461261906134583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6.6880000000000006</v>
      </c>
      <c r="BI60">
        <v>6.6880000000000006</v>
      </c>
      <c r="BJ60">
        <v>0.9002891962822811</v>
      </c>
      <c r="CA60">
        <v>0</v>
      </c>
      <c r="CB60">
        <v>0</v>
      </c>
      <c r="CC60">
        <v>0</v>
      </c>
    </row>
    <row r="61" spans="1:82" hidden="1" x14ac:dyDescent="0.25">
      <c r="A61" t="s">
        <v>128</v>
      </c>
      <c r="B61" t="s">
        <v>422</v>
      </c>
      <c r="C61" s="14" t="s">
        <v>72</v>
      </c>
      <c r="D61" s="12">
        <v>46229</v>
      </c>
      <c r="E61" s="14" t="s">
        <v>133</v>
      </c>
      <c r="F61" s="14" t="s">
        <v>74</v>
      </c>
      <c r="G61">
        <v>4.220105607573192</v>
      </c>
      <c r="H61">
        <v>3.8</v>
      </c>
      <c r="I61">
        <v>20</v>
      </c>
      <c r="J61">
        <v>3.8</v>
      </c>
      <c r="K61">
        <v>46229</v>
      </c>
      <c r="L61" t="s">
        <v>439</v>
      </c>
      <c r="M61">
        <v>2.5294117647058822</v>
      </c>
      <c r="N61">
        <v>0.90045139941064711</v>
      </c>
      <c r="O61">
        <v>0.90045139941064711</v>
      </c>
      <c r="P61">
        <v>0.59937167453030693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9.9548600589352887E-2</v>
      </c>
      <c r="AB61">
        <v>0</v>
      </c>
      <c r="AC61">
        <v>0.30107972488034018</v>
      </c>
      <c r="AD61">
        <v>0</v>
      </c>
      <c r="AE61">
        <v>0.59937167453030693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1.1105541072561032</v>
      </c>
      <c r="AL61">
        <v>1.1105541072561032</v>
      </c>
      <c r="AM61">
        <v>0.66563467492260064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0.11055410725610315</v>
      </c>
      <c r="AW61">
        <v>0</v>
      </c>
      <c r="AX61">
        <v>0</v>
      </c>
      <c r="AY61">
        <v>0</v>
      </c>
      <c r="AZ61">
        <v>0.33436532507739936</v>
      </c>
      <c r="BA61">
        <v>0</v>
      </c>
      <c r="BB61">
        <v>0.66563467492260064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1.5023255813953489</v>
      </c>
      <c r="BI61">
        <v>1.5023255813953489</v>
      </c>
      <c r="BJ61">
        <v>1.6684138448545178</v>
      </c>
      <c r="CA61">
        <v>0</v>
      </c>
      <c r="CB61">
        <v>0</v>
      </c>
      <c r="CC61">
        <v>0</v>
      </c>
    </row>
    <row r="62" spans="1:82" hidden="1" x14ac:dyDescent="0.25">
      <c r="A62" t="s">
        <v>128</v>
      </c>
      <c r="B62" t="s">
        <v>291</v>
      </c>
      <c r="C62" s="14" t="s">
        <v>72</v>
      </c>
      <c r="D62" s="12">
        <v>46229</v>
      </c>
      <c r="E62" s="14" t="s">
        <v>133</v>
      </c>
      <c r="F62" s="14" t="s">
        <v>75</v>
      </c>
      <c r="G62">
        <v>11.816295701204936</v>
      </c>
      <c r="H62">
        <v>1.9</v>
      </c>
      <c r="I62">
        <v>20</v>
      </c>
      <c r="J62">
        <v>1.9</v>
      </c>
      <c r="K62">
        <v>46229</v>
      </c>
      <c r="L62" t="s">
        <v>440</v>
      </c>
      <c r="M62">
        <v>12.932291666666668</v>
      </c>
      <c r="N62">
        <v>0.16079489275190129</v>
      </c>
      <c r="O62">
        <v>0.16079489275190129</v>
      </c>
      <c r="P62">
        <v>1.0944455008305125</v>
      </c>
      <c r="Q62">
        <v>9.4445500830512508E-2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0.83920510724809871</v>
      </c>
      <c r="AA62">
        <v>0</v>
      </c>
      <c r="AB62">
        <v>0</v>
      </c>
      <c r="AC62">
        <v>0</v>
      </c>
      <c r="AD62">
        <v>0</v>
      </c>
      <c r="AE62">
        <v>0.16079489275190129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6.2191030006341768</v>
      </c>
      <c r="AL62">
        <v>6.2191030006341768</v>
      </c>
      <c r="AM62">
        <v>6.8064692982456148</v>
      </c>
      <c r="BD62">
        <v>0</v>
      </c>
      <c r="BE62">
        <v>0</v>
      </c>
      <c r="BF62">
        <v>0</v>
      </c>
      <c r="BH62">
        <v>0.14691904953685056</v>
      </c>
      <c r="BI62">
        <v>0.14691904953685056</v>
      </c>
      <c r="BJ62">
        <v>0.91370470182494867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8.6295298175051327E-2</v>
      </c>
      <c r="BV62">
        <v>0</v>
      </c>
      <c r="BW62">
        <v>0</v>
      </c>
      <c r="BX62">
        <v>0</v>
      </c>
      <c r="BY62">
        <v>0.14691904953685056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hidden="1" x14ac:dyDescent="0.25">
      <c r="A63" t="s">
        <v>128</v>
      </c>
      <c r="B63" t="s">
        <v>421</v>
      </c>
      <c r="C63" s="14" t="s">
        <v>72</v>
      </c>
      <c r="D63" s="12">
        <v>46229</v>
      </c>
      <c r="E63" s="14" t="s">
        <v>133</v>
      </c>
      <c r="F63" s="14" t="s">
        <v>75</v>
      </c>
      <c r="G63">
        <v>8.1223093154331991</v>
      </c>
      <c r="H63">
        <v>7.6</v>
      </c>
      <c r="I63">
        <v>20</v>
      </c>
      <c r="J63">
        <v>7.6</v>
      </c>
      <c r="K63">
        <v>46229</v>
      </c>
      <c r="L63" t="s">
        <v>440</v>
      </c>
      <c r="M63">
        <v>14.013925810708892</v>
      </c>
      <c r="N63">
        <v>0.93569448107070241</v>
      </c>
      <c r="O63">
        <v>0.93569448107070241</v>
      </c>
      <c r="P63">
        <v>1.7253622420019186</v>
      </c>
      <c r="Q63">
        <v>0.72536224200191857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6.4305518929297589E-2</v>
      </c>
      <c r="AA63">
        <v>0</v>
      </c>
      <c r="AB63">
        <v>0</v>
      </c>
      <c r="AC63">
        <v>0</v>
      </c>
      <c r="AD63">
        <v>0</v>
      </c>
      <c r="AE63">
        <v>0.93569448107070241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1.068724909925421</v>
      </c>
      <c r="AL63">
        <v>1.068724909925421</v>
      </c>
      <c r="AM63">
        <v>1.8439376066722228</v>
      </c>
      <c r="AN63">
        <v>0.77521269674680182</v>
      </c>
      <c r="AO63">
        <v>0</v>
      </c>
      <c r="AP63">
        <v>0</v>
      </c>
      <c r="AQ63">
        <v>0</v>
      </c>
      <c r="AR63">
        <v>0</v>
      </c>
      <c r="AS63">
        <v>0.43127509007457898</v>
      </c>
      <c r="AT63">
        <v>6.8724909925421018E-2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0.54231769902709048</v>
      </c>
      <c r="BI63">
        <v>0.54231769902709048</v>
      </c>
      <c r="BJ63">
        <v>0.57958843404368876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0.42041156595631124</v>
      </c>
      <c r="BV63">
        <v>0</v>
      </c>
      <c r="BW63">
        <v>0</v>
      </c>
      <c r="BX63">
        <v>0</v>
      </c>
      <c r="BY63">
        <v>0.54231769902709048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hidden="1" x14ac:dyDescent="0.25">
      <c r="A64" t="s">
        <v>128</v>
      </c>
      <c r="B64" t="s">
        <v>422</v>
      </c>
      <c r="C64" s="14" t="s">
        <v>72</v>
      </c>
      <c r="D64" s="12">
        <v>46229</v>
      </c>
      <c r="E64" s="14" t="s">
        <v>133</v>
      </c>
      <c r="F64" s="14" t="s">
        <v>75</v>
      </c>
      <c r="G64">
        <v>11.816295701204936</v>
      </c>
      <c r="H64">
        <v>7.6</v>
      </c>
      <c r="I64">
        <v>20</v>
      </c>
      <c r="J64">
        <v>7.6</v>
      </c>
      <c r="K64">
        <v>46229</v>
      </c>
      <c r="L64" t="s">
        <v>440</v>
      </c>
      <c r="M64">
        <v>8.6051470588235244</v>
      </c>
      <c r="N64">
        <v>0.64317957100760514</v>
      </c>
      <c r="O64">
        <v>0.64317957100760514</v>
      </c>
      <c r="P64">
        <v>0.72824405180940388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8.5064480801798736E-2</v>
      </c>
      <c r="AA64">
        <v>0.27175594819059612</v>
      </c>
      <c r="AB64">
        <v>0</v>
      </c>
      <c r="AC64">
        <v>0</v>
      </c>
      <c r="AD64">
        <v>0</v>
      </c>
      <c r="AE64">
        <v>0.64317957100760514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1.5547757501585442</v>
      </c>
      <c r="AL64">
        <v>1.5547757501585442</v>
      </c>
      <c r="AM64">
        <v>1.1322561919504639</v>
      </c>
      <c r="BD64">
        <v>0</v>
      </c>
      <c r="BE64">
        <v>0</v>
      </c>
      <c r="BF64">
        <v>0</v>
      </c>
      <c r="BH64">
        <v>0.88319234384345946</v>
      </c>
      <c r="BI64">
        <v>0.88319234384345946</v>
      </c>
      <c r="BJ64">
        <v>1.3731660389334976</v>
      </c>
      <c r="BK64">
        <v>0.37316603893349765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0.35682042899239486</v>
      </c>
      <c r="BU64">
        <v>0</v>
      </c>
      <c r="BV64">
        <v>0</v>
      </c>
      <c r="BW64">
        <v>0</v>
      </c>
      <c r="BX64">
        <v>0</v>
      </c>
      <c r="BY64">
        <v>0.88319234384345946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hidden="1" x14ac:dyDescent="0.25">
      <c r="A65" t="s">
        <v>128</v>
      </c>
      <c r="B65" t="s">
        <v>421</v>
      </c>
      <c r="C65" s="14" t="s">
        <v>72</v>
      </c>
      <c r="D65" s="12">
        <v>46230</v>
      </c>
      <c r="E65" s="14" t="s">
        <v>133</v>
      </c>
      <c r="F65" s="14" t="s">
        <v>73</v>
      </c>
      <c r="G65">
        <v>9.9337595944147079</v>
      </c>
      <c r="H65">
        <v>43.7</v>
      </c>
      <c r="I65">
        <v>20</v>
      </c>
      <c r="J65">
        <v>43.7</v>
      </c>
      <c r="K65">
        <v>46230</v>
      </c>
      <c r="L65" t="s">
        <v>441</v>
      </c>
      <c r="M65">
        <v>13.149317142722481</v>
      </c>
      <c r="N65">
        <v>4.3991400823279916</v>
      </c>
      <c r="O65">
        <v>4.3991400823279916</v>
      </c>
      <c r="P65">
        <v>1.3236999564712368</v>
      </c>
      <c r="Q65">
        <v>0</v>
      </c>
      <c r="R65">
        <v>0</v>
      </c>
      <c r="S65">
        <v>3.0754401258567547</v>
      </c>
      <c r="T65">
        <v>0</v>
      </c>
      <c r="U65">
        <v>7.3699956471236838E-2</v>
      </c>
      <c r="V65">
        <v>0</v>
      </c>
      <c r="W65">
        <v>0.25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0.22731715319026793</v>
      </c>
      <c r="AL65">
        <v>0.22731715319026793</v>
      </c>
      <c r="AM65">
        <v>0.30089970578312314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0.69910029421687692</v>
      </c>
      <c r="AY65">
        <v>0</v>
      </c>
      <c r="AZ65">
        <v>0</v>
      </c>
      <c r="BA65">
        <v>0</v>
      </c>
      <c r="BB65">
        <v>0.22731715319026793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3.3233664931555675</v>
      </c>
      <c r="BI65">
        <v>3.3233664931555675</v>
      </c>
      <c r="BJ65">
        <v>0.75545821023204762</v>
      </c>
      <c r="CA65">
        <v>0</v>
      </c>
      <c r="CB65">
        <v>0</v>
      </c>
      <c r="CC65">
        <v>0</v>
      </c>
    </row>
    <row r="66" spans="1:82" hidden="1" x14ac:dyDescent="0.25">
      <c r="A66" t="s">
        <v>128</v>
      </c>
      <c r="B66" t="s">
        <v>422</v>
      </c>
      <c r="C66" s="14" t="s">
        <v>72</v>
      </c>
      <c r="D66" s="12">
        <v>46230</v>
      </c>
      <c r="E66" s="14" t="s">
        <v>133</v>
      </c>
      <c r="F66" s="14" t="s">
        <v>73</v>
      </c>
      <c r="G66">
        <v>11.872563775972576</v>
      </c>
      <c r="H66">
        <v>36.1</v>
      </c>
      <c r="I66">
        <v>20</v>
      </c>
      <c r="J66">
        <v>36.1</v>
      </c>
      <c r="K66">
        <v>46230</v>
      </c>
      <c r="L66" t="s">
        <v>441</v>
      </c>
      <c r="M66">
        <v>7.4715686274509761</v>
      </c>
      <c r="N66">
        <v>3.0406238013274232</v>
      </c>
      <c r="O66">
        <v>3.0406238013274232</v>
      </c>
      <c r="P66">
        <v>0.62931383384705553</v>
      </c>
      <c r="Q66">
        <v>0</v>
      </c>
      <c r="R66">
        <v>0</v>
      </c>
      <c r="S66">
        <v>1.7906238013274232</v>
      </c>
      <c r="T66">
        <v>0</v>
      </c>
      <c r="U66">
        <v>0</v>
      </c>
      <c r="V66">
        <v>0</v>
      </c>
      <c r="W66">
        <v>0</v>
      </c>
      <c r="X66">
        <v>0</v>
      </c>
      <c r="Y66">
        <v>0.25</v>
      </c>
      <c r="Z66">
        <v>0</v>
      </c>
      <c r="AA66">
        <v>0</v>
      </c>
      <c r="AB66">
        <v>0</v>
      </c>
      <c r="AC66">
        <v>0.37068616615294447</v>
      </c>
      <c r="AD66">
        <v>0</v>
      </c>
      <c r="AE66">
        <v>0.62931383384705553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0.32887988299093007</v>
      </c>
      <c r="AL66">
        <v>0.32887988299093007</v>
      </c>
      <c r="AM66">
        <v>0.20696866004019324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0.67112011700906993</v>
      </c>
      <c r="AY66">
        <v>0</v>
      </c>
      <c r="AZ66">
        <v>0.12191122295073684</v>
      </c>
      <c r="BA66">
        <v>0</v>
      </c>
      <c r="BB66">
        <v>0.20696866004019324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4.8316493898438555</v>
      </c>
      <c r="BI66">
        <v>4.8316493898438555</v>
      </c>
      <c r="BJ66">
        <v>1.5890322859850459</v>
      </c>
      <c r="CA66">
        <v>0</v>
      </c>
      <c r="CB66">
        <v>0</v>
      </c>
      <c r="CC66">
        <v>0</v>
      </c>
    </row>
    <row r="67" spans="1:82" hidden="1" x14ac:dyDescent="0.25">
      <c r="A67" t="s">
        <v>128</v>
      </c>
      <c r="B67" t="s">
        <v>291</v>
      </c>
      <c r="C67" s="14" t="s">
        <v>72</v>
      </c>
      <c r="D67" s="12">
        <v>46230</v>
      </c>
      <c r="E67" s="14" t="s">
        <v>133</v>
      </c>
      <c r="F67" s="14" t="s">
        <v>73</v>
      </c>
      <c r="G67">
        <v>11.872563775972576</v>
      </c>
      <c r="H67">
        <v>4.75</v>
      </c>
      <c r="I67">
        <v>20</v>
      </c>
      <c r="J67">
        <v>4.75</v>
      </c>
      <c r="K67">
        <v>46230</v>
      </c>
      <c r="L67" t="s">
        <v>441</v>
      </c>
      <c r="M67">
        <v>11.229166666666666</v>
      </c>
      <c r="N67">
        <v>0.40008207912202937</v>
      </c>
      <c r="O67">
        <v>0.40008207912202937</v>
      </c>
      <c r="P67">
        <v>0.94580807301216585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0.54572599389013643</v>
      </c>
      <c r="AA67">
        <v>5.4191926987834149E-2</v>
      </c>
      <c r="AB67">
        <v>0</v>
      </c>
      <c r="AC67">
        <v>0</v>
      </c>
      <c r="AD67">
        <v>0</v>
      </c>
      <c r="AE67">
        <v>0.40008207912202937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2.4994871107310686</v>
      </c>
      <c r="AL67">
        <v>2.4994871107310686</v>
      </c>
      <c r="AM67">
        <v>2.3640350877192979</v>
      </c>
      <c r="BD67">
        <v>0</v>
      </c>
      <c r="BE67">
        <v>0</v>
      </c>
      <c r="BF67">
        <v>0</v>
      </c>
      <c r="BH67">
        <v>0.42300556586270877</v>
      </c>
      <c r="BI67">
        <v>0.42300556586270877</v>
      </c>
      <c r="BJ67">
        <v>1.0572969596413426</v>
      </c>
      <c r="BK67">
        <v>5.7296959641342626E-2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0.59991792087797058</v>
      </c>
      <c r="BU67">
        <v>0</v>
      </c>
      <c r="BV67">
        <v>0</v>
      </c>
      <c r="BW67">
        <v>0</v>
      </c>
      <c r="BX67">
        <v>0</v>
      </c>
      <c r="BY67">
        <v>0.42300556586270877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hidden="1" x14ac:dyDescent="0.25">
      <c r="A68" t="s">
        <v>128</v>
      </c>
      <c r="B68" t="s">
        <v>421</v>
      </c>
      <c r="C68" s="14" t="s">
        <v>72</v>
      </c>
      <c r="D68" s="12">
        <v>46230</v>
      </c>
      <c r="E68" s="14" t="s">
        <v>133</v>
      </c>
      <c r="F68" s="14" t="s">
        <v>74</v>
      </c>
      <c r="G68">
        <v>4.440974877503046</v>
      </c>
      <c r="H68">
        <v>4.75</v>
      </c>
      <c r="I68">
        <v>20</v>
      </c>
      <c r="J68">
        <v>4.75</v>
      </c>
      <c r="K68">
        <v>46230</v>
      </c>
      <c r="L68" t="s">
        <v>442</v>
      </c>
      <c r="M68">
        <v>12.987129996229257</v>
      </c>
      <c r="N68">
        <v>1.0695849742502268</v>
      </c>
      <c r="O68">
        <v>1.0695849742502268</v>
      </c>
      <c r="P68">
        <v>2.9243871794949934</v>
      </c>
      <c r="Q68">
        <v>1.8548022052447666</v>
      </c>
      <c r="R68">
        <v>0</v>
      </c>
      <c r="S68">
        <v>0</v>
      </c>
      <c r="T68">
        <v>0</v>
      </c>
      <c r="U68">
        <v>0</v>
      </c>
      <c r="V68">
        <v>0.18041502574977319</v>
      </c>
      <c r="W68">
        <v>6.9584974250226805E-2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0.9349420794743255</v>
      </c>
      <c r="AL68">
        <v>0.9349420794743255</v>
      </c>
      <c r="AM68">
        <v>2.7341326307851066</v>
      </c>
      <c r="AN68">
        <v>1.7341326307851066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0.9349420794743255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0.36574670472838394</v>
      </c>
      <c r="BI68">
        <v>0.36574670472838394</v>
      </c>
      <c r="BJ68">
        <v>0.34195198467963739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0.634253295271616</v>
      </c>
      <c r="BV68">
        <v>0</v>
      </c>
      <c r="BW68">
        <v>2.3794720048746554E-2</v>
      </c>
      <c r="BX68">
        <v>0</v>
      </c>
      <c r="BY68">
        <v>0.34195198467963739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hidden="1" x14ac:dyDescent="0.25">
      <c r="A69" t="s">
        <v>128</v>
      </c>
      <c r="B69" t="s">
        <v>422</v>
      </c>
      <c r="C69" s="14" t="s">
        <v>72</v>
      </c>
      <c r="D69" s="12">
        <v>46230</v>
      </c>
      <c r="E69" s="14" t="s">
        <v>133</v>
      </c>
      <c r="F69" s="14" t="s">
        <v>74</v>
      </c>
      <c r="G69">
        <v>4.220105607573192</v>
      </c>
      <c r="H69">
        <v>4.75</v>
      </c>
      <c r="I69">
        <v>20</v>
      </c>
      <c r="J69">
        <v>4.75</v>
      </c>
      <c r="K69">
        <v>46230</v>
      </c>
      <c r="L69" t="s">
        <v>442</v>
      </c>
      <c r="M69">
        <v>4.0588235294117636</v>
      </c>
      <c r="N69">
        <v>1.1255642492633089</v>
      </c>
      <c r="O69">
        <v>1.1255642492633089</v>
      </c>
      <c r="P69">
        <v>0.96178245447886435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0.12556424926330889</v>
      </c>
      <c r="Z69">
        <v>0</v>
      </c>
      <c r="AA69">
        <v>0</v>
      </c>
      <c r="AB69">
        <v>0</v>
      </c>
      <c r="AC69">
        <v>3.8217545521135654E-2</v>
      </c>
      <c r="AD69">
        <v>0</v>
      </c>
      <c r="AE69">
        <v>0.96178245447886435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0.88844328580488252</v>
      </c>
      <c r="AL69">
        <v>0.88844328580488252</v>
      </c>
      <c r="AM69">
        <v>0.85448916408668707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0.11155671419511748</v>
      </c>
      <c r="AY69">
        <v>0</v>
      </c>
      <c r="AZ69">
        <v>3.3954121718195451E-2</v>
      </c>
      <c r="BA69">
        <v>0</v>
      </c>
      <c r="BB69">
        <v>0.85448916408668707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1.1702898550724641</v>
      </c>
      <c r="BI69">
        <v>1.1702898550724641</v>
      </c>
      <c r="BJ69">
        <v>1.0397361641846998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3.9736164184699829E-2</v>
      </c>
      <c r="BR69">
        <v>0</v>
      </c>
      <c r="BS69">
        <v>0.13055369088776425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hidden="1" x14ac:dyDescent="0.25">
      <c r="A70" t="s">
        <v>128</v>
      </c>
      <c r="B70" t="s">
        <v>291</v>
      </c>
      <c r="C70" s="14" t="s">
        <v>72</v>
      </c>
      <c r="D70" s="12">
        <v>46230</v>
      </c>
      <c r="E70" s="14" t="s">
        <v>133</v>
      </c>
      <c r="F70" s="14" t="s">
        <v>74</v>
      </c>
      <c r="G70">
        <v>4.220105607573192</v>
      </c>
      <c r="H70">
        <v>20.9</v>
      </c>
      <c r="I70">
        <v>20</v>
      </c>
      <c r="J70">
        <v>20.9</v>
      </c>
      <c r="K70">
        <v>46230</v>
      </c>
      <c r="L70" t="s">
        <v>442</v>
      </c>
      <c r="M70">
        <v>5.6041666666666661</v>
      </c>
      <c r="N70">
        <v>4.9524826967585591</v>
      </c>
      <c r="O70">
        <v>4.9524826967585591</v>
      </c>
      <c r="P70">
        <v>1.327968346718553</v>
      </c>
      <c r="Q70">
        <v>0</v>
      </c>
      <c r="R70">
        <v>0</v>
      </c>
      <c r="S70">
        <v>3.6245143500400063</v>
      </c>
      <c r="T70">
        <v>0</v>
      </c>
      <c r="U70">
        <v>7.7968346718553017E-2</v>
      </c>
      <c r="V70">
        <v>0</v>
      </c>
      <c r="W70">
        <v>0.25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0.20191892859201876</v>
      </c>
      <c r="AL70">
        <v>0.20191892859201876</v>
      </c>
      <c r="AM70">
        <v>0.26814194577352474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0.73185805422647521</v>
      </c>
      <c r="AY70">
        <v>0</v>
      </c>
      <c r="AZ70">
        <v>0</v>
      </c>
      <c r="BA70">
        <v>0</v>
      </c>
      <c r="BB70">
        <v>0.20191892859201876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3.7293680297397769</v>
      </c>
      <c r="BI70">
        <v>3.7293680297397769</v>
      </c>
      <c r="BJ70">
        <v>0.75302999689038375</v>
      </c>
      <c r="CA70">
        <v>0</v>
      </c>
      <c r="CB70">
        <v>0</v>
      </c>
      <c r="CC70">
        <v>0</v>
      </c>
    </row>
    <row r="71" spans="1:82" hidden="1" x14ac:dyDescent="0.25">
      <c r="A71" t="s">
        <v>128</v>
      </c>
      <c r="B71" t="s">
        <v>422</v>
      </c>
      <c r="C71" s="14" t="s">
        <v>72</v>
      </c>
      <c r="D71" s="12">
        <v>46230</v>
      </c>
      <c r="E71" s="14" t="s">
        <v>133</v>
      </c>
      <c r="F71" s="14" t="s">
        <v>75</v>
      </c>
      <c r="G71">
        <v>10.972274579690296</v>
      </c>
      <c r="H71">
        <v>6.6499999999999995</v>
      </c>
      <c r="I71">
        <v>20</v>
      </c>
      <c r="J71">
        <v>6.6499999999999995</v>
      </c>
      <c r="K71">
        <v>46230</v>
      </c>
      <c r="L71" t="s">
        <v>443</v>
      </c>
      <c r="M71">
        <v>6.9254901960784299</v>
      </c>
      <c r="N71">
        <v>0.60607305729562799</v>
      </c>
      <c r="O71">
        <v>0.60607305729562799</v>
      </c>
      <c r="P71">
        <v>0.63118090472303046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2.5107847427402463E-2</v>
      </c>
      <c r="AA71">
        <v>0.36881909527696954</v>
      </c>
      <c r="AB71">
        <v>0</v>
      </c>
      <c r="AC71">
        <v>0</v>
      </c>
      <c r="AD71">
        <v>0</v>
      </c>
      <c r="AE71">
        <v>0.60607305729562799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1.6499661022090673</v>
      </c>
      <c r="AL71">
        <v>1.6499661022090673</v>
      </c>
      <c r="AM71">
        <v>1.0414270971546511</v>
      </c>
      <c r="BD71">
        <v>0</v>
      </c>
      <c r="BE71">
        <v>0</v>
      </c>
      <c r="BF71">
        <v>0</v>
      </c>
      <c r="BH71">
        <v>0.96022083805209524</v>
      </c>
      <c r="BI71">
        <v>0.96022083805209524</v>
      </c>
      <c r="BJ71">
        <v>1.5843318334207397</v>
      </c>
      <c r="BK71">
        <v>0.58433183342073969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0.39392694270437201</v>
      </c>
      <c r="BU71">
        <v>0</v>
      </c>
      <c r="BV71">
        <v>0</v>
      </c>
      <c r="BW71">
        <v>0</v>
      </c>
      <c r="BX71">
        <v>0</v>
      </c>
      <c r="BY71">
        <v>0.96022083805209524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hidden="1" x14ac:dyDescent="0.25">
      <c r="A72" t="s">
        <v>128</v>
      </c>
      <c r="B72" t="s">
        <v>291</v>
      </c>
      <c r="C72" s="14" t="s">
        <v>72</v>
      </c>
      <c r="D72" s="12">
        <v>46230</v>
      </c>
      <c r="E72" s="14" t="s">
        <v>133</v>
      </c>
      <c r="F72" s="14" t="s">
        <v>75</v>
      </c>
      <c r="G72">
        <v>10.972274579690296</v>
      </c>
      <c r="H72">
        <v>10.45</v>
      </c>
      <c r="I72">
        <v>20</v>
      </c>
      <c r="J72">
        <v>10.45</v>
      </c>
      <c r="K72">
        <v>46230</v>
      </c>
      <c r="L72" t="s">
        <v>443</v>
      </c>
      <c r="M72">
        <v>10.348958333333332</v>
      </c>
      <c r="N72">
        <v>0.95240051860741537</v>
      </c>
      <c r="O72">
        <v>0.95240051860741537</v>
      </c>
      <c r="P72">
        <v>0.94319170179073686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4.7599481392584631E-2</v>
      </c>
      <c r="AB72">
        <v>0</v>
      </c>
      <c r="AC72">
        <v>9.2088168166785112E-3</v>
      </c>
      <c r="AD72">
        <v>0</v>
      </c>
      <c r="AE72">
        <v>0.94319170179073686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1.0499784286784972</v>
      </c>
      <c r="AL72">
        <v>1.0499784286784972</v>
      </c>
      <c r="AM72">
        <v>0.99033094098883567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4.9978428678497222E-2</v>
      </c>
      <c r="AW72">
        <v>0</v>
      </c>
      <c r="AX72">
        <v>0</v>
      </c>
      <c r="AY72">
        <v>0</v>
      </c>
      <c r="AZ72">
        <v>9.6690590111643271E-3</v>
      </c>
      <c r="BA72">
        <v>0</v>
      </c>
      <c r="BB72">
        <v>0.99033094098883567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1.009763462506291</v>
      </c>
      <c r="BI72">
        <v>1.009763462506291</v>
      </c>
      <c r="BJ72">
        <v>1.060229853699314</v>
      </c>
      <c r="BK72">
        <v>5.0466391193022986E-2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9.7634625062910096E-3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hidden="1" x14ac:dyDescent="0.25">
      <c r="A73" t="s">
        <v>128</v>
      </c>
      <c r="B73" t="s">
        <v>421</v>
      </c>
      <c r="C73" s="14" t="s">
        <v>72</v>
      </c>
      <c r="D73" s="12">
        <v>46230</v>
      </c>
      <c r="E73" s="14" t="s">
        <v>133</v>
      </c>
      <c r="F73" s="14" t="s">
        <v>75</v>
      </c>
      <c r="G73">
        <v>8.1807431954003462</v>
      </c>
      <c r="H73">
        <v>6.6499999999999995</v>
      </c>
      <c r="I73">
        <v>20</v>
      </c>
      <c r="J73">
        <v>6.6499999999999995</v>
      </c>
      <c r="K73">
        <v>46230</v>
      </c>
      <c r="L73" t="s">
        <v>443</v>
      </c>
      <c r="M73">
        <v>12.399842100301662</v>
      </c>
      <c r="N73">
        <v>0.81288458043017253</v>
      </c>
      <c r="O73">
        <v>0.81288458043017253</v>
      </c>
      <c r="P73">
        <v>1.5157354049780611</v>
      </c>
      <c r="Q73">
        <v>0.51573540497806114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0.18711541956982747</v>
      </c>
      <c r="AA73">
        <v>0</v>
      </c>
      <c r="AB73">
        <v>0</v>
      </c>
      <c r="AC73">
        <v>0</v>
      </c>
      <c r="AD73">
        <v>0</v>
      </c>
      <c r="AE73">
        <v>0.81288458043017253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1.2301869466767439</v>
      </c>
      <c r="AL73">
        <v>1.2301869466767439</v>
      </c>
      <c r="AM73">
        <v>1.8646379098197989</v>
      </c>
      <c r="AN73">
        <v>0.63445096314305505</v>
      </c>
      <c r="AO73">
        <v>0</v>
      </c>
      <c r="AP73">
        <v>0</v>
      </c>
      <c r="AQ73">
        <v>0</v>
      </c>
      <c r="AR73">
        <v>0</v>
      </c>
      <c r="AS73">
        <v>0.26981305332325611</v>
      </c>
      <c r="AT73">
        <v>0.23018694667674389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0.53629715170632852</v>
      </c>
      <c r="BI73">
        <v>0.53629715170632852</v>
      </c>
      <c r="BJ73">
        <v>0.6597457555690428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0.3402542444309572</v>
      </c>
      <c r="BV73">
        <v>0</v>
      </c>
      <c r="BW73">
        <v>0</v>
      </c>
      <c r="BX73">
        <v>0</v>
      </c>
      <c r="BY73">
        <v>0.53629715170632852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hidden="1" x14ac:dyDescent="0.25">
      <c r="A74" t="s">
        <v>128</v>
      </c>
      <c r="B74" t="s">
        <v>422</v>
      </c>
      <c r="C74" s="14" t="s">
        <v>72</v>
      </c>
      <c r="D74" s="12">
        <v>46231</v>
      </c>
      <c r="E74" s="14" t="s">
        <v>133</v>
      </c>
      <c r="F74" s="14" t="s">
        <v>73</v>
      </c>
      <c r="G74">
        <v>11.731893589053469</v>
      </c>
      <c r="H74">
        <v>14.25</v>
      </c>
      <c r="I74">
        <v>20</v>
      </c>
      <c r="J74">
        <v>14.25</v>
      </c>
      <c r="K74">
        <v>46231</v>
      </c>
      <c r="L74" t="s">
        <v>444</v>
      </c>
      <c r="M74">
        <v>8.6490196078431296</v>
      </c>
      <c r="N74">
        <v>1.2146376790611253</v>
      </c>
      <c r="O74">
        <v>1.2146376790611253</v>
      </c>
      <c r="P74">
        <v>0.73722281421928015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0.2146376790611253</v>
      </c>
      <c r="Z74">
        <v>0</v>
      </c>
      <c r="AA74">
        <v>0</v>
      </c>
      <c r="AB74">
        <v>0</v>
      </c>
      <c r="AC74">
        <v>0.26277718578071985</v>
      </c>
      <c r="AD74">
        <v>0</v>
      </c>
      <c r="AE74">
        <v>0.73722281421928015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0.82329077817919083</v>
      </c>
      <c r="AL74">
        <v>0.82329077817919083</v>
      </c>
      <c r="AM74">
        <v>0.60694874441004421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0.17670922182080917</v>
      </c>
      <c r="AY74">
        <v>0</v>
      </c>
      <c r="AZ74">
        <v>0.21634203376914662</v>
      </c>
      <c r="BA74">
        <v>0</v>
      </c>
      <c r="BB74">
        <v>0.60694874441004421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1.6475855815007949</v>
      </c>
      <c r="BI74">
        <v>1.6475855815007949</v>
      </c>
      <c r="BJ74">
        <v>1.3564420155106041</v>
      </c>
      <c r="CA74">
        <v>0</v>
      </c>
      <c r="CB74">
        <v>0</v>
      </c>
      <c r="CC74">
        <v>0</v>
      </c>
    </row>
    <row r="75" spans="1:82" hidden="1" x14ac:dyDescent="0.25">
      <c r="A75" t="s">
        <v>128</v>
      </c>
      <c r="B75" t="s">
        <v>421</v>
      </c>
      <c r="C75" s="14" t="s">
        <v>72</v>
      </c>
      <c r="D75" s="12">
        <v>46231</v>
      </c>
      <c r="E75" s="14" t="s">
        <v>133</v>
      </c>
      <c r="F75" s="14" t="s">
        <v>73</v>
      </c>
      <c r="G75">
        <v>9.9337595944147079</v>
      </c>
      <c r="H75">
        <v>28.5</v>
      </c>
      <c r="I75">
        <v>20</v>
      </c>
      <c r="J75">
        <v>28.5</v>
      </c>
      <c r="K75">
        <v>46231</v>
      </c>
      <c r="L75" t="s">
        <v>444</v>
      </c>
      <c r="M75">
        <v>13.914090780542988</v>
      </c>
      <c r="N75">
        <v>2.8690044015182559</v>
      </c>
      <c r="O75">
        <v>2.8690044015182559</v>
      </c>
      <c r="P75">
        <v>1.4006872874562251</v>
      </c>
      <c r="Q75">
        <v>0</v>
      </c>
      <c r="R75">
        <v>0</v>
      </c>
      <c r="S75">
        <v>1.4683171140620308</v>
      </c>
      <c r="T75">
        <v>0</v>
      </c>
      <c r="U75">
        <v>0.15068728745622506</v>
      </c>
      <c r="V75">
        <v>0</v>
      </c>
      <c r="W75">
        <v>0.25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0.34855296822507748</v>
      </c>
      <c r="AL75">
        <v>0.34855296822507748</v>
      </c>
      <c r="AM75">
        <v>0.48821371159799959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0.51178628840200036</v>
      </c>
      <c r="AY75">
        <v>0</v>
      </c>
      <c r="AZ75">
        <v>0</v>
      </c>
      <c r="BA75">
        <v>0</v>
      </c>
      <c r="BB75">
        <v>0.34855296822507748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2.0482833157775189</v>
      </c>
      <c r="BI75">
        <v>2.0482833157775189</v>
      </c>
      <c r="BJ75">
        <v>0.71393522948015786</v>
      </c>
      <c r="CA75">
        <v>0</v>
      </c>
      <c r="CB75">
        <v>0</v>
      </c>
      <c r="CC75">
        <v>0</v>
      </c>
    </row>
    <row r="76" spans="1:82" hidden="1" x14ac:dyDescent="0.25">
      <c r="A76" t="s">
        <v>128</v>
      </c>
      <c r="B76" t="s">
        <v>291</v>
      </c>
      <c r="C76" s="14" t="s">
        <v>72</v>
      </c>
      <c r="D76" s="12">
        <v>46231</v>
      </c>
      <c r="E76" s="14" t="s">
        <v>133</v>
      </c>
      <c r="F76" s="14" t="s">
        <v>73</v>
      </c>
      <c r="G76">
        <v>11.731893589053469</v>
      </c>
      <c r="H76">
        <v>9.5</v>
      </c>
      <c r="I76">
        <v>20</v>
      </c>
      <c r="J76">
        <v>9.5</v>
      </c>
      <c r="K76">
        <v>46231</v>
      </c>
      <c r="L76" t="s">
        <v>444</v>
      </c>
      <c r="M76">
        <v>8.5546875</v>
      </c>
      <c r="N76">
        <v>0.80975845270741686</v>
      </c>
      <c r="O76">
        <v>0.80975845270741686</v>
      </c>
      <c r="P76">
        <v>0.72918215930478736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0.19024154729258314</v>
      </c>
      <c r="AB76">
        <v>0</v>
      </c>
      <c r="AC76">
        <v>8.0576293402629506E-2</v>
      </c>
      <c r="AD76">
        <v>0</v>
      </c>
      <c r="AE76">
        <v>0.72918215930478736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1.2349361672687862</v>
      </c>
      <c r="AL76">
        <v>1.2349361672687862</v>
      </c>
      <c r="AM76">
        <v>0.90049342105263153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0.23493616726878619</v>
      </c>
      <c r="AW76">
        <v>0</v>
      </c>
      <c r="AX76">
        <v>0</v>
      </c>
      <c r="AY76">
        <v>0</v>
      </c>
      <c r="AZ76">
        <v>9.9506578947368474E-2</v>
      </c>
      <c r="BA76">
        <v>0</v>
      </c>
      <c r="BB76">
        <v>0.90049342105263153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1.1105022831050229</v>
      </c>
      <c r="BI76">
        <v>1.1105022831050229</v>
      </c>
      <c r="BJ76">
        <v>1.3713994332409534</v>
      </c>
      <c r="BK76">
        <v>0.26089715013593051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0.11050228310502286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hidden="1" x14ac:dyDescent="0.25">
      <c r="A77" t="s">
        <v>128</v>
      </c>
      <c r="B77" t="s">
        <v>291</v>
      </c>
      <c r="C77" s="14" t="s">
        <v>72</v>
      </c>
      <c r="D77" s="12">
        <v>46231</v>
      </c>
      <c r="E77" s="14" t="s">
        <v>133</v>
      </c>
      <c r="F77" s="14" t="s">
        <v>74</v>
      </c>
      <c r="G77">
        <v>4.220105607573192</v>
      </c>
      <c r="H77">
        <v>31.35</v>
      </c>
      <c r="I77">
        <v>20</v>
      </c>
      <c r="J77">
        <v>31.35</v>
      </c>
      <c r="K77">
        <v>46231</v>
      </c>
      <c r="L77" t="s">
        <v>445</v>
      </c>
      <c r="M77">
        <v>4.6874999999999991</v>
      </c>
      <c r="N77">
        <v>7.4287240451378382</v>
      </c>
      <c r="O77">
        <v>7.4287240451378382</v>
      </c>
      <c r="P77">
        <v>1.1107541933519494</v>
      </c>
      <c r="Q77">
        <v>0</v>
      </c>
      <c r="R77">
        <v>0</v>
      </c>
      <c r="S77">
        <v>6.1787240451378382</v>
      </c>
      <c r="T77">
        <v>0</v>
      </c>
      <c r="U77">
        <v>0</v>
      </c>
      <c r="V77">
        <v>0</v>
      </c>
      <c r="W77">
        <v>0.11075419335194936</v>
      </c>
      <c r="X77">
        <v>0</v>
      </c>
      <c r="Y77">
        <v>0.13924580664805064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0.13461261906134583</v>
      </c>
      <c r="AL77">
        <v>0.13461261906134583</v>
      </c>
      <c r="AM77">
        <v>0.14952153110047844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0.8504784688995215</v>
      </c>
      <c r="AY77">
        <v>0</v>
      </c>
      <c r="AZ77">
        <v>0</v>
      </c>
      <c r="BA77">
        <v>0</v>
      </c>
      <c r="BB77">
        <v>0.13461261906134583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6.6880000000000006</v>
      </c>
      <c r="BI77">
        <v>6.6880000000000006</v>
      </c>
      <c r="BJ77">
        <v>0.9002891962822811</v>
      </c>
      <c r="CA77">
        <v>0</v>
      </c>
      <c r="CB77">
        <v>0</v>
      </c>
      <c r="CC77">
        <v>0</v>
      </c>
    </row>
    <row r="78" spans="1:82" hidden="1" x14ac:dyDescent="0.25">
      <c r="A78" t="s">
        <v>128</v>
      </c>
      <c r="B78" t="s">
        <v>421</v>
      </c>
      <c r="C78" s="14" t="s">
        <v>72</v>
      </c>
      <c r="D78" s="12">
        <v>46231</v>
      </c>
      <c r="E78" s="14" t="s">
        <v>133</v>
      </c>
      <c r="F78" s="14" t="s">
        <v>74</v>
      </c>
      <c r="G78">
        <v>4.440974877503046</v>
      </c>
      <c r="H78">
        <v>4.75</v>
      </c>
      <c r="I78">
        <v>20</v>
      </c>
      <c r="J78">
        <v>4.75</v>
      </c>
      <c r="K78">
        <v>46231</v>
      </c>
      <c r="L78" t="s">
        <v>445</v>
      </c>
      <c r="M78">
        <v>11.283208427601808</v>
      </c>
      <c r="N78">
        <v>1.0695849742502268</v>
      </c>
      <c r="O78">
        <v>1.0695849742502268</v>
      </c>
      <c r="P78">
        <v>2.5407053043150363</v>
      </c>
      <c r="Q78">
        <v>1.4711203300648095</v>
      </c>
      <c r="R78">
        <v>0</v>
      </c>
      <c r="S78">
        <v>0</v>
      </c>
      <c r="T78">
        <v>0</v>
      </c>
      <c r="U78">
        <v>0</v>
      </c>
      <c r="V78">
        <v>0.18041502574977319</v>
      </c>
      <c r="W78">
        <v>6.9584974250226805E-2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0.9349420794743255</v>
      </c>
      <c r="AL78">
        <v>0.9349420794743255</v>
      </c>
      <c r="AM78">
        <v>2.3754123005477492</v>
      </c>
      <c r="AN78">
        <v>1.3754123005477492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0.9349420794743255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0.42097954943207494</v>
      </c>
      <c r="BI78">
        <v>0.42097954943207494</v>
      </c>
      <c r="BJ78">
        <v>0.39359149536218874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0.57902045056792506</v>
      </c>
      <c r="BV78">
        <v>0</v>
      </c>
      <c r="BW78">
        <v>2.7388054069886203E-2</v>
      </c>
      <c r="BX78">
        <v>0</v>
      </c>
      <c r="BY78">
        <v>0.39359149536218874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hidden="1" x14ac:dyDescent="0.25">
      <c r="A79" t="s">
        <v>128</v>
      </c>
      <c r="B79" t="s">
        <v>422</v>
      </c>
      <c r="C79" s="14" t="s">
        <v>72</v>
      </c>
      <c r="D79" s="12">
        <v>46231</v>
      </c>
      <c r="E79" s="14" t="s">
        <v>133</v>
      </c>
      <c r="F79" s="14" t="s">
        <v>74</v>
      </c>
      <c r="G79">
        <v>4.220105607573192</v>
      </c>
      <c r="H79">
        <v>3.8</v>
      </c>
      <c r="I79">
        <v>20</v>
      </c>
      <c r="J79">
        <v>3.8</v>
      </c>
      <c r="K79">
        <v>46231</v>
      </c>
      <c r="L79" t="s">
        <v>445</v>
      </c>
      <c r="M79">
        <v>3.9411764705882346</v>
      </c>
      <c r="N79">
        <v>0.90045139941064711</v>
      </c>
      <c r="O79">
        <v>0.90045139941064711</v>
      </c>
      <c r="P79">
        <v>0.93390470217512922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3.3453302764482107E-2</v>
      </c>
      <c r="AA79">
        <v>6.609529782487078E-2</v>
      </c>
      <c r="AB79">
        <v>0</v>
      </c>
      <c r="AC79">
        <v>0</v>
      </c>
      <c r="AD79">
        <v>0</v>
      </c>
      <c r="AE79">
        <v>0.90045139941064711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1.1105541072561032</v>
      </c>
      <c r="AL79">
        <v>1.1105541072561032</v>
      </c>
      <c r="AM79">
        <v>1.0371517027863775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3.7151702786377472E-2</v>
      </c>
      <c r="AU79">
        <v>0</v>
      </c>
      <c r="AV79">
        <v>7.3402404469725679E-2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0.96417910447761201</v>
      </c>
      <c r="BI79">
        <v>0.96417910447761201</v>
      </c>
      <c r="BJ79">
        <v>1.0707730646081235</v>
      </c>
      <c r="BK79">
        <v>7.0773064608123493E-2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9.9548600589352887E-2</v>
      </c>
      <c r="BU79">
        <v>0</v>
      </c>
      <c r="BV79">
        <v>0</v>
      </c>
      <c r="BW79">
        <v>0</v>
      </c>
      <c r="BX79">
        <v>0</v>
      </c>
      <c r="BY79">
        <v>0.96417910447761201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hidden="1" x14ac:dyDescent="0.25">
      <c r="A80" t="s">
        <v>128</v>
      </c>
      <c r="B80" t="s">
        <v>291</v>
      </c>
      <c r="C80" s="14" t="s">
        <v>72</v>
      </c>
      <c r="D80" s="12">
        <v>46231</v>
      </c>
      <c r="E80" s="14" t="s">
        <v>133</v>
      </c>
      <c r="F80" s="14" t="s">
        <v>75</v>
      </c>
      <c r="G80">
        <v>10.972274579690296</v>
      </c>
      <c r="H80">
        <v>21.85</v>
      </c>
      <c r="I80">
        <v>20</v>
      </c>
      <c r="J80">
        <v>21.85</v>
      </c>
      <c r="K80">
        <v>46231</v>
      </c>
      <c r="L80" t="s">
        <v>446</v>
      </c>
      <c r="M80">
        <v>11.25</v>
      </c>
      <c r="N80">
        <v>1.9913829025427776</v>
      </c>
      <c r="O80">
        <v>1.9913829025427776</v>
      </c>
      <c r="P80">
        <v>1.0253115630941076</v>
      </c>
      <c r="Q80">
        <v>0</v>
      </c>
      <c r="R80">
        <v>0</v>
      </c>
      <c r="S80">
        <v>0.74138290254277761</v>
      </c>
      <c r="T80">
        <v>0</v>
      </c>
      <c r="U80">
        <v>0</v>
      </c>
      <c r="V80">
        <v>0</v>
      </c>
      <c r="W80">
        <v>2.5311563094107647E-2</v>
      </c>
      <c r="X80">
        <v>0</v>
      </c>
      <c r="Y80">
        <v>0.22468843690589235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0.5021635963244987</v>
      </c>
      <c r="AL80">
        <v>0.5021635963244987</v>
      </c>
      <c r="AM80">
        <v>0.51487414187643021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0.48512585812356979</v>
      </c>
      <c r="AY80">
        <v>0</v>
      </c>
      <c r="AZ80">
        <v>0</v>
      </c>
      <c r="BA80">
        <v>0</v>
      </c>
      <c r="BB80">
        <v>0.5021635963244987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1.9422222222222221</v>
      </c>
      <c r="BI80">
        <v>1.9422222222222221</v>
      </c>
      <c r="BJ80">
        <v>0.97531329597247074</v>
      </c>
      <c r="CA80">
        <v>0</v>
      </c>
      <c r="CB80">
        <v>0</v>
      </c>
      <c r="CC80">
        <v>0</v>
      </c>
    </row>
    <row r="81" spans="1:82" hidden="1" x14ac:dyDescent="0.25">
      <c r="A81" t="s">
        <v>128</v>
      </c>
      <c r="B81" t="s">
        <v>422</v>
      </c>
      <c r="C81" s="14" t="s">
        <v>72</v>
      </c>
      <c r="D81" s="12">
        <v>46231</v>
      </c>
      <c r="E81" s="14" t="s">
        <v>133</v>
      </c>
      <c r="F81" s="14" t="s">
        <v>75</v>
      </c>
      <c r="G81">
        <v>10.972274579690296</v>
      </c>
      <c r="H81">
        <v>6.6499999999999995</v>
      </c>
      <c r="I81">
        <v>20</v>
      </c>
      <c r="J81">
        <v>6.6499999999999995</v>
      </c>
      <c r="K81">
        <v>46231</v>
      </c>
      <c r="L81" t="s">
        <v>446</v>
      </c>
      <c r="M81">
        <v>6.6598039215686242</v>
      </c>
      <c r="N81">
        <v>0.60607305729562799</v>
      </c>
      <c r="O81">
        <v>0.60607305729562799</v>
      </c>
      <c r="P81">
        <v>0.60696657499767059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8.9351770204260106E-4</v>
      </c>
      <c r="AA81">
        <v>0.39303342500232941</v>
      </c>
      <c r="AB81">
        <v>0</v>
      </c>
      <c r="AC81">
        <v>0</v>
      </c>
      <c r="AD81">
        <v>0</v>
      </c>
      <c r="AE81">
        <v>0.60607305729562799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1.6499661022090673</v>
      </c>
      <c r="AL81">
        <v>1.6499661022090673</v>
      </c>
      <c r="AM81">
        <v>1.0014742739200939</v>
      </c>
      <c r="BD81">
        <v>0</v>
      </c>
      <c r="BE81">
        <v>0</v>
      </c>
      <c r="BF81">
        <v>0</v>
      </c>
      <c r="BH81">
        <v>0.99852789636390438</v>
      </c>
      <c r="BI81">
        <v>0.99852789636390438</v>
      </c>
      <c r="BJ81">
        <v>1.6475371811105708</v>
      </c>
      <c r="BK81">
        <v>0.64753718111057079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0.39392694270437201</v>
      </c>
      <c r="BU81">
        <v>0</v>
      </c>
      <c r="BV81">
        <v>0</v>
      </c>
      <c r="BW81">
        <v>0</v>
      </c>
      <c r="BX81">
        <v>0</v>
      </c>
      <c r="BY81">
        <v>0.99852789636390438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hidden="1" x14ac:dyDescent="0.25">
      <c r="A82" t="s">
        <v>128</v>
      </c>
      <c r="B82" t="s">
        <v>421</v>
      </c>
      <c r="C82" s="14" t="s">
        <v>72</v>
      </c>
      <c r="D82" s="12">
        <v>46231</v>
      </c>
      <c r="E82" s="14" t="s">
        <v>133</v>
      </c>
      <c r="F82" s="14" t="s">
        <v>75</v>
      </c>
      <c r="G82">
        <v>8.1807431954003444</v>
      </c>
      <c r="H82">
        <v>6.6499999999999995</v>
      </c>
      <c r="I82">
        <v>20</v>
      </c>
      <c r="J82">
        <v>6.6499999999999995</v>
      </c>
      <c r="K82">
        <v>46231</v>
      </c>
      <c r="L82" t="s">
        <v>446</v>
      </c>
      <c r="M82">
        <v>12.357263386123677</v>
      </c>
      <c r="N82">
        <v>0.81288458043017275</v>
      </c>
      <c r="O82">
        <v>0.81288458043017275</v>
      </c>
      <c r="P82">
        <v>1.5105306560743279</v>
      </c>
      <c r="Q82">
        <v>0.5105306560743279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0.18711541956982725</v>
      </c>
      <c r="AA82">
        <v>0</v>
      </c>
      <c r="AB82">
        <v>0</v>
      </c>
      <c r="AC82">
        <v>0</v>
      </c>
      <c r="AD82">
        <v>0</v>
      </c>
      <c r="AE82">
        <v>0.81288458043017275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1.2301869466767437</v>
      </c>
      <c r="AL82">
        <v>1.2301869466767437</v>
      </c>
      <c r="AM82">
        <v>1.8582350956576958</v>
      </c>
      <c r="AN82">
        <v>0.62804814898095218</v>
      </c>
      <c r="AO82">
        <v>0</v>
      </c>
      <c r="AP82">
        <v>0</v>
      </c>
      <c r="AQ82">
        <v>0</v>
      </c>
      <c r="AR82">
        <v>0</v>
      </c>
      <c r="AS82">
        <v>0.26981305332325634</v>
      </c>
      <c r="AT82">
        <v>0.23018694667674366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0.53814504006343944</v>
      </c>
      <c r="BI82">
        <v>0.53814504006343944</v>
      </c>
      <c r="BJ82">
        <v>0.66201900370487643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0.33798099629512357</v>
      </c>
      <c r="BV82">
        <v>0</v>
      </c>
      <c r="BW82">
        <v>0</v>
      </c>
      <c r="BX82">
        <v>0</v>
      </c>
      <c r="BY82">
        <v>0.53814504006343944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 hidden="1" x14ac:dyDescent="0.25">
      <c r="A83" t="s">
        <v>128</v>
      </c>
      <c r="B83" t="s">
        <v>421</v>
      </c>
      <c r="C83" s="14" t="s">
        <v>72</v>
      </c>
      <c r="D83" s="12">
        <v>46232</v>
      </c>
      <c r="E83" s="14" t="s">
        <v>133</v>
      </c>
      <c r="F83" s="14" t="s">
        <v>73</v>
      </c>
      <c r="G83">
        <v>9.9337595944147079</v>
      </c>
      <c r="H83">
        <v>9.5</v>
      </c>
      <c r="I83">
        <v>20</v>
      </c>
      <c r="J83">
        <v>9.5</v>
      </c>
      <c r="K83">
        <v>46232</v>
      </c>
      <c r="L83" t="s">
        <v>447</v>
      </c>
      <c r="M83">
        <v>12.181278280542983</v>
      </c>
      <c r="N83">
        <v>0.95633480050608521</v>
      </c>
      <c r="O83">
        <v>0.95633480050608521</v>
      </c>
      <c r="P83">
        <v>1.2262505615086507</v>
      </c>
      <c r="Q83">
        <v>0.22625056150865075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4.3665199493914786E-2</v>
      </c>
      <c r="AA83">
        <v>0</v>
      </c>
      <c r="AB83">
        <v>0</v>
      </c>
      <c r="AC83">
        <v>0</v>
      </c>
      <c r="AD83">
        <v>0</v>
      </c>
      <c r="AE83">
        <v>0.95633480050608521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1.0456589046752325</v>
      </c>
      <c r="AL83">
        <v>1.0456589046752325</v>
      </c>
      <c r="AM83">
        <v>1.2822398190045246</v>
      </c>
      <c r="AN83">
        <v>0.23658091432929207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4.5658904675232481E-2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0.77988531098367908</v>
      </c>
      <c r="BI83">
        <v>0.77988531098367908</v>
      </c>
      <c r="BJ83">
        <v>0.81549402005549687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0.18450597994450313</v>
      </c>
      <c r="BV83">
        <v>0</v>
      </c>
      <c r="BW83">
        <v>0</v>
      </c>
      <c r="BX83">
        <v>0</v>
      </c>
      <c r="BY83">
        <v>0.77988531098367908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 hidden="1" x14ac:dyDescent="0.25">
      <c r="A84" t="s">
        <v>128</v>
      </c>
      <c r="B84" t="s">
        <v>422</v>
      </c>
      <c r="C84" s="14" t="s">
        <v>72</v>
      </c>
      <c r="D84" s="12">
        <v>46232</v>
      </c>
      <c r="E84" s="14" t="s">
        <v>133</v>
      </c>
      <c r="F84" s="14" t="s">
        <v>73</v>
      </c>
      <c r="G84">
        <v>12.57591471056811</v>
      </c>
      <c r="H84">
        <v>8.5499999999999989</v>
      </c>
      <c r="I84">
        <v>20</v>
      </c>
      <c r="J84">
        <v>8.5499999999999989</v>
      </c>
      <c r="K84">
        <v>46232</v>
      </c>
      <c r="L84" t="s">
        <v>447</v>
      </c>
      <c r="M84">
        <v>8.5823529411764667</v>
      </c>
      <c r="N84">
        <v>0.67987102304495173</v>
      </c>
      <c r="O84">
        <v>0.67987102304495173</v>
      </c>
      <c r="P84">
        <v>0.68244363441526268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2.572611370310951E-3</v>
      </c>
      <c r="AA84">
        <v>0.31755636558473732</v>
      </c>
      <c r="AB84">
        <v>0</v>
      </c>
      <c r="AC84">
        <v>0</v>
      </c>
      <c r="AD84">
        <v>0</v>
      </c>
      <c r="AE84">
        <v>0.67987102304495173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1.4708672176103055</v>
      </c>
      <c r="AL84">
        <v>1.4708672176103055</v>
      </c>
      <c r="AM84">
        <v>1.0037839697282418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3.7839697282417983E-3</v>
      </c>
      <c r="AU84">
        <v>0</v>
      </c>
      <c r="AV84">
        <v>0.46708324788206368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0.99623029472241298</v>
      </c>
      <c r="BI84">
        <v>0.99623029472241298</v>
      </c>
      <c r="BJ84">
        <v>1.4653224816974502</v>
      </c>
      <c r="BK84">
        <v>0.46532248169745016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0.32012897695504827</v>
      </c>
      <c r="BU84">
        <v>0</v>
      </c>
      <c r="BV84">
        <v>0</v>
      </c>
      <c r="BW84">
        <v>0</v>
      </c>
      <c r="BX84">
        <v>0</v>
      </c>
      <c r="BY84">
        <v>0.99623029472241298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hidden="1" x14ac:dyDescent="0.25">
      <c r="A85" t="s">
        <v>128</v>
      </c>
      <c r="B85" t="s">
        <v>291</v>
      </c>
      <c r="C85" s="14" t="s">
        <v>72</v>
      </c>
      <c r="D85" s="12">
        <v>46232</v>
      </c>
      <c r="E85" s="14" t="s">
        <v>133</v>
      </c>
      <c r="F85" s="14" t="s">
        <v>73</v>
      </c>
      <c r="G85">
        <v>12.57591471056811</v>
      </c>
      <c r="H85">
        <v>6.6499999999999995</v>
      </c>
      <c r="I85">
        <v>20</v>
      </c>
      <c r="J85">
        <v>6.6499999999999995</v>
      </c>
      <c r="K85">
        <v>46232</v>
      </c>
      <c r="L85" t="s">
        <v>447</v>
      </c>
      <c r="M85">
        <v>12.246323529411764</v>
      </c>
      <c r="N85">
        <v>0.52878857347940689</v>
      </c>
      <c r="O85">
        <v>0.52878857347940689</v>
      </c>
      <c r="P85">
        <v>0.973791872102999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0.44500329862359211</v>
      </c>
      <c r="AA85">
        <v>2.6208127897000999E-2</v>
      </c>
      <c r="AB85">
        <v>0</v>
      </c>
      <c r="AC85">
        <v>0</v>
      </c>
      <c r="AD85">
        <v>0</v>
      </c>
      <c r="AE85">
        <v>0.52878857347940689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1.8911149940703926</v>
      </c>
      <c r="AL85">
        <v>1.8911149940703926</v>
      </c>
      <c r="AM85">
        <v>1.8415524104378596</v>
      </c>
      <c r="BD85">
        <v>0</v>
      </c>
      <c r="BE85">
        <v>0</v>
      </c>
      <c r="BF85">
        <v>0</v>
      </c>
      <c r="BH85">
        <v>0.54302011407985584</v>
      </c>
      <c r="BI85">
        <v>0.54302011407985584</v>
      </c>
      <c r="BJ85">
        <v>1.0269134798182307</v>
      </c>
      <c r="BK85">
        <v>2.6913479818230668E-2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0.47121142652059311</v>
      </c>
      <c r="BU85">
        <v>0</v>
      </c>
      <c r="BV85">
        <v>0</v>
      </c>
      <c r="BW85">
        <v>0</v>
      </c>
      <c r="BX85">
        <v>0</v>
      </c>
      <c r="BY85">
        <v>0.54302011407985584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 hidden="1" x14ac:dyDescent="0.25">
      <c r="A86" t="s">
        <v>128</v>
      </c>
      <c r="B86" t="s">
        <v>422</v>
      </c>
      <c r="C86" s="14" t="s">
        <v>72</v>
      </c>
      <c r="D86" s="12">
        <v>46232</v>
      </c>
      <c r="E86" s="14" t="s">
        <v>133</v>
      </c>
      <c r="F86" s="14" t="s">
        <v>74</v>
      </c>
      <c r="G86">
        <v>4.220105607573192</v>
      </c>
      <c r="H86">
        <v>2.8499999999999996</v>
      </c>
      <c r="I86">
        <v>20</v>
      </c>
      <c r="J86">
        <v>2.8499999999999996</v>
      </c>
      <c r="K86">
        <v>46232</v>
      </c>
      <c r="L86" t="s">
        <v>448</v>
      </c>
      <c r="M86">
        <v>3.0882352941176467</v>
      </c>
      <c r="N86">
        <v>0.67533854955798522</v>
      </c>
      <c r="O86">
        <v>0.67533854955798522</v>
      </c>
      <c r="P86">
        <v>0.73179099797304903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5.6452448415063805E-2</v>
      </c>
      <c r="AA86">
        <v>0.26820900202695097</v>
      </c>
      <c r="AB86">
        <v>0</v>
      </c>
      <c r="AC86">
        <v>0</v>
      </c>
      <c r="AD86">
        <v>0</v>
      </c>
      <c r="AE86">
        <v>0.67533854955798522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1.4807388096748044</v>
      </c>
      <c r="AL86">
        <v>1.4807388096748044</v>
      </c>
      <c r="AM86">
        <v>1.0835913312693499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8.3591331269349922E-2</v>
      </c>
      <c r="AU86">
        <v>0</v>
      </c>
      <c r="AV86">
        <v>0.3971474784054545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0.92285714285714282</v>
      </c>
      <c r="BI86">
        <v>0.92285714285714282</v>
      </c>
      <c r="BJ86">
        <v>1.3665103872141766</v>
      </c>
      <c r="BK86">
        <v>0.36651038721417661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0.32466145044201478</v>
      </c>
      <c r="BU86">
        <v>0</v>
      </c>
      <c r="BV86">
        <v>0</v>
      </c>
      <c r="BW86">
        <v>0</v>
      </c>
      <c r="BX86">
        <v>0</v>
      </c>
      <c r="BY86">
        <v>0.92285714285714282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hidden="1" x14ac:dyDescent="0.25">
      <c r="A87" t="s">
        <v>128</v>
      </c>
      <c r="B87" t="s">
        <v>291</v>
      </c>
      <c r="C87" s="14" t="s">
        <v>72</v>
      </c>
      <c r="D87" s="12">
        <v>46232</v>
      </c>
      <c r="E87" s="14" t="s">
        <v>133</v>
      </c>
      <c r="F87" s="14" t="s">
        <v>74</v>
      </c>
      <c r="G87">
        <v>4.220105607573192</v>
      </c>
      <c r="H87">
        <v>30.4</v>
      </c>
      <c r="I87">
        <v>20</v>
      </c>
      <c r="J87">
        <v>30.4</v>
      </c>
      <c r="K87">
        <v>46232</v>
      </c>
      <c r="L87" t="s">
        <v>448</v>
      </c>
      <c r="M87">
        <v>4.6874999999999991</v>
      </c>
      <c r="N87">
        <v>7.2036111952851769</v>
      </c>
      <c r="O87">
        <v>7.2036111952851769</v>
      </c>
      <c r="P87">
        <v>1.1107541933519494</v>
      </c>
      <c r="Q87">
        <v>0</v>
      </c>
      <c r="R87">
        <v>0</v>
      </c>
      <c r="S87">
        <v>5.9536111952851769</v>
      </c>
      <c r="T87">
        <v>0</v>
      </c>
      <c r="U87">
        <v>0</v>
      </c>
      <c r="V87">
        <v>0</v>
      </c>
      <c r="W87">
        <v>0.11075419335194936</v>
      </c>
      <c r="X87">
        <v>0</v>
      </c>
      <c r="Y87">
        <v>0.13924580664805064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0.13881926340701289</v>
      </c>
      <c r="AL87">
        <v>0.13881926340701289</v>
      </c>
      <c r="AM87">
        <v>0.15419407894736839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0.84580592105263164</v>
      </c>
      <c r="AY87">
        <v>0</v>
      </c>
      <c r="AZ87">
        <v>0</v>
      </c>
      <c r="BA87">
        <v>0</v>
      </c>
      <c r="BB87">
        <v>0.13881926340701289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6.4853333333333341</v>
      </c>
      <c r="BI87">
        <v>6.4853333333333341</v>
      </c>
      <c r="BJ87">
        <v>0.9002891962822811</v>
      </c>
      <c r="CA87">
        <v>0</v>
      </c>
      <c r="CB87">
        <v>0</v>
      </c>
      <c r="CC87">
        <v>0</v>
      </c>
    </row>
    <row r="88" spans="1:82" hidden="1" x14ac:dyDescent="0.25">
      <c r="A88" t="s">
        <v>128</v>
      </c>
      <c r="B88" t="s">
        <v>421</v>
      </c>
      <c r="C88" s="14" t="s">
        <v>72</v>
      </c>
      <c r="D88" s="12">
        <v>46232</v>
      </c>
      <c r="E88" s="14" t="s">
        <v>133</v>
      </c>
      <c r="F88" s="14" t="s">
        <v>74</v>
      </c>
      <c r="G88">
        <v>4.440974877503046</v>
      </c>
      <c r="H88">
        <v>2.8499999999999996</v>
      </c>
      <c r="I88">
        <v>20</v>
      </c>
      <c r="J88">
        <v>2.8499999999999996</v>
      </c>
      <c r="K88">
        <v>46232</v>
      </c>
      <c r="L88" t="s">
        <v>448</v>
      </c>
      <c r="M88">
        <v>13.21769419306184</v>
      </c>
      <c r="N88">
        <v>0.64175098455013602</v>
      </c>
      <c r="O88">
        <v>0.64175098455013602</v>
      </c>
      <c r="P88">
        <v>2.9763046532912467</v>
      </c>
      <c r="Q88">
        <v>1.9763046532912467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0.35824901544986398</v>
      </c>
      <c r="AA88">
        <v>0</v>
      </c>
      <c r="AB88">
        <v>0</v>
      </c>
      <c r="AC88">
        <v>0</v>
      </c>
      <c r="AD88">
        <v>0</v>
      </c>
      <c r="AE88">
        <v>0.64175098455013602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1.5582367991238759</v>
      </c>
      <c r="AL88">
        <v>1.5582367991238759</v>
      </c>
      <c r="AM88">
        <v>4.6377874361620499</v>
      </c>
      <c r="BD88">
        <v>0</v>
      </c>
      <c r="BE88">
        <v>0</v>
      </c>
      <c r="BF88">
        <v>0</v>
      </c>
      <c r="BH88">
        <v>0.21562005886745406</v>
      </c>
      <c r="BI88">
        <v>0.21562005886745406</v>
      </c>
      <c r="BJ88">
        <v>0.33598711035652334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0.66401288964347671</v>
      </c>
      <c r="BV88">
        <v>0</v>
      </c>
      <c r="BW88">
        <v>0</v>
      </c>
      <c r="BX88">
        <v>0</v>
      </c>
      <c r="BY88">
        <v>0.21562005886745406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hidden="1" x14ac:dyDescent="0.25">
      <c r="A89" t="s">
        <v>128</v>
      </c>
      <c r="B89" t="s">
        <v>422</v>
      </c>
      <c r="C89" s="14" t="s">
        <v>72</v>
      </c>
      <c r="D89" s="12">
        <v>46232</v>
      </c>
      <c r="E89" s="14" t="s">
        <v>133</v>
      </c>
      <c r="F89" s="14" t="s">
        <v>75</v>
      </c>
      <c r="G89">
        <v>10.80347035538737</v>
      </c>
      <c r="H89">
        <v>4.75</v>
      </c>
      <c r="I89">
        <v>20</v>
      </c>
      <c r="J89">
        <v>4.75</v>
      </c>
      <c r="K89">
        <v>46232</v>
      </c>
      <c r="L89" t="s">
        <v>449</v>
      </c>
      <c r="M89">
        <v>5.3514705882352898</v>
      </c>
      <c r="N89">
        <v>0.4396735348684801</v>
      </c>
      <c r="O89">
        <v>0.4396735348684801</v>
      </c>
      <c r="P89">
        <v>0.49534736637349774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5.5673831505017646E-2</v>
      </c>
      <c r="AA89">
        <v>0.50465263362650226</v>
      </c>
      <c r="AB89">
        <v>0</v>
      </c>
      <c r="AC89">
        <v>0</v>
      </c>
      <c r="AD89">
        <v>0</v>
      </c>
      <c r="AE89">
        <v>0.4396735348684801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2.274414811660499</v>
      </c>
      <c r="AL89">
        <v>2.274414811660499</v>
      </c>
      <c r="AM89">
        <v>1.1266253869969032</v>
      </c>
      <c r="BD89">
        <v>0</v>
      </c>
      <c r="BE89">
        <v>0</v>
      </c>
      <c r="BF89">
        <v>0</v>
      </c>
      <c r="BH89">
        <v>0.88760648529815955</v>
      </c>
      <c r="BI89">
        <v>0.88760648529815955</v>
      </c>
      <c r="BJ89">
        <v>2.0187853370880511</v>
      </c>
      <c r="BK89">
        <v>1.0187853370880511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0.56032646513151985</v>
      </c>
      <c r="BU89">
        <v>0</v>
      </c>
      <c r="BV89">
        <v>0</v>
      </c>
      <c r="BW89">
        <v>0</v>
      </c>
      <c r="BX89">
        <v>0</v>
      </c>
      <c r="BY89">
        <v>0.88760648529815955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hidden="1" x14ac:dyDescent="0.25">
      <c r="A90" t="s">
        <v>128</v>
      </c>
      <c r="B90" t="s">
        <v>291</v>
      </c>
      <c r="C90" s="14" t="s">
        <v>72</v>
      </c>
      <c r="D90" s="12">
        <v>46232</v>
      </c>
      <c r="E90" s="14" t="s">
        <v>133</v>
      </c>
      <c r="F90" s="14" t="s">
        <v>75</v>
      </c>
      <c r="G90">
        <v>10.80347035538737</v>
      </c>
      <c r="H90">
        <v>5.6999999999999993</v>
      </c>
      <c r="I90">
        <v>20</v>
      </c>
      <c r="J90">
        <v>5.6999999999999993</v>
      </c>
      <c r="K90">
        <v>46232</v>
      </c>
      <c r="L90" t="s">
        <v>449</v>
      </c>
      <c r="M90">
        <v>12.191176470588236</v>
      </c>
      <c r="N90">
        <v>0.52760824184217603</v>
      </c>
      <c r="O90">
        <v>0.52760824184217603</v>
      </c>
      <c r="P90">
        <v>1.1284500322166253</v>
      </c>
      <c r="Q90">
        <v>0.12845003221662532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0.47239175815782397</v>
      </c>
      <c r="AA90">
        <v>0</v>
      </c>
      <c r="AB90">
        <v>0</v>
      </c>
      <c r="AC90">
        <v>0</v>
      </c>
      <c r="AD90">
        <v>0</v>
      </c>
      <c r="AE90">
        <v>0.52760824184217603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1.8953456763837493</v>
      </c>
      <c r="AL90">
        <v>1.8953456763837493</v>
      </c>
      <c r="AM90">
        <v>2.1388028895768838</v>
      </c>
      <c r="BD90">
        <v>0</v>
      </c>
      <c r="BE90">
        <v>0</v>
      </c>
      <c r="BF90">
        <v>0</v>
      </c>
      <c r="BH90">
        <v>0.4675512665862484</v>
      </c>
      <c r="BI90">
        <v>0.4675512665862484</v>
      </c>
      <c r="BJ90">
        <v>0.88617127161199172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0.11382872838800828</v>
      </c>
      <c r="BV90">
        <v>0</v>
      </c>
      <c r="BW90">
        <v>0</v>
      </c>
      <c r="BX90">
        <v>0</v>
      </c>
      <c r="BY90">
        <v>0.4675512665862484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 hidden="1" x14ac:dyDescent="0.25">
      <c r="A91" t="s">
        <v>128</v>
      </c>
      <c r="B91" t="s">
        <v>421</v>
      </c>
      <c r="C91" s="14" t="s">
        <v>72</v>
      </c>
      <c r="D91" s="12">
        <v>46232</v>
      </c>
      <c r="E91" s="14" t="s">
        <v>133</v>
      </c>
      <c r="F91" s="14" t="s">
        <v>75</v>
      </c>
      <c r="G91">
        <v>8.1807431954003444</v>
      </c>
      <c r="H91">
        <v>4.75</v>
      </c>
      <c r="I91">
        <v>20</v>
      </c>
      <c r="J91">
        <v>4.75</v>
      </c>
      <c r="K91">
        <v>46232</v>
      </c>
      <c r="L91" t="s">
        <v>449</v>
      </c>
      <c r="M91">
        <v>14.536392345399705</v>
      </c>
      <c r="N91">
        <v>0.58063184316440908</v>
      </c>
      <c r="O91">
        <v>0.58063184316440908</v>
      </c>
      <c r="P91">
        <v>1.7769036379937766</v>
      </c>
      <c r="Q91">
        <v>0.7769036379937766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0.41936815683559092</v>
      </c>
      <c r="AA91">
        <v>0</v>
      </c>
      <c r="AB91">
        <v>0</v>
      </c>
      <c r="AC91">
        <v>0</v>
      </c>
      <c r="AD91">
        <v>0</v>
      </c>
      <c r="AE91">
        <v>0.58063184316440908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1.722261725347441</v>
      </c>
      <c r="AL91">
        <v>1.722261725347441</v>
      </c>
      <c r="AM91">
        <v>3.060293125347306</v>
      </c>
      <c r="BD91">
        <v>0</v>
      </c>
      <c r="BE91">
        <v>0</v>
      </c>
      <c r="BF91">
        <v>0</v>
      </c>
      <c r="BH91">
        <v>0.32676608384907968</v>
      </c>
      <c r="BI91">
        <v>0.32676608384907968</v>
      </c>
      <c r="BJ91">
        <v>0.56277671935494256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0.43722328064505744</v>
      </c>
      <c r="BV91">
        <v>0</v>
      </c>
      <c r="BW91">
        <v>0</v>
      </c>
      <c r="BX91">
        <v>0</v>
      </c>
      <c r="BY91">
        <v>0.32676608384907968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hidden="1" x14ac:dyDescent="0.25">
      <c r="A92" t="s">
        <v>128</v>
      </c>
      <c r="B92" t="s">
        <v>291</v>
      </c>
      <c r="C92" s="14" t="s">
        <v>72</v>
      </c>
      <c r="D92" s="12">
        <v>46233</v>
      </c>
      <c r="E92" s="14" t="s">
        <v>133</v>
      </c>
      <c r="F92" s="14" t="s">
        <v>73</v>
      </c>
      <c r="G92">
        <v>10.887872467538832</v>
      </c>
      <c r="H92">
        <v>7.6</v>
      </c>
      <c r="I92">
        <v>20</v>
      </c>
      <c r="J92">
        <v>7.6</v>
      </c>
      <c r="K92">
        <v>46233</v>
      </c>
      <c r="L92" t="s">
        <v>450</v>
      </c>
      <c r="M92">
        <v>11.25</v>
      </c>
      <c r="N92">
        <v>0.69802434062840879</v>
      </c>
      <c r="O92">
        <v>0.69802434062840879</v>
      </c>
      <c r="P92">
        <v>1.0332597147459999</v>
      </c>
      <c r="Q92">
        <v>3.3259714745999869E-2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0.30197565937159121</v>
      </c>
      <c r="AA92">
        <v>0</v>
      </c>
      <c r="AB92">
        <v>0</v>
      </c>
      <c r="AC92">
        <v>0</v>
      </c>
      <c r="AD92">
        <v>0</v>
      </c>
      <c r="AE92">
        <v>0.69802434062840879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1.4326147983603728</v>
      </c>
      <c r="AL92">
        <v>1.4326147983603728</v>
      </c>
      <c r="AM92">
        <v>1.4802631578947369</v>
      </c>
      <c r="AN92">
        <v>4.7648359534364193E-2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0.43261479836037275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0.67555555555555558</v>
      </c>
      <c r="BI92">
        <v>0.67555555555555558</v>
      </c>
      <c r="BJ92">
        <v>0.96781088600345178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3.2189113996548224E-2</v>
      </c>
      <c r="BV92">
        <v>0</v>
      </c>
      <c r="BW92">
        <v>0</v>
      </c>
      <c r="BX92">
        <v>0</v>
      </c>
      <c r="BY92">
        <v>0.67555555555555558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 hidden="1" x14ac:dyDescent="0.25">
      <c r="A93" t="s">
        <v>128</v>
      </c>
      <c r="B93" t="s">
        <v>422</v>
      </c>
      <c r="C93" s="14" t="s">
        <v>72</v>
      </c>
      <c r="D93" s="12">
        <v>46233</v>
      </c>
      <c r="E93" s="14" t="s">
        <v>133</v>
      </c>
      <c r="F93" s="14" t="s">
        <v>73</v>
      </c>
      <c r="G93">
        <v>10.887872467538832</v>
      </c>
      <c r="H93">
        <v>21.85</v>
      </c>
      <c r="I93">
        <v>20</v>
      </c>
      <c r="J93">
        <v>21.85</v>
      </c>
      <c r="K93">
        <v>46233</v>
      </c>
      <c r="L93" t="s">
        <v>450</v>
      </c>
      <c r="M93">
        <v>9.3254901960784284</v>
      </c>
      <c r="N93">
        <v>2.006819979306675</v>
      </c>
      <c r="O93">
        <v>2.006819979306675</v>
      </c>
      <c r="P93">
        <v>0.85650251909925468</v>
      </c>
      <c r="Q93">
        <v>0</v>
      </c>
      <c r="R93">
        <v>0</v>
      </c>
      <c r="S93">
        <v>0.75681997930667499</v>
      </c>
      <c r="T93">
        <v>0</v>
      </c>
      <c r="U93">
        <v>0</v>
      </c>
      <c r="V93">
        <v>0</v>
      </c>
      <c r="W93">
        <v>0</v>
      </c>
      <c r="X93">
        <v>0</v>
      </c>
      <c r="Y93">
        <v>0.25</v>
      </c>
      <c r="Z93">
        <v>0</v>
      </c>
      <c r="AA93">
        <v>0</v>
      </c>
      <c r="AB93">
        <v>0</v>
      </c>
      <c r="AC93">
        <v>0.14349748090074532</v>
      </c>
      <c r="AD93">
        <v>0</v>
      </c>
      <c r="AE93">
        <v>0.85650251909925468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0.49830079942969491</v>
      </c>
      <c r="AL93">
        <v>0.49830079942969491</v>
      </c>
      <c r="AM93">
        <v>0.42679588998070617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0.50169920057030515</v>
      </c>
      <c r="AY93">
        <v>0</v>
      </c>
      <c r="AZ93">
        <v>7.150490944898874E-2</v>
      </c>
      <c r="BA93">
        <v>0</v>
      </c>
      <c r="BB93">
        <v>0.42679588998070617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2.3430403700588736</v>
      </c>
      <c r="BI93">
        <v>2.3430403700588736</v>
      </c>
      <c r="BJ93">
        <v>1.1675388894963847</v>
      </c>
      <c r="CA93">
        <v>0</v>
      </c>
      <c r="CB93">
        <v>0</v>
      </c>
      <c r="CC93">
        <v>0</v>
      </c>
    </row>
    <row r="94" spans="1:82" hidden="1" x14ac:dyDescent="0.25">
      <c r="A94" t="s">
        <v>128</v>
      </c>
      <c r="B94" t="s">
        <v>421</v>
      </c>
      <c r="C94" s="14" t="s">
        <v>72</v>
      </c>
      <c r="D94" s="12">
        <v>46233</v>
      </c>
      <c r="E94" s="14" t="s">
        <v>133</v>
      </c>
      <c r="F94" s="14" t="s">
        <v>73</v>
      </c>
      <c r="G94">
        <v>9.9337595944147097</v>
      </c>
      <c r="H94">
        <v>34.199999999999996</v>
      </c>
      <c r="I94">
        <v>20</v>
      </c>
      <c r="J94">
        <v>34.199999999999996</v>
      </c>
      <c r="K94">
        <v>46233</v>
      </c>
      <c r="L94" t="s">
        <v>450</v>
      </c>
      <c r="M94">
        <v>13.842967571644042</v>
      </c>
      <c r="N94">
        <v>3.4428052818219057</v>
      </c>
      <c r="O94">
        <v>3.4428052818219057</v>
      </c>
      <c r="P94">
        <v>1.3935275401095168</v>
      </c>
      <c r="Q94">
        <v>0</v>
      </c>
      <c r="R94">
        <v>0</v>
      </c>
      <c r="S94">
        <v>2.0492777417123889</v>
      </c>
      <c r="T94">
        <v>0</v>
      </c>
      <c r="U94">
        <v>0.14352754010951685</v>
      </c>
      <c r="V94">
        <v>0</v>
      </c>
      <c r="W94">
        <v>0.25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0.29046080685423131</v>
      </c>
      <c r="AL94">
        <v>0.29046080685423131</v>
      </c>
      <c r="AM94">
        <v>0.40476513367380246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0.59523486632619749</v>
      </c>
      <c r="AY94">
        <v>0</v>
      </c>
      <c r="AZ94">
        <v>0</v>
      </c>
      <c r="BA94">
        <v>0</v>
      </c>
      <c r="BB94">
        <v>0.29046080685423131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2.4705685267987865</v>
      </c>
      <c r="BI94">
        <v>2.4705685267987865</v>
      </c>
      <c r="BJ94">
        <v>0.71760332768264512</v>
      </c>
      <c r="CA94">
        <v>0</v>
      </c>
      <c r="CB94">
        <v>0</v>
      </c>
      <c r="CC94">
        <v>0</v>
      </c>
    </row>
    <row r="95" spans="1:82" hidden="1" x14ac:dyDescent="0.25">
      <c r="A95" t="s">
        <v>128</v>
      </c>
      <c r="B95" t="s">
        <v>291</v>
      </c>
      <c r="C95" s="14" t="s">
        <v>72</v>
      </c>
      <c r="D95" s="12">
        <v>46233</v>
      </c>
      <c r="E95" s="14" t="s">
        <v>133</v>
      </c>
      <c r="F95" s="14" t="s">
        <v>74</v>
      </c>
      <c r="G95">
        <v>4.220105607573192</v>
      </c>
      <c r="H95">
        <v>19.95</v>
      </c>
      <c r="I95">
        <v>20</v>
      </c>
      <c r="J95">
        <v>19.95</v>
      </c>
      <c r="K95">
        <v>46233</v>
      </c>
      <c r="L95" t="s">
        <v>451</v>
      </c>
      <c r="M95">
        <v>4.6874999999999991</v>
      </c>
      <c r="N95">
        <v>4.7273698469058969</v>
      </c>
      <c r="O95">
        <v>4.7273698469058969</v>
      </c>
      <c r="P95">
        <v>1.1107541933519494</v>
      </c>
      <c r="Q95">
        <v>0</v>
      </c>
      <c r="R95">
        <v>0</v>
      </c>
      <c r="S95">
        <v>3.4773698469058969</v>
      </c>
      <c r="T95">
        <v>0</v>
      </c>
      <c r="U95">
        <v>0</v>
      </c>
      <c r="V95">
        <v>0</v>
      </c>
      <c r="W95">
        <v>0.11075419335194936</v>
      </c>
      <c r="X95">
        <v>0</v>
      </c>
      <c r="Y95">
        <v>0.13924580664805064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0.21153411566782918</v>
      </c>
      <c r="AL95">
        <v>0.21153411566782918</v>
      </c>
      <c r="AM95">
        <v>0.23496240601503757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0.76503759398496241</v>
      </c>
      <c r="AY95">
        <v>0</v>
      </c>
      <c r="AZ95">
        <v>0</v>
      </c>
      <c r="BA95">
        <v>0</v>
      </c>
      <c r="BB95">
        <v>0.21153411566782918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4.2560000000000002</v>
      </c>
      <c r="BI95">
        <v>4.2560000000000002</v>
      </c>
      <c r="BJ95">
        <v>0.9002891962822811</v>
      </c>
      <c r="CA95">
        <v>0</v>
      </c>
      <c r="CB95">
        <v>0</v>
      </c>
      <c r="CC95">
        <v>0</v>
      </c>
    </row>
    <row r="96" spans="1:82" hidden="1" x14ac:dyDescent="0.25">
      <c r="A96" t="s">
        <v>128</v>
      </c>
      <c r="B96" t="s">
        <v>422</v>
      </c>
      <c r="C96" s="14" t="s">
        <v>72</v>
      </c>
      <c r="D96" s="12">
        <v>46233</v>
      </c>
      <c r="E96" s="14" t="s">
        <v>133</v>
      </c>
      <c r="F96" s="14" t="s">
        <v>74</v>
      </c>
      <c r="G96">
        <v>4.220105607573192</v>
      </c>
      <c r="H96">
        <v>1.9</v>
      </c>
      <c r="I96">
        <v>20</v>
      </c>
      <c r="J96">
        <v>1.9</v>
      </c>
      <c r="K96">
        <v>46233</v>
      </c>
      <c r="L96" t="s">
        <v>451</v>
      </c>
      <c r="M96">
        <v>2.4705882352941178</v>
      </c>
      <c r="N96">
        <v>0.45022569970532356</v>
      </c>
      <c r="O96">
        <v>0.45022569970532356</v>
      </c>
      <c r="P96">
        <v>0.58543279837843931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0.13520709867311576</v>
      </c>
      <c r="AA96">
        <v>0.41456720162156069</v>
      </c>
      <c r="AB96">
        <v>0</v>
      </c>
      <c r="AC96">
        <v>0</v>
      </c>
      <c r="AD96">
        <v>0</v>
      </c>
      <c r="AE96">
        <v>0.45022569970532356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2.2211082145122063</v>
      </c>
      <c r="AL96">
        <v>2.2211082145122063</v>
      </c>
      <c r="AM96">
        <v>1.30030959752322</v>
      </c>
      <c r="BD96">
        <v>0</v>
      </c>
      <c r="BE96">
        <v>0</v>
      </c>
      <c r="BF96">
        <v>0</v>
      </c>
      <c r="BH96">
        <v>0.76904761904761898</v>
      </c>
      <c r="BI96">
        <v>0.76904761904761898</v>
      </c>
      <c r="BJ96">
        <v>1.7081379840177204</v>
      </c>
      <c r="BK96">
        <v>0.70813798401772043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0.54977430029467644</v>
      </c>
      <c r="BU96">
        <v>0</v>
      </c>
      <c r="BV96">
        <v>0</v>
      </c>
      <c r="BW96">
        <v>0</v>
      </c>
      <c r="BX96">
        <v>0</v>
      </c>
      <c r="BY96">
        <v>0.76904761904761898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hidden="1" x14ac:dyDescent="0.25">
      <c r="A97" t="s">
        <v>128</v>
      </c>
      <c r="B97" t="s">
        <v>421</v>
      </c>
      <c r="C97" s="14" t="s">
        <v>72</v>
      </c>
      <c r="D97" s="12">
        <v>46233</v>
      </c>
      <c r="E97" s="14" t="s">
        <v>133</v>
      </c>
      <c r="F97" s="14" t="s">
        <v>74</v>
      </c>
      <c r="G97">
        <v>4.440974877503046</v>
      </c>
      <c r="H97">
        <v>1.9</v>
      </c>
      <c r="I97">
        <v>20</v>
      </c>
      <c r="J97">
        <v>1.9</v>
      </c>
      <c r="K97">
        <v>46233</v>
      </c>
      <c r="L97" t="s">
        <v>451</v>
      </c>
      <c r="M97">
        <v>13.236908465309201</v>
      </c>
      <c r="N97">
        <v>0.42783398970009073</v>
      </c>
      <c r="O97">
        <v>0.42783398970009073</v>
      </c>
      <c r="P97">
        <v>2.9806312421095478</v>
      </c>
      <c r="Q97">
        <v>1.9806312421095478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0.57216601029990932</v>
      </c>
      <c r="AA97">
        <v>0</v>
      </c>
      <c r="AB97">
        <v>0</v>
      </c>
      <c r="AC97">
        <v>0</v>
      </c>
      <c r="AD97">
        <v>0</v>
      </c>
      <c r="AE97">
        <v>0.42783398970009073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2.3373551986858137</v>
      </c>
      <c r="AL97">
        <v>2.3373551986858137</v>
      </c>
      <c r="AM97">
        <v>6.9667939291101062</v>
      </c>
      <c r="BD97">
        <v>0</v>
      </c>
      <c r="BE97">
        <v>0</v>
      </c>
      <c r="BF97">
        <v>0</v>
      </c>
      <c r="BH97">
        <v>0.14353804779865703</v>
      </c>
      <c r="BI97">
        <v>0.14353804779865703</v>
      </c>
      <c r="BJ97">
        <v>0.33549940223140384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0.66450059776859616</v>
      </c>
      <c r="BV97">
        <v>0</v>
      </c>
      <c r="BW97">
        <v>0</v>
      </c>
      <c r="BX97">
        <v>0</v>
      </c>
      <c r="BY97">
        <v>0.14353804779865703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hidden="1" x14ac:dyDescent="0.25">
      <c r="A98" t="s">
        <v>128</v>
      </c>
      <c r="B98" t="s">
        <v>291</v>
      </c>
      <c r="C98" s="14" t="s">
        <v>72</v>
      </c>
      <c r="D98" s="12">
        <v>46233</v>
      </c>
      <c r="E98" s="14" t="s">
        <v>133</v>
      </c>
      <c r="F98" s="14" t="s">
        <v>75</v>
      </c>
      <c r="G98">
        <v>10.972274579690296</v>
      </c>
      <c r="H98">
        <v>7.6</v>
      </c>
      <c r="I98">
        <v>20</v>
      </c>
      <c r="J98">
        <v>7.6</v>
      </c>
      <c r="K98">
        <v>46233</v>
      </c>
      <c r="L98" t="s">
        <v>452</v>
      </c>
      <c r="M98">
        <v>12.1875</v>
      </c>
      <c r="N98">
        <v>0.69265492262357486</v>
      </c>
      <c r="O98">
        <v>0.69265492262357486</v>
      </c>
      <c r="P98">
        <v>1.1107541933519498</v>
      </c>
      <c r="Q98">
        <v>0.1107541933519498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0.30734507737642514</v>
      </c>
      <c r="AA98">
        <v>0</v>
      </c>
      <c r="AB98">
        <v>0</v>
      </c>
      <c r="AC98">
        <v>0</v>
      </c>
      <c r="AD98">
        <v>0</v>
      </c>
      <c r="AE98">
        <v>0.69265492262357486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1.4437203394329339</v>
      </c>
      <c r="AL98">
        <v>1.4437203394329339</v>
      </c>
      <c r="AM98">
        <v>1.6036184210526316</v>
      </c>
      <c r="AN98">
        <v>0.15989808161969776</v>
      </c>
      <c r="AO98">
        <v>0</v>
      </c>
      <c r="AP98">
        <v>0</v>
      </c>
      <c r="AQ98">
        <v>0</v>
      </c>
      <c r="AR98">
        <v>0</v>
      </c>
      <c r="AS98">
        <v>5.6279660567066125E-2</v>
      </c>
      <c r="AT98">
        <v>0.44372033943293387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0.62358974358974351</v>
      </c>
      <c r="BI98">
        <v>0.62358974358974351</v>
      </c>
      <c r="BJ98">
        <v>0.90028919628228077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9.9710803717719232E-2</v>
      </c>
      <c r="BV98">
        <v>0</v>
      </c>
      <c r="BW98">
        <v>0</v>
      </c>
      <c r="BX98">
        <v>0</v>
      </c>
      <c r="BY98">
        <v>0.62358974358974351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hidden="1" x14ac:dyDescent="0.25">
      <c r="A99" t="s">
        <v>128</v>
      </c>
      <c r="B99" t="s">
        <v>422</v>
      </c>
      <c r="C99" s="14" t="s">
        <v>72</v>
      </c>
      <c r="D99" s="12">
        <v>46233</v>
      </c>
      <c r="E99" s="14" t="s">
        <v>133</v>
      </c>
      <c r="F99" s="14" t="s">
        <v>75</v>
      </c>
      <c r="G99">
        <v>10.972274579690296</v>
      </c>
      <c r="H99">
        <v>6.6499999999999995</v>
      </c>
      <c r="I99">
        <v>20</v>
      </c>
      <c r="J99">
        <v>6.6499999999999995</v>
      </c>
      <c r="K99">
        <v>46233</v>
      </c>
      <c r="L99" t="s">
        <v>452</v>
      </c>
      <c r="M99">
        <v>8.1009803921568597</v>
      </c>
      <c r="N99">
        <v>0.60607305729562799</v>
      </c>
      <c r="O99">
        <v>0.60607305729562799</v>
      </c>
      <c r="P99">
        <v>0.73831367719796148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0.13224061990233349</v>
      </c>
      <c r="AA99">
        <v>0.26168632280203852</v>
      </c>
      <c r="AB99">
        <v>0</v>
      </c>
      <c r="AC99">
        <v>0</v>
      </c>
      <c r="AD99">
        <v>0</v>
      </c>
      <c r="AE99">
        <v>0.60607305729562799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1.6499661022090673</v>
      </c>
      <c r="AL99">
        <v>1.6499661022090673</v>
      </c>
      <c r="AM99">
        <v>1.2181925401739639</v>
      </c>
      <c r="BD99">
        <v>0</v>
      </c>
      <c r="BE99">
        <v>0</v>
      </c>
      <c r="BF99">
        <v>0</v>
      </c>
      <c r="BH99">
        <v>0.82088829722860968</v>
      </c>
      <c r="BI99">
        <v>0.82088829722860968</v>
      </c>
      <c r="BJ99">
        <v>1.3544378641273274</v>
      </c>
      <c r="BK99">
        <v>0.35443786412732736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0.39392694270437201</v>
      </c>
      <c r="BU99">
        <v>0</v>
      </c>
      <c r="BV99">
        <v>0</v>
      </c>
      <c r="BW99">
        <v>0</v>
      </c>
      <c r="BX99">
        <v>0</v>
      </c>
      <c r="BY99">
        <v>0.82088829722860968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hidden="1" x14ac:dyDescent="0.25">
      <c r="A100" t="s">
        <v>128</v>
      </c>
      <c r="B100" t="s">
        <v>421</v>
      </c>
      <c r="C100" s="14" t="s">
        <v>72</v>
      </c>
      <c r="D100" s="12">
        <v>46233</v>
      </c>
      <c r="E100" s="14" t="s">
        <v>133</v>
      </c>
      <c r="F100" s="14" t="s">
        <v>75</v>
      </c>
      <c r="G100">
        <v>8.1223093154332009</v>
      </c>
      <c r="H100">
        <v>6.6499999999999995</v>
      </c>
      <c r="I100">
        <v>20</v>
      </c>
      <c r="J100">
        <v>6.6499999999999995</v>
      </c>
      <c r="K100">
        <v>46233</v>
      </c>
      <c r="L100" t="s">
        <v>452</v>
      </c>
      <c r="M100">
        <v>14.730962481146298</v>
      </c>
      <c r="N100">
        <v>0.81873267093686442</v>
      </c>
      <c r="O100">
        <v>0.81873267093686442</v>
      </c>
      <c r="P100">
        <v>1.8136421440089698</v>
      </c>
      <c r="Q100">
        <v>0.81364214400896984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0.18126732906313558</v>
      </c>
      <c r="AA100">
        <v>0</v>
      </c>
      <c r="AB100">
        <v>0</v>
      </c>
      <c r="AC100">
        <v>0</v>
      </c>
      <c r="AD100">
        <v>0</v>
      </c>
      <c r="AE100">
        <v>0.81873267093686442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1.2213998970576243</v>
      </c>
      <c r="AL100">
        <v>1.2213998970576243</v>
      </c>
      <c r="AM100">
        <v>2.2151823279919247</v>
      </c>
      <c r="AN100">
        <v>0.99378243093430041</v>
      </c>
      <c r="AO100">
        <v>0</v>
      </c>
      <c r="AP100">
        <v>0</v>
      </c>
      <c r="AQ100">
        <v>0</v>
      </c>
      <c r="AR100">
        <v>0</v>
      </c>
      <c r="AS100">
        <v>0.27860010294237569</v>
      </c>
      <c r="AT100">
        <v>0.22139989705762431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0.45143010909919351</v>
      </c>
      <c r="BI100">
        <v>0.45143010909919351</v>
      </c>
      <c r="BJ100">
        <v>0.55137668878246704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0.44862331121753296</v>
      </c>
      <c r="BV100">
        <v>0</v>
      </c>
      <c r="BW100">
        <v>0</v>
      </c>
      <c r="BX100">
        <v>0</v>
      </c>
      <c r="BY100">
        <v>0.45143010909919351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hidden="1" x14ac:dyDescent="0.25">
      <c r="A101" t="s">
        <v>128</v>
      </c>
      <c r="B101" t="s">
        <v>421</v>
      </c>
      <c r="C101" s="14" t="s">
        <v>72</v>
      </c>
      <c r="D101" s="12">
        <v>46234</v>
      </c>
      <c r="E101" s="14" t="s">
        <v>133</v>
      </c>
      <c r="F101" s="14" t="s">
        <v>73</v>
      </c>
      <c r="G101">
        <v>9.9337595944147097</v>
      </c>
      <c r="H101">
        <v>30.4</v>
      </c>
      <c r="I101">
        <v>20</v>
      </c>
      <c r="J101">
        <v>30.4</v>
      </c>
      <c r="K101">
        <v>46234</v>
      </c>
      <c r="L101" t="s">
        <v>453</v>
      </c>
      <c r="M101">
        <v>12.303129713423832</v>
      </c>
      <c r="N101">
        <v>3.0602713616194719</v>
      </c>
      <c r="O101">
        <v>3.0602713616194719</v>
      </c>
      <c r="P101">
        <v>1.238516957903965</v>
      </c>
      <c r="Q101">
        <v>0</v>
      </c>
      <c r="R101">
        <v>0</v>
      </c>
      <c r="S101">
        <v>1.8102713616194719</v>
      </c>
      <c r="T101">
        <v>0</v>
      </c>
      <c r="U101">
        <v>0</v>
      </c>
      <c r="V101">
        <v>0</v>
      </c>
      <c r="W101">
        <v>0.23851695790396499</v>
      </c>
      <c r="X101">
        <v>0</v>
      </c>
      <c r="Y101">
        <v>1.1483042096035012E-2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0.32676840771101018</v>
      </c>
      <c r="AL101">
        <v>0.32676840771101018</v>
      </c>
      <c r="AM101">
        <v>0.40470821425736292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0.59529178574263708</v>
      </c>
      <c r="AY101">
        <v>0</v>
      </c>
      <c r="AZ101">
        <v>0</v>
      </c>
      <c r="BA101">
        <v>0</v>
      </c>
      <c r="BB101">
        <v>0.32676840771101018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2.470915995206556</v>
      </c>
      <c r="BI101">
        <v>2.470915995206556</v>
      </c>
      <c r="BJ101">
        <v>0.80741728534131241</v>
      </c>
      <c r="CA101">
        <v>0</v>
      </c>
      <c r="CB101">
        <v>0</v>
      </c>
      <c r="CC101">
        <v>0</v>
      </c>
    </row>
    <row r="102" spans="1:82" hidden="1" x14ac:dyDescent="0.25">
      <c r="A102" t="s">
        <v>128</v>
      </c>
      <c r="B102" t="s">
        <v>422</v>
      </c>
      <c r="C102" s="14" t="s">
        <v>72</v>
      </c>
      <c r="D102" s="12">
        <v>46234</v>
      </c>
      <c r="E102" s="14" t="s">
        <v>133</v>
      </c>
      <c r="F102" s="14" t="s">
        <v>73</v>
      </c>
      <c r="G102">
        <v>10.972274579690298</v>
      </c>
      <c r="H102">
        <v>22.799999999999997</v>
      </c>
      <c r="I102">
        <v>20</v>
      </c>
      <c r="J102">
        <v>22.799999999999997</v>
      </c>
      <c r="K102">
        <v>46234</v>
      </c>
      <c r="L102" t="s">
        <v>453</v>
      </c>
      <c r="M102">
        <v>9.7367647058823472</v>
      </c>
      <c r="N102">
        <v>2.077964767870724</v>
      </c>
      <c r="O102">
        <v>2.077964767870724</v>
      </c>
      <c r="P102">
        <v>0.88739710578380149</v>
      </c>
      <c r="Q102">
        <v>0</v>
      </c>
      <c r="R102">
        <v>0</v>
      </c>
      <c r="S102">
        <v>0.82796476787072404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0.25</v>
      </c>
      <c r="Z102">
        <v>0</v>
      </c>
      <c r="AA102">
        <v>0</v>
      </c>
      <c r="AB102">
        <v>0</v>
      </c>
      <c r="AC102">
        <v>0.11260289421619851</v>
      </c>
      <c r="AD102">
        <v>0</v>
      </c>
      <c r="AE102">
        <v>0.88739710578380149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0.48124011314431137</v>
      </c>
      <c r="AL102">
        <v>0.48124011314431137</v>
      </c>
      <c r="AM102">
        <v>0.42705108359133109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0.51875988685568863</v>
      </c>
      <c r="AY102">
        <v>0</v>
      </c>
      <c r="AZ102">
        <v>5.4189029552980272E-2</v>
      </c>
      <c r="BA102">
        <v>0</v>
      </c>
      <c r="BB102">
        <v>0.42705108359133109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2.3416402356139567</v>
      </c>
      <c r="BI102">
        <v>2.3416402356139567</v>
      </c>
      <c r="BJ102">
        <v>1.1268912119301324</v>
      </c>
      <c r="CA102">
        <v>0</v>
      </c>
      <c r="CB102">
        <v>0</v>
      </c>
      <c r="CC102">
        <v>0</v>
      </c>
    </row>
    <row r="103" spans="1:82" hidden="1" x14ac:dyDescent="0.25">
      <c r="A103" t="s">
        <v>128</v>
      </c>
      <c r="B103" t="s">
        <v>291</v>
      </c>
      <c r="C103" s="14" t="s">
        <v>72</v>
      </c>
      <c r="D103" s="12">
        <v>46234</v>
      </c>
      <c r="E103" s="14" t="s">
        <v>133</v>
      </c>
      <c r="F103" s="14" t="s">
        <v>73</v>
      </c>
      <c r="G103">
        <v>10.972274579690298</v>
      </c>
      <c r="H103">
        <v>4.75</v>
      </c>
      <c r="I103">
        <v>20</v>
      </c>
      <c r="J103">
        <v>4.75</v>
      </c>
      <c r="K103">
        <v>46234</v>
      </c>
      <c r="L103" t="s">
        <v>453</v>
      </c>
      <c r="M103">
        <v>12.246323529411764</v>
      </c>
      <c r="N103">
        <v>0.43290932663973425</v>
      </c>
      <c r="O103">
        <v>0.43290932663973425</v>
      </c>
      <c r="P103">
        <v>1.1161152995642065</v>
      </c>
      <c r="Q103">
        <v>0.11611529956420652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0.56709067336026575</v>
      </c>
      <c r="AA103">
        <v>0</v>
      </c>
      <c r="AB103">
        <v>0</v>
      </c>
      <c r="AC103">
        <v>0</v>
      </c>
      <c r="AD103">
        <v>0</v>
      </c>
      <c r="AE103">
        <v>0.43290932663973425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2.3099525430926944</v>
      </c>
      <c r="AL103">
        <v>2.3099525430926944</v>
      </c>
      <c r="AM103">
        <v>2.5781733746130029</v>
      </c>
      <c r="BD103">
        <v>0</v>
      </c>
      <c r="BE103">
        <v>0</v>
      </c>
      <c r="BF103">
        <v>0</v>
      </c>
      <c r="BH103">
        <v>0.38787151005703996</v>
      </c>
      <c r="BI103">
        <v>0.38787151005703996</v>
      </c>
      <c r="BJ103">
        <v>0.89596478104946298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0.10403521895053702</v>
      </c>
      <c r="BV103">
        <v>0</v>
      </c>
      <c r="BW103">
        <v>0</v>
      </c>
      <c r="BX103">
        <v>0</v>
      </c>
      <c r="BY103">
        <v>0.38787151005703996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 hidden="1" x14ac:dyDescent="0.25">
      <c r="A104" t="s">
        <v>128</v>
      </c>
      <c r="B104" t="s">
        <v>421</v>
      </c>
      <c r="C104" s="14" t="s">
        <v>72</v>
      </c>
      <c r="D104" s="12">
        <v>46234</v>
      </c>
      <c r="E104" s="14" t="s">
        <v>133</v>
      </c>
      <c r="F104" s="14" t="s">
        <v>74</v>
      </c>
      <c r="G104">
        <v>4.440974877503046</v>
      </c>
      <c r="H104">
        <v>4.75</v>
      </c>
      <c r="I104">
        <v>20</v>
      </c>
      <c r="J104">
        <v>4.75</v>
      </c>
      <c r="K104">
        <v>46234</v>
      </c>
      <c r="L104" t="s">
        <v>454</v>
      </c>
      <c r="M104">
        <v>12.965033465309196</v>
      </c>
      <c r="N104">
        <v>1.0695849742502268</v>
      </c>
      <c r="O104">
        <v>1.0695849742502268</v>
      </c>
      <c r="P104">
        <v>2.9194115758202246</v>
      </c>
      <c r="Q104">
        <v>1.8498266015699978</v>
      </c>
      <c r="R104">
        <v>0</v>
      </c>
      <c r="S104">
        <v>0</v>
      </c>
      <c r="T104">
        <v>0</v>
      </c>
      <c r="U104">
        <v>0</v>
      </c>
      <c r="V104">
        <v>0.18041502574977319</v>
      </c>
      <c r="W104">
        <v>6.9584974250226805E-2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0.9349420794743255</v>
      </c>
      <c r="AL104">
        <v>0.9349420794743255</v>
      </c>
      <c r="AM104">
        <v>2.729480729538778</v>
      </c>
      <c r="AN104">
        <v>1.729480729538778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0.9349420794743255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0.366370053167211</v>
      </c>
      <c r="BI104">
        <v>0.366370053167211</v>
      </c>
      <c r="BJ104">
        <v>0.34253477936527144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0.63362994683278906</v>
      </c>
      <c r="BV104">
        <v>0</v>
      </c>
      <c r="BW104">
        <v>2.383527380193956E-2</v>
      </c>
      <c r="BX104">
        <v>0</v>
      </c>
      <c r="BY104">
        <v>0.34253477936527144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hidden="1" x14ac:dyDescent="0.25">
      <c r="A105" t="s">
        <v>128</v>
      </c>
      <c r="B105" t="s">
        <v>291</v>
      </c>
      <c r="C105" s="14" t="s">
        <v>72</v>
      </c>
      <c r="D105" s="12">
        <v>46234</v>
      </c>
      <c r="E105" s="14" t="s">
        <v>133</v>
      </c>
      <c r="F105" s="14" t="s">
        <v>74</v>
      </c>
      <c r="G105">
        <v>4.220105607573192</v>
      </c>
      <c r="H105">
        <v>19.95</v>
      </c>
      <c r="I105">
        <v>20</v>
      </c>
      <c r="J105">
        <v>19.95</v>
      </c>
      <c r="K105">
        <v>46234</v>
      </c>
      <c r="L105" t="s">
        <v>454</v>
      </c>
      <c r="M105">
        <v>5.6160714285714279</v>
      </c>
      <c r="N105">
        <v>4.7273698469058969</v>
      </c>
      <c r="O105">
        <v>4.7273698469058969</v>
      </c>
      <c r="P105">
        <v>1.330789309749288</v>
      </c>
      <c r="Q105">
        <v>0</v>
      </c>
      <c r="R105">
        <v>0</v>
      </c>
      <c r="S105">
        <v>3.3965805371566091</v>
      </c>
      <c r="T105">
        <v>0</v>
      </c>
      <c r="U105">
        <v>8.0789309749287996E-2</v>
      </c>
      <c r="V105">
        <v>0</v>
      </c>
      <c r="W105">
        <v>0.25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0.21153411566782918</v>
      </c>
      <c r="AL105">
        <v>0.21153411566782918</v>
      </c>
      <c r="AM105">
        <v>0.28150733977801645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0.71849266022198355</v>
      </c>
      <c r="AY105">
        <v>0</v>
      </c>
      <c r="AZ105">
        <v>0</v>
      </c>
      <c r="BA105">
        <v>0</v>
      </c>
      <c r="BB105">
        <v>0.21153411566782918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3.5523052464228937</v>
      </c>
      <c r="BI105">
        <v>3.5523052464228937</v>
      </c>
      <c r="BJ105">
        <v>0.75143374888425685</v>
      </c>
      <c r="CA105">
        <v>0</v>
      </c>
      <c r="CB105">
        <v>0</v>
      </c>
      <c r="CC105">
        <v>0</v>
      </c>
    </row>
    <row r="106" spans="1:82" hidden="1" x14ac:dyDescent="0.25">
      <c r="A106" t="s">
        <v>128</v>
      </c>
      <c r="B106" t="s">
        <v>422</v>
      </c>
      <c r="C106" s="14" t="s">
        <v>72</v>
      </c>
      <c r="D106" s="12">
        <v>46234</v>
      </c>
      <c r="E106" s="14" t="s">
        <v>133</v>
      </c>
      <c r="F106" s="14" t="s">
        <v>74</v>
      </c>
      <c r="G106">
        <v>4.220105607573192</v>
      </c>
      <c r="H106">
        <v>4.75</v>
      </c>
      <c r="I106">
        <v>20</v>
      </c>
      <c r="J106">
        <v>4.75</v>
      </c>
      <c r="K106">
        <v>46234</v>
      </c>
      <c r="L106" t="s">
        <v>454</v>
      </c>
      <c r="M106">
        <v>3.3235294117647056</v>
      </c>
      <c r="N106">
        <v>1.1255642492633089</v>
      </c>
      <c r="O106">
        <v>1.1255642492633089</v>
      </c>
      <c r="P106">
        <v>0.7875465025805195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0.12556424926330889</v>
      </c>
      <c r="Z106">
        <v>0</v>
      </c>
      <c r="AA106">
        <v>0</v>
      </c>
      <c r="AB106">
        <v>0</v>
      </c>
      <c r="AC106">
        <v>0.2124534974194805</v>
      </c>
      <c r="AD106">
        <v>0</v>
      </c>
      <c r="AE106">
        <v>0.7875465025805195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0.88844328580488252</v>
      </c>
      <c r="AL106">
        <v>0.88844328580488252</v>
      </c>
      <c r="AM106">
        <v>0.69969040247678016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0.11155671419511748</v>
      </c>
      <c r="AY106">
        <v>0</v>
      </c>
      <c r="AZ106">
        <v>0.18875288332810236</v>
      </c>
      <c r="BA106">
        <v>0</v>
      </c>
      <c r="BB106">
        <v>0.69969040247678016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1.429203539823009</v>
      </c>
      <c r="BI106">
        <v>1.429203539823009</v>
      </c>
      <c r="BJ106">
        <v>1.2697662890043233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0.26976628900432331</v>
      </c>
      <c r="BR106">
        <v>0</v>
      </c>
      <c r="BS106">
        <v>0.15943725081868565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hidden="1" x14ac:dyDescent="0.25">
      <c r="A107" t="s">
        <v>128</v>
      </c>
      <c r="B107" t="s">
        <v>421</v>
      </c>
      <c r="C107" s="14" t="s">
        <v>72</v>
      </c>
      <c r="D107" s="12">
        <v>46234</v>
      </c>
      <c r="E107" s="14" t="s">
        <v>133</v>
      </c>
      <c r="F107" s="14" t="s">
        <v>75</v>
      </c>
      <c r="G107">
        <v>8.0638754354660556</v>
      </c>
      <c r="H107">
        <v>6.6499999999999995</v>
      </c>
      <c r="I107">
        <v>20</v>
      </c>
      <c r="J107">
        <v>6.6499999999999995</v>
      </c>
      <c r="K107">
        <v>46234</v>
      </c>
      <c r="L107" t="s">
        <v>455</v>
      </c>
      <c r="M107">
        <v>12.2105887066365</v>
      </c>
      <c r="N107">
        <v>0.82466551637843588</v>
      </c>
      <c r="O107">
        <v>0.82466551637843588</v>
      </c>
      <c r="P107">
        <v>1.5142332994049756</v>
      </c>
      <c r="Q107">
        <v>0.51423329940497564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0.17533448362156412</v>
      </c>
      <c r="AA107">
        <v>0</v>
      </c>
      <c r="AB107">
        <v>0</v>
      </c>
      <c r="AC107">
        <v>0</v>
      </c>
      <c r="AD107">
        <v>0</v>
      </c>
      <c r="AE107">
        <v>0.82466551637843588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1.2126128474385047</v>
      </c>
      <c r="AL107">
        <v>1.2126128474385047</v>
      </c>
      <c r="AM107">
        <v>1.8361787528776694</v>
      </c>
      <c r="AN107">
        <v>0.62356590543916468</v>
      </c>
      <c r="AO107">
        <v>0</v>
      </c>
      <c r="AP107">
        <v>0</v>
      </c>
      <c r="AQ107">
        <v>0</v>
      </c>
      <c r="AR107">
        <v>0</v>
      </c>
      <c r="AS107">
        <v>0.28738715256149527</v>
      </c>
      <c r="AT107">
        <v>0.21261284743850473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0.54460928623250571</v>
      </c>
      <c r="BI107">
        <v>0.54460928623250571</v>
      </c>
      <c r="BJ107">
        <v>0.66040021731985044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0.33959978268014956</v>
      </c>
      <c r="BV107">
        <v>0</v>
      </c>
      <c r="BW107">
        <v>0</v>
      </c>
      <c r="BX107">
        <v>0</v>
      </c>
      <c r="BY107">
        <v>0.54460928623250571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hidden="1" x14ac:dyDescent="0.25">
      <c r="A108" t="s">
        <v>128</v>
      </c>
      <c r="B108" t="s">
        <v>291</v>
      </c>
      <c r="C108" s="14" t="s">
        <v>72</v>
      </c>
      <c r="D108" s="12">
        <v>46234</v>
      </c>
      <c r="E108" s="14" t="s">
        <v>133</v>
      </c>
      <c r="F108" s="14" t="s">
        <v>75</v>
      </c>
      <c r="G108">
        <v>11.028542654457937</v>
      </c>
      <c r="H108">
        <v>8.5499999999999989</v>
      </c>
      <c r="I108">
        <v>20</v>
      </c>
      <c r="J108">
        <v>8.5499999999999989</v>
      </c>
      <c r="K108">
        <v>46234</v>
      </c>
      <c r="L108" t="s">
        <v>455</v>
      </c>
      <c r="M108">
        <v>12.182247899159664</v>
      </c>
      <c r="N108">
        <v>0.77526109005380994</v>
      </c>
      <c r="O108">
        <v>0.77526109005380994</v>
      </c>
      <c r="P108">
        <v>1.104610852117925</v>
      </c>
      <c r="Q108">
        <v>0.10461085211792498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0.22473890994619006</v>
      </c>
      <c r="AA108">
        <v>0</v>
      </c>
      <c r="AB108">
        <v>0</v>
      </c>
      <c r="AC108">
        <v>0</v>
      </c>
      <c r="AD108">
        <v>0</v>
      </c>
      <c r="AE108">
        <v>0.77526109005380994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1.2898880297611623</v>
      </c>
      <c r="AL108">
        <v>1.2898880297611623</v>
      </c>
      <c r="AM108">
        <v>1.4248243156911891</v>
      </c>
      <c r="AN108">
        <v>0.13493628593002671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0.28988802976116235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0.70184091399008397</v>
      </c>
      <c r="BI108">
        <v>0.70184091399008397</v>
      </c>
      <c r="BJ108">
        <v>0.90529619375244275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9.4703806247557254E-2</v>
      </c>
      <c r="BV108">
        <v>0</v>
      </c>
      <c r="BW108">
        <v>0</v>
      </c>
      <c r="BX108">
        <v>0</v>
      </c>
      <c r="BY108">
        <v>0.70184091399008397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hidden="1" x14ac:dyDescent="0.25">
      <c r="A109" t="s">
        <v>128</v>
      </c>
      <c r="B109" t="s">
        <v>422</v>
      </c>
      <c r="C109" s="14" t="s">
        <v>72</v>
      </c>
      <c r="D109" s="12">
        <v>46234</v>
      </c>
      <c r="E109" s="14" t="s">
        <v>133</v>
      </c>
      <c r="F109" s="14" t="s">
        <v>75</v>
      </c>
      <c r="G109">
        <v>11.028542654457937</v>
      </c>
      <c r="H109">
        <v>6.6499999999999995</v>
      </c>
      <c r="I109">
        <v>20</v>
      </c>
      <c r="J109">
        <v>6.6499999999999995</v>
      </c>
      <c r="K109">
        <v>46234</v>
      </c>
      <c r="L109" t="s">
        <v>455</v>
      </c>
      <c r="M109">
        <v>8.5426470588235226</v>
      </c>
      <c r="N109">
        <v>0.60298084781963002</v>
      </c>
      <c r="O109">
        <v>0.60298084781963002</v>
      </c>
      <c r="P109">
        <v>0.77459437085011684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0.17161352303048683</v>
      </c>
      <c r="AA109">
        <v>0.22540562914988316</v>
      </c>
      <c r="AB109">
        <v>0</v>
      </c>
      <c r="AC109">
        <v>0</v>
      </c>
      <c r="AD109">
        <v>0</v>
      </c>
      <c r="AE109">
        <v>0.60298084781963002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1.6584274668357801</v>
      </c>
      <c r="AL109">
        <v>1.6584274668357801</v>
      </c>
      <c r="AM109">
        <v>1.284608580274214</v>
      </c>
      <c r="BD109">
        <v>0</v>
      </c>
      <c r="BE109">
        <v>0</v>
      </c>
      <c r="BF109">
        <v>0</v>
      </c>
      <c r="BH109">
        <v>0.77844723704596375</v>
      </c>
      <c r="BI109">
        <v>0.77844723704596375</v>
      </c>
      <c r="BJ109">
        <v>1.2909982793994497</v>
      </c>
      <c r="BK109">
        <v>0.29099827939944967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0.39701915218036998</v>
      </c>
      <c r="BU109">
        <v>0</v>
      </c>
      <c r="BV109">
        <v>0</v>
      </c>
      <c r="BW109">
        <v>0</v>
      </c>
      <c r="BX109">
        <v>0</v>
      </c>
      <c r="BY109">
        <v>0.77844723704596375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 hidden="1" x14ac:dyDescent="0.25">
      <c r="A110" t="s">
        <v>128</v>
      </c>
      <c r="B110" t="s">
        <v>422</v>
      </c>
      <c r="C110" s="14" t="s">
        <v>72</v>
      </c>
      <c r="D110" s="12">
        <v>46235</v>
      </c>
      <c r="E110" s="14" t="s">
        <v>133</v>
      </c>
      <c r="F110" s="14" t="s">
        <v>73</v>
      </c>
      <c r="G110">
        <v>11.028542654457937</v>
      </c>
      <c r="H110">
        <v>24.7</v>
      </c>
      <c r="I110">
        <v>20</v>
      </c>
      <c r="J110">
        <v>24.7</v>
      </c>
      <c r="K110">
        <v>46235</v>
      </c>
      <c r="L110" t="s">
        <v>456</v>
      </c>
      <c r="M110">
        <v>10.700490196078425</v>
      </c>
      <c r="N110">
        <v>2.23964314904434</v>
      </c>
      <c r="O110">
        <v>2.23964314904434</v>
      </c>
      <c r="P110">
        <v>0.97025423316045234</v>
      </c>
      <c r="Q110">
        <v>0</v>
      </c>
      <c r="R110">
        <v>0</v>
      </c>
      <c r="S110">
        <v>0.98964314904434003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0.25</v>
      </c>
      <c r="Z110">
        <v>0</v>
      </c>
      <c r="AA110">
        <v>0</v>
      </c>
      <c r="AB110">
        <v>0</v>
      </c>
      <c r="AC110">
        <v>2.974576683954766E-2</v>
      </c>
      <c r="AD110">
        <v>0</v>
      </c>
      <c r="AE110">
        <v>0.97025423316045234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0.44649970260963306</v>
      </c>
      <c r="AL110">
        <v>0.44649970260963306</v>
      </c>
      <c r="AM110">
        <v>0.43321822656187958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0.55350029739036688</v>
      </c>
      <c r="AY110">
        <v>0</v>
      </c>
      <c r="AZ110">
        <v>1.3281476047753482E-2</v>
      </c>
      <c r="BA110">
        <v>0</v>
      </c>
      <c r="BB110">
        <v>0.43321822656187958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2.3083054652068364</v>
      </c>
      <c r="BI110">
        <v>2.3083054652068364</v>
      </c>
      <c r="BJ110">
        <v>1.030657703747043</v>
      </c>
      <c r="CA110">
        <v>0</v>
      </c>
      <c r="CB110">
        <v>0</v>
      </c>
      <c r="CC110">
        <v>0</v>
      </c>
    </row>
    <row r="111" spans="1:82" hidden="1" x14ac:dyDescent="0.25">
      <c r="A111" t="s">
        <v>128</v>
      </c>
      <c r="B111" t="s">
        <v>291</v>
      </c>
      <c r="C111" s="14" t="s">
        <v>72</v>
      </c>
      <c r="D111" s="12">
        <v>46235</v>
      </c>
      <c r="E111" s="14" t="s">
        <v>133</v>
      </c>
      <c r="F111" s="14" t="s">
        <v>73</v>
      </c>
      <c r="G111">
        <v>11.028542654457937</v>
      </c>
      <c r="H111">
        <v>5.6999999999999993</v>
      </c>
      <c r="I111">
        <v>20</v>
      </c>
      <c r="J111">
        <v>5.6999999999999993</v>
      </c>
      <c r="K111">
        <v>46235</v>
      </c>
      <c r="L111" t="s">
        <v>456</v>
      </c>
      <c r="M111">
        <v>12.21126575630252</v>
      </c>
      <c r="N111">
        <v>0.51684072670254</v>
      </c>
      <c r="O111">
        <v>0.51684072670254</v>
      </c>
      <c r="P111">
        <v>1.1072420118324977</v>
      </c>
      <c r="Q111">
        <v>0.10724201183249771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0.48315927329746</v>
      </c>
      <c r="AA111">
        <v>0</v>
      </c>
      <c r="AB111">
        <v>0</v>
      </c>
      <c r="AC111">
        <v>0</v>
      </c>
      <c r="AD111">
        <v>0</v>
      </c>
      <c r="AE111">
        <v>0.51684072670254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1.9348320446417435</v>
      </c>
      <c r="AL111">
        <v>1.9348320446417435</v>
      </c>
      <c r="AM111">
        <v>2.1423273256671092</v>
      </c>
      <c r="BD111">
        <v>0</v>
      </c>
      <c r="BE111">
        <v>0</v>
      </c>
      <c r="BF111">
        <v>0</v>
      </c>
      <c r="BH111">
        <v>0.46678207761206864</v>
      </c>
      <c r="BI111">
        <v>0.46678207761206864</v>
      </c>
      <c r="BJ111">
        <v>0.90314492162827986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9.6855078371720138E-2</v>
      </c>
      <c r="BV111">
        <v>0</v>
      </c>
      <c r="BW111">
        <v>0</v>
      </c>
      <c r="BX111">
        <v>0</v>
      </c>
      <c r="BY111">
        <v>0.46678207761206864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hidden="1" x14ac:dyDescent="0.25">
      <c r="A112" t="s">
        <v>128</v>
      </c>
      <c r="B112" t="s">
        <v>421</v>
      </c>
      <c r="C112" s="14" t="s">
        <v>72</v>
      </c>
      <c r="D112" s="12">
        <v>46235</v>
      </c>
      <c r="E112" s="14" t="s">
        <v>133</v>
      </c>
      <c r="F112" s="14" t="s">
        <v>73</v>
      </c>
      <c r="G112">
        <v>9.9337595944147097</v>
      </c>
      <c r="H112">
        <v>35.15</v>
      </c>
      <c r="I112">
        <v>20</v>
      </c>
      <c r="J112">
        <v>35.15</v>
      </c>
      <c r="K112">
        <v>46235</v>
      </c>
      <c r="L112" t="s">
        <v>456</v>
      </c>
      <c r="M112">
        <v>13.820701357466072</v>
      </c>
      <c r="N112">
        <v>3.5384387618725146</v>
      </c>
      <c r="O112">
        <v>3.5384387618725146</v>
      </c>
      <c r="P112">
        <v>1.3912860711101573</v>
      </c>
      <c r="Q112">
        <v>0</v>
      </c>
      <c r="R112">
        <v>0</v>
      </c>
      <c r="S112">
        <v>2.1471526907623573</v>
      </c>
      <c r="T112">
        <v>0</v>
      </c>
      <c r="U112">
        <v>0.14128607111015734</v>
      </c>
      <c r="V112">
        <v>0</v>
      </c>
      <c r="W112">
        <v>0.25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0.28261051477708993</v>
      </c>
      <c r="AL112">
        <v>0.28261051477708993</v>
      </c>
      <c r="AM112">
        <v>0.39319207275863649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0.60680792724136356</v>
      </c>
      <c r="AY112">
        <v>0</v>
      </c>
      <c r="AZ112">
        <v>0</v>
      </c>
      <c r="BA112">
        <v>0</v>
      </c>
      <c r="BB112">
        <v>0.28261051477708993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2.5432862696951077</v>
      </c>
      <c r="BI112">
        <v>2.5432862696951077</v>
      </c>
      <c r="BJ112">
        <v>0.71875944190403906</v>
      </c>
      <c r="CA112">
        <v>0</v>
      </c>
      <c r="CB112">
        <v>0</v>
      </c>
      <c r="CC112">
        <v>0</v>
      </c>
    </row>
    <row r="113" spans="1:82" hidden="1" x14ac:dyDescent="0.25">
      <c r="A113" t="s">
        <v>128</v>
      </c>
      <c r="B113" t="s">
        <v>422</v>
      </c>
      <c r="C113" s="14" t="s">
        <v>72</v>
      </c>
      <c r="D113" s="12">
        <v>46235</v>
      </c>
      <c r="E113" s="14" t="s">
        <v>133</v>
      </c>
      <c r="F113" s="14" t="s">
        <v>74</v>
      </c>
      <c r="G113">
        <v>4.220105607573192</v>
      </c>
      <c r="H113">
        <v>2.8499999999999996</v>
      </c>
      <c r="I113">
        <v>20</v>
      </c>
      <c r="J113">
        <v>2.8499999999999996</v>
      </c>
      <c r="K113">
        <v>46235</v>
      </c>
      <c r="L113" t="s">
        <v>457</v>
      </c>
      <c r="M113">
        <v>2.4705882352941178</v>
      </c>
      <c r="N113">
        <v>0.67533854955798522</v>
      </c>
      <c r="O113">
        <v>0.67533854955798522</v>
      </c>
      <c r="P113">
        <v>0.58543279837843931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0.32466145044201478</v>
      </c>
      <c r="AB113">
        <v>0</v>
      </c>
      <c r="AC113">
        <v>8.9905751179545912E-2</v>
      </c>
      <c r="AD113">
        <v>0</v>
      </c>
      <c r="AE113">
        <v>0.58543279837843931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1.4807388096748044</v>
      </c>
      <c r="AL113">
        <v>1.4807388096748044</v>
      </c>
      <c r="AM113">
        <v>0.86687306501548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0.48073880967480442</v>
      </c>
      <c r="AW113">
        <v>0</v>
      </c>
      <c r="AX113">
        <v>0</v>
      </c>
      <c r="AY113">
        <v>0</v>
      </c>
      <c r="AZ113">
        <v>0.13312693498452</v>
      </c>
      <c r="BA113">
        <v>0</v>
      </c>
      <c r="BB113">
        <v>0.86687306501548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1.1535714285714285</v>
      </c>
      <c r="BI113">
        <v>1.1535714285714285</v>
      </c>
      <c r="BJ113">
        <v>1.7081379840177204</v>
      </c>
      <c r="BK113">
        <v>0.55456655544629196</v>
      </c>
      <c r="BL113">
        <v>0</v>
      </c>
      <c r="BM113">
        <v>0</v>
      </c>
      <c r="BN113">
        <v>0</v>
      </c>
      <c r="BO113">
        <v>0</v>
      </c>
      <c r="BP113">
        <v>0.34642857142857153</v>
      </c>
      <c r="BQ113">
        <v>0.15357142857142847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 hidden="1" x14ac:dyDescent="0.25">
      <c r="A114" t="s">
        <v>128</v>
      </c>
      <c r="B114" t="s">
        <v>421</v>
      </c>
      <c r="C114" s="14" t="s">
        <v>72</v>
      </c>
      <c r="D114" s="12">
        <v>46235</v>
      </c>
      <c r="E114" s="14" t="s">
        <v>133</v>
      </c>
      <c r="F114" s="14" t="s">
        <v>74</v>
      </c>
      <c r="G114">
        <v>4.3241071175687553</v>
      </c>
      <c r="H114">
        <v>2.8499999999999996</v>
      </c>
      <c r="I114">
        <v>20</v>
      </c>
      <c r="J114">
        <v>2.8499999999999996</v>
      </c>
      <c r="K114">
        <v>46235</v>
      </c>
      <c r="L114" t="s">
        <v>457</v>
      </c>
      <c r="M114">
        <v>13.950556184012065</v>
      </c>
      <c r="N114">
        <v>0.65909560575419379</v>
      </c>
      <c r="O114">
        <v>0.65909560575419379</v>
      </c>
      <c r="P114">
        <v>3.2262281679681921</v>
      </c>
      <c r="Q114">
        <v>2.2262281679681921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0.34090439424580621</v>
      </c>
      <c r="AA114">
        <v>0</v>
      </c>
      <c r="AB114">
        <v>0</v>
      </c>
      <c r="AC114">
        <v>0</v>
      </c>
      <c r="AD114">
        <v>0</v>
      </c>
      <c r="AE114">
        <v>0.65909560575419379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1.5172305675679845</v>
      </c>
      <c r="AL114">
        <v>1.5172305675679845</v>
      </c>
      <c r="AM114">
        <v>4.8949319943901992</v>
      </c>
      <c r="BD114">
        <v>0</v>
      </c>
      <c r="BE114">
        <v>0</v>
      </c>
      <c r="BF114">
        <v>0</v>
      </c>
      <c r="BH114">
        <v>0.20429293014612721</v>
      </c>
      <c r="BI114">
        <v>0.20429293014612721</v>
      </c>
      <c r="BJ114">
        <v>0.30995947835573517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0.69004052164426488</v>
      </c>
      <c r="BV114">
        <v>0</v>
      </c>
      <c r="BW114">
        <v>0</v>
      </c>
      <c r="BX114">
        <v>0</v>
      </c>
      <c r="BY114">
        <v>0.20429293014612721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hidden="1" x14ac:dyDescent="0.25">
      <c r="A115" t="s">
        <v>128</v>
      </c>
      <c r="B115" t="s">
        <v>291</v>
      </c>
      <c r="C115" s="14" t="s">
        <v>72</v>
      </c>
      <c r="D115" s="12">
        <v>46235</v>
      </c>
      <c r="E115" s="14" t="s">
        <v>133</v>
      </c>
      <c r="F115" s="14" t="s">
        <v>74</v>
      </c>
      <c r="G115">
        <v>4.220105607573192</v>
      </c>
      <c r="H115">
        <v>27.549999999999997</v>
      </c>
      <c r="I115">
        <v>20</v>
      </c>
      <c r="J115">
        <v>27.549999999999997</v>
      </c>
      <c r="K115">
        <v>46235</v>
      </c>
      <c r="L115" t="s">
        <v>457</v>
      </c>
      <c r="M115">
        <v>4.6874999999999991</v>
      </c>
      <c r="N115">
        <v>6.5282726457271911</v>
      </c>
      <c r="O115">
        <v>6.5282726457271911</v>
      </c>
      <c r="P115">
        <v>1.1107541933519494</v>
      </c>
      <c r="Q115">
        <v>0</v>
      </c>
      <c r="R115">
        <v>0</v>
      </c>
      <c r="S115">
        <v>5.2782726457271911</v>
      </c>
      <c r="T115">
        <v>0</v>
      </c>
      <c r="U115">
        <v>0</v>
      </c>
      <c r="V115">
        <v>0</v>
      </c>
      <c r="W115">
        <v>0.11075419335194936</v>
      </c>
      <c r="X115">
        <v>0</v>
      </c>
      <c r="Y115">
        <v>0.13924580664805064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0.15317987686291079</v>
      </c>
      <c r="AL115">
        <v>0.15317987686291079</v>
      </c>
      <c r="AM115">
        <v>0.1701451905626134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0.82985480943738654</v>
      </c>
      <c r="AY115">
        <v>0</v>
      </c>
      <c r="AZ115">
        <v>0</v>
      </c>
      <c r="BA115">
        <v>0</v>
      </c>
      <c r="BB115">
        <v>0.15317987686291079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5.8773333333333335</v>
      </c>
      <c r="BI115">
        <v>5.8773333333333335</v>
      </c>
      <c r="BJ115">
        <v>0.9002891962822811</v>
      </c>
      <c r="CA115">
        <v>0</v>
      </c>
      <c r="CB115">
        <v>0</v>
      </c>
      <c r="CC115">
        <v>0</v>
      </c>
    </row>
    <row r="116" spans="1:82" hidden="1" x14ac:dyDescent="0.25">
      <c r="A116" t="s">
        <v>128</v>
      </c>
      <c r="B116" t="s">
        <v>291</v>
      </c>
      <c r="C116" s="14" t="s">
        <v>72</v>
      </c>
      <c r="D116" s="12">
        <v>46235</v>
      </c>
      <c r="E116" s="14" t="s">
        <v>133</v>
      </c>
      <c r="F116" s="14" t="s">
        <v>75</v>
      </c>
      <c r="G116">
        <v>10.972274579690296</v>
      </c>
      <c r="H116">
        <v>24.7</v>
      </c>
      <c r="I116">
        <v>20</v>
      </c>
      <c r="J116">
        <v>24.7</v>
      </c>
      <c r="K116">
        <v>46235</v>
      </c>
      <c r="L116" t="s">
        <v>458</v>
      </c>
      <c r="M116">
        <v>11.308823529411764</v>
      </c>
      <c r="N116">
        <v>2.2511284985266182</v>
      </c>
      <c r="O116">
        <v>2.2511284985266182</v>
      </c>
      <c r="P116">
        <v>1.0306726693063644</v>
      </c>
      <c r="Q116">
        <v>0</v>
      </c>
      <c r="R116">
        <v>0</v>
      </c>
      <c r="S116">
        <v>1.0011284985266182</v>
      </c>
      <c r="T116">
        <v>0</v>
      </c>
      <c r="U116">
        <v>0</v>
      </c>
      <c r="V116">
        <v>0</v>
      </c>
      <c r="W116">
        <v>3.0672669306364364E-2</v>
      </c>
      <c r="X116">
        <v>0</v>
      </c>
      <c r="Y116">
        <v>0.21932733069363564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0.44422164290244115</v>
      </c>
      <c r="AL116">
        <v>0.44422164290244115</v>
      </c>
      <c r="AM116">
        <v>0.45784710645391763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0.54215289354608243</v>
      </c>
      <c r="AY116">
        <v>0</v>
      </c>
      <c r="AZ116">
        <v>0</v>
      </c>
      <c r="BA116">
        <v>0</v>
      </c>
      <c r="BB116">
        <v>0.44422164290244115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2.1841352405721715</v>
      </c>
      <c r="BI116">
        <v>2.1841352405721715</v>
      </c>
      <c r="BJ116">
        <v>0.97024014488808863</v>
      </c>
      <c r="CA116">
        <v>0</v>
      </c>
      <c r="CB116">
        <v>0</v>
      </c>
      <c r="CC116">
        <v>0</v>
      </c>
    </row>
    <row r="117" spans="1:82" hidden="1" x14ac:dyDescent="0.25">
      <c r="A117" t="s">
        <v>128</v>
      </c>
      <c r="B117" t="s">
        <v>422</v>
      </c>
      <c r="C117" s="14" t="s">
        <v>72</v>
      </c>
      <c r="D117" s="12">
        <v>46235</v>
      </c>
      <c r="E117" s="14" t="s">
        <v>133</v>
      </c>
      <c r="F117" s="14" t="s">
        <v>75</v>
      </c>
      <c r="G117">
        <v>10.972274579690296</v>
      </c>
      <c r="H117">
        <v>6.6499999999999995</v>
      </c>
      <c r="I117">
        <v>20</v>
      </c>
      <c r="J117">
        <v>6.6499999999999995</v>
      </c>
      <c r="K117">
        <v>46235</v>
      </c>
      <c r="L117" t="s">
        <v>458</v>
      </c>
      <c r="M117">
        <v>8.1009803921568615</v>
      </c>
      <c r="N117">
        <v>0.60607305729562799</v>
      </c>
      <c r="O117">
        <v>0.60607305729562799</v>
      </c>
      <c r="P117">
        <v>0.73831367719796159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0.1322406199023336</v>
      </c>
      <c r="AA117">
        <v>0.26168632280203841</v>
      </c>
      <c r="AB117">
        <v>0</v>
      </c>
      <c r="AC117">
        <v>0</v>
      </c>
      <c r="AD117">
        <v>0</v>
      </c>
      <c r="AE117">
        <v>0.60607305729562799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1.6499661022090673</v>
      </c>
      <c r="AL117">
        <v>1.6499661022090673</v>
      </c>
      <c r="AM117">
        <v>1.2181925401739642</v>
      </c>
      <c r="BD117">
        <v>0</v>
      </c>
      <c r="BE117">
        <v>0</v>
      </c>
      <c r="BF117">
        <v>0</v>
      </c>
      <c r="BH117">
        <v>0.82088829722860956</v>
      </c>
      <c r="BI117">
        <v>0.82088829722860956</v>
      </c>
      <c r="BJ117">
        <v>1.3544378641273271</v>
      </c>
      <c r="BK117">
        <v>0.35443786412732714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0.39392694270437201</v>
      </c>
      <c r="BU117">
        <v>0</v>
      </c>
      <c r="BV117">
        <v>0</v>
      </c>
      <c r="BW117">
        <v>0</v>
      </c>
      <c r="BX117">
        <v>0</v>
      </c>
      <c r="BY117">
        <v>0.82088829722860956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 hidden="1" x14ac:dyDescent="0.25">
      <c r="A118" t="s">
        <v>128</v>
      </c>
      <c r="B118" t="s">
        <v>421</v>
      </c>
      <c r="C118" s="14" t="s">
        <v>72</v>
      </c>
      <c r="D118" s="12">
        <v>46235</v>
      </c>
      <c r="E118" s="14" t="s">
        <v>133</v>
      </c>
      <c r="F118" s="14" t="s">
        <v>75</v>
      </c>
      <c r="G118">
        <v>8.1223093154331991</v>
      </c>
      <c r="H118">
        <v>6.6499999999999995</v>
      </c>
      <c r="I118">
        <v>20</v>
      </c>
      <c r="J118">
        <v>6.6499999999999995</v>
      </c>
      <c r="K118">
        <v>46235</v>
      </c>
      <c r="L118" t="s">
        <v>458</v>
      </c>
      <c r="M118">
        <v>13.98854402337858</v>
      </c>
      <c r="N118">
        <v>0.81873267093686464</v>
      </c>
      <c r="O118">
        <v>0.81873267093686464</v>
      </c>
      <c r="P118">
        <v>1.7222372948539337</v>
      </c>
      <c r="Q118">
        <v>0.72223729485393373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0.18126732906313536</v>
      </c>
      <c r="AA118">
        <v>0</v>
      </c>
      <c r="AB118">
        <v>0</v>
      </c>
      <c r="AC118">
        <v>0</v>
      </c>
      <c r="AD118">
        <v>0</v>
      </c>
      <c r="AE118">
        <v>0.81873267093686464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1.2213998970576241</v>
      </c>
      <c r="AL118">
        <v>1.2213998970576241</v>
      </c>
      <c r="AM118">
        <v>2.1035404546433956</v>
      </c>
      <c r="AN118">
        <v>0.88214055758577148</v>
      </c>
      <c r="AO118">
        <v>0</v>
      </c>
      <c r="AP118">
        <v>0</v>
      </c>
      <c r="AQ118">
        <v>0</v>
      </c>
      <c r="AR118">
        <v>0</v>
      </c>
      <c r="AS118">
        <v>0.27860010294237592</v>
      </c>
      <c r="AT118">
        <v>0.22139989705762408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0.47538900323622529</v>
      </c>
      <c r="BI118">
        <v>0.47538900323622529</v>
      </c>
      <c r="BJ118">
        <v>0.58064007961505204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0.41935992038494796</v>
      </c>
      <c r="BV118">
        <v>0</v>
      </c>
      <c r="BW118">
        <v>0</v>
      </c>
      <c r="BX118">
        <v>0</v>
      </c>
      <c r="BY118">
        <v>0.47538900323622529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 hidden="1" x14ac:dyDescent="0.25">
      <c r="A119" t="s">
        <v>128</v>
      </c>
      <c r="B119" t="s">
        <v>422</v>
      </c>
      <c r="C119" s="14" t="s">
        <v>72</v>
      </c>
      <c r="D119" s="12">
        <v>46236</v>
      </c>
      <c r="E119" s="14" t="s">
        <v>133</v>
      </c>
      <c r="F119" s="14" t="s">
        <v>73</v>
      </c>
      <c r="G119">
        <v>10.972274579690296</v>
      </c>
      <c r="H119">
        <v>26.6</v>
      </c>
      <c r="I119">
        <v>20</v>
      </c>
      <c r="J119">
        <v>26.6</v>
      </c>
      <c r="K119">
        <v>46236</v>
      </c>
      <c r="L119" t="s">
        <v>459</v>
      </c>
      <c r="M119">
        <v>10.553431372549014</v>
      </c>
      <c r="N119">
        <v>2.424292229182512</v>
      </c>
      <c r="O119">
        <v>2.424292229182512</v>
      </c>
      <c r="P119">
        <v>0.96182713036396639</v>
      </c>
      <c r="Q119">
        <v>0</v>
      </c>
      <c r="R119">
        <v>0</v>
      </c>
      <c r="S119">
        <v>1.174292229182512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0.25</v>
      </c>
      <c r="Z119">
        <v>0</v>
      </c>
      <c r="AA119">
        <v>0</v>
      </c>
      <c r="AB119">
        <v>0</v>
      </c>
      <c r="AC119">
        <v>3.8172869636033613E-2</v>
      </c>
      <c r="AD119">
        <v>0</v>
      </c>
      <c r="AE119">
        <v>0.96182713036396639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0.41249152555226681</v>
      </c>
      <c r="AL119">
        <v>0.41249152555226681</v>
      </c>
      <c r="AM119">
        <v>0.39674554032139153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0.58750847444773324</v>
      </c>
      <c r="AY119">
        <v>0</v>
      </c>
      <c r="AZ119">
        <v>1.5745985230875281E-2</v>
      </c>
      <c r="BA119">
        <v>0</v>
      </c>
      <c r="BB119">
        <v>0.39674554032139153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2.5205072228157381</v>
      </c>
      <c r="BI119">
        <v>2.5205072228157381</v>
      </c>
      <c r="BJ119">
        <v>1.0396878695047711</v>
      </c>
      <c r="CA119">
        <v>0</v>
      </c>
      <c r="CB119">
        <v>0</v>
      </c>
      <c r="CC119">
        <v>0</v>
      </c>
    </row>
    <row r="120" spans="1:82" hidden="1" x14ac:dyDescent="0.25">
      <c r="A120" t="s">
        <v>128</v>
      </c>
      <c r="B120" t="s">
        <v>291</v>
      </c>
      <c r="C120" s="14" t="s">
        <v>72</v>
      </c>
      <c r="D120" s="12">
        <v>46236</v>
      </c>
      <c r="E120" s="14" t="s">
        <v>133</v>
      </c>
      <c r="F120" s="14" t="s">
        <v>73</v>
      </c>
      <c r="G120">
        <v>10.972274579690296</v>
      </c>
      <c r="H120">
        <v>24.7</v>
      </c>
      <c r="I120">
        <v>20</v>
      </c>
      <c r="J120">
        <v>24.7</v>
      </c>
      <c r="K120">
        <v>46236</v>
      </c>
      <c r="L120" t="s">
        <v>459</v>
      </c>
      <c r="M120">
        <v>12.1875</v>
      </c>
      <c r="N120">
        <v>2.2511284985266182</v>
      </c>
      <c r="O120">
        <v>2.2511284985266182</v>
      </c>
      <c r="P120">
        <v>1.1107541933519498</v>
      </c>
      <c r="Q120">
        <v>0</v>
      </c>
      <c r="R120">
        <v>0</v>
      </c>
      <c r="S120">
        <v>1.0011284985266182</v>
      </c>
      <c r="T120">
        <v>0</v>
      </c>
      <c r="U120">
        <v>0</v>
      </c>
      <c r="V120">
        <v>0</v>
      </c>
      <c r="W120">
        <v>0.1107541933519498</v>
      </c>
      <c r="X120">
        <v>0</v>
      </c>
      <c r="Y120">
        <v>0.1392458066480502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0.44422164290244115</v>
      </c>
      <c r="AL120">
        <v>0.44422164290244115</v>
      </c>
      <c r="AM120">
        <v>0.49342105263157898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0.50657894736842102</v>
      </c>
      <c r="AY120">
        <v>0</v>
      </c>
      <c r="AZ120">
        <v>0</v>
      </c>
      <c r="BA120">
        <v>0</v>
      </c>
      <c r="BB120">
        <v>0.44422164290244115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2.0266666666666664</v>
      </c>
      <c r="BI120">
        <v>2.0266666666666664</v>
      </c>
      <c r="BJ120">
        <v>0.90028919628228077</v>
      </c>
      <c r="CA120">
        <v>0</v>
      </c>
      <c r="CB120">
        <v>0</v>
      </c>
      <c r="CC120">
        <v>0</v>
      </c>
    </row>
    <row r="121" spans="1:82" hidden="1" x14ac:dyDescent="0.25">
      <c r="A121" t="s">
        <v>128</v>
      </c>
      <c r="B121" t="s">
        <v>421</v>
      </c>
      <c r="C121" s="14" t="s">
        <v>72</v>
      </c>
      <c r="D121" s="12">
        <v>46236</v>
      </c>
      <c r="E121" s="14" t="s">
        <v>133</v>
      </c>
      <c r="F121" s="14" t="s">
        <v>73</v>
      </c>
      <c r="G121">
        <v>9.9337595944147097</v>
      </c>
      <c r="H121">
        <v>33.25</v>
      </c>
      <c r="I121">
        <v>20</v>
      </c>
      <c r="J121">
        <v>33.25</v>
      </c>
      <c r="K121">
        <v>46236</v>
      </c>
      <c r="L121" t="s">
        <v>459</v>
      </c>
      <c r="M121">
        <v>14.750188536953251</v>
      </c>
      <c r="N121">
        <v>3.3471718017712977</v>
      </c>
      <c r="O121">
        <v>3.3471718017712977</v>
      </c>
      <c r="P121">
        <v>1.4848545907278243</v>
      </c>
      <c r="Q121">
        <v>0</v>
      </c>
      <c r="R121">
        <v>0</v>
      </c>
      <c r="S121">
        <v>1.8623172110434734</v>
      </c>
      <c r="T121">
        <v>0</v>
      </c>
      <c r="U121">
        <v>0.23485459072782433</v>
      </c>
      <c r="V121">
        <v>0</v>
      </c>
      <c r="W121">
        <v>0.25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0.29875968705006645</v>
      </c>
      <c r="AL121">
        <v>0.29875968705006645</v>
      </c>
      <c r="AM121">
        <v>0.44361469284069927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0.55638530715930079</v>
      </c>
      <c r="AY121">
        <v>0</v>
      </c>
      <c r="AZ121">
        <v>0</v>
      </c>
      <c r="BA121">
        <v>0</v>
      </c>
      <c r="BB121">
        <v>0.29875968705006645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2.2542084744679478</v>
      </c>
      <c r="BI121">
        <v>2.2542084744679478</v>
      </c>
      <c r="BJ121">
        <v>0.67346661837765187</v>
      </c>
      <c r="CA121">
        <v>0</v>
      </c>
      <c r="CB121">
        <v>0</v>
      </c>
      <c r="CC121">
        <v>0</v>
      </c>
    </row>
    <row r="122" spans="1:82" hidden="1" x14ac:dyDescent="0.25">
      <c r="A122" t="s">
        <v>128</v>
      </c>
      <c r="B122" t="s">
        <v>291</v>
      </c>
      <c r="C122" s="14" t="s">
        <v>72</v>
      </c>
      <c r="D122" s="12">
        <v>46236</v>
      </c>
      <c r="E122" s="14" t="s">
        <v>133</v>
      </c>
      <c r="F122" s="14" t="s">
        <v>74</v>
      </c>
      <c r="G122">
        <v>4.220105607573192</v>
      </c>
      <c r="H122">
        <v>19</v>
      </c>
      <c r="I122">
        <v>20</v>
      </c>
      <c r="J122">
        <v>19</v>
      </c>
      <c r="K122">
        <v>46236</v>
      </c>
      <c r="L122" t="s">
        <v>460</v>
      </c>
      <c r="M122">
        <v>4.6874999999999991</v>
      </c>
      <c r="N122">
        <v>4.5022569970532356</v>
      </c>
      <c r="O122">
        <v>4.5022569970532356</v>
      </c>
      <c r="P122">
        <v>1.1107541933519494</v>
      </c>
      <c r="Q122">
        <v>0</v>
      </c>
      <c r="R122">
        <v>0</v>
      </c>
      <c r="S122">
        <v>3.2522569970532356</v>
      </c>
      <c r="T122">
        <v>0</v>
      </c>
      <c r="U122">
        <v>0</v>
      </c>
      <c r="V122">
        <v>0</v>
      </c>
      <c r="W122">
        <v>0.11075419335194936</v>
      </c>
      <c r="X122">
        <v>0</v>
      </c>
      <c r="Y122">
        <v>0.13924580664805064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0.22211082145122063</v>
      </c>
      <c r="AL122">
        <v>0.22211082145122063</v>
      </c>
      <c r="AM122">
        <v>0.24671052631578944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0.75328947368421062</v>
      </c>
      <c r="AY122">
        <v>0</v>
      </c>
      <c r="AZ122">
        <v>0</v>
      </c>
      <c r="BA122">
        <v>0</v>
      </c>
      <c r="BB122">
        <v>0.22211082145122063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4.0533333333333337</v>
      </c>
      <c r="BI122">
        <v>4.0533333333333337</v>
      </c>
      <c r="BJ122">
        <v>0.9002891962822811</v>
      </c>
      <c r="CA122">
        <v>0</v>
      </c>
      <c r="CB122">
        <v>0</v>
      </c>
      <c r="CC122">
        <v>0</v>
      </c>
    </row>
    <row r="123" spans="1:82" hidden="1" x14ac:dyDescent="0.25">
      <c r="A123" t="s">
        <v>128</v>
      </c>
      <c r="B123" t="s">
        <v>421</v>
      </c>
      <c r="C123" s="14" t="s">
        <v>72</v>
      </c>
      <c r="D123" s="12">
        <v>46236</v>
      </c>
      <c r="E123" s="14" t="s">
        <v>133</v>
      </c>
      <c r="F123" s="14" t="s">
        <v>74</v>
      </c>
      <c r="G123">
        <v>4.440974877503046</v>
      </c>
      <c r="H123">
        <v>3.8</v>
      </c>
      <c r="I123">
        <v>20</v>
      </c>
      <c r="J123">
        <v>3.8</v>
      </c>
      <c r="K123">
        <v>46236</v>
      </c>
      <c r="L123" t="s">
        <v>460</v>
      </c>
      <c r="M123">
        <v>15.633283842383102</v>
      </c>
      <c r="N123">
        <v>0.85566797940018147</v>
      </c>
      <c r="O123">
        <v>0.85566797940018147</v>
      </c>
      <c r="P123">
        <v>3.5202369465266985</v>
      </c>
      <c r="Q123">
        <v>2.5202369465266985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0.14433202059981853</v>
      </c>
      <c r="AA123">
        <v>0</v>
      </c>
      <c r="AB123">
        <v>0</v>
      </c>
      <c r="AC123">
        <v>0</v>
      </c>
      <c r="AD123">
        <v>0</v>
      </c>
      <c r="AE123">
        <v>0.85566797940018147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1.1686775993429068</v>
      </c>
      <c r="AL123">
        <v>1.1686775993429068</v>
      </c>
      <c r="AM123">
        <v>4.1140220637850273</v>
      </c>
      <c r="AN123">
        <v>2.9453444644421207</v>
      </c>
      <c r="AO123">
        <v>0</v>
      </c>
      <c r="AP123">
        <v>0</v>
      </c>
      <c r="AQ123">
        <v>0</v>
      </c>
      <c r="AR123">
        <v>0</v>
      </c>
      <c r="AS123">
        <v>0.33132240065709317</v>
      </c>
      <c r="AT123">
        <v>0.16867759934290683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0.24307113197151139</v>
      </c>
      <c r="BI123">
        <v>0.24307113197151139</v>
      </c>
      <c r="BJ123">
        <v>0.28407178698202884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0.71592821301797116</v>
      </c>
      <c r="BV123">
        <v>0</v>
      </c>
      <c r="BW123">
        <v>0</v>
      </c>
      <c r="BX123">
        <v>0</v>
      </c>
      <c r="BY123">
        <v>0.24307113197151139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hidden="1" x14ac:dyDescent="0.25">
      <c r="A124" t="s">
        <v>128</v>
      </c>
      <c r="B124" t="s">
        <v>422</v>
      </c>
      <c r="C124" s="14" t="s">
        <v>72</v>
      </c>
      <c r="D124" s="12">
        <v>46236</v>
      </c>
      <c r="E124" s="14" t="s">
        <v>133</v>
      </c>
      <c r="F124" s="14" t="s">
        <v>74</v>
      </c>
      <c r="G124">
        <v>4.220105607573192</v>
      </c>
      <c r="H124">
        <v>3.8</v>
      </c>
      <c r="I124">
        <v>20</v>
      </c>
      <c r="J124">
        <v>3.8</v>
      </c>
      <c r="K124">
        <v>46236</v>
      </c>
      <c r="L124" t="s">
        <v>460</v>
      </c>
      <c r="M124">
        <v>2.5</v>
      </c>
      <c r="N124">
        <v>0.90045139941064711</v>
      </c>
      <c r="O124">
        <v>0.90045139941064711</v>
      </c>
      <c r="P124">
        <v>0.59240223645437307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9.9548600589352887E-2</v>
      </c>
      <c r="AB124">
        <v>0</v>
      </c>
      <c r="AC124">
        <v>0.30804916295627405</v>
      </c>
      <c r="AD124">
        <v>0</v>
      </c>
      <c r="AE124">
        <v>0.59240223645437307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1.1105541072561032</v>
      </c>
      <c r="AL124">
        <v>1.1105541072561032</v>
      </c>
      <c r="AM124">
        <v>0.65789473684210531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0.11055410725610315</v>
      </c>
      <c r="AW124">
        <v>0</v>
      </c>
      <c r="AX124">
        <v>0</v>
      </c>
      <c r="AY124">
        <v>0</v>
      </c>
      <c r="AZ124">
        <v>0.34210526315789469</v>
      </c>
      <c r="BA124">
        <v>0</v>
      </c>
      <c r="BB124">
        <v>0.65789473684210531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1.52</v>
      </c>
      <c r="BI124">
        <v>1.52</v>
      </c>
      <c r="BJ124">
        <v>1.6880422430292767</v>
      </c>
      <c r="CA124">
        <v>0</v>
      </c>
      <c r="CB124">
        <v>0</v>
      </c>
      <c r="CC124">
        <v>0</v>
      </c>
    </row>
    <row r="125" spans="1:82" hidden="1" x14ac:dyDescent="0.25">
      <c r="A125" t="s">
        <v>128</v>
      </c>
      <c r="B125" t="s">
        <v>421</v>
      </c>
      <c r="C125" s="14" t="s">
        <v>72</v>
      </c>
      <c r="D125" s="12">
        <v>46236</v>
      </c>
      <c r="E125" s="14" t="s">
        <v>133</v>
      </c>
      <c r="F125" s="14" t="s">
        <v>75</v>
      </c>
      <c r="G125">
        <v>8.1223093154331991</v>
      </c>
      <c r="H125">
        <v>6.6499999999999995</v>
      </c>
      <c r="I125">
        <v>20</v>
      </c>
      <c r="J125">
        <v>6.6499999999999995</v>
      </c>
      <c r="K125">
        <v>46236</v>
      </c>
      <c r="L125" t="s">
        <v>461</v>
      </c>
      <c r="M125">
        <v>14.110338895173454</v>
      </c>
      <c r="N125">
        <v>0.81873267093686464</v>
      </c>
      <c r="O125">
        <v>0.81873267093686464</v>
      </c>
      <c r="P125">
        <v>1.7372323987172467</v>
      </c>
      <c r="Q125">
        <v>0.73723239871724666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0.18126732906313536</v>
      </c>
      <c r="AA125">
        <v>0</v>
      </c>
      <c r="AB125">
        <v>0</v>
      </c>
      <c r="AC125">
        <v>0</v>
      </c>
      <c r="AD125">
        <v>0</v>
      </c>
      <c r="AE125">
        <v>0.81873267093686464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1.2213998970576241</v>
      </c>
      <c r="AL125">
        <v>1.2213998970576241</v>
      </c>
      <c r="AM125">
        <v>2.1218554729584143</v>
      </c>
      <c r="AN125">
        <v>0.90045557590079017</v>
      </c>
      <c r="AO125">
        <v>0</v>
      </c>
      <c r="AP125">
        <v>0</v>
      </c>
      <c r="AQ125">
        <v>0</v>
      </c>
      <c r="AR125">
        <v>0</v>
      </c>
      <c r="AS125">
        <v>0.27860010294237592</v>
      </c>
      <c r="AT125">
        <v>0.22139989705762408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0.47128563313774707</v>
      </c>
      <c r="BI125">
        <v>0.47128563313774707</v>
      </c>
      <c r="BJ125">
        <v>0.57562822379918144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0.42437177620081856</v>
      </c>
      <c r="BV125">
        <v>0</v>
      </c>
      <c r="BW125">
        <v>0</v>
      </c>
      <c r="BX125">
        <v>0</v>
      </c>
      <c r="BY125">
        <v>0.47128563313774707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 hidden="1" x14ac:dyDescent="0.25">
      <c r="A126" t="s">
        <v>128</v>
      </c>
      <c r="B126" t="s">
        <v>291</v>
      </c>
      <c r="C126" s="14" t="s">
        <v>72</v>
      </c>
      <c r="D126" s="12">
        <v>46236</v>
      </c>
      <c r="E126" s="14" t="s">
        <v>133</v>
      </c>
      <c r="F126" s="14" t="s">
        <v>75</v>
      </c>
      <c r="G126">
        <v>10.972274579690296</v>
      </c>
      <c r="H126">
        <v>0.95</v>
      </c>
      <c r="I126">
        <v>20</v>
      </c>
      <c r="J126">
        <v>0.95</v>
      </c>
      <c r="K126">
        <v>46236</v>
      </c>
      <c r="L126" t="s">
        <v>461</v>
      </c>
      <c r="M126">
        <v>11.25</v>
      </c>
      <c r="N126">
        <v>8.6581865327946858E-2</v>
      </c>
      <c r="O126">
        <v>8.6581865327946858E-2</v>
      </c>
      <c r="P126">
        <v>1.0253115630941076</v>
      </c>
      <c r="Q126">
        <v>2.5311563094107647E-2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0.91341813467205313</v>
      </c>
      <c r="AA126">
        <v>0</v>
      </c>
      <c r="AB126">
        <v>0</v>
      </c>
      <c r="AC126">
        <v>0</v>
      </c>
      <c r="AD126">
        <v>0</v>
      </c>
      <c r="AE126">
        <v>8.6581865327946858E-2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11.549762715463471</v>
      </c>
      <c r="AL126">
        <v>11.549762715463471</v>
      </c>
      <c r="AM126">
        <v>11.842105263157896</v>
      </c>
      <c r="BD126">
        <v>0</v>
      </c>
      <c r="BE126">
        <v>0</v>
      </c>
      <c r="BF126">
        <v>0</v>
      </c>
      <c r="BH126">
        <v>8.4444444444444447E-2</v>
      </c>
      <c r="BI126">
        <v>8.4444444444444447E-2</v>
      </c>
      <c r="BJ126">
        <v>0.97531329597247074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2.468670402752926E-2</v>
      </c>
      <c r="BV126">
        <v>0</v>
      </c>
      <c r="BW126">
        <v>0</v>
      </c>
      <c r="BX126">
        <v>0</v>
      </c>
      <c r="BY126">
        <v>8.4444444444444447E-2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 hidden="1" x14ac:dyDescent="0.25">
      <c r="A127" t="s">
        <v>128</v>
      </c>
      <c r="B127" t="s">
        <v>422</v>
      </c>
      <c r="C127" s="14" t="s">
        <v>72</v>
      </c>
      <c r="D127" s="12">
        <v>46236</v>
      </c>
      <c r="E127" s="14" t="s">
        <v>133</v>
      </c>
      <c r="F127" s="14" t="s">
        <v>75</v>
      </c>
      <c r="G127">
        <v>10.972274579690296</v>
      </c>
      <c r="H127">
        <v>6.6499999999999995</v>
      </c>
      <c r="I127">
        <v>20</v>
      </c>
      <c r="J127">
        <v>6.6499999999999995</v>
      </c>
      <c r="K127">
        <v>46236</v>
      </c>
      <c r="L127" t="s">
        <v>461</v>
      </c>
      <c r="M127">
        <v>8.6009803921568544</v>
      </c>
      <c r="N127">
        <v>0.60607305729562799</v>
      </c>
      <c r="O127">
        <v>0.60607305729562799</v>
      </c>
      <c r="P127">
        <v>0.78388308000214357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0.17781002270651558</v>
      </c>
      <c r="AA127">
        <v>0.21611691999785643</v>
      </c>
      <c r="AB127">
        <v>0</v>
      </c>
      <c r="AC127">
        <v>0</v>
      </c>
      <c r="AD127">
        <v>0</v>
      </c>
      <c r="AE127">
        <v>0.60607305729562799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1.6499661022090673</v>
      </c>
      <c r="AL127">
        <v>1.6499661022090673</v>
      </c>
      <c r="AM127">
        <v>1.2933805100987752</v>
      </c>
      <c r="BD127">
        <v>0</v>
      </c>
      <c r="BE127">
        <v>0</v>
      </c>
      <c r="BF127">
        <v>0</v>
      </c>
      <c r="BH127">
        <v>0.77316767354382832</v>
      </c>
      <c r="BI127">
        <v>0.77316767354382832</v>
      </c>
      <c r="BJ127">
        <v>1.2757004526711631</v>
      </c>
      <c r="BK127">
        <v>0.27570045267116305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0.39392694270437201</v>
      </c>
      <c r="BU127">
        <v>0</v>
      </c>
      <c r="BV127">
        <v>0</v>
      </c>
      <c r="BW127">
        <v>0</v>
      </c>
      <c r="BX127">
        <v>0</v>
      </c>
      <c r="BY127">
        <v>0.77316767354382832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 hidden="1" x14ac:dyDescent="0.25">
      <c r="A128" t="s">
        <v>128</v>
      </c>
      <c r="B128" t="s">
        <v>291</v>
      </c>
      <c r="C128" s="14" t="s">
        <v>72</v>
      </c>
      <c r="D128" s="12">
        <v>46237</v>
      </c>
      <c r="E128" s="14" t="s">
        <v>133</v>
      </c>
      <c r="F128" s="14" t="s">
        <v>73</v>
      </c>
      <c r="G128">
        <v>11.872563775972576</v>
      </c>
      <c r="H128">
        <v>4.75</v>
      </c>
      <c r="I128">
        <v>20</v>
      </c>
      <c r="J128">
        <v>4.75</v>
      </c>
      <c r="K128">
        <v>46237</v>
      </c>
      <c r="L128" t="s">
        <v>462</v>
      </c>
      <c r="M128">
        <v>12.191176470588236</v>
      </c>
      <c r="N128">
        <v>0.40008207912202937</v>
      </c>
      <c r="O128">
        <v>0.40008207912202937</v>
      </c>
      <c r="P128">
        <v>1.0268360482729484</v>
      </c>
      <c r="Q128">
        <v>2.6836048272948387E-2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0.59991792087797058</v>
      </c>
      <c r="AA128">
        <v>0</v>
      </c>
      <c r="AB128">
        <v>0</v>
      </c>
      <c r="AC128">
        <v>0</v>
      </c>
      <c r="AD128">
        <v>0</v>
      </c>
      <c r="AE128">
        <v>0.40008207912202937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2.4994871107310686</v>
      </c>
      <c r="AL128">
        <v>2.4994871107310686</v>
      </c>
      <c r="AM128">
        <v>2.5665634674922599</v>
      </c>
      <c r="BD128">
        <v>0</v>
      </c>
      <c r="BE128">
        <v>0</v>
      </c>
      <c r="BF128">
        <v>0</v>
      </c>
      <c r="BH128">
        <v>0.3896260554885404</v>
      </c>
      <c r="BI128">
        <v>0.3896260554885404</v>
      </c>
      <c r="BJ128">
        <v>0.97386530369859492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2.613469630140508E-2</v>
      </c>
      <c r="BV128">
        <v>0</v>
      </c>
      <c r="BW128">
        <v>0</v>
      </c>
      <c r="BX128">
        <v>0</v>
      </c>
      <c r="BY128">
        <v>0.3896260554885404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 hidden="1" x14ac:dyDescent="0.25">
      <c r="A129" t="s">
        <v>128</v>
      </c>
      <c r="B129" t="s">
        <v>421</v>
      </c>
      <c r="C129" s="14" t="s">
        <v>72</v>
      </c>
      <c r="D129" s="12">
        <v>46237</v>
      </c>
      <c r="E129" s="14" t="s">
        <v>133</v>
      </c>
      <c r="F129" s="14" t="s">
        <v>73</v>
      </c>
      <c r="G129">
        <v>9.9337595944147079</v>
      </c>
      <c r="H129">
        <v>34.199999999999996</v>
      </c>
      <c r="I129">
        <v>20</v>
      </c>
      <c r="J129">
        <v>34.199999999999996</v>
      </c>
      <c r="K129">
        <v>46237</v>
      </c>
      <c r="L129" t="s">
        <v>462</v>
      </c>
      <c r="M129">
        <v>15.628193344645547</v>
      </c>
      <c r="N129">
        <v>3.4428052818219066</v>
      </c>
      <c r="O129">
        <v>3.4428052818219066</v>
      </c>
      <c r="P129">
        <v>1.5732405436339083</v>
      </c>
      <c r="Q129">
        <v>0</v>
      </c>
      <c r="R129">
        <v>0</v>
      </c>
      <c r="S129">
        <v>1.8695647381879983</v>
      </c>
      <c r="T129">
        <v>0</v>
      </c>
      <c r="U129">
        <v>0.32324054363390831</v>
      </c>
      <c r="V129">
        <v>0</v>
      </c>
      <c r="W129">
        <v>0.25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0.29046080685423126</v>
      </c>
      <c r="AL129">
        <v>0.29046080685423126</v>
      </c>
      <c r="AM129">
        <v>0.45696471767969443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0.54303528232030551</v>
      </c>
      <c r="AY129">
        <v>0</v>
      </c>
      <c r="AZ129">
        <v>0</v>
      </c>
      <c r="BA129">
        <v>0</v>
      </c>
      <c r="BB129">
        <v>0.29046080685423126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2.1883527574681194</v>
      </c>
      <c r="BI129">
        <v>2.1883527574681194</v>
      </c>
      <c r="BJ129">
        <v>0.63563070761587182</v>
      </c>
      <c r="CA129">
        <v>0</v>
      </c>
      <c r="CB129">
        <v>0</v>
      </c>
      <c r="CC129">
        <v>0</v>
      </c>
    </row>
    <row r="130" spans="1:82" hidden="1" x14ac:dyDescent="0.25">
      <c r="A130" t="s">
        <v>128</v>
      </c>
      <c r="B130" t="s">
        <v>422</v>
      </c>
      <c r="C130" s="14" t="s">
        <v>72</v>
      </c>
      <c r="D130" s="12">
        <v>46237</v>
      </c>
      <c r="E130" s="14" t="s">
        <v>133</v>
      </c>
      <c r="F130" s="14" t="s">
        <v>73</v>
      </c>
      <c r="G130">
        <v>11.872563775972576</v>
      </c>
      <c r="H130">
        <v>25.65</v>
      </c>
      <c r="I130">
        <v>20</v>
      </c>
      <c r="J130">
        <v>25.65</v>
      </c>
      <c r="K130">
        <v>46237</v>
      </c>
      <c r="L130" t="s">
        <v>462</v>
      </c>
      <c r="M130">
        <v>9.1049019607843089</v>
      </c>
      <c r="N130">
        <v>2.1604432272589587</v>
      </c>
      <c r="O130">
        <v>2.1604432272589587</v>
      </c>
      <c r="P130">
        <v>0.76688591719427956</v>
      </c>
      <c r="Q130">
        <v>0</v>
      </c>
      <c r="R130">
        <v>0</v>
      </c>
      <c r="S130">
        <v>0.91044322725895865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0.25</v>
      </c>
      <c r="Z130">
        <v>0</v>
      </c>
      <c r="AA130">
        <v>0</v>
      </c>
      <c r="AB130">
        <v>0</v>
      </c>
      <c r="AC130">
        <v>0.23311408280572044</v>
      </c>
      <c r="AD130">
        <v>0</v>
      </c>
      <c r="AE130">
        <v>0.76688591719427956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0.46286798346871644</v>
      </c>
      <c r="AL130">
        <v>0.46286798346871644</v>
      </c>
      <c r="AM130">
        <v>0.35496693804227325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0.53713201653128362</v>
      </c>
      <c r="AY130">
        <v>0</v>
      </c>
      <c r="AZ130">
        <v>0.10790104542644319</v>
      </c>
      <c r="BA130">
        <v>0</v>
      </c>
      <c r="BB130">
        <v>0.35496693804227325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2.8171637773231413</v>
      </c>
      <c r="BI130">
        <v>2.8171637773231413</v>
      </c>
      <c r="BJ130">
        <v>1.3039749167106744</v>
      </c>
      <c r="CA130">
        <v>0</v>
      </c>
      <c r="CB130">
        <v>0</v>
      </c>
      <c r="CC130">
        <v>0</v>
      </c>
    </row>
    <row r="131" spans="1:82" hidden="1" x14ac:dyDescent="0.25">
      <c r="A131" t="s">
        <v>128</v>
      </c>
      <c r="B131" t="s">
        <v>421</v>
      </c>
      <c r="C131" s="14" t="s">
        <v>72</v>
      </c>
      <c r="D131" s="12">
        <v>46237</v>
      </c>
      <c r="E131" s="14" t="s">
        <v>133</v>
      </c>
      <c r="F131" s="14" t="s">
        <v>74</v>
      </c>
      <c r="G131">
        <v>4.440974877503046</v>
      </c>
      <c r="H131">
        <v>3.8</v>
      </c>
      <c r="I131">
        <v>20</v>
      </c>
      <c r="J131">
        <v>3.8</v>
      </c>
      <c r="K131">
        <v>46237</v>
      </c>
      <c r="L131" t="s">
        <v>463</v>
      </c>
      <c r="M131">
        <v>16.704237368024128</v>
      </c>
      <c r="N131">
        <v>0.85566797940018147</v>
      </c>
      <c r="O131">
        <v>0.85566797940018147</v>
      </c>
      <c r="P131">
        <v>3.7613897463468979</v>
      </c>
      <c r="Q131">
        <v>2.7613897463468979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0.14433202059981853</v>
      </c>
      <c r="AA131">
        <v>0</v>
      </c>
      <c r="AB131">
        <v>0</v>
      </c>
      <c r="AC131">
        <v>0</v>
      </c>
      <c r="AD131">
        <v>0</v>
      </c>
      <c r="AE131">
        <v>0.85566797940018147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1.1686775993429068</v>
      </c>
      <c r="AL131">
        <v>1.1686775993429068</v>
      </c>
      <c r="AM131">
        <v>4.3958519389537178</v>
      </c>
      <c r="AN131">
        <v>3.2271743396108112</v>
      </c>
      <c r="AO131">
        <v>0</v>
      </c>
      <c r="AP131">
        <v>0</v>
      </c>
      <c r="AQ131">
        <v>0</v>
      </c>
      <c r="AR131">
        <v>0</v>
      </c>
      <c r="AS131">
        <v>0.33132240065709317</v>
      </c>
      <c r="AT131">
        <v>0.16867759934290683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0.22748718880600327</v>
      </c>
      <c r="BI131">
        <v>0.22748718880600327</v>
      </c>
      <c r="BJ131">
        <v>0.2658591816950665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0.7341408183049335</v>
      </c>
      <c r="BV131">
        <v>0</v>
      </c>
      <c r="BW131">
        <v>0</v>
      </c>
      <c r="BX131">
        <v>0</v>
      </c>
      <c r="BY131">
        <v>0.22748718880600327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 hidden="1" x14ac:dyDescent="0.25">
      <c r="A132" t="s">
        <v>128</v>
      </c>
      <c r="B132" t="s">
        <v>291</v>
      </c>
      <c r="C132" s="14" t="s">
        <v>72</v>
      </c>
      <c r="D132" s="12">
        <v>46237</v>
      </c>
      <c r="E132" s="14" t="s">
        <v>133</v>
      </c>
      <c r="F132" s="14" t="s">
        <v>74</v>
      </c>
      <c r="G132">
        <v>4.220105607573192</v>
      </c>
      <c r="H132">
        <v>20.9</v>
      </c>
      <c r="I132">
        <v>20</v>
      </c>
      <c r="J132">
        <v>20.9</v>
      </c>
      <c r="K132">
        <v>46237</v>
      </c>
      <c r="L132" t="s">
        <v>463</v>
      </c>
      <c r="M132">
        <v>4.6874999999999991</v>
      </c>
      <c r="N132">
        <v>4.9524826967585591</v>
      </c>
      <c r="O132">
        <v>4.9524826967585591</v>
      </c>
      <c r="P132">
        <v>1.1107541933519494</v>
      </c>
      <c r="Q132">
        <v>0</v>
      </c>
      <c r="R132">
        <v>0</v>
      </c>
      <c r="S132">
        <v>3.7024826967585591</v>
      </c>
      <c r="T132">
        <v>0</v>
      </c>
      <c r="U132">
        <v>0</v>
      </c>
      <c r="V132">
        <v>0</v>
      </c>
      <c r="W132">
        <v>0.11075419335194936</v>
      </c>
      <c r="X132">
        <v>0</v>
      </c>
      <c r="Y132">
        <v>0.13924580664805064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0.20191892859201876</v>
      </c>
      <c r="AL132">
        <v>0.20191892859201876</v>
      </c>
      <c r="AM132">
        <v>0.22428229665071767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0.77571770334928236</v>
      </c>
      <c r="AY132">
        <v>0</v>
      </c>
      <c r="AZ132">
        <v>0</v>
      </c>
      <c r="BA132">
        <v>0</v>
      </c>
      <c r="BB132">
        <v>0.20191892859201876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4.4586666666666668</v>
      </c>
      <c r="BI132">
        <v>4.4586666666666668</v>
      </c>
      <c r="BJ132">
        <v>0.9002891962822811</v>
      </c>
      <c r="CA132">
        <v>0</v>
      </c>
      <c r="CB132">
        <v>0</v>
      </c>
      <c r="CC132">
        <v>0</v>
      </c>
    </row>
    <row r="133" spans="1:82" hidden="1" x14ac:dyDescent="0.25">
      <c r="A133" t="s">
        <v>128</v>
      </c>
      <c r="B133" t="s">
        <v>422</v>
      </c>
      <c r="C133" s="14" t="s">
        <v>72</v>
      </c>
      <c r="D133" s="12">
        <v>46237</v>
      </c>
      <c r="E133" s="14" t="s">
        <v>133</v>
      </c>
      <c r="F133" s="14" t="s">
        <v>74</v>
      </c>
      <c r="G133">
        <v>4.220105607573192</v>
      </c>
      <c r="H133">
        <v>3.8</v>
      </c>
      <c r="I133">
        <v>20</v>
      </c>
      <c r="J133">
        <v>3.8</v>
      </c>
      <c r="K133">
        <v>46237</v>
      </c>
      <c r="L133" t="s">
        <v>463</v>
      </c>
      <c r="M133">
        <v>4.1764705882352935</v>
      </c>
      <c r="N133">
        <v>0.90045139941064711</v>
      </c>
      <c r="O133">
        <v>0.90045139941064711</v>
      </c>
      <c r="P133">
        <v>0.98966020678259969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8.9208807371952581E-2</v>
      </c>
      <c r="AA133">
        <v>1.0339793217400306E-2</v>
      </c>
      <c r="AB133">
        <v>0</v>
      </c>
      <c r="AC133">
        <v>0</v>
      </c>
      <c r="AD133">
        <v>0</v>
      </c>
      <c r="AE133">
        <v>0.90045139941064711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1.1105541072561032</v>
      </c>
      <c r="AL133">
        <v>1.1105541072561032</v>
      </c>
      <c r="AM133">
        <v>1.0990712074303404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9.9071207430340369E-2</v>
      </c>
      <c r="AU133">
        <v>0</v>
      </c>
      <c r="AV133">
        <v>1.1482899825762782E-2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0.90985915492957758</v>
      </c>
      <c r="BI133">
        <v>0.90985915492957758</v>
      </c>
      <c r="BJ133">
        <v>1.0104478215316095</v>
      </c>
      <c r="BK133">
        <v>1.0447821531609502E-2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9.9548600589352887E-2</v>
      </c>
      <c r="BU133">
        <v>0</v>
      </c>
      <c r="BV133">
        <v>0</v>
      </c>
      <c r="BW133">
        <v>0</v>
      </c>
      <c r="BX133">
        <v>0</v>
      </c>
      <c r="BY133">
        <v>0.90985915492957758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hidden="1" x14ac:dyDescent="0.25">
      <c r="A134" t="s">
        <v>128</v>
      </c>
      <c r="B134" t="s">
        <v>422</v>
      </c>
      <c r="C134" s="14" t="s">
        <v>72</v>
      </c>
      <c r="D134" s="12">
        <v>46237</v>
      </c>
      <c r="E134" s="14" t="s">
        <v>133</v>
      </c>
      <c r="F134" s="14" t="s">
        <v>75</v>
      </c>
      <c r="G134">
        <v>10.972274579690296</v>
      </c>
      <c r="H134">
        <v>4.75</v>
      </c>
      <c r="I134">
        <v>20</v>
      </c>
      <c r="J134">
        <v>4.75</v>
      </c>
      <c r="K134">
        <v>46237</v>
      </c>
      <c r="L134" t="s">
        <v>464</v>
      </c>
      <c r="M134">
        <v>7.1745098039215671</v>
      </c>
      <c r="N134">
        <v>0.4329093266397343</v>
      </c>
      <c r="O134">
        <v>0.4329093266397343</v>
      </c>
      <c r="P134">
        <v>0.65387625435491747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0.22096692771518317</v>
      </c>
      <c r="AA134">
        <v>0.34612374564508253</v>
      </c>
      <c r="AB134">
        <v>0</v>
      </c>
      <c r="AC134">
        <v>0</v>
      </c>
      <c r="AD134">
        <v>0</v>
      </c>
      <c r="AE134">
        <v>0.4329093266397343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2.3099525430926939</v>
      </c>
      <c r="AL134">
        <v>2.3099525430926939</v>
      </c>
      <c r="AM134">
        <v>1.5104231166150668</v>
      </c>
      <c r="BD134">
        <v>0</v>
      </c>
      <c r="BE134">
        <v>0</v>
      </c>
      <c r="BF134">
        <v>0</v>
      </c>
      <c r="BH134">
        <v>0.66206613828915017</v>
      </c>
      <c r="BI134">
        <v>0.66206613828915017</v>
      </c>
      <c r="BJ134">
        <v>1.5293413598365817</v>
      </c>
      <c r="BK134">
        <v>0.5293413598365817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0.56709067336026564</v>
      </c>
      <c r="BU134">
        <v>0</v>
      </c>
      <c r="BV134">
        <v>0</v>
      </c>
      <c r="BW134">
        <v>0</v>
      </c>
      <c r="BX134">
        <v>0</v>
      </c>
      <c r="BY134">
        <v>0.66206613828915017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hidden="1" x14ac:dyDescent="0.25">
      <c r="A135" t="s">
        <v>128</v>
      </c>
      <c r="B135" t="s">
        <v>421</v>
      </c>
      <c r="C135" s="14" t="s">
        <v>72</v>
      </c>
      <c r="D135" s="12">
        <v>46237</v>
      </c>
      <c r="E135" s="14" t="s">
        <v>133</v>
      </c>
      <c r="F135" s="14" t="s">
        <v>75</v>
      </c>
      <c r="G135">
        <v>8.1223093154332009</v>
      </c>
      <c r="H135">
        <v>4.75</v>
      </c>
      <c r="I135">
        <v>20</v>
      </c>
      <c r="J135">
        <v>4.75</v>
      </c>
      <c r="K135">
        <v>46237</v>
      </c>
      <c r="L135" t="s">
        <v>464</v>
      </c>
      <c r="M135">
        <v>15.636651583710409</v>
      </c>
      <c r="N135">
        <v>0.58480905066918898</v>
      </c>
      <c r="O135">
        <v>0.58480905066918898</v>
      </c>
      <c r="P135">
        <v>1.9251484985925376</v>
      </c>
      <c r="Q135">
        <v>0.92514849859253756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0.41519094933081102</v>
      </c>
      <c r="AA135">
        <v>0</v>
      </c>
      <c r="AB135">
        <v>0</v>
      </c>
      <c r="AC135">
        <v>0</v>
      </c>
      <c r="AD135">
        <v>0</v>
      </c>
      <c r="AE135">
        <v>0.58480905066918898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1.7099598558806739</v>
      </c>
      <c r="AL135">
        <v>1.7099598558806739</v>
      </c>
      <c r="AM135">
        <v>3.2919266492021912</v>
      </c>
      <c r="BD135">
        <v>0</v>
      </c>
      <c r="BE135">
        <v>0</v>
      </c>
      <c r="BF135">
        <v>0</v>
      </c>
      <c r="BH135">
        <v>0.30377347570680324</v>
      </c>
      <c r="BI135">
        <v>0.30377347570680324</v>
      </c>
      <c r="BJ135">
        <v>0.51944044873997663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0.48055955126002337</v>
      </c>
      <c r="BV135">
        <v>0</v>
      </c>
      <c r="BW135">
        <v>0</v>
      </c>
      <c r="BX135">
        <v>0</v>
      </c>
      <c r="BY135">
        <v>0.30377347570680324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 hidden="1" x14ac:dyDescent="0.25">
      <c r="A136" t="s">
        <v>128</v>
      </c>
      <c r="B136" t="s">
        <v>291</v>
      </c>
      <c r="C136" s="14" t="s">
        <v>72</v>
      </c>
      <c r="D136" s="12">
        <v>46237</v>
      </c>
      <c r="E136" s="14" t="s">
        <v>133</v>
      </c>
      <c r="F136" s="14" t="s">
        <v>75</v>
      </c>
      <c r="G136">
        <v>10.972274579690296</v>
      </c>
      <c r="H136">
        <v>15.2</v>
      </c>
      <c r="I136">
        <v>20</v>
      </c>
      <c r="J136">
        <v>15.2</v>
      </c>
      <c r="K136">
        <v>46237</v>
      </c>
      <c r="L136" t="s">
        <v>464</v>
      </c>
      <c r="M136">
        <v>11.308823529411764</v>
      </c>
      <c r="N136">
        <v>1.3853098452471497</v>
      </c>
      <c r="O136">
        <v>1.3853098452471497</v>
      </c>
      <c r="P136">
        <v>1.0306726693063644</v>
      </c>
      <c r="Q136">
        <v>0</v>
      </c>
      <c r="R136">
        <v>0</v>
      </c>
      <c r="S136">
        <v>0.13530984524714973</v>
      </c>
      <c r="T136">
        <v>0</v>
      </c>
      <c r="U136">
        <v>0</v>
      </c>
      <c r="V136">
        <v>0</v>
      </c>
      <c r="W136">
        <v>3.0672669306364364E-2</v>
      </c>
      <c r="X136">
        <v>0</v>
      </c>
      <c r="Y136">
        <v>0.21932733069363564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0.72186016971646694</v>
      </c>
      <c r="AL136">
        <v>0.72186016971646694</v>
      </c>
      <c r="AM136">
        <v>0.74400154798761609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0.25599845201238391</v>
      </c>
      <c r="AY136">
        <v>0</v>
      </c>
      <c r="AZ136">
        <v>0</v>
      </c>
      <c r="BA136">
        <v>0</v>
      </c>
      <c r="BB136">
        <v>0.72186016971646694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1.3440832249674901</v>
      </c>
      <c r="BI136">
        <v>1.3440832249674901</v>
      </c>
      <c r="BJ136">
        <v>0.97024014488808863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0.34408322496749011</v>
      </c>
      <c r="BT136">
        <v>0</v>
      </c>
      <c r="BU136">
        <v>0</v>
      </c>
      <c r="BV136">
        <v>0</v>
      </c>
      <c r="BW136">
        <v>2.9759855111911371E-2</v>
      </c>
      <c r="BX136">
        <v>0</v>
      </c>
      <c r="BY136">
        <v>0.97024014488808863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 hidden="1" x14ac:dyDescent="0.25">
      <c r="A137" t="s">
        <v>128</v>
      </c>
      <c r="B137" t="s">
        <v>422</v>
      </c>
      <c r="C137" s="14" t="s">
        <v>72</v>
      </c>
      <c r="D137" s="12">
        <v>46238</v>
      </c>
      <c r="E137" s="14" t="s">
        <v>133</v>
      </c>
      <c r="F137" s="14" t="s">
        <v>73</v>
      </c>
      <c r="G137">
        <v>13.026059308709248</v>
      </c>
      <c r="H137">
        <v>27.549999999999997</v>
      </c>
      <c r="I137">
        <v>20</v>
      </c>
      <c r="J137">
        <v>27.549999999999997</v>
      </c>
      <c r="K137">
        <v>46238</v>
      </c>
      <c r="L137" t="s">
        <v>465</v>
      </c>
      <c r="M137">
        <v>9.4058823529411733</v>
      </c>
      <c r="N137">
        <v>2.1149911379245765</v>
      </c>
      <c r="O137">
        <v>2.1149911379245765</v>
      </c>
      <c r="P137">
        <v>0.72208195356921046</v>
      </c>
      <c r="Q137">
        <v>0</v>
      </c>
      <c r="R137">
        <v>0</v>
      </c>
      <c r="S137">
        <v>0.86499113792457649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0.25</v>
      </c>
      <c r="Z137">
        <v>0</v>
      </c>
      <c r="AA137">
        <v>0</v>
      </c>
      <c r="AB137">
        <v>0</v>
      </c>
      <c r="AC137">
        <v>0.27791804643078954</v>
      </c>
      <c r="AD137">
        <v>0</v>
      </c>
      <c r="AE137">
        <v>0.72208195356921046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0.47281521991685116</v>
      </c>
      <c r="AL137">
        <v>0.47281521991685116</v>
      </c>
      <c r="AM137">
        <v>0.34141133767481574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0.52718478008314884</v>
      </c>
      <c r="AY137">
        <v>0</v>
      </c>
      <c r="AZ137">
        <v>0.13140388224203542</v>
      </c>
      <c r="BA137">
        <v>0</v>
      </c>
      <c r="BB137">
        <v>0.34141133767481574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2.9290181363352104</v>
      </c>
      <c r="BI137">
        <v>2.9290181363352104</v>
      </c>
      <c r="BJ137">
        <v>1.3848843542717779</v>
      </c>
      <c r="CA137">
        <v>0</v>
      </c>
      <c r="CB137">
        <v>0</v>
      </c>
      <c r="CC137">
        <v>0</v>
      </c>
    </row>
    <row r="138" spans="1:82" hidden="1" x14ac:dyDescent="0.25">
      <c r="A138" t="s">
        <v>128</v>
      </c>
      <c r="B138" t="s">
        <v>291</v>
      </c>
      <c r="C138" s="14" t="s">
        <v>72</v>
      </c>
      <c r="D138" s="12">
        <v>46238</v>
      </c>
      <c r="E138" s="14" t="s">
        <v>133</v>
      </c>
      <c r="F138" s="14" t="s">
        <v>73</v>
      </c>
      <c r="G138">
        <v>13.026059308709248</v>
      </c>
      <c r="H138">
        <v>9.5</v>
      </c>
      <c r="I138">
        <v>20</v>
      </c>
      <c r="J138">
        <v>9.5</v>
      </c>
      <c r="K138">
        <v>46238</v>
      </c>
      <c r="L138" t="s">
        <v>465</v>
      </c>
      <c r="M138">
        <v>13.125</v>
      </c>
      <c r="N138">
        <v>0.72930728893950925</v>
      </c>
      <c r="O138">
        <v>0.72930728893950925</v>
      </c>
      <c r="P138">
        <v>1.007595596561164</v>
      </c>
      <c r="Q138">
        <v>7.5955965611640419E-3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0.27069271106049075</v>
      </c>
      <c r="AA138">
        <v>0</v>
      </c>
      <c r="AB138">
        <v>0</v>
      </c>
      <c r="AC138">
        <v>0</v>
      </c>
      <c r="AD138">
        <v>0</v>
      </c>
      <c r="AE138">
        <v>0.72930728893950925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1.3711641377588684</v>
      </c>
      <c r="AL138">
        <v>1.3711641377588684</v>
      </c>
      <c r="AM138">
        <v>1.381578947368421</v>
      </c>
      <c r="AN138">
        <v>1.0414809609552655E-2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0.37116413775886836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0.72380952380952379</v>
      </c>
      <c r="BI138">
        <v>0.72380952380952379</v>
      </c>
      <c r="BJ138">
        <v>0.99246166161594274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7.5383383840572638E-3</v>
      </c>
      <c r="BV138">
        <v>0</v>
      </c>
      <c r="BW138">
        <v>0</v>
      </c>
      <c r="BX138">
        <v>0</v>
      </c>
      <c r="BY138">
        <v>0.72380952380952379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 hidden="1" x14ac:dyDescent="0.25">
      <c r="A139" t="s">
        <v>128</v>
      </c>
      <c r="B139" t="s">
        <v>421</v>
      </c>
      <c r="C139" s="14" t="s">
        <v>72</v>
      </c>
      <c r="D139" s="12">
        <v>46238</v>
      </c>
      <c r="E139" s="14" t="s">
        <v>133</v>
      </c>
      <c r="F139" s="14" t="s">
        <v>73</v>
      </c>
      <c r="G139">
        <v>9.9337595944147079</v>
      </c>
      <c r="H139">
        <v>37.049999999999997</v>
      </c>
      <c r="I139">
        <v>20</v>
      </c>
      <c r="J139">
        <v>37.049999999999997</v>
      </c>
      <c r="K139">
        <v>46238</v>
      </c>
      <c r="L139" t="s">
        <v>465</v>
      </c>
      <c r="M139">
        <v>15.904485411953241</v>
      </c>
      <c r="N139">
        <v>3.7297057219737324</v>
      </c>
      <c r="O139">
        <v>3.7297057219737324</v>
      </c>
      <c r="P139">
        <v>1.6010539877465522</v>
      </c>
      <c r="Q139">
        <v>0</v>
      </c>
      <c r="R139">
        <v>0</v>
      </c>
      <c r="S139">
        <v>2.12865173422718</v>
      </c>
      <c r="T139">
        <v>0</v>
      </c>
      <c r="U139">
        <v>0.35105398774655217</v>
      </c>
      <c r="V139">
        <v>0</v>
      </c>
      <c r="W139">
        <v>0.25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0.26811766786544422</v>
      </c>
      <c r="AL139">
        <v>0.26811766786544422</v>
      </c>
      <c r="AM139">
        <v>0.42927086132127507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0.57072913867872499</v>
      </c>
      <c r="AY139">
        <v>0</v>
      </c>
      <c r="AZ139">
        <v>0</v>
      </c>
      <c r="BA139">
        <v>0</v>
      </c>
      <c r="BB139">
        <v>0.26811766786544422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2.3295315151884477</v>
      </c>
      <c r="BI139">
        <v>2.3295315151884477</v>
      </c>
      <c r="BJ139">
        <v>0.62458855707138128</v>
      </c>
      <c r="CA139">
        <v>0</v>
      </c>
      <c r="CB139">
        <v>0</v>
      </c>
      <c r="CC139">
        <v>0</v>
      </c>
    </row>
    <row r="140" spans="1:82" hidden="1" x14ac:dyDescent="0.25">
      <c r="A140" t="s">
        <v>128</v>
      </c>
      <c r="B140" t="s">
        <v>422</v>
      </c>
      <c r="C140" s="14" t="s">
        <v>72</v>
      </c>
      <c r="D140" s="12">
        <v>46238</v>
      </c>
      <c r="E140" s="14" t="s">
        <v>133</v>
      </c>
      <c r="F140" s="14" t="s">
        <v>74</v>
      </c>
      <c r="G140">
        <v>4.220105607573192</v>
      </c>
      <c r="H140">
        <v>4.75</v>
      </c>
      <c r="I140">
        <v>20</v>
      </c>
      <c r="J140">
        <v>4.75</v>
      </c>
      <c r="K140">
        <v>46238</v>
      </c>
      <c r="L140" t="s">
        <v>466</v>
      </c>
      <c r="M140">
        <v>4.1764705882352935</v>
      </c>
      <c r="N140">
        <v>1.1255642492633089</v>
      </c>
      <c r="O140">
        <v>1.1255642492633089</v>
      </c>
      <c r="P140">
        <v>0.98966020678259969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0.12556424926330889</v>
      </c>
      <c r="Z140">
        <v>0</v>
      </c>
      <c r="AA140">
        <v>0</v>
      </c>
      <c r="AB140">
        <v>0</v>
      </c>
      <c r="AC140">
        <v>1.0339793217400306E-2</v>
      </c>
      <c r="AD140">
        <v>0</v>
      </c>
      <c r="AE140">
        <v>0.98966020678259969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0.88844328580488252</v>
      </c>
      <c r="AL140">
        <v>0.88844328580488252</v>
      </c>
      <c r="AM140">
        <v>0.87925696594427227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0.11155671419511748</v>
      </c>
      <c r="AY140">
        <v>0</v>
      </c>
      <c r="AZ140">
        <v>9.1863198606102481E-3</v>
      </c>
      <c r="BA140">
        <v>0</v>
      </c>
      <c r="BB140">
        <v>0.87925696594427227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1.137323943661972</v>
      </c>
      <c r="BI140">
        <v>1.137323943661972</v>
      </c>
      <c r="BJ140">
        <v>1.0104478215316095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1.0447821531609502E-2</v>
      </c>
      <c r="BR140">
        <v>0</v>
      </c>
      <c r="BS140">
        <v>0.12687612213036248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 hidden="1" x14ac:dyDescent="0.25">
      <c r="A141" t="s">
        <v>128</v>
      </c>
      <c r="B141" t="s">
        <v>291</v>
      </c>
      <c r="C141" s="14" t="s">
        <v>72</v>
      </c>
      <c r="D141" s="12">
        <v>46238</v>
      </c>
      <c r="E141" s="14" t="s">
        <v>133</v>
      </c>
      <c r="F141" s="14" t="s">
        <v>74</v>
      </c>
      <c r="G141">
        <v>4.220105607573192</v>
      </c>
      <c r="H141">
        <v>30.4</v>
      </c>
      <c r="I141">
        <v>20</v>
      </c>
      <c r="J141">
        <v>30.4</v>
      </c>
      <c r="K141">
        <v>46238</v>
      </c>
      <c r="L141" t="s">
        <v>466</v>
      </c>
      <c r="M141">
        <v>4.6874999999999991</v>
      </c>
      <c r="N141">
        <v>7.2036111952851769</v>
      </c>
      <c r="O141">
        <v>7.2036111952851769</v>
      </c>
      <c r="P141">
        <v>1.1107541933519494</v>
      </c>
      <c r="Q141">
        <v>0</v>
      </c>
      <c r="R141">
        <v>0</v>
      </c>
      <c r="S141">
        <v>5.9536111952851769</v>
      </c>
      <c r="T141">
        <v>0</v>
      </c>
      <c r="U141">
        <v>0</v>
      </c>
      <c r="V141">
        <v>0</v>
      </c>
      <c r="W141">
        <v>0.11075419335194936</v>
      </c>
      <c r="X141">
        <v>0</v>
      </c>
      <c r="Y141">
        <v>0.13924580664805064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0.13881926340701289</v>
      </c>
      <c r="AL141">
        <v>0.13881926340701289</v>
      </c>
      <c r="AM141">
        <v>0.15419407894736839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0.84580592105263164</v>
      </c>
      <c r="AY141">
        <v>0</v>
      </c>
      <c r="AZ141">
        <v>0</v>
      </c>
      <c r="BA141">
        <v>0</v>
      </c>
      <c r="BB141">
        <v>0.13881926340701289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6.4853333333333341</v>
      </c>
      <c r="BI141">
        <v>6.4853333333333341</v>
      </c>
      <c r="BJ141">
        <v>0.9002891962822811</v>
      </c>
      <c r="CA141">
        <v>0</v>
      </c>
      <c r="CB141">
        <v>0</v>
      </c>
      <c r="CC141">
        <v>0</v>
      </c>
    </row>
    <row r="142" spans="1:82" hidden="1" x14ac:dyDescent="0.25">
      <c r="A142" t="s">
        <v>128</v>
      </c>
      <c r="B142" t="s">
        <v>421</v>
      </c>
      <c r="C142" s="14" t="s">
        <v>72</v>
      </c>
      <c r="D142" s="12">
        <v>46238</v>
      </c>
      <c r="E142" s="14" t="s">
        <v>133</v>
      </c>
      <c r="F142" s="14" t="s">
        <v>74</v>
      </c>
      <c r="G142">
        <v>4.440974877503046</v>
      </c>
      <c r="H142">
        <v>4.75</v>
      </c>
      <c r="I142">
        <v>20</v>
      </c>
      <c r="J142">
        <v>4.75</v>
      </c>
      <c r="K142">
        <v>46238</v>
      </c>
      <c r="L142" t="s">
        <v>466</v>
      </c>
      <c r="M142">
        <v>14.697362839366512</v>
      </c>
      <c r="N142">
        <v>1.0695849742502268</v>
      </c>
      <c r="O142">
        <v>1.0695849742502268</v>
      </c>
      <c r="P142">
        <v>3.309490200861068</v>
      </c>
      <c r="Q142">
        <v>2.2399052266108415</v>
      </c>
      <c r="R142">
        <v>0</v>
      </c>
      <c r="S142">
        <v>0</v>
      </c>
      <c r="T142">
        <v>0</v>
      </c>
      <c r="U142">
        <v>0</v>
      </c>
      <c r="V142">
        <v>0.18041502574977319</v>
      </c>
      <c r="W142">
        <v>6.9584974250226805E-2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0.9349420794743255</v>
      </c>
      <c r="AL142">
        <v>0.9349420794743255</v>
      </c>
      <c r="AM142">
        <v>3.09418165039295</v>
      </c>
      <c r="AN142">
        <v>2.09418165039295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0.9349420794743255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0.3231872310641502</v>
      </c>
      <c r="BI142">
        <v>0.3231872310641502</v>
      </c>
      <c r="BJ142">
        <v>0.3021613418706659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0.67681276893584985</v>
      </c>
      <c r="BV142">
        <v>0</v>
      </c>
      <c r="BW142">
        <v>2.1025889193484304E-2</v>
      </c>
      <c r="BX142">
        <v>0</v>
      </c>
      <c r="BY142">
        <v>0.3021613418706659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hidden="1" x14ac:dyDescent="0.25">
      <c r="A143" t="s">
        <v>128</v>
      </c>
      <c r="B143" t="s">
        <v>422</v>
      </c>
      <c r="C143" s="14" t="s">
        <v>72</v>
      </c>
      <c r="D143" s="12">
        <v>46238</v>
      </c>
      <c r="E143" s="14" t="s">
        <v>133</v>
      </c>
      <c r="F143" s="14" t="s">
        <v>75</v>
      </c>
      <c r="G143">
        <v>10.972274579690296</v>
      </c>
      <c r="H143">
        <v>5.6999999999999993</v>
      </c>
      <c r="I143">
        <v>20</v>
      </c>
      <c r="J143">
        <v>5.6999999999999993</v>
      </c>
      <c r="K143">
        <v>46238</v>
      </c>
      <c r="L143" t="s">
        <v>467</v>
      </c>
      <c r="M143">
        <v>8.0426470588235297</v>
      </c>
      <c r="N143">
        <v>0.51949119196768112</v>
      </c>
      <c r="O143">
        <v>0.51949119196768112</v>
      </c>
      <c r="P143">
        <v>0.73299724687080714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0.21350605490312602</v>
      </c>
      <c r="AA143">
        <v>0.26700275312919286</v>
      </c>
      <c r="AB143">
        <v>0</v>
      </c>
      <c r="AC143">
        <v>0</v>
      </c>
      <c r="AD143">
        <v>0</v>
      </c>
      <c r="AE143">
        <v>0.51949119196768112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1.9249604525772452</v>
      </c>
      <c r="AL143">
        <v>1.9249604525772452</v>
      </c>
      <c r="AM143">
        <v>1.4109907120743037</v>
      </c>
      <c r="BD143">
        <v>0</v>
      </c>
      <c r="BE143">
        <v>0</v>
      </c>
      <c r="BF143">
        <v>0</v>
      </c>
      <c r="BH143">
        <v>0.70872188699945138</v>
      </c>
      <c r="BI143">
        <v>0.70872188699945138</v>
      </c>
      <c r="BJ143">
        <v>1.364261604349863</v>
      </c>
      <c r="BK143">
        <v>0.36426160434986299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0.48050880803231888</v>
      </c>
      <c r="BU143">
        <v>0</v>
      </c>
      <c r="BV143">
        <v>0</v>
      </c>
      <c r="BW143">
        <v>0</v>
      </c>
      <c r="BX143">
        <v>0</v>
      </c>
      <c r="BY143">
        <v>0.70872188699945138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 hidden="1" x14ac:dyDescent="0.25">
      <c r="A144" t="s">
        <v>128</v>
      </c>
      <c r="B144" t="s">
        <v>421</v>
      </c>
      <c r="C144" s="14" t="s">
        <v>72</v>
      </c>
      <c r="D144" s="12">
        <v>46238</v>
      </c>
      <c r="E144" s="14" t="s">
        <v>133</v>
      </c>
      <c r="F144" s="14" t="s">
        <v>75</v>
      </c>
      <c r="G144">
        <v>8.0638754354660556</v>
      </c>
      <c r="H144">
        <v>5.6999999999999993</v>
      </c>
      <c r="I144">
        <v>20</v>
      </c>
      <c r="J144">
        <v>5.6999999999999993</v>
      </c>
      <c r="K144">
        <v>46238</v>
      </c>
      <c r="L144" t="s">
        <v>467</v>
      </c>
      <c r="M144">
        <v>13.413765554298646</v>
      </c>
      <c r="N144">
        <v>0.70685615689580217</v>
      </c>
      <c r="O144">
        <v>0.70685615689580217</v>
      </c>
      <c r="P144">
        <v>1.6634390823180407</v>
      </c>
      <c r="Q144">
        <v>0.66343908231804072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0.29314384310419783</v>
      </c>
      <c r="AA144">
        <v>0</v>
      </c>
      <c r="AB144">
        <v>0</v>
      </c>
      <c r="AC144">
        <v>0</v>
      </c>
      <c r="AD144">
        <v>0</v>
      </c>
      <c r="AE144">
        <v>0.70685615689580217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1.4147149886782555</v>
      </c>
      <c r="AL144">
        <v>1.4147149886782555</v>
      </c>
      <c r="AM144">
        <v>2.3532922025085345</v>
      </c>
      <c r="AN144">
        <v>0.93857721383027903</v>
      </c>
      <c r="AO144">
        <v>0</v>
      </c>
      <c r="AP144">
        <v>0</v>
      </c>
      <c r="AQ144">
        <v>0</v>
      </c>
      <c r="AR144">
        <v>0</v>
      </c>
      <c r="AS144">
        <v>8.5285011321744486E-2</v>
      </c>
      <c r="AT144">
        <v>0.41471498867825551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0.42493660537948996</v>
      </c>
      <c r="BI144">
        <v>0.42493660537948996</v>
      </c>
      <c r="BJ144">
        <v>0.60116418486842149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0.39883581513157851</v>
      </c>
      <c r="BV144">
        <v>0</v>
      </c>
      <c r="BW144">
        <v>0</v>
      </c>
      <c r="BX144">
        <v>0</v>
      </c>
      <c r="BY144">
        <v>0.42493660537948996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hidden="1" x14ac:dyDescent="0.25">
      <c r="A145" t="s">
        <v>128</v>
      </c>
      <c r="B145" t="s">
        <v>291</v>
      </c>
      <c r="C145" s="14" t="s">
        <v>72</v>
      </c>
      <c r="D145" s="12">
        <v>46238</v>
      </c>
      <c r="E145" s="14" t="s">
        <v>133</v>
      </c>
      <c r="F145" s="14" t="s">
        <v>75</v>
      </c>
      <c r="G145">
        <v>10.972274579690296</v>
      </c>
      <c r="H145">
        <v>24.7</v>
      </c>
      <c r="I145">
        <v>20</v>
      </c>
      <c r="J145">
        <v>24.7</v>
      </c>
      <c r="K145">
        <v>46238</v>
      </c>
      <c r="L145" t="s">
        <v>467</v>
      </c>
      <c r="M145">
        <v>12.1875</v>
      </c>
      <c r="N145">
        <v>2.2511284985266182</v>
      </c>
      <c r="O145">
        <v>2.2511284985266182</v>
      </c>
      <c r="P145">
        <v>1.1107541933519498</v>
      </c>
      <c r="Q145">
        <v>0</v>
      </c>
      <c r="R145">
        <v>0</v>
      </c>
      <c r="S145">
        <v>1.0011284985266182</v>
      </c>
      <c r="T145">
        <v>0</v>
      </c>
      <c r="U145">
        <v>0</v>
      </c>
      <c r="V145">
        <v>0</v>
      </c>
      <c r="W145">
        <v>0.1107541933519498</v>
      </c>
      <c r="X145">
        <v>0</v>
      </c>
      <c r="Y145">
        <v>0.1392458066480502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0.44422164290244115</v>
      </c>
      <c r="AL145">
        <v>0.44422164290244115</v>
      </c>
      <c r="AM145">
        <v>0.49342105263157898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0.50657894736842102</v>
      </c>
      <c r="AY145">
        <v>0</v>
      </c>
      <c r="AZ145">
        <v>0</v>
      </c>
      <c r="BA145">
        <v>0</v>
      </c>
      <c r="BB145">
        <v>0.44422164290244115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2.0266666666666664</v>
      </c>
      <c r="BI145">
        <v>2.0266666666666664</v>
      </c>
      <c r="BJ145">
        <v>0.90028919628228077</v>
      </c>
      <c r="CA145">
        <v>0</v>
      </c>
      <c r="CB145">
        <v>0</v>
      </c>
      <c r="CC145">
        <v>0</v>
      </c>
    </row>
    <row r="146" spans="1:82" hidden="1" x14ac:dyDescent="0.25">
      <c r="A146" t="s">
        <v>128</v>
      </c>
      <c r="B146" t="s">
        <v>422</v>
      </c>
      <c r="C146" s="14" t="s">
        <v>72</v>
      </c>
      <c r="D146" s="12">
        <v>46239</v>
      </c>
      <c r="E146" s="14" t="s">
        <v>133</v>
      </c>
      <c r="F146" s="14" t="s">
        <v>73</v>
      </c>
      <c r="G146">
        <v>12.575914710568108</v>
      </c>
      <c r="H146">
        <v>8.5499999999999989</v>
      </c>
      <c r="I146">
        <v>20</v>
      </c>
      <c r="J146">
        <v>8.5499999999999989</v>
      </c>
      <c r="K146">
        <v>46239</v>
      </c>
      <c r="L146" t="s">
        <v>468</v>
      </c>
      <c r="M146">
        <v>9.4058823529411679</v>
      </c>
      <c r="N146">
        <v>0.67987102304495184</v>
      </c>
      <c r="O146">
        <v>0.67987102304495184</v>
      </c>
      <c r="P146">
        <v>0.74792828747772766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6.8057264432775821E-2</v>
      </c>
      <c r="AA146">
        <v>0.25207171252227234</v>
      </c>
      <c r="AB146">
        <v>0</v>
      </c>
      <c r="AC146">
        <v>0</v>
      </c>
      <c r="AD146">
        <v>0</v>
      </c>
      <c r="AE146">
        <v>0.67987102304495184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1.4708672176103053</v>
      </c>
      <c r="AL146">
        <v>1.4708672176103053</v>
      </c>
      <c r="AM146">
        <v>1.1001031991744057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0.10010319917440569</v>
      </c>
      <c r="AU146">
        <v>0</v>
      </c>
      <c r="AV146">
        <v>0.37076401843589957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0.9090056285178244</v>
      </c>
      <c r="BI146">
        <v>0.9090056285178244</v>
      </c>
      <c r="BJ146">
        <v>1.3370265796101191</v>
      </c>
      <c r="BK146">
        <v>0.33702657961011906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0.32012897695504816</v>
      </c>
      <c r="BU146">
        <v>0</v>
      </c>
      <c r="BV146">
        <v>0</v>
      </c>
      <c r="BW146">
        <v>0</v>
      </c>
      <c r="BX146">
        <v>0</v>
      </c>
      <c r="BY146">
        <v>0.9090056285178244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 hidden="1" x14ac:dyDescent="0.25">
      <c r="A147" t="s">
        <v>128</v>
      </c>
      <c r="B147" t="s">
        <v>291</v>
      </c>
      <c r="C147" s="14" t="s">
        <v>72</v>
      </c>
      <c r="D147" s="12">
        <v>46239</v>
      </c>
      <c r="E147" s="14" t="s">
        <v>133</v>
      </c>
      <c r="F147" s="14" t="s">
        <v>73</v>
      </c>
      <c r="G147">
        <v>12.575914710568108</v>
      </c>
      <c r="H147">
        <v>12.35</v>
      </c>
      <c r="I147">
        <v>20</v>
      </c>
      <c r="J147">
        <v>12.35</v>
      </c>
      <c r="K147">
        <v>46239</v>
      </c>
      <c r="L147" t="s">
        <v>468</v>
      </c>
      <c r="M147">
        <v>12.715073529411764</v>
      </c>
      <c r="N147">
        <v>0.98203592217604163</v>
      </c>
      <c r="O147">
        <v>0.98203592217604163</v>
      </c>
      <c r="P147">
        <v>1.0110655027523934</v>
      </c>
      <c r="Q147">
        <v>1.1065502752393375E-2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1.7964077823958369E-2</v>
      </c>
      <c r="AA147">
        <v>0</v>
      </c>
      <c r="AB147">
        <v>0</v>
      </c>
      <c r="AC147">
        <v>0</v>
      </c>
      <c r="AD147">
        <v>0</v>
      </c>
      <c r="AE147">
        <v>0.98203592217604163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1.0182926891148265</v>
      </c>
      <c r="AL147">
        <v>1.0182926891148265</v>
      </c>
      <c r="AM147">
        <v>1.0295606096689689</v>
      </c>
      <c r="AN147">
        <v>1.1267920554142385E-2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1.829268911482651E-2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0.97128813069249675</v>
      </c>
      <c r="BI147">
        <v>0.97128813069249675</v>
      </c>
      <c r="BJ147">
        <v>0.9890556025081757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1.0944397491824298E-2</v>
      </c>
      <c r="BV147">
        <v>0</v>
      </c>
      <c r="BW147">
        <v>0</v>
      </c>
      <c r="BX147">
        <v>0</v>
      </c>
      <c r="BY147">
        <v>0.97128813069249675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 hidden="1" x14ac:dyDescent="0.25">
      <c r="A148" t="s">
        <v>128</v>
      </c>
      <c r="B148" t="s">
        <v>421</v>
      </c>
      <c r="C148" s="14" t="s">
        <v>72</v>
      </c>
      <c r="D148" s="12">
        <v>46239</v>
      </c>
      <c r="E148" s="14" t="s">
        <v>133</v>
      </c>
      <c r="F148" s="14" t="s">
        <v>73</v>
      </c>
      <c r="G148">
        <v>9.9337595944147079</v>
      </c>
      <c r="H148">
        <v>8.5499999999999989</v>
      </c>
      <c r="I148">
        <v>20</v>
      </c>
      <c r="J148">
        <v>8.5499999999999989</v>
      </c>
      <c r="K148">
        <v>46239</v>
      </c>
      <c r="L148" t="s">
        <v>468</v>
      </c>
      <c r="M148">
        <v>14.030410224987424</v>
      </c>
      <c r="N148">
        <v>0.86070132045547665</v>
      </c>
      <c r="O148">
        <v>0.86070132045547665</v>
      </c>
      <c r="P148">
        <v>1.4123967961612514</v>
      </c>
      <c r="Q148">
        <v>0.41239679616125136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0.13929867954452335</v>
      </c>
      <c r="AA148">
        <v>0</v>
      </c>
      <c r="AB148">
        <v>0</v>
      </c>
      <c r="AC148">
        <v>0</v>
      </c>
      <c r="AD148">
        <v>0</v>
      </c>
      <c r="AE148">
        <v>0.86070132045547665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1.161843227416925</v>
      </c>
      <c r="AL148">
        <v>1.161843227416925</v>
      </c>
      <c r="AM148">
        <v>1.6409836520453129</v>
      </c>
      <c r="AN148">
        <v>0.47914042462838791</v>
      </c>
      <c r="AO148">
        <v>0</v>
      </c>
      <c r="AP148">
        <v>0</v>
      </c>
      <c r="AQ148">
        <v>0</v>
      </c>
      <c r="AR148">
        <v>0</v>
      </c>
      <c r="AS148">
        <v>0.33815677258307497</v>
      </c>
      <c r="AT148">
        <v>0.16184322741692503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0.60939059249835037</v>
      </c>
      <c r="BI148">
        <v>0.60939059249835037</v>
      </c>
      <c r="BJ148">
        <v>0.70801633274579556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0.29198366725420444</v>
      </c>
      <c r="BV148">
        <v>0</v>
      </c>
      <c r="BW148">
        <v>0</v>
      </c>
      <c r="BX148">
        <v>0</v>
      </c>
      <c r="BY148">
        <v>0.60939059249835037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 hidden="1" x14ac:dyDescent="0.25">
      <c r="A149" t="s">
        <v>128</v>
      </c>
      <c r="B149" t="s">
        <v>291</v>
      </c>
      <c r="C149" s="14" t="s">
        <v>72</v>
      </c>
      <c r="D149" s="12">
        <v>46239</v>
      </c>
      <c r="E149" s="14" t="s">
        <v>133</v>
      </c>
      <c r="F149" s="14" t="s">
        <v>74</v>
      </c>
      <c r="G149">
        <v>4.220105607573192</v>
      </c>
      <c r="H149">
        <v>19</v>
      </c>
      <c r="I149">
        <v>20</v>
      </c>
      <c r="J149">
        <v>19</v>
      </c>
      <c r="K149">
        <v>46239</v>
      </c>
      <c r="L149" t="s">
        <v>469</v>
      </c>
      <c r="M149">
        <v>5.6041666666666661</v>
      </c>
      <c r="N149">
        <v>4.5022569970532356</v>
      </c>
      <c r="O149">
        <v>4.5022569970532356</v>
      </c>
      <c r="P149">
        <v>1.327968346718553</v>
      </c>
      <c r="Q149">
        <v>0</v>
      </c>
      <c r="R149">
        <v>0</v>
      </c>
      <c r="S149">
        <v>3.1742886503346828</v>
      </c>
      <c r="T149">
        <v>0</v>
      </c>
      <c r="U149">
        <v>7.7968346718553017E-2</v>
      </c>
      <c r="V149">
        <v>0</v>
      </c>
      <c r="W149">
        <v>0.25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0.22211082145122063</v>
      </c>
      <c r="AL149">
        <v>0.22211082145122063</v>
      </c>
      <c r="AM149">
        <v>0.29495614035087714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0.70504385964912286</v>
      </c>
      <c r="AY149">
        <v>0</v>
      </c>
      <c r="AZ149">
        <v>0</v>
      </c>
      <c r="BA149">
        <v>0</v>
      </c>
      <c r="BB149">
        <v>0.22211082145122063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3.3903345724907066</v>
      </c>
      <c r="BI149">
        <v>3.3903345724907066</v>
      </c>
      <c r="BJ149">
        <v>0.75302999689038375</v>
      </c>
      <c r="CA149">
        <v>0</v>
      </c>
      <c r="CB149">
        <v>0</v>
      </c>
      <c r="CC149">
        <v>0</v>
      </c>
    </row>
    <row r="150" spans="1:82" hidden="1" x14ac:dyDescent="0.25">
      <c r="A150" t="s">
        <v>128</v>
      </c>
      <c r="B150" t="s">
        <v>421</v>
      </c>
      <c r="C150" s="14" t="s">
        <v>72</v>
      </c>
      <c r="D150" s="12">
        <v>46239</v>
      </c>
      <c r="E150" s="14" t="s">
        <v>133</v>
      </c>
      <c r="F150" s="14" t="s">
        <v>74</v>
      </c>
      <c r="G150">
        <v>4.440974877503046</v>
      </c>
      <c r="H150">
        <v>2.8499999999999996</v>
      </c>
      <c r="I150">
        <v>20</v>
      </c>
      <c r="J150">
        <v>2.8499999999999996</v>
      </c>
      <c r="K150">
        <v>46239</v>
      </c>
      <c r="L150" t="s">
        <v>469</v>
      </c>
      <c r="M150">
        <v>16.663198372297632</v>
      </c>
      <c r="N150">
        <v>0.64175098455013602</v>
      </c>
      <c r="O150">
        <v>0.64175098455013602</v>
      </c>
      <c r="P150">
        <v>3.7521487583074498</v>
      </c>
      <c r="Q150">
        <v>2.7521487583074498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0.35824901544986398</v>
      </c>
      <c r="AA150">
        <v>0</v>
      </c>
      <c r="AB150">
        <v>0</v>
      </c>
      <c r="AC150">
        <v>0</v>
      </c>
      <c r="AD150">
        <v>0</v>
      </c>
      <c r="AE150">
        <v>0.64175098455013602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1.5582367991238759</v>
      </c>
      <c r="AL150">
        <v>1.5582367991238759</v>
      </c>
      <c r="AM150">
        <v>5.8467362709816264</v>
      </c>
      <c r="BD150">
        <v>0</v>
      </c>
      <c r="BE150">
        <v>0</v>
      </c>
      <c r="BF150">
        <v>0</v>
      </c>
      <c r="BH150">
        <v>0.17103559210686051</v>
      </c>
      <c r="BI150">
        <v>0.17103559210686051</v>
      </c>
      <c r="BJ150">
        <v>0.26651395358085117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0.73348604641914883</v>
      </c>
      <c r="BV150">
        <v>0</v>
      </c>
      <c r="BW150">
        <v>0</v>
      </c>
      <c r="BX150">
        <v>0</v>
      </c>
      <c r="BY150">
        <v>0.17103559210686051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hidden="1" x14ac:dyDescent="0.25">
      <c r="A151" t="s">
        <v>128</v>
      </c>
      <c r="B151" t="s">
        <v>422</v>
      </c>
      <c r="C151" s="14" t="s">
        <v>72</v>
      </c>
      <c r="D151" s="12">
        <v>46239</v>
      </c>
      <c r="E151" s="14" t="s">
        <v>133</v>
      </c>
      <c r="F151" s="14" t="s">
        <v>74</v>
      </c>
      <c r="G151">
        <v>4.220105607573192</v>
      </c>
      <c r="H151">
        <v>2.8499999999999996</v>
      </c>
      <c r="I151">
        <v>20</v>
      </c>
      <c r="J151">
        <v>2.8499999999999996</v>
      </c>
      <c r="K151">
        <v>46239</v>
      </c>
      <c r="L151" t="s">
        <v>469</v>
      </c>
      <c r="M151">
        <v>2.4705882352941178</v>
      </c>
      <c r="N151">
        <v>0.67533854955798522</v>
      </c>
      <c r="O151">
        <v>0.67533854955798522</v>
      </c>
      <c r="P151">
        <v>0.58543279837843931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0.32466145044201478</v>
      </c>
      <c r="AB151">
        <v>0</v>
      </c>
      <c r="AC151">
        <v>8.9905751179545912E-2</v>
      </c>
      <c r="AD151">
        <v>0</v>
      </c>
      <c r="AE151">
        <v>0.58543279837843931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1.4807388096748044</v>
      </c>
      <c r="AL151">
        <v>1.4807388096748044</v>
      </c>
      <c r="AM151">
        <v>0.86687306501548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0.48073880967480442</v>
      </c>
      <c r="AW151">
        <v>0</v>
      </c>
      <c r="AX151">
        <v>0</v>
      </c>
      <c r="AY151">
        <v>0</v>
      </c>
      <c r="AZ151">
        <v>0.13312693498452</v>
      </c>
      <c r="BA151">
        <v>0</v>
      </c>
      <c r="BB151">
        <v>0.86687306501548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1.1535714285714285</v>
      </c>
      <c r="BI151">
        <v>1.1535714285714285</v>
      </c>
      <c r="BJ151">
        <v>1.7081379840177204</v>
      </c>
      <c r="BK151">
        <v>0.55456655544629196</v>
      </c>
      <c r="BL151">
        <v>0</v>
      </c>
      <c r="BM151">
        <v>0</v>
      </c>
      <c r="BN151">
        <v>0</v>
      </c>
      <c r="BO151">
        <v>0</v>
      </c>
      <c r="BP151">
        <v>0.34642857142857153</v>
      </c>
      <c r="BQ151">
        <v>0.15357142857142847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 hidden="1" x14ac:dyDescent="0.25">
      <c r="A152" t="s">
        <v>128</v>
      </c>
      <c r="B152" t="s">
        <v>422</v>
      </c>
      <c r="C152" s="14" t="s">
        <v>72</v>
      </c>
      <c r="D152" s="12">
        <v>46239</v>
      </c>
      <c r="E152" s="14" t="s">
        <v>133</v>
      </c>
      <c r="F152" s="14" t="s">
        <v>75</v>
      </c>
      <c r="G152">
        <v>10.803470355387372</v>
      </c>
      <c r="H152">
        <v>5.6999999999999993</v>
      </c>
      <c r="I152">
        <v>20</v>
      </c>
      <c r="J152">
        <v>5.6999999999999993</v>
      </c>
      <c r="K152">
        <v>46239</v>
      </c>
      <c r="L152" t="s">
        <v>470</v>
      </c>
      <c r="M152">
        <v>7.2926470588235279</v>
      </c>
      <c r="N152">
        <v>0.52760824184217592</v>
      </c>
      <c r="O152">
        <v>0.52760824184217592</v>
      </c>
      <c r="P152">
        <v>0.67502819176866624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0.14741994992649032</v>
      </c>
      <c r="AA152">
        <v>0.32497180823133376</v>
      </c>
      <c r="AB152">
        <v>0</v>
      </c>
      <c r="AC152">
        <v>0</v>
      </c>
      <c r="AD152">
        <v>0</v>
      </c>
      <c r="AE152">
        <v>0.52760824184217592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1.8953456763837497</v>
      </c>
      <c r="AL152">
        <v>1.8953456763837497</v>
      </c>
      <c r="AM152">
        <v>1.2794117647058822</v>
      </c>
      <c r="BD152">
        <v>0</v>
      </c>
      <c r="BE152">
        <v>0</v>
      </c>
      <c r="BF152">
        <v>0</v>
      </c>
      <c r="BH152">
        <v>0.7816091954022989</v>
      </c>
      <c r="BI152">
        <v>0.7816091954022989</v>
      </c>
      <c r="BJ152">
        <v>1.4814196091275287</v>
      </c>
      <c r="BK152">
        <v>0.48141960912752868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0.47239175815782408</v>
      </c>
      <c r="BU152">
        <v>0</v>
      </c>
      <c r="BV152">
        <v>0</v>
      </c>
      <c r="BW152">
        <v>0</v>
      </c>
      <c r="BX152">
        <v>0</v>
      </c>
      <c r="BY152">
        <v>0.7816091954022989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hidden="1" x14ac:dyDescent="0.25">
      <c r="A153" t="s">
        <v>128</v>
      </c>
      <c r="B153" t="s">
        <v>291</v>
      </c>
      <c r="C153" s="14" t="s">
        <v>72</v>
      </c>
      <c r="D153" s="12">
        <v>46239</v>
      </c>
      <c r="E153" s="14" t="s">
        <v>133</v>
      </c>
      <c r="F153" s="14" t="s">
        <v>75</v>
      </c>
      <c r="G153">
        <v>10.803470355387372</v>
      </c>
      <c r="H153">
        <v>4.75</v>
      </c>
      <c r="I153">
        <v>20</v>
      </c>
      <c r="J153">
        <v>4.75</v>
      </c>
      <c r="K153">
        <v>46239</v>
      </c>
      <c r="L153" t="s">
        <v>470</v>
      </c>
      <c r="M153">
        <v>12.055759803921568</v>
      </c>
      <c r="N153">
        <v>0.43967353486848004</v>
      </c>
      <c r="O153">
        <v>0.43967353486848004</v>
      </c>
      <c r="P153">
        <v>1.1159154796874799</v>
      </c>
      <c r="Q153">
        <v>0.11591547968747995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0.56032646513151996</v>
      </c>
      <c r="AA153">
        <v>0</v>
      </c>
      <c r="AB153">
        <v>0</v>
      </c>
      <c r="AC153">
        <v>0</v>
      </c>
      <c r="AD153">
        <v>0</v>
      </c>
      <c r="AE153">
        <v>0.43967353486848004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2.2744148116604994</v>
      </c>
      <c r="AL153">
        <v>2.2744148116604994</v>
      </c>
      <c r="AM153">
        <v>2.5380546955624355</v>
      </c>
      <c r="BD153">
        <v>0</v>
      </c>
      <c r="BE153">
        <v>0</v>
      </c>
      <c r="BF153">
        <v>0</v>
      </c>
      <c r="BH153">
        <v>0.39400254129606105</v>
      </c>
      <c r="BI153">
        <v>0.39400254129606105</v>
      </c>
      <c r="BJ153">
        <v>0.89612521575563875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0.10387478424436125</v>
      </c>
      <c r="BV153">
        <v>0</v>
      </c>
      <c r="BW153">
        <v>0</v>
      </c>
      <c r="BX153">
        <v>0</v>
      </c>
      <c r="BY153">
        <v>0.39400254129606105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 hidden="1" x14ac:dyDescent="0.25">
      <c r="A154" t="s">
        <v>128</v>
      </c>
      <c r="B154" t="s">
        <v>421</v>
      </c>
      <c r="C154" s="14" t="s">
        <v>72</v>
      </c>
      <c r="D154" s="12">
        <v>46239</v>
      </c>
      <c r="E154" s="14" t="s">
        <v>133</v>
      </c>
      <c r="F154" s="14" t="s">
        <v>75</v>
      </c>
      <c r="G154">
        <v>8.0638754354660556</v>
      </c>
      <c r="H154">
        <v>5.6999999999999993</v>
      </c>
      <c r="I154">
        <v>20</v>
      </c>
      <c r="J154">
        <v>5.6999999999999993</v>
      </c>
      <c r="K154">
        <v>46239</v>
      </c>
      <c r="L154" t="s">
        <v>470</v>
      </c>
      <c r="M154">
        <v>15.087403374811467</v>
      </c>
      <c r="N154">
        <v>0.70685615689580217</v>
      </c>
      <c r="O154">
        <v>0.70685615689580217</v>
      </c>
      <c r="P154">
        <v>1.870986660887016</v>
      </c>
      <c r="Q154">
        <v>0.87098666088701604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0.29314384310419783</v>
      </c>
      <c r="AA154">
        <v>0</v>
      </c>
      <c r="AB154">
        <v>0</v>
      </c>
      <c r="AC154">
        <v>0</v>
      </c>
      <c r="AD154">
        <v>0</v>
      </c>
      <c r="AE154">
        <v>0.70685615689580217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1.4147149886782555</v>
      </c>
      <c r="AL154">
        <v>1.4147149886782555</v>
      </c>
      <c r="AM154">
        <v>2.6469128727739419</v>
      </c>
      <c r="AN154">
        <v>1.2321978840956864</v>
      </c>
      <c r="AO154">
        <v>0</v>
      </c>
      <c r="AP154">
        <v>0</v>
      </c>
      <c r="AQ154">
        <v>0</v>
      </c>
      <c r="AR154">
        <v>0</v>
      </c>
      <c r="AS154">
        <v>8.5285011321744486E-2</v>
      </c>
      <c r="AT154">
        <v>0.41471498867825551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0.37779860844154217</v>
      </c>
      <c r="BI154">
        <v>0.37779860844154217</v>
      </c>
      <c r="BJ154">
        <v>0.53447735406403707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0.46552264593596293</v>
      </c>
      <c r="BV154">
        <v>0</v>
      </c>
      <c r="BW154">
        <v>0</v>
      </c>
      <c r="BX154">
        <v>0</v>
      </c>
      <c r="BY154">
        <v>0.37779860844154217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 hidden="1" x14ac:dyDescent="0.25">
      <c r="A155" t="s">
        <v>128</v>
      </c>
      <c r="B155" t="s">
        <v>421</v>
      </c>
      <c r="C155" s="14" t="s">
        <v>72</v>
      </c>
      <c r="D155" s="12">
        <v>46240</v>
      </c>
      <c r="E155" s="14" t="s">
        <v>133</v>
      </c>
      <c r="F155" s="14" t="s">
        <v>73</v>
      </c>
      <c r="G155">
        <v>9.9337595944147079</v>
      </c>
      <c r="H155">
        <v>24.7</v>
      </c>
      <c r="I155">
        <v>20</v>
      </c>
      <c r="J155">
        <v>24.7</v>
      </c>
      <c r="K155">
        <v>46240</v>
      </c>
      <c r="L155" t="s">
        <v>471</v>
      </c>
      <c r="M155">
        <v>14.412468184389139</v>
      </c>
      <c r="N155">
        <v>2.4864704813158216</v>
      </c>
      <c r="O155">
        <v>2.4864704813158216</v>
      </c>
      <c r="P155">
        <v>1.4508573564124303</v>
      </c>
      <c r="Q155">
        <v>0</v>
      </c>
      <c r="R155">
        <v>0</v>
      </c>
      <c r="S155">
        <v>1.0356131249033913</v>
      </c>
      <c r="T155">
        <v>0</v>
      </c>
      <c r="U155">
        <v>0.2008573564124303</v>
      </c>
      <c r="V155">
        <v>0</v>
      </c>
      <c r="W155">
        <v>0.25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0.40217650179816633</v>
      </c>
      <c r="AL155">
        <v>0.40217650179816633</v>
      </c>
      <c r="AM155">
        <v>0.58350073621008658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0.41649926378991342</v>
      </c>
      <c r="AY155">
        <v>0</v>
      </c>
      <c r="AZ155">
        <v>0</v>
      </c>
      <c r="BA155">
        <v>0</v>
      </c>
      <c r="BB155">
        <v>0.40217650179816633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1.7137938959514094</v>
      </c>
      <c r="BI155">
        <v>1.7137938959514094</v>
      </c>
      <c r="BJ155">
        <v>0.68924763387678845</v>
      </c>
      <c r="CA155">
        <v>0</v>
      </c>
      <c r="CB155">
        <v>0</v>
      </c>
      <c r="CC155">
        <v>0</v>
      </c>
    </row>
    <row r="156" spans="1:82" hidden="1" x14ac:dyDescent="0.25">
      <c r="A156" t="s">
        <v>128</v>
      </c>
      <c r="B156" t="s">
        <v>422</v>
      </c>
      <c r="C156" s="14" t="s">
        <v>72</v>
      </c>
      <c r="D156" s="12">
        <v>46240</v>
      </c>
      <c r="E156" s="14" t="s">
        <v>133</v>
      </c>
      <c r="F156" s="14" t="s">
        <v>73</v>
      </c>
      <c r="G156">
        <v>11.731893589053469</v>
      </c>
      <c r="H156">
        <v>15.2</v>
      </c>
      <c r="I156">
        <v>20</v>
      </c>
      <c r="J156">
        <v>15.2</v>
      </c>
      <c r="K156">
        <v>46240</v>
      </c>
      <c r="L156" t="s">
        <v>471</v>
      </c>
      <c r="M156">
        <v>9.9284313725490154</v>
      </c>
      <c r="N156">
        <v>1.2956135243318669</v>
      </c>
      <c r="O156">
        <v>1.2956135243318669</v>
      </c>
      <c r="P156">
        <v>0.84627697116284906</v>
      </c>
      <c r="Q156">
        <v>0</v>
      </c>
      <c r="R156">
        <v>0</v>
      </c>
      <c r="S156">
        <v>4.5613524331866939E-2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0.25</v>
      </c>
      <c r="Z156">
        <v>0</v>
      </c>
      <c r="AA156">
        <v>0</v>
      </c>
      <c r="AB156">
        <v>0</v>
      </c>
      <c r="AC156">
        <v>0.15372302883715094</v>
      </c>
      <c r="AD156">
        <v>0</v>
      </c>
      <c r="AE156">
        <v>0.84627697116284906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0.77183510454299142</v>
      </c>
      <c r="AL156">
        <v>0.77183510454299142</v>
      </c>
      <c r="AM156">
        <v>0.65318627450980371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0.22816489545700858</v>
      </c>
      <c r="AY156">
        <v>0</v>
      </c>
      <c r="AZ156">
        <v>0.11864883003318771</v>
      </c>
      <c r="BA156">
        <v>0</v>
      </c>
      <c r="BB156">
        <v>0.65318627450980371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1.5309568480300193</v>
      </c>
      <c r="BI156">
        <v>1.5309568480300193</v>
      </c>
      <c r="BJ156">
        <v>1.1816462388500586</v>
      </c>
      <c r="CA156">
        <v>0</v>
      </c>
      <c r="CB156">
        <v>0</v>
      </c>
      <c r="CC156">
        <v>0</v>
      </c>
    </row>
    <row r="157" spans="1:82" hidden="1" x14ac:dyDescent="0.25">
      <c r="A157" t="s">
        <v>128</v>
      </c>
      <c r="B157" t="s">
        <v>291</v>
      </c>
      <c r="C157" s="14" t="s">
        <v>72</v>
      </c>
      <c r="D157" s="12">
        <v>46240</v>
      </c>
      <c r="E157" s="14" t="s">
        <v>133</v>
      </c>
      <c r="F157" s="14" t="s">
        <v>73</v>
      </c>
      <c r="G157">
        <v>11.731893589053469</v>
      </c>
      <c r="H157">
        <v>20.9</v>
      </c>
      <c r="I157">
        <v>20</v>
      </c>
      <c r="J157">
        <v>20.9</v>
      </c>
      <c r="K157">
        <v>46240</v>
      </c>
      <c r="L157" t="s">
        <v>471</v>
      </c>
      <c r="M157">
        <v>12.166666666666666</v>
      </c>
      <c r="N157">
        <v>1.781468595956317</v>
      </c>
      <c r="O157">
        <v>1.781468595956317</v>
      </c>
      <c r="P157">
        <v>1.0370590710112531</v>
      </c>
      <c r="Q157">
        <v>0</v>
      </c>
      <c r="R157">
        <v>0</v>
      </c>
      <c r="S157">
        <v>0.53146859595631701</v>
      </c>
      <c r="T157">
        <v>0</v>
      </c>
      <c r="U157">
        <v>0</v>
      </c>
      <c r="V157">
        <v>0</v>
      </c>
      <c r="W157">
        <v>3.7059071011253053E-2</v>
      </c>
      <c r="X157">
        <v>0</v>
      </c>
      <c r="Y157">
        <v>0.21294092898874695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0.56133462148581192</v>
      </c>
      <c r="AL157">
        <v>0.56133462148581192</v>
      </c>
      <c r="AM157">
        <v>0.58213716108452951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0.41786283891547049</v>
      </c>
      <c r="AY157">
        <v>0</v>
      </c>
      <c r="AZ157">
        <v>0</v>
      </c>
      <c r="BA157">
        <v>0</v>
      </c>
      <c r="BB157">
        <v>0.56133462148581192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1.7178082191780821</v>
      </c>
      <c r="BI157">
        <v>1.7178082191780821</v>
      </c>
      <c r="BJ157">
        <v>0.96426522649754542</v>
      </c>
      <c r="CA157">
        <v>0</v>
      </c>
      <c r="CB157">
        <v>0</v>
      </c>
      <c r="CC157">
        <v>0</v>
      </c>
    </row>
    <row r="158" spans="1:82" hidden="1" x14ac:dyDescent="0.25">
      <c r="A158" t="s">
        <v>128</v>
      </c>
      <c r="B158" t="s">
        <v>422</v>
      </c>
      <c r="C158" s="14" t="s">
        <v>72</v>
      </c>
      <c r="D158" s="12">
        <v>46240</v>
      </c>
      <c r="E158" s="14" t="s">
        <v>133</v>
      </c>
      <c r="F158" s="14" t="s">
        <v>74</v>
      </c>
      <c r="G158">
        <v>4.220105607573192</v>
      </c>
      <c r="H158">
        <v>2.8499999999999996</v>
      </c>
      <c r="I158">
        <v>20</v>
      </c>
      <c r="J158">
        <v>2.8499999999999996</v>
      </c>
      <c r="K158">
        <v>46240</v>
      </c>
      <c r="L158" t="s">
        <v>472</v>
      </c>
      <c r="M158">
        <v>3.0882352941176467</v>
      </c>
      <c r="N158">
        <v>0.67533854955798522</v>
      </c>
      <c r="O158">
        <v>0.67533854955798522</v>
      </c>
      <c r="P158">
        <v>0.73179099797304903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5.6452448415063805E-2</v>
      </c>
      <c r="AA158">
        <v>0.26820900202695097</v>
      </c>
      <c r="AB158">
        <v>0</v>
      </c>
      <c r="AC158">
        <v>0</v>
      </c>
      <c r="AD158">
        <v>0</v>
      </c>
      <c r="AE158">
        <v>0.67533854955798522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1.4807388096748044</v>
      </c>
      <c r="AL158">
        <v>1.4807388096748044</v>
      </c>
      <c r="AM158">
        <v>1.0835913312693499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8.3591331269349922E-2</v>
      </c>
      <c r="AU158">
        <v>0</v>
      </c>
      <c r="AV158">
        <v>0.3971474784054545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0.92285714285714282</v>
      </c>
      <c r="BI158">
        <v>0.92285714285714282</v>
      </c>
      <c r="BJ158">
        <v>1.3665103872141766</v>
      </c>
      <c r="BK158">
        <v>0.36651038721417661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0.32466145044201478</v>
      </c>
      <c r="BU158">
        <v>0</v>
      </c>
      <c r="BV158">
        <v>0</v>
      </c>
      <c r="BW158">
        <v>0</v>
      </c>
      <c r="BX158">
        <v>0</v>
      </c>
      <c r="BY158">
        <v>0.92285714285714282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 hidden="1" x14ac:dyDescent="0.25">
      <c r="A159" t="s">
        <v>128</v>
      </c>
      <c r="B159" t="s">
        <v>421</v>
      </c>
      <c r="C159" s="14" t="s">
        <v>72</v>
      </c>
      <c r="D159" s="12">
        <v>46240</v>
      </c>
      <c r="E159" s="14" t="s">
        <v>133</v>
      </c>
      <c r="F159" s="14" t="s">
        <v>74</v>
      </c>
      <c r="G159">
        <v>4.440974877503046</v>
      </c>
      <c r="H159">
        <v>2.8499999999999996</v>
      </c>
      <c r="I159">
        <v>20</v>
      </c>
      <c r="J159">
        <v>2.8499999999999996</v>
      </c>
      <c r="K159">
        <v>46240</v>
      </c>
      <c r="L159" t="s">
        <v>472</v>
      </c>
      <c r="M159">
        <v>15.745997517596781</v>
      </c>
      <c r="N159">
        <v>0.64175098455013602</v>
      </c>
      <c r="O159">
        <v>0.64175098455013602</v>
      </c>
      <c r="P159">
        <v>3.5456173367163979</v>
      </c>
      <c r="Q159">
        <v>2.5456173367163979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0.35824901544986398</v>
      </c>
      <c r="AA159">
        <v>0</v>
      </c>
      <c r="AB159">
        <v>0</v>
      </c>
      <c r="AC159">
        <v>0</v>
      </c>
      <c r="AD159">
        <v>0</v>
      </c>
      <c r="AE159">
        <v>0.64175098455013602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1.5582367991238759</v>
      </c>
      <c r="AL159">
        <v>1.5582367991238759</v>
      </c>
      <c r="AM159">
        <v>5.5249114096830816</v>
      </c>
      <c r="BD159">
        <v>0</v>
      </c>
      <c r="BE159">
        <v>0</v>
      </c>
      <c r="BF159">
        <v>0</v>
      </c>
      <c r="BH159">
        <v>0.18099837732192012</v>
      </c>
      <c r="BI159">
        <v>0.18099837732192012</v>
      </c>
      <c r="BJ159">
        <v>0.28203833212472434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0.7179616678752756</v>
      </c>
      <c r="BV159">
        <v>0</v>
      </c>
      <c r="BW159">
        <v>0</v>
      </c>
      <c r="BX159">
        <v>0</v>
      </c>
      <c r="BY159">
        <v>0.18099837732192012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 hidden="1" x14ac:dyDescent="0.25">
      <c r="A160" t="s">
        <v>128</v>
      </c>
      <c r="B160" t="s">
        <v>291</v>
      </c>
      <c r="C160" s="14" t="s">
        <v>72</v>
      </c>
      <c r="D160" s="12">
        <v>46240</v>
      </c>
      <c r="E160" s="14" t="s">
        <v>133</v>
      </c>
      <c r="F160" s="14" t="s">
        <v>74</v>
      </c>
      <c r="G160">
        <v>4.220105607573192</v>
      </c>
      <c r="H160">
        <v>19.95</v>
      </c>
      <c r="I160">
        <v>20</v>
      </c>
      <c r="J160">
        <v>19.95</v>
      </c>
      <c r="K160">
        <v>46240</v>
      </c>
      <c r="L160" t="s">
        <v>472</v>
      </c>
      <c r="M160">
        <v>5.6041666666666661</v>
      </c>
      <c r="N160">
        <v>4.7273698469058969</v>
      </c>
      <c r="O160">
        <v>4.7273698469058969</v>
      </c>
      <c r="P160">
        <v>1.327968346718553</v>
      </c>
      <c r="Q160">
        <v>0</v>
      </c>
      <c r="R160">
        <v>0</v>
      </c>
      <c r="S160">
        <v>3.3994015001873441</v>
      </c>
      <c r="T160">
        <v>0</v>
      </c>
      <c r="U160">
        <v>7.7968346718553017E-2</v>
      </c>
      <c r="V160">
        <v>0</v>
      </c>
      <c r="W160">
        <v>0.25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0.21153411566782918</v>
      </c>
      <c r="AL160">
        <v>0.21153411566782918</v>
      </c>
      <c r="AM160">
        <v>0.28091060985797828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0.71908939014202167</v>
      </c>
      <c r="AY160">
        <v>0</v>
      </c>
      <c r="AZ160">
        <v>0</v>
      </c>
      <c r="BA160">
        <v>0</v>
      </c>
      <c r="BB160">
        <v>0.21153411566782918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3.5598513011152417</v>
      </c>
      <c r="BI160">
        <v>3.5598513011152417</v>
      </c>
      <c r="BJ160">
        <v>0.75302999689038375</v>
      </c>
      <c r="CA160">
        <v>0</v>
      </c>
      <c r="CB160">
        <v>0</v>
      </c>
      <c r="CC160">
        <v>0</v>
      </c>
    </row>
    <row r="161" spans="1:82" hidden="1" x14ac:dyDescent="0.25">
      <c r="A161" t="s">
        <v>128</v>
      </c>
      <c r="B161" t="s">
        <v>421</v>
      </c>
      <c r="C161" s="14" t="s">
        <v>72</v>
      </c>
      <c r="D161" s="12">
        <v>46240</v>
      </c>
      <c r="E161" s="14" t="s">
        <v>133</v>
      </c>
      <c r="F161" s="14" t="s">
        <v>75</v>
      </c>
      <c r="G161">
        <v>8.005441555498912</v>
      </c>
      <c r="H161">
        <v>4.75</v>
      </c>
      <c r="I161">
        <v>20</v>
      </c>
      <c r="J161">
        <v>4.75</v>
      </c>
      <c r="K161">
        <v>46240</v>
      </c>
      <c r="L161" t="s">
        <v>473</v>
      </c>
      <c r="M161">
        <v>14.166951043237813</v>
      </c>
      <c r="N161">
        <v>0.59334640907311853</v>
      </c>
      <c r="O161">
        <v>0.59334640907311853</v>
      </c>
      <c r="P161">
        <v>1.7696651640041741</v>
      </c>
      <c r="Q161">
        <v>0.76966516400417406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0.40665359092688147</v>
      </c>
      <c r="AA161">
        <v>0</v>
      </c>
      <c r="AB161">
        <v>0</v>
      </c>
      <c r="AC161">
        <v>0</v>
      </c>
      <c r="AD161">
        <v>0</v>
      </c>
      <c r="AE161">
        <v>0.59334640907311853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1.6853561169471394</v>
      </c>
      <c r="AL161">
        <v>1.6853561169471394</v>
      </c>
      <c r="AM161">
        <v>2.9825160091026972</v>
      </c>
      <c r="BD161">
        <v>0</v>
      </c>
      <c r="BE161">
        <v>0</v>
      </c>
      <c r="BF161">
        <v>0</v>
      </c>
      <c r="BH161">
        <v>0.33528738720864543</v>
      </c>
      <c r="BI161">
        <v>0.33528738720864543</v>
      </c>
      <c r="BJ161">
        <v>0.56507864896731463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0.43492135103268537</v>
      </c>
      <c r="BV161">
        <v>0</v>
      </c>
      <c r="BW161">
        <v>0</v>
      </c>
      <c r="BX161">
        <v>0</v>
      </c>
      <c r="BY161">
        <v>0.33528738720864543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 hidden="1" x14ac:dyDescent="0.25">
      <c r="A162" t="s">
        <v>128</v>
      </c>
      <c r="B162" t="s">
        <v>291</v>
      </c>
      <c r="C162" s="14" t="s">
        <v>72</v>
      </c>
      <c r="D162" s="12">
        <v>46240</v>
      </c>
      <c r="E162" s="14" t="s">
        <v>133</v>
      </c>
      <c r="F162" s="14" t="s">
        <v>75</v>
      </c>
      <c r="G162">
        <v>10.972274579690296</v>
      </c>
      <c r="H162">
        <v>1.9</v>
      </c>
      <c r="I162">
        <v>20</v>
      </c>
      <c r="J162">
        <v>1.9</v>
      </c>
      <c r="K162">
        <v>46240</v>
      </c>
      <c r="L162" t="s">
        <v>473</v>
      </c>
      <c r="M162">
        <v>13.104166666666666</v>
      </c>
      <c r="N162">
        <v>0.17316373065589372</v>
      </c>
      <c r="O162">
        <v>0.17316373065589372</v>
      </c>
      <c r="P162">
        <v>1.1942980984929512</v>
      </c>
      <c r="Q162">
        <v>0.19429809849295121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0.82683626934410626</v>
      </c>
      <c r="AA162">
        <v>0</v>
      </c>
      <c r="AB162">
        <v>0</v>
      </c>
      <c r="AC162">
        <v>0</v>
      </c>
      <c r="AD162">
        <v>0</v>
      </c>
      <c r="AE162">
        <v>0.17316373065589372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5.7748813577317355</v>
      </c>
      <c r="AL162">
        <v>5.7748813577317355</v>
      </c>
      <c r="AM162">
        <v>6.8969298245614032</v>
      </c>
      <c r="BD162">
        <v>0</v>
      </c>
      <c r="BE162">
        <v>0</v>
      </c>
      <c r="BF162">
        <v>0</v>
      </c>
      <c r="BH162">
        <v>0.14499205087440381</v>
      </c>
      <c r="BI162">
        <v>0.14499205087440381</v>
      </c>
      <c r="BJ162">
        <v>0.83731189161388597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0.16268810838611403</v>
      </c>
      <c r="BV162">
        <v>0</v>
      </c>
      <c r="BW162">
        <v>0</v>
      </c>
      <c r="BX162">
        <v>0</v>
      </c>
      <c r="BY162">
        <v>0.14499205087440381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hidden="1" x14ac:dyDescent="0.25">
      <c r="A163" t="s">
        <v>128</v>
      </c>
      <c r="B163" t="s">
        <v>422</v>
      </c>
      <c r="C163" s="14" t="s">
        <v>72</v>
      </c>
      <c r="D163" s="12">
        <v>46240</v>
      </c>
      <c r="E163" s="14" t="s">
        <v>133</v>
      </c>
      <c r="F163" s="14" t="s">
        <v>75</v>
      </c>
      <c r="G163">
        <v>10.972274579690296</v>
      </c>
      <c r="H163">
        <v>4.75</v>
      </c>
      <c r="I163">
        <v>20</v>
      </c>
      <c r="J163">
        <v>4.75</v>
      </c>
      <c r="K163">
        <v>46240</v>
      </c>
      <c r="L163" t="s">
        <v>473</v>
      </c>
      <c r="M163">
        <v>5.5862745098039195</v>
      </c>
      <c r="N163">
        <v>0.4329093266397343</v>
      </c>
      <c r="O163">
        <v>0.4329093266397343</v>
      </c>
      <c r="P163">
        <v>0.50912638662398457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7.6217059984250268E-2</v>
      </c>
      <c r="AA163">
        <v>0.49087361337601543</v>
      </c>
      <c r="AB163">
        <v>0</v>
      </c>
      <c r="AC163">
        <v>0</v>
      </c>
      <c r="AD163">
        <v>0</v>
      </c>
      <c r="AE163">
        <v>0.4329093266397343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2.3099525430926939</v>
      </c>
      <c r="AL163">
        <v>2.3099525430926939</v>
      </c>
      <c r="AM163">
        <v>1.1760577915376673</v>
      </c>
      <c r="BD163">
        <v>0</v>
      </c>
      <c r="BE163">
        <v>0</v>
      </c>
      <c r="BF163">
        <v>0</v>
      </c>
      <c r="BH163">
        <v>0.85029835029835066</v>
      </c>
      <c r="BI163">
        <v>0.85029835029835066</v>
      </c>
      <c r="BJ163">
        <v>1.9641488366591973</v>
      </c>
      <c r="BK163">
        <v>0.96414883665919726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0.56709067336026564</v>
      </c>
      <c r="BU163">
        <v>0</v>
      </c>
      <c r="BV163">
        <v>0</v>
      </c>
      <c r="BW163">
        <v>0</v>
      </c>
      <c r="BX163">
        <v>0</v>
      </c>
      <c r="BY163">
        <v>0.85029835029835066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 hidden="1" x14ac:dyDescent="0.25">
      <c r="A164" t="s">
        <v>128</v>
      </c>
      <c r="B164" t="s">
        <v>422</v>
      </c>
      <c r="C164" s="14" t="s">
        <v>72</v>
      </c>
      <c r="D164" s="12">
        <v>46241</v>
      </c>
      <c r="E164" s="14" t="s">
        <v>133</v>
      </c>
      <c r="F164" s="14" t="s">
        <v>73</v>
      </c>
      <c r="G164">
        <v>10.972274579690296</v>
      </c>
      <c r="H164">
        <v>8.5499999999999989</v>
      </c>
      <c r="I164">
        <v>20</v>
      </c>
      <c r="J164">
        <v>8.5499999999999989</v>
      </c>
      <c r="K164">
        <v>46241</v>
      </c>
      <c r="L164" t="s">
        <v>474</v>
      </c>
      <c r="M164">
        <v>9.2588235294117602</v>
      </c>
      <c r="N164">
        <v>0.77923678795152163</v>
      </c>
      <c r="O164">
        <v>0.77923678795152163</v>
      </c>
      <c r="P164">
        <v>0.84383811780921547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6.4601329857693846E-2</v>
      </c>
      <c r="AA164">
        <v>0.15616188219078453</v>
      </c>
      <c r="AB164">
        <v>0</v>
      </c>
      <c r="AC164">
        <v>0</v>
      </c>
      <c r="AD164">
        <v>0</v>
      </c>
      <c r="AE164">
        <v>0.77923678795152163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1.2833069683848302</v>
      </c>
      <c r="AL164">
        <v>1.2833069683848302</v>
      </c>
      <c r="AM164">
        <v>1.0829033367733054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8.2903336773305414E-2</v>
      </c>
      <c r="AU164">
        <v>0</v>
      </c>
      <c r="AV164">
        <v>0.20040363161152475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0.92344345616264323</v>
      </c>
      <c r="BI164">
        <v>0.92344345616264323</v>
      </c>
      <c r="BJ164">
        <v>1.1850614222028915</v>
      </c>
      <c r="BK164">
        <v>0.18506142220289146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0.22076321204847837</v>
      </c>
      <c r="BU164">
        <v>0</v>
      </c>
      <c r="BV164">
        <v>0</v>
      </c>
      <c r="BW164">
        <v>0</v>
      </c>
      <c r="BX164">
        <v>0</v>
      </c>
      <c r="BY164">
        <v>0.92344345616264323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 hidden="1" x14ac:dyDescent="0.25">
      <c r="A165" t="s">
        <v>128</v>
      </c>
      <c r="B165" t="s">
        <v>291</v>
      </c>
      <c r="C165" s="14" t="s">
        <v>72</v>
      </c>
      <c r="D165" s="12">
        <v>46241</v>
      </c>
      <c r="E165" s="14" t="s">
        <v>133</v>
      </c>
      <c r="F165" s="14" t="s">
        <v>73</v>
      </c>
      <c r="G165">
        <v>10.972274579690296</v>
      </c>
      <c r="H165">
        <v>11.4</v>
      </c>
      <c r="I165">
        <v>20</v>
      </c>
      <c r="J165">
        <v>11.4</v>
      </c>
      <c r="K165">
        <v>46241</v>
      </c>
      <c r="L165" t="s">
        <v>474</v>
      </c>
      <c r="M165">
        <v>13.162990196078432</v>
      </c>
      <c r="N165">
        <v>1.0389823839353622</v>
      </c>
      <c r="O165">
        <v>1.0389823839353622</v>
      </c>
      <c r="P165">
        <v>1.1996592047052081</v>
      </c>
      <c r="Q165">
        <v>0.16067682076984591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3.8982383935362241E-2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0.96248022628862262</v>
      </c>
      <c r="AL165">
        <v>0.96248022628862262</v>
      </c>
      <c r="AM165">
        <v>1.1546482628138977</v>
      </c>
      <c r="AN165">
        <v>0.15464826281389765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0.96248022628862262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0.86606461223349762</v>
      </c>
      <c r="BI165">
        <v>0.86606461223349762</v>
      </c>
      <c r="BJ165">
        <v>0.83357006396306499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0.13393538776650238</v>
      </c>
      <c r="BV165">
        <v>0</v>
      </c>
      <c r="BW165">
        <v>3.2494548270432633E-2</v>
      </c>
      <c r="BX165">
        <v>0</v>
      </c>
      <c r="BY165">
        <v>0.83357006396306499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 hidden="1" x14ac:dyDescent="0.25">
      <c r="A166" t="s">
        <v>128</v>
      </c>
      <c r="B166" t="s">
        <v>421</v>
      </c>
      <c r="C166" s="14" t="s">
        <v>72</v>
      </c>
      <c r="D166" s="12">
        <v>46241</v>
      </c>
      <c r="E166" s="14" t="s">
        <v>133</v>
      </c>
      <c r="F166" s="14" t="s">
        <v>73</v>
      </c>
      <c r="G166">
        <v>9.9337595944147079</v>
      </c>
      <c r="H166">
        <v>8.5499999999999989</v>
      </c>
      <c r="I166">
        <v>20</v>
      </c>
      <c r="J166">
        <v>8.5499999999999989</v>
      </c>
      <c r="K166">
        <v>46241</v>
      </c>
      <c r="L166" t="s">
        <v>474</v>
      </c>
      <c r="M166">
        <v>13.489513024761193</v>
      </c>
      <c r="N166">
        <v>0.86070132045547665</v>
      </c>
      <c r="O166">
        <v>0.86070132045547665</v>
      </c>
      <c r="P166">
        <v>1.357946394469393</v>
      </c>
      <c r="Q166">
        <v>0.35794639446939303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0.13929867954452335</v>
      </c>
      <c r="AA166">
        <v>0</v>
      </c>
      <c r="AB166">
        <v>0</v>
      </c>
      <c r="AC166">
        <v>0</v>
      </c>
      <c r="AD166">
        <v>0</v>
      </c>
      <c r="AE166">
        <v>0.86070132045547665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1.161843227416925</v>
      </c>
      <c r="AL166">
        <v>1.161843227416925</v>
      </c>
      <c r="AM166">
        <v>1.5777208216094964</v>
      </c>
      <c r="AN166">
        <v>0.41587759419257142</v>
      </c>
      <c r="AO166">
        <v>0</v>
      </c>
      <c r="AP166">
        <v>0</v>
      </c>
      <c r="AQ166">
        <v>0</v>
      </c>
      <c r="AR166">
        <v>0</v>
      </c>
      <c r="AS166">
        <v>0.33815677258307497</v>
      </c>
      <c r="AT166">
        <v>0.16184322741692503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0.63382569736251548</v>
      </c>
      <c r="BI166">
        <v>0.63382569736251548</v>
      </c>
      <c r="BJ166">
        <v>0.73640609384344824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0.26359390615655176</v>
      </c>
      <c r="BV166">
        <v>0</v>
      </c>
      <c r="BW166">
        <v>0</v>
      </c>
      <c r="BX166">
        <v>0</v>
      </c>
      <c r="BY166">
        <v>0.63382569736251548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 hidden="1" x14ac:dyDescent="0.25">
      <c r="A167" t="s">
        <v>128</v>
      </c>
      <c r="B167" t="s">
        <v>422</v>
      </c>
      <c r="C167" s="14" t="s">
        <v>72</v>
      </c>
      <c r="D167" s="12">
        <v>46241</v>
      </c>
      <c r="E167" s="14" t="s">
        <v>133</v>
      </c>
      <c r="F167" s="14" t="s">
        <v>74</v>
      </c>
      <c r="G167">
        <v>4.220105607573192</v>
      </c>
      <c r="H167">
        <v>3.8</v>
      </c>
      <c r="I167">
        <v>20</v>
      </c>
      <c r="J167">
        <v>3.8</v>
      </c>
      <c r="K167">
        <v>46241</v>
      </c>
      <c r="L167" t="s">
        <v>475</v>
      </c>
      <c r="M167">
        <v>3.0882352941176467</v>
      </c>
      <c r="N167">
        <v>0.90045139941064711</v>
      </c>
      <c r="O167">
        <v>0.90045139941064711</v>
      </c>
      <c r="P167">
        <v>0.73179099797304903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9.9548600589352887E-2</v>
      </c>
      <c r="AB167">
        <v>0</v>
      </c>
      <c r="AC167">
        <v>0.16866040143759808</v>
      </c>
      <c r="AD167">
        <v>0</v>
      </c>
      <c r="AE167">
        <v>0.73179099797304903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1.1105541072561032</v>
      </c>
      <c r="AL167">
        <v>1.1105541072561032</v>
      </c>
      <c r="AM167">
        <v>0.81269349845201233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0.11055410725610315</v>
      </c>
      <c r="AW167">
        <v>0</v>
      </c>
      <c r="AX167">
        <v>0</v>
      </c>
      <c r="AY167">
        <v>0</v>
      </c>
      <c r="AZ167">
        <v>0.18730650154798767</v>
      </c>
      <c r="BA167">
        <v>0</v>
      </c>
      <c r="BB167">
        <v>0.81269349845201233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1.2304761904761905</v>
      </c>
      <c r="BI167">
        <v>1.2304761904761905</v>
      </c>
      <c r="BJ167">
        <v>1.3665103872141766</v>
      </c>
      <c r="BK167">
        <v>0.13603419673798611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0.2304761904761905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 hidden="1" x14ac:dyDescent="0.25">
      <c r="A168" t="s">
        <v>128</v>
      </c>
      <c r="B168" t="s">
        <v>291</v>
      </c>
      <c r="C168" s="14" t="s">
        <v>72</v>
      </c>
      <c r="D168" s="12">
        <v>46241</v>
      </c>
      <c r="E168" s="14" t="s">
        <v>133</v>
      </c>
      <c r="F168" s="14" t="s">
        <v>74</v>
      </c>
      <c r="G168">
        <v>4.220105607573192</v>
      </c>
      <c r="H168">
        <v>31.35</v>
      </c>
      <c r="I168">
        <v>20</v>
      </c>
      <c r="J168">
        <v>31.35</v>
      </c>
      <c r="K168">
        <v>46241</v>
      </c>
      <c r="L168" t="s">
        <v>475</v>
      </c>
      <c r="M168">
        <v>5.6041666666666661</v>
      </c>
      <c r="N168">
        <v>7.4287240451378382</v>
      </c>
      <c r="O168">
        <v>7.4287240451378382</v>
      </c>
      <c r="P168">
        <v>1.327968346718553</v>
      </c>
      <c r="Q168">
        <v>0</v>
      </c>
      <c r="R168">
        <v>0</v>
      </c>
      <c r="S168">
        <v>6.1007556984192854</v>
      </c>
      <c r="T168">
        <v>0</v>
      </c>
      <c r="U168">
        <v>7.7968346718553017E-2</v>
      </c>
      <c r="V168">
        <v>0</v>
      </c>
      <c r="W168">
        <v>0.25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0.13461261906134583</v>
      </c>
      <c r="AL168">
        <v>0.13461261906134583</v>
      </c>
      <c r="AM168">
        <v>0.17876129718234982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0.82123870281765021</v>
      </c>
      <c r="AY168">
        <v>0</v>
      </c>
      <c r="AZ168">
        <v>0</v>
      </c>
      <c r="BA168">
        <v>0</v>
      </c>
      <c r="BB168">
        <v>0.13461261906134583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5.5940520446096658</v>
      </c>
      <c r="BI168">
        <v>5.5940520446096658</v>
      </c>
      <c r="BJ168">
        <v>0.75302999689038375</v>
      </c>
      <c r="CA168">
        <v>0</v>
      </c>
      <c r="CB168">
        <v>0</v>
      </c>
      <c r="CC168">
        <v>0</v>
      </c>
    </row>
    <row r="169" spans="1:82" hidden="1" x14ac:dyDescent="0.25">
      <c r="A169" t="s">
        <v>128</v>
      </c>
      <c r="B169" t="s">
        <v>421</v>
      </c>
      <c r="C169" s="14" t="s">
        <v>72</v>
      </c>
      <c r="D169" s="12">
        <v>46241</v>
      </c>
      <c r="E169" s="14" t="s">
        <v>133</v>
      </c>
      <c r="F169" s="14" t="s">
        <v>74</v>
      </c>
      <c r="G169">
        <v>4.440974877503046</v>
      </c>
      <c r="H169">
        <v>3.8</v>
      </c>
      <c r="I169">
        <v>20</v>
      </c>
      <c r="J169">
        <v>3.8</v>
      </c>
      <c r="K169">
        <v>46241</v>
      </c>
      <c r="L169" t="s">
        <v>475</v>
      </c>
      <c r="M169">
        <v>13.83473950477627</v>
      </c>
      <c r="N169">
        <v>0.85566797940018147</v>
      </c>
      <c r="O169">
        <v>0.85566797940018147</v>
      </c>
      <c r="P169">
        <v>3.1152483151525732</v>
      </c>
      <c r="Q169">
        <v>2.1152483151525732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0.14433202059981853</v>
      </c>
      <c r="AA169">
        <v>0</v>
      </c>
      <c r="AB169">
        <v>0</v>
      </c>
      <c r="AC169">
        <v>0</v>
      </c>
      <c r="AD169">
        <v>0</v>
      </c>
      <c r="AE169">
        <v>0.85566797940018147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1.1686775993429068</v>
      </c>
      <c r="AL169">
        <v>1.1686775993429068</v>
      </c>
      <c r="AM169">
        <v>3.6407209223095447</v>
      </c>
      <c r="AN169">
        <v>2.4720433229666376</v>
      </c>
      <c r="AO169">
        <v>0</v>
      </c>
      <c r="AP169">
        <v>0</v>
      </c>
      <c r="AQ169">
        <v>0</v>
      </c>
      <c r="AR169">
        <v>0</v>
      </c>
      <c r="AS169">
        <v>0.33132240065709317</v>
      </c>
      <c r="AT169">
        <v>0.16867759934290683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0.27467087462601647</v>
      </c>
      <c r="BI169">
        <v>0.27467087462601647</v>
      </c>
      <c r="BJ169">
        <v>0.32100169836734949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0.67899830163265051</v>
      </c>
      <c r="BV169">
        <v>0</v>
      </c>
      <c r="BW169">
        <v>0</v>
      </c>
      <c r="BX169">
        <v>0</v>
      </c>
      <c r="BY169">
        <v>0.27467087462601647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 hidden="1" x14ac:dyDescent="0.25">
      <c r="A170" t="s">
        <v>128</v>
      </c>
      <c r="B170" t="s">
        <v>291</v>
      </c>
      <c r="C170" s="14" t="s">
        <v>72</v>
      </c>
      <c r="D170" s="12">
        <v>46241</v>
      </c>
      <c r="E170" s="14" t="s">
        <v>133</v>
      </c>
      <c r="F170" s="14" t="s">
        <v>75</v>
      </c>
      <c r="G170">
        <v>11.028542654457937</v>
      </c>
      <c r="H170">
        <v>23.75</v>
      </c>
      <c r="I170">
        <v>20</v>
      </c>
      <c r="J170">
        <v>23.75</v>
      </c>
      <c r="K170">
        <v>46241</v>
      </c>
      <c r="L170" t="s">
        <v>476</v>
      </c>
      <c r="M170">
        <v>13.107843137254903</v>
      </c>
      <c r="N170">
        <v>2.15350302792725</v>
      </c>
      <c r="O170">
        <v>2.15350302792725</v>
      </c>
      <c r="P170">
        <v>1.1885381004494258</v>
      </c>
      <c r="Q170">
        <v>0</v>
      </c>
      <c r="R170">
        <v>0</v>
      </c>
      <c r="S170">
        <v>0.90350302792725001</v>
      </c>
      <c r="T170">
        <v>0</v>
      </c>
      <c r="U170">
        <v>0</v>
      </c>
      <c r="V170">
        <v>0</v>
      </c>
      <c r="W170">
        <v>0.18853810044942576</v>
      </c>
      <c r="X170">
        <v>0</v>
      </c>
      <c r="Y170">
        <v>6.1461899550574239E-2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0.46435969071401839</v>
      </c>
      <c r="AL170">
        <v>0.46435969071401839</v>
      </c>
      <c r="AM170">
        <v>0.55190918472652228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0.44809081527347772</v>
      </c>
      <c r="AY170">
        <v>0</v>
      </c>
      <c r="AZ170">
        <v>0</v>
      </c>
      <c r="BA170">
        <v>0</v>
      </c>
      <c r="BB170">
        <v>0.46435969071401839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1.8118922961854897</v>
      </c>
      <c r="BI170">
        <v>1.8118922961854897</v>
      </c>
      <c r="BJ170">
        <v>0.84136974626380656</v>
      </c>
      <c r="CA170">
        <v>0</v>
      </c>
      <c r="CB170">
        <v>0</v>
      </c>
      <c r="CC170">
        <v>0</v>
      </c>
    </row>
    <row r="171" spans="1:82" hidden="1" x14ac:dyDescent="0.25">
      <c r="A171" t="s">
        <v>128</v>
      </c>
      <c r="B171" t="s">
        <v>421</v>
      </c>
      <c r="C171" s="14" t="s">
        <v>72</v>
      </c>
      <c r="D171" s="12">
        <v>46241</v>
      </c>
      <c r="E171" s="14" t="s">
        <v>133</v>
      </c>
      <c r="F171" s="14" t="s">
        <v>75</v>
      </c>
      <c r="G171">
        <v>8.0638754354660556</v>
      </c>
      <c r="H171">
        <v>5.6999999999999993</v>
      </c>
      <c r="I171">
        <v>20</v>
      </c>
      <c r="J171">
        <v>5.6999999999999993</v>
      </c>
      <c r="K171">
        <v>46241</v>
      </c>
      <c r="L171" t="s">
        <v>476</v>
      </c>
      <c r="M171">
        <v>12.182257887129213</v>
      </c>
      <c r="N171">
        <v>0.70685615689580217</v>
      </c>
      <c r="O171">
        <v>0.70685615689580217</v>
      </c>
      <c r="P171">
        <v>1.5107199986683739</v>
      </c>
      <c r="Q171">
        <v>0.51071999866837392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0.29314384310419783</v>
      </c>
      <c r="AA171">
        <v>0</v>
      </c>
      <c r="AB171">
        <v>0</v>
      </c>
      <c r="AC171">
        <v>0</v>
      </c>
      <c r="AD171">
        <v>0</v>
      </c>
      <c r="AE171">
        <v>0.70685615689580217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1.4147149886782555</v>
      </c>
      <c r="AL171">
        <v>1.4147149886782555</v>
      </c>
      <c r="AM171">
        <v>2.1372382258121427</v>
      </c>
      <c r="AN171">
        <v>0.72252323713388722</v>
      </c>
      <c r="AO171">
        <v>0</v>
      </c>
      <c r="AP171">
        <v>0</v>
      </c>
      <c r="AQ171">
        <v>0</v>
      </c>
      <c r="AR171">
        <v>0</v>
      </c>
      <c r="AS171">
        <v>8.5285011321744486E-2</v>
      </c>
      <c r="AT171">
        <v>0.41471498867825551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0.46789355904394025</v>
      </c>
      <c r="BI171">
        <v>0.46789355904394025</v>
      </c>
      <c r="BJ171">
        <v>0.66193603108547661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0.33806396891452339</v>
      </c>
      <c r="BV171">
        <v>0</v>
      </c>
      <c r="BW171">
        <v>0</v>
      </c>
      <c r="BX171">
        <v>0</v>
      </c>
      <c r="BY171">
        <v>0.46789355904394025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hidden="1" x14ac:dyDescent="0.25">
      <c r="A172" t="s">
        <v>128</v>
      </c>
      <c r="B172" t="s">
        <v>422</v>
      </c>
      <c r="C172" s="14" t="s">
        <v>72</v>
      </c>
      <c r="D172" s="12">
        <v>46241</v>
      </c>
      <c r="E172" s="14" t="s">
        <v>133</v>
      </c>
      <c r="F172" s="14" t="s">
        <v>75</v>
      </c>
      <c r="G172">
        <v>11.028542654457937</v>
      </c>
      <c r="H172">
        <v>5.6999999999999993</v>
      </c>
      <c r="I172">
        <v>20</v>
      </c>
      <c r="J172">
        <v>5.6999999999999993</v>
      </c>
      <c r="K172">
        <v>46241</v>
      </c>
      <c r="L172" t="s">
        <v>476</v>
      </c>
      <c r="M172">
        <v>6.2779411764705886</v>
      </c>
      <c r="N172">
        <v>0.51684072670254</v>
      </c>
      <c r="O172">
        <v>0.51684072670254</v>
      </c>
      <c r="P172">
        <v>0.56924485611278219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5.2404129410242195E-2</v>
      </c>
      <c r="AA172">
        <v>0.43075514388721781</v>
      </c>
      <c r="AB172">
        <v>0</v>
      </c>
      <c r="AC172">
        <v>0</v>
      </c>
      <c r="AD172">
        <v>0</v>
      </c>
      <c r="AE172">
        <v>0.51684072670254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1.9348320446417435</v>
      </c>
      <c r="AL172">
        <v>1.9348320446417435</v>
      </c>
      <c r="AM172">
        <v>1.1013931888544894</v>
      </c>
      <c r="BD172">
        <v>0</v>
      </c>
      <c r="BE172">
        <v>0</v>
      </c>
      <c r="BF172">
        <v>0</v>
      </c>
      <c r="BH172">
        <v>0.90794096978215022</v>
      </c>
      <c r="BI172">
        <v>0.90794096978215022</v>
      </c>
      <c r="BJ172">
        <v>1.7567132829776051</v>
      </c>
      <c r="BK172">
        <v>0.7567132829776051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0.48315927329746</v>
      </c>
      <c r="BU172">
        <v>0</v>
      </c>
      <c r="BV172">
        <v>0</v>
      </c>
      <c r="BW172">
        <v>0</v>
      </c>
      <c r="BX172">
        <v>0</v>
      </c>
      <c r="BY172">
        <v>0.90794096978215022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 hidden="1" x14ac:dyDescent="0.25">
      <c r="A173" t="s">
        <v>128</v>
      </c>
      <c r="B173" t="s">
        <v>421</v>
      </c>
      <c r="C173" s="14" t="s">
        <v>72</v>
      </c>
      <c r="D173" s="12">
        <v>46242</v>
      </c>
      <c r="E173" s="14" t="s">
        <v>133</v>
      </c>
      <c r="F173" s="14" t="s">
        <v>73</v>
      </c>
      <c r="G173">
        <v>9.9337595944147097</v>
      </c>
      <c r="H173">
        <v>30.4</v>
      </c>
      <c r="I173">
        <v>20</v>
      </c>
      <c r="J173">
        <v>30.4</v>
      </c>
      <c r="K173">
        <v>46242</v>
      </c>
      <c r="L173" t="s">
        <v>477</v>
      </c>
      <c r="M173">
        <v>13.231808175994754</v>
      </c>
      <c r="N173">
        <v>3.0602713616194719</v>
      </c>
      <c r="O173">
        <v>3.0602713616194719</v>
      </c>
      <c r="P173">
        <v>1.3320040665604977</v>
      </c>
      <c r="Q173">
        <v>0</v>
      </c>
      <c r="R173">
        <v>0</v>
      </c>
      <c r="S173">
        <v>1.7282672950589741</v>
      </c>
      <c r="T173">
        <v>0</v>
      </c>
      <c r="U173">
        <v>8.2004066560497746E-2</v>
      </c>
      <c r="V173">
        <v>0</v>
      </c>
      <c r="W173">
        <v>0.25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0.32676840771101018</v>
      </c>
      <c r="AL173">
        <v>0.32676840771101018</v>
      </c>
      <c r="AM173">
        <v>0.43525684789456431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0.56474315210543569</v>
      </c>
      <c r="AY173">
        <v>0</v>
      </c>
      <c r="AZ173">
        <v>0</v>
      </c>
      <c r="BA173">
        <v>0</v>
      </c>
      <c r="BB173">
        <v>0.32676840771101018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2.2974940080488704</v>
      </c>
      <c r="BI173">
        <v>2.2974940080488704</v>
      </c>
      <c r="BJ173">
        <v>0.75074845873571616</v>
      </c>
      <c r="CA173">
        <v>0</v>
      </c>
      <c r="CB173">
        <v>0</v>
      </c>
      <c r="CC173">
        <v>0</v>
      </c>
    </row>
    <row r="174" spans="1:82" hidden="1" x14ac:dyDescent="0.25">
      <c r="A174" t="s">
        <v>128</v>
      </c>
      <c r="B174" t="s">
        <v>291</v>
      </c>
      <c r="C174" s="14" t="s">
        <v>72</v>
      </c>
      <c r="D174" s="12">
        <v>46242</v>
      </c>
      <c r="E174" s="14" t="s">
        <v>133</v>
      </c>
      <c r="F174" s="14" t="s">
        <v>73</v>
      </c>
      <c r="G174">
        <v>11.028542654457937</v>
      </c>
      <c r="H174">
        <v>47.5</v>
      </c>
      <c r="I174">
        <v>20</v>
      </c>
      <c r="J174">
        <v>47.5</v>
      </c>
      <c r="K174">
        <v>46242</v>
      </c>
      <c r="L174" t="s">
        <v>477</v>
      </c>
      <c r="M174">
        <v>13.1078431372549</v>
      </c>
      <c r="N174">
        <v>4.3070060558545</v>
      </c>
      <c r="O174">
        <v>4.3070060558545</v>
      </c>
      <c r="P174">
        <v>1.1885381004494253</v>
      </c>
      <c r="Q174">
        <v>0</v>
      </c>
      <c r="R174">
        <v>0</v>
      </c>
      <c r="S174">
        <v>3.0570060558545</v>
      </c>
      <c r="T174">
        <v>0</v>
      </c>
      <c r="U174">
        <v>0</v>
      </c>
      <c r="V174">
        <v>0</v>
      </c>
      <c r="W174">
        <v>0.18853810044942532</v>
      </c>
      <c r="X174">
        <v>0</v>
      </c>
      <c r="Y174">
        <v>6.1461899550574683E-2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0.2321798453570092</v>
      </c>
      <c r="AL174">
        <v>0.2321798453570092</v>
      </c>
      <c r="AM174">
        <v>0.27595459236326103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0.72404540763673897</v>
      </c>
      <c r="AY174">
        <v>0</v>
      </c>
      <c r="AZ174">
        <v>0</v>
      </c>
      <c r="BA174">
        <v>0</v>
      </c>
      <c r="BB174">
        <v>0.2321798453570092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3.6237845923709804</v>
      </c>
      <c r="BI174">
        <v>3.6237845923709804</v>
      </c>
      <c r="BJ174">
        <v>0.84136974626380678</v>
      </c>
      <c r="CA174">
        <v>0</v>
      </c>
      <c r="CB174">
        <v>0</v>
      </c>
      <c r="CC174">
        <v>0</v>
      </c>
    </row>
    <row r="175" spans="1:82" hidden="1" x14ac:dyDescent="0.25">
      <c r="A175" t="s">
        <v>128</v>
      </c>
      <c r="B175" t="s">
        <v>422</v>
      </c>
      <c r="C175" s="14" t="s">
        <v>72</v>
      </c>
      <c r="D175" s="12">
        <v>46242</v>
      </c>
      <c r="E175" s="14" t="s">
        <v>133</v>
      </c>
      <c r="F175" s="14" t="s">
        <v>73</v>
      </c>
      <c r="G175">
        <v>11.028542654457937</v>
      </c>
      <c r="H175">
        <v>23.75</v>
      </c>
      <c r="I175">
        <v>20</v>
      </c>
      <c r="J175">
        <v>23.75</v>
      </c>
      <c r="K175">
        <v>46242</v>
      </c>
      <c r="L175" t="s">
        <v>477</v>
      </c>
      <c r="M175">
        <v>9.258823529411762</v>
      </c>
      <c r="N175">
        <v>2.15350302792725</v>
      </c>
      <c r="O175">
        <v>2.15350302792725</v>
      </c>
      <c r="P175">
        <v>0.83953282128978102</v>
      </c>
      <c r="Q175">
        <v>0</v>
      </c>
      <c r="R175">
        <v>0</v>
      </c>
      <c r="S175">
        <v>0.90350302792725001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0.25</v>
      </c>
      <c r="Z175">
        <v>0</v>
      </c>
      <c r="AA175">
        <v>0</v>
      </c>
      <c r="AB175">
        <v>0</v>
      </c>
      <c r="AC175">
        <v>0.16046717871021898</v>
      </c>
      <c r="AD175">
        <v>0</v>
      </c>
      <c r="AE175">
        <v>0.83953282128978102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0.46435969071401839</v>
      </c>
      <c r="AL175">
        <v>0.46435969071401839</v>
      </c>
      <c r="AM175">
        <v>0.38984520123839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0.53564030928598161</v>
      </c>
      <c r="AY175">
        <v>0</v>
      </c>
      <c r="AZ175">
        <v>7.4514489475628387E-2</v>
      </c>
      <c r="BA175">
        <v>0</v>
      </c>
      <c r="BB175">
        <v>0.38984520123839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2.5651207115628978</v>
      </c>
      <c r="BI175">
        <v>2.5651207115628978</v>
      </c>
      <c r="BJ175">
        <v>1.1911386602654699</v>
      </c>
      <c r="CA175">
        <v>0</v>
      </c>
      <c r="CB175">
        <v>0</v>
      </c>
      <c r="CC175">
        <v>0</v>
      </c>
    </row>
    <row r="176" spans="1:82" hidden="1" x14ac:dyDescent="0.25">
      <c r="A176" t="s">
        <v>128</v>
      </c>
      <c r="B176" t="s">
        <v>421</v>
      </c>
      <c r="C176" s="14" t="s">
        <v>72</v>
      </c>
      <c r="D176" s="12">
        <v>46242</v>
      </c>
      <c r="E176" s="14" t="s">
        <v>133</v>
      </c>
      <c r="F176" s="14" t="s">
        <v>74</v>
      </c>
      <c r="G176">
        <v>4.440974877503046</v>
      </c>
      <c r="H176">
        <v>3.8</v>
      </c>
      <c r="I176">
        <v>20</v>
      </c>
      <c r="J176">
        <v>3.8</v>
      </c>
      <c r="K176">
        <v>46242</v>
      </c>
      <c r="L176" t="s">
        <v>478</v>
      </c>
      <c r="M176">
        <v>13.825681314192339</v>
      </c>
      <c r="N176">
        <v>0.85566797940018147</v>
      </c>
      <c r="O176">
        <v>0.85566797940018147</v>
      </c>
      <c r="P176">
        <v>3.113208629985738</v>
      </c>
      <c r="Q176">
        <v>2.113208629985738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0.14433202059981853</v>
      </c>
      <c r="AA176">
        <v>0</v>
      </c>
      <c r="AB176">
        <v>0</v>
      </c>
      <c r="AC176">
        <v>0</v>
      </c>
      <c r="AD176">
        <v>0</v>
      </c>
      <c r="AE176">
        <v>0.85566797940018147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1.1686775993429068</v>
      </c>
      <c r="AL176">
        <v>1.1686775993429068</v>
      </c>
      <c r="AM176">
        <v>3.6383371879453525</v>
      </c>
      <c r="AN176">
        <v>2.4696595886024459</v>
      </c>
      <c r="AO176">
        <v>0</v>
      </c>
      <c r="AP176">
        <v>0</v>
      </c>
      <c r="AQ176">
        <v>0</v>
      </c>
      <c r="AR176">
        <v>0</v>
      </c>
      <c r="AS176">
        <v>0.33132240065709317</v>
      </c>
      <c r="AT176">
        <v>0.16867759934290683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0.27485083111956471</v>
      </c>
      <c r="BI176">
        <v>0.27485083111956471</v>
      </c>
      <c r="BJ176">
        <v>0.32121200949021561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0.67878799050978444</v>
      </c>
      <c r="BV176">
        <v>0</v>
      </c>
      <c r="BW176">
        <v>0</v>
      </c>
      <c r="BX176">
        <v>0</v>
      </c>
      <c r="BY176">
        <v>0.27485083111956471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hidden="1" x14ac:dyDescent="0.25">
      <c r="A177" t="s">
        <v>128</v>
      </c>
      <c r="B177" t="s">
        <v>422</v>
      </c>
      <c r="C177" s="14" t="s">
        <v>72</v>
      </c>
      <c r="D177" s="12">
        <v>46242</v>
      </c>
      <c r="E177" s="14" t="s">
        <v>133</v>
      </c>
      <c r="F177" s="14" t="s">
        <v>74</v>
      </c>
      <c r="G177">
        <v>4.220105607573192</v>
      </c>
      <c r="H177">
        <v>3.8</v>
      </c>
      <c r="I177">
        <v>20</v>
      </c>
      <c r="J177">
        <v>3.8</v>
      </c>
      <c r="K177">
        <v>46242</v>
      </c>
      <c r="L177" t="s">
        <v>478</v>
      </c>
      <c r="M177">
        <v>4.1764705882352935</v>
      </c>
      <c r="N177">
        <v>0.90045139941064711</v>
      </c>
      <c r="O177">
        <v>0.90045139941064711</v>
      </c>
      <c r="P177">
        <v>0.98966020678259969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8.9208807371952581E-2</v>
      </c>
      <c r="AA177">
        <v>1.0339793217400306E-2</v>
      </c>
      <c r="AB177">
        <v>0</v>
      </c>
      <c r="AC177">
        <v>0</v>
      </c>
      <c r="AD177">
        <v>0</v>
      </c>
      <c r="AE177">
        <v>0.90045139941064711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1.1105541072561032</v>
      </c>
      <c r="AL177">
        <v>1.1105541072561032</v>
      </c>
      <c r="AM177">
        <v>1.0990712074303404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9.9071207430340369E-2</v>
      </c>
      <c r="AU177">
        <v>0</v>
      </c>
      <c r="AV177">
        <v>1.1482899825762782E-2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0.90985915492957758</v>
      </c>
      <c r="BI177">
        <v>0.90985915492957758</v>
      </c>
      <c r="BJ177">
        <v>1.0104478215316095</v>
      </c>
      <c r="BK177">
        <v>1.0447821531609502E-2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9.9548600589352887E-2</v>
      </c>
      <c r="BU177">
        <v>0</v>
      </c>
      <c r="BV177">
        <v>0</v>
      </c>
      <c r="BW177">
        <v>0</v>
      </c>
      <c r="BX177">
        <v>0</v>
      </c>
      <c r="BY177">
        <v>0.90985915492957758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 hidden="1" x14ac:dyDescent="0.25">
      <c r="A178" t="s">
        <v>128</v>
      </c>
      <c r="B178" t="s">
        <v>291</v>
      </c>
      <c r="C178" s="14" t="s">
        <v>72</v>
      </c>
      <c r="D178" s="12">
        <v>46242</v>
      </c>
      <c r="E178" s="14" t="s">
        <v>133</v>
      </c>
      <c r="F178" s="14" t="s">
        <v>74</v>
      </c>
      <c r="G178">
        <v>4.220105607573192</v>
      </c>
      <c r="H178">
        <v>4.75</v>
      </c>
      <c r="I178">
        <v>20</v>
      </c>
      <c r="J178">
        <v>4.75</v>
      </c>
      <c r="K178">
        <v>46242</v>
      </c>
      <c r="L178" t="s">
        <v>478</v>
      </c>
      <c r="M178">
        <v>5.6041666666666661</v>
      </c>
      <c r="N178">
        <v>1.1255642492633089</v>
      </c>
      <c r="O178">
        <v>1.1255642492633089</v>
      </c>
      <c r="P178">
        <v>1.327968346718553</v>
      </c>
      <c r="Q178">
        <v>0.20240409745524413</v>
      </c>
      <c r="R178">
        <v>0</v>
      </c>
      <c r="S178">
        <v>0</v>
      </c>
      <c r="T178">
        <v>0</v>
      </c>
      <c r="U178">
        <v>0</v>
      </c>
      <c r="V178">
        <v>0.12443575073669111</v>
      </c>
      <c r="W178">
        <v>0.12556424926330889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0.88844328580488252</v>
      </c>
      <c r="AL178">
        <v>0.88844328580488252</v>
      </c>
      <c r="AM178">
        <v>1.1798245614035086</v>
      </c>
      <c r="AN178">
        <v>0.17982456140350855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0.88844328580488252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0.84758364312267664</v>
      </c>
      <c r="BI178">
        <v>0.84758364312267664</v>
      </c>
      <c r="BJ178">
        <v>0.75302999689038375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0.15241635687732336</v>
      </c>
      <c r="BV178">
        <v>0</v>
      </c>
      <c r="BW178">
        <v>9.4553646232292898E-2</v>
      </c>
      <c r="BX178">
        <v>0</v>
      </c>
      <c r="BY178">
        <v>0.75302999689038375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 hidden="1" x14ac:dyDescent="0.25">
      <c r="A179" t="s">
        <v>128</v>
      </c>
      <c r="B179" t="s">
        <v>422</v>
      </c>
      <c r="C179" s="14" t="s">
        <v>72</v>
      </c>
      <c r="D179" s="12">
        <v>46242</v>
      </c>
      <c r="E179" s="14" t="s">
        <v>133</v>
      </c>
      <c r="F179" s="14" t="s">
        <v>75</v>
      </c>
      <c r="G179">
        <v>10.972274579690296</v>
      </c>
      <c r="H179">
        <v>6.6499999999999995</v>
      </c>
      <c r="I179">
        <v>20</v>
      </c>
      <c r="J179">
        <v>6.6499999999999995</v>
      </c>
      <c r="K179">
        <v>46242</v>
      </c>
      <c r="L179" t="s">
        <v>479</v>
      </c>
      <c r="M179">
        <v>7.2926470588235297</v>
      </c>
      <c r="N179">
        <v>0.60607305729562799</v>
      </c>
      <c r="O179">
        <v>0.60607305729562799</v>
      </c>
      <c r="P179">
        <v>0.66464314266453328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5.8570085368905289E-2</v>
      </c>
      <c r="AA179">
        <v>0.33535685733546672</v>
      </c>
      <c r="AB179">
        <v>0</v>
      </c>
      <c r="AC179">
        <v>0</v>
      </c>
      <c r="AD179">
        <v>0</v>
      </c>
      <c r="AE179">
        <v>0.60607305729562799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1.6499661022090673</v>
      </c>
      <c r="AL179">
        <v>1.6499661022090673</v>
      </c>
      <c r="AM179">
        <v>1.096638655462185</v>
      </c>
      <c r="BD179">
        <v>0</v>
      </c>
      <c r="BE179">
        <v>0</v>
      </c>
      <c r="BF179">
        <v>0</v>
      </c>
      <c r="BH179">
        <v>0.91187739463601525</v>
      </c>
      <c r="BI179">
        <v>0.91187739463601525</v>
      </c>
      <c r="BJ179">
        <v>1.5045667905201454</v>
      </c>
      <c r="BK179">
        <v>0.50456679052014541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0.39392694270437201</v>
      </c>
      <c r="BU179">
        <v>0</v>
      </c>
      <c r="BV179">
        <v>0</v>
      </c>
      <c r="BW179">
        <v>0</v>
      </c>
      <c r="BX179">
        <v>0</v>
      </c>
      <c r="BY179">
        <v>0.91187739463601525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 hidden="1" x14ac:dyDescent="0.25">
      <c r="A180" t="s">
        <v>128</v>
      </c>
      <c r="B180" t="s">
        <v>291</v>
      </c>
      <c r="C180" s="14" t="s">
        <v>72</v>
      </c>
      <c r="D180" s="12">
        <v>46242</v>
      </c>
      <c r="E180" s="14" t="s">
        <v>133</v>
      </c>
      <c r="F180" s="14" t="s">
        <v>75</v>
      </c>
      <c r="G180">
        <v>10.972274579690296</v>
      </c>
      <c r="H180">
        <v>11.4</v>
      </c>
      <c r="I180">
        <v>20</v>
      </c>
      <c r="J180">
        <v>11.4</v>
      </c>
      <c r="K180">
        <v>46242</v>
      </c>
      <c r="L180" t="s">
        <v>479</v>
      </c>
      <c r="M180">
        <v>13.162990196078432</v>
      </c>
      <c r="N180">
        <v>1.0389823839353622</v>
      </c>
      <c r="O180">
        <v>1.0389823839353622</v>
      </c>
      <c r="P180">
        <v>1.1996592047052081</v>
      </c>
      <c r="Q180">
        <v>0.16067682076984591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3.8982383935362241E-2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0.96248022628862262</v>
      </c>
      <c r="AL180">
        <v>0.96248022628862262</v>
      </c>
      <c r="AM180">
        <v>1.1546482628138977</v>
      </c>
      <c r="AN180">
        <v>0.15464826281389765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0.96248022628862262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0.86606461223349762</v>
      </c>
      <c r="BI180">
        <v>0.86606461223349762</v>
      </c>
      <c r="BJ180">
        <v>0.83357006396306499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0.13393538776650238</v>
      </c>
      <c r="BV180">
        <v>0</v>
      </c>
      <c r="BW180">
        <v>3.2494548270432633E-2</v>
      </c>
      <c r="BX180">
        <v>0</v>
      </c>
      <c r="BY180">
        <v>0.83357006396306499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 hidden="1" x14ac:dyDescent="0.25">
      <c r="A181" t="s">
        <v>128</v>
      </c>
      <c r="B181" t="s">
        <v>421</v>
      </c>
      <c r="C181" s="14" t="s">
        <v>72</v>
      </c>
      <c r="D181" s="12">
        <v>46242</v>
      </c>
      <c r="E181" s="14" t="s">
        <v>133</v>
      </c>
      <c r="F181" s="14" t="s">
        <v>75</v>
      </c>
      <c r="G181">
        <v>8.1223093154332009</v>
      </c>
      <c r="H181">
        <v>6.6499999999999995</v>
      </c>
      <c r="I181">
        <v>20</v>
      </c>
      <c r="J181">
        <v>6.6499999999999995</v>
      </c>
      <c r="K181">
        <v>46242</v>
      </c>
      <c r="L181" t="s">
        <v>479</v>
      </c>
      <c r="M181">
        <v>12.363614949184802</v>
      </c>
      <c r="N181">
        <v>0.81873267093686442</v>
      </c>
      <c r="O181">
        <v>0.81873267093686442</v>
      </c>
      <c r="P181">
        <v>1.5221797728994013</v>
      </c>
      <c r="Q181">
        <v>0.52217977289940132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0.18126732906313558</v>
      </c>
      <c r="AA181">
        <v>0</v>
      </c>
      <c r="AB181">
        <v>0</v>
      </c>
      <c r="AC181">
        <v>0</v>
      </c>
      <c r="AD181">
        <v>0</v>
      </c>
      <c r="AE181">
        <v>0.81873267093686442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1.2213998970576243</v>
      </c>
      <c r="AL181">
        <v>1.2213998970576243</v>
      </c>
      <c r="AM181">
        <v>1.8591902179225268</v>
      </c>
      <c r="AN181">
        <v>0.6377903208649025</v>
      </c>
      <c r="AO181">
        <v>0</v>
      </c>
      <c r="AP181">
        <v>0</v>
      </c>
      <c r="AQ181">
        <v>0</v>
      </c>
      <c r="AR181">
        <v>0</v>
      </c>
      <c r="AS181">
        <v>0.27860010294237569</v>
      </c>
      <c r="AT181">
        <v>0.22139989705762431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0.53786857867475635</v>
      </c>
      <c r="BI181">
        <v>0.53786857867475635</v>
      </c>
      <c r="BJ181">
        <v>0.6569526266238781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0.3430473733761219</v>
      </c>
      <c r="BV181">
        <v>0</v>
      </c>
      <c r="BW181">
        <v>0</v>
      </c>
      <c r="BX181">
        <v>0</v>
      </c>
      <c r="BY181">
        <v>0.53786857867475635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 hidden="1" x14ac:dyDescent="0.25">
      <c r="A182" t="s">
        <v>128</v>
      </c>
      <c r="B182" t="s">
        <v>422</v>
      </c>
      <c r="C182" s="14" t="s">
        <v>72</v>
      </c>
      <c r="D182" s="12">
        <v>46243</v>
      </c>
      <c r="E182" s="14" t="s">
        <v>133</v>
      </c>
      <c r="F182" s="14" t="s">
        <v>73</v>
      </c>
      <c r="G182">
        <v>10.972274579690296</v>
      </c>
      <c r="H182">
        <v>19.95</v>
      </c>
      <c r="I182">
        <v>20</v>
      </c>
      <c r="J182">
        <v>19.95</v>
      </c>
      <c r="K182">
        <v>46243</v>
      </c>
      <c r="L182" t="s">
        <v>480</v>
      </c>
      <c r="M182">
        <v>8.582352941176465</v>
      </c>
      <c r="N182">
        <v>1.8182191718868841</v>
      </c>
      <c r="O182">
        <v>1.8182191718868841</v>
      </c>
      <c r="P182">
        <v>0.78218539636826245</v>
      </c>
      <c r="Q182">
        <v>0</v>
      </c>
      <c r="R182">
        <v>0</v>
      </c>
      <c r="S182">
        <v>0.56821917188688409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0.25</v>
      </c>
      <c r="Z182">
        <v>0</v>
      </c>
      <c r="AA182">
        <v>0</v>
      </c>
      <c r="AB182">
        <v>0</v>
      </c>
      <c r="AC182">
        <v>0.21781460363173755</v>
      </c>
      <c r="AD182">
        <v>0</v>
      </c>
      <c r="AE182">
        <v>0.78218539636826245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0.54998870073635575</v>
      </c>
      <c r="AL182">
        <v>0.54998870073635575</v>
      </c>
      <c r="AM182">
        <v>0.43019312988353209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0.45001129926364425</v>
      </c>
      <c r="AY182">
        <v>0</v>
      </c>
      <c r="AZ182">
        <v>0.11979557085282366</v>
      </c>
      <c r="BA182">
        <v>0</v>
      </c>
      <c r="BB182">
        <v>0.43019312988353209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2.3245373543522976</v>
      </c>
      <c r="BI182">
        <v>2.3245373543522976</v>
      </c>
      <c r="BJ182">
        <v>1.2784692793333459</v>
      </c>
      <c r="CA182">
        <v>0</v>
      </c>
      <c r="CB182">
        <v>0</v>
      </c>
      <c r="CC182">
        <v>0</v>
      </c>
    </row>
    <row r="183" spans="1:82" hidden="1" x14ac:dyDescent="0.25">
      <c r="A183" t="s">
        <v>128</v>
      </c>
      <c r="B183" t="s">
        <v>421</v>
      </c>
      <c r="C183" s="14" t="s">
        <v>72</v>
      </c>
      <c r="D183" s="12">
        <v>46243</v>
      </c>
      <c r="E183" s="14" t="s">
        <v>133</v>
      </c>
      <c r="F183" s="14" t="s">
        <v>73</v>
      </c>
      <c r="G183">
        <v>9.9337595944147079</v>
      </c>
      <c r="H183">
        <v>27.549999999999997</v>
      </c>
      <c r="I183">
        <v>20</v>
      </c>
      <c r="J183">
        <v>27.549999999999997</v>
      </c>
      <c r="K183">
        <v>46243</v>
      </c>
      <c r="L183" t="s">
        <v>480</v>
      </c>
      <c r="M183">
        <v>13.97985564017274</v>
      </c>
      <c r="N183">
        <v>2.773370921467647</v>
      </c>
      <c r="O183">
        <v>2.773370921467647</v>
      </c>
      <c r="P183">
        <v>1.4073076268156282</v>
      </c>
      <c r="Q183">
        <v>0</v>
      </c>
      <c r="R183">
        <v>0</v>
      </c>
      <c r="S183">
        <v>1.3660632946520188</v>
      </c>
      <c r="T183">
        <v>0</v>
      </c>
      <c r="U183">
        <v>0.15730762681562815</v>
      </c>
      <c r="V183">
        <v>0</v>
      </c>
      <c r="W183">
        <v>0.25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0.36057203609490779</v>
      </c>
      <c r="AL183">
        <v>0.36057203609490779</v>
      </c>
      <c r="AM183">
        <v>0.50743577641280369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0.49256422358719631</v>
      </c>
      <c r="AY183">
        <v>0</v>
      </c>
      <c r="AZ183">
        <v>0</v>
      </c>
      <c r="BA183">
        <v>0</v>
      </c>
      <c r="BB183">
        <v>0.36057203609490779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1.9706927388314275</v>
      </c>
      <c r="BI183">
        <v>1.9706927388314275</v>
      </c>
      <c r="BJ183">
        <v>0.71057669335789808</v>
      </c>
      <c r="CA183">
        <v>0</v>
      </c>
      <c r="CB183">
        <v>0</v>
      </c>
      <c r="CC183">
        <v>0</v>
      </c>
    </row>
    <row r="184" spans="1:82" hidden="1" x14ac:dyDescent="0.25">
      <c r="A184" t="s">
        <v>128</v>
      </c>
      <c r="B184" t="s">
        <v>291</v>
      </c>
      <c r="C184" s="14" t="s">
        <v>72</v>
      </c>
      <c r="D184" s="12">
        <v>46243</v>
      </c>
      <c r="E184" s="14" t="s">
        <v>133</v>
      </c>
      <c r="F184" s="14" t="s">
        <v>73</v>
      </c>
      <c r="G184">
        <v>10.972274579690296</v>
      </c>
      <c r="H184">
        <v>15.2</v>
      </c>
      <c r="I184">
        <v>20</v>
      </c>
      <c r="J184">
        <v>15.2</v>
      </c>
      <c r="K184">
        <v>46243</v>
      </c>
      <c r="L184" t="s">
        <v>480</v>
      </c>
      <c r="M184">
        <v>13.104166666666666</v>
      </c>
      <c r="N184">
        <v>1.3853098452471497</v>
      </c>
      <c r="O184">
        <v>1.3853098452471497</v>
      </c>
      <c r="P184">
        <v>1.1942980984929512</v>
      </c>
      <c r="Q184">
        <v>0</v>
      </c>
      <c r="R184">
        <v>0</v>
      </c>
      <c r="S184">
        <v>0.13530984524714973</v>
      </c>
      <c r="T184">
        <v>0</v>
      </c>
      <c r="U184">
        <v>0</v>
      </c>
      <c r="V184">
        <v>0</v>
      </c>
      <c r="W184">
        <v>0.19429809849295121</v>
      </c>
      <c r="X184">
        <v>0</v>
      </c>
      <c r="Y184">
        <v>5.570190150704879E-2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0.72186016971646694</v>
      </c>
      <c r="AL184">
        <v>0.72186016971646694</v>
      </c>
      <c r="AM184">
        <v>0.86211622807017541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0.13788377192982459</v>
      </c>
      <c r="AY184">
        <v>0</v>
      </c>
      <c r="AZ184">
        <v>0</v>
      </c>
      <c r="BA184">
        <v>0</v>
      </c>
      <c r="BB184">
        <v>0.72186016971646694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1.1599364069952305</v>
      </c>
      <c r="BI184">
        <v>1.1599364069952305</v>
      </c>
      <c r="BJ184">
        <v>0.83731189161388597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0.15993640699523048</v>
      </c>
      <c r="BT184">
        <v>0</v>
      </c>
      <c r="BU184">
        <v>0</v>
      </c>
      <c r="BV184">
        <v>0</v>
      </c>
      <c r="BW184">
        <v>0.16268810838611403</v>
      </c>
      <c r="BX184">
        <v>0</v>
      </c>
      <c r="BY184">
        <v>0.83731189161388597</v>
      </c>
      <c r="BZ184">
        <v>0</v>
      </c>
      <c r="CA184">
        <v>0</v>
      </c>
      <c r="CB184">
        <v>0</v>
      </c>
      <c r="CC184">
        <v>0</v>
      </c>
      <c r="CD184">
        <v>0</v>
      </c>
    </row>
    <row r="185" spans="1:82" hidden="1" x14ac:dyDescent="0.25">
      <c r="A185" t="s">
        <v>128</v>
      </c>
      <c r="B185" t="s">
        <v>291</v>
      </c>
      <c r="C185" s="14" t="s">
        <v>72</v>
      </c>
      <c r="D185" s="12">
        <v>46243</v>
      </c>
      <c r="E185" s="14" t="s">
        <v>133</v>
      </c>
      <c r="F185" s="14" t="s">
        <v>74</v>
      </c>
      <c r="G185">
        <v>4.220105607573192</v>
      </c>
      <c r="H185">
        <v>23.75</v>
      </c>
      <c r="I185">
        <v>20</v>
      </c>
      <c r="J185">
        <v>23.75</v>
      </c>
      <c r="K185">
        <v>46243</v>
      </c>
      <c r="L185" t="s">
        <v>481</v>
      </c>
      <c r="M185">
        <v>4.6874999999999991</v>
      </c>
      <c r="N185">
        <v>5.6278212463165449</v>
      </c>
      <c r="O185">
        <v>5.6278212463165449</v>
      </c>
      <c r="P185">
        <v>1.1107541933519494</v>
      </c>
      <c r="Q185">
        <v>0</v>
      </c>
      <c r="R185">
        <v>0</v>
      </c>
      <c r="S185">
        <v>4.3778212463165449</v>
      </c>
      <c r="T185">
        <v>0</v>
      </c>
      <c r="U185">
        <v>0</v>
      </c>
      <c r="V185">
        <v>0</v>
      </c>
      <c r="W185">
        <v>0.11075419335194936</v>
      </c>
      <c r="X185">
        <v>0</v>
      </c>
      <c r="Y185">
        <v>0.13924580664805064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0.17768865716097651</v>
      </c>
      <c r="AL185">
        <v>0.17768865716097651</v>
      </c>
      <c r="AM185">
        <v>0.19736842105263155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0.80263157894736847</v>
      </c>
      <c r="AY185">
        <v>0</v>
      </c>
      <c r="AZ185">
        <v>0</v>
      </c>
      <c r="BA185">
        <v>0</v>
      </c>
      <c r="BB185">
        <v>0.17768865716097651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5.0666666666666673</v>
      </c>
      <c r="BI185">
        <v>5.0666666666666673</v>
      </c>
      <c r="BJ185">
        <v>0.9002891962822811</v>
      </c>
      <c r="CA185">
        <v>0</v>
      </c>
      <c r="CB185">
        <v>0</v>
      </c>
      <c r="CC185">
        <v>0</v>
      </c>
    </row>
    <row r="186" spans="1:82" hidden="1" x14ac:dyDescent="0.25">
      <c r="A186" t="s">
        <v>128</v>
      </c>
      <c r="B186" t="s">
        <v>421</v>
      </c>
      <c r="C186" s="14" t="s">
        <v>72</v>
      </c>
      <c r="D186" s="12">
        <v>46243</v>
      </c>
      <c r="E186" s="14" t="s">
        <v>133</v>
      </c>
      <c r="F186" s="14" t="s">
        <v>74</v>
      </c>
      <c r="G186">
        <v>4.440974877503046</v>
      </c>
      <c r="H186">
        <v>4.75</v>
      </c>
      <c r="I186">
        <v>20</v>
      </c>
      <c r="J186">
        <v>4.75</v>
      </c>
      <c r="K186">
        <v>46243</v>
      </c>
      <c r="L186" t="s">
        <v>481</v>
      </c>
      <c r="M186">
        <v>13.813776552287578</v>
      </c>
      <c r="N186">
        <v>1.0695849742502268</v>
      </c>
      <c r="O186">
        <v>1.0695849742502268</v>
      </c>
      <c r="P186">
        <v>3.1105279658898732</v>
      </c>
      <c r="Q186">
        <v>2.0409429916396462</v>
      </c>
      <c r="R186">
        <v>0</v>
      </c>
      <c r="S186">
        <v>0</v>
      </c>
      <c r="T186">
        <v>0</v>
      </c>
      <c r="U186">
        <v>0</v>
      </c>
      <c r="V186">
        <v>0.18041502574977319</v>
      </c>
      <c r="W186">
        <v>6.9584974250226805E-2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0.9349420794743255</v>
      </c>
      <c r="AL186">
        <v>0.9349420794743255</v>
      </c>
      <c r="AM186">
        <v>2.9081634846921216</v>
      </c>
      <c r="AN186">
        <v>1.9081634846921216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0.9349420794743255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0.34385962318272728</v>
      </c>
      <c r="BI186">
        <v>0.34385962318272728</v>
      </c>
      <c r="BJ186">
        <v>0.32148883114571702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0.65614037681727266</v>
      </c>
      <c r="BV186">
        <v>0</v>
      </c>
      <c r="BW186">
        <v>2.2370792037010256E-2</v>
      </c>
      <c r="BX186">
        <v>0</v>
      </c>
      <c r="BY186">
        <v>0.32148883114571702</v>
      </c>
      <c r="BZ186">
        <v>0</v>
      </c>
      <c r="CA186">
        <v>0</v>
      </c>
      <c r="CB186">
        <v>0</v>
      </c>
      <c r="CC186">
        <v>0</v>
      </c>
      <c r="CD186">
        <v>0</v>
      </c>
    </row>
    <row r="187" spans="1:82" hidden="1" x14ac:dyDescent="0.25">
      <c r="A187" t="s">
        <v>128</v>
      </c>
      <c r="B187" t="s">
        <v>422</v>
      </c>
      <c r="C187" s="14" t="s">
        <v>72</v>
      </c>
      <c r="D187" s="12">
        <v>46243</v>
      </c>
      <c r="E187" s="14" t="s">
        <v>133</v>
      </c>
      <c r="F187" s="14" t="s">
        <v>74</v>
      </c>
      <c r="G187">
        <v>4.220105607573192</v>
      </c>
      <c r="H187">
        <v>4.75</v>
      </c>
      <c r="I187">
        <v>20</v>
      </c>
      <c r="J187">
        <v>4.75</v>
      </c>
      <c r="K187">
        <v>46243</v>
      </c>
      <c r="L187" t="s">
        <v>481</v>
      </c>
      <c r="M187">
        <v>4.0588235294117636</v>
      </c>
      <c r="N187">
        <v>1.1255642492633089</v>
      </c>
      <c r="O187">
        <v>1.1255642492633089</v>
      </c>
      <c r="P187">
        <v>0.96178245447886435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0.12556424926330889</v>
      </c>
      <c r="Z187">
        <v>0</v>
      </c>
      <c r="AA187">
        <v>0</v>
      </c>
      <c r="AB187">
        <v>0</v>
      </c>
      <c r="AC187">
        <v>3.8217545521135654E-2</v>
      </c>
      <c r="AD187">
        <v>0</v>
      </c>
      <c r="AE187">
        <v>0.96178245447886435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0.88844328580488252</v>
      </c>
      <c r="AL187">
        <v>0.88844328580488252</v>
      </c>
      <c r="AM187">
        <v>0.85448916408668707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0.11155671419511748</v>
      </c>
      <c r="AY187">
        <v>0</v>
      </c>
      <c r="AZ187">
        <v>3.3954121718195451E-2</v>
      </c>
      <c r="BA187">
        <v>0</v>
      </c>
      <c r="BB187">
        <v>0.85448916408668707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1.1702898550724641</v>
      </c>
      <c r="BI187">
        <v>1.1702898550724641</v>
      </c>
      <c r="BJ187">
        <v>1.0397361641846998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3.9736164184699829E-2</v>
      </c>
      <c r="BR187">
        <v>0</v>
      </c>
      <c r="BS187">
        <v>0.13055369088776425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</row>
    <row r="188" spans="1:82" hidden="1" x14ac:dyDescent="0.25">
      <c r="A188" t="s">
        <v>128</v>
      </c>
      <c r="B188" t="s">
        <v>291</v>
      </c>
      <c r="C188" s="14" t="s">
        <v>72</v>
      </c>
      <c r="D188" s="12">
        <v>46243</v>
      </c>
      <c r="E188" s="14" t="s">
        <v>133</v>
      </c>
      <c r="F188" s="14" t="s">
        <v>75</v>
      </c>
      <c r="G188">
        <v>11.816295701204936</v>
      </c>
      <c r="H188">
        <v>33.25</v>
      </c>
      <c r="I188">
        <v>20</v>
      </c>
      <c r="J188">
        <v>33.25</v>
      </c>
      <c r="K188">
        <v>46243</v>
      </c>
      <c r="L188" t="s">
        <v>482</v>
      </c>
      <c r="M188">
        <v>13.18359375</v>
      </c>
      <c r="N188">
        <v>2.8139106231582725</v>
      </c>
      <c r="O188">
        <v>2.8139106231582725</v>
      </c>
      <c r="P188">
        <v>1.1157129174294138</v>
      </c>
      <c r="Q188">
        <v>0</v>
      </c>
      <c r="R188">
        <v>0</v>
      </c>
      <c r="S188">
        <v>1.5639106231582725</v>
      </c>
      <c r="T188">
        <v>0</v>
      </c>
      <c r="U188">
        <v>0</v>
      </c>
      <c r="V188">
        <v>0</v>
      </c>
      <c r="W188">
        <v>0.11571291742941381</v>
      </c>
      <c r="X188">
        <v>0</v>
      </c>
      <c r="Y188">
        <v>0.13428708257058619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0.35537731432195296</v>
      </c>
      <c r="AL188">
        <v>0.35537731432195296</v>
      </c>
      <c r="AM188">
        <v>0.39649906015037595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0.60350093984962405</v>
      </c>
      <c r="AY188">
        <v>0</v>
      </c>
      <c r="AZ188">
        <v>0</v>
      </c>
      <c r="BA188">
        <v>0</v>
      </c>
      <c r="BB188">
        <v>0.35537731432195296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2.5220740740740739</v>
      </c>
      <c r="BI188">
        <v>2.5220740740740739</v>
      </c>
      <c r="BJ188">
        <v>0.89628791096547067</v>
      </c>
      <c r="CA188">
        <v>0</v>
      </c>
      <c r="CB188">
        <v>0</v>
      </c>
      <c r="CC188">
        <v>0</v>
      </c>
    </row>
    <row r="189" spans="1:82" hidden="1" x14ac:dyDescent="0.25">
      <c r="A189" t="s">
        <v>128</v>
      </c>
      <c r="B189" t="s">
        <v>422</v>
      </c>
      <c r="C189" s="14" t="s">
        <v>72</v>
      </c>
      <c r="D189" s="12">
        <v>46243</v>
      </c>
      <c r="E189" s="14" t="s">
        <v>133</v>
      </c>
      <c r="F189" s="14" t="s">
        <v>75</v>
      </c>
      <c r="G189">
        <v>11.816295701204936</v>
      </c>
      <c r="H189">
        <v>6.6499999999999995</v>
      </c>
      <c r="I189">
        <v>20</v>
      </c>
      <c r="J189">
        <v>6.6499999999999995</v>
      </c>
      <c r="K189">
        <v>46243</v>
      </c>
      <c r="L189" t="s">
        <v>482</v>
      </c>
      <c r="M189">
        <v>6.9838235294117634</v>
      </c>
      <c r="N189">
        <v>0.56278212463165445</v>
      </c>
      <c r="O189">
        <v>0.56278212463165445</v>
      </c>
      <c r="P189">
        <v>0.59103323968945753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2.8251115057803089E-2</v>
      </c>
      <c r="AA189">
        <v>0.40896676031054247</v>
      </c>
      <c r="AB189">
        <v>0</v>
      </c>
      <c r="AC189">
        <v>0</v>
      </c>
      <c r="AD189">
        <v>0</v>
      </c>
      <c r="AE189">
        <v>0.56278212463165445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1.776886571609765</v>
      </c>
      <c r="AL189">
        <v>1.776886571609765</v>
      </c>
      <c r="AM189">
        <v>1.0501990269792125</v>
      </c>
      <c r="BD189">
        <v>0</v>
      </c>
      <c r="BE189">
        <v>0</v>
      </c>
      <c r="BF189">
        <v>0</v>
      </c>
      <c r="BH189">
        <v>0.95220046325542229</v>
      </c>
      <c r="BI189">
        <v>0.95220046325542229</v>
      </c>
      <c r="BJ189">
        <v>1.6919522166391574</v>
      </c>
      <c r="BK189">
        <v>0.6919522166391574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0.43721787536834555</v>
      </c>
      <c r="BU189">
        <v>0</v>
      </c>
      <c r="BV189">
        <v>0</v>
      </c>
      <c r="BW189">
        <v>0</v>
      </c>
      <c r="BX189">
        <v>0</v>
      </c>
      <c r="BY189">
        <v>0.95220046325542229</v>
      </c>
      <c r="BZ189">
        <v>0</v>
      </c>
      <c r="CA189">
        <v>0</v>
      </c>
      <c r="CB189">
        <v>0</v>
      </c>
      <c r="CC189">
        <v>0</v>
      </c>
      <c r="CD189">
        <v>0</v>
      </c>
    </row>
    <row r="190" spans="1:82" hidden="1" x14ac:dyDescent="0.25">
      <c r="A190" t="s">
        <v>128</v>
      </c>
      <c r="B190" t="s">
        <v>421</v>
      </c>
      <c r="C190" s="14" t="s">
        <v>72</v>
      </c>
      <c r="D190" s="12">
        <v>46243</v>
      </c>
      <c r="E190" s="14" t="s">
        <v>133</v>
      </c>
      <c r="F190" s="14" t="s">
        <v>75</v>
      </c>
      <c r="G190">
        <v>8.1223093154331991</v>
      </c>
      <c r="H190">
        <v>6.6499999999999995</v>
      </c>
      <c r="I190">
        <v>20</v>
      </c>
      <c r="J190">
        <v>6.6499999999999995</v>
      </c>
      <c r="K190">
        <v>46243</v>
      </c>
      <c r="L190" t="s">
        <v>482</v>
      </c>
      <c r="M190">
        <v>12.353644374416428</v>
      </c>
      <c r="N190">
        <v>0.81873267093686464</v>
      </c>
      <c r="O190">
        <v>0.81873267093686464</v>
      </c>
      <c r="P190">
        <v>1.5209522187173135</v>
      </c>
      <c r="Q190">
        <v>0.52095221871731345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0.18126732906313536</v>
      </c>
      <c r="AA190">
        <v>0</v>
      </c>
      <c r="AB190">
        <v>0</v>
      </c>
      <c r="AC190">
        <v>0</v>
      </c>
      <c r="AD190">
        <v>0</v>
      </c>
      <c r="AE190">
        <v>0.81873267093686464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1.2213998970576241</v>
      </c>
      <c r="AL190">
        <v>1.2213998970576241</v>
      </c>
      <c r="AM190">
        <v>1.8576908833708916</v>
      </c>
      <c r="AN190">
        <v>0.63629098631326753</v>
      </c>
      <c r="AO190">
        <v>0</v>
      </c>
      <c r="AP190">
        <v>0</v>
      </c>
      <c r="AQ190">
        <v>0</v>
      </c>
      <c r="AR190">
        <v>0</v>
      </c>
      <c r="AS190">
        <v>0.27860010294237592</v>
      </c>
      <c r="AT190">
        <v>0.22139989705762408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0.53830269015770804</v>
      </c>
      <c r="BI190">
        <v>0.53830269015770804</v>
      </c>
      <c r="BJ190">
        <v>0.65748285034446674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0.34251714965553326</v>
      </c>
      <c r="BV190">
        <v>0</v>
      </c>
      <c r="BW190">
        <v>0</v>
      </c>
      <c r="BX190">
        <v>0</v>
      </c>
      <c r="BY190">
        <v>0.53830269015770804</v>
      </c>
      <c r="BZ190">
        <v>0</v>
      </c>
      <c r="CA190">
        <v>0</v>
      </c>
      <c r="CB190">
        <v>0</v>
      </c>
      <c r="CC190">
        <v>0</v>
      </c>
      <c r="CD190">
        <v>0</v>
      </c>
    </row>
    <row r="191" spans="1:82" hidden="1" x14ac:dyDescent="0.25">
      <c r="A191" t="s">
        <v>128</v>
      </c>
      <c r="B191" t="s">
        <v>421</v>
      </c>
      <c r="C191" s="14" t="s">
        <v>72</v>
      </c>
      <c r="D191" s="12">
        <v>46244</v>
      </c>
      <c r="E191" s="14" t="s">
        <v>133</v>
      </c>
      <c r="F191" s="14" t="s">
        <v>73</v>
      </c>
      <c r="G191">
        <v>9.9337595944147079</v>
      </c>
      <c r="H191">
        <v>33.25</v>
      </c>
      <c r="I191">
        <v>20</v>
      </c>
      <c r="J191">
        <v>33.25</v>
      </c>
      <c r="K191">
        <v>46244</v>
      </c>
      <c r="L191" t="s">
        <v>483</v>
      </c>
      <c r="M191">
        <v>13.92407066993464</v>
      </c>
      <c r="N191">
        <v>3.3471718017712986</v>
      </c>
      <c r="O191">
        <v>3.3471718017712986</v>
      </c>
      <c r="P191">
        <v>1.4016919311962712</v>
      </c>
      <c r="Q191">
        <v>0</v>
      </c>
      <c r="R191">
        <v>0</v>
      </c>
      <c r="S191">
        <v>1.9454798705750274</v>
      </c>
      <c r="T191">
        <v>0</v>
      </c>
      <c r="U191">
        <v>0.15169193119627122</v>
      </c>
      <c r="V191">
        <v>0</v>
      </c>
      <c r="W191">
        <v>0.25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0.29875968705006639</v>
      </c>
      <c r="AL191">
        <v>0.29875968705006639</v>
      </c>
      <c r="AM191">
        <v>0.4187690427048012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0.5812309572951988</v>
      </c>
      <c r="AY191">
        <v>0</v>
      </c>
      <c r="AZ191">
        <v>0</v>
      </c>
      <c r="BA191">
        <v>0</v>
      </c>
      <c r="BB191">
        <v>0.29875968705006639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2.3879511091389825</v>
      </c>
      <c r="BI191">
        <v>2.3879511091389825</v>
      </c>
      <c r="BJ191">
        <v>0.71342352605722137</v>
      </c>
      <c r="CA191">
        <v>0</v>
      </c>
      <c r="CB191">
        <v>0</v>
      </c>
      <c r="CC191">
        <v>0</v>
      </c>
    </row>
    <row r="192" spans="1:82" hidden="1" x14ac:dyDescent="0.25">
      <c r="A192" t="s">
        <v>128</v>
      </c>
      <c r="B192" t="s">
        <v>422</v>
      </c>
      <c r="C192" s="14" t="s">
        <v>72</v>
      </c>
      <c r="D192" s="12">
        <v>46244</v>
      </c>
      <c r="E192" s="14" t="s">
        <v>133</v>
      </c>
      <c r="F192" s="14" t="s">
        <v>73</v>
      </c>
      <c r="G192">
        <v>11.872563775972576</v>
      </c>
      <c r="H192">
        <v>24.7</v>
      </c>
      <c r="I192">
        <v>20</v>
      </c>
      <c r="J192">
        <v>24.7</v>
      </c>
      <c r="K192">
        <v>46244</v>
      </c>
      <c r="L192" t="s">
        <v>483</v>
      </c>
      <c r="M192">
        <v>8.5892156862745086</v>
      </c>
      <c r="N192">
        <v>2.0804268114345525</v>
      </c>
      <c r="O192">
        <v>2.0804268114345525</v>
      </c>
      <c r="P192">
        <v>0.72345079364047449</v>
      </c>
      <c r="Q192">
        <v>0</v>
      </c>
      <c r="R192">
        <v>0</v>
      </c>
      <c r="S192">
        <v>0.83042681143455255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0.25</v>
      </c>
      <c r="Z192">
        <v>0</v>
      </c>
      <c r="AA192">
        <v>0</v>
      </c>
      <c r="AB192">
        <v>0</v>
      </c>
      <c r="AC192">
        <v>0.27654920635952551</v>
      </c>
      <c r="AD192">
        <v>0</v>
      </c>
      <c r="AE192">
        <v>0.72345079364047449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0.48067059821751323</v>
      </c>
      <c r="AL192">
        <v>0.48067059821751323</v>
      </c>
      <c r="AM192">
        <v>0.34774152576010159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0.51932940178248677</v>
      </c>
      <c r="AY192">
        <v>0</v>
      </c>
      <c r="AZ192">
        <v>0.13292907245741165</v>
      </c>
      <c r="BA192">
        <v>0</v>
      </c>
      <c r="BB192">
        <v>0.34774152576010159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2.8756991211048972</v>
      </c>
      <c r="BI192">
        <v>2.8756991211048972</v>
      </c>
      <c r="BJ192">
        <v>1.3822640168350679</v>
      </c>
      <c r="CA192">
        <v>0</v>
      </c>
      <c r="CB192">
        <v>0</v>
      </c>
      <c r="CC192">
        <v>0</v>
      </c>
    </row>
    <row r="193" spans="1:82" hidden="1" x14ac:dyDescent="0.25">
      <c r="A193" t="s">
        <v>128</v>
      </c>
      <c r="B193" t="s">
        <v>291</v>
      </c>
      <c r="C193" s="14" t="s">
        <v>72</v>
      </c>
      <c r="D193" s="12">
        <v>46244</v>
      </c>
      <c r="E193" s="14" t="s">
        <v>133</v>
      </c>
      <c r="F193" s="14" t="s">
        <v>73</v>
      </c>
      <c r="G193">
        <v>11.872563775972576</v>
      </c>
      <c r="H193">
        <v>47.5</v>
      </c>
      <c r="I193">
        <v>20</v>
      </c>
      <c r="J193">
        <v>47.5</v>
      </c>
      <c r="K193">
        <v>46244</v>
      </c>
      <c r="L193" t="s">
        <v>483</v>
      </c>
      <c r="M193">
        <v>12.191176470588236</v>
      </c>
      <c r="N193">
        <v>4.0008207912202938</v>
      </c>
      <c r="O193">
        <v>4.0008207912202938</v>
      </c>
      <c r="P193">
        <v>1.0268360482729484</v>
      </c>
      <c r="Q193">
        <v>0</v>
      </c>
      <c r="R193">
        <v>0</v>
      </c>
      <c r="S193">
        <v>2.7508207912202938</v>
      </c>
      <c r="T193">
        <v>0</v>
      </c>
      <c r="U193">
        <v>0</v>
      </c>
      <c r="V193">
        <v>0</v>
      </c>
      <c r="W193">
        <v>2.6836048272948387E-2</v>
      </c>
      <c r="X193">
        <v>0</v>
      </c>
      <c r="Y193">
        <v>0.22316395172705161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0.24994871107310687</v>
      </c>
      <c r="AL193">
        <v>0.24994871107310687</v>
      </c>
      <c r="AM193">
        <v>0.25665634674922599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0.74334365325077401</v>
      </c>
      <c r="AY193">
        <v>0</v>
      </c>
      <c r="AZ193">
        <v>0</v>
      </c>
      <c r="BA193">
        <v>0</v>
      </c>
      <c r="BB193">
        <v>0.24994871107310687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3.8962605548854041</v>
      </c>
      <c r="BI193">
        <v>3.8962605548854041</v>
      </c>
      <c r="BJ193">
        <v>0.97386530369859492</v>
      </c>
      <c r="CA193">
        <v>0</v>
      </c>
      <c r="CB193">
        <v>0</v>
      </c>
      <c r="CC193">
        <v>0</v>
      </c>
    </row>
    <row r="194" spans="1:82" hidden="1" x14ac:dyDescent="0.25">
      <c r="A194" t="s">
        <v>128</v>
      </c>
      <c r="B194" t="s">
        <v>422</v>
      </c>
      <c r="C194" s="14" t="s">
        <v>72</v>
      </c>
      <c r="D194" s="12">
        <v>46244</v>
      </c>
      <c r="E194" s="14" t="s">
        <v>133</v>
      </c>
      <c r="F194" s="14" t="s">
        <v>74</v>
      </c>
      <c r="G194">
        <v>4.220105607573192</v>
      </c>
      <c r="H194">
        <v>4.75</v>
      </c>
      <c r="I194">
        <v>20</v>
      </c>
      <c r="J194">
        <v>4.75</v>
      </c>
      <c r="K194">
        <v>46244</v>
      </c>
      <c r="L194" t="s">
        <v>484</v>
      </c>
      <c r="M194">
        <v>4.1764705882352935</v>
      </c>
      <c r="N194">
        <v>1.1255642492633089</v>
      </c>
      <c r="O194">
        <v>1.1255642492633089</v>
      </c>
      <c r="P194">
        <v>0.98966020678259969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0.12556424926330889</v>
      </c>
      <c r="Z194">
        <v>0</v>
      </c>
      <c r="AA194">
        <v>0</v>
      </c>
      <c r="AB194">
        <v>0</v>
      </c>
      <c r="AC194">
        <v>1.0339793217400306E-2</v>
      </c>
      <c r="AD194">
        <v>0</v>
      </c>
      <c r="AE194">
        <v>0.98966020678259969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0.88844328580488252</v>
      </c>
      <c r="AL194">
        <v>0.88844328580488252</v>
      </c>
      <c r="AM194">
        <v>0.87925696594427227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0.11155671419511748</v>
      </c>
      <c r="AY194">
        <v>0</v>
      </c>
      <c r="AZ194">
        <v>9.1863198606102481E-3</v>
      </c>
      <c r="BA194">
        <v>0</v>
      </c>
      <c r="BB194">
        <v>0.87925696594427227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1.137323943661972</v>
      </c>
      <c r="BI194">
        <v>1.137323943661972</v>
      </c>
      <c r="BJ194">
        <v>1.0104478215316095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1.0447821531609502E-2</v>
      </c>
      <c r="BR194">
        <v>0</v>
      </c>
      <c r="BS194">
        <v>0.12687612213036248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</row>
    <row r="195" spans="1:82" hidden="1" x14ac:dyDescent="0.25">
      <c r="A195" t="s">
        <v>128</v>
      </c>
      <c r="B195" t="s">
        <v>291</v>
      </c>
      <c r="C195" s="14" t="s">
        <v>72</v>
      </c>
      <c r="D195" s="12">
        <v>46244</v>
      </c>
      <c r="E195" s="14" t="s">
        <v>133</v>
      </c>
      <c r="F195" s="14" t="s">
        <v>74</v>
      </c>
      <c r="G195">
        <v>4.220105607573192</v>
      </c>
      <c r="H195">
        <v>12.35</v>
      </c>
      <c r="I195">
        <v>20</v>
      </c>
      <c r="J195">
        <v>12.35</v>
      </c>
      <c r="K195">
        <v>46244</v>
      </c>
      <c r="L195" t="s">
        <v>484</v>
      </c>
      <c r="M195">
        <v>4.6874999999999991</v>
      </c>
      <c r="N195">
        <v>2.9264670480846031</v>
      </c>
      <c r="O195">
        <v>2.9264670480846031</v>
      </c>
      <c r="P195">
        <v>1.1107541933519494</v>
      </c>
      <c r="Q195">
        <v>0</v>
      </c>
      <c r="R195">
        <v>0</v>
      </c>
      <c r="S195">
        <v>1.6764670480846031</v>
      </c>
      <c r="T195">
        <v>0</v>
      </c>
      <c r="U195">
        <v>0</v>
      </c>
      <c r="V195">
        <v>0</v>
      </c>
      <c r="W195">
        <v>0.11075419335194936</v>
      </c>
      <c r="X195">
        <v>0</v>
      </c>
      <c r="Y195">
        <v>0.13924580664805064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0.34170895607880097</v>
      </c>
      <c r="AL195">
        <v>0.34170895607880097</v>
      </c>
      <c r="AM195">
        <v>0.37955465587044529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0.62044534412955477</v>
      </c>
      <c r="AY195">
        <v>0</v>
      </c>
      <c r="AZ195">
        <v>0</v>
      </c>
      <c r="BA195">
        <v>0</v>
      </c>
      <c r="BB195">
        <v>0.34170895607880097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2.6346666666666669</v>
      </c>
      <c r="BI195">
        <v>2.6346666666666669</v>
      </c>
      <c r="BJ195">
        <v>0.9002891962822811</v>
      </c>
      <c r="CA195">
        <v>0</v>
      </c>
      <c r="CB195">
        <v>0</v>
      </c>
      <c r="CC195">
        <v>0</v>
      </c>
    </row>
    <row r="196" spans="1:82" hidden="1" x14ac:dyDescent="0.25">
      <c r="A196" t="s">
        <v>128</v>
      </c>
      <c r="B196" t="s">
        <v>421</v>
      </c>
      <c r="C196" s="14" t="s">
        <v>72</v>
      </c>
      <c r="D196" s="12">
        <v>46244</v>
      </c>
      <c r="E196" s="14" t="s">
        <v>133</v>
      </c>
      <c r="F196" s="14" t="s">
        <v>74</v>
      </c>
      <c r="G196">
        <v>4.440974877503046</v>
      </c>
      <c r="H196">
        <v>4.75</v>
      </c>
      <c r="I196">
        <v>20</v>
      </c>
      <c r="J196">
        <v>4.75</v>
      </c>
      <c r="K196">
        <v>46244</v>
      </c>
      <c r="L196" t="s">
        <v>484</v>
      </c>
      <c r="M196">
        <v>14.947637789089994</v>
      </c>
      <c r="N196">
        <v>1.0695849742502268</v>
      </c>
      <c r="O196">
        <v>1.0695849742502268</v>
      </c>
      <c r="P196">
        <v>3.3658460588937977</v>
      </c>
      <c r="Q196">
        <v>2.2962610846435707</v>
      </c>
      <c r="R196">
        <v>0</v>
      </c>
      <c r="S196">
        <v>0</v>
      </c>
      <c r="T196">
        <v>0</v>
      </c>
      <c r="U196">
        <v>0</v>
      </c>
      <c r="V196">
        <v>0.18041502574977319</v>
      </c>
      <c r="W196">
        <v>6.9584974250226805E-2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0.9349420794743255</v>
      </c>
      <c r="AL196">
        <v>0.9349420794743255</v>
      </c>
      <c r="AM196">
        <v>3.1468711134926304</v>
      </c>
      <c r="AN196">
        <v>2.1468711134926304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0.9349420794743255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0.31777596346808307</v>
      </c>
      <c r="BI196">
        <v>0.31777596346808307</v>
      </c>
      <c r="BJ196">
        <v>0.29710212009180686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0.68222403653191699</v>
      </c>
      <c r="BV196">
        <v>0</v>
      </c>
      <c r="BW196">
        <v>2.0673843376276202E-2</v>
      </c>
      <c r="BX196">
        <v>0</v>
      </c>
      <c r="BY196">
        <v>0.29710212009180686</v>
      </c>
      <c r="BZ196">
        <v>0</v>
      </c>
      <c r="CA196">
        <v>0</v>
      </c>
      <c r="CB196">
        <v>0</v>
      </c>
      <c r="CC196">
        <v>0</v>
      </c>
      <c r="CD196">
        <v>0</v>
      </c>
    </row>
    <row r="197" spans="1:82" hidden="1" x14ac:dyDescent="0.25">
      <c r="A197" t="s">
        <v>128</v>
      </c>
      <c r="B197" t="s">
        <v>421</v>
      </c>
      <c r="C197" s="14" t="s">
        <v>72</v>
      </c>
      <c r="D197" s="12">
        <v>46244</v>
      </c>
      <c r="E197" s="14" t="s">
        <v>133</v>
      </c>
      <c r="F197" s="14" t="s">
        <v>75</v>
      </c>
      <c r="G197">
        <v>8.180743195400348</v>
      </c>
      <c r="H197">
        <v>6.6499999999999995</v>
      </c>
      <c r="I197">
        <v>20</v>
      </c>
      <c r="J197">
        <v>6.6499999999999995</v>
      </c>
      <c r="K197">
        <v>46244</v>
      </c>
      <c r="L197" t="s">
        <v>485</v>
      </c>
      <c r="M197">
        <v>15.707439353946713</v>
      </c>
      <c r="N197">
        <v>0.81288458043017231</v>
      </c>
      <c r="O197">
        <v>0.81288458043017231</v>
      </c>
      <c r="P197">
        <v>1.9200504133632108</v>
      </c>
      <c r="Q197">
        <v>0.92005041336321081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0.18711541956982769</v>
      </c>
      <c r="AA197">
        <v>0</v>
      </c>
      <c r="AB197">
        <v>0</v>
      </c>
      <c r="AC197">
        <v>0</v>
      </c>
      <c r="AD197">
        <v>0</v>
      </c>
      <c r="AE197">
        <v>0.81288458043017231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1.2301869466767441</v>
      </c>
      <c r="AL197">
        <v>1.2301869466767441</v>
      </c>
      <c r="AM197">
        <v>2.362020955480709</v>
      </c>
      <c r="AN197">
        <v>1.1318340088039649</v>
      </c>
      <c r="AO197">
        <v>0</v>
      </c>
      <c r="AP197">
        <v>0</v>
      </c>
      <c r="AQ197">
        <v>0</v>
      </c>
      <c r="AR197">
        <v>0</v>
      </c>
      <c r="AS197">
        <v>0.26981305332325589</v>
      </c>
      <c r="AT197">
        <v>0.23018694667674411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0.42336626932951327</v>
      </c>
      <c r="BI197">
        <v>0.42336626932951327</v>
      </c>
      <c r="BJ197">
        <v>0.52081965819239806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0.47918034180760194</v>
      </c>
      <c r="BV197">
        <v>0</v>
      </c>
      <c r="BW197">
        <v>0</v>
      </c>
      <c r="BX197">
        <v>0</v>
      </c>
      <c r="BY197">
        <v>0.42336626932951327</v>
      </c>
      <c r="BZ197">
        <v>0</v>
      </c>
      <c r="CA197">
        <v>0</v>
      </c>
      <c r="CB197">
        <v>0</v>
      </c>
      <c r="CC197">
        <v>0</v>
      </c>
      <c r="CD197">
        <v>0</v>
      </c>
    </row>
    <row r="198" spans="1:82" hidden="1" x14ac:dyDescent="0.25">
      <c r="A198" t="s">
        <v>128</v>
      </c>
      <c r="B198" t="s">
        <v>291</v>
      </c>
      <c r="C198" s="14" t="s">
        <v>72</v>
      </c>
      <c r="D198" s="12">
        <v>46244</v>
      </c>
      <c r="E198" s="14" t="s">
        <v>133</v>
      </c>
      <c r="F198" s="14" t="s">
        <v>75</v>
      </c>
      <c r="G198">
        <v>10.972274579690296</v>
      </c>
      <c r="H198">
        <v>16.149999999999999</v>
      </c>
      <c r="I198">
        <v>20</v>
      </c>
      <c r="J198">
        <v>16.149999999999999</v>
      </c>
      <c r="K198">
        <v>46244</v>
      </c>
      <c r="L198" t="s">
        <v>485</v>
      </c>
      <c r="M198">
        <v>12.246323529411764</v>
      </c>
      <c r="N198">
        <v>1.4718917105750966</v>
      </c>
      <c r="O198">
        <v>1.4718917105750966</v>
      </c>
      <c r="P198">
        <v>1.1161152995642067</v>
      </c>
      <c r="Q198">
        <v>0</v>
      </c>
      <c r="R198">
        <v>0</v>
      </c>
      <c r="S198">
        <v>0.2218917105750966</v>
      </c>
      <c r="T198">
        <v>0</v>
      </c>
      <c r="U198">
        <v>0</v>
      </c>
      <c r="V198">
        <v>0</v>
      </c>
      <c r="W198">
        <v>0.11611529956420674</v>
      </c>
      <c r="X198">
        <v>0</v>
      </c>
      <c r="Y198">
        <v>0.13388470043579326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0.67939780679196882</v>
      </c>
      <c r="AL198">
        <v>0.67939780679196882</v>
      </c>
      <c r="AM198">
        <v>0.75828628665088327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0.24171371334911673</v>
      </c>
      <c r="AY198">
        <v>0</v>
      </c>
      <c r="AZ198">
        <v>0</v>
      </c>
      <c r="BA198">
        <v>0</v>
      </c>
      <c r="BB198">
        <v>0.67939780679196882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1.3187631341939356</v>
      </c>
      <c r="BI198">
        <v>1.3187631341939356</v>
      </c>
      <c r="BJ198">
        <v>0.89596478104946287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0.31876313419393565</v>
      </c>
      <c r="BT198">
        <v>0</v>
      </c>
      <c r="BU198">
        <v>0</v>
      </c>
      <c r="BV198">
        <v>0</v>
      </c>
      <c r="BW198">
        <v>0.10403521895053713</v>
      </c>
      <c r="BX198">
        <v>0</v>
      </c>
      <c r="BY198">
        <v>0.89596478104946287</v>
      </c>
      <c r="BZ198">
        <v>0</v>
      </c>
      <c r="CA198">
        <v>0</v>
      </c>
      <c r="CB198">
        <v>0</v>
      </c>
      <c r="CC198">
        <v>0</v>
      </c>
      <c r="CD198">
        <v>0</v>
      </c>
    </row>
    <row r="199" spans="1:82" hidden="1" x14ac:dyDescent="0.25">
      <c r="A199" t="s">
        <v>128</v>
      </c>
      <c r="B199" t="s">
        <v>422</v>
      </c>
      <c r="C199" s="14" t="s">
        <v>72</v>
      </c>
      <c r="D199" s="12">
        <v>46244</v>
      </c>
      <c r="E199" s="14" t="s">
        <v>133</v>
      </c>
      <c r="F199" s="14" t="s">
        <v>75</v>
      </c>
      <c r="G199">
        <v>10.972274579690296</v>
      </c>
      <c r="H199">
        <v>6.6499999999999995</v>
      </c>
      <c r="I199">
        <v>20</v>
      </c>
      <c r="J199">
        <v>6.6499999999999995</v>
      </c>
      <c r="K199">
        <v>46244</v>
      </c>
      <c r="L199" t="s">
        <v>485</v>
      </c>
      <c r="M199">
        <v>7.984313725490197</v>
      </c>
      <c r="N199">
        <v>0.60607305729562799</v>
      </c>
      <c r="O199">
        <v>0.60607305729562799</v>
      </c>
      <c r="P199">
        <v>0.72768081654365258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0.12160775924802458</v>
      </c>
      <c r="AA199">
        <v>0.27231918345634742</v>
      </c>
      <c r="AB199">
        <v>0</v>
      </c>
      <c r="AC199">
        <v>0</v>
      </c>
      <c r="AD199">
        <v>0</v>
      </c>
      <c r="AE199">
        <v>0.60607305729562799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1.6499661022090673</v>
      </c>
      <c r="AL199">
        <v>1.6499661022090673</v>
      </c>
      <c r="AM199">
        <v>1.2006486805248417</v>
      </c>
      <c r="BD199">
        <v>0</v>
      </c>
      <c r="BE199">
        <v>0</v>
      </c>
      <c r="BF199">
        <v>0</v>
      </c>
      <c r="BH199">
        <v>0.83288310412573663</v>
      </c>
      <c r="BI199">
        <v>0.83288310412573663</v>
      </c>
      <c r="BJ199">
        <v>1.3742288889101302</v>
      </c>
      <c r="BK199">
        <v>0.37422888891013018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0.39392694270437201</v>
      </c>
      <c r="BU199">
        <v>0</v>
      </c>
      <c r="BV199">
        <v>0</v>
      </c>
      <c r="BW199">
        <v>0</v>
      </c>
      <c r="BX199">
        <v>0</v>
      </c>
      <c r="BY199">
        <v>0.83288310412573663</v>
      </c>
      <c r="BZ199">
        <v>0</v>
      </c>
      <c r="CA199">
        <v>0</v>
      </c>
      <c r="CB199">
        <v>0</v>
      </c>
      <c r="CC199">
        <v>0</v>
      </c>
      <c r="CD199">
        <v>0</v>
      </c>
    </row>
    <row r="200" spans="1:82" hidden="1" x14ac:dyDescent="0.25">
      <c r="A200" t="s">
        <v>128</v>
      </c>
      <c r="B200" t="s">
        <v>291</v>
      </c>
      <c r="C200" s="14" t="s">
        <v>72</v>
      </c>
      <c r="D200" s="12">
        <v>46245</v>
      </c>
      <c r="E200" s="14" t="s">
        <v>133</v>
      </c>
      <c r="F200" s="14" t="s">
        <v>73</v>
      </c>
      <c r="G200">
        <v>11.731893589053469</v>
      </c>
      <c r="H200">
        <v>5.6999999999999993</v>
      </c>
      <c r="I200">
        <v>20</v>
      </c>
      <c r="J200">
        <v>5.6999999999999993</v>
      </c>
      <c r="K200">
        <v>46245</v>
      </c>
      <c r="L200" t="s">
        <v>486</v>
      </c>
      <c r="M200">
        <v>11.25</v>
      </c>
      <c r="N200">
        <v>0.48585507162445002</v>
      </c>
      <c r="O200">
        <v>0.48585507162445002</v>
      </c>
      <c r="P200">
        <v>0.95892448346930947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0.47306941184485946</v>
      </c>
      <c r="AA200">
        <v>4.1075516530690526E-2</v>
      </c>
      <c r="AB200">
        <v>0</v>
      </c>
      <c r="AC200">
        <v>0</v>
      </c>
      <c r="AD200">
        <v>0</v>
      </c>
      <c r="AE200">
        <v>0.48585507162445002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2.0582269454479771</v>
      </c>
      <c r="AL200">
        <v>2.0582269454479771</v>
      </c>
      <c r="AM200">
        <v>1.9736842105263159</v>
      </c>
      <c r="BD200">
        <v>0</v>
      </c>
      <c r="BE200">
        <v>0</v>
      </c>
      <c r="BF200">
        <v>0</v>
      </c>
      <c r="BH200">
        <v>0.5066666666666666</v>
      </c>
      <c r="BI200">
        <v>0.5066666666666666</v>
      </c>
      <c r="BJ200">
        <v>1.0428349856936416</v>
      </c>
      <c r="BK200">
        <v>4.2834985693641636E-2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0.51414492837554993</v>
      </c>
      <c r="BU200">
        <v>0</v>
      </c>
      <c r="BV200">
        <v>0</v>
      </c>
      <c r="BW200">
        <v>0</v>
      </c>
      <c r="BX200">
        <v>0</v>
      </c>
      <c r="BY200">
        <v>0.5066666666666666</v>
      </c>
      <c r="BZ200">
        <v>0</v>
      </c>
      <c r="CA200">
        <v>0</v>
      </c>
      <c r="CB200">
        <v>0</v>
      </c>
      <c r="CC200">
        <v>0</v>
      </c>
      <c r="CD200">
        <v>0</v>
      </c>
    </row>
    <row r="201" spans="1:82" hidden="1" x14ac:dyDescent="0.25">
      <c r="A201" t="s">
        <v>128</v>
      </c>
      <c r="B201" t="s">
        <v>421</v>
      </c>
      <c r="C201" s="14" t="s">
        <v>72</v>
      </c>
      <c r="D201" s="12">
        <v>46245</v>
      </c>
      <c r="E201" s="14" t="s">
        <v>133</v>
      </c>
      <c r="F201" s="14" t="s">
        <v>73</v>
      </c>
      <c r="G201">
        <v>9.9337595944147079</v>
      </c>
      <c r="H201">
        <v>31.35</v>
      </c>
      <c r="I201">
        <v>20</v>
      </c>
      <c r="J201">
        <v>31.35</v>
      </c>
      <c r="K201">
        <v>46245</v>
      </c>
      <c r="L201" t="s">
        <v>486</v>
      </c>
      <c r="M201">
        <v>14.935658622423333</v>
      </c>
      <c r="N201">
        <v>3.1559048416700812</v>
      </c>
      <c r="O201">
        <v>3.1559048416700812</v>
      </c>
      <c r="P201">
        <v>1.5035252746423378</v>
      </c>
      <c r="Q201">
        <v>0</v>
      </c>
      <c r="R201">
        <v>0</v>
      </c>
      <c r="S201">
        <v>1.6523795670277435</v>
      </c>
      <c r="T201">
        <v>0</v>
      </c>
      <c r="U201">
        <v>0.25352527464233776</v>
      </c>
      <c r="V201">
        <v>0</v>
      </c>
      <c r="W201">
        <v>0.25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0.31686633475007042</v>
      </c>
      <c r="AL201">
        <v>0.31686633475007042</v>
      </c>
      <c r="AM201">
        <v>0.47641654298001063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0.52358345701998932</v>
      </c>
      <c r="AY201">
        <v>0</v>
      </c>
      <c r="AZ201">
        <v>0</v>
      </c>
      <c r="BA201">
        <v>0</v>
      </c>
      <c r="BB201">
        <v>0.31686633475007042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2.0990035185280242</v>
      </c>
      <c r="BI201">
        <v>2.0990035185280242</v>
      </c>
      <c r="BJ201">
        <v>0.66510355154347667</v>
      </c>
      <c r="CA201">
        <v>0</v>
      </c>
      <c r="CB201">
        <v>0</v>
      </c>
      <c r="CC201">
        <v>0</v>
      </c>
    </row>
    <row r="202" spans="1:82" hidden="1" x14ac:dyDescent="0.25">
      <c r="A202" t="s">
        <v>128</v>
      </c>
      <c r="B202" t="s">
        <v>422</v>
      </c>
      <c r="C202" s="14" t="s">
        <v>72</v>
      </c>
      <c r="D202" s="12">
        <v>46245</v>
      </c>
      <c r="E202" s="14" t="s">
        <v>133</v>
      </c>
      <c r="F202" s="14" t="s">
        <v>73</v>
      </c>
      <c r="G202">
        <v>11.731893589053469</v>
      </c>
      <c r="H202">
        <v>24.7</v>
      </c>
      <c r="I202">
        <v>20</v>
      </c>
      <c r="J202">
        <v>24.7</v>
      </c>
      <c r="K202">
        <v>46245</v>
      </c>
      <c r="L202" t="s">
        <v>486</v>
      </c>
      <c r="M202">
        <v>9.4058823529411768</v>
      </c>
      <c r="N202">
        <v>2.1053719770392836</v>
      </c>
      <c r="O202">
        <v>2.1053719770392836</v>
      </c>
      <c r="P202">
        <v>0.80173607794375201</v>
      </c>
      <c r="Q202">
        <v>0</v>
      </c>
      <c r="R202">
        <v>0</v>
      </c>
      <c r="S202">
        <v>0.85537197703928358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0.25</v>
      </c>
      <c r="Z202">
        <v>0</v>
      </c>
      <c r="AA202">
        <v>0</v>
      </c>
      <c r="AB202">
        <v>0</v>
      </c>
      <c r="AC202">
        <v>0.19826392205624799</v>
      </c>
      <c r="AD202">
        <v>0</v>
      </c>
      <c r="AE202">
        <v>0.80173607794375201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0.47497544894953314</v>
      </c>
      <c r="AL202">
        <v>0.47497544894953314</v>
      </c>
      <c r="AM202">
        <v>0.38080495356037153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0.52502455105046686</v>
      </c>
      <c r="AY202">
        <v>0</v>
      </c>
      <c r="AZ202">
        <v>9.4170495389161613E-2</v>
      </c>
      <c r="BA202">
        <v>0</v>
      </c>
      <c r="BB202">
        <v>0.38080495356037153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2.6260162601626016</v>
      </c>
      <c r="BI202">
        <v>2.6260162601626016</v>
      </c>
      <c r="BJ202">
        <v>1.2472932521195057</v>
      </c>
      <c r="CA202">
        <v>0</v>
      </c>
      <c r="CB202">
        <v>0</v>
      </c>
      <c r="CC202">
        <v>0</v>
      </c>
    </row>
    <row r="203" spans="1:82" hidden="1" x14ac:dyDescent="0.25">
      <c r="A203" t="s">
        <v>128</v>
      </c>
      <c r="B203" t="s">
        <v>421</v>
      </c>
      <c r="C203" s="14" t="s">
        <v>72</v>
      </c>
      <c r="D203" s="12">
        <v>46245</v>
      </c>
      <c r="E203" s="14" t="s">
        <v>133</v>
      </c>
      <c r="F203" s="14" t="s">
        <v>74</v>
      </c>
      <c r="G203">
        <v>4.440974877503046</v>
      </c>
      <c r="H203">
        <v>4.75</v>
      </c>
      <c r="I203">
        <v>20</v>
      </c>
      <c r="J203">
        <v>4.75</v>
      </c>
      <c r="K203">
        <v>46245</v>
      </c>
      <c r="L203" t="s">
        <v>487</v>
      </c>
      <c r="M203">
        <v>15.885012097787827</v>
      </c>
      <c r="N203">
        <v>1.0695849742502268</v>
      </c>
      <c r="O203">
        <v>1.0695849742502268</v>
      </c>
      <c r="P203">
        <v>3.5769200538056709</v>
      </c>
      <c r="Q203">
        <v>2.5073350795554443</v>
      </c>
      <c r="R203">
        <v>0</v>
      </c>
      <c r="S203">
        <v>0</v>
      </c>
      <c r="T203">
        <v>0</v>
      </c>
      <c r="U203">
        <v>0</v>
      </c>
      <c r="V203">
        <v>0.18041502574977319</v>
      </c>
      <c r="W203">
        <v>6.9584974250226805E-2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0.9349420794743255</v>
      </c>
      <c r="AL203">
        <v>0.9349420794743255</v>
      </c>
      <c r="AM203">
        <v>3.3442130732184898</v>
      </c>
      <c r="AN203">
        <v>2.3442130732184898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0.9349420794743255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0.29902400896890047</v>
      </c>
      <c r="BI203">
        <v>0.29902400896890047</v>
      </c>
      <c r="BJ203">
        <v>0.2795701287581332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0.70097599103109953</v>
      </c>
      <c r="BV203">
        <v>0</v>
      </c>
      <c r="BW203">
        <v>1.9453880210767271E-2</v>
      </c>
      <c r="BX203">
        <v>0</v>
      </c>
      <c r="BY203">
        <v>0.2795701287581332</v>
      </c>
      <c r="BZ203">
        <v>0</v>
      </c>
      <c r="CA203">
        <v>0</v>
      </c>
      <c r="CB203">
        <v>0</v>
      </c>
      <c r="CC203">
        <v>0</v>
      </c>
      <c r="CD203">
        <v>0</v>
      </c>
    </row>
    <row r="204" spans="1:82" hidden="1" x14ac:dyDescent="0.25">
      <c r="A204" t="s">
        <v>128</v>
      </c>
      <c r="B204" t="s">
        <v>291</v>
      </c>
      <c r="C204" s="14" t="s">
        <v>72</v>
      </c>
      <c r="D204" s="12">
        <v>46245</v>
      </c>
      <c r="E204" s="14" t="s">
        <v>133</v>
      </c>
      <c r="F204" s="14" t="s">
        <v>74</v>
      </c>
      <c r="G204">
        <v>4.220105607573192</v>
      </c>
      <c r="H204">
        <v>31.35</v>
      </c>
      <c r="I204">
        <v>20</v>
      </c>
      <c r="J204">
        <v>31.35</v>
      </c>
      <c r="K204">
        <v>46245</v>
      </c>
      <c r="L204" t="s">
        <v>487</v>
      </c>
      <c r="M204">
        <v>4.6874999999999991</v>
      </c>
      <c r="N204">
        <v>7.4287240451378382</v>
      </c>
      <c r="O204">
        <v>7.4287240451378382</v>
      </c>
      <c r="P204">
        <v>1.1107541933519494</v>
      </c>
      <c r="Q204">
        <v>0</v>
      </c>
      <c r="R204">
        <v>0</v>
      </c>
      <c r="S204">
        <v>6.1787240451378382</v>
      </c>
      <c r="T204">
        <v>0</v>
      </c>
      <c r="U204">
        <v>0</v>
      </c>
      <c r="V204">
        <v>0</v>
      </c>
      <c r="W204">
        <v>0.11075419335194936</v>
      </c>
      <c r="X204">
        <v>0</v>
      </c>
      <c r="Y204">
        <v>0.13924580664805064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0.13461261906134583</v>
      </c>
      <c r="AL204">
        <v>0.13461261906134583</v>
      </c>
      <c r="AM204">
        <v>0.14952153110047844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0.8504784688995215</v>
      </c>
      <c r="AY204">
        <v>0</v>
      </c>
      <c r="AZ204">
        <v>0</v>
      </c>
      <c r="BA204">
        <v>0</v>
      </c>
      <c r="BB204">
        <v>0.13461261906134583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6.6880000000000006</v>
      </c>
      <c r="BI204">
        <v>6.6880000000000006</v>
      </c>
      <c r="BJ204">
        <v>0.9002891962822811</v>
      </c>
      <c r="CA204">
        <v>0</v>
      </c>
      <c r="CB204">
        <v>0</v>
      </c>
      <c r="CC204">
        <v>0</v>
      </c>
    </row>
    <row r="205" spans="1:82" hidden="1" x14ac:dyDescent="0.25">
      <c r="A205" t="s">
        <v>128</v>
      </c>
      <c r="B205" t="s">
        <v>422</v>
      </c>
      <c r="C205" s="14" t="s">
        <v>72</v>
      </c>
      <c r="D205" s="12">
        <v>46245</v>
      </c>
      <c r="E205" s="14" t="s">
        <v>133</v>
      </c>
      <c r="F205" s="14" t="s">
        <v>74</v>
      </c>
      <c r="G205">
        <v>4.220105607573192</v>
      </c>
      <c r="H205">
        <v>4.75</v>
      </c>
      <c r="I205">
        <v>20</v>
      </c>
      <c r="J205">
        <v>4.75</v>
      </c>
      <c r="K205">
        <v>46245</v>
      </c>
      <c r="L205" t="s">
        <v>487</v>
      </c>
      <c r="M205">
        <v>4.0588235294117636</v>
      </c>
      <c r="N205">
        <v>1.1255642492633089</v>
      </c>
      <c r="O205">
        <v>1.1255642492633089</v>
      </c>
      <c r="P205">
        <v>0.96178245447886435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0.12556424926330889</v>
      </c>
      <c r="Z205">
        <v>0</v>
      </c>
      <c r="AA205">
        <v>0</v>
      </c>
      <c r="AB205">
        <v>0</v>
      </c>
      <c r="AC205">
        <v>3.8217545521135654E-2</v>
      </c>
      <c r="AD205">
        <v>0</v>
      </c>
      <c r="AE205">
        <v>0.96178245447886435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0.88844328580488252</v>
      </c>
      <c r="AL205">
        <v>0.88844328580488252</v>
      </c>
      <c r="AM205">
        <v>0.85448916408668707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0.11155671419511748</v>
      </c>
      <c r="AY205">
        <v>0</v>
      </c>
      <c r="AZ205">
        <v>3.3954121718195451E-2</v>
      </c>
      <c r="BA205">
        <v>0</v>
      </c>
      <c r="BB205">
        <v>0.85448916408668707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1.1702898550724641</v>
      </c>
      <c r="BI205">
        <v>1.1702898550724641</v>
      </c>
      <c r="BJ205">
        <v>1.0397361641846998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3.9736164184699829E-2</v>
      </c>
      <c r="BR205">
        <v>0</v>
      </c>
      <c r="BS205">
        <v>0.13055369088776425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</row>
    <row r="206" spans="1:82" hidden="1" x14ac:dyDescent="0.25">
      <c r="A206" t="s">
        <v>128</v>
      </c>
      <c r="B206" t="s">
        <v>421</v>
      </c>
      <c r="C206" s="14" t="s">
        <v>72</v>
      </c>
      <c r="D206" s="12">
        <v>46245</v>
      </c>
      <c r="E206" s="14" t="s">
        <v>133</v>
      </c>
      <c r="F206" s="14" t="s">
        <v>75</v>
      </c>
      <c r="G206">
        <v>8.180743195400348</v>
      </c>
      <c r="H206">
        <v>5.6999999999999993</v>
      </c>
      <c r="I206">
        <v>20</v>
      </c>
      <c r="J206">
        <v>5.6999999999999993</v>
      </c>
      <c r="K206">
        <v>46245</v>
      </c>
      <c r="L206" t="s">
        <v>488</v>
      </c>
      <c r="M206">
        <v>15.890631284565108</v>
      </c>
      <c r="N206">
        <v>0.69675821179729058</v>
      </c>
      <c r="O206">
        <v>0.69675821179729058</v>
      </c>
      <c r="P206">
        <v>1.9424434803795909</v>
      </c>
      <c r="Q206">
        <v>0.94244348037959091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0.30324178820270942</v>
      </c>
      <c r="AA206">
        <v>0</v>
      </c>
      <c r="AB206">
        <v>0</v>
      </c>
      <c r="AC206">
        <v>0</v>
      </c>
      <c r="AD206">
        <v>0</v>
      </c>
      <c r="AE206">
        <v>0.69675821179729058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1.4352181044562016</v>
      </c>
      <c r="AL206">
        <v>1.4352181044562016</v>
      </c>
      <c r="AM206">
        <v>2.7878300499237034</v>
      </c>
      <c r="AN206">
        <v>1.3526119454675019</v>
      </c>
      <c r="AO206">
        <v>0</v>
      </c>
      <c r="AP206">
        <v>0</v>
      </c>
      <c r="AQ206">
        <v>0</v>
      </c>
      <c r="AR206">
        <v>0</v>
      </c>
      <c r="AS206">
        <v>6.4781895543798429E-2</v>
      </c>
      <c r="AT206">
        <v>0.43521810445620157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0.35870192303414178</v>
      </c>
      <c r="BI206">
        <v>0.35870192303414178</v>
      </c>
      <c r="BJ206">
        <v>0.51481549404185534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0.48518450595814466</v>
      </c>
      <c r="BV206">
        <v>0</v>
      </c>
      <c r="BW206">
        <v>0</v>
      </c>
      <c r="BX206">
        <v>0</v>
      </c>
      <c r="BY206">
        <v>0.35870192303414178</v>
      </c>
      <c r="BZ206">
        <v>0</v>
      </c>
      <c r="CA206">
        <v>0</v>
      </c>
      <c r="CB206">
        <v>0</v>
      </c>
      <c r="CC206">
        <v>0</v>
      </c>
      <c r="CD206">
        <v>0</v>
      </c>
    </row>
    <row r="207" spans="1:82" hidden="1" x14ac:dyDescent="0.25">
      <c r="A207" t="s">
        <v>128</v>
      </c>
      <c r="B207" t="s">
        <v>422</v>
      </c>
      <c r="C207" s="14" t="s">
        <v>72</v>
      </c>
      <c r="D207" s="12">
        <v>46245</v>
      </c>
      <c r="E207" s="14" t="s">
        <v>133</v>
      </c>
      <c r="F207" s="14" t="s">
        <v>75</v>
      </c>
      <c r="G207">
        <v>10.972274579690296</v>
      </c>
      <c r="H207">
        <v>5.6999999999999993</v>
      </c>
      <c r="I207">
        <v>20</v>
      </c>
      <c r="J207">
        <v>5.6999999999999993</v>
      </c>
      <c r="K207">
        <v>46245</v>
      </c>
      <c r="L207" t="s">
        <v>488</v>
      </c>
      <c r="M207">
        <v>6.4102941176470569</v>
      </c>
      <c r="N207">
        <v>0.51949119196768112</v>
      </c>
      <c r="O207">
        <v>0.51949119196768112</v>
      </c>
      <c r="P207">
        <v>0.58422654948068153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6.4735357513000413E-2</v>
      </c>
      <c r="AA207">
        <v>0.41577345051931847</v>
      </c>
      <c r="AB207">
        <v>0</v>
      </c>
      <c r="AC207">
        <v>0</v>
      </c>
      <c r="AD207">
        <v>0</v>
      </c>
      <c r="AE207">
        <v>0.51949119196768112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1.9249604525772452</v>
      </c>
      <c r="AL207">
        <v>1.9249604525772452</v>
      </c>
      <c r="AM207">
        <v>1.1246130030959751</v>
      </c>
      <c r="BD207">
        <v>0</v>
      </c>
      <c r="BE207">
        <v>0</v>
      </c>
      <c r="BF207">
        <v>0</v>
      </c>
      <c r="BH207">
        <v>0.88919476944253284</v>
      </c>
      <c r="BI207">
        <v>0.88919476944253284</v>
      </c>
      <c r="BJ207">
        <v>1.7116647658154172</v>
      </c>
      <c r="BK207">
        <v>0.71166476581541716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0.48050880803231888</v>
      </c>
      <c r="BU207">
        <v>0</v>
      </c>
      <c r="BV207">
        <v>0</v>
      </c>
      <c r="BW207">
        <v>0</v>
      </c>
      <c r="BX207">
        <v>0</v>
      </c>
      <c r="BY207">
        <v>0.88919476944253284</v>
      </c>
      <c r="BZ207">
        <v>0</v>
      </c>
      <c r="CA207">
        <v>0</v>
      </c>
      <c r="CB207">
        <v>0</v>
      </c>
      <c r="CC207">
        <v>0</v>
      </c>
      <c r="CD207">
        <v>0</v>
      </c>
    </row>
    <row r="208" spans="1:82" hidden="1" x14ac:dyDescent="0.25">
      <c r="A208" t="s">
        <v>128</v>
      </c>
      <c r="B208" t="s">
        <v>291</v>
      </c>
      <c r="C208" s="14" t="s">
        <v>72</v>
      </c>
      <c r="D208" s="12">
        <v>46245</v>
      </c>
      <c r="E208" s="14" t="s">
        <v>133</v>
      </c>
      <c r="F208" s="14" t="s">
        <v>75</v>
      </c>
      <c r="G208">
        <v>10.972274579690296</v>
      </c>
      <c r="H208">
        <v>10.45</v>
      </c>
      <c r="I208">
        <v>20</v>
      </c>
      <c r="J208">
        <v>10.45</v>
      </c>
      <c r="K208">
        <v>46245</v>
      </c>
      <c r="L208" t="s">
        <v>488</v>
      </c>
      <c r="M208">
        <v>12.1875</v>
      </c>
      <c r="N208">
        <v>0.95240051860741537</v>
      </c>
      <c r="O208">
        <v>0.95240051860741537</v>
      </c>
      <c r="P208">
        <v>1.1107541933519498</v>
      </c>
      <c r="Q208">
        <v>0.1107541933519498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4.7599481392584631E-2</v>
      </c>
      <c r="AA208">
        <v>0</v>
      </c>
      <c r="AB208">
        <v>0</v>
      </c>
      <c r="AC208">
        <v>0</v>
      </c>
      <c r="AD208">
        <v>0</v>
      </c>
      <c r="AE208">
        <v>0.95240051860741537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1.0499784286784972</v>
      </c>
      <c r="AL208">
        <v>1.0499784286784972</v>
      </c>
      <c r="AM208">
        <v>1.1662679425837321</v>
      </c>
      <c r="AN208">
        <v>0.1162895139052349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4.9978428678497222E-2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0.85743589743589743</v>
      </c>
      <c r="BI208">
        <v>0.85743589743589743</v>
      </c>
      <c r="BJ208">
        <v>0.90028919628228077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9.9710803717719232E-2</v>
      </c>
      <c r="BV208">
        <v>0</v>
      </c>
      <c r="BW208">
        <v>0</v>
      </c>
      <c r="BX208">
        <v>0</v>
      </c>
      <c r="BY208">
        <v>0.85743589743589743</v>
      </c>
      <c r="BZ208">
        <v>0</v>
      </c>
      <c r="CA208">
        <v>0</v>
      </c>
      <c r="CB208">
        <v>0</v>
      </c>
      <c r="CC208">
        <v>0</v>
      </c>
      <c r="CD208">
        <v>0</v>
      </c>
    </row>
    <row r="209" spans="1:82" hidden="1" x14ac:dyDescent="0.25">
      <c r="A209" t="s">
        <v>128</v>
      </c>
      <c r="B209" t="s">
        <v>421</v>
      </c>
      <c r="C209" s="14" t="s">
        <v>72</v>
      </c>
      <c r="D209" s="12">
        <v>46246</v>
      </c>
      <c r="E209" s="14" t="s">
        <v>133</v>
      </c>
      <c r="F209" s="14" t="s">
        <v>73</v>
      </c>
      <c r="G209">
        <v>9.9337595944147079</v>
      </c>
      <c r="H209">
        <v>49.4</v>
      </c>
      <c r="I209">
        <v>20</v>
      </c>
      <c r="J209">
        <v>49.4</v>
      </c>
      <c r="K209">
        <v>46246</v>
      </c>
      <c r="L209" t="s">
        <v>489</v>
      </c>
      <c r="M209">
        <v>13.917936934389145</v>
      </c>
      <c r="N209">
        <v>4.9729409626316432</v>
      </c>
      <c r="O209">
        <v>4.9729409626316432</v>
      </c>
      <c r="P209">
        <v>1.4010744675374021</v>
      </c>
      <c r="Q209">
        <v>0</v>
      </c>
      <c r="R209">
        <v>0</v>
      </c>
      <c r="S209">
        <v>3.5718664950942411</v>
      </c>
      <c r="T209">
        <v>0</v>
      </c>
      <c r="U209">
        <v>0.15107446753740206</v>
      </c>
      <c r="V209">
        <v>0</v>
      </c>
      <c r="W209">
        <v>0.25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0.20108825089908317</v>
      </c>
      <c r="AL209">
        <v>0.20108825089908317</v>
      </c>
      <c r="AM209">
        <v>0.28173961405646042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0.71826038594353958</v>
      </c>
      <c r="AY209">
        <v>0</v>
      </c>
      <c r="AZ209">
        <v>0</v>
      </c>
      <c r="BA209">
        <v>0</v>
      </c>
      <c r="BB209">
        <v>0.20108825089908317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3.5493766233370385</v>
      </c>
      <c r="BI209">
        <v>3.5493766233370385</v>
      </c>
      <c r="BJ209">
        <v>0.71373793696893906</v>
      </c>
      <c r="CA209">
        <v>0</v>
      </c>
      <c r="CB209">
        <v>0</v>
      </c>
      <c r="CC209">
        <v>0</v>
      </c>
    </row>
    <row r="210" spans="1:82" hidden="1" x14ac:dyDescent="0.25">
      <c r="A210" t="s">
        <v>128</v>
      </c>
      <c r="B210" t="s">
        <v>422</v>
      </c>
      <c r="C210" s="14" t="s">
        <v>72</v>
      </c>
      <c r="D210" s="12">
        <v>46246</v>
      </c>
      <c r="E210" s="14" t="s">
        <v>133</v>
      </c>
      <c r="F210" s="14" t="s">
        <v>73</v>
      </c>
      <c r="G210">
        <v>12.575914710568108</v>
      </c>
      <c r="H210">
        <v>40.85</v>
      </c>
      <c r="I210">
        <v>20</v>
      </c>
      <c r="J210">
        <v>40.85</v>
      </c>
      <c r="K210">
        <v>46246</v>
      </c>
      <c r="L210" t="s">
        <v>489</v>
      </c>
      <c r="M210">
        <v>7.8392156862745086</v>
      </c>
      <c r="N210">
        <v>3.2482726656592149</v>
      </c>
      <c r="O210">
        <v>3.2482726656592149</v>
      </c>
      <c r="P210">
        <v>0.62335153081841932</v>
      </c>
      <c r="Q210">
        <v>0</v>
      </c>
      <c r="R210">
        <v>0</v>
      </c>
      <c r="S210">
        <v>1.9982726656592149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0.25</v>
      </c>
      <c r="Z210">
        <v>0</v>
      </c>
      <c r="AA210">
        <v>0</v>
      </c>
      <c r="AB210">
        <v>0</v>
      </c>
      <c r="AC210">
        <v>0.37664846918158068</v>
      </c>
      <c r="AD210">
        <v>0</v>
      </c>
      <c r="AE210">
        <v>0.62335153081841932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0.30785592926727312</v>
      </c>
      <c r="AL210">
        <v>0.30785592926727312</v>
      </c>
      <c r="AM210">
        <v>0.19190246478028172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0.69214407073272688</v>
      </c>
      <c r="AY210">
        <v>0</v>
      </c>
      <c r="AZ210">
        <v>0.1159534644869914</v>
      </c>
      <c r="BA210">
        <v>0</v>
      </c>
      <c r="BB210">
        <v>0.19190246478028172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5.2109804902451238</v>
      </c>
      <c r="BI210">
        <v>5.2109804902451238</v>
      </c>
      <c r="BJ210">
        <v>1.6042312412180431</v>
      </c>
      <c r="CA210">
        <v>0</v>
      </c>
      <c r="CB210">
        <v>0</v>
      </c>
      <c r="CC210">
        <v>0</v>
      </c>
    </row>
    <row r="211" spans="1:82" hidden="1" x14ac:dyDescent="0.25">
      <c r="A211" t="s">
        <v>128</v>
      </c>
      <c r="B211" t="s">
        <v>291</v>
      </c>
      <c r="C211" s="14" t="s">
        <v>72</v>
      </c>
      <c r="D211" s="12">
        <v>46246</v>
      </c>
      <c r="E211" s="14" t="s">
        <v>133</v>
      </c>
      <c r="F211" s="14" t="s">
        <v>73</v>
      </c>
      <c r="G211">
        <v>12.575914710568108</v>
      </c>
      <c r="H211">
        <v>10.45</v>
      </c>
      <c r="I211">
        <v>20</v>
      </c>
      <c r="J211">
        <v>10.45</v>
      </c>
      <c r="K211">
        <v>46246</v>
      </c>
      <c r="L211" t="s">
        <v>489</v>
      </c>
      <c r="M211">
        <v>11.308823529411764</v>
      </c>
      <c r="N211">
        <v>0.83095347261049668</v>
      </c>
      <c r="O211">
        <v>0.83095347261049668</v>
      </c>
      <c r="P211">
        <v>0.89924461080421048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6.8291138193713796E-2</v>
      </c>
      <c r="AA211">
        <v>0.10075538919578952</v>
      </c>
      <c r="AB211">
        <v>0</v>
      </c>
      <c r="AC211">
        <v>0</v>
      </c>
      <c r="AD211">
        <v>0</v>
      </c>
      <c r="AE211">
        <v>0.83095347261049668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1.2034368144084315</v>
      </c>
      <c r="AL211">
        <v>1.2034368144084315</v>
      </c>
      <c r="AM211">
        <v>1.082184069800169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8.2184069800169013E-2</v>
      </c>
      <c r="AU211">
        <v>0</v>
      </c>
      <c r="AV211">
        <v>0.12125274460826252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0.92405721716514955</v>
      </c>
      <c r="BI211">
        <v>0.92405721716514955</v>
      </c>
      <c r="BJ211">
        <v>1.1120444737563477</v>
      </c>
      <c r="BK211">
        <v>0.11204447375634774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0.16904652738950332</v>
      </c>
      <c r="BU211">
        <v>0</v>
      </c>
      <c r="BV211">
        <v>0</v>
      </c>
      <c r="BW211">
        <v>0</v>
      </c>
      <c r="BX211">
        <v>0</v>
      </c>
      <c r="BY211">
        <v>0.92405721716514955</v>
      </c>
      <c r="BZ211">
        <v>0</v>
      </c>
      <c r="CA211">
        <v>0</v>
      </c>
      <c r="CB211">
        <v>0</v>
      </c>
      <c r="CC211">
        <v>0</v>
      </c>
      <c r="CD211">
        <v>0</v>
      </c>
    </row>
    <row r="212" spans="1:82" hidden="1" x14ac:dyDescent="0.25">
      <c r="A212" t="s">
        <v>128</v>
      </c>
      <c r="B212" t="s">
        <v>421</v>
      </c>
      <c r="C212" s="14" t="s">
        <v>72</v>
      </c>
      <c r="D212" s="12">
        <v>46246</v>
      </c>
      <c r="E212" s="14" t="s">
        <v>133</v>
      </c>
      <c r="F212" s="14" t="s">
        <v>74</v>
      </c>
      <c r="G212">
        <v>4.440974877503046</v>
      </c>
      <c r="H212">
        <v>2.8499999999999996</v>
      </c>
      <c r="I212">
        <v>20</v>
      </c>
      <c r="J212">
        <v>2.8499999999999996</v>
      </c>
      <c r="K212">
        <v>46246</v>
      </c>
      <c r="L212" t="s">
        <v>490</v>
      </c>
      <c r="M212">
        <v>15.038053827300146</v>
      </c>
      <c r="N212">
        <v>0.64175098455013602</v>
      </c>
      <c r="O212">
        <v>0.64175098455013602</v>
      </c>
      <c r="P212">
        <v>3.3862055611887061</v>
      </c>
      <c r="Q212">
        <v>2.3862055611887061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0.35824901544986398</v>
      </c>
      <c r="AA212">
        <v>0</v>
      </c>
      <c r="AB212">
        <v>0</v>
      </c>
      <c r="AC212">
        <v>0</v>
      </c>
      <c r="AD212">
        <v>0</v>
      </c>
      <c r="AE212">
        <v>0.64175098455013602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1.5582367991238759</v>
      </c>
      <c r="AL212">
        <v>1.5582367991238759</v>
      </c>
      <c r="AM212">
        <v>5.2765101148421572</v>
      </c>
      <c r="BD212">
        <v>0</v>
      </c>
      <c r="BE212">
        <v>0</v>
      </c>
      <c r="BF212">
        <v>0</v>
      </c>
      <c r="BH212">
        <v>0.18951920459455315</v>
      </c>
      <c r="BI212">
        <v>0.18951920459455315</v>
      </c>
      <c r="BJ212">
        <v>0.29531579873991948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0.70468420126008047</v>
      </c>
      <c r="BV212">
        <v>0</v>
      </c>
      <c r="BW212">
        <v>0</v>
      </c>
      <c r="BX212">
        <v>0</v>
      </c>
      <c r="BY212">
        <v>0.18951920459455315</v>
      </c>
      <c r="BZ212">
        <v>0</v>
      </c>
      <c r="CA212">
        <v>0</v>
      </c>
      <c r="CB212">
        <v>0</v>
      </c>
      <c r="CC212">
        <v>0</v>
      </c>
      <c r="CD212">
        <v>0</v>
      </c>
    </row>
    <row r="213" spans="1:82" hidden="1" x14ac:dyDescent="0.25">
      <c r="A213" t="s">
        <v>128</v>
      </c>
      <c r="B213" t="s">
        <v>422</v>
      </c>
      <c r="C213" s="14" t="s">
        <v>72</v>
      </c>
      <c r="D213" s="12">
        <v>46246</v>
      </c>
      <c r="E213" s="14" t="s">
        <v>133</v>
      </c>
      <c r="F213" s="14" t="s">
        <v>74</v>
      </c>
      <c r="G213">
        <v>4.220105607573192</v>
      </c>
      <c r="H213">
        <v>2.8499999999999996</v>
      </c>
      <c r="I213">
        <v>20</v>
      </c>
      <c r="J213">
        <v>2.8499999999999996</v>
      </c>
      <c r="K213">
        <v>46246</v>
      </c>
      <c r="L213" t="s">
        <v>490</v>
      </c>
      <c r="M213">
        <v>3.0882352941176467</v>
      </c>
      <c r="N213">
        <v>0.67533854955798522</v>
      </c>
      <c r="O213">
        <v>0.67533854955798522</v>
      </c>
      <c r="P213">
        <v>0.73179099797304903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5.6452448415063805E-2</v>
      </c>
      <c r="AA213">
        <v>0.26820900202695097</v>
      </c>
      <c r="AB213">
        <v>0</v>
      </c>
      <c r="AC213">
        <v>0</v>
      </c>
      <c r="AD213">
        <v>0</v>
      </c>
      <c r="AE213">
        <v>0.67533854955798522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1.4807388096748044</v>
      </c>
      <c r="AL213">
        <v>1.4807388096748044</v>
      </c>
      <c r="AM213">
        <v>1.0835913312693499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8.3591331269349922E-2</v>
      </c>
      <c r="AU213">
        <v>0</v>
      </c>
      <c r="AV213">
        <v>0.3971474784054545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0.92285714285714282</v>
      </c>
      <c r="BI213">
        <v>0.92285714285714282</v>
      </c>
      <c r="BJ213">
        <v>1.3665103872141766</v>
      </c>
      <c r="BK213">
        <v>0.36651038721417661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0.32466145044201478</v>
      </c>
      <c r="BU213">
        <v>0</v>
      </c>
      <c r="BV213">
        <v>0</v>
      </c>
      <c r="BW213">
        <v>0</v>
      </c>
      <c r="BX213">
        <v>0</v>
      </c>
      <c r="BY213">
        <v>0.92285714285714282</v>
      </c>
      <c r="BZ213">
        <v>0</v>
      </c>
      <c r="CA213">
        <v>0</v>
      </c>
      <c r="CB213">
        <v>0</v>
      </c>
      <c r="CC213">
        <v>0</v>
      </c>
      <c r="CD213">
        <v>0</v>
      </c>
    </row>
    <row r="214" spans="1:82" hidden="1" x14ac:dyDescent="0.25">
      <c r="A214" t="s">
        <v>128</v>
      </c>
      <c r="B214" t="s">
        <v>291</v>
      </c>
      <c r="C214" s="14" t="s">
        <v>72</v>
      </c>
      <c r="D214" s="12">
        <v>46246</v>
      </c>
      <c r="E214" s="14" t="s">
        <v>133</v>
      </c>
      <c r="F214" s="14" t="s">
        <v>74</v>
      </c>
      <c r="G214">
        <v>4.220105607573192</v>
      </c>
      <c r="H214">
        <v>30.4</v>
      </c>
      <c r="I214">
        <v>20</v>
      </c>
      <c r="J214">
        <v>30.4</v>
      </c>
      <c r="K214">
        <v>46246</v>
      </c>
      <c r="L214" t="s">
        <v>490</v>
      </c>
      <c r="M214">
        <v>5.6041666666666661</v>
      </c>
      <c r="N214">
        <v>7.2036111952851769</v>
      </c>
      <c r="O214">
        <v>7.2036111952851769</v>
      </c>
      <c r="P214">
        <v>1.327968346718553</v>
      </c>
      <c r="Q214">
        <v>0</v>
      </c>
      <c r="R214">
        <v>0</v>
      </c>
      <c r="S214">
        <v>5.8756428485666241</v>
      </c>
      <c r="T214">
        <v>0</v>
      </c>
      <c r="U214">
        <v>7.7968346718553017E-2</v>
      </c>
      <c r="V214">
        <v>0</v>
      </c>
      <c r="W214">
        <v>0.25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0.13881926340701289</v>
      </c>
      <c r="AL214">
        <v>0.13881926340701289</v>
      </c>
      <c r="AM214">
        <v>0.18434758771929824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0.81565241228070173</v>
      </c>
      <c r="AY214">
        <v>0</v>
      </c>
      <c r="AZ214">
        <v>0</v>
      </c>
      <c r="BA214">
        <v>0</v>
      </c>
      <c r="BB214">
        <v>0.13881926340701289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5.4245353159851302</v>
      </c>
      <c r="BI214">
        <v>5.4245353159851302</v>
      </c>
      <c r="BJ214">
        <v>0.75302999689038375</v>
      </c>
      <c r="CA214">
        <v>0</v>
      </c>
      <c r="CB214">
        <v>0</v>
      </c>
      <c r="CC214">
        <v>0</v>
      </c>
    </row>
    <row r="215" spans="1:82" hidden="1" x14ac:dyDescent="0.25">
      <c r="A215" t="s">
        <v>128</v>
      </c>
      <c r="B215" t="s">
        <v>422</v>
      </c>
      <c r="C215" s="14" t="s">
        <v>72</v>
      </c>
      <c r="D215" s="12">
        <v>46246</v>
      </c>
      <c r="E215" s="14" t="s">
        <v>133</v>
      </c>
      <c r="F215" s="14" t="s">
        <v>75</v>
      </c>
      <c r="G215">
        <v>10.80347035538737</v>
      </c>
      <c r="H215">
        <v>4.75</v>
      </c>
      <c r="I215">
        <v>20</v>
      </c>
      <c r="J215">
        <v>4.75</v>
      </c>
      <c r="K215">
        <v>46246</v>
      </c>
      <c r="L215" t="s">
        <v>491</v>
      </c>
      <c r="M215">
        <v>5.4696078431372541</v>
      </c>
      <c r="N215">
        <v>0.4396735348684801</v>
      </c>
      <c r="O215">
        <v>0.4396735348684801</v>
      </c>
      <c r="P215">
        <v>0.50628248731295156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6.6608952444471459E-2</v>
      </c>
      <c r="AA215">
        <v>0.49371751268704844</v>
      </c>
      <c r="AB215">
        <v>0</v>
      </c>
      <c r="AC215">
        <v>0</v>
      </c>
      <c r="AD215">
        <v>0</v>
      </c>
      <c r="AE215">
        <v>0.4396735348684801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2.274414811660499</v>
      </c>
      <c r="AL215">
        <v>2.274414811660499</v>
      </c>
      <c r="AM215">
        <v>1.1514963880288955</v>
      </c>
      <c r="BD215">
        <v>0</v>
      </c>
      <c r="BE215">
        <v>0</v>
      </c>
      <c r="BF215">
        <v>0</v>
      </c>
      <c r="BH215">
        <v>0.86843520344147707</v>
      </c>
      <c r="BI215">
        <v>0.86843520344147707</v>
      </c>
      <c r="BJ215">
        <v>1.9751818896746942</v>
      </c>
      <c r="BK215">
        <v>0.97518188967469421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0.56032646513151985</v>
      </c>
      <c r="BU215">
        <v>0</v>
      </c>
      <c r="BV215">
        <v>0</v>
      </c>
      <c r="BW215">
        <v>0</v>
      </c>
      <c r="BX215">
        <v>0</v>
      </c>
      <c r="BY215">
        <v>0.86843520344147707</v>
      </c>
      <c r="BZ215">
        <v>0</v>
      </c>
      <c r="CA215">
        <v>0</v>
      </c>
      <c r="CB215">
        <v>0</v>
      </c>
      <c r="CC215">
        <v>0</v>
      </c>
      <c r="CD215">
        <v>0</v>
      </c>
    </row>
    <row r="216" spans="1:82" hidden="1" x14ac:dyDescent="0.25">
      <c r="A216" t="s">
        <v>128</v>
      </c>
      <c r="B216" t="s">
        <v>421</v>
      </c>
      <c r="C216" s="14" t="s">
        <v>72</v>
      </c>
      <c r="D216" s="12">
        <v>46246</v>
      </c>
      <c r="E216" s="14" t="s">
        <v>133</v>
      </c>
      <c r="F216" s="14" t="s">
        <v>75</v>
      </c>
      <c r="G216">
        <v>8.1807431954003462</v>
      </c>
      <c r="H216">
        <v>4.75</v>
      </c>
      <c r="I216">
        <v>20</v>
      </c>
      <c r="J216">
        <v>4.75</v>
      </c>
      <c r="K216">
        <v>46246</v>
      </c>
      <c r="L216" t="s">
        <v>491</v>
      </c>
      <c r="M216">
        <v>15.827889328808451</v>
      </c>
      <c r="N216">
        <v>0.58063184316440897</v>
      </c>
      <c r="O216">
        <v>0.58063184316440897</v>
      </c>
      <c r="P216">
        <v>1.934774011450175</v>
      </c>
      <c r="Q216">
        <v>0.93477401145017502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0.41936815683559103</v>
      </c>
      <c r="AA216">
        <v>0</v>
      </c>
      <c r="AB216">
        <v>0</v>
      </c>
      <c r="AC216">
        <v>0</v>
      </c>
      <c r="AD216">
        <v>0</v>
      </c>
      <c r="AE216">
        <v>0.58063184316440897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1.7222617253474413</v>
      </c>
      <c r="AL216">
        <v>1.7222617253474413</v>
      </c>
      <c r="AM216">
        <v>3.3321872271175685</v>
      </c>
      <c r="BD216">
        <v>0</v>
      </c>
      <c r="BE216">
        <v>0</v>
      </c>
      <c r="BF216">
        <v>0</v>
      </c>
      <c r="BH216">
        <v>0.30010318503772276</v>
      </c>
      <c r="BI216">
        <v>0.30010318503772276</v>
      </c>
      <c r="BJ216">
        <v>0.51685622924533081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0.48314377075466919</v>
      </c>
      <c r="BV216">
        <v>0</v>
      </c>
      <c r="BW216">
        <v>0</v>
      </c>
      <c r="BX216">
        <v>0</v>
      </c>
      <c r="BY216">
        <v>0.30010318503772276</v>
      </c>
      <c r="BZ216">
        <v>0</v>
      </c>
      <c r="CA216">
        <v>0</v>
      </c>
      <c r="CB216">
        <v>0</v>
      </c>
      <c r="CC216">
        <v>0</v>
      </c>
      <c r="CD216">
        <v>0</v>
      </c>
    </row>
    <row r="217" spans="1:82" hidden="1" x14ac:dyDescent="0.25">
      <c r="A217" t="s">
        <v>128</v>
      </c>
      <c r="B217" t="s">
        <v>291</v>
      </c>
      <c r="C217" s="14" t="s">
        <v>72</v>
      </c>
      <c r="D217" s="12">
        <v>46246</v>
      </c>
      <c r="E217" s="14" t="s">
        <v>133</v>
      </c>
      <c r="F217" s="14" t="s">
        <v>75</v>
      </c>
      <c r="G217">
        <v>10.80347035538737</v>
      </c>
      <c r="H217">
        <v>9.5</v>
      </c>
      <c r="I217">
        <v>20</v>
      </c>
      <c r="J217">
        <v>9.5</v>
      </c>
      <c r="K217">
        <v>46246</v>
      </c>
      <c r="L217" t="s">
        <v>491</v>
      </c>
      <c r="M217">
        <v>12.055759803921568</v>
      </c>
      <c r="N217">
        <v>0.8793470697369602</v>
      </c>
      <c r="O217">
        <v>0.8793470697369602</v>
      </c>
      <c r="P217">
        <v>1.1159154796874799</v>
      </c>
      <c r="Q217">
        <v>0.11591547968747995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0.1206529302630398</v>
      </c>
      <c r="AA217">
        <v>0</v>
      </c>
      <c r="AB217">
        <v>0</v>
      </c>
      <c r="AC217">
        <v>0</v>
      </c>
      <c r="AD217">
        <v>0</v>
      </c>
      <c r="AE217">
        <v>0.8793470697369602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1.1372074058302495</v>
      </c>
      <c r="AL217">
        <v>1.1372074058302495</v>
      </c>
      <c r="AM217">
        <v>1.2690273477812177</v>
      </c>
      <c r="AN217">
        <v>0.13181994195096824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0.13720740583024948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0.7880050825921221</v>
      </c>
      <c r="BI217">
        <v>0.7880050825921221</v>
      </c>
      <c r="BJ217">
        <v>0.89612521575563864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0.10387478424436136</v>
      </c>
      <c r="BV217">
        <v>0</v>
      </c>
      <c r="BW217">
        <v>0</v>
      </c>
      <c r="BX217">
        <v>0</v>
      </c>
      <c r="BY217">
        <v>0.7880050825921221</v>
      </c>
      <c r="BZ217">
        <v>0</v>
      </c>
      <c r="CA217">
        <v>0</v>
      </c>
      <c r="CB217">
        <v>0</v>
      </c>
      <c r="CC217">
        <v>0</v>
      </c>
      <c r="CD217">
        <v>0</v>
      </c>
    </row>
    <row r="218" spans="1:82" hidden="1" x14ac:dyDescent="0.25">
      <c r="A218" t="s">
        <v>128</v>
      </c>
      <c r="B218" t="s">
        <v>291</v>
      </c>
      <c r="C218" s="14" t="s">
        <v>72</v>
      </c>
      <c r="D218" s="12">
        <v>46247</v>
      </c>
      <c r="E218" s="14" t="s">
        <v>133</v>
      </c>
      <c r="F218" s="14" t="s">
        <v>73</v>
      </c>
      <c r="G218">
        <v>10.887872467538832</v>
      </c>
      <c r="H218">
        <v>15.2</v>
      </c>
      <c r="I218">
        <v>20</v>
      </c>
      <c r="J218">
        <v>15.2</v>
      </c>
      <c r="K218">
        <v>46247</v>
      </c>
      <c r="L218" t="s">
        <v>492</v>
      </c>
      <c r="M218">
        <v>12.166666666666668</v>
      </c>
      <c r="N218">
        <v>1.3960486812568176</v>
      </c>
      <c r="O218">
        <v>1.3960486812568176</v>
      </c>
      <c r="P218">
        <v>1.1174512470586371</v>
      </c>
      <c r="Q218">
        <v>0</v>
      </c>
      <c r="R218">
        <v>0</v>
      </c>
      <c r="S218">
        <v>0.14604868125681758</v>
      </c>
      <c r="T218">
        <v>0</v>
      </c>
      <c r="U218">
        <v>0</v>
      </c>
      <c r="V218">
        <v>0</v>
      </c>
      <c r="W218">
        <v>0.11745124705863708</v>
      </c>
      <c r="X218">
        <v>0</v>
      </c>
      <c r="Y218">
        <v>0.13254875294136292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0.71630739918018638</v>
      </c>
      <c r="AL218">
        <v>0.71630739918018638</v>
      </c>
      <c r="AM218">
        <v>0.80043859649122817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0.19956140350877183</v>
      </c>
      <c r="AY218">
        <v>0</v>
      </c>
      <c r="AZ218">
        <v>0</v>
      </c>
      <c r="BA218">
        <v>0</v>
      </c>
      <c r="BB218">
        <v>0.71630739918018638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1.2493150684931504</v>
      </c>
      <c r="BI218">
        <v>1.2493150684931504</v>
      </c>
      <c r="BJ218">
        <v>0.89489362746894507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0.24931506849315044</v>
      </c>
      <c r="BT218">
        <v>0</v>
      </c>
      <c r="BU218">
        <v>0</v>
      </c>
      <c r="BV218">
        <v>0</v>
      </c>
      <c r="BW218">
        <v>0.10510637253105493</v>
      </c>
      <c r="BX218">
        <v>0</v>
      </c>
      <c r="BY218">
        <v>0.89489362746894507</v>
      </c>
      <c r="BZ218">
        <v>0</v>
      </c>
      <c r="CA218">
        <v>0</v>
      </c>
      <c r="CB218">
        <v>0</v>
      </c>
      <c r="CC218">
        <v>0</v>
      </c>
      <c r="CD218">
        <v>0</v>
      </c>
    </row>
    <row r="219" spans="1:82" hidden="1" x14ac:dyDescent="0.25">
      <c r="A219" t="s">
        <v>128</v>
      </c>
      <c r="B219" t="s">
        <v>422</v>
      </c>
      <c r="C219" s="14" t="s">
        <v>72</v>
      </c>
      <c r="D219" s="12">
        <v>46247</v>
      </c>
      <c r="E219" s="14" t="s">
        <v>133</v>
      </c>
      <c r="F219" s="14" t="s">
        <v>73</v>
      </c>
      <c r="G219">
        <v>10.887872467538832</v>
      </c>
      <c r="H219">
        <v>26.6</v>
      </c>
      <c r="I219">
        <v>20</v>
      </c>
      <c r="J219">
        <v>26.6</v>
      </c>
      <c r="K219">
        <v>46247</v>
      </c>
      <c r="L219" t="s">
        <v>492</v>
      </c>
      <c r="M219">
        <v>10.075490196078428</v>
      </c>
      <c r="N219">
        <v>2.4430851921994305</v>
      </c>
      <c r="O219">
        <v>2.4430851921994305</v>
      </c>
      <c r="P219">
        <v>0.92538650008232137</v>
      </c>
      <c r="Q219">
        <v>0</v>
      </c>
      <c r="R219">
        <v>0</v>
      </c>
      <c r="S219">
        <v>1.1930851921994305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0.25</v>
      </c>
      <c r="Z219">
        <v>0</v>
      </c>
      <c r="AA219">
        <v>0</v>
      </c>
      <c r="AB219">
        <v>0</v>
      </c>
      <c r="AC219">
        <v>7.4613499917678627E-2</v>
      </c>
      <c r="AD219">
        <v>0</v>
      </c>
      <c r="AE219">
        <v>0.92538650008232137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0.40931851381724937</v>
      </c>
      <c r="AL219">
        <v>0.40931851381724937</v>
      </c>
      <c r="AM219">
        <v>0.3787778269202417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0.59068148618275063</v>
      </c>
      <c r="AY219">
        <v>0</v>
      </c>
      <c r="AZ219">
        <v>3.0540686897007674E-2</v>
      </c>
      <c r="BA219">
        <v>0</v>
      </c>
      <c r="BB219">
        <v>0.3787778269202417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2.6400700593558435</v>
      </c>
      <c r="BI219">
        <v>2.6400700593558435</v>
      </c>
      <c r="BJ219">
        <v>1.0806295530689514</v>
      </c>
      <c r="CA219">
        <v>0</v>
      </c>
      <c r="CB219">
        <v>0</v>
      </c>
      <c r="CC219">
        <v>0</v>
      </c>
    </row>
    <row r="220" spans="1:82" hidden="1" x14ac:dyDescent="0.25">
      <c r="A220" t="s">
        <v>128</v>
      </c>
      <c r="B220" t="s">
        <v>421</v>
      </c>
      <c r="C220" s="14" t="s">
        <v>72</v>
      </c>
      <c r="D220" s="12">
        <v>46247</v>
      </c>
      <c r="E220" s="14" t="s">
        <v>133</v>
      </c>
      <c r="F220" s="14" t="s">
        <v>73</v>
      </c>
      <c r="G220">
        <v>9.9337595944147079</v>
      </c>
      <c r="H220">
        <v>27.549999999999997</v>
      </c>
      <c r="I220">
        <v>20</v>
      </c>
      <c r="J220">
        <v>27.549999999999997</v>
      </c>
      <c r="K220">
        <v>46247</v>
      </c>
      <c r="L220" t="s">
        <v>492</v>
      </c>
      <c r="M220">
        <v>14.177251838235303</v>
      </c>
      <c r="N220">
        <v>2.773370921467647</v>
      </c>
      <c r="O220">
        <v>2.773370921467647</v>
      </c>
      <c r="P220">
        <v>1.4271788745729779</v>
      </c>
      <c r="Q220">
        <v>0</v>
      </c>
      <c r="R220">
        <v>0</v>
      </c>
      <c r="S220">
        <v>1.3461920468946691</v>
      </c>
      <c r="T220">
        <v>0</v>
      </c>
      <c r="U220">
        <v>0.17717887457297787</v>
      </c>
      <c r="V220">
        <v>0</v>
      </c>
      <c r="W220">
        <v>0.25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0.36057203609490779</v>
      </c>
      <c r="AL220">
        <v>0.36057203609490779</v>
      </c>
      <c r="AM220">
        <v>0.51460079267641756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0.48539920732358244</v>
      </c>
      <c r="AY220">
        <v>0</v>
      </c>
      <c r="AZ220">
        <v>0</v>
      </c>
      <c r="BA220">
        <v>0</v>
      </c>
      <c r="BB220">
        <v>0.36057203609490779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1.9432539052243605</v>
      </c>
      <c r="BI220">
        <v>1.9432539052243605</v>
      </c>
      <c r="BJ220">
        <v>0.70068301725612858</v>
      </c>
      <c r="CA220">
        <v>0</v>
      </c>
      <c r="CB220">
        <v>0</v>
      </c>
      <c r="CC220">
        <v>0</v>
      </c>
    </row>
    <row r="221" spans="1:82" hidden="1" x14ac:dyDescent="0.25">
      <c r="A221" t="s">
        <v>128</v>
      </c>
      <c r="B221" t="s">
        <v>291</v>
      </c>
      <c r="C221" s="14" t="s">
        <v>72</v>
      </c>
      <c r="D221" s="12">
        <v>46247</v>
      </c>
      <c r="E221" s="14" t="s">
        <v>133</v>
      </c>
      <c r="F221" s="14" t="s">
        <v>74</v>
      </c>
      <c r="G221">
        <v>4.220105607573192</v>
      </c>
      <c r="H221">
        <v>30.4</v>
      </c>
      <c r="I221">
        <v>20</v>
      </c>
      <c r="J221">
        <v>30.4</v>
      </c>
      <c r="K221">
        <v>46247</v>
      </c>
      <c r="L221" t="s">
        <v>493</v>
      </c>
      <c r="M221">
        <v>4.6874999999999991</v>
      </c>
      <c r="N221">
        <v>7.2036111952851769</v>
      </c>
      <c r="O221">
        <v>7.2036111952851769</v>
      </c>
      <c r="P221">
        <v>1.1107541933519494</v>
      </c>
      <c r="Q221">
        <v>0</v>
      </c>
      <c r="R221">
        <v>0</v>
      </c>
      <c r="S221">
        <v>5.9536111952851769</v>
      </c>
      <c r="T221">
        <v>0</v>
      </c>
      <c r="U221">
        <v>0</v>
      </c>
      <c r="V221">
        <v>0</v>
      </c>
      <c r="W221">
        <v>0.11075419335194936</v>
      </c>
      <c r="X221">
        <v>0</v>
      </c>
      <c r="Y221">
        <v>0.13924580664805064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0.13881926340701289</v>
      </c>
      <c r="AL221">
        <v>0.13881926340701289</v>
      </c>
      <c r="AM221">
        <v>0.15419407894736839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0.84580592105263164</v>
      </c>
      <c r="AY221">
        <v>0</v>
      </c>
      <c r="AZ221">
        <v>0</v>
      </c>
      <c r="BA221">
        <v>0</v>
      </c>
      <c r="BB221">
        <v>0.13881926340701289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6.4853333333333341</v>
      </c>
      <c r="BI221">
        <v>6.4853333333333341</v>
      </c>
      <c r="BJ221">
        <v>0.9002891962822811</v>
      </c>
      <c r="CA221">
        <v>0</v>
      </c>
      <c r="CB221">
        <v>0</v>
      </c>
      <c r="CC221">
        <v>0</v>
      </c>
    </row>
    <row r="222" spans="1:82" hidden="1" x14ac:dyDescent="0.25">
      <c r="A222" t="s">
        <v>128</v>
      </c>
      <c r="B222" t="s">
        <v>421</v>
      </c>
      <c r="C222" s="14" t="s">
        <v>72</v>
      </c>
      <c r="D222" s="12">
        <v>46247</v>
      </c>
      <c r="E222" s="14" t="s">
        <v>133</v>
      </c>
      <c r="F222" s="14" t="s">
        <v>74</v>
      </c>
      <c r="G222">
        <v>4.440974877503046</v>
      </c>
      <c r="H222">
        <v>4.75</v>
      </c>
      <c r="I222">
        <v>20</v>
      </c>
      <c r="J222">
        <v>4.75</v>
      </c>
      <c r="K222">
        <v>46247</v>
      </c>
      <c r="L222" t="s">
        <v>493</v>
      </c>
      <c r="M222">
        <v>13.770465686274507</v>
      </c>
      <c r="N222">
        <v>1.0695849742502268</v>
      </c>
      <c r="O222">
        <v>1.0695849742502268</v>
      </c>
      <c r="P222">
        <v>3.1007754076773795</v>
      </c>
      <c r="Q222">
        <v>2.0311904334271524</v>
      </c>
      <c r="R222">
        <v>0</v>
      </c>
      <c r="S222">
        <v>0</v>
      </c>
      <c r="T222">
        <v>0</v>
      </c>
      <c r="U222">
        <v>0</v>
      </c>
      <c r="V222">
        <v>0.18041502574977319</v>
      </c>
      <c r="W222">
        <v>6.9584974250226805E-2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0.9349420794743255</v>
      </c>
      <c r="AL222">
        <v>0.9349420794743255</v>
      </c>
      <c r="AM222">
        <v>2.8990454076367382</v>
      </c>
      <c r="AN222">
        <v>1.8990454076367382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0.9349420794743255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0.34494113040305435</v>
      </c>
      <c r="BI222">
        <v>0.34494113040305435</v>
      </c>
      <c r="BJ222">
        <v>0.32249997775525607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0.6550588695969457</v>
      </c>
      <c r="BV222">
        <v>0</v>
      </c>
      <c r="BW222">
        <v>2.2441152647798279E-2</v>
      </c>
      <c r="BX222">
        <v>0</v>
      </c>
      <c r="BY222">
        <v>0.32249997775525607</v>
      </c>
      <c r="BZ222">
        <v>0</v>
      </c>
      <c r="CA222">
        <v>0</v>
      </c>
      <c r="CB222">
        <v>0</v>
      </c>
      <c r="CC222">
        <v>0</v>
      </c>
      <c r="CD222">
        <v>0</v>
      </c>
    </row>
    <row r="223" spans="1:82" hidden="1" x14ac:dyDescent="0.25">
      <c r="A223" t="s">
        <v>128</v>
      </c>
      <c r="B223" t="s">
        <v>422</v>
      </c>
      <c r="C223" s="14" t="s">
        <v>72</v>
      </c>
      <c r="D223" s="12">
        <v>46247</v>
      </c>
      <c r="E223" s="14" t="s">
        <v>133</v>
      </c>
      <c r="F223" s="14" t="s">
        <v>74</v>
      </c>
      <c r="G223">
        <v>4.220105607573192</v>
      </c>
      <c r="H223">
        <v>3.8</v>
      </c>
      <c r="I223">
        <v>20</v>
      </c>
      <c r="J223">
        <v>3.8</v>
      </c>
      <c r="K223">
        <v>46247</v>
      </c>
      <c r="L223" t="s">
        <v>493</v>
      </c>
      <c r="M223">
        <v>3.2058823529411757</v>
      </c>
      <c r="N223">
        <v>0.90045139941064711</v>
      </c>
      <c r="O223">
        <v>0.90045139941064711</v>
      </c>
      <c r="P223">
        <v>0.75966875027678415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9.9548600589352887E-2</v>
      </c>
      <c r="AB223">
        <v>0</v>
      </c>
      <c r="AC223">
        <v>0.14078264913386296</v>
      </c>
      <c r="AD223">
        <v>0</v>
      </c>
      <c r="AE223">
        <v>0.75966875027678415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1.1105541072561032</v>
      </c>
      <c r="AL223">
        <v>1.1105541072561032</v>
      </c>
      <c r="AM223">
        <v>0.84365325077399367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0.11055410725610315</v>
      </c>
      <c r="AW223">
        <v>0</v>
      </c>
      <c r="AX223">
        <v>0</v>
      </c>
      <c r="AY223">
        <v>0</v>
      </c>
      <c r="AZ223">
        <v>0.15634674922600633</v>
      </c>
      <c r="BA223">
        <v>0</v>
      </c>
      <c r="BB223">
        <v>0.84365325077399367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1.1853211009174314</v>
      </c>
      <c r="BI223">
        <v>1.1853211009174314</v>
      </c>
      <c r="BJ223">
        <v>1.3163632170411794</v>
      </c>
      <c r="BK223">
        <v>0.13104211612374805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0.18532110091743137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0</v>
      </c>
    </row>
    <row r="224" spans="1:82" hidden="1" x14ac:dyDescent="0.25">
      <c r="A224" t="s">
        <v>128</v>
      </c>
      <c r="B224" t="s">
        <v>422</v>
      </c>
      <c r="C224" s="14" t="s">
        <v>72</v>
      </c>
      <c r="D224" s="12">
        <v>46247</v>
      </c>
      <c r="E224" s="14" t="s">
        <v>133</v>
      </c>
      <c r="F224" s="14" t="s">
        <v>75</v>
      </c>
      <c r="G224">
        <v>10.972274579690296</v>
      </c>
      <c r="H224">
        <v>5.6999999999999993</v>
      </c>
      <c r="I224">
        <v>20</v>
      </c>
      <c r="J224">
        <v>5.6999999999999993</v>
      </c>
      <c r="K224">
        <v>46247</v>
      </c>
      <c r="L224" t="s">
        <v>494</v>
      </c>
      <c r="M224">
        <v>6.4686274509803905</v>
      </c>
      <c r="N224">
        <v>0.51949119196768112</v>
      </c>
      <c r="O224">
        <v>0.51949119196768112</v>
      </c>
      <c r="P224">
        <v>0.58954297980783621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7.0051787840155089E-2</v>
      </c>
      <c r="AA224">
        <v>0.41045702019216379</v>
      </c>
      <c r="AB224">
        <v>0</v>
      </c>
      <c r="AC224">
        <v>0</v>
      </c>
      <c r="AD224">
        <v>0</v>
      </c>
      <c r="AE224">
        <v>0.51949119196768112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1.9249604525772452</v>
      </c>
      <c r="AL224">
        <v>1.9249604525772452</v>
      </c>
      <c r="AM224">
        <v>1.1348469212246302</v>
      </c>
      <c r="BD224">
        <v>0</v>
      </c>
      <c r="BE224">
        <v>0</v>
      </c>
      <c r="BF224">
        <v>0</v>
      </c>
      <c r="BH224">
        <v>0.88117611397393159</v>
      </c>
      <c r="BI224">
        <v>0.88117611397393159</v>
      </c>
      <c r="BJ224">
        <v>1.6962291711555175</v>
      </c>
      <c r="BK224">
        <v>0.69622917115551752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0.48050880803231888</v>
      </c>
      <c r="BU224">
        <v>0</v>
      </c>
      <c r="BV224">
        <v>0</v>
      </c>
      <c r="BW224">
        <v>0</v>
      </c>
      <c r="BX224">
        <v>0</v>
      </c>
      <c r="BY224">
        <v>0.88117611397393159</v>
      </c>
      <c r="BZ224">
        <v>0</v>
      </c>
      <c r="CA224">
        <v>0</v>
      </c>
      <c r="CB224">
        <v>0</v>
      </c>
      <c r="CC224">
        <v>0</v>
      </c>
      <c r="CD224">
        <v>0</v>
      </c>
    </row>
    <row r="225" spans="1:82" hidden="1" x14ac:dyDescent="0.25">
      <c r="A225" t="s">
        <v>128</v>
      </c>
      <c r="B225" t="s">
        <v>291</v>
      </c>
      <c r="C225" s="14" t="s">
        <v>72</v>
      </c>
      <c r="D225" s="12">
        <v>46247</v>
      </c>
      <c r="E225" s="14" t="s">
        <v>133</v>
      </c>
      <c r="F225" s="14" t="s">
        <v>75</v>
      </c>
      <c r="G225">
        <v>10.972274579690296</v>
      </c>
      <c r="H225">
        <v>1.9</v>
      </c>
      <c r="I225">
        <v>20</v>
      </c>
      <c r="J225">
        <v>1.9</v>
      </c>
      <c r="K225">
        <v>46247</v>
      </c>
      <c r="L225" t="s">
        <v>494</v>
      </c>
      <c r="M225">
        <v>12.24609375</v>
      </c>
      <c r="N225">
        <v>0.17316373065589372</v>
      </c>
      <c r="O225">
        <v>0.17316373065589372</v>
      </c>
      <c r="P225">
        <v>1.1160943577430651</v>
      </c>
      <c r="Q225">
        <v>0.11609435774306509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0.82683626934410626</v>
      </c>
      <c r="AA225">
        <v>0</v>
      </c>
      <c r="AB225">
        <v>0</v>
      </c>
      <c r="AC225">
        <v>0</v>
      </c>
      <c r="AD225">
        <v>0</v>
      </c>
      <c r="AE225">
        <v>0.17316373065589372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5.7748813577317355</v>
      </c>
      <c r="AL225">
        <v>5.7748813577317355</v>
      </c>
      <c r="AM225">
        <v>6.4453125</v>
      </c>
      <c r="BD225">
        <v>0</v>
      </c>
      <c r="BE225">
        <v>0</v>
      </c>
      <c r="BF225">
        <v>0</v>
      </c>
      <c r="BH225">
        <v>0.15515151515151515</v>
      </c>
      <c r="BI225">
        <v>0.15515151515151515</v>
      </c>
      <c r="BJ225">
        <v>0.89598159247231768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0.10401840752768232</v>
      </c>
      <c r="BV225">
        <v>0</v>
      </c>
      <c r="BW225">
        <v>0</v>
      </c>
      <c r="BX225">
        <v>0</v>
      </c>
      <c r="BY225">
        <v>0.15515151515151515</v>
      </c>
      <c r="BZ225">
        <v>0</v>
      </c>
      <c r="CA225">
        <v>0</v>
      </c>
      <c r="CB225">
        <v>0</v>
      </c>
      <c r="CC225">
        <v>0</v>
      </c>
      <c r="CD225">
        <v>0</v>
      </c>
    </row>
    <row r="226" spans="1:82" hidden="1" x14ac:dyDescent="0.25">
      <c r="A226" t="s">
        <v>128</v>
      </c>
      <c r="B226" t="s">
        <v>421</v>
      </c>
      <c r="C226" s="14" t="s">
        <v>72</v>
      </c>
      <c r="D226" s="12">
        <v>46247</v>
      </c>
      <c r="E226" s="14" t="s">
        <v>133</v>
      </c>
      <c r="F226" s="14" t="s">
        <v>75</v>
      </c>
      <c r="G226">
        <v>8.1223093154332009</v>
      </c>
      <c r="H226">
        <v>5.6999999999999993</v>
      </c>
      <c r="I226">
        <v>20</v>
      </c>
      <c r="J226">
        <v>5.6999999999999993</v>
      </c>
      <c r="K226">
        <v>46247</v>
      </c>
      <c r="L226" t="s">
        <v>494</v>
      </c>
      <c r="M226">
        <v>12.070343137254902</v>
      </c>
      <c r="N226">
        <v>0.70177086080302664</v>
      </c>
      <c r="O226">
        <v>0.70177086080302664</v>
      </c>
      <c r="P226">
        <v>1.4860728234419787</v>
      </c>
      <c r="Q226">
        <v>0.48607282344197866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0.29822913919697336</v>
      </c>
      <c r="AA226">
        <v>0</v>
      </c>
      <c r="AB226">
        <v>0</v>
      </c>
      <c r="AC226">
        <v>0</v>
      </c>
      <c r="AD226">
        <v>0</v>
      </c>
      <c r="AE226">
        <v>0.70177086080302664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1.4249665465672283</v>
      </c>
      <c r="AL226">
        <v>1.4249665465672283</v>
      </c>
      <c r="AM226">
        <v>2.1176040591675269</v>
      </c>
      <c r="AN226">
        <v>0.6926375126002986</v>
      </c>
      <c r="AO226">
        <v>0</v>
      </c>
      <c r="AP226">
        <v>0</v>
      </c>
      <c r="AQ226">
        <v>0</v>
      </c>
      <c r="AR226">
        <v>0</v>
      </c>
      <c r="AS226">
        <v>7.503345343277168E-2</v>
      </c>
      <c r="AT226">
        <v>0.42496654656722832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0.47223181107478623</v>
      </c>
      <c r="BI226">
        <v>0.47223181107478623</v>
      </c>
      <c r="BJ226">
        <v>0.67291453300642601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0.32708546699357399</v>
      </c>
      <c r="BV226">
        <v>0</v>
      </c>
      <c r="BW226">
        <v>0</v>
      </c>
      <c r="BX226">
        <v>0</v>
      </c>
      <c r="BY226">
        <v>0.47223181107478623</v>
      </c>
      <c r="BZ226">
        <v>0</v>
      </c>
      <c r="CA226">
        <v>0</v>
      </c>
      <c r="CB226">
        <v>0</v>
      </c>
      <c r="CC226">
        <v>0</v>
      </c>
      <c r="CD226">
        <v>0</v>
      </c>
    </row>
    <row r="227" spans="1:82" hidden="1" x14ac:dyDescent="0.25">
      <c r="A227" t="s">
        <v>128</v>
      </c>
      <c r="B227" t="s">
        <v>291</v>
      </c>
      <c r="C227" s="14" t="s">
        <v>72</v>
      </c>
      <c r="D227" s="12">
        <v>46248</v>
      </c>
      <c r="E227" s="14" t="s">
        <v>133</v>
      </c>
      <c r="F227" s="14" t="s">
        <v>73</v>
      </c>
      <c r="G227">
        <v>10.972274579690296</v>
      </c>
      <c r="H227">
        <v>22.799999999999997</v>
      </c>
      <c r="I227">
        <v>20</v>
      </c>
      <c r="J227">
        <v>22.799999999999997</v>
      </c>
      <c r="K227">
        <v>46248</v>
      </c>
      <c r="L227" t="s">
        <v>495</v>
      </c>
      <c r="M227">
        <v>10.371323529411764</v>
      </c>
      <c r="N227">
        <v>2.0779647678707245</v>
      </c>
      <c r="O227">
        <v>2.0779647678707245</v>
      </c>
      <c r="P227">
        <v>0.94523003904852199</v>
      </c>
      <c r="Q227">
        <v>0</v>
      </c>
      <c r="R227">
        <v>0</v>
      </c>
      <c r="S227">
        <v>0.82796476787072448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0.25</v>
      </c>
      <c r="Z227">
        <v>0</v>
      </c>
      <c r="AA227">
        <v>0</v>
      </c>
      <c r="AB227">
        <v>0</v>
      </c>
      <c r="AC227">
        <v>5.4769960951478014E-2</v>
      </c>
      <c r="AD227">
        <v>0</v>
      </c>
      <c r="AE227">
        <v>0.94523003904852199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0.48124011314431131</v>
      </c>
      <c r="AL227">
        <v>0.48124011314431131</v>
      </c>
      <c r="AM227">
        <v>0.45488261093911253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0.51875988685568863</v>
      </c>
      <c r="AY227">
        <v>0</v>
      </c>
      <c r="AZ227">
        <v>2.635750220519878E-2</v>
      </c>
      <c r="BA227">
        <v>0</v>
      </c>
      <c r="BB227">
        <v>0.45488261093911253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2.1983693725629205</v>
      </c>
      <c r="BI227">
        <v>2.1983693725629205</v>
      </c>
      <c r="BJ227">
        <v>1.0579435255851686</v>
      </c>
      <c r="CA227">
        <v>0</v>
      </c>
      <c r="CB227">
        <v>0</v>
      </c>
      <c r="CC227">
        <v>0</v>
      </c>
    </row>
    <row r="228" spans="1:82" hidden="1" x14ac:dyDescent="0.25">
      <c r="A228" t="s">
        <v>128</v>
      </c>
      <c r="B228" t="s">
        <v>422</v>
      </c>
      <c r="C228" s="14" t="s">
        <v>72</v>
      </c>
      <c r="D228" s="12">
        <v>46248</v>
      </c>
      <c r="E228" s="14" t="s">
        <v>133</v>
      </c>
      <c r="F228" s="14" t="s">
        <v>73</v>
      </c>
      <c r="G228">
        <v>10.972274579690296</v>
      </c>
      <c r="H228">
        <v>23.75</v>
      </c>
      <c r="I228">
        <v>20</v>
      </c>
      <c r="J228">
        <v>23.75</v>
      </c>
      <c r="K228">
        <v>46248</v>
      </c>
      <c r="L228" t="s">
        <v>495</v>
      </c>
      <c r="M228">
        <v>9.258823529411762</v>
      </c>
      <c r="N228">
        <v>2.1645466331986714</v>
      </c>
      <c r="O228">
        <v>2.1645466331986714</v>
      </c>
      <c r="P228">
        <v>0.84383811780921558</v>
      </c>
      <c r="Q228">
        <v>0</v>
      </c>
      <c r="R228">
        <v>0</v>
      </c>
      <c r="S228">
        <v>0.91454663319867135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0.25</v>
      </c>
      <c r="Z228">
        <v>0</v>
      </c>
      <c r="AA228">
        <v>0</v>
      </c>
      <c r="AB228">
        <v>0</v>
      </c>
      <c r="AC228">
        <v>0.15616188219078442</v>
      </c>
      <c r="AD228">
        <v>0</v>
      </c>
      <c r="AE228">
        <v>0.84383811780921558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0.4619905086185388</v>
      </c>
      <c r="AL228">
        <v>0.4619905086185388</v>
      </c>
      <c r="AM228">
        <v>0.38984520123839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0.53800949138146126</v>
      </c>
      <c r="AY228">
        <v>0</v>
      </c>
      <c r="AZ228">
        <v>7.2145307380148793E-2</v>
      </c>
      <c r="BA228">
        <v>0</v>
      </c>
      <c r="BB228">
        <v>0.38984520123839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2.5651207115628978</v>
      </c>
      <c r="BI228">
        <v>2.5651207115628978</v>
      </c>
      <c r="BJ228">
        <v>1.1850614222028912</v>
      </c>
      <c r="CA228">
        <v>0</v>
      </c>
      <c r="CB228">
        <v>0</v>
      </c>
      <c r="CC228">
        <v>0</v>
      </c>
    </row>
    <row r="229" spans="1:82" hidden="1" x14ac:dyDescent="0.25">
      <c r="A229" t="s">
        <v>128</v>
      </c>
      <c r="B229" t="s">
        <v>421</v>
      </c>
      <c r="C229" s="14" t="s">
        <v>72</v>
      </c>
      <c r="D229" s="12">
        <v>46248</v>
      </c>
      <c r="E229" s="14" t="s">
        <v>133</v>
      </c>
      <c r="F229" s="14" t="s">
        <v>73</v>
      </c>
      <c r="G229">
        <v>9.9337595944147079</v>
      </c>
      <c r="H229">
        <v>32.299999999999997</v>
      </c>
      <c r="I229">
        <v>20</v>
      </c>
      <c r="J229">
        <v>32.299999999999997</v>
      </c>
      <c r="K229">
        <v>46248</v>
      </c>
      <c r="L229" t="s">
        <v>495</v>
      </c>
      <c r="M229">
        <v>10.510845588235297</v>
      </c>
      <c r="N229">
        <v>3.2515383217206897</v>
      </c>
      <c r="O229">
        <v>3.2515383217206897</v>
      </c>
      <c r="P229">
        <v>1.0580934125026598</v>
      </c>
      <c r="Q229">
        <v>0</v>
      </c>
      <c r="R229">
        <v>0</v>
      </c>
      <c r="S229">
        <v>2.0015383217206897</v>
      </c>
      <c r="T229">
        <v>0</v>
      </c>
      <c r="U229">
        <v>0</v>
      </c>
      <c r="V229">
        <v>0</v>
      </c>
      <c r="W229">
        <v>5.8093412502659758E-2</v>
      </c>
      <c r="X229">
        <v>0</v>
      </c>
      <c r="Y229">
        <v>0.19190658749734024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0.30754673666918603</v>
      </c>
      <c r="AL229">
        <v>0.30754673666918603</v>
      </c>
      <c r="AM229">
        <v>0.32541317610635595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0.67458682389364411</v>
      </c>
      <c r="AY229">
        <v>0</v>
      </c>
      <c r="AZ229">
        <v>0</v>
      </c>
      <c r="BA229">
        <v>0</v>
      </c>
      <c r="BB229">
        <v>0.30754673666918603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3.0730163171793832</v>
      </c>
      <c r="BI229">
        <v>3.0730163171793832</v>
      </c>
      <c r="BJ229">
        <v>0.94509614007967957</v>
      </c>
      <c r="CA229">
        <v>0</v>
      </c>
      <c r="CB229">
        <v>0</v>
      </c>
      <c r="CC229">
        <v>0</v>
      </c>
    </row>
    <row r="230" spans="1:82" hidden="1" x14ac:dyDescent="0.25">
      <c r="A230" t="s">
        <v>128</v>
      </c>
      <c r="B230" t="s">
        <v>291</v>
      </c>
      <c r="C230" s="14" t="s">
        <v>72</v>
      </c>
      <c r="D230" s="12">
        <v>46248</v>
      </c>
      <c r="E230" s="14" t="s">
        <v>133</v>
      </c>
      <c r="F230" s="14" t="s">
        <v>74</v>
      </c>
      <c r="G230">
        <v>4.220105607573192</v>
      </c>
      <c r="H230">
        <v>30.4</v>
      </c>
      <c r="I230">
        <v>20</v>
      </c>
      <c r="J230">
        <v>30.4</v>
      </c>
      <c r="K230">
        <v>46248</v>
      </c>
      <c r="L230" t="s">
        <v>496</v>
      </c>
      <c r="M230">
        <v>3.7499999999999991</v>
      </c>
      <c r="N230">
        <v>7.2036111952851769</v>
      </c>
      <c r="O230">
        <v>7.2036111952851769</v>
      </c>
      <c r="P230">
        <v>0.88860335468155949</v>
      </c>
      <c r="Q230">
        <v>0</v>
      </c>
      <c r="R230">
        <v>0</v>
      </c>
      <c r="S230">
        <v>5.9536111952851769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0.25</v>
      </c>
      <c r="Z230">
        <v>0</v>
      </c>
      <c r="AA230">
        <v>0</v>
      </c>
      <c r="AB230">
        <v>0</v>
      </c>
      <c r="AC230">
        <v>0.11139664531844051</v>
      </c>
      <c r="AD230">
        <v>0</v>
      </c>
      <c r="AE230">
        <v>0.88860335468155949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0.13881926340701289</v>
      </c>
      <c r="AL230">
        <v>0.13881926340701289</v>
      </c>
      <c r="AM230">
        <v>0.12335526315789472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0.86118073659298711</v>
      </c>
      <c r="AY230">
        <v>0</v>
      </c>
      <c r="AZ230">
        <v>1.5464000249118176E-2</v>
      </c>
      <c r="BA230">
        <v>0</v>
      </c>
      <c r="BB230">
        <v>0.12335526315789472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8.1066666666666674</v>
      </c>
      <c r="BI230">
        <v>8.1066666666666674</v>
      </c>
      <c r="BJ230">
        <v>1.1253614953528515</v>
      </c>
      <c r="CA230">
        <v>0</v>
      </c>
      <c r="CB230">
        <v>0</v>
      </c>
      <c r="CC230">
        <v>0</v>
      </c>
    </row>
    <row r="231" spans="1:82" hidden="1" x14ac:dyDescent="0.25">
      <c r="A231" t="s">
        <v>128</v>
      </c>
      <c r="B231" t="s">
        <v>422</v>
      </c>
      <c r="C231" s="14" t="s">
        <v>72</v>
      </c>
      <c r="D231" s="12">
        <v>46248</v>
      </c>
      <c r="E231" s="14" t="s">
        <v>133</v>
      </c>
      <c r="F231" s="14" t="s">
        <v>74</v>
      </c>
      <c r="G231">
        <v>4.220105607573192</v>
      </c>
      <c r="H231">
        <v>3.8</v>
      </c>
      <c r="I231">
        <v>20</v>
      </c>
      <c r="J231">
        <v>3.8</v>
      </c>
      <c r="K231">
        <v>46248</v>
      </c>
      <c r="L231" t="s">
        <v>496</v>
      </c>
      <c r="M231">
        <v>3.2058823529411757</v>
      </c>
      <c r="N231">
        <v>0.90045139941064711</v>
      </c>
      <c r="O231">
        <v>0.90045139941064711</v>
      </c>
      <c r="P231">
        <v>0.75966875027678415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9.9548600589352887E-2</v>
      </c>
      <c r="AB231">
        <v>0</v>
      </c>
      <c r="AC231">
        <v>0.14078264913386296</v>
      </c>
      <c r="AD231">
        <v>0</v>
      </c>
      <c r="AE231">
        <v>0.75966875027678415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1.1105541072561032</v>
      </c>
      <c r="AL231">
        <v>1.1105541072561032</v>
      </c>
      <c r="AM231">
        <v>0.84365325077399367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0.11055410725610315</v>
      </c>
      <c r="AW231">
        <v>0</v>
      </c>
      <c r="AX231">
        <v>0</v>
      </c>
      <c r="AY231">
        <v>0</v>
      </c>
      <c r="AZ231">
        <v>0.15634674922600633</v>
      </c>
      <c r="BA231">
        <v>0</v>
      </c>
      <c r="BB231">
        <v>0.84365325077399367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1.1853211009174314</v>
      </c>
      <c r="BI231">
        <v>1.1853211009174314</v>
      </c>
      <c r="BJ231">
        <v>1.3163632170411794</v>
      </c>
      <c r="BK231">
        <v>0.13104211612374805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0.18532110091743137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</row>
    <row r="232" spans="1:82" hidden="1" x14ac:dyDescent="0.25">
      <c r="A232" t="s">
        <v>128</v>
      </c>
      <c r="B232" t="s">
        <v>421</v>
      </c>
      <c r="C232" s="14" t="s">
        <v>72</v>
      </c>
      <c r="D232" s="12">
        <v>46248</v>
      </c>
      <c r="E232" s="14" t="s">
        <v>133</v>
      </c>
      <c r="F232" s="14" t="s">
        <v>74</v>
      </c>
      <c r="G232">
        <v>4.440974877503046</v>
      </c>
      <c r="H232">
        <v>3.8</v>
      </c>
      <c r="I232">
        <v>20</v>
      </c>
      <c r="J232">
        <v>3.8</v>
      </c>
      <c r="K232">
        <v>46248</v>
      </c>
      <c r="L232" t="s">
        <v>496</v>
      </c>
      <c r="M232">
        <v>8.4963235294117627</v>
      </c>
      <c r="N232">
        <v>0.85566797940018147</v>
      </c>
      <c r="O232">
        <v>0.85566797940018147</v>
      </c>
      <c r="P232">
        <v>1.9131663123005216</v>
      </c>
      <c r="Q232">
        <v>0.91316631230052159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0.14433202059981853</v>
      </c>
      <c r="AA232">
        <v>0</v>
      </c>
      <c r="AB232">
        <v>0</v>
      </c>
      <c r="AC232">
        <v>0</v>
      </c>
      <c r="AD232">
        <v>0</v>
      </c>
      <c r="AE232">
        <v>0.85566797940018147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1.1686775993429068</v>
      </c>
      <c r="AL232">
        <v>1.1686775993429068</v>
      </c>
      <c r="AM232">
        <v>2.2358746130030958</v>
      </c>
      <c r="AN232">
        <v>1.0671970136601889</v>
      </c>
      <c r="AO232">
        <v>0</v>
      </c>
      <c r="AP232">
        <v>0</v>
      </c>
      <c r="AQ232">
        <v>0</v>
      </c>
      <c r="AR232">
        <v>0</v>
      </c>
      <c r="AS232">
        <v>0.33132240065709317</v>
      </c>
      <c r="AT232">
        <v>0.16867759934290683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0.44725227174383392</v>
      </c>
      <c r="BI232">
        <v>0.44725227174383392</v>
      </c>
      <c r="BJ232">
        <v>0.52269371124224528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0.47730628875775472</v>
      </c>
      <c r="BV232">
        <v>0</v>
      </c>
      <c r="BW232">
        <v>0</v>
      </c>
      <c r="BX232">
        <v>0</v>
      </c>
      <c r="BY232">
        <v>0.44725227174383392</v>
      </c>
      <c r="BZ232">
        <v>0</v>
      </c>
      <c r="CA232">
        <v>0</v>
      </c>
      <c r="CB232">
        <v>0</v>
      </c>
      <c r="CC232">
        <v>0</v>
      </c>
      <c r="CD232">
        <v>0</v>
      </c>
    </row>
    <row r="233" spans="1:82" hidden="1" x14ac:dyDescent="0.25">
      <c r="A233" t="s">
        <v>128</v>
      </c>
      <c r="B233" t="s">
        <v>291</v>
      </c>
      <c r="C233" s="14" t="s">
        <v>72</v>
      </c>
      <c r="D233" s="12">
        <v>46248</v>
      </c>
      <c r="E233" s="14" t="s">
        <v>133</v>
      </c>
      <c r="F233" s="14" t="s">
        <v>75</v>
      </c>
      <c r="G233">
        <v>11.028542654457937</v>
      </c>
      <c r="H233">
        <v>4.75</v>
      </c>
      <c r="I233">
        <v>20</v>
      </c>
      <c r="J233">
        <v>4.75</v>
      </c>
      <c r="K233">
        <v>46248</v>
      </c>
      <c r="L233" t="s">
        <v>497</v>
      </c>
      <c r="M233">
        <v>12.191176470588236</v>
      </c>
      <c r="N233">
        <v>0.43070060558545004</v>
      </c>
      <c r="O233">
        <v>0.43070060558545004</v>
      </c>
      <c r="P233">
        <v>1.105420439722409</v>
      </c>
      <c r="Q233">
        <v>0.105420439722409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0.56929939441454991</v>
      </c>
      <c r="AA233">
        <v>0</v>
      </c>
      <c r="AB233">
        <v>0</v>
      </c>
      <c r="AC233">
        <v>0</v>
      </c>
      <c r="AD233">
        <v>0</v>
      </c>
      <c r="AE233">
        <v>0.43070060558545004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2.321798453570092</v>
      </c>
      <c r="AL233">
        <v>2.321798453570092</v>
      </c>
      <c r="AM233">
        <v>2.5665634674922599</v>
      </c>
      <c r="BD233">
        <v>0</v>
      </c>
      <c r="BE233">
        <v>0</v>
      </c>
      <c r="BF233">
        <v>0</v>
      </c>
      <c r="BH233">
        <v>0.3896260554885404</v>
      </c>
      <c r="BI233">
        <v>0.3896260554885404</v>
      </c>
      <c r="BJ233">
        <v>0.90463317310390789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9.5366826896092105E-2</v>
      </c>
      <c r="BV233">
        <v>0</v>
      </c>
      <c r="BW233">
        <v>0</v>
      </c>
      <c r="BX233">
        <v>0</v>
      </c>
      <c r="BY233">
        <v>0.3896260554885404</v>
      </c>
      <c r="BZ233">
        <v>0</v>
      </c>
      <c r="CA233">
        <v>0</v>
      </c>
      <c r="CB233">
        <v>0</v>
      </c>
      <c r="CC233">
        <v>0</v>
      </c>
      <c r="CD233">
        <v>0</v>
      </c>
    </row>
    <row r="234" spans="1:82" hidden="1" x14ac:dyDescent="0.25">
      <c r="A234" t="s">
        <v>128</v>
      </c>
      <c r="B234" t="s">
        <v>422</v>
      </c>
      <c r="C234" s="14" t="s">
        <v>72</v>
      </c>
      <c r="D234" s="12">
        <v>46248</v>
      </c>
      <c r="E234" s="14" t="s">
        <v>133</v>
      </c>
      <c r="F234" s="14" t="s">
        <v>75</v>
      </c>
      <c r="G234">
        <v>11.028542654457937</v>
      </c>
      <c r="H234">
        <v>6.6499999999999995</v>
      </c>
      <c r="I234">
        <v>20</v>
      </c>
      <c r="J234">
        <v>6.6499999999999995</v>
      </c>
      <c r="K234">
        <v>46248</v>
      </c>
      <c r="L234" t="s">
        <v>497</v>
      </c>
      <c r="M234">
        <v>7.1602941176470605</v>
      </c>
      <c r="N234">
        <v>0.60298084781963002</v>
      </c>
      <c r="O234">
        <v>0.60298084781963002</v>
      </c>
      <c r="P234">
        <v>0.64925116055589993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4.6270312736269914E-2</v>
      </c>
      <c r="AA234">
        <v>0.35074883944410007</v>
      </c>
      <c r="AB234">
        <v>0</v>
      </c>
      <c r="AC234">
        <v>0</v>
      </c>
      <c r="AD234">
        <v>0</v>
      </c>
      <c r="AE234">
        <v>0.60298084781963002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1.6584274668357801</v>
      </c>
      <c r="AL234">
        <v>1.6584274668357801</v>
      </c>
      <c r="AM234">
        <v>1.0767359575409114</v>
      </c>
      <c r="BD234">
        <v>0</v>
      </c>
      <c r="BE234">
        <v>0</v>
      </c>
      <c r="BF234">
        <v>0</v>
      </c>
      <c r="BH234">
        <v>0.92873279934278052</v>
      </c>
      <c r="BI234">
        <v>0.92873279934278052</v>
      </c>
      <c r="BJ234">
        <v>1.5402359837813504</v>
      </c>
      <c r="BK234">
        <v>0.5402359837813504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0.39701915218036998</v>
      </c>
      <c r="BU234">
        <v>0</v>
      </c>
      <c r="BV234">
        <v>0</v>
      </c>
      <c r="BW234">
        <v>0</v>
      </c>
      <c r="BX234">
        <v>0</v>
      </c>
      <c r="BY234">
        <v>0.92873279934278052</v>
      </c>
      <c r="BZ234">
        <v>0</v>
      </c>
      <c r="CA234">
        <v>0</v>
      </c>
      <c r="CB234">
        <v>0</v>
      </c>
      <c r="CC234">
        <v>0</v>
      </c>
      <c r="CD234">
        <v>0</v>
      </c>
    </row>
    <row r="235" spans="1:82" hidden="1" x14ac:dyDescent="0.25">
      <c r="A235" t="s">
        <v>128</v>
      </c>
      <c r="B235" t="s">
        <v>421</v>
      </c>
      <c r="C235" s="14" t="s">
        <v>72</v>
      </c>
      <c r="D235" s="12">
        <v>46248</v>
      </c>
      <c r="E235" s="14" t="s">
        <v>133</v>
      </c>
      <c r="F235" s="14" t="s">
        <v>75</v>
      </c>
      <c r="G235">
        <v>8.0638754354660556</v>
      </c>
      <c r="H235">
        <v>6.6499999999999995</v>
      </c>
      <c r="I235">
        <v>20</v>
      </c>
      <c r="J235">
        <v>6.6499999999999995</v>
      </c>
      <c r="K235">
        <v>46248</v>
      </c>
      <c r="L235" t="s">
        <v>497</v>
      </c>
      <c r="M235">
        <v>8.7304227941176471</v>
      </c>
      <c r="N235">
        <v>0.82466551637843588</v>
      </c>
      <c r="O235">
        <v>0.82466551637843588</v>
      </c>
      <c r="P235">
        <v>1.0826584393553529</v>
      </c>
      <c r="Q235">
        <v>8.2658439355352886E-2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0.17533448362156412</v>
      </c>
      <c r="AA235">
        <v>0</v>
      </c>
      <c r="AB235">
        <v>0</v>
      </c>
      <c r="AC235">
        <v>0</v>
      </c>
      <c r="AD235">
        <v>0</v>
      </c>
      <c r="AE235">
        <v>0.82466551637843588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1.2126128474385047</v>
      </c>
      <c r="AL235">
        <v>1.2126128474385047</v>
      </c>
      <c r="AM235">
        <v>1.3128455329500222</v>
      </c>
      <c r="AN235">
        <v>0.10023268551151743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0.21261284743850473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0.76170423321086034</v>
      </c>
      <c r="BI235">
        <v>0.76170423321086034</v>
      </c>
      <c r="BJ235">
        <v>0.92365233913978417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7.6347660860215827E-2</v>
      </c>
      <c r="BV235">
        <v>0</v>
      </c>
      <c r="BW235">
        <v>0</v>
      </c>
      <c r="BX235">
        <v>0</v>
      </c>
      <c r="BY235">
        <v>0.76170423321086034</v>
      </c>
      <c r="BZ235">
        <v>0</v>
      </c>
      <c r="CA235">
        <v>0</v>
      </c>
      <c r="CB235">
        <v>0</v>
      </c>
      <c r="CC235">
        <v>0</v>
      </c>
      <c r="CD235">
        <v>0</v>
      </c>
    </row>
    <row r="236" spans="1:82" hidden="1" x14ac:dyDescent="0.25">
      <c r="A236" t="s">
        <v>128</v>
      </c>
      <c r="B236" t="s">
        <v>422</v>
      </c>
      <c r="C236" s="14" t="s">
        <v>72</v>
      </c>
      <c r="D236" s="12">
        <v>46249</v>
      </c>
      <c r="E236" s="14" t="s">
        <v>133</v>
      </c>
      <c r="F236" s="14" t="s">
        <v>73</v>
      </c>
      <c r="G236">
        <v>11.028542654457937</v>
      </c>
      <c r="H236">
        <v>27.549999999999997</v>
      </c>
      <c r="I236">
        <v>20</v>
      </c>
      <c r="J236">
        <v>27.549999999999997</v>
      </c>
      <c r="K236">
        <v>46249</v>
      </c>
      <c r="L236" t="s">
        <v>498</v>
      </c>
      <c r="M236">
        <v>9.2588235294117602</v>
      </c>
      <c r="N236">
        <v>2.4980635123956101</v>
      </c>
      <c r="O236">
        <v>2.4980635123956101</v>
      </c>
      <c r="P236">
        <v>0.83953282128978091</v>
      </c>
      <c r="Q236">
        <v>0</v>
      </c>
      <c r="R236">
        <v>0</v>
      </c>
      <c r="S236">
        <v>1.2480635123956101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0.25</v>
      </c>
      <c r="Z236">
        <v>0</v>
      </c>
      <c r="AA236">
        <v>0</v>
      </c>
      <c r="AB236">
        <v>0</v>
      </c>
      <c r="AC236">
        <v>0.16046717871021909</v>
      </c>
      <c r="AD236">
        <v>0</v>
      </c>
      <c r="AE236">
        <v>0.83953282128978091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0.40031007820174003</v>
      </c>
      <c r="AL236">
        <v>0.40031007820174003</v>
      </c>
      <c r="AM236">
        <v>0.33607344934343963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0.59968992179825997</v>
      </c>
      <c r="AY236">
        <v>0</v>
      </c>
      <c r="AZ236">
        <v>6.4236628858300393E-2</v>
      </c>
      <c r="BA236">
        <v>0</v>
      </c>
      <c r="BB236">
        <v>0.33607344934343963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2.9755400254129616</v>
      </c>
      <c r="BI236">
        <v>2.9755400254129616</v>
      </c>
      <c r="BJ236">
        <v>1.1911386602654703</v>
      </c>
      <c r="CA236">
        <v>0</v>
      </c>
      <c r="CB236">
        <v>0</v>
      </c>
      <c r="CC236">
        <v>0</v>
      </c>
    </row>
    <row r="237" spans="1:82" hidden="1" x14ac:dyDescent="0.25">
      <c r="A237" t="s">
        <v>128</v>
      </c>
      <c r="B237" t="s">
        <v>421</v>
      </c>
      <c r="C237" s="14" t="s">
        <v>72</v>
      </c>
      <c r="D237" s="12">
        <v>46249</v>
      </c>
      <c r="E237" s="14" t="s">
        <v>133</v>
      </c>
      <c r="F237" s="14" t="s">
        <v>73</v>
      </c>
      <c r="G237">
        <v>9.9337595944147079</v>
      </c>
      <c r="H237">
        <v>37.049999999999997</v>
      </c>
      <c r="I237">
        <v>20</v>
      </c>
      <c r="J237">
        <v>37.049999999999997</v>
      </c>
      <c r="K237">
        <v>46249</v>
      </c>
      <c r="L237" t="s">
        <v>498</v>
      </c>
      <c r="M237">
        <v>9.3051164215686271</v>
      </c>
      <c r="N237">
        <v>3.7297057219737324</v>
      </c>
      <c r="O237">
        <v>3.7297057219737324</v>
      </c>
      <c r="P237">
        <v>0.93671649017965586</v>
      </c>
      <c r="Q237">
        <v>0</v>
      </c>
      <c r="R237">
        <v>0</v>
      </c>
      <c r="S237">
        <v>2.4797057219737324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0.25</v>
      </c>
      <c r="Z237">
        <v>0</v>
      </c>
      <c r="AA237">
        <v>0</v>
      </c>
      <c r="AB237">
        <v>0</v>
      </c>
      <c r="AC237">
        <v>6.3283509820344142E-2</v>
      </c>
      <c r="AD237">
        <v>0</v>
      </c>
      <c r="AE237">
        <v>0.93671649017965586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0.26811766786544422</v>
      </c>
      <c r="AL237">
        <v>0.26811766786544422</v>
      </c>
      <c r="AM237">
        <v>0.25115024079807363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0.73188233213455578</v>
      </c>
      <c r="AY237">
        <v>0</v>
      </c>
      <c r="AZ237">
        <v>1.6967427067370588E-2</v>
      </c>
      <c r="BA237">
        <v>0</v>
      </c>
      <c r="BB237">
        <v>0.25115024079807363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3.981680434875658</v>
      </c>
      <c r="BI237">
        <v>3.981680434875658</v>
      </c>
      <c r="BJ237">
        <v>1.0675588723843292</v>
      </c>
      <c r="CA237">
        <v>0</v>
      </c>
      <c r="CB237">
        <v>0</v>
      </c>
      <c r="CC237">
        <v>0</v>
      </c>
    </row>
    <row r="238" spans="1:82" hidden="1" x14ac:dyDescent="0.25">
      <c r="A238" t="s">
        <v>128</v>
      </c>
      <c r="B238" t="s">
        <v>291</v>
      </c>
      <c r="C238" s="14" t="s">
        <v>72</v>
      </c>
      <c r="D238" s="12">
        <v>46249</v>
      </c>
      <c r="E238" s="14" t="s">
        <v>133</v>
      </c>
      <c r="F238" s="14" t="s">
        <v>73</v>
      </c>
      <c r="G238">
        <v>11.028542654457937</v>
      </c>
      <c r="H238">
        <v>45.599999999999994</v>
      </c>
      <c r="I238">
        <v>20</v>
      </c>
      <c r="J238">
        <v>45.599999999999994</v>
      </c>
      <c r="K238">
        <v>46249</v>
      </c>
      <c r="L238" t="s">
        <v>498</v>
      </c>
      <c r="M238">
        <v>12.191176470588236</v>
      </c>
      <c r="N238">
        <v>4.13472581362032</v>
      </c>
      <c r="O238">
        <v>4.13472581362032</v>
      </c>
      <c r="P238">
        <v>1.105420439722409</v>
      </c>
      <c r="Q238">
        <v>0</v>
      </c>
      <c r="R238">
        <v>0</v>
      </c>
      <c r="S238">
        <v>2.88472581362032</v>
      </c>
      <c r="T238">
        <v>0</v>
      </c>
      <c r="U238">
        <v>0</v>
      </c>
      <c r="V238">
        <v>0</v>
      </c>
      <c r="W238">
        <v>0.105420439722409</v>
      </c>
      <c r="X238">
        <v>0</v>
      </c>
      <c r="Y238">
        <v>0.144579560277591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0.24185400558021794</v>
      </c>
      <c r="AL238">
        <v>0.24185400558021794</v>
      </c>
      <c r="AM238">
        <v>0.26735036119711048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0.73264963880288958</v>
      </c>
      <c r="AY238">
        <v>0</v>
      </c>
      <c r="AZ238">
        <v>0</v>
      </c>
      <c r="BA238">
        <v>0</v>
      </c>
      <c r="BB238">
        <v>0.24185400558021794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3.7404101326899872</v>
      </c>
      <c r="BI238">
        <v>3.7404101326899872</v>
      </c>
      <c r="BJ238">
        <v>0.90463317310390789</v>
      </c>
      <c r="CA238">
        <v>0</v>
      </c>
      <c r="CB238">
        <v>0</v>
      </c>
      <c r="CC238">
        <v>0</v>
      </c>
    </row>
    <row r="239" spans="1:82" hidden="1" x14ac:dyDescent="0.25">
      <c r="A239" t="s">
        <v>128</v>
      </c>
      <c r="B239" t="s">
        <v>421</v>
      </c>
      <c r="C239" s="14" t="s">
        <v>72</v>
      </c>
      <c r="D239" s="12">
        <v>46249</v>
      </c>
      <c r="E239" s="14" t="s">
        <v>133</v>
      </c>
      <c r="F239" s="14" t="s">
        <v>74</v>
      </c>
      <c r="G239">
        <v>4.3241071175687553</v>
      </c>
      <c r="H239">
        <v>2.8499999999999996</v>
      </c>
      <c r="I239">
        <v>20</v>
      </c>
      <c r="J239">
        <v>2.8499999999999996</v>
      </c>
      <c r="K239">
        <v>46249</v>
      </c>
      <c r="L239" t="s">
        <v>499</v>
      </c>
      <c r="M239">
        <v>8.4487815799396682</v>
      </c>
      <c r="N239">
        <v>0.65909560575419379</v>
      </c>
      <c r="O239">
        <v>0.65909560575419379</v>
      </c>
      <c r="P239">
        <v>1.9538788818649862</v>
      </c>
      <c r="Q239">
        <v>0.95387888186498615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0.34090439424580621</v>
      </c>
      <c r="AA239">
        <v>0</v>
      </c>
      <c r="AB239">
        <v>0</v>
      </c>
      <c r="AC239">
        <v>0</v>
      </c>
      <c r="AD239">
        <v>0</v>
      </c>
      <c r="AE239">
        <v>0.65909560575419379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1.5172305675679845</v>
      </c>
      <c r="AL239">
        <v>1.5172305675679845</v>
      </c>
      <c r="AM239">
        <v>2.9644847648911119</v>
      </c>
      <c r="BD239">
        <v>0</v>
      </c>
      <c r="BE239">
        <v>0</v>
      </c>
      <c r="BF239">
        <v>0</v>
      </c>
      <c r="BH239">
        <v>0.33732674623366832</v>
      </c>
      <c r="BI239">
        <v>0.33732674623366832</v>
      </c>
      <c r="BJ239">
        <v>0.51180245064397001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0.48819754935602999</v>
      </c>
      <c r="BV239">
        <v>0</v>
      </c>
      <c r="BW239">
        <v>0</v>
      </c>
      <c r="BX239">
        <v>0</v>
      </c>
      <c r="BY239">
        <v>0.33732674623366832</v>
      </c>
      <c r="BZ239">
        <v>0</v>
      </c>
      <c r="CA239">
        <v>0</v>
      </c>
      <c r="CB239">
        <v>0</v>
      </c>
      <c r="CC239">
        <v>0</v>
      </c>
      <c r="CD239">
        <v>0</v>
      </c>
    </row>
    <row r="240" spans="1:82" hidden="1" x14ac:dyDescent="0.25">
      <c r="A240" t="s">
        <v>128</v>
      </c>
      <c r="B240" t="s">
        <v>291</v>
      </c>
      <c r="C240" s="14" t="s">
        <v>72</v>
      </c>
      <c r="D240" s="12">
        <v>46249</v>
      </c>
      <c r="E240" s="14" t="s">
        <v>133</v>
      </c>
      <c r="F240" s="14" t="s">
        <v>74</v>
      </c>
      <c r="G240">
        <v>4.220105607573192</v>
      </c>
      <c r="H240">
        <v>7.6</v>
      </c>
      <c r="I240">
        <v>20</v>
      </c>
      <c r="J240">
        <v>7.6</v>
      </c>
      <c r="K240">
        <v>46249</v>
      </c>
      <c r="L240" t="s">
        <v>499</v>
      </c>
      <c r="M240">
        <v>4.7460937499999991</v>
      </c>
      <c r="N240">
        <v>1.8009027988212942</v>
      </c>
      <c r="O240">
        <v>1.8009027988212942</v>
      </c>
      <c r="P240">
        <v>1.1246386207688488</v>
      </c>
      <c r="Q240">
        <v>0</v>
      </c>
      <c r="R240">
        <v>0</v>
      </c>
      <c r="S240">
        <v>0.55090279882129423</v>
      </c>
      <c r="T240">
        <v>0</v>
      </c>
      <c r="U240">
        <v>0</v>
      </c>
      <c r="V240">
        <v>0</v>
      </c>
      <c r="W240">
        <v>0.1246386207688488</v>
      </c>
      <c r="X240">
        <v>0</v>
      </c>
      <c r="Y240">
        <v>0.1253613792311512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0.55527705362805158</v>
      </c>
      <c r="AL240">
        <v>0.55527705362805158</v>
      </c>
      <c r="AM240">
        <v>0.62448601973684204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0.37551398026315796</v>
      </c>
      <c r="AY240">
        <v>0</v>
      </c>
      <c r="AZ240">
        <v>0</v>
      </c>
      <c r="BA240">
        <v>0</v>
      </c>
      <c r="BB240">
        <v>0.55527705362805158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1.6013168724279838</v>
      </c>
      <c r="BI240">
        <v>1.6013168724279838</v>
      </c>
      <c r="BJ240">
        <v>0.88917451484669741</v>
      </c>
      <c r="CA240">
        <v>0</v>
      </c>
      <c r="CB240">
        <v>0</v>
      </c>
      <c r="CC240">
        <v>0</v>
      </c>
    </row>
    <row r="241" spans="1:82" hidden="1" x14ac:dyDescent="0.25">
      <c r="A241" t="s">
        <v>128</v>
      </c>
      <c r="B241" t="s">
        <v>422</v>
      </c>
      <c r="C241" s="14" t="s">
        <v>72</v>
      </c>
      <c r="D241" s="12">
        <v>46249</v>
      </c>
      <c r="E241" s="14" t="s">
        <v>133</v>
      </c>
      <c r="F241" s="14" t="s">
        <v>74</v>
      </c>
      <c r="G241">
        <v>4.220105607573192</v>
      </c>
      <c r="H241">
        <v>2.8499999999999996</v>
      </c>
      <c r="I241">
        <v>20</v>
      </c>
      <c r="J241">
        <v>2.8499999999999996</v>
      </c>
      <c r="K241">
        <v>46249</v>
      </c>
      <c r="L241" t="s">
        <v>499</v>
      </c>
      <c r="M241">
        <v>3.2647058823529398</v>
      </c>
      <c r="N241">
        <v>0.67533854955798522</v>
      </c>
      <c r="O241">
        <v>0.67533854955798522</v>
      </c>
      <c r="P241">
        <v>0.77360762642865166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9.8269076870666439E-2</v>
      </c>
      <c r="AA241">
        <v>0.22639237357134834</v>
      </c>
      <c r="AB241">
        <v>0</v>
      </c>
      <c r="AC241">
        <v>0</v>
      </c>
      <c r="AD241">
        <v>0</v>
      </c>
      <c r="AE241">
        <v>0.67533854955798522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1.4807388096748044</v>
      </c>
      <c r="AL241">
        <v>1.4807388096748044</v>
      </c>
      <c r="AM241">
        <v>1.1455108359133124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0.14551083591331238</v>
      </c>
      <c r="AU241">
        <v>0</v>
      </c>
      <c r="AV241">
        <v>0.33522797376149205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0.87297297297297327</v>
      </c>
      <c r="BI241">
        <v>0.87297297297297327</v>
      </c>
      <c r="BJ241">
        <v>1.2926449608782755</v>
      </c>
      <c r="BK241">
        <v>0.29264496087827552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0.32466145044201478</v>
      </c>
      <c r="BU241">
        <v>0</v>
      </c>
      <c r="BV241">
        <v>0</v>
      </c>
      <c r="BW241">
        <v>0</v>
      </c>
      <c r="BX241">
        <v>0</v>
      </c>
      <c r="BY241">
        <v>0.87297297297297327</v>
      </c>
      <c r="BZ241">
        <v>0</v>
      </c>
      <c r="CA241">
        <v>0</v>
      </c>
      <c r="CB241">
        <v>0</v>
      </c>
      <c r="CC241">
        <v>0</v>
      </c>
      <c r="CD241">
        <v>0</v>
      </c>
    </row>
    <row r="242" spans="1:82" hidden="1" x14ac:dyDescent="0.25">
      <c r="A242" t="s">
        <v>128</v>
      </c>
      <c r="B242" t="s">
        <v>421</v>
      </c>
      <c r="C242" s="14" t="s">
        <v>72</v>
      </c>
      <c r="D242" s="12">
        <v>46249</v>
      </c>
      <c r="E242" s="14" t="s">
        <v>133</v>
      </c>
      <c r="F242" s="14" t="s">
        <v>75</v>
      </c>
      <c r="G242">
        <v>8.1223093154331991</v>
      </c>
      <c r="H242">
        <v>6.6499999999999995</v>
      </c>
      <c r="I242">
        <v>20</v>
      </c>
      <c r="J242">
        <v>6.6499999999999995</v>
      </c>
      <c r="K242">
        <v>46249</v>
      </c>
      <c r="L242" t="s">
        <v>500</v>
      </c>
      <c r="M242">
        <v>8.8282569758672693</v>
      </c>
      <c r="N242">
        <v>0.81873267093686464</v>
      </c>
      <c r="O242">
        <v>0.81873267093686464</v>
      </c>
      <c r="P242">
        <v>1.086914648656965</v>
      </c>
      <c r="Q242">
        <v>8.6914648656964966E-2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0.18126732906313536</v>
      </c>
      <c r="AA242">
        <v>0</v>
      </c>
      <c r="AB242">
        <v>0</v>
      </c>
      <c r="AC242">
        <v>0</v>
      </c>
      <c r="AD242">
        <v>0</v>
      </c>
      <c r="AE242">
        <v>0.81873267093686464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1.2213998970576241</v>
      </c>
      <c r="AL242">
        <v>1.2213998970576241</v>
      </c>
      <c r="AM242">
        <v>1.3275574399800405</v>
      </c>
      <c r="AN242">
        <v>0.10615754292241641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0.22139989705762408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0.75326307539283177</v>
      </c>
      <c r="BI242">
        <v>0.75326307539283177</v>
      </c>
      <c r="BJ242">
        <v>0.92003544274211391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7.9964557257886093E-2</v>
      </c>
      <c r="BV242">
        <v>0</v>
      </c>
      <c r="BW242">
        <v>0</v>
      </c>
      <c r="BX242">
        <v>0</v>
      </c>
      <c r="BY242">
        <v>0.75326307539283177</v>
      </c>
      <c r="BZ242">
        <v>0</v>
      </c>
      <c r="CA242">
        <v>0</v>
      </c>
      <c r="CB242">
        <v>0</v>
      </c>
      <c r="CC242">
        <v>0</v>
      </c>
      <c r="CD242">
        <v>0</v>
      </c>
    </row>
    <row r="243" spans="1:82" hidden="1" x14ac:dyDescent="0.25">
      <c r="A243" t="s">
        <v>128</v>
      </c>
      <c r="B243" t="s">
        <v>291</v>
      </c>
      <c r="C243" s="14" t="s">
        <v>72</v>
      </c>
      <c r="D243" s="12">
        <v>46249</v>
      </c>
      <c r="E243" s="14" t="s">
        <v>133</v>
      </c>
      <c r="F243" s="14" t="s">
        <v>75</v>
      </c>
      <c r="G243">
        <v>10.972274579690296</v>
      </c>
      <c r="H243">
        <v>17.099999999999998</v>
      </c>
      <c r="I243">
        <v>20</v>
      </c>
      <c r="J243">
        <v>17.099999999999998</v>
      </c>
      <c r="K243">
        <v>46249</v>
      </c>
      <c r="L243" t="s">
        <v>500</v>
      </c>
      <c r="M243">
        <v>12.246323529411764</v>
      </c>
      <c r="N243">
        <v>1.5584735759030433</v>
      </c>
      <c r="O243">
        <v>1.5584735759030433</v>
      </c>
      <c r="P243">
        <v>1.1161152995642067</v>
      </c>
      <c r="Q243">
        <v>0</v>
      </c>
      <c r="R243">
        <v>0</v>
      </c>
      <c r="S243">
        <v>0.30847357590304325</v>
      </c>
      <c r="T243">
        <v>0</v>
      </c>
      <c r="U243">
        <v>0</v>
      </c>
      <c r="V243">
        <v>0</v>
      </c>
      <c r="W243">
        <v>0.11611529956420674</v>
      </c>
      <c r="X243">
        <v>0</v>
      </c>
      <c r="Y243">
        <v>0.13388470043579326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0.64165348419241508</v>
      </c>
      <c r="AL243">
        <v>0.64165348419241508</v>
      </c>
      <c r="AM243">
        <v>0.7161592707258343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0.2838407292741657</v>
      </c>
      <c r="AY243">
        <v>0</v>
      </c>
      <c r="AZ243">
        <v>0</v>
      </c>
      <c r="BA243">
        <v>0</v>
      </c>
      <c r="BB243">
        <v>0.64165348419241508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1.3963374362053436</v>
      </c>
      <c r="BI243">
        <v>1.3963374362053436</v>
      </c>
      <c r="BJ243">
        <v>0.89596478104946287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0.39633743620534356</v>
      </c>
      <c r="BT243">
        <v>0</v>
      </c>
      <c r="BU243">
        <v>0</v>
      </c>
      <c r="BV243">
        <v>0</v>
      </c>
      <c r="BW243">
        <v>0.10403521895053713</v>
      </c>
      <c r="BX243">
        <v>0</v>
      </c>
      <c r="BY243">
        <v>0.89596478104946287</v>
      </c>
      <c r="BZ243">
        <v>0</v>
      </c>
      <c r="CA243">
        <v>0</v>
      </c>
      <c r="CB243">
        <v>0</v>
      </c>
      <c r="CC243">
        <v>0</v>
      </c>
      <c r="CD243">
        <v>0</v>
      </c>
    </row>
    <row r="244" spans="1:82" hidden="1" x14ac:dyDescent="0.25">
      <c r="A244" t="s">
        <v>128</v>
      </c>
      <c r="B244" t="s">
        <v>422</v>
      </c>
      <c r="C244" s="14" t="s">
        <v>72</v>
      </c>
      <c r="D244" s="12">
        <v>46249</v>
      </c>
      <c r="E244" s="14" t="s">
        <v>133</v>
      </c>
      <c r="F244" s="14" t="s">
        <v>75</v>
      </c>
      <c r="G244">
        <v>10.972274579690296</v>
      </c>
      <c r="H244">
        <v>6.6499999999999995</v>
      </c>
      <c r="I244">
        <v>20</v>
      </c>
      <c r="J244">
        <v>6.6499999999999995</v>
      </c>
      <c r="K244">
        <v>46249</v>
      </c>
      <c r="L244" t="s">
        <v>500</v>
      </c>
      <c r="M244">
        <v>7.1014705882352924</v>
      </c>
      <c r="N244">
        <v>0.60607305729562799</v>
      </c>
      <c r="O244">
        <v>0.60607305729562799</v>
      </c>
      <c r="P244">
        <v>0.64721954747469856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4.1146490179070572E-2</v>
      </c>
      <c r="AA244">
        <v>0.35278045252530144</v>
      </c>
      <c r="AB244">
        <v>0</v>
      </c>
      <c r="AC244">
        <v>0</v>
      </c>
      <c r="AD244">
        <v>0</v>
      </c>
      <c r="AE244">
        <v>0.60607305729562799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1.6499661022090673</v>
      </c>
      <c r="AL244">
        <v>1.6499661022090673</v>
      </c>
      <c r="AM244">
        <v>1.0678903140203448</v>
      </c>
      <c r="BD244">
        <v>0</v>
      </c>
      <c r="BE244">
        <v>0</v>
      </c>
      <c r="BF244">
        <v>0</v>
      </c>
      <c r="BH244">
        <v>0.93642576102712793</v>
      </c>
      <c r="BI244">
        <v>0.93642576102712793</v>
      </c>
      <c r="BJ244">
        <v>1.5450707629300897</v>
      </c>
      <c r="BK244">
        <v>0.54507076293008971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0.39392694270437201</v>
      </c>
      <c r="BU244">
        <v>0</v>
      </c>
      <c r="BV244">
        <v>0</v>
      </c>
      <c r="BW244">
        <v>0</v>
      </c>
      <c r="BX244">
        <v>0</v>
      </c>
      <c r="BY244">
        <v>0.93642576102712793</v>
      </c>
      <c r="BZ244">
        <v>0</v>
      </c>
      <c r="CA244">
        <v>0</v>
      </c>
      <c r="CB244">
        <v>0</v>
      </c>
      <c r="CC244">
        <v>0</v>
      </c>
      <c r="CD244">
        <v>0</v>
      </c>
    </row>
    <row r="245" spans="1:82" hidden="1" x14ac:dyDescent="0.25">
      <c r="A245" t="s">
        <v>128</v>
      </c>
      <c r="B245" t="s">
        <v>291</v>
      </c>
      <c r="C245" s="14" t="s">
        <v>72</v>
      </c>
      <c r="D245" s="12">
        <v>46250</v>
      </c>
      <c r="E245" s="14" t="s">
        <v>133</v>
      </c>
      <c r="F245" s="14" t="s">
        <v>73</v>
      </c>
      <c r="G245">
        <v>10.972274579690296</v>
      </c>
      <c r="H245">
        <v>9.5</v>
      </c>
      <c r="I245">
        <v>20</v>
      </c>
      <c r="J245">
        <v>9.5</v>
      </c>
      <c r="K245">
        <v>46250</v>
      </c>
      <c r="L245" t="s">
        <v>501</v>
      </c>
      <c r="M245">
        <v>12.1875</v>
      </c>
      <c r="N245">
        <v>0.86581865327946861</v>
      </c>
      <c r="O245">
        <v>0.86581865327946861</v>
      </c>
      <c r="P245">
        <v>1.1107541933519498</v>
      </c>
      <c r="Q245">
        <v>0.1107541933519498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0.13418134672053139</v>
      </c>
      <c r="AA245">
        <v>0</v>
      </c>
      <c r="AB245">
        <v>0</v>
      </c>
      <c r="AC245">
        <v>0</v>
      </c>
      <c r="AD245">
        <v>0</v>
      </c>
      <c r="AE245">
        <v>0.86581865327946861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1.154976271546347</v>
      </c>
      <c r="AL245">
        <v>1.154976271546347</v>
      </c>
      <c r="AM245">
        <v>1.2828947368421053</v>
      </c>
      <c r="AN245">
        <v>0.12791846529575834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0.15497627154634697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0.77948717948717949</v>
      </c>
      <c r="BI245">
        <v>0.77948717948717949</v>
      </c>
      <c r="BJ245">
        <v>0.90028919628228077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9.9710803717719232E-2</v>
      </c>
      <c r="BV245">
        <v>0</v>
      </c>
      <c r="BW245">
        <v>0</v>
      </c>
      <c r="BX245">
        <v>0</v>
      </c>
      <c r="BY245">
        <v>0.77948717948717949</v>
      </c>
      <c r="BZ245">
        <v>0</v>
      </c>
      <c r="CA245">
        <v>0</v>
      </c>
      <c r="CB245">
        <v>0</v>
      </c>
      <c r="CC245">
        <v>0</v>
      </c>
      <c r="CD245">
        <v>0</v>
      </c>
    </row>
    <row r="246" spans="1:82" hidden="1" x14ac:dyDescent="0.25">
      <c r="A246" t="s">
        <v>128</v>
      </c>
      <c r="B246" t="s">
        <v>421</v>
      </c>
      <c r="C246" s="14" t="s">
        <v>72</v>
      </c>
      <c r="D246" s="12">
        <v>46250</v>
      </c>
      <c r="E246" s="14" t="s">
        <v>133</v>
      </c>
      <c r="F246" s="14" t="s">
        <v>73</v>
      </c>
      <c r="G246">
        <v>9.9337595944147079</v>
      </c>
      <c r="H246">
        <v>43.7</v>
      </c>
      <c r="I246">
        <v>20</v>
      </c>
      <c r="J246">
        <v>43.7</v>
      </c>
      <c r="K246">
        <v>46250</v>
      </c>
      <c r="L246" t="s">
        <v>501</v>
      </c>
      <c r="M246">
        <v>8.3536835407239813</v>
      </c>
      <c r="N246">
        <v>4.3991400823279916</v>
      </c>
      <c r="O246">
        <v>4.3991400823279916</v>
      </c>
      <c r="P246">
        <v>0.84093876656939337</v>
      </c>
      <c r="Q246">
        <v>0</v>
      </c>
      <c r="R246">
        <v>0</v>
      </c>
      <c r="S246">
        <v>3.1491400823279916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0.25</v>
      </c>
      <c r="Z246">
        <v>0</v>
      </c>
      <c r="AA246">
        <v>0</v>
      </c>
      <c r="AB246">
        <v>0</v>
      </c>
      <c r="AC246">
        <v>0.15906123343060663</v>
      </c>
      <c r="AD246">
        <v>0</v>
      </c>
      <c r="AE246">
        <v>0.84093876656939337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0.22731715319026793</v>
      </c>
      <c r="AL246">
        <v>0.22731715319026793</v>
      </c>
      <c r="AM246">
        <v>0.19115980642388974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0.77268284680973209</v>
      </c>
      <c r="AY246">
        <v>0</v>
      </c>
      <c r="AZ246">
        <v>3.615734676637819E-2</v>
      </c>
      <c r="BA246">
        <v>0</v>
      </c>
      <c r="BB246">
        <v>0.19115980642388974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5.2312252178291985</v>
      </c>
      <c r="BI246">
        <v>5.2312252178291985</v>
      </c>
      <c r="BJ246">
        <v>1.1891472242140726</v>
      </c>
      <c r="CA246">
        <v>0</v>
      </c>
      <c r="CB246">
        <v>0</v>
      </c>
      <c r="CC246">
        <v>0</v>
      </c>
    </row>
    <row r="247" spans="1:82" hidden="1" x14ac:dyDescent="0.25">
      <c r="A247" t="s">
        <v>128</v>
      </c>
      <c r="B247" t="s">
        <v>422</v>
      </c>
      <c r="C247" s="14" t="s">
        <v>72</v>
      </c>
      <c r="D247" s="12">
        <v>46250</v>
      </c>
      <c r="E247" s="14" t="s">
        <v>133</v>
      </c>
      <c r="F247" s="14" t="s">
        <v>73</v>
      </c>
      <c r="G247">
        <v>10.972274579690296</v>
      </c>
      <c r="H247">
        <v>34.199999999999996</v>
      </c>
      <c r="I247">
        <v>20</v>
      </c>
      <c r="J247">
        <v>34.199999999999996</v>
      </c>
      <c r="K247">
        <v>46250</v>
      </c>
      <c r="L247" t="s">
        <v>501</v>
      </c>
      <c r="M247">
        <v>8.4421568627450938</v>
      </c>
      <c r="N247">
        <v>3.1169471518060865</v>
      </c>
      <c r="O247">
        <v>3.1169471518060865</v>
      </c>
      <c r="P247">
        <v>0.76940809322905068</v>
      </c>
      <c r="Q247">
        <v>0</v>
      </c>
      <c r="R247">
        <v>0</v>
      </c>
      <c r="S247">
        <v>1.8669471518060865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0.25</v>
      </c>
      <c r="Z247">
        <v>0</v>
      </c>
      <c r="AA247">
        <v>0</v>
      </c>
      <c r="AB247">
        <v>0</v>
      </c>
      <c r="AC247">
        <v>0.23059190677094932</v>
      </c>
      <c r="AD247">
        <v>0</v>
      </c>
      <c r="AE247">
        <v>0.76940809322905068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0.32082674209620754</v>
      </c>
      <c r="AL247">
        <v>0.32082674209620754</v>
      </c>
      <c r="AM247">
        <v>0.24684669189313144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0.67917325790379246</v>
      </c>
      <c r="AY247">
        <v>0</v>
      </c>
      <c r="AZ247">
        <v>7.3980050203076103E-2</v>
      </c>
      <c r="BA247">
        <v>0</v>
      </c>
      <c r="BB247">
        <v>0.24684669189313144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4.051097433515273</v>
      </c>
      <c r="BI247">
        <v>4.051097433515273</v>
      </c>
      <c r="BJ247">
        <v>1.2997003915090126</v>
      </c>
      <c r="CA247">
        <v>0</v>
      </c>
      <c r="CB247">
        <v>0</v>
      </c>
      <c r="CC247">
        <v>0</v>
      </c>
    </row>
    <row r="248" spans="1:82" hidden="1" x14ac:dyDescent="0.25">
      <c r="A248" t="s">
        <v>128</v>
      </c>
      <c r="B248" t="s">
        <v>422</v>
      </c>
      <c r="C248" s="14" t="s">
        <v>72</v>
      </c>
      <c r="D248" s="12">
        <v>46250</v>
      </c>
      <c r="E248" s="14" t="s">
        <v>133</v>
      </c>
      <c r="F248" s="14" t="s">
        <v>74</v>
      </c>
      <c r="G248">
        <v>4.220105607573192</v>
      </c>
      <c r="H248">
        <v>4.75</v>
      </c>
      <c r="I248">
        <v>20</v>
      </c>
      <c r="J248">
        <v>4.75</v>
      </c>
      <c r="K248">
        <v>46250</v>
      </c>
      <c r="L248" t="s">
        <v>502</v>
      </c>
      <c r="M248">
        <v>3.3235294117647056</v>
      </c>
      <c r="N248">
        <v>1.1255642492633089</v>
      </c>
      <c r="O248">
        <v>1.1255642492633089</v>
      </c>
      <c r="P248">
        <v>0.7875465025805195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0.12556424926330889</v>
      </c>
      <c r="Z248">
        <v>0</v>
      </c>
      <c r="AA248">
        <v>0</v>
      </c>
      <c r="AB248">
        <v>0</v>
      </c>
      <c r="AC248">
        <v>0.2124534974194805</v>
      </c>
      <c r="AD248">
        <v>0</v>
      </c>
      <c r="AE248">
        <v>0.7875465025805195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0.88844328580488252</v>
      </c>
      <c r="AL248">
        <v>0.88844328580488252</v>
      </c>
      <c r="AM248">
        <v>0.69969040247678016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0.11155671419511748</v>
      </c>
      <c r="AY248">
        <v>0</v>
      </c>
      <c r="AZ248">
        <v>0.18875288332810236</v>
      </c>
      <c r="BA248">
        <v>0</v>
      </c>
      <c r="BB248">
        <v>0.69969040247678016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1.429203539823009</v>
      </c>
      <c r="BI248">
        <v>1.429203539823009</v>
      </c>
      <c r="BJ248">
        <v>1.2697662890043233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0.26976628900432331</v>
      </c>
      <c r="BR248">
        <v>0</v>
      </c>
      <c r="BS248">
        <v>0.15943725081868565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</row>
    <row r="249" spans="1:82" hidden="1" x14ac:dyDescent="0.25">
      <c r="A249" t="s">
        <v>128</v>
      </c>
      <c r="B249" t="s">
        <v>291</v>
      </c>
      <c r="C249" s="14" t="s">
        <v>72</v>
      </c>
      <c r="D249" s="12">
        <v>46250</v>
      </c>
      <c r="E249" s="14" t="s">
        <v>133</v>
      </c>
      <c r="F249" s="14" t="s">
        <v>74</v>
      </c>
      <c r="G249">
        <v>4.220105607573192</v>
      </c>
      <c r="H249">
        <v>8.5499999999999989</v>
      </c>
      <c r="I249">
        <v>20</v>
      </c>
      <c r="J249">
        <v>8.5499999999999989</v>
      </c>
      <c r="K249">
        <v>46250</v>
      </c>
      <c r="L249" t="s">
        <v>502</v>
      </c>
      <c r="M249">
        <v>4.7460937499999991</v>
      </c>
      <c r="N249">
        <v>2.026015648673956</v>
      </c>
      <c r="O249">
        <v>2.026015648673956</v>
      </c>
      <c r="P249">
        <v>1.1246386207688488</v>
      </c>
      <c r="Q249">
        <v>0</v>
      </c>
      <c r="R249">
        <v>0</v>
      </c>
      <c r="S249">
        <v>0.776015648673956</v>
      </c>
      <c r="T249">
        <v>0</v>
      </c>
      <c r="U249">
        <v>0</v>
      </c>
      <c r="V249">
        <v>0</v>
      </c>
      <c r="W249">
        <v>0.1246386207688488</v>
      </c>
      <c r="X249">
        <v>0</v>
      </c>
      <c r="Y249">
        <v>0.1253613792311512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0.49357960322493477</v>
      </c>
      <c r="AL249">
        <v>0.49357960322493477</v>
      </c>
      <c r="AM249">
        <v>0.55509868421052633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0.44490131578947367</v>
      </c>
      <c r="AY249">
        <v>0</v>
      </c>
      <c r="AZ249">
        <v>0</v>
      </c>
      <c r="BA249">
        <v>0</v>
      </c>
      <c r="BB249">
        <v>0.49357960322493477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1.8014814814814817</v>
      </c>
      <c r="BI249">
        <v>1.8014814814814817</v>
      </c>
      <c r="BJ249">
        <v>0.88917451484669741</v>
      </c>
      <c r="CA249">
        <v>0</v>
      </c>
      <c r="CB249">
        <v>0</v>
      </c>
      <c r="CC249">
        <v>0</v>
      </c>
    </row>
    <row r="250" spans="1:82" hidden="1" x14ac:dyDescent="0.25">
      <c r="A250" t="s">
        <v>128</v>
      </c>
      <c r="B250" t="s">
        <v>421</v>
      </c>
      <c r="C250" s="14" t="s">
        <v>72</v>
      </c>
      <c r="D250" s="12">
        <v>46250</v>
      </c>
      <c r="E250" s="14" t="s">
        <v>133</v>
      </c>
      <c r="F250" s="14" t="s">
        <v>74</v>
      </c>
      <c r="G250">
        <v>4.440974877503046</v>
      </c>
      <c r="H250">
        <v>4.75</v>
      </c>
      <c r="I250">
        <v>20</v>
      </c>
      <c r="J250">
        <v>4.75</v>
      </c>
      <c r="K250">
        <v>46250</v>
      </c>
      <c r="L250" t="s">
        <v>502</v>
      </c>
      <c r="M250">
        <v>2.9820772058823524</v>
      </c>
      <c r="N250">
        <v>1.0695849742502268</v>
      </c>
      <c r="O250">
        <v>1.0695849742502268</v>
      </c>
      <c r="P250">
        <v>0.67149157294018202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6.9584974250226805E-2</v>
      </c>
      <c r="Z250">
        <v>0</v>
      </c>
      <c r="AA250">
        <v>0</v>
      </c>
      <c r="AB250">
        <v>0</v>
      </c>
      <c r="AC250">
        <v>0.32850842705981798</v>
      </c>
      <c r="AD250">
        <v>0</v>
      </c>
      <c r="AE250">
        <v>0.67149157294018202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0.9349420794743255</v>
      </c>
      <c r="AL250">
        <v>0.9349420794743255</v>
      </c>
      <c r="AM250">
        <v>0.6278057275541794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6.5057920525674495E-2</v>
      </c>
      <c r="AY250">
        <v>0</v>
      </c>
      <c r="AZ250">
        <v>0.3071363519201461</v>
      </c>
      <c r="BA250">
        <v>0</v>
      </c>
      <c r="BB250">
        <v>0.6278057275541794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1.592849437509632</v>
      </c>
      <c r="BI250">
        <v>1.592849437509632</v>
      </c>
      <c r="BJ250">
        <v>1.4892219653947649</v>
      </c>
      <c r="CA250">
        <v>0</v>
      </c>
      <c r="CB250">
        <v>0</v>
      </c>
      <c r="CC250">
        <v>0</v>
      </c>
    </row>
    <row r="251" spans="1:82" hidden="1" x14ac:dyDescent="0.25">
      <c r="A251" t="s">
        <v>128</v>
      </c>
      <c r="B251" t="s">
        <v>422</v>
      </c>
      <c r="C251" s="14" t="s">
        <v>72</v>
      </c>
      <c r="D251" s="12">
        <v>46250</v>
      </c>
      <c r="E251" s="14" t="s">
        <v>133</v>
      </c>
      <c r="F251" s="14" t="s">
        <v>75</v>
      </c>
      <c r="G251">
        <v>10.972274579690296</v>
      </c>
      <c r="H251">
        <v>6.6499999999999995</v>
      </c>
      <c r="I251">
        <v>20</v>
      </c>
      <c r="J251">
        <v>6.6499999999999995</v>
      </c>
      <c r="K251">
        <v>46250</v>
      </c>
      <c r="L251" t="s">
        <v>503</v>
      </c>
      <c r="M251">
        <v>7.984313725490197</v>
      </c>
      <c r="N251">
        <v>0.60607305729562799</v>
      </c>
      <c r="O251">
        <v>0.60607305729562799</v>
      </c>
      <c r="P251">
        <v>0.72768081654365258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0.12160775924802458</v>
      </c>
      <c r="AA251">
        <v>0.27231918345634742</v>
      </c>
      <c r="AB251">
        <v>0</v>
      </c>
      <c r="AC251">
        <v>0</v>
      </c>
      <c r="AD251">
        <v>0</v>
      </c>
      <c r="AE251">
        <v>0.60607305729562799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1.6499661022090673</v>
      </c>
      <c r="AL251">
        <v>1.6499661022090673</v>
      </c>
      <c r="AM251">
        <v>1.2006486805248417</v>
      </c>
      <c r="BD251">
        <v>0</v>
      </c>
      <c r="BE251">
        <v>0</v>
      </c>
      <c r="BF251">
        <v>0</v>
      </c>
      <c r="BH251">
        <v>0.83288310412573663</v>
      </c>
      <c r="BI251">
        <v>0.83288310412573663</v>
      </c>
      <c r="BJ251">
        <v>1.3742288889101302</v>
      </c>
      <c r="BK251">
        <v>0.37422888891013018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0.39392694270437201</v>
      </c>
      <c r="BU251">
        <v>0</v>
      </c>
      <c r="BV251">
        <v>0</v>
      </c>
      <c r="BW251">
        <v>0</v>
      </c>
      <c r="BX251">
        <v>0</v>
      </c>
      <c r="BY251">
        <v>0.83288310412573663</v>
      </c>
      <c r="BZ251">
        <v>0</v>
      </c>
      <c r="CA251">
        <v>0</v>
      </c>
      <c r="CB251">
        <v>0</v>
      </c>
      <c r="CC251">
        <v>0</v>
      </c>
      <c r="CD251">
        <v>0</v>
      </c>
    </row>
    <row r="252" spans="1:82" hidden="1" x14ac:dyDescent="0.25">
      <c r="A252" t="s">
        <v>128</v>
      </c>
      <c r="B252" t="s">
        <v>421</v>
      </c>
      <c r="C252" s="14" t="s">
        <v>72</v>
      </c>
      <c r="D252" s="12">
        <v>46250</v>
      </c>
      <c r="E252" s="14" t="s">
        <v>133</v>
      </c>
      <c r="F252" s="14" t="s">
        <v>75</v>
      </c>
      <c r="G252">
        <v>8.1223093154331991</v>
      </c>
      <c r="H252">
        <v>7.6</v>
      </c>
      <c r="I252">
        <v>20</v>
      </c>
      <c r="J252">
        <v>7.6</v>
      </c>
      <c r="K252">
        <v>46250</v>
      </c>
      <c r="L252" t="s">
        <v>503</v>
      </c>
      <c r="M252">
        <v>4.9663084464555052</v>
      </c>
      <c r="N252">
        <v>0.93569448107070241</v>
      </c>
      <c r="O252">
        <v>0.93569448107070241</v>
      </c>
      <c r="P252">
        <v>0.61144044797937247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6.4305518929297589E-2</v>
      </c>
      <c r="AB252">
        <v>0</v>
      </c>
      <c r="AC252">
        <v>0.32425403309132994</v>
      </c>
      <c r="AD252">
        <v>0</v>
      </c>
      <c r="AE252">
        <v>0.61144044797937247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1.068724909925421</v>
      </c>
      <c r="AL252">
        <v>1.068724909925421</v>
      </c>
      <c r="AM252">
        <v>0.65346163769151389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6.8724909925421018E-2</v>
      </c>
      <c r="AW252">
        <v>0</v>
      </c>
      <c r="AX252">
        <v>0</v>
      </c>
      <c r="AY252">
        <v>0</v>
      </c>
      <c r="AZ252">
        <v>0.34653836230848611</v>
      </c>
      <c r="BA252">
        <v>0</v>
      </c>
      <c r="BB252">
        <v>0.65346163769151389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1.5303117158226816</v>
      </c>
      <c r="BI252">
        <v>1.5303117158226816</v>
      </c>
      <c r="BJ252">
        <v>1.6354822506504116</v>
      </c>
      <c r="CA252">
        <v>0</v>
      </c>
      <c r="CB252">
        <v>0</v>
      </c>
      <c r="CC252">
        <v>0</v>
      </c>
    </row>
    <row r="253" spans="1:82" hidden="1" x14ac:dyDescent="0.25">
      <c r="A253" t="s">
        <v>128</v>
      </c>
      <c r="B253" t="s">
        <v>291</v>
      </c>
      <c r="C253" s="14" t="s">
        <v>72</v>
      </c>
      <c r="D253" s="12">
        <v>46250</v>
      </c>
      <c r="E253" s="14" t="s">
        <v>133</v>
      </c>
      <c r="F253" s="14" t="s">
        <v>75</v>
      </c>
      <c r="G253">
        <v>10.972274579690296</v>
      </c>
      <c r="H253">
        <v>45.599999999999994</v>
      </c>
      <c r="I253">
        <v>20</v>
      </c>
      <c r="J253">
        <v>45.599999999999994</v>
      </c>
      <c r="K253">
        <v>46250</v>
      </c>
      <c r="L253" t="s">
        <v>503</v>
      </c>
      <c r="M253">
        <v>12.1875</v>
      </c>
      <c r="N253">
        <v>4.155929535741449</v>
      </c>
      <c r="O253">
        <v>4.155929535741449</v>
      </c>
      <c r="P253">
        <v>1.1107541933519498</v>
      </c>
      <c r="Q253">
        <v>0</v>
      </c>
      <c r="R253">
        <v>0</v>
      </c>
      <c r="S253">
        <v>2.905929535741449</v>
      </c>
      <c r="T253">
        <v>0</v>
      </c>
      <c r="U253">
        <v>0</v>
      </c>
      <c r="V253">
        <v>0</v>
      </c>
      <c r="W253">
        <v>0.1107541933519498</v>
      </c>
      <c r="X253">
        <v>0</v>
      </c>
      <c r="Y253">
        <v>0.1392458066480502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0.24062005657215566</v>
      </c>
      <c r="AL253">
        <v>0.24062005657215566</v>
      </c>
      <c r="AM253">
        <v>0.26726973684210531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0.73273026315789469</v>
      </c>
      <c r="AY253">
        <v>0</v>
      </c>
      <c r="AZ253">
        <v>0</v>
      </c>
      <c r="BA253">
        <v>0</v>
      </c>
      <c r="BB253">
        <v>0.24062005657215566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3.741538461538461</v>
      </c>
      <c r="BI253">
        <v>3.741538461538461</v>
      </c>
      <c r="BJ253">
        <v>0.90028919628228077</v>
      </c>
      <c r="CA253">
        <v>0</v>
      </c>
      <c r="CB253">
        <v>0</v>
      </c>
      <c r="CC253">
        <v>0</v>
      </c>
    </row>
    <row r="254" spans="1:82" hidden="1" x14ac:dyDescent="0.25">
      <c r="A254" t="s">
        <v>128</v>
      </c>
      <c r="B254" t="s">
        <v>422</v>
      </c>
      <c r="C254" s="14" t="s">
        <v>72</v>
      </c>
      <c r="D254" s="12">
        <v>46223</v>
      </c>
      <c r="E254" s="14" t="s">
        <v>420</v>
      </c>
      <c r="F254" s="14" t="s">
        <v>73</v>
      </c>
      <c r="G254">
        <v>3.6011567851291222</v>
      </c>
      <c r="H254">
        <v>0.95</v>
      </c>
      <c r="I254">
        <v>20</v>
      </c>
      <c r="J254">
        <v>0.95</v>
      </c>
      <c r="K254">
        <v>46223</v>
      </c>
      <c r="L254" t="s">
        <v>423</v>
      </c>
      <c r="M254">
        <v>0.82352941176470595</v>
      </c>
      <c r="N254">
        <v>0.26380412092108813</v>
      </c>
      <c r="O254">
        <v>0.26380412092108813</v>
      </c>
      <c r="P254">
        <v>0.22868468686657797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0.73619587907891182</v>
      </c>
      <c r="AB254">
        <v>0</v>
      </c>
      <c r="AC254">
        <v>3.5119434054510151E-2</v>
      </c>
      <c r="AD254">
        <v>0</v>
      </c>
      <c r="AE254">
        <v>0.22868468686657797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3.7906913527674972</v>
      </c>
      <c r="AL254">
        <v>3.7906913527674972</v>
      </c>
      <c r="AM254">
        <v>0.86687306501548</v>
      </c>
      <c r="BD254">
        <v>0</v>
      </c>
      <c r="BE254">
        <v>0</v>
      </c>
      <c r="BF254">
        <v>0</v>
      </c>
      <c r="BH254">
        <v>1.1535714285714285</v>
      </c>
      <c r="BI254">
        <v>1.1535714285714285</v>
      </c>
      <c r="BJ254">
        <v>4.3728332390853621</v>
      </c>
      <c r="BK254">
        <v>3.2192618105139337</v>
      </c>
      <c r="BL254">
        <v>0</v>
      </c>
      <c r="BM254">
        <v>0</v>
      </c>
      <c r="BN254">
        <v>0</v>
      </c>
      <c r="BO254">
        <v>0</v>
      </c>
      <c r="BP254">
        <v>0.34642857142857153</v>
      </c>
      <c r="BQ254">
        <v>0.15357142857142847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</row>
    <row r="255" spans="1:82" hidden="1" x14ac:dyDescent="0.25">
      <c r="A255" t="s">
        <v>128</v>
      </c>
      <c r="B255" t="s">
        <v>421</v>
      </c>
      <c r="C255" s="14" t="s">
        <v>72</v>
      </c>
      <c r="D255" s="12">
        <v>46223</v>
      </c>
      <c r="E255" s="14" t="s">
        <v>420</v>
      </c>
      <c r="F255" s="14" t="s">
        <v>73</v>
      </c>
      <c r="G255">
        <v>1.8698841589486512</v>
      </c>
      <c r="H255">
        <v>0.95</v>
      </c>
      <c r="I255">
        <v>20</v>
      </c>
      <c r="J255">
        <v>0.95</v>
      </c>
      <c r="K255">
        <v>46223</v>
      </c>
      <c r="L255" t="s">
        <v>423</v>
      </c>
      <c r="M255">
        <v>0</v>
      </c>
      <c r="N255">
        <v>0.50805286276885764</v>
      </c>
      <c r="O255">
        <v>0.50805286276885764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0.49194713723114236</v>
      </c>
      <c r="AB255">
        <v>0</v>
      </c>
      <c r="AC255">
        <v>0</v>
      </c>
      <c r="AD255">
        <v>0</v>
      </c>
      <c r="AE255">
        <v>0</v>
      </c>
      <c r="AF255">
        <v>0.50805286276885764</v>
      </c>
      <c r="AG255">
        <v>0</v>
      </c>
      <c r="AH255">
        <v>0</v>
      </c>
      <c r="AI255">
        <v>0</v>
      </c>
      <c r="AJ255">
        <v>0</v>
      </c>
      <c r="AK255">
        <v>1.9682991146827908</v>
      </c>
      <c r="AL255">
        <v>1.9682991146827908</v>
      </c>
      <c r="AM255">
        <v>0</v>
      </c>
      <c r="BD255">
        <v>0</v>
      </c>
      <c r="BE255">
        <v>0</v>
      </c>
      <c r="BF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</row>
    <row r="256" spans="1:82" hidden="1" x14ac:dyDescent="0.25">
      <c r="A256" t="s">
        <v>128</v>
      </c>
      <c r="B256" t="s">
        <v>291</v>
      </c>
      <c r="C256" s="14" t="s">
        <v>72</v>
      </c>
      <c r="D256" s="12">
        <v>46223</v>
      </c>
      <c r="E256" s="14" t="s">
        <v>420</v>
      </c>
      <c r="F256" s="14" t="s">
        <v>73</v>
      </c>
      <c r="G256">
        <v>3.6011567851291222</v>
      </c>
      <c r="H256">
        <v>2.8499999999999996</v>
      </c>
      <c r="I256">
        <v>20</v>
      </c>
      <c r="J256">
        <v>2.8499999999999996</v>
      </c>
      <c r="K256">
        <v>46223</v>
      </c>
      <c r="L256" t="s">
        <v>423</v>
      </c>
      <c r="M256">
        <v>2.823529411764707</v>
      </c>
      <c r="N256">
        <v>0.79141236276326432</v>
      </c>
      <c r="O256">
        <v>0.79141236276326432</v>
      </c>
      <c r="P256">
        <v>0.78406178354255329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0.20858763723673568</v>
      </c>
      <c r="AB256">
        <v>0</v>
      </c>
      <c r="AC256">
        <v>7.3505792207110288E-3</v>
      </c>
      <c r="AD256">
        <v>0</v>
      </c>
      <c r="AE256">
        <v>0.78406178354255329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1.2635637842558325</v>
      </c>
      <c r="AL256">
        <v>1.2635637842558325</v>
      </c>
      <c r="AM256">
        <v>0.99071207430340602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0.26356378425583249</v>
      </c>
      <c r="AW256">
        <v>0</v>
      </c>
      <c r="AX256">
        <v>0</v>
      </c>
      <c r="AY256">
        <v>0</v>
      </c>
      <c r="AZ256">
        <v>9.2879256965939794E-3</v>
      </c>
      <c r="BA256">
        <v>0</v>
      </c>
      <c r="BB256">
        <v>0.99071207430340602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1.0093749999999995</v>
      </c>
      <c r="BI256">
        <v>1.0093749999999995</v>
      </c>
      <c r="BJ256">
        <v>1.2754096947332303</v>
      </c>
      <c r="BK256">
        <v>0.26603469473323083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9.3749999999994671E-3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</row>
    <row r="257" spans="1:82" hidden="1" x14ac:dyDescent="0.25">
      <c r="A257" t="s">
        <v>128</v>
      </c>
      <c r="B257" t="s">
        <v>291</v>
      </c>
      <c r="C257" s="14" t="s">
        <v>72</v>
      </c>
      <c r="D257" s="12">
        <v>46223</v>
      </c>
      <c r="E257" s="14" t="s">
        <v>420</v>
      </c>
      <c r="F257" s="14" t="s">
        <v>74</v>
      </c>
      <c r="G257">
        <v>0</v>
      </c>
      <c r="H257">
        <v>10.45</v>
      </c>
      <c r="I257">
        <v>20</v>
      </c>
      <c r="J257">
        <v>10.45</v>
      </c>
      <c r="K257">
        <v>46223</v>
      </c>
      <c r="L257" t="s">
        <v>424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</v>
      </c>
      <c r="CD257">
        <v>0</v>
      </c>
    </row>
    <row r="258" spans="1:82" hidden="1" x14ac:dyDescent="0.25">
      <c r="A258" t="s">
        <v>128</v>
      </c>
      <c r="B258" t="s">
        <v>422</v>
      </c>
      <c r="C258" s="14" t="s">
        <v>72</v>
      </c>
      <c r="D258" s="12">
        <v>46223</v>
      </c>
      <c r="E258" s="14" t="s">
        <v>420</v>
      </c>
      <c r="F258" s="14" t="s">
        <v>74</v>
      </c>
      <c r="G258">
        <v>0</v>
      </c>
      <c r="H258">
        <v>0.95</v>
      </c>
      <c r="I258">
        <v>20</v>
      </c>
      <c r="J258">
        <v>0.95</v>
      </c>
      <c r="K258">
        <v>46223</v>
      </c>
      <c r="L258" t="s">
        <v>424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D258">
        <v>0</v>
      </c>
    </row>
    <row r="259" spans="1:82" hidden="1" x14ac:dyDescent="0.25">
      <c r="A259" t="s">
        <v>128</v>
      </c>
      <c r="B259" t="s">
        <v>421</v>
      </c>
      <c r="C259" s="14" t="s">
        <v>72</v>
      </c>
      <c r="D259" s="12">
        <v>46223</v>
      </c>
      <c r="E259" s="14" t="s">
        <v>420</v>
      </c>
      <c r="F259" s="14" t="s">
        <v>74</v>
      </c>
      <c r="G259">
        <v>0</v>
      </c>
      <c r="H259">
        <v>0</v>
      </c>
      <c r="I259">
        <v>20</v>
      </c>
      <c r="J259">
        <v>0</v>
      </c>
      <c r="K259">
        <v>46223</v>
      </c>
      <c r="L259" t="s">
        <v>424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D259">
        <v>0</v>
      </c>
    </row>
    <row r="260" spans="1:82" hidden="1" x14ac:dyDescent="0.25">
      <c r="A260" t="s">
        <v>128</v>
      </c>
      <c r="B260" t="s">
        <v>421</v>
      </c>
      <c r="C260" s="14" t="s">
        <v>72</v>
      </c>
      <c r="D260" s="12">
        <v>46223</v>
      </c>
      <c r="E260" s="14" t="s">
        <v>420</v>
      </c>
      <c r="F260" s="14" t="s">
        <v>75</v>
      </c>
      <c r="G260">
        <v>1.4299114156666153</v>
      </c>
      <c r="H260">
        <v>1.9</v>
      </c>
      <c r="I260">
        <v>20</v>
      </c>
      <c r="J260">
        <v>1.9</v>
      </c>
      <c r="K260">
        <v>46223</v>
      </c>
      <c r="L260" t="s">
        <v>425</v>
      </c>
      <c r="M260">
        <v>0.82352941176470595</v>
      </c>
      <c r="N260">
        <v>1.328753641087782</v>
      </c>
      <c r="O260">
        <v>1.328753641087782</v>
      </c>
      <c r="P260">
        <v>0.57593037075012232</v>
      </c>
      <c r="Q260">
        <v>0</v>
      </c>
      <c r="R260">
        <v>0</v>
      </c>
      <c r="S260">
        <v>7.8753641087782045E-2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0.25</v>
      </c>
      <c r="Z260">
        <v>0</v>
      </c>
      <c r="AA260">
        <v>0</v>
      </c>
      <c r="AB260">
        <v>0</v>
      </c>
      <c r="AC260">
        <v>0.42406962924987768</v>
      </c>
      <c r="AD260">
        <v>0</v>
      </c>
      <c r="AE260">
        <v>0.57593037075012232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0.75258495561400807</v>
      </c>
      <c r="AL260">
        <v>0.75258495561400807</v>
      </c>
      <c r="AM260">
        <v>0.43343653250774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0.24741504438599193</v>
      </c>
      <c r="AY260">
        <v>0</v>
      </c>
      <c r="AZ260">
        <v>0.31914842310626806</v>
      </c>
      <c r="BA260">
        <v>0</v>
      </c>
      <c r="BB260">
        <v>0.43343653250774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2.3071428571428569</v>
      </c>
      <c r="BI260">
        <v>2.3071428571428569</v>
      </c>
      <c r="BJ260">
        <v>1.7363210047380326</v>
      </c>
      <c r="CA260">
        <v>0</v>
      </c>
      <c r="CB260">
        <v>0</v>
      </c>
      <c r="CC260">
        <v>0</v>
      </c>
    </row>
    <row r="261" spans="1:82" hidden="1" x14ac:dyDescent="0.25">
      <c r="A261" t="s">
        <v>128</v>
      </c>
      <c r="B261" t="s">
        <v>422</v>
      </c>
      <c r="C261" s="14" t="s">
        <v>72</v>
      </c>
      <c r="D261" s="12">
        <v>46223</v>
      </c>
      <c r="E261" s="14" t="s">
        <v>420</v>
      </c>
      <c r="F261" s="14" t="s">
        <v>75</v>
      </c>
      <c r="G261">
        <v>3.1774912809962848</v>
      </c>
      <c r="H261">
        <v>0.95</v>
      </c>
      <c r="I261">
        <v>20</v>
      </c>
      <c r="J261">
        <v>0.95</v>
      </c>
      <c r="K261">
        <v>46223</v>
      </c>
      <c r="L261" t="s">
        <v>425</v>
      </c>
      <c r="M261">
        <v>0.16608996539792387</v>
      </c>
      <c r="N261">
        <v>0.29897800371056649</v>
      </c>
      <c r="O261">
        <v>0.29897800371056649</v>
      </c>
      <c r="P261">
        <v>5.2270785569503521E-2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0.70102199628943351</v>
      </c>
      <c r="AB261">
        <v>0</v>
      </c>
      <c r="AC261">
        <v>0.24670721814106297</v>
      </c>
      <c r="AD261">
        <v>0</v>
      </c>
      <c r="AE261">
        <v>5.2270785569503521E-2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3.3447276642066157</v>
      </c>
      <c r="AL261">
        <v>3.3447276642066157</v>
      </c>
      <c r="AM261">
        <v>0.17483154252413038</v>
      </c>
      <c r="BD261">
        <v>0</v>
      </c>
      <c r="BE261">
        <v>0</v>
      </c>
      <c r="BF261">
        <v>0</v>
      </c>
      <c r="BH261">
        <v>5.7197916666666666</v>
      </c>
      <c r="BI261">
        <v>5.7197916666666666</v>
      </c>
      <c r="BJ261">
        <v>19.131145420998465</v>
      </c>
      <c r="CA261">
        <v>0</v>
      </c>
      <c r="CB261">
        <v>0</v>
      </c>
      <c r="CC261">
        <v>0</v>
      </c>
    </row>
    <row r="262" spans="1:82" hidden="1" x14ac:dyDescent="0.25">
      <c r="A262" t="s">
        <v>128</v>
      </c>
      <c r="B262" t="s">
        <v>291</v>
      </c>
      <c r="C262" s="14" t="s">
        <v>72</v>
      </c>
      <c r="D262" s="12">
        <v>46223</v>
      </c>
      <c r="E262" s="14" t="s">
        <v>420</v>
      </c>
      <c r="F262" s="14" t="s">
        <v>75</v>
      </c>
      <c r="G262">
        <v>3.1774912809962848</v>
      </c>
      <c r="H262">
        <v>2.8499999999999996</v>
      </c>
      <c r="I262">
        <v>20</v>
      </c>
      <c r="J262">
        <v>2.8499999999999996</v>
      </c>
      <c r="K262">
        <v>46223</v>
      </c>
      <c r="L262" t="s">
        <v>425</v>
      </c>
      <c r="M262">
        <v>2.8131487889273359</v>
      </c>
      <c r="N262">
        <v>0.89693401113169946</v>
      </c>
      <c r="O262">
        <v>0.89693401113169946</v>
      </c>
      <c r="P262">
        <v>0.88533643058346601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0.10306598886830054</v>
      </c>
      <c r="AB262">
        <v>0</v>
      </c>
      <c r="AC262">
        <v>1.1597580548233455E-2</v>
      </c>
      <c r="AD262">
        <v>0</v>
      </c>
      <c r="AE262">
        <v>0.88533643058346601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1.1149092214022054</v>
      </c>
      <c r="AL262">
        <v>1.1149092214022054</v>
      </c>
      <c r="AM262">
        <v>0.98706975050081969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0.11490922140220539</v>
      </c>
      <c r="AW262">
        <v>0</v>
      </c>
      <c r="AX262">
        <v>0</v>
      </c>
      <c r="AY262">
        <v>0</v>
      </c>
      <c r="AZ262">
        <v>1.2930249499180313E-2</v>
      </c>
      <c r="BA262">
        <v>0</v>
      </c>
      <c r="BB262">
        <v>0.98706975050081969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1.0130996309963098</v>
      </c>
      <c r="BI262">
        <v>1.0130996309963098</v>
      </c>
      <c r="BJ262">
        <v>1.1295141207969572</v>
      </c>
      <c r="BK262">
        <v>0.11641448980064739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1.3099630996309841E-2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</row>
    <row r="263" spans="1:82" hidden="1" x14ac:dyDescent="0.25">
      <c r="A263" t="s">
        <v>128</v>
      </c>
      <c r="B263" t="s">
        <v>291</v>
      </c>
      <c r="C263" s="14" t="s">
        <v>72</v>
      </c>
      <c r="D263" s="12">
        <v>46224</v>
      </c>
      <c r="E263" s="14" t="s">
        <v>420</v>
      </c>
      <c r="F263" s="14" t="s">
        <v>73</v>
      </c>
      <c r="G263">
        <v>3.6011567851291235</v>
      </c>
      <c r="H263">
        <v>2.8499999999999996</v>
      </c>
      <c r="I263">
        <v>20</v>
      </c>
      <c r="J263">
        <v>2.8499999999999996</v>
      </c>
      <c r="K263">
        <v>46224</v>
      </c>
      <c r="L263" t="s">
        <v>426</v>
      </c>
      <c r="M263">
        <v>3.8807773109243682</v>
      </c>
      <c r="N263">
        <v>0.7914123627632641</v>
      </c>
      <c r="O263">
        <v>0.7914123627632641</v>
      </c>
      <c r="P263">
        <v>1.0776474178935862</v>
      </c>
      <c r="Q263">
        <v>7.7647417893586201E-2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0.2085876372367359</v>
      </c>
      <c r="AA263">
        <v>0</v>
      </c>
      <c r="AB263">
        <v>0</v>
      </c>
      <c r="AC263">
        <v>0</v>
      </c>
      <c r="AD263">
        <v>0</v>
      </c>
      <c r="AE263">
        <v>0.7914123627632641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1.2635637842558329</v>
      </c>
      <c r="AL263">
        <v>1.2635637842558329</v>
      </c>
      <c r="AM263">
        <v>1.3616762494471468</v>
      </c>
      <c r="AN263">
        <v>9.8112465191313891E-2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0.26356378425583293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0.7343889565570445</v>
      </c>
      <c r="BI263">
        <v>0.7343889565570445</v>
      </c>
      <c r="BJ263">
        <v>0.92794728906291157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7.2052710937088427E-2</v>
      </c>
      <c r="BV263">
        <v>0</v>
      </c>
      <c r="BW263">
        <v>0</v>
      </c>
      <c r="BX263">
        <v>0</v>
      </c>
      <c r="BY263">
        <v>0.7343889565570445</v>
      </c>
      <c r="BZ263">
        <v>0</v>
      </c>
      <c r="CA263">
        <v>0</v>
      </c>
      <c r="CB263">
        <v>0</v>
      </c>
      <c r="CC263">
        <v>0</v>
      </c>
      <c r="CD263">
        <v>0</v>
      </c>
    </row>
    <row r="264" spans="1:82" hidden="1" x14ac:dyDescent="0.25">
      <c r="A264" t="s">
        <v>128</v>
      </c>
      <c r="B264" t="s">
        <v>421</v>
      </c>
      <c r="C264" s="14" t="s">
        <v>72</v>
      </c>
      <c r="D264" s="12">
        <v>46224</v>
      </c>
      <c r="E264" s="14" t="s">
        <v>420</v>
      </c>
      <c r="F264" s="14" t="s">
        <v>73</v>
      </c>
      <c r="G264">
        <v>1.869884158948651</v>
      </c>
      <c r="H264">
        <v>0.95</v>
      </c>
      <c r="I264">
        <v>20</v>
      </c>
      <c r="J264">
        <v>0.95</v>
      </c>
      <c r="K264">
        <v>46224</v>
      </c>
      <c r="L264" t="s">
        <v>426</v>
      </c>
      <c r="M264">
        <v>0</v>
      </c>
      <c r="N264">
        <v>0.50805286276885775</v>
      </c>
      <c r="O264">
        <v>0.50805286276885775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0.49194713723114225</v>
      </c>
      <c r="AB264">
        <v>0</v>
      </c>
      <c r="AC264">
        <v>0</v>
      </c>
      <c r="AD264">
        <v>0</v>
      </c>
      <c r="AE264">
        <v>0</v>
      </c>
      <c r="AF264">
        <v>0.50805286276885775</v>
      </c>
      <c r="AG264">
        <v>0</v>
      </c>
      <c r="AH264">
        <v>0</v>
      </c>
      <c r="AI264">
        <v>0</v>
      </c>
      <c r="AJ264">
        <v>0</v>
      </c>
      <c r="AK264">
        <v>1.9682991146827906</v>
      </c>
      <c r="AL264">
        <v>1.9682991146827906</v>
      </c>
      <c r="AM264">
        <v>0</v>
      </c>
      <c r="BD264">
        <v>0</v>
      </c>
      <c r="BE264">
        <v>0</v>
      </c>
      <c r="BF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</row>
    <row r="265" spans="1:82" hidden="1" x14ac:dyDescent="0.25">
      <c r="A265" t="s">
        <v>128</v>
      </c>
      <c r="B265" t="s">
        <v>422</v>
      </c>
      <c r="C265" s="14" t="s">
        <v>72</v>
      </c>
      <c r="D265" s="12">
        <v>46224</v>
      </c>
      <c r="E265" s="14" t="s">
        <v>420</v>
      </c>
      <c r="F265" s="14" t="s">
        <v>73</v>
      </c>
      <c r="G265">
        <v>3.6011567851291235</v>
      </c>
      <c r="H265">
        <v>0.95</v>
      </c>
      <c r="I265">
        <v>20</v>
      </c>
      <c r="J265">
        <v>0.95</v>
      </c>
      <c r="K265">
        <v>46224</v>
      </c>
      <c r="L265" t="s">
        <v>426</v>
      </c>
      <c r="M265">
        <v>0.82352941176470595</v>
      </c>
      <c r="N265">
        <v>0.26380412092108801</v>
      </c>
      <c r="O265">
        <v>0.26380412092108801</v>
      </c>
      <c r="P265">
        <v>0.22868468686657789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0.73619587907891204</v>
      </c>
      <c r="AB265">
        <v>0</v>
      </c>
      <c r="AC265">
        <v>3.5119434054510124E-2</v>
      </c>
      <c r="AD265">
        <v>0</v>
      </c>
      <c r="AE265">
        <v>0.22868468686657789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3.7906913527674986</v>
      </c>
      <c r="AL265">
        <v>3.7906913527674986</v>
      </c>
      <c r="AM265">
        <v>0.86687306501548</v>
      </c>
      <c r="BD265">
        <v>0</v>
      </c>
      <c r="BE265">
        <v>0</v>
      </c>
      <c r="BF265">
        <v>0</v>
      </c>
      <c r="BH265">
        <v>1.1535714285714285</v>
      </c>
      <c r="BI265">
        <v>1.1535714285714285</v>
      </c>
      <c r="BJ265">
        <v>4.3728332390853639</v>
      </c>
      <c r="BK265">
        <v>3.2192618105139355</v>
      </c>
      <c r="BL265">
        <v>0</v>
      </c>
      <c r="BM265">
        <v>0</v>
      </c>
      <c r="BN265">
        <v>0</v>
      </c>
      <c r="BO265">
        <v>0</v>
      </c>
      <c r="BP265">
        <v>0.34642857142857153</v>
      </c>
      <c r="BQ265">
        <v>0.15357142857142847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</row>
    <row r="266" spans="1:82" hidden="1" x14ac:dyDescent="0.25">
      <c r="A266" t="s">
        <v>128</v>
      </c>
      <c r="B266" t="s">
        <v>421</v>
      </c>
      <c r="C266" s="14" t="s">
        <v>72</v>
      </c>
      <c r="D266" s="12">
        <v>46224</v>
      </c>
      <c r="E266" s="14" t="s">
        <v>420</v>
      </c>
      <c r="F266" s="14" t="s">
        <v>74</v>
      </c>
      <c r="G266">
        <v>0</v>
      </c>
      <c r="H266">
        <v>0.95</v>
      </c>
      <c r="I266">
        <v>20</v>
      </c>
      <c r="J266">
        <v>0.95</v>
      </c>
      <c r="K266">
        <v>46224</v>
      </c>
      <c r="L266" t="s">
        <v>427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D266">
        <v>0</v>
      </c>
    </row>
    <row r="267" spans="1:82" hidden="1" x14ac:dyDescent="0.25">
      <c r="A267" t="s">
        <v>128</v>
      </c>
      <c r="B267" t="s">
        <v>422</v>
      </c>
      <c r="C267" s="14" t="s">
        <v>72</v>
      </c>
      <c r="D267" s="12">
        <v>46224</v>
      </c>
      <c r="E267" s="14" t="s">
        <v>420</v>
      </c>
      <c r="F267" s="14" t="s">
        <v>74</v>
      </c>
      <c r="G267">
        <v>0</v>
      </c>
      <c r="H267">
        <v>0</v>
      </c>
      <c r="I267">
        <v>20</v>
      </c>
      <c r="J267">
        <v>0</v>
      </c>
      <c r="K267">
        <v>46224</v>
      </c>
      <c r="L267" t="s">
        <v>427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D267">
        <v>0</v>
      </c>
    </row>
    <row r="268" spans="1:82" hidden="1" x14ac:dyDescent="0.25">
      <c r="A268" t="s">
        <v>128</v>
      </c>
      <c r="B268" t="s">
        <v>291</v>
      </c>
      <c r="C268" s="14" t="s">
        <v>72</v>
      </c>
      <c r="D268" s="12">
        <v>46224</v>
      </c>
      <c r="E268" s="14" t="s">
        <v>420</v>
      </c>
      <c r="F268" s="14" t="s">
        <v>74</v>
      </c>
      <c r="G268">
        <v>0</v>
      </c>
      <c r="H268">
        <v>11.4</v>
      </c>
      <c r="I268">
        <v>20</v>
      </c>
      <c r="J268">
        <v>11.4</v>
      </c>
      <c r="K268">
        <v>46224</v>
      </c>
      <c r="L268" t="s">
        <v>427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D268">
        <v>0</v>
      </c>
    </row>
    <row r="269" spans="1:82" hidden="1" x14ac:dyDescent="0.25">
      <c r="A269" t="s">
        <v>128</v>
      </c>
      <c r="B269" t="s">
        <v>291</v>
      </c>
      <c r="C269" s="14" t="s">
        <v>72</v>
      </c>
      <c r="D269" s="12">
        <v>46224</v>
      </c>
      <c r="E269" s="14" t="s">
        <v>420</v>
      </c>
      <c r="F269" s="14" t="s">
        <v>75</v>
      </c>
      <c r="G269">
        <v>3.23044946901289</v>
      </c>
      <c r="H269">
        <v>0.95</v>
      </c>
      <c r="I269">
        <v>20</v>
      </c>
      <c r="J269">
        <v>0.95</v>
      </c>
      <c r="K269">
        <v>46224</v>
      </c>
      <c r="L269" t="s">
        <v>428</v>
      </c>
      <c r="M269">
        <v>3.5239742956005928</v>
      </c>
      <c r="N269">
        <v>0.2940767249612129</v>
      </c>
      <c r="O269">
        <v>0.2940767249612129</v>
      </c>
      <c r="P269">
        <v>1.0908619154712837</v>
      </c>
      <c r="Q269">
        <v>9.086191547128375E-2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0.70592327503878716</v>
      </c>
      <c r="AA269">
        <v>0</v>
      </c>
      <c r="AB269">
        <v>0</v>
      </c>
      <c r="AC269">
        <v>0</v>
      </c>
      <c r="AD269">
        <v>0</v>
      </c>
      <c r="AE269">
        <v>0.2940767249612129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3.4004731252767266</v>
      </c>
      <c r="AL269">
        <v>3.4004731252767266</v>
      </c>
      <c r="AM269">
        <v>3.7094466269479924</v>
      </c>
      <c r="BD269">
        <v>0</v>
      </c>
      <c r="BE269">
        <v>0</v>
      </c>
      <c r="BF269">
        <v>0</v>
      </c>
      <c r="BH269">
        <v>0.26958198905877406</v>
      </c>
      <c r="BI269">
        <v>0.26958198905877406</v>
      </c>
      <c r="BJ269">
        <v>0.91670630885300564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8.3293691146994364E-2</v>
      </c>
      <c r="BV269">
        <v>0</v>
      </c>
      <c r="BW269">
        <v>0</v>
      </c>
      <c r="BX269">
        <v>0</v>
      </c>
      <c r="BY269">
        <v>0.26958198905877406</v>
      </c>
      <c r="BZ269">
        <v>0</v>
      </c>
      <c r="CA269">
        <v>0</v>
      </c>
      <c r="CB269">
        <v>0</v>
      </c>
      <c r="CC269">
        <v>0</v>
      </c>
      <c r="CD269">
        <v>0</v>
      </c>
    </row>
    <row r="270" spans="1:82" hidden="1" x14ac:dyDescent="0.25">
      <c r="A270" t="s">
        <v>128</v>
      </c>
      <c r="B270" t="s">
        <v>421</v>
      </c>
      <c r="C270" s="14" t="s">
        <v>72</v>
      </c>
      <c r="D270" s="12">
        <v>46224</v>
      </c>
      <c r="E270" s="14" t="s">
        <v>420</v>
      </c>
      <c r="F270" s="14" t="s">
        <v>75</v>
      </c>
      <c r="G270">
        <v>1.4299114156666153</v>
      </c>
      <c r="H270">
        <v>1.9</v>
      </c>
      <c r="I270">
        <v>20</v>
      </c>
      <c r="J270">
        <v>1.9</v>
      </c>
      <c r="K270">
        <v>46224</v>
      </c>
      <c r="L270" t="s">
        <v>428</v>
      </c>
      <c r="M270">
        <v>0.82352941176470573</v>
      </c>
      <c r="N270">
        <v>1.328753641087782</v>
      </c>
      <c r="O270">
        <v>1.328753641087782</v>
      </c>
      <c r="P270">
        <v>0.5759303707501221</v>
      </c>
      <c r="Q270">
        <v>0</v>
      </c>
      <c r="R270">
        <v>0</v>
      </c>
      <c r="S270">
        <v>7.8753641087782045E-2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0.25</v>
      </c>
      <c r="Z270">
        <v>0</v>
      </c>
      <c r="AA270">
        <v>0</v>
      </c>
      <c r="AB270">
        <v>0</v>
      </c>
      <c r="AC270">
        <v>0.4240696292498779</v>
      </c>
      <c r="AD270">
        <v>0</v>
      </c>
      <c r="AE270">
        <v>0.5759303707501221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0.75258495561400807</v>
      </c>
      <c r="AL270">
        <v>0.75258495561400807</v>
      </c>
      <c r="AM270">
        <v>0.43343653250773989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0.24741504438599193</v>
      </c>
      <c r="AY270">
        <v>0</v>
      </c>
      <c r="AZ270">
        <v>0.31914842310626818</v>
      </c>
      <c r="BA270">
        <v>0</v>
      </c>
      <c r="BB270">
        <v>0.43343653250773989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2.3071428571428574</v>
      </c>
      <c r="BI270">
        <v>2.3071428571428574</v>
      </c>
      <c r="BJ270">
        <v>1.7363210047380331</v>
      </c>
      <c r="CA270">
        <v>0</v>
      </c>
      <c r="CB270">
        <v>0</v>
      </c>
      <c r="CC270">
        <v>0</v>
      </c>
    </row>
    <row r="271" spans="1:82" hidden="1" x14ac:dyDescent="0.25">
      <c r="A271" t="s">
        <v>128</v>
      </c>
      <c r="B271" t="s">
        <v>422</v>
      </c>
      <c r="C271" s="14" t="s">
        <v>72</v>
      </c>
      <c r="D271" s="12">
        <v>46224</v>
      </c>
      <c r="E271" s="14" t="s">
        <v>420</v>
      </c>
      <c r="F271" s="14" t="s">
        <v>75</v>
      </c>
      <c r="G271">
        <v>3.23044946901289</v>
      </c>
      <c r="H271">
        <v>2.8499999999999996</v>
      </c>
      <c r="I271">
        <v>20</v>
      </c>
      <c r="J271">
        <v>2.8499999999999996</v>
      </c>
      <c r="K271">
        <v>46224</v>
      </c>
      <c r="L271" t="s">
        <v>428</v>
      </c>
      <c r="M271">
        <v>0.16608996539792387</v>
      </c>
      <c r="N271">
        <v>0.88223017488363864</v>
      </c>
      <c r="O271">
        <v>0.88223017488363864</v>
      </c>
      <c r="P271">
        <v>5.1413887445413295E-2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0.11776982511636136</v>
      </c>
      <c r="AB271">
        <v>0</v>
      </c>
      <c r="AC271">
        <v>0.83081628743822533</v>
      </c>
      <c r="AD271">
        <v>0</v>
      </c>
      <c r="AE271">
        <v>5.1413887445413295E-2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1.1334910417589088</v>
      </c>
      <c r="AL271">
        <v>1.1334910417589088</v>
      </c>
      <c r="AM271">
        <v>5.8277180841376799E-2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0.1334910417589088</v>
      </c>
      <c r="AW271">
        <v>0</v>
      </c>
      <c r="AX271">
        <v>0</v>
      </c>
      <c r="AY271">
        <v>0</v>
      </c>
      <c r="AZ271">
        <v>0.94172281915862321</v>
      </c>
      <c r="BA271">
        <v>0</v>
      </c>
      <c r="BB271">
        <v>5.8277180841376799E-2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17.159374999999997</v>
      </c>
      <c r="BI271">
        <v>17.159374999999997</v>
      </c>
      <c r="BJ271">
        <v>19.449997844681775</v>
      </c>
      <c r="CA271">
        <v>0</v>
      </c>
      <c r="CB271">
        <v>0</v>
      </c>
      <c r="CC271">
        <v>0</v>
      </c>
    </row>
    <row r="272" spans="1:82" hidden="1" x14ac:dyDescent="0.25">
      <c r="A272" t="s">
        <v>128</v>
      </c>
      <c r="B272" t="s">
        <v>422</v>
      </c>
      <c r="C272" s="14" t="s">
        <v>72</v>
      </c>
      <c r="D272" s="12">
        <v>46225</v>
      </c>
      <c r="E272" s="14" t="s">
        <v>420</v>
      </c>
      <c r="F272" s="14" t="s">
        <v>73</v>
      </c>
      <c r="G272">
        <v>3.6011567851291222</v>
      </c>
      <c r="H272">
        <v>1.9</v>
      </c>
      <c r="I272">
        <v>20</v>
      </c>
      <c r="J272">
        <v>1.9</v>
      </c>
      <c r="K272">
        <v>46225</v>
      </c>
      <c r="L272" t="s">
        <v>429</v>
      </c>
      <c r="M272">
        <v>2.4760061919504648</v>
      </c>
      <c r="N272">
        <v>0.52760824184217625</v>
      </c>
      <c r="O272">
        <v>0.52760824184217625</v>
      </c>
      <c r="P272">
        <v>0.68755856511859303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0.15995032327641678</v>
      </c>
      <c r="AA272">
        <v>0.31244143488140697</v>
      </c>
      <c r="AB272">
        <v>0</v>
      </c>
      <c r="AC272">
        <v>0</v>
      </c>
      <c r="AD272">
        <v>0</v>
      </c>
      <c r="AE272">
        <v>0.52760824184217625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1.8953456763837486</v>
      </c>
      <c r="AL272">
        <v>1.8953456763837486</v>
      </c>
      <c r="AM272">
        <v>1.3031611536581393</v>
      </c>
      <c r="BD272">
        <v>0</v>
      </c>
      <c r="BE272">
        <v>0</v>
      </c>
      <c r="BF272">
        <v>0</v>
      </c>
      <c r="BH272">
        <v>0.76736480150046871</v>
      </c>
      <c r="BI272">
        <v>0.76736480150046871</v>
      </c>
      <c r="BJ272">
        <v>1.454421558732987</v>
      </c>
      <c r="BK272">
        <v>0.45442155873298695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0.47239175815782375</v>
      </c>
      <c r="BU272">
        <v>0</v>
      </c>
      <c r="BV272">
        <v>0</v>
      </c>
      <c r="BW272">
        <v>0</v>
      </c>
      <c r="BX272">
        <v>0</v>
      </c>
      <c r="BY272">
        <v>0.76736480150046871</v>
      </c>
      <c r="BZ272">
        <v>0</v>
      </c>
      <c r="CA272">
        <v>0</v>
      </c>
      <c r="CB272">
        <v>0</v>
      </c>
      <c r="CC272">
        <v>0</v>
      </c>
      <c r="CD272">
        <v>0</v>
      </c>
    </row>
    <row r="273" spans="1:82" hidden="1" x14ac:dyDescent="0.25">
      <c r="A273" t="s">
        <v>128</v>
      </c>
      <c r="B273" t="s">
        <v>421</v>
      </c>
      <c r="C273" s="14" t="s">
        <v>72</v>
      </c>
      <c r="D273" s="12">
        <v>46225</v>
      </c>
      <c r="E273" s="14" t="s">
        <v>420</v>
      </c>
      <c r="F273" s="14" t="s">
        <v>73</v>
      </c>
      <c r="G273">
        <v>1.869884158948651</v>
      </c>
      <c r="H273">
        <v>1.9</v>
      </c>
      <c r="I273">
        <v>20</v>
      </c>
      <c r="J273">
        <v>1.9</v>
      </c>
      <c r="K273">
        <v>46225</v>
      </c>
      <c r="L273" t="s">
        <v>429</v>
      </c>
      <c r="M273">
        <v>0</v>
      </c>
      <c r="N273">
        <v>1.0161057255377155</v>
      </c>
      <c r="O273">
        <v>1.0161057255377155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1.6105725537715498E-2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0.98414955734139531</v>
      </c>
      <c r="AL273">
        <v>0.98414955734139531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</row>
    <row r="274" spans="1:82" hidden="1" x14ac:dyDescent="0.25">
      <c r="A274" t="s">
        <v>128</v>
      </c>
      <c r="B274" t="s">
        <v>291</v>
      </c>
      <c r="C274" s="14" t="s">
        <v>72</v>
      </c>
      <c r="D274" s="12">
        <v>46225</v>
      </c>
      <c r="E274" s="14" t="s">
        <v>420</v>
      </c>
      <c r="F274" s="14" t="s">
        <v>73</v>
      </c>
      <c r="G274">
        <v>3.6011567851291222</v>
      </c>
      <c r="H274">
        <v>0.95</v>
      </c>
      <c r="I274">
        <v>20</v>
      </c>
      <c r="J274">
        <v>0.95</v>
      </c>
      <c r="K274">
        <v>46225</v>
      </c>
      <c r="L274" t="s">
        <v>429</v>
      </c>
      <c r="M274">
        <v>3.7647058823529398</v>
      </c>
      <c r="N274">
        <v>0.26380412092108813</v>
      </c>
      <c r="O274">
        <v>0.26380412092108813</v>
      </c>
      <c r="P274">
        <v>1.0454157113900704</v>
      </c>
      <c r="Q274">
        <v>4.541571139007039E-2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0.73619587907891182</v>
      </c>
      <c r="AA274">
        <v>0</v>
      </c>
      <c r="AB274">
        <v>0</v>
      </c>
      <c r="AC274">
        <v>0</v>
      </c>
      <c r="AD274">
        <v>0</v>
      </c>
      <c r="AE274">
        <v>0.26380412092108813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3.7906913527674972</v>
      </c>
      <c r="AL274">
        <v>3.7906913527674972</v>
      </c>
      <c r="AM274">
        <v>3.962848297213621</v>
      </c>
      <c r="BD274">
        <v>0</v>
      </c>
      <c r="BE274">
        <v>0</v>
      </c>
      <c r="BF274">
        <v>0</v>
      </c>
      <c r="BH274">
        <v>0.25234375000000009</v>
      </c>
      <c r="BI274">
        <v>0.25234375000000009</v>
      </c>
      <c r="BJ274">
        <v>0.95655727104992339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4.3442728950076615E-2</v>
      </c>
      <c r="BV274">
        <v>0</v>
      </c>
      <c r="BW274">
        <v>0</v>
      </c>
      <c r="BX274">
        <v>0</v>
      </c>
      <c r="BY274">
        <v>0.25234375000000009</v>
      </c>
      <c r="BZ274">
        <v>0</v>
      </c>
      <c r="CA274">
        <v>0</v>
      </c>
      <c r="CB274">
        <v>0</v>
      </c>
      <c r="CC274">
        <v>0</v>
      </c>
      <c r="CD274">
        <v>0</v>
      </c>
    </row>
    <row r="275" spans="1:82" hidden="1" x14ac:dyDescent="0.25">
      <c r="A275" t="s">
        <v>128</v>
      </c>
      <c r="B275" t="s">
        <v>421</v>
      </c>
      <c r="C275" s="14" t="s">
        <v>72</v>
      </c>
      <c r="D275" s="12">
        <v>46225</v>
      </c>
      <c r="E275" s="14" t="s">
        <v>420</v>
      </c>
      <c r="F275" s="14" t="s">
        <v>74</v>
      </c>
      <c r="G275">
        <v>0</v>
      </c>
      <c r="H275">
        <v>0</v>
      </c>
      <c r="I275">
        <v>20</v>
      </c>
      <c r="J275">
        <v>0</v>
      </c>
      <c r="K275">
        <v>46225</v>
      </c>
      <c r="L275" t="s">
        <v>430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D275">
        <v>0</v>
      </c>
    </row>
    <row r="276" spans="1:82" hidden="1" x14ac:dyDescent="0.25">
      <c r="A276" t="s">
        <v>128</v>
      </c>
      <c r="B276" t="s">
        <v>422</v>
      </c>
      <c r="C276" s="14" t="s">
        <v>72</v>
      </c>
      <c r="D276" s="12">
        <v>46225</v>
      </c>
      <c r="E276" s="14" t="s">
        <v>420</v>
      </c>
      <c r="F276" s="14" t="s">
        <v>74</v>
      </c>
      <c r="G276">
        <v>0</v>
      </c>
      <c r="H276">
        <v>0</v>
      </c>
      <c r="I276">
        <v>20</v>
      </c>
      <c r="J276">
        <v>0</v>
      </c>
      <c r="K276">
        <v>46225</v>
      </c>
      <c r="L276" t="s">
        <v>430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D276">
        <v>0</v>
      </c>
    </row>
    <row r="277" spans="1:82" hidden="1" x14ac:dyDescent="0.25">
      <c r="A277" t="s">
        <v>128</v>
      </c>
      <c r="B277" t="s">
        <v>291</v>
      </c>
      <c r="C277" s="14" t="s">
        <v>72</v>
      </c>
      <c r="D277" s="12">
        <v>46225</v>
      </c>
      <c r="E277" s="14" t="s">
        <v>420</v>
      </c>
      <c r="F277" s="14" t="s">
        <v>74</v>
      </c>
      <c r="G277">
        <v>0</v>
      </c>
      <c r="H277">
        <v>2.8499999999999996</v>
      </c>
      <c r="I277">
        <v>20</v>
      </c>
      <c r="J277">
        <v>2.8499999999999996</v>
      </c>
      <c r="K277">
        <v>46225</v>
      </c>
      <c r="L277" t="s">
        <v>430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D277">
        <v>0</v>
      </c>
    </row>
    <row r="278" spans="1:82" hidden="1" x14ac:dyDescent="0.25">
      <c r="A278" t="s">
        <v>128</v>
      </c>
      <c r="B278" t="s">
        <v>421</v>
      </c>
      <c r="C278" s="14" t="s">
        <v>72</v>
      </c>
      <c r="D278" s="12">
        <v>46225</v>
      </c>
      <c r="E278" s="14" t="s">
        <v>420</v>
      </c>
      <c r="F278" s="14" t="s">
        <v>75</v>
      </c>
      <c r="G278">
        <v>1.5949011943973783</v>
      </c>
      <c r="H278">
        <v>1.9</v>
      </c>
      <c r="I278">
        <v>20</v>
      </c>
      <c r="J278">
        <v>1.9</v>
      </c>
      <c r="K278">
        <v>46225</v>
      </c>
      <c r="L278" t="s">
        <v>431</v>
      </c>
      <c r="M278">
        <v>0.82352941176470573</v>
      </c>
      <c r="N278">
        <v>1.1912963678718047</v>
      </c>
      <c r="O278">
        <v>1.1912963678718047</v>
      </c>
      <c r="P278">
        <v>0.51635136687941996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0.19129636787180471</v>
      </c>
      <c r="Z278">
        <v>0</v>
      </c>
      <c r="AA278">
        <v>0</v>
      </c>
      <c r="AB278">
        <v>0</v>
      </c>
      <c r="AC278">
        <v>0.48364863312058004</v>
      </c>
      <c r="AD278">
        <v>0</v>
      </c>
      <c r="AE278">
        <v>0.51635136687941996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0.83942168126177807</v>
      </c>
      <c r="AL278">
        <v>0.83942168126177807</v>
      </c>
      <c r="AM278">
        <v>0.43343653250773989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0.16057831873822193</v>
      </c>
      <c r="AY278">
        <v>0</v>
      </c>
      <c r="AZ278">
        <v>0.40598514875403818</v>
      </c>
      <c r="BA278">
        <v>0</v>
      </c>
      <c r="BB278">
        <v>0.43343653250773989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2.3071428571428574</v>
      </c>
      <c r="BI278">
        <v>2.3071428571428574</v>
      </c>
      <c r="BJ278">
        <v>1.9366657360539596</v>
      </c>
      <c r="CA278">
        <v>0</v>
      </c>
      <c r="CB278">
        <v>0</v>
      </c>
      <c r="CC278">
        <v>0</v>
      </c>
    </row>
    <row r="279" spans="1:82" hidden="1" x14ac:dyDescent="0.25">
      <c r="A279" t="s">
        <v>128</v>
      </c>
      <c r="B279" t="s">
        <v>422</v>
      </c>
      <c r="C279" s="14" t="s">
        <v>72</v>
      </c>
      <c r="D279" s="12">
        <v>46225</v>
      </c>
      <c r="E279" s="14" t="s">
        <v>420</v>
      </c>
      <c r="F279" s="14" t="s">
        <v>75</v>
      </c>
      <c r="G279">
        <v>3.1774912809962848</v>
      </c>
      <c r="H279">
        <v>1.9</v>
      </c>
      <c r="I279">
        <v>20</v>
      </c>
      <c r="J279">
        <v>1.9</v>
      </c>
      <c r="K279">
        <v>46225</v>
      </c>
      <c r="L279" t="s">
        <v>431</v>
      </c>
      <c r="M279">
        <v>1.3167000546348568</v>
      </c>
      <c r="N279">
        <v>0.59795600742113297</v>
      </c>
      <c r="O279">
        <v>0.59795600742113297</v>
      </c>
      <c r="P279">
        <v>0.4143835303371825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0.40204399257886703</v>
      </c>
      <c r="AB279">
        <v>0</v>
      </c>
      <c r="AC279">
        <v>0.18357247708395047</v>
      </c>
      <c r="AD279">
        <v>0</v>
      </c>
      <c r="AE279">
        <v>0.4143835303371825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1.6723638321033079</v>
      </c>
      <c r="AL279">
        <v>1.6723638321033079</v>
      </c>
      <c r="AM279">
        <v>0.69300002875518785</v>
      </c>
      <c r="BD279">
        <v>0</v>
      </c>
      <c r="BE279">
        <v>0</v>
      </c>
      <c r="BF279">
        <v>0</v>
      </c>
      <c r="BH279">
        <v>1.4430013831258646</v>
      </c>
      <c r="BI279">
        <v>1.4430013831258646</v>
      </c>
      <c r="BJ279">
        <v>2.4132233228147446</v>
      </c>
      <c r="BK279">
        <v>0.97022193968888004</v>
      </c>
      <c r="BL279">
        <v>0</v>
      </c>
      <c r="BM279">
        <v>0</v>
      </c>
      <c r="BN279">
        <v>0</v>
      </c>
      <c r="BO279">
        <v>0</v>
      </c>
      <c r="BP279">
        <v>5.6998616874135433E-2</v>
      </c>
      <c r="BQ279">
        <v>0.44300138312586457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</row>
    <row r="280" spans="1:82" hidden="1" x14ac:dyDescent="0.25">
      <c r="A280" t="s">
        <v>128</v>
      </c>
      <c r="B280" t="s">
        <v>291</v>
      </c>
      <c r="C280" s="14" t="s">
        <v>72</v>
      </c>
      <c r="D280" s="12">
        <v>46225</v>
      </c>
      <c r="E280" s="14" t="s">
        <v>420</v>
      </c>
      <c r="F280" s="14" t="s">
        <v>75</v>
      </c>
      <c r="G280">
        <v>3.1774912809962848</v>
      </c>
      <c r="H280">
        <v>2.8499999999999996</v>
      </c>
      <c r="I280">
        <v>20</v>
      </c>
      <c r="J280">
        <v>2.8499999999999996</v>
      </c>
      <c r="K280">
        <v>46225</v>
      </c>
      <c r="L280" t="s">
        <v>431</v>
      </c>
      <c r="M280">
        <v>3.7508650519031144</v>
      </c>
      <c r="N280">
        <v>0.89693401113169946</v>
      </c>
      <c r="O280">
        <v>0.89693401113169946</v>
      </c>
      <c r="P280">
        <v>1.180448574111288</v>
      </c>
      <c r="Q280">
        <v>0.18044857411128801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0.10306598886830054</v>
      </c>
      <c r="AA280">
        <v>0</v>
      </c>
      <c r="AB280">
        <v>0</v>
      </c>
      <c r="AC280">
        <v>0</v>
      </c>
      <c r="AD280">
        <v>0</v>
      </c>
      <c r="AE280">
        <v>0.89693401113169946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1.1149092214022054</v>
      </c>
      <c r="AL280">
        <v>1.1149092214022054</v>
      </c>
      <c r="AM280">
        <v>1.3160930006677596</v>
      </c>
      <c r="AN280">
        <v>0.2011837792655542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0.11490922140220539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0.75982472324723238</v>
      </c>
      <c r="BI280">
        <v>0.75982472324723238</v>
      </c>
      <c r="BJ280">
        <v>0.84713559059771792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0.15286440940228208</v>
      </c>
      <c r="BV280">
        <v>0</v>
      </c>
      <c r="BW280">
        <v>0</v>
      </c>
      <c r="BX280">
        <v>0</v>
      </c>
      <c r="BY280">
        <v>0.75982472324723238</v>
      </c>
      <c r="BZ280">
        <v>0</v>
      </c>
      <c r="CA280">
        <v>0</v>
      </c>
      <c r="CB280">
        <v>0</v>
      </c>
      <c r="CC280">
        <v>0</v>
      </c>
      <c r="CD280">
        <v>0</v>
      </c>
    </row>
    <row r="281" spans="1:82" hidden="1" x14ac:dyDescent="0.25">
      <c r="A281" t="s">
        <v>128</v>
      </c>
      <c r="B281" t="s">
        <v>422</v>
      </c>
      <c r="C281" s="14" t="s">
        <v>72</v>
      </c>
      <c r="D281" s="12">
        <v>46226</v>
      </c>
      <c r="E281" s="14" t="s">
        <v>420</v>
      </c>
      <c r="F281" s="14" t="s">
        <v>73</v>
      </c>
      <c r="G281">
        <v>3.6011567851291222</v>
      </c>
      <c r="H281">
        <v>1.9</v>
      </c>
      <c r="I281">
        <v>20</v>
      </c>
      <c r="J281">
        <v>1.9</v>
      </c>
      <c r="K281">
        <v>46226</v>
      </c>
      <c r="L281" t="s">
        <v>432</v>
      </c>
      <c r="M281">
        <v>2.4760061919504648</v>
      </c>
      <c r="N281">
        <v>0.52760824184217625</v>
      </c>
      <c r="O281">
        <v>0.52760824184217625</v>
      </c>
      <c r="P281">
        <v>0.68755856511859303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0.15995032327641678</v>
      </c>
      <c r="AA281">
        <v>0.31244143488140697</v>
      </c>
      <c r="AB281">
        <v>0</v>
      </c>
      <c r="AC281">
        <v>0</v>
      </c>
      <c r="AD281">
        <v>0</v>
      </c>
      <c r="AE281">
        <v>0.52760824184217625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1.8953456763837486</v>
      </c>
      <c r="AL281">
        <v>1.8953456763837486</v>
      </c>
      <c r="AM281">
        <v>1.3031611536581393</v>
      </c>
      <c r="BD281">
        <v>0</v>
      </c>
      <c r="BE281">
        <v>0</v>
      </c>
      <c r="BF281">
        <v>0</v>
      </c>
      <c r="BH281">
        <v>0.76736480150046871</v>
      </c>
      <c r="BI281">
        <v>0.76736480150046871</v>
      </c>
      <c r="BJ281">
        <v>1.454421558732987</v>
      </c>
      <c r="BK281">
        <v>0.45442155873298695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0.47239175815782375</v>
      </c>
      <c r="BU281">
        <v>0</v>
      </c>
      <c r="BV281">
        <v>0</v>
      </c>
      <c r="BW281">
        <v>0</v>
      </c>
      <c r="BX281">
        <v>0</v>
      </c>
      <c r="BY281">
        <v>0.76736480150046871</v>
      </c>
      <c r="BZ281">
        <v>0</v>
      </c>
      <c r="CA281">
        <v>0</v>
      </c>
      <c r="CB281">
        <v>0</v>
      </c>
      <c r="CC281">
        <v>0</v>
      </c>
      <c r="CD281">
        <v>0</v>
      </c>
    </row>
    <row r="282" spans="1:82" hidden="1" x14ac:dyDescent="0.25">
      <c r="A282" t="s">
        <v>128</v>
      </c>
      <c r="B282" t="s">
        <v>291</v>
      </c>
      <c r="C282" s="14" t="s">
        <v>72</v>
      </c>
      <c r="D282" s="12">
        <v>46226</v>
      </c>
      <c r="E282" s="14" t="s">
        <v>420</v>
      </c>
      <c r="F282" s="14" t="s">
        <v>73</v>
      </c>
      <c r="G282">
        <v>3.6011567851291222</v>
      </c>
      <c r="H282">
        <v>0.95</v>
      </c>
      <c r="I282">
        <v>20</v>
      </c>
      <c r="J282">
        <v>0.95</v>
      </c>
      <c r="K282">
        <v>46226</v>
      </c>
      <c r="L282" t="s">
        <v>432</v>
      </c>
      <c r="M282">
        <v>3.7647058823529398</v>
      </c>
      <c r="N282">
        <v>0.26380412092108813</v>
      </c>
      <c r="O282">
        <v>0.26380412092108813</v>
      </c>
      <c r="P282">
        <v>1.0454157113900704</v>
      </c>
      <c r="Q282">
        <v>4.541571139007039E-2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0.73619587907891182</v>
      </c>
      <c r="AA282">
        <v>0</v>
      </c>
      <c r="AB282">
        <v>0</v>
      </c>
      <c r="AC282">
        <v>0</v>
      </c>
      <c r="AD282">
        <v>0</v>
      </c>
      <c r="AE282">
        <v>0.26380412092108813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3.7906913527674972</v>
      </c>
      <c r="AL282">
        <v>3.7906913527674972</v>
      </c>
      <c r="AM282">
        <v>3.962848297213621</v>
      </c>
      <c r="BD282">
        <v>0</v>
      </c>
      <c r="BE282">
        <v>0</v>
      </c>
      <c r="BF282">
        <v>0</v>
      </c>
      <c r="BH282">
        <v>0.25234375000000009</v>
      </c>
      <c r="BI282">
        <v>0.25234375000000009</v>
      </c>
      <c r="BJ282">
        <v>0.95655727104992339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4.3442728950076615E-2</v>
      </c>
      <c r="BV282">
        <v>0</v>
      </c>
      <c r="BW282">
        <v>0</v>
      </c>
      <c r="BX282">
        <v>0</v>
      </c>
      <c r="BY282">
        <v>0.25234375000000009</v>
      </c>
      <c r="BZ282">
        <v>0</v>
      </c>
      <c r="CA282">
        <v>0</v>
      </c>
      <c r="CB282">
        <v>0</v>
      </c>
      <c r="CC282">
        <v>0</v>
      </c>
      <c r="CD282">
        <v>0</v>
      </c>
    </row>
    <row r="283" spans="1:82" hidden="1" x14ac:dyDescent="0.25">
      <c r="A283" t="s">
        <v>128</v>
      </c>
      <c r="B283" t="s">
        <v>421</v>
      </c>
      <c r="C283" s="14" t="s">
        <v>72</v>
      </c>
      <c r="D283" s="12">
        <v>46226</v>
      </c>
      <c r="E283" s="14" t="s">
        <v>420</v>
      </c>
      <c r="F283" s="14" t="s">
        <v>73</v>
      </c>
      <c r="G283">
        <v>1.869884158948651</v>
      </c>
      <c r="H283">
        <v>1.9</v>
      </c>
      <c r="I283">
        <v>20</v>
      </c>
      <c r="J283">
        <v>1.9</v>
      </c>
      <c r="K283">
        <v>46226</v>
      </c>
      <c r="L283" t="s">
        <v>432</v>
      </c>
      <c r="M283">
        <v>0</v>
      </c>
      <c r="N283">
        <v>1.0161057255377155</v>
      </c>
      <c r="O283">
        <v>1.0161057255377155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1.6105725537715498E-2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0.98414955734139531</v>
      </c>
      <c r="AL283">
        <v>0.98414955734139531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</row>
    <row r="284" spans="1:82" hidden="1" x14ac:dyDescent="0.25">
      <c r="A284" t="s">
        <v>128</v>
      </c>
      <c r="B284" t="s">
        <v>421</v>
      </c>
      <c r="C284" s="14" t="s">
        <v>72</v>
      </c>
      <c r="D284" s="12">
        <v>46226</v>
      </c>
      <c r="E284" s="14" t="s">
        <v>420</v>
      </c>
      <c r="F284" s="14" t="s">
        <v>74</v>
      </c>
      <c r="G284">
        <v>0</v>
      </c>
      <c r="H284">
        <v>0</v>
      </c>
      <c r="I284">
        <v>20</v>
      </c>
      <c r="J284">
        <v>0</v>
      </c>
      <c r="K284">
        <v>46226</v>
      </c>
      <c r="L284" t="s">
        <v>433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D284">
        <v>0</v>
      </c>
    </row>
    <row r="285" spans="1:82" hidden="1" x14ac:dyDescent="0.25">
      <c r="A285" t="s">
        <v>128</v>
      </c>
      <c r="B285" t="s">
        <v>291</v>
      </c>
      <c r="C285" s="14" t="s">
        <v>72</v>
      </c>
      <c r="D285" s="12">
        <v>46226</v>
      </c>
      <c r="E285" s="14" t="s">
        <v>420</v>
      </c>
      <c r="F285" s="14" t="s">
        <v>74</v>
      </c>
      <c r="G285">
        <v>0</v>
      </c>
      <c r="H285">
        <v>10.45</v>
      </c>
      <c r="I285">
        <v>20</v>
      </c>
      <c r="J285">
        <v>10.45</v>
      </c>
      <c r="K285">
        <v>46226</v>
      </c>
      <c r="L285" t="s">
        <v>433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0</v>
      </c>
      <c r="CD285">
        <v>0</v>
      </c>
    </row>
    <row r="286" spans="1:82" hidden="1" x14ac:dyDescent="0.25">
      <c r="A286" t="s">
        <v>128</v>
      </c>
      <c r="B286" t="s">
        <v>422</v>
      </c>
      <c r="C286" s="14" t="s">
        <v>72</v>
      </c>
      <c r="D286" s="12">
        <v>46226</v>
      </c>
      <c r="E286" s="14" t="s">
        <v>420</v>
      </c>
      <c r="F286" s="14" t="s">
        <v>74</v>
      </c>
      <c r="G286">
        <v>0</v>
      </c>
      <c r="H286">
        <v>0</v>
      </c>
      <c r="I286">
        <v>20</v>
      </c>
      <c r="J286">
        <v>0</v>
      </c>
      <c r="K286">
        <v>46226</v>
      </c>
      <c r="L286" t="s">
        <v>433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D286">
        <v>0</v>
      </c>
    </row>
    <row r="287" spans="1:82" hidden="1" x14ac:dyDescent="0.25">
      <c r="A287" t="s">
        <v>128</v>
      </c>
      <c r="B287" t="s">
        <v>422</v>
      </c>
      <c r="C287" s="14" t="s">
        <v>72</v>
      </c>
      <c r="D287" s="12">
        <v>46226</v>
      </c>
      <c r="E287" s="14" t="s">
        <v>420</v>
      </c>
      <c r="F287" s="14" t="s">
        <v>75</v>
      </c>
      <c r="G287">
        <v>3.1774912809962856</v>
      </c>
      <c r="H287">
        <v>0.95</v>
      </c>
      <c r="I287">
        <v>20</v>
      </c>
      <c r="J287">
        <v>0.95</v>
      </c>
      <c r="K287">
        <v>46226</v>
      </c>
      <c r="L287" t="s">
        <v>434</v>
      </c>
      <c r="M287">
        <v>0.61081770169368066</v>
      </c>
      <c r="N287">
        <v>0.29897800371056643</v>
      </c>
      <c r="O287">
        <v>0.29897800371056643</v>
      </c>
      <c r="P287">
        <v>0.19223269166679255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0.70102199628943351</v>
      </c>
      <c r="AB287">
        <v>0</v>
      </c>
      <c r="AC287">
        <v>0.10674531204377388</v>
      </c>
      <c r="AD287">
        <v>0</v>
      </c>
      <c r="AE287">
        <v>0.19223269166679255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3.3447276642066166</v>
      </c>
      <c r="AL287">
        <v>3.3447276642066166</v>
      </c>
      <c r="AM287">
        <v>0.64296600178282182</v>
      </c>
      <c r="BD287">
        <v>0</v>
      </c>
      <c r="BE287">
        <v>0</v>
      </c>
      <c r="BF287">
        <v>0</v>
      </c>
      <c r="BH287">
        <v>1.555292188431723</v>
      </c>
      <c r="BI287">
        <v>1.555292188431723</v>
      </c>
      <c r="BJ287">
        <v>5.2020288085720336</v>
      </c>
      <c r="CA287">
        <v>0</v>
      </c>
      <c r="CB287">
        <v>0</v>
      </c>
      <c r="CC287">
        <v>0</v>
      </c>
    </row>
    <row r="288" spans="1:82" hidden="1" x14ac:dyDescent="0.25">
      <c r="A288" t="s">
        <v>128</v>
      </c>
      <c r="B288" t="s">
        <v>421</v>
      </c>
      <c r="C288" s="14" t="s">
        <v>72</v>
      </c>
      <c r="D288" s="12">
        <v>46226</v>
      </c>
      <c r="E288" s="14" t="s">
        <v>420</v>
      </c>
      <c r="F288" s="14" t="s">
        <v>75</v>
      </c>
      <c r="G288">
        <v>1.4299114156666153</v>
      </c>
      <c r="H288">
        <v>0.95</v>
      </c>
      <c r="I288">
        <v>20</v>
      </c>
      <c r="J288">
        <v>0.95</v>
      </c>
      <c r="K288">
        <v>46226</v>
      </c>
      <c r="L288" t="s">
        <v>434</v>
      </c>
      <c r="M288">
        <v>0</v>
      </c>
      <c r="N288">
        <v>0.66437682054389102</v>
      </c>
      <c r="O288">
        <v>0.66437682054389102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0.33562317945610898</v>
      </c>
      <c r="AB288">
        <v>0</v>
      </c>
      <c r="AC288">
        <v>0</v>
      </c>
      <c r="AD288">
        <v>0</v>
      </c>
      <c r="AE288">
        <v>0</v>
      </c>
      <c r="AF288">
        <v>0.66437682054389102</v>
      </c>
      <c r="AG288">
        <v>0</v>
      </c>
      <c r="AH288">
        <v>0</v>
      </c>
      <c r="AI288">
        <v>0</v>
      </c>
      <c r="AJ288">
        <v>0</v>
      </c>
      <c r="AK288">
        <v>1.5051699112280161</v>
      </c>
      <c r="AL288">
        <v>1.5051699112280161</v>
      </c>
      <c r="AM288">
        <v>0</v>
      </c>
      <c r="BD288">
        <v>0</v>
      </c>
      <c r="BE288">
        <v>0</v>
      </c>
      <c r="BF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</row>
    <row r="289" spans="1:82" hidden="1" x14ac:dyDescent="0.25">
      <c r="A289" t="s">
        <v>128</v>
      </c>
      <c r="B289" t="s">
        <v>291</v>
      </c>
      <c r="C289" s="14" t="s">
        <v>72</v>
      </c>
      <c r="D289" s="12">
        <v>46226</v>
      </c>
      <c r="E289" s="14" t="s">
        <v>420</v>
      </c>
      <c r="F289" s="14" t="s">
        <v>75</v>
      </c>
      <c r="G289">
        <v>3.1774912809962856</v>
      </c>
      <c r="H289">
        <v>3.8</v>
      </c>
      <c r="I289">
        <v>20</v>
      </c>
      <c r="J289">
        <v>3.8</v>
      </c>
      <c r="K289">
        <v>46226</v>
      </c>
      <c r="L289" t="s">
        <v>434</v>
      </c>
      <c r="M289">
        <v>3.7508650519031144</v>
      </c>
      <c r="N289">
        <v>1.1959120148422657</v>
      </c>
      <c r="O289">
        <v>1.1959120148422657</v>
      </c>
      <c r="P289">
        <v>1.1804485741112878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0.18044857411128779</v>
      </c>
      <c r="X289">
        <v>0</v>
      </c>
      <c r="Y289">
        <v>1.546344073097794E-2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0.83618191605165415</v>
      </c>
      <c r="AL289">
        <v>0.83618191605165415</v>
      </c>
      <c r="AM289">
        <v>0.98706975050081958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1.2930249499180424E-2</v>
      </c>
      <c r="AY289">
        <v>0</v>
      </c>
      <c r="AZ289">
        <v>0</v>
      </c>
      <c r="BA289">
        <v>0</v>
      </c>
      <c r="BB289">
        <v>0.83618191605165415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1.0130996309963098</v>
      </c>
      <c r="BI289">
        <v>1.0130996309963098</v>
      </c>
      <c r="BJ289">
        <v>0.84713559059771815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1.3099630996309841E-2</v>
      </c>
      <c r="BT289">
        <v>0</v>
      </c>
      <c r="BU289">
        <v>0</v>
      </c>
      <c r="BV289">
        <v>0</v>
      </c>
      <c r="BW289">
        <v>0.15286440940228185</v>
      </c>
      <c r="BX289">
        <v>0</v>
      </c>
      <c r="BY289">
        <v>0.84713559059771815</v>
      </c>
      <c r="BZ289">
        <v>0</v>
      </c>
      <c r="CA289">
        <v>0</v>
      </c>
      <c r="CB289">
        <v>0</v>
      </c>
      <c r="CC289">
        <v>0</v>
      </c>
      <c r="CD289">
        <v>0</v>
      </c>
    </row>
    <row r="290" spans="1:82" hidden="1" x14ac:dyDescent="0.25">
      <c r="A290" t="s">
        <v>128</v>
      </c>
      <c r="B290" t="s">
        <v>421</v>
      </c>
      <c r="C290" s="14" t="s">
        <v>72</v>
      </c>
      <c r="D290" s="12">
        <v>46227</v>
      </c>
      <c r="E290" s="14" t="s">
        <v>420</v>
      </c>
      <c r="F290" s="14" t="s">
        <v>73</v>
      </c>
      <c r="G290">
        <v>1.869884158948651</v>
      </c>
      <c r="H290">
        <v>0.95</v>
      </c>
      <c r="I290">
        <v>20</v>
      </c>
      <c r="J290">
        <v>0.95</v>
      </c>
      <c r="K290">
        <v>46227</v>
      </c>
      <c r="L290" t="s">
        <v>157</v>
      </c>
      <c r="M290">
        <v>0</v>
      </c>
      <c r="N290">
        <v>0.50805286276885775</v>
      </c>
      <c r="O290">
        <v>0.50805286276885775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0.49194713723114225</v>
      </c>
      <c r="AB290">
        <v>0</v>
      </c>
      <c r="AC290">
        <v>0</v>
      </c>
      <c r="AD290">
        <v>0</v>
      </c>
      <c r="AE290">
        <v>0</v>
      </c>
      <c r="AF290">
        <v>0.50805286276885775</v>
      </c>
      <c r="AG290">
        <v>0</v>
      </c>
      <c r="AH290">
        <v>0</v>
      </c>
      <c r="AI290">
        <v>0</v>
      </c>
      <c r="AJ290">
        <v>0</v>
      </c>
      <c r="AK290">
        <v>1.9682991146827906</v>
      </c>
      <c r="AL290">
        <v>1.9682991146827906</v>
      </c>
      <c r="AM290">
        <v>0</v>
      </c>
      <c r="BD290">
        <v>0</v>
      </c>
      <c r="BE290">
        <v>0</v>
      </c>
      <c r="BF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</row>
    <row r="291" spans="1:82" hidden="1" x14ac:dyDescent="0.25">
      <c r="A291" t="s">
        <v>128</v>
      </c>
      <c r="B291" t="s">
        <v>422</v>
      </c>
      <c r="C291" s="14" t="s">
        <v>72</v>
      </c>
      <c r="D291" s="12">
        <v>46227</v>
      </c>
      <c r="E291" s="14" t="s">
        <v>420</v>
      </c>
      <c r="F291" s="14" t="s">
        <v>73</v>
      </c>
      <c r="G291">
        <v>3.6011567851291222</v>
      </c>
      <c r="H291">
        <v>0.95</v>
      </c>
      <c r="I291">
        <v>20</v>
      </c>
      <c r="J291">
        <v>0.95</v>
      </c>
      <c r="K291">
        <v>46227</v>
      </c>
      <c r="L291" t="s">
        <v>157</v>
      </c>
      <c r="M291">
        <v>0.82352941176470595</v>
      </c>
      <c r="N291">
        <v>0.26380412092108813</v>
      </c>
      <c r="O291">
        <v>0.26380412092108813</v>
      </c>
      <c r="P291">
        <v>0.22868468686657797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0.73619587907891182</v>
      </c>
      <c r="AB291">
        <v>0</v>
      </c>
      <c r="AC291">
        <v>3.5119434054510151E-2</v>
      </c>
      <c r="AD291">
        <v>0</v>
      </c>
      <c r="AE291">
        <v>0.22868468686657797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3.7906913527674972</v>
      </c>
      <c r="AL291">
        <v>3.7906913527674972</v>
      </c>
      <c r="AM291">
        <v>0.86687306501548</v>
      </c>
      <c r="BD291">
        <v>0</v>
      </c>
      <c r="BE291">
        <v>0</v>
      </c>
      <c r="BF291">
        <v>0</v>
      </c>
      <c r="BH291">
        <v>1.1535714285714285</v>
      </c>
      <c r="BI291">
        <v>1.1535714285714285</v>
      </c>
      <c r="BJ291">
        <v>4.3728332390853621</v>
      </c>
      <c r="BK291">
        <v>3.2192618105139337</v>
      </c>
      <c r="BL291">
        <v>0</v>
      </c>
      <c r="BM291">
        <v>0</v>
      </c>
      <c r="BN291">
        <v>0</v>
      </c>
      <c r="BO291">
        <v>0</v>
      </c>
      <c r="BP291">
        <v>0.34642857142857153</v>
      </c>
      <c r="BQ291">
        <v>0.15357142857142847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</row>
    <row r="292" spans="1:82" hidden="1" x14ac:dyDescent="0.25">
      <c r="A292" t="s">
        <v>128</v>
      </c>
      <c r="B292" t="s">
        <v>291</v>
      </c>
      <c r="C292" s="14" t="s">
        <v>72</v>
      </c>
      <c r="D292" s="12">
        <v>46227</v>
      </c>
      <c r="E292" s="14" t="s">
        <v>420</v>
      </c>
      <c r="F292" s="14" t="s">
        <v>73</v>
      </c>
      <c r="G292">
        <v>3.6011567851291222</v>
      </c>
      <c r="H292">
        <v>2.8499999999999996</v>
      </c>
      <c r="I292">
        <v>20</v>
      </c>
      <c r="J292">
        <v>2.8499999999999996</v>
      </c>
      <c r="K292">
        <v>46227</v>
      </c>
      <c r="L292" t="s">
        <v>157</v>
      </c>
      <c r="M292">
        <v>3.7647058823529393</v>
      </c>
      <c r="N292">
        <v>0.79141236276326432</v>
      </c>
      <c r="O292">
        <v>0.79141236276326432</v>
      </c>
      <c r="P292">
        <v>1.0454157113900702</v>
      </c>
      <c r="Q292">
        <v>4.5415711390070168E-2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0.20858763723673568</v>
      </c>
      <c r="AA292">
        <v>0</v>
      </c>
      <c r="AB292">
        <v>0</v>
      </c>
      <c r="AC292">
        <v>0</v>
      </c>
      <c r="AD292">
        <v>0</v>
      </c>
      <c r="AE292">
        <v>0.79141236276326432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1.2635637842558325</v>
      </c>
      <c r="AL292">
        <v>1.2635637842558325</v>
      </c>
      <c r="AM292">
        <v>1.3209494324045403</v>
      </c>
      <c r="AN292">
        <v>5.7385648148707835E-2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0.26356378425583249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0.75703125000000027</v>
      </c>
      <c r="BI292">
        <v>0.75703125000000027</v>
      </c>
      <c r="BJ292">
        <v>0.9565572710499235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4.3442728950076503E-2</v>
      </c>
      <c r="BV292">
        <v>0</v>
      </c>
      <c r="BW292">
        <v>0</v>
      </c>
      <c r="BX292">
        <v>0</v>
      </c>
      <c r="BY292">
        <v>0.75703125000000027</v>
      </c>
      <c r="BZ292">
        <v>0</v>
      </c>
      <c r="CA292">
        <v>0</v>
      </c>
      <c r="CB292">
        <v>0</v>
      </c>
      <c r="CC292">
        <v>0</v>
      </c>
      <c r="CD292">
        <v>0</v>
      </c>
    </row>
    <row r="293" spans="1:82" hidden="1" x14ac:dyDescent="0.25">
      <c r="A293" t="s">
        <v>128</v>
      </c>
      <c r="B293" t="s">
        <v>291</v>
      </c>
      <c r="C293" s="14" t="s">
        <v>72</v>
      </c>
      <c r="D293" s="12">
        <v>46227</v>
      </c>
      <c r="E293" s="14" t="s">
        <v>420</v>
      </c>
      <c r="F293" s="14" t="s">
        <v>74</v>
      </c>
      <c r="G293">
        <v>0</v>
      </c>
      <c r="H293">
        <v>0.95</v>
      </c>
      <c r="I293">
        <v>20</v>
      </c>
      <c r="J293">
        <v>0.95</v>
      </c>
      <c r="K293">
        <v>46227</v>
      </c>
      <c r="L293" t="s">
        <v>156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D293">
        <v>0</v>
      </c>
    </row>
    <row r="294" spans="1:82" hidden="1" x14ac:dyDescent="0.25">
      <c r="A294" t="s">
        <v>128</v>
      </c>
      <c r="B294" t="s">
        <v>421</v>
      </c>
      <c r="C294" s="14" t="s">
        <v>72</v>
      </c>
      <c r="D294" s="12">
        <v>46227</v>
      </c>
      <c r="E294" s="14" t="s">
        <v>420</v>
      </c>
      <c r="F294" s="14" t="s">
        <v>74</v>
      </c>
      <c r="G294">
        <v>0</v>
      </c>
      <c r="H294">
        <v>0.95</v>
      </c>
      <c r="I294">
        <v>20</v>
      </c>
      <c r="J294">
        <v>0.95</v>
      </c>
      <c r="K294">
        <v>46227</v>
      </c>
      <c r="L294" t="s">
        <v>156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D294">
        <v>0</v>
      </c>
    </row>
    <row r="295" spans="1:82" hidden="1" x14ac:dyDescent="0.25">
      <c r="A295" t="s">
        <v>128</v>
      </c>
      <c r="B295" t="s">
        <v>422</v>
      </c>
      <c r="C295" s="14" t="s">
        <v>72</v>
      </c>
      <c r="D295" s="12">
        <v>46227</v>
      </c>
      <c r="E295" s="14" t="s">
        <v>420</v>
      </c>
      <c r="F295" s="14" t="s">
        <v>74</v>
      </c>
      <c r="G295">
        <v>0</v>
      </c>
      <c r="H295">
        <v>0</v>
      </c>
      <c r="I295">
        <v>20</v>
      </c>
      <c r="J295">
        <v>0</v>
      </c>
      <c r="K295">
        <v>46227</v>
      </c>
      <c r="L295" t="s">
        <v>156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D295">
        <v>0</v>
      </c>
    </row>
    <row r="296" spans="1:82" hidden="1" x14ac:dyDescent="0.25">
      <c r="A296" t="s">
        <v>128</v>
      </c>
      <c r="B296" t="s">
        <v>422</v>
      </c>
      <c r="C296" s="14" t="s">
        <v>72</v>
      </c>
      <c r="D296" s="12">
        <v>46227</v>
      </c>
      <c r="E296" s="14" t="s">
        <v>420</v>
      </c>
      <c r="F296" s="14" t="s">
        <v>75</v>
      </c>
      <c r="G296">
        <v>3.1774912809962848</v>
      </c>
      <c r="H296">
        <v>0.95</v>
      </c>
      <c r="I296">
        <v>20</v>
      </c>
      <c r="J296">
        <v>0.95</v>
      </c>
      <c r="K296">
        <v>46227</v>
      </c>
      <c r="L296" t="s">
        <v>155</v>
      </c>
      <c r="M296">
        <v>0.16608996539792387</v>
      </c>
      <c r="N296">
        <v>0.29897800371056649</v>
      </c>
      <c r="O296">
        <v>0.29897800371056649</v>
      </c>
      <c r="P296">
        <v>5.2270785569503521E-2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0.70102199628943351</v>
      </c>
      <c r="AB296">
        <v>0</v>
      </c>
      <c r="AC296">
        <v>0.24670721814106297</v>
      </c>
      <c r="AD296">
        <v>0</v>
      </c>
      <c r="AE296">
        <v>5.2270785569503521E-2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3.3447276642066157</v>
      </c>
      <c r="AL296">
        <v>3.3447276642066157</v>
      </c>
      <c r="AM296">
        <v>0.17483154252413038</v>
      </c>
      <c r="BD296">
        <v>0</v>
      </c>
      <c r="BE296">
        <v>0</v>
      </c>
      <c r="BF296">
        <v>0</v>
      </c>
      <c r="BH296">
        <v>5.7197916666666666</v>
      </c>
      <c r="BI296">
        <v>5.7197916666666666</v>
      </c>
      <c r="BJ296">
        <v>19.131145420998465</v>
      </c>
      <c r="CA296">
        <v>0</v>
      </c>
      <c r="CB296">
        <v>0</v>
      </c>
      <c r="CC296">
        <v>0</v>
      </c>
    </row>
    <row r="297" spans="1:82" hidden="1" x14ac:dyDescent="0.25">
      <c r="A297" t="s">
        <v>128</v>
      </c>
      <c r="B297" t="s">
        <v>291</v>
      </c>
      <c r="C297" s="14" t="s">
        <v>72</v>
      </c>
      <c r="D297" s="12">
        <v>46227</v>
      </c>
      <c r="E297" s="14" t="s">
        <v>420</v>
      </c>
      <c r="F297" s="14" t="s">
        <v>75</v>
      </c>
      <c r="G297">
        <v>3.1774912809962848</v>
      </c>
      <c r="H297">
        <v>0.95</v>
      </c>
      <c r="I297">
        <v>20</v>
      </c>
      <c r="J297">
        <v>0.95</v>
      </c>
      <c r="K297">
        <v>46227</v>
      </c>
      <c r="L297" t="s">
        <v>155</v>
      </c>
      <c r="M297">
        <v>2.8685121107266438</v>
      </c>
      <c r="N297">
        <v>0.29897800371056649</v>
      </c>
      <c r="O297">
        <v>0.29897800371056649</v>
      </c>
      <c r="P297">
        <v>0.9027600257733005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0.60378202206273401</v>
      </c>
      <c r="AA297">
        <v>9.7239974226699499E-2</v>
      </c>
      <c r="AB297">
        <v>0</v>
      </c>
      <c r="AC297">
        <v>0</v>
      </c>
      <c r="AD297">
        <v>0</v>
      </c>
      <c r="AE297">
        <v>0.29897800371056649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3.3447276642066157</v>
      </c>
      <c r="AL297">
        <v>3.3447276642066157</v>
      </c>
      <c r="AM297">
        <v>3.0194864323438355</v>
      </c>
      <c r="BD297">
        <v>0</v>
      </c>
      <c r="BE297">
        <v>0</v>
      </c>
      <c r="BF297">
        <v>0</v>
      </c>
      <c r="BH297">
        <v>0.33118214716525929</v>
      </c>
      <c r="BI297">
        <v>0.33118214716525929</v>
      </c>
      <c r="BJ297">
        <v>1.1077140895149895</v>
      </c>
      <c r="BK297">
        <v>0.10771408951498951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0.70102199628943351</v>
      </c>
      <c r="BU297">
        <v>0</v>
      </c>
      <c r="BV297">
        <v>0</v>
      </c>
      <c r="BW297">
        <v>0</v>
      </c>
      <c r="BX297">
        <v>0</v>
      </c>
      <c r="BY297">
        <v>0.33118214716525929</v>
      </c>
      <c r="BZ297">
        <v>0</v>
      </c>
      <c r="CA297">
        <v>0</v>
      </c>
      <c r="CB297">
        <v>0</v>
      </c>
      <c r="CC297">
        <v>0</v>
      </c>
      <c r="CD297">
        <v>0</v>
      </c>
    </row>
    <row r="298" spans="1:82" hidden="1" x14ac:dyDescent="0.25">
      <c r="A298" t="s">
        <v>128</v>
      </c>
      <c r="B298" t="s">
        <v>421</v>
      </c>
      <c r="C298" s="14" t="s">
        <v>72</v>
      </c>
      <c r="D298" s="12">
        <v>46227</v>
      </c>
      <c r="E298" s="14" t="s">
        <v>420</v>
      </c>
      <c r="F298" s="14" t="s">
        <v>75</v>
      </c>
      <c r="G298">
        <v>1.4299114156666153</v>
      </c>
      <c r="H298">
        <v>0</v>
      </c>
      <c r="I298">
        <v>20</v>
      </c>
      <c r="J298">
        <v>0</v>
      </c>
      <c r="K298">
        <v>46227</v>
      </c>
      <c r="L298" t="s">
        <v>155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</row>
    <row r="299" spans="1:82" hidden="1" x14ac:dyDescent="0.25">
      <c r="A299" t="s">
        <v>128</v>
      </c>
      <c r="B299" t="s">
        <v>291</v>
      </c>
      <c r="C299" s="14" t="s">
        <v>72</v>
      </c>
      <c r="D299" s="12">
        <v>46228</v>
      </c>
      <c r="E299" s="14" t="s">
        <v>420</v>
      </c>
      <c r="F299" s="14" t="s">
        <v>73</v>
      </c>
      <c r="G299">
        <v>3.6011567851291222</v>
      </c>
      <c r="H299">
        <v>6.6499999999999995</v>
      </c>
      <c r="I299">
        <v>20</v>
      </c>
      <c r="J299">
        <v>6.6499999999999995</v>
      </c>
      <c r="K299">
        <v>46228</v>
      </c>
      <c r="L299" t="s">
        <v>435</v>
      </c>
      <c r="M299">
        <v>2.882352941176471</v>
      </c>
      <c r="N299">
        <v>1.8466288464476168</v>
      </c>
      <c r="O299">
        <v>1.8466288464476168</v>
      </c>
      <c r="P299">
        <v>0.80039640403302303</v>
      </c>
      <c r="Q299">
        <v>0</v>
      </c>
      <c r="R299">
        <v>0</v>
      </c>
      <c r="S299">
        <v>0.59662884644761682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0.25</v>
      </c>
      <c r="Z299">
        <v>0</v>
      </c>
      <c r="AA299">
        <v>0</v>
      </c>
      <c r="AB299">
        <v>0</v>
      </c>
      <c r="AC299">
        <v>0.19960359596697697</v>
      </c>
      <c r="AD299">
        <v>0</v>
      </c>
      <c r="AE299">
        <v>0.80039640403302303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0.54152733610964243</v>
      </c>
      <c r="AL299">
        <v>0.54152733610964243</v>
      </c>
      <c r="AM299">
        <v>0.43343653250774006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0.45847266389035757</v>
      </c>
      <c r="AY299">
        <v>0</v>
      </c>
      <c r="AZ299">
        <v>0.10809080360190237</v>
      </c>
      <c r="BA299">
        <v>0</v>
      </c>
      <c r="BB299">
        <v>0.43343653250774006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2.3071428571428565</v>
      </c>
      <c r="BI299">
        <v>2.3071428571428565</v>
      </c>
      <c r="BJ299">
        <v>1.2493809254529606</v>
      </c>
      <c r="CA299">
        <v>0</v>
      </c>
      <c r="CB299">
        <v>0</v>
      </c>
      <c r="CC299">
        <v>0</v>
      </c>
    </row>
    <row r="300" spans="1:82" hidden="1" x14ac:dyDescent="0.25">
      <c r="A300" t="s">
        <v>128</v>
      </c>
      <c r="B300" t="s">
        <v>421</v>
      </c>
      <c r="C300" s="14" t="s">
        <v>72</v>
      </c>
      <c r="D300" s="12">
        <v>46228</v>
      </c>
      <c r="E300" s="14" t="s">
        <v>420</v>
      </c>
      <c r="F300" s="14" t="s">
        <v>73</v>
      </c>
      <c r="G300">
        <v>1.869884158948651</v>
      </c>
      <c r="H300">
        <v>0.95</v>
      </c>
      <c r="I300">
        <v>20</v>
      </c>
      <c r="J300">
        <v>0.95</v>
      </c>
      <c r="K300">
        <v>46228</v>
      </c>
      <c r="L300" t="s">
        <v>435</v>
      </c>
      <c r="M300">
        <v>0</v>
      </c>
      <c r="N300">
        <v>0.50805286276885775</v>
      </c>
      <c r="O300">
        <v>0.50805286276885775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0.49194713723114225</v>
      </c>
      <c r="AB300">
        <v>0</v>
      </c>
      <c r="AC300">
        <v>0</v>
      </c>
      <c r="AD300">
        <v>0</v>
      </c>
      <c r="AE300">
        <v>0</v>
      </c>
      <c r="AF300">
        <v>0.50805286276885775</v>
      </c>
      <c r="AG300">
        <v>0</v>
      </c>
      <c r="AH300">
        <v>0</v>
      </c>
      <c r="AI300">
        <v>0</v>
      </c>
      <c r="AJ300">
        <v>0</v>
      </c>
      <c r="AK300">
        <v>1.9682991146827906</v>
      </c>
      <c r="AL300">
        <v>1.9682991146827906</v>
      </c>
      <c r="AM300">
        <v>0</v>
      </c>
      <c r="BD300">
        <v>0</v>
      </c>
      <c r="BE300">
        <v>0</v>
      </c>
      <c r="BF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</row>
    <row r="301" spans="1:82" hidden="1" x14ac:dyDescent="0.25">
      <c r="A301" t="s">
        <v>128</v>
      </c>
      <c r="B301" t="s">
        <v>422</v>
      </c>
      <c r="C301" s="14" t="s">
        <v>72</v>
      </c>
      <c r="D301" s="12">
        <v>46228</v>
      </c>
      <c r="E301" s="14" t="s">
        <v>420</v>
      </c>
      <c r="F301" s="14" t="s">
        <v>73</v>
      </c>
      <c r="G301">
        <v>3.6011567851291222</v>
      </c>
      <c r="H301">
        <v>0.95</v>
      </c>
      <c r="I301">
        <v>20</v>
      </c>
      <c r="J301">
        <v>0.95</v>
      </c>
      <c r="K301">
        <v>46228</v>
      </c>
      <c r="L301" t="s">
        <v>435</v>
      </c>
      <c r="M301">
        <v>0.82352941176470595</v>
      </c>
      <c r="N301">
        <v>0.26380412092108813</v>
      </c>
      <c r="O301">
        <v>0.26380412092108813</v>
      </c>
      <c r="P301">
        <v>0.22868468686657797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0.73619587907891182</v>
      </c>
      <c r="AB301">
        <v>0</v>
      </c>
      <c r="AC301">
        <v>3.5119434054510151E-2</v>
      </c>
      <c r="AD301">
        <v>0</v>
      </c>
      <c r="AE301">
        <v>0.22868468686657797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3.7906913527674972</v>
      </c>
      <c r="AL301">
        <v>3.7906913527674972</v>
      </c>
      <c r="AM301">
        <v>0.86687306501548</v>
      </c>
      <c r="BD301">
        <v>0</v>
      </c>
      <c r="BE301">
        <v>0</v>
      </c>
      <c r="BF301">
        <v>0</v>
      </c>
      <c r="BH301">
        <v>1.1535714285714285</v>
      </c>
      <c r="BI301">
        <v>1.1535714285714285</v>
      </c>
      <c r="BJ301">
        <v>4.3728332390853621</v>
      </c>
      <c r="BK301">
        <v>3.2192618105139337</v>
      </c>
      <c r="BL301">
        <v>0</v>
      </c>
      <c r="BM301">
        <v>0</v>
      </c>
      <c r="BN301">
        <v>0</v>
      </c>
      <c r="BO301">
        <v>0</v>
      </c>
      <c r="BP301">
        <v>0.34642857142857153</v>
      </c>
      <c r="BQ301">
        <v>0.15357142857142847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</row>
    <row r="302" spans="1:82" hidden="1" x14ac:dyDescent="0.25">
      <c r="A302" t="s">
        <v>128</v>
      </c>
      <c r="B302" t="s">
        <v>291</v>
      </c>
      <c r="C302" s="14" t="s">
        <v>72</v>
      </c>
      <c r="D302" s="12">
        <v>46228</v>
      </c>
      <c r="E302" s="14" t="s">
        <v>420</v>
      </c>
      <c r="F302" s="14" t="s">
        <v>74</v>
      </c>
      <c r="G302">
        <v>0</v>
      </c>
      <c r="H302">
        <v>0.95</v>
      </c>
      <c r="I302">
        <v>20</v>
      </c>
      <c r="J302">
        <v>0.95</v>
      </c>
      <c r="K302">
        <v>46228</v>
      </c>
      <c r="L302" t="s">
        <v>436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D302">
        <v>0</v>
      </c>
    </row>
    <row r="303" spans="1:82" hidden="1" x14ac:dyDescent="0.25">
      <c r="A303" t="s">
        <v>128</v>
      </c>
      <c r="B303" t="s">
        <v>421</v>
      </c>
      <c r="C303" s="14" t="s">
        <v>72</v>
      </c>
      <c r="D303" s="12">
        <v>46228</v>
      </c>
      <c r="E303" s="14" t="s">
        <v>420</v>
      </c>
      <c r="F303" s="14" t="s">
        <v>74</v>
      </c>
      <c r="G303">
        <v>0</v>
      </c>
      <c r="H303">
        <v>0</v>
      </c>
      <c r="I303">
        <v>20</v>
      </c>
      <c r="J303">
        <v>0</v>
      </c>
      <c r="K303">
        <v>46228</v>
      </c>
      <c r="L303" t="s">
        <v>436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D303">
        <v>0</v>
      </c>
    </row>
    <row r="304" spans="1:82" hidden="1" x14ac:dyDescent="0.25">
      <c r="A304" t="s">
        <v>128</v>
      </c>
      <c r="B304" t="s">
        <v>422</v>
      </c>
      <c r="C304" s="14" t="s">
        <v>72</v>
      </c>
      <c r="D304" s="12">
        <v>46228</v>
      </c>
      <c r="E304" s="14" t="s">
        <v>420</v>
      </c>
      <c r="F304" s="14" t="s">
        <v>74</v>
      </c>
      <c r="G304">
        <v>0</v>
      </c>
      <c r="H304">
        <v>0</v>
      </c>
      <c r="I304">
        <v>20</v>
      </c>
      <c r="J304">
        <v>0</v>
      </c>
      <c r="K304">
        <v>46228</v>
      </c>
      <c r="L304" t="s">
        <v>436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D304">
        <v>0</v>
      </c>
    </row>
    <row r="305" spans="1:82" hidden="1" x14ac:dyDescent="0.25">
      <c r="A305" t="s">
        <v>128</v>
      </c>
      <c r="B305" t="s">
        <v>421</v>
      </c>
      <c r="C305" s="14" t="s">
        <v>72</v>
      </c>
      <c r="D305" s="12">
        <v>46228</v>
      </c>
      <c r="E305" s="14" t="s">
        <v>420</v>
      </c>
      <c r="F305" s="14" t="s">
        <v>75</v>
      </c>
      <c r="G305">
        <v>1.4299114156666153</v>
      </c>
      <c r="H305">
        <v>0</v>
      </c>
      <c r="I305">
        <v>20</v>
      </c>
      <c r="J305">
        <v>0</v>
      </c>
      <c r="K305">
        <v>46228</v>
      </c>
      <c r="L305" t="s">
        <v>437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</row>
    <row r="306" spans="1:82" hidden="1" x14ac:dyDescent="0.25">
      <c r="A306" t="s">
        <v>128</v>
      </c>
      <c r="B306" t="s">
        <v>422</v>
      </c>
      <c r="C306" s="14" t="s">
        <v>72</v>
      </c>
      <c r="D306" s="12">
        <v>46228</v>
      </c>
      <c r="E306" s="14" t="s">
        <v>420</v>
      </c>
      <c r="F306" s="14" t="s">
        <v>75</v>
      </c>
      <c r="G306">
        <v>3.1774912809962856</v>
      </c>
      <c r="H306">
        <v>0</v>
      </c>
      <c r="I306">
        <v>20</v>
      </c>
      <c r="J306">
        <v>0</v>
      </c>
      <c r="K306">
        <v>46228</v>
      </c>
      <c r="L306" t="s">
        <v>437</v>
      </c>
      <c r="M306">
        <v>0.16608996539792387</v>
      </c>
      <c r="N306">
        <v>0</v>
      </c>
      <c r="O306">
        <v>0</v>
      </c>
      <c r="P306">
        <v>5.2270785569503507E-2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5.2270785569503507E-2</v>
      </c>
      <c r="AA306">
        <v>0.94772921443049651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H306">
        <v>0</v>
      </c>
      <c r="BI306">
        <v>0</v>
      </c>
      <c r="BJ306">
        <v>19.131145420998472</v>
      </c>
      <c r="BK306">
        <v>18.131145420998472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</row>
    <row r="307" spans="1:82" hidden="1" x14ac:dyDescent="0.25">
      <c r="A307" t="s">
        <v>128</v>
      </c>
      <c r="B307" t="s">
        <v>291</v>
      </c>
      <c r="C307" s="14" t="s">
        <v>72</v>
      </c>
      <c r="D307" s="12">
        <v>46228</v>
      </c>
      <c r="E307" s="14" t="s">
        <v>420</v>
      </c>
      <c r="F307" s="14" t="s">
        <v>75</v>
      </c>
      <c r="G307">
        <v>3.1774912809962856</v>
      </c>
      <c r="H307">
        <v>3.8</v>
      </c>
      <c r="I307">
        <v>20</v>
      </c>
      <c r="J307">
        <v>3.8</v>
      </c>
      <c r="K307">
        <v>46228</v>
      </c>
      <c r="L307" t="s">
        <v>437</v>
      </c>
      <c r="M307">
        <v>3.6989619377162626</v>
      </c>
      <c r="N307">
        <v>1.1959120148422657</v>
      </c>
      <c r="O307">
        <v>1.1959120148422657</v>
      </c>
      <c r="P307">
        <v>1.1641139536208176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0.1641139536208176</v>
      </c>
      <c r="X307">
        <v>0</v>
      </c>
      <c r="Y307">
        <v>3.1798061221448126E-2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0.83618191605165415</v>
      </c>
      <c r="AL307">
        <v>0.83618191605165415</v>
      </c>
      <c r="AM307">
        <v>0.9734110362411218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2.6588963758878204E-2</v>
      </c>
      <c r="AY307">
        <v>0</v>
      </c>
      <c r="AZ307">
        <v>0</v>
      </c>
      <c r="BA307">
        <v>0</v>
      </c>
      <c r="BB307">
        <v>0.83618191605165415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1.0273152478952292</v>
      </c>
      <c r="BI307">
        <v>1.0273152478952292</v>
      </c>
      <c r="BJ307">
        <v>0.85902243237411291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2.7315247895229211E-2</v>
      </c>
      <c r="BT307">
        <v>0</v>
      </c>
      <c r="BU307">
        <v>0</v>
      </c>
      <c r="BV307">
        <v>0</v>
      </c>
      <c r="BW307">
        <v>0.14097756762588709</v>
      </c>
      <c r="BX307">
        <v>0</v>
      </c>
      <c r="BY307">
        <v>0.85902243237411291</v>
      </c>
      <c r="BZ307">
        <v>0</v>
      </c>
      <c r="CA307">
        <v>0</v>
      </c>
      <c r="CB307">
        <v>0</v>
      </c>
      <c r="CC307">
        <v>0</v>
      </c>
      <c r="CD307">
        <v>0</v>
      </c>
    </row>
    <row r="308" spans="1:82" hidden="1" x14ac:dyDescent="0.25">
      <c r="A308" t="s">
        <v>128</v>
      </c>
      <c r="B308" t="s">
        <v>421</v>
      </c>
      <c r="C308" s="14" t="s">
        <v>72</v>
      </c>
      <c r="D308" s="12">
        <v>46229</v>
      </c>
      <c r="E308" s="14" t="s">
        <v>420</v>
      </c>
      <c r="F308" s="14" t="s">
        <v>73</v>
      </c>
      <c r="G308">
        <v>1.869884158948651</v>
      </c>
      <c r="H308">
        <v>0</v>
      </c>
      <c r="I308">
        <v>20</v>
      </c>
      <c r="J308">
        <v>0</v>
      </c>
      <c r="K308">
        <v>46229</v>
      </c>
      <c r="L308" t="s">
        <v>438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</row>
    <row r="309" spans="1:82" hidden="1" x14ac:dyDescent="0.25">
      <c r="A309" t="s">
        <v>128</v>
      </c>
      <c r="B309" t="s">
        <v>422</v>
      </c>
      <c r="C309" s="14" t="s">
        <v>72</v>
      </c>
      <c r="D309" s="12">
        <v>46229</v>
      </c>
      <c r="E309" s="14" t="s">
        <v>420</v>
      </c>
      <c r="F309" s="14" t="s">
        <v>73</v>
      </c>
      <c r="G309">
        <v>3.6011567851291222</v>
      </c>
      <c r="H309">
        <v>0</v>
      </c>
      <c r="I309">
        <v>20</v>
      </c>
      <c r="J309">
        <v>0</v>
      </c>
      <c r="K309">
        <v>46229</v>
      </c>
      <c r="L309" t="s">
        <v>438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</row>
    <row r="310" spans="1:82" hidden="1" x14ac:dyDescent="0.25">
      <c r="A310" t="s">
        <v>128</v>
      </c>
      <c r="B310" t="s">
        <v>291</v>
      </c>
      <c r="C310" s="14" t="s">
        <v>72</v>
      </c>
      <c r="D310" s="12">
        <v>46229</v>
      </c>
      <c r="E310" s="14" t="s">
        <v>420</v>
      </c>
      <c r="F310" s="14" t="s">
        <v>73</v>
      </c>
      <c r="G310">
        <v>3.6011567851291222</v>
      </c>
      <c r="H310">
        <v>2.8499999999999996</v>
      </c>
      <c r="I310">
        <v>20</v>
      </c>
      <c r="J310">
        <v>2.8499999999999996</v>
      </c>
      <c r="K310">
        <v>46229</v>
      </c>
      <c r="L310" t="s">
        <v>438</v>
      </c>
      <c r="M310">
        <v>3.8235294117647038</v>
      </c>
      <c r="N310">
        <v>0.79141236276326432</v>
      </c>
      <c r="O310">
        <v>0.79141236276326432</v>
      </c>
      <c r="P310">
        <v>1.0617503318805399</v>
      </c>
      <c r="Q310">
        <v>6.175033188053991E-2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0.20858763723673568</v>
      </c>
      <c r="AA310">
        <v>0</v>
      </c>
      <c r="AB310">
        <v>0</v>
      </c>
      <c r="AC310">
        <v>0</v>
      </c>
      <c r="AD310">
        <v>0</v>
      </c>
      <c r="AE310">
        <v>0.79141236276326432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1.2635637842558325</v>
      </c>
      <c r="AL310">
        <v>1.2635637842558325</v>
      </c>
      <c r="AM310">
        <v>1.3415892672858611</v>
      </c>
      <c r="AN310">
        <v>7.8025483030028653E-2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0.26356378425583249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0.74538461538461565</v>
      </c>
      <c r="BI310">
        <v>0.74538461538461565</v>
      </c>
      <c r="BJ310">
        <v>0.9418410053414632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5.81589946585368E-2</v>
      </c>
      <c r="BV310">
        <v>0</v>
      </c>
      <c r="BW310">
        <v>0</v>
      </c>
      <c r="BX310">
        <v>0</v>
      </c>
      <c r="BY310">
        <v>0.74538461538461565</v>
      </c>
      <c r="BZ310">
        <v>0</v>
      </c>
      <c r="CA310">
        <v>0</v>
      </c>
      <c r="CB310">
        <v>0</v>
      </c>
      <c r="CC310">
        <v>0</v>
      </c>
      <c r="CD310">
        <v>0</v>
      </c>
    </row>
    <row r="311" spans="1:82" hidden="1" x14ac:dyDescent="0.25">
      <c r="A311" t="s">
        <v>128</v>
      </c>
      <c r="B311" t="s">
        <v>421</v>
      </c>
      <c r="C311" s="14" t="s">
        <v>72</v>
      </c>
      <c r="D311" s="12">
        <v>46229</v>
      </c>
      <c r="E311" s="14" t="s">
        <v>420</v>
      </c>
      <c r="F311" s="14" t="s">
        <v>74</v>
      </c>
      <c r="G311">
        <v>0</v>
      </c>
      <c r="H311">
        <v>0</v>
      </c>
      <c r="I311">
        <v>20</v>
      </c>
      <c r="J311">
        <v>0</v>
      </c>
      <c r="K311">
        <v>46229</v>
      </c>
      <c r="L311" t="s">
        <v>439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D311">
        <v>0</v>
      </c>
    </row>
    <row r="312" spans="1:82" hidden="1" x14ac:dyDescent="0.25">
      <c r="A312" t="s">
        <v>128</v>
      </c>
      <c r="B312" t="s">
        <v>291</v>
      </c>
      <c r="C312" s="14" t="s">
        <v>72</v>
      </c>
      <c r="D312" s="12">
        <v>46229</v>
      </c>
      <c r="E312" s="14" t="s">
        <v>420</v>
      </c>
      <c r="F312" s="14" t="s">
        <v>74</v>
      </c>
      <c r="G312">
        <v>0</v>
      </c>
      <c r="H312">
        <v>10.45</v>
      </c>
      <c r="I312">
        <v>20</v>
      </c>
      <c r="J312">
        <v>10.45</v>
      </c>
      <c r="K312">
        <v>46229</v>
      </c>
      <c r="L312" t="s">
        <v>439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D312">
        <v>0</v>
      </c>
    </row>
    <row r="313" spans="1:82" hidden="1" x14ac:dyDescent="0.25">
      <c r="A313" t="s">
        <v>128</v>
      </c>
      <c r="B313" t="s">
        <v>422</v>
      </c>
      <c r="C313" s="14" t="s">
        <v>72</v>
      </c>
      <c r="D313" s="12">
        <v>46229</v>
      </c>
      <c r="E313" s="14" t="s">
        <v>420</v>
      </c>
      <c r="F313" s="14" t="s">
        <v>74</v>
      </c>
      <c r="G313">
        <v>0</v>
      </c>
      <c r="H313">
        <v>0</v>
      </c>
      <c r="I313">
        <v>20</v>
      </c>
      <c r="J313">
        <v>0</v>
      </c>
      <c r="K313">
        <v>46229</v>
      </c>
      <c r="L313" t="s">
        <v>439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D313">
        <v>0</v>
      </c>
    </row>
    <row r="314" spans="1:82" hidden="1" x14ac:dyDescent="0.25">
      <c r="A314" t="s">
        <v>128</v>
      </c>
      <c r="B314" t="s">
        <v>421</v>
      </c>
      <c r="C314" s="14" t="s">
        <v>72</v>
      </c>
      <c r="D314" s="12">
        <v>46229</v>
      </c>
      <c r="E314" s="14" t="s">
        <v>420</v>
      </c>
      <c r="F314" s="14" t="s">
        <v>75</v>
      </c>
      <c r="G314">
        <v>1.4299114156666153</v>
      </c>
      <c r="H314">
        <v>2.8499999999999996</v>
      </c>
      <c r="I314">
        <v>20</v>
      </c>
      <c r="J314">
        <v>2.8499999999999996</v>
      </c>
      <c r="K314">
        <v>46229</v>
      </c>
      <c r="L314" t="s">
        <v>440</v>
      </c>
      <c r="M314">
        <v>0</v>
      </c>
      <c r="N314">
        <v>1.9931304616316727</v>
      </c>
      <c r="O314">
        <v>1.9931304616316727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0.50172330374267204</v>
      </c>
      <c r="AL314">
        <v>0.50172330374267204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</row>
    <row r="315" spans="1:82" hidden="1" x14ac:dyDescent="0.25">
      <c r="A315" t="s">
        <v>128</v>
      </c>
      <c r="B315" t="s">
        <v>291</v>
      </c>
      <c r="C315" s="14" t="s">
        <v>72</v>
      </c>
      <c r="D315" s="12">
        <v>46229</v>
      </c>
      <c r="E315" s="14" t="s">
        <v>420</v>
      </c>
      <c r="F315" s="14" t="s">
        <v>75</v>
      </c>
      <c r="G315">
        <v>3.1774912809962848</v>
      </c>
      <c r="H315">
        <v>0</v>
      </c>
      <c r="I315">
        <v>20</v>
      </c>
      <c r="J315">
        <v>0</v>
      </c>
      <c r="K315">
        <v>46229</v>
      </c>
      <c r="L315" t="s">
        <v>440</v>
      </c>
      <c r="M315">
        <v>3.7543252595155705</v>
      </c>
      <c r="N315">
        <v>0</v>
      </c>
      <c r="O315">
        <v>0</v>
      </c>
      <c r="P315">
        <v>1.1815375488106525</v>
      </c>
      <c r="Q315">
        <v>0.18153754881065254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1</v>
      </c>
      <c r="BH315">
        <v>0</v>
      </c>
      <c r="BI315">
        <v>0</v>
      </c>
      <c r="BJ315">
        <v>0.84635482046813493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0.15364517953186507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0.84635482046813493</v>
      </c>
      <c r="CD315">
        <v>0</v>
      </c>
    </row>
    <row r="316" spans="1:82" hidden="1" x14ac:dyDescent="0.25">
      <c r="A316" t="s">
        <v>128</v>
      </c>
      <c r="B316" t="s">
        <v>422</v>
      </c>
      <c r="C316" s="14" t="s">
        <v>72</v>
      </c>
      <c r="D316" s="12">
        <v>46229</v>
      </c>
      <c r="E316" s="14" t="s">
        <v>420</v>
      </c>
      <c r="F316" s="14" t="s">
        <v>75</v>
      </c>
      <c r="G316">
        <v>3.1774912809962848</v>
      </c>
      <c r="H316">
        <v>2.8499999999999996</v>
      </c>
      <c r="I316">
        <v>20</v>
      </c>
      <c r="J316">
        <v>2.8499999999999996</v>
      </c>
      <c r="K316">
        <v>46229</v>
      </c>
      <c r="L316" t="s">
        <v>440</v>
      </c>
      <c r="M316">
        <v>0</v>
      </c>
      <c r="N316">
        <v>0.89693401113169946</v>
      </c>
      <c r="O316">
        <v>0.89693401113169946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0.10306598886830054</v>
      </c>
      <c r="AB316">
        <v>0</v>
      </c>
      <c r="AC316">
        <v>0</v>
      </c>
      <c r="AD316">
        <v>0</v>
      </c>
      <c r="AE316">
        <v>0</v>
      </c>
      <c r="AF316">
        <v>0.89693401113169946</v>
      </c>
      <c r="AG316">
        <v>0</v>
      </c>
      <c r="AH316">
        <v>0</v>
      </c>
      <c r="AI316">
        <v>0</v>
      </c>
      <c r="AJ316">
        <v>0</v>
      </c>
      <c r="AK316">
        <v>1.1149092214022054</v>
      </c>
      <c r="AL316">
        <v>1.1149092214022054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0.11490922140220539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</row>
    <row r="317" spans="1:82" hidden="1" x14ac:dyDescent="0.25">
      <c r="A317" t="s">
        <v>128</v>
      </c>
      <c r="B317" t="s">
        <v>422</v>
      </c>
      <c r="C317" s="14" t="s">
        <v>72</v>
      </c>
      <c r="D317" s="12">
        <v>46230</v>
      </c>
      <c r="E317" s="14" t="s">
        <v>420</v>
      </c>
      <c r="F317" s="14" t="s">
        <v>73</v>
      </c>
      <c r="G317">
        <v>3.6011567851291222</v>
      </c>
      <c r="H317">
        <v>0</v>
      </c>
      <c r="I317">
        <v>20</v>
      </c>
      <c r="J317">
        <v>0</v>
      </c>
      <c r="K317">
        <v>46230</v>
      </c>
      <c r="L317" t="s">
        <v>441</v>
      </c>
      <c r="M317">
        <v>0.82352941176470595</v>
      </c>
      <c r="N317">
        <v>0</v>
      </c>
      <c r="O317">
        <v>0</v>
      </c>
      <c r="P317">
        <v>0.22868468686657797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0.22868468686657797</v>
      </c>
      <c r="AA317">
        <v>0.77131531313342205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H317">
        <v>0</v>
      </c>
      <c r="BI317">
        <v>0</v>
      </c>
      <c r="BJ317">
        <v>4.3728332390853621</v>
      </c>
      <c r="BK317">
        <v>3.3728332390853621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</row>
    <row r="318" spans="1:82" hidden="1" x14ac:dyDescent="0.25">
      <c r="A318" t="s">
        <v>128</v>
      </c>
      <c r="B318" t="s">
        <v>421</v>
      </c>
      <c r="C318" s="14" t="s">
        <v>72</v>
      </c>
      <c r="D318" s="12">
        <v>46230</v>
      </c>
      <c r="E318" s="14" t="s">
        <v>420</v>
      </c>
      <c r="F318" s="14" t="s">
        <v>73</v>
      </c>
      <c r="G318">
        <v>1.869884158948651</v>
      </c>
      <c r="H318">
        <v>0</v>
      </c>
      <c r="I318">
        <v>20</v>
      </c>
      <c r="J318">
        <v>0</v>
      </c>
      <c r="K318">
        <v>46230</v>
      </c>
      <c r="L318" t="s">
        <v>441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</row>
    <row r="319" spans="1:82" hidden="1" x14ac:dyDescent="0.25">
      <c r="A319" t="s">
        <v>128</v>
      </c>
      <c r="B319" t="s">
        <v>291</v>
      </c>
      <c r="C319" s="14" t="s">
        <v>72</v>
      </c>
      <c r="D319" s="12">
        <v>46230</v>
      </c>
      <c r="E319" s="14" t="s">
        <v>420</v>
      </c>
      <c r="F319" s="14" t="s">
        <v>73</v>
      </c>
      <c r="G319">
        <v>3.6011567851291222</v>
      </c>
      <c r="H319">
        <v>0.95</v>
      </c>
      <c r="I319">
        <v>20</v>
      </c>
      <c r="J319">
        <v>0.95</v>
      </c>
      <c r="K319">
        <v>46230</v>
      </c>
      <c r="L319" t="s">
        <v>441</v>
      </c>
      <c r="M319">
        <v>4.705882352941174</v>
      </c>
      <c r="N319">
        <v>0.26380412092108813</v>
      </c>
      <c r="O319">
        <v>0.26380412092108813</v>
      </c>
      <c r="P319">
        <v>1.3067696392375876</v>
      </c>
      <c r="Q319">
        <v>0.3067696392375876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0.73619587907891182</v>
      </c>
      <c r="AA319">
        <v>0</v>
      </c>
      <c r="AB319">
        <v>0</v>
      </c>
      <c r="AC319">
        <v>0</v>
      </c>
      <c r="AD319">
        <v>0</v>
      </c>
      <c r="AE319">
        <v>0.26380412092108813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3.7906913527674972</v>
      </c>
      <c r="AL319">
        <v>3.7906913527674972</v>
      </c>
      <c r="AM319">
        <v>4.9535603715170256</v>
      </c>
      <c r="BD319">
        <v>0</v>
      </c>
      <c r="BE319">
        <v>0</v>
      </c>
      <c r="BF319">
        <v>0</v>
      </c>
      <c r="BH319">
        <v>0.20187500000000011</v>
      </c>
      <c r="BI319">
        <v>0.20187500000000011</v>
      </c>
      <c r="BJ319">
        <v>0.76524581683993886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0.23475418316006114</v>
      </c>
      <c r="BV319">
        <v>0</v>
      </c>
      <c r="BW319">
        <v>0</v>
      </c>
      <c r="BX319">
        <v>0</v>
      </c>
      <c r="BY319">
        <v>0.20187500000000011</v>
      </c>
      <c r="BZ319">
        <v>0</v>
      </c>
      <c r="CA319">
        <v>0</v>
      </c>
      <c r="CB319">
        <v>0</v>
      </c>
      <c r="CC319">
        <v>0</v>
      </c>
      <c r="CD319">
        <v>0</v>
      </c>
    </row>
    <row r="320" spans="1:82" hidden="1" x14ac:dyDescent="0.25">
      <c r="A320" t="s">
        <v>128</v>
      </c>
      <c r="B320" t="s">
        <v>291</v>
      </c>
      <c r="C320" s="14" t="s">
        <v>72</v>
      </c>
      <c r="D320" s="12">
        <v>46230</v>
      </c>
      <c r="E320" s="14" t="s">
        <v>420</v>
      </c>
      <c r="F320" s="14" t="s">
        <v>74</v>
      </c>
      <c r="G320">
        <v>0</v>
      </c>
      <c r="H320">
        <v>1.9</v>
      </c>
      <c r="I320">
        <v>20</v>
      </c>
      <c r="J320">
        <v>1.9</v>
      </c>
      <c r="K320">
        <v>46230</v>
      </c>
      <c r="L320" t="s">
        <v>442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D320">
        <v>0</v>
      </c>
    </row>
    <row r="321" spans="1:82" hidden="1" x14ac:dyDescent="0.25">
      <c r="A321" t="s">
        <v>128</v>
      </c>
      <c r="B321" t="s">
        <v>422</v>
      </c>
      <c r="C321" s="14" t="s">
        <v>72</v>
      </c>
      <c r="D321" s="12">
        <v>46230</v>
      </c>
      <c r="E321" s="14" t="s">
        <v>420</v>
      </c>
      <c r="F321" s="14" t="s">
        <v>74</v>
      </c>
      <c r="G321">
        <v>0</v>
      </c>
      <c r="H321">
        <v>0</v>
      </c>
      <c r="I321">
        <v>20</v>
      </c>
      <c r="J321">
        <v>0</v>
      </c>
      <c r="K321">
        <v>46230</v>
      </c>
      <c r="L321" t="s">
        <v>442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D321">
        <v>0</v>
      </c>
    </row>
    <row r="322" spans="1:82" hidden="1" x14ac:dyDescent="0.25">
      <c r="A322" t="s">
        <v>128</v>
      </c>
      <c r="B322" t="s">
        <v>421</v>
      </c>
      <c r="C322" s="14" t="s">
        <v>72</v>
      </c>
      <c r="D322" s="12">
        <v>46230</v>
      </c>
      <c r="E322" s="14" t="s">
        <v>420</v>
      </c>
      <c r="F322" s="14" t="s">
        <v>74</v>
      </c>
      <c r="G322">
        <v>0</v>
      </c>
      <c r="H322">
        <v>0</v>
      </c>
      <c r="I322">
        <v>20</v>
      </c>
      <c r="J322">
        <v>0</v>
      </c>
      <c r="K322">
        <v>46230</v>
      </c>
      <c r="L322" t="s">
        <v>442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D322">
        <v>0</v>
      </c>
    </row>
    <row r="323" spans="1:82" hidden="1" x14ac:dyDescent="0.25">
      <c r="A323" t="s">
        <v>128</v>
      </c>
      <c r="B323" t="s">
        <v>422</v>
      </c>
      <c r="C323" s="14" t="s">
        <v>72</v>
      </c>
      <c r="D323" s="12">
        <v>46230</v>
      </c>
      <c r="E323" s="14" t="s">
        <v>420</v>
      </c>
      <c r="F323" s="14" t="s">
        <v>75</v>
      </c>
      <c r="G323">
        <v>3.1774912809962848</v>
      </c>
      <c r="H323">
        <v>0.95</v>
      </c>
      <c r="I323">
        <v>20</v>
      </c>
      <c r="J323">
        <v>0.95</v>
      </c>
      <c r="K323">
        <v>46230</v>
      </c>
      <c r="L323" t="s">
        <v>443</v>
      </c>
      <c r="M323">
        <v>0.16608996539792387</v>
      </c>
      <c r="N323">
        <v>0.29897800371056649</v>
      </c>
      <c r="O323">
        <v>0.29897800371056649</v>
      </c>
      <c r="P323">
        <v>5.2270785569503521E-2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0.70102199628943351</v>
      </c>
      <c r="AB323">
        <v>0</v>
      </c>
      <c r="AC323">
        <v>0.24670721814106297</v>
      </c>
      <c r="AD323">
        <v>0</v>
      </c>
      <c r="AE323">
        <v>5.2270785569503521E-2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3.3447276642066157</v>
      </c>
      <c r="AL323">
        <v>3.3447276642066157</v>
      </c>
      <c r="AM323">
        <v>0.17483154252413038</v>
      </c>
      <c r="BD323">
        <v>0</v>
      </c>
      <c r="BE323">
        <v>0</v>
      </c>
      <c r="BF323">
        <v>0</v>
      </c>
      <c r="BH323">
        <v>5.7197916666666666</v>
      </c>
      <c r="BI323">
        <v>5.7197916666666666</v>
      </c>
      <c r="BJ323">
        <v>19.131145420998465</v>
      </c>
      <c r="CA323">
        <v>0</v>
      </c>
      <c r="CB323">
        <v>0</v>
      </c>
      <c r="CC323">
        <v>0</v>
      </c>
    </row>
    <row r="324" spans="1:82" hidden="1" x14ac:dyDescent="0.25">
      <c r="A324" t="s">
        <v>128</v>
      </c>
      <c r="B324" t="s">
        <v>421</v>
      </c>
      <c r="C324" s="14" t="s">
        <v>72</v>
      </c>
      <c r="D324" s="12">
        <v>46230</v>
      </c>
      <c r="E324" s="14" t="s">
        <v>420</v>
      </c>
      <c r="F324" s="14" t="s">
        <v>75</v>
      </c>
      <c r="G324">
        <v>1.4299114156666153</v>
      </c>
      <c r="H324">
        <v>0.95</v>
      </c>
      <c r="I324">
        <v>20</v>
      </c>
      <c r="J324">
        <v>0.95</v>
      </c>
      <c r="K324">
        <v>46230</v>
      </c>
      <c r="L324" t="s">
        <v>443</v>
      </c>
      <c r="M324">
        <v>0</v>
      </c>
      <c r="N324">
        <v>0.66437682054389102</v>
      </c>
      <c r="O324">
        <v>0.66437682054389102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0.33562317945610898</v>
      </c>
      <c r="AB324">
        <v>0</v>
      </c>
      <c r="AC324">
        <v>0</v>
      </c>
      <c r="AD324">
        <v>0</v>
      </c>
      <c r="AE324">
        <v>0</v>
      </c>
      <c r="AF324">
        <v>0.66437682054389102</v>
      </c>
      <c r="AG324">
        <v>0</v>
      </c>
      <c r="AH324">
        <v>0</v>
      </c>
      <c r="AI324">
        <v>0</v>
      </c>
      <c r="AJ324">
        <v>0</v>
      </c>
      <c r="AK324">
        <v>1.5051699112280161</v>
      </c>
      <c r="AL324">
        <v>1.5051699112280161</v>
      </c>
      <c r="AM324">
        <v>0</v>
      </c>
      <c r="BD324">
        <v>0</v>
      </c>
      <c r="BE324">
        <v>0</v>
      </c>
      <c r="BF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</row>
    <row r="325" spans="1:82" hidden="1" x14ac:dyDescent="0.25">
      <c r="A325" t="s">
        <v>128</v>
      </c>
      <c r="B325" t="s">
        <v>291</v>
      </c>
      <c r="C325" s="14" t="s">
        <v>72</v>
      </c>
      <c r="D325" s="12">
        <v>46230</v>
      </c>
      <c r="E325" s="14" t="s">
        <v>420</v>
      </c>
      <c r="F325" s="14" t="s">
        <v>75</v>
      </c>
      <c r="G325">
        <v>3.1774912809962848</v>
      </c>
      <c r="H325">
        <v>2.8499999999999996</v>
      </c>
      <c r="I325">
        <v>20</v>
      </c>
      <c r="J325">
        <v>2.8499999999999996</v>
      </c>
      <c r="K325">
        <v>46230</v>
      </c>
      <c r="L325" t="s">
        <v>443</v>
      </c>
      <c r="M325">
        <v>3.8062283737024223</v>
      </c>
      <c r="N325">
        <v>0.89693401113169946</v>
      </c>
      <c r="O325">
        <v>0.89693401113169946</v>
      </c>
      <c r="P325">
        <v>1.1978721693011225</v>
      </c>
      <c r="Q325">
        <v>0.1978721693011225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0.10306598886830054</v>
      </c>
      <c r="AA325">
        <v>0</v>
      </c>
      <c r="AB325">
        <v>0</v>
      </c>
      <c r="AC325">
        <v>0</v>
      </c>
      <c r="AD325">
        <v>0</v>
      </c>
      <c r="AE325">
        <v>0.89693401113169946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1.1149092214022054</v>
      </c>
      <c r="AL325">
        <v>1.1149092214022054</v>
      </c>
      <c r="AM325">
        <v>1.3355187276148852</v>
      </c>
      <c r="AN325">
        <v>0.22060950621267983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0.11490922140220539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0.74877272727272715</v>
      </c>
      <c r="BI325">
        <v>0.74877272727272715</v>
      </c>
      <c r="BJ325">
        <v>0.834813618370842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0.165186381629158</v>
      </c>
      <c r="BV325">
        <v>0</v>
      </c>
      <c r="BW325">
        <v>0</v>
      </c>
      <c r="BX325">
        <v>0</v>
      </c>
      <c r="BY325">
        <v>0.74877272727272715</v>
      </c>
      <c r="BZ325">
        <v>0</v>
      </c>
      <c r="CA325">
        <v>0</v>
      </c>
      <c r="CB325">
        <v>0</v>
      </c>
      <c r="CC325">
        <v>0</v>
      </c>
      <c r="CD325">
        <v>0</v>
      </c>
    </row>
    <row r="326" spans="1:82" hidden="1" x14ac:dyDescent="0.25">
      <c r="A326" t="s">
        <v>128</v>
      </c>
      <c r="B326" t="s">
        <v>291</v>
      </c>
      <c r="C326" s="14" t="s">
        <v>72</v>
      </c>
      <c r="D326" s="12">
        <v>46231</v>
      </c>
      <c r="E326" s="14" t="s">
        <v>420</v>
      </c>
      <c r="F326" s="14" t="s">
        <v>73</v>
      </c>
      <c r="G326">
        <v>3.6011567851291222</v>
      </c>
      <c r="H326">
        <v>1.9</v>
      </c>
      <c r="I326">
        <v>20</v>
      </c>
      <c r="J326">
        <v>1.9</v>
      </c>
      <c r="K326">
        <v>46231</v>
      </c>
      <c r="L326" t="s">
        <v>444</v>
      </c>
      <c r="M326">
        <v>4.7058823529411731</v>
      </c>
      <c r="N326">
        <v>0.52760824184217625</v>
      </c>
      <c r="O326">
        <v>0.52760824184217625</v>
      </c>
      <c r="P326">
        <v>1.3067696392375874</v>
      </c>
      <c r="Q326">
        <v>0.30676963923758738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0.47239175815782375</v>
      </c>
      <c r="AA326">
        <v>0</v>
      </c>
      <c r="AB326">
        <v>0</v>
      </c>
      <c r="AC326">
        <v>0</v>
      </c>
      <c r="AD326">
        <v>0</v>
      </c>
      <c r="AE326">
        <v>0.52760824184217625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1.8953456763837486</v>
      </c>
      <c r="AL326">
        <v>1.8953456763837486</v>
      </c>
      <c r="AM326">
        <v>2.4767801857585123</v>
      </c>
      <c r="BD326">
        <v>0</v>
      </c>
      <c r="BE326">
        <v>0</v>
      </c>
      <c r="BF326">
        <v>0</v>
      </c>
      <c r="BH326">
        <v>0.40375000000000028</v>
      </c>
      <c r="BI326">
        <v>0.40375000000000028</v>
      </c>
      <c r="BJ326">
        <v>0.76524581683993897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0.23475418316006103</v>
      </c>
      <c r="BV326">
        <v>0</v>
      </c>
      <c r="BW326">
        <v>0</v>
      </c>
      <c r="BX326">
        <v>0</v>
      </c>
      <c r="BY326">
        <v>0.40375000000000028</v>
      </c>
      <c r="BZ326">
        <v>0</v>
      </c>
      <c r="CA326">
        <v>0</v>
      </c>
      <c r="CB326">
        <v>0</v>
      </c>
      <c r="CC326">
        <v>0</v>
      </c>
      <c r="CD326">
        <v>0</v>
      </c>
    </row>
    <row r="327" spans="1:82" hidden="1" x14ac:dyDescent="0.25">
      <c r="A327" t="s">
        <v>128</v>
      </c>
      <c r="B327" t="s">
        <v>421</v>
      </c>
      <c r="C327" s="14" t="s">
        <v>72</v>
      </c>
      <c r="D327" s="12">
        <v>46231</v>
      </c>
      <c r="E327" s="14" t="s">
        <v>420</v>
      </c>
      <c r="F327" s="14" t="s">
        <v>73</v>
      </c>
      <c r="G327">
        <v>1.869884158948651</v>
      </c>
      <c r="H327">
        <v>1.9</v>
      </c>
      <c r="I327">
        <v>20</v>
      </c>
      <c r="J327">
        <v>1.9</v>
      </c>
      <c r="K327">
        <v>46231</v>
      </c>
      <c r="L327" t="s">
        <v>444</v>
      </c>
      <c r="M327">
        <v>0</v>
      </c>
      <c r="N327">
        <v>1.0161057255377155</v>
      </c>
      <c r="O327">
        <v>1.0161057255377155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1.6105725537715498E-2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0.98414955734139531</v>
      </c>
      <c r="AL327">
        <v>0.98414955734139531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</row>
    <row r="328" spans="1:82" hidden="1" x14ac:dyDescent="0.25">
      <c r="A328" t="s">
        <v>128</v>
      </c>
      <c r="B328" t="s">
        <v>422</v>
      </c>
      <c r="C328" s="14" t="s">
        <v>72</v>
      </c>
      <c r="D328" s="12">
        <v>46231</v>
      </c>
      <c r="E328" s="14" t="s">
        <v>420</v>
      </c>
      <c r="F328" s="14" t="s">
        <v>73</v>
      </c>
      <c r="G328">
        <v>3.6011567851291222</v>
      </c>
      <c r="H328">
        <v>1.9</v>
      </c>
      <c r="I328">
        <v>20</v>
      </c>
      <c r="J328">
        <v>1.9</v>
      </c>
      <c r="K328">
        <v>46231</v>
      </c>
      <c r="L328" t="s">
        <v>444</v>
      </c>
      <c r="M328">
        <v>1.6470588235294119</v>
      </c>
      <c r="N328">
        <v>0.52760824184217625</v>
      </c>
      <c r="O328">
        <v>0.52760824184217625</v>
      </c>
      <c r="P328">
        <v>0.45736937373315595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0.47239175815782375</v>
      </c>
      <c r="AB328">
        <v>0</v>
      </c>
      <c r="AC328">
        <v>7.0238868109020303E-2</v>
      </c>
      <c r="AD328">
        <v>0</v>
      </c>
      <c r="AE328">
        <v>0.45736937373315595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1.8953456763837486</v>
      </c>
      <c r="AL328">
        <v>1.8953456763837486</v>
      </c>
      <c r="AM328">
        <v>0.86687306501548</v>
      </c>
      <c r="BD328">
        <v>0</v>
      </c>
      <c r="BE328">
        <v>0</v>
      </c>
      <c r="BF328">
        <v>0</v>
      </c>
      <c r="BH328">
        <v>1.1535714285714285</v>
      </c>
      <c r="BI328">
        <v>1.1535714285714285</v>
      </c>
      <c r="BJ328">
        <v>2.1864166195426811</v>
      </c>
      <c r="BK328">
        <v>1.0328451909712526</v>
      </c>
      <c r="BL328">
        <v>0</v>
      </c>
      <c r="BM328">
        <v>0</v>
      </c>
      <c r="BN328">
        <v>0</v>
      </c>
      <c r="BO328">
        <v>0</v>
      </c>
      <c r="BP328">
        <v>0.34642857142857153</v>
      </c>
      <c r="BQ328">
        <v>0.15357142857142847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</row>
    <row r="329" spans="1:82" hidden="1" x14ac:dyDescent="0.25">
      <c r="A329" t="s">
        <v>128</v>
      </c>
      <c r="B329" t="s">
        <v>291</v>
      </c>
      <c r="C329" s="14" t="s">
        <v>72</v>
      </c>
      <c r="D329" s="12">
        <v>46231</v>
      </c>
      <c r="E329" s="14" t="s">
        <v>420</v>
      </c>
      <c r="F329" s="14" t="s">
        <v>74</v>
      </c>
      <c r="G329">
        <v>0</v>
      </c>
      <c r="H329">
        <v>10.45</v>
      </c>
      <c r="I329">
        <v>20</v>
      </c>
      <c r="J329">
        <v>10.45</v>
      </c>
      <c r="K329">
        <v>46231</v>
      </c>
      <c r="L329" t="s">
        <v>445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0</v>
      </c>
      <c r="CD329">
        <v>0</v>
      </c>
    </row>
    <row r="330" spans="1:82" hidden="1" x14ac:dyDescent="0.25">
      <c r="A330" t="s">
        <v>128</v>
      </c>
      <c r="B330" t="s">
        <v>422</v>
      </c>
      <c r="C330" s="14" t="s">
        <v>72</v>
      </c>
      <c r="D330" s="12">
        <v>46231</v>
      </c>
      <c r="E330" s="14" t="s">
        <v>420</v>
      </c>
      <c r="F330" s="14" t="s">
        <v>74</v>
      </c>
      <c r="G330">
        <v>0</v>
      </c>
      <c r="H330">
        <v>1.9</v>
      </c>
      <c r="I330">
        <v>20</v>
      </c>
      <c r="J330">
        <v>1.9</v>
      </c>
      <c r="K330">
        <v>46231</v>
      </c>
      <c r="L330" t="s">
        <v>445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0</v>
      </c>
      <c r="CD330">
        <v>0</v>
      </c>
    </row>
    <row r="331" spans="1:82" hidden="1" x14ac:dyDescent="0.25">
      <c r="A331" t="s">
        <v>128</v>
      </c>
      <c r="B331" t="s">
        <v>421</v>
      </c>
      <c r="C331" s="14" t="s">
        <v>72</v>
      </c>
      <c r="D331" s="12">
        <v>46231</v>
      </c>
      <c r="E331" s="14" t="s">
        <v>420</v>
      </c>
      <c r="F331" s="14" t="s">
        <v>74</v>
      </c>
      <c r="G331">
        <v>0</v>
      </c>
      <c r="H331">
        <v>1.9</v>
      </c>
      <c r="I331">
        <v>20</v>
      </c>
      <c r="J331">
        <v>1.9</v>
      </c>
      <c r="K331">
        <v>46231</v>
      </c>
      <c r="L331" t="s">
        <v>445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D331">
        <v>0</v>
      </c>
    </row>
    <row r="332" spans="1:82" hidden="1" x14ac:dyDescent="0.25">
      <c r="A332" t="s">
        <v>128</v>
      </c>
      <c r="B332" t="s">
        <v>421</v>
      </c>
      <c r="C332" s="14" t="s">
        <v>72</v>
      </c>
      <c r="D332" s="12">
        <v>46231</v>
      </c>
      <c r="E332" s="14" t="s">
        <v>420</v>
      </c>
      <c r="F332" s="14" t="s">
        <v>75</v>
      </c>
      <c r="G332">
        <v>1.4299114156666153</v>
      </c>
      <c r="H332">
        <v>0</v>
      </c>
      <c r="I332">
        <v>20</v>
      </c>
      <c r="J332">
        <v>0</v>
      </c>
      <c r="K332">
        <v>46231</v>
      </c>
      <c r="L332" t="s">
        <v>446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</row>
    <row r="333" spans="1:82" hidden="1" x14ac:dyDescent="0.25">
      <c r="A333" t="s">
        <v>128</v>
      </c>
      <c r="B333" t="s">
        <v>291</v>
      </c>
      <c r="C333" s="14" t="s">
        <v>72</v>
      </c>
      <c r="D333" s="12">
        <v>46231</v>
      </c>
      <c r="E333" s="14" t="s">
        <v>420</v>
      </c>
      <c r="F333" s="14" t="s">
        <v>75</v>
      </c>
      <c r="G333">
        <v>3.1774912809962848</v>
      </c>
      <c r="H333">
        <v>2.8499999999999996</v>
      </c>
      <c r="I333">
        <v>20</v>
      </c>
      <c r="J333">
        <v>2.8499999999999996</v>
      </c>
      <c r="K333">
        <v>46231</v>
      </c>
      <c r="L333" t="s">
        <v>446</v>
      </c>
      <c r="M333">
        <v>3.8062283737024223</v>
      </c>
      <c r="N333">
        <v>0.89693401113169946</v>
      </c>
      <c r="O333">
        <v>0.89693401113169946</v>
      </c>
      <c r="P333">
        <v>1.1978721693011225</v>
      </c>
      <c r="Q333">
        <v>0.1978721693011225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0.10306598886830054</v>
      </c>
      <c r="AA333">
        <v>0</v>
      </c>
      <c r="AB333">
        <v>0</v>
      </c>
      <c r="AC333">
        <v>0</v>
      </c>
      <c r="AD333">
        <v>0</v>
      </c>
      <c r="AE333">
        <v>0.89693401113169946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1.1149092214022054</v>
      </c>
      <c r="AL333">
        <v>1.1149092214022054</v>
      </c>
      <c r="AM333">
        <v>1.3355187276148852</v>
      </c>
      <c r="AN333">
        <v>0.22060950621267983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0.11490922140220539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0.74877272727272715</v>
      </c>
      <c r="BI333">
        <v>0.74877272727272715</v>
      </c>
      <c r="BJ333">
        <v>0.834813618370842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0.165186381629158</v>
      </c>
      <c r="BV333">
        <v>0</v>
      </c>
      <c r="BW333">
        <v>0</v>
      </c>
      <c r="BX333">
        <v>0</v>
      </c>
      <c r="BY333">
        <v>0.74877272727272715</v>
      </c>
      <c r="BZ333">
        <v>0</v>
      </c>
      <c r="CA333">
        <v>0</v>
      </c>
      <c r="CB333">
        <v>0</v>
      </c>
      <c r="CC333">
        <v>0</v>
      </c>
      <c r="CD333">
        <v>0</v>
      </c>
    </row>
    <row r="334" spans="1:82" hidden="1" x14ac:dyDescent="0.25">
      <c r="A334" t="s">
        <v>128</v>
      </c>
      <c r="B334" t="s">
        <v>422</v>
      </c>
      <c r="C334" s="14" t="s">
        <v>72</v>
      </c>
      <c r="D334" s="12">
        <v>46231</v>
      </c>
      <c r="E334" s="14" t="s">
        <v>420</v>
      </c>
      <c r="F334" s="14" t="s">
        <v>75</v>
      </c>
      <c r="G334">
        <v>3.1774912809962848</v>
      </c>
      <c r="H334">
        <v>0</v>
      </c>
      <c r="I334">
        <v>20</v>
      </c>
      <c r="J334">
        <v>0</v>
      </c>
      <c r="K334">
        <v>46231</v>
      </c>
      <c r="L334" t="s">
        <v>446</v>
      </c>
      <c r="M334">
        <v>0.33217993079584773</v>
      </c>
      <c r="N334">
        <v>0</v>
      </c>
      <c r="O334">
        <v>0</v>
      </c>
      <c r="P334">
        <v>0.10454157113900704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0.10454157113900704</v>
      </c>
      <c r="AA334">
        <v>0.89545842886099292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H334">
        <v>0</v>
      </c>
      <c r="BI334">
        <v>0</v>
      </c>
      <c r="BJ334">
        <v>9.5655727104992323</v>
      </c>
      <c r="BK334">
        <v>8.5655727104992323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 hidden="1" x14ac:dyDescent="0.25">
      <c r="A335" t="s">
        <v>128</v>
      </c>
      <c r="B335" t="s">
        <v>421</v>
      </c>
      <c r="C335" s="14" t="s">
        <v>72</v>
      </c>
      <c r="D335" s="12">
        <v>46232</v>
      </c>
      <c r="E335" s="14" t="s">
        <v>420</v>
      </c>
      <c r="F335" s="14" t="s">
        <v>73</v>
      </c>
      <c r="G335">
        <v>1.636148639080069</v>
      </c>
      <c r="H335">
        <v>0.95</v>
      </c>
      <c r="I335">
        <v>20</v>
      </c>
      <c r="J335">
        <v>0.95</v>
      </c>
      <c r="K335">
        <v>46232</v>
      </c>
      <c r="L335" t="s">
        <v>447</v>
      </c>
      <c r="M335">
        <v>0</v>
      </c>
      <c r="N335">
        <v>0.58063184316440908</v>
      </c>
      <c r="O335">
        <v>0.58063184316440908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0.41936815683559092</v>
      </c>
      <c r="AB335">
        <v>0</v>
      </c>
      <c r="AC335">
        <v>0</v>
      </c>
      <c r="AD335">
        <v>0</v>
      </c>
      <c r="AE335">
        <v>0</v>
      </c>
      <c r="AF335">
        <v>0.58063184316440908</v>
      </c>
      <c r="AG335">
        <v>0</v>
      </c>
      <c r="AH335">
        <v>0</v>
      </c>
      <c r="AI335">
        <v>0</v>
      </c>
      <c r="AJ335">
        <v>0</v>
      </c>
      <c r="AK335">
        <v>1.7222617253474413</v>
      </c>
      <c r="AL335">
        <v>1.7222617253474413</v>
      </c>
      <c r="AM335">
        <v>0</v>
      </c>
      <c r="BD335">
        <v>0</v>
      </c>
      <c r="BE335">
        <v>0</v>
      </c>
      <c r="BF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</row>
    <row r="336" spans="1:82" hidden="1" x14ac:dyDescent="0.25">
      <c r="A336" t="s">
        <v>128</v>
      </c>
      <c r="B336" t="s">
        <v>422</v>
      </c>
      <c r="C336" s="14" t="s">
        <v>72</v>
      </c>
      <c r="D336" s="12">
        <v>46232</v>
      </c>
      <c r="E336" s="14" t="s">
        <v>420</v>
      </c>
      <c r="F336" s="14" t="s">
        <v>73</v>
      </c>
      <c r="G336">
        <v>3.6011567851291235</v>
      </c>
      <c r="H336">
        <v>0.95</v>
      </c>
      <c r="I336">
        <v>20</v>
      </c>
      <c r="J336">
        <v>0.95</v>
      </c>
      <c r="K336">
        <v>46232</v>
      </c>
      <c r="L336" t="s">
        <v>447</v>
      </c>
      <c r="M336">
        <v>2.4441434468524257</v>
      </c>
      <c r="N336">
        <v>0.26380412092108801</v>
      </c>
      <c r="O336">
        <v>0.26380412092108801</v>
      </c>
      <c r="P336">
        <v>0.67871064568625505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0.41490652476516704</v>
      </c>
      <c r="AA336">
        <v>0.32128935431374495</v>
      </c>
      <c r="AB336">
        <v>0</v>
      </c>
      <c r="AC336">
        <v>0</v>
      </c>
      <c r="AD336">
        <v>0</v>
      </c>
      <c r="AE336">
        <v>0.26380412092108801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3.7906913527674986</v>
      </c>
      <c r="AL336">
        <v>3.7906913527674986</v>
      </c>
      <c r="AM336">
        <v>2.5727825756341325</v>
      </c>
      <c r="BD336">
        <v>0</v>
      </c>
      <c r="BE336">
        <v>0</v>
      </c>
      <c r="BF336">
        <v>0</v>
      </c>
      <c r="BH336">
        <v>0.38868422441547462</v>
      </c>
      <c r="BI336">
        <v>0.38868422441547462</v>
      </c>
      <c r="BJ336">
        <v>1.4733819284488816</v>
      </c>
      <c r="BK336">
        <v>0.47338192844888161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0.73619587907891204</v>
      </c>
      <c r="BU336">
        <v>0</v>
      </c>
      <c r="BV336">
        <v>0</v>
      </c>
      <c r="BW336">
        <v>0</v>
      </c>
      <c r="BX336">
        <v>0</v>
      </c>
      <c r="BY336">
        <v>0.38868422441547462</v>
      </c>
      <c r="BZ336">
        <v>0</v>
      </c>
      <c r="CA336">
        <v>0</v>
      </c>
      <c r="CB336">
        <v>0</v>
      </c>
      <c r="CC336">
        <v>0</v>
      </c>
      <c r="CD336">
        <v>0</v>
      </c>
    </row>
    <row r="337" spans="1:82" hidden="1" x14ac:dyDescent="0.25">
      <c r="A337" t="s">
        <v>128</v>
      </c>
      <c r="B337" t="s">
        <v>291</v>
      </c>
      <c r="C337" s="14" t="s">
        <v>72</v>
      </c>
      <c r="D337" s="12">
        <v>46232</v>
      </c>
      <c r="E337" s="14" t="s">
        <v>420</v>
      </c>
      <c r="F337" s="14" t="s">
        <v>73</v>
      </c>
      <c r="G337">
        <v>3.6011567851291235</v>
      </c>
      <c r="H337">
        <v>1.9</v>
      </c>
      <c r="I337">
        <v>20</v>
      </c>
      <c r="J337">
        <v>1.9</v>
      </c>
      <c r="K337">
        <v>46232</v>
      </c>
      <c r="L337" t="s">
        <v>447</v>
      </c>
      <c r="M337">
        <v>3.7647058823529393</v>
      </c>
      <c r="N337">
        <v>0.52760824184217603</v>
      </c>
      <c r="O337">
        <v>0.52760824184217603</v>
      </c>
      <c r="P337">
        <v>1.0454157113900697</v>
      </c>
      <c r="Q337">
        <v>4.5415711390069724E-2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0.47239175815782397</v>
      </c>
      <c r="AA337">
        <v>0</v>
      </c>
      <c r="AB337">
        <v>0</v>
      </c>
      <c r="AC337">
        <v>0</v>
      </c>
      <c r="AD337">
        <v>0</v>
      </c>
      <c r="AE337">
        <v>0.52760824184217603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1.8953456763837493</v>
      </c>
      <c r="AL337">
        <v>1.8953456763837493</v>
      </c>
      <c r="AM337">
        <v>1.9814241486068103</v>
      </c>
      <c r="BD337">
        <v>0</v>
      </c>
      <c r="BE337">
        <v>0</v>
      </c>
      <c r="BF337">
        <v>0</v>
      </c>
      <c r="BH337">
        <v>0.50468750000000018</v>
      </c>
      <c r="BI337">
        <v>0.50468750000000018</v>
      </c>
      <c r="BJ337">
        <v>0.95655727104992394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4.3442728950076059E-2</v>
      </c>
      <c r="BV337">
        <v>0</v>
      </c>
      <c r="BW337">
        <v>0</v>
      </c>
      <c r="BX337">
        <v>0</v>
      </c>
      <c r="BY337">
        <v>0.50468750000000018</v>
      </c>
      <c r="BZ337">
        <v>0</v>
      </c>
      <c r="CA337">
        <v>0</v>
      </c>
      <c r="CB337">
        <v>0</v>
      </c>
      <c r="CC337">
        <v>0</v>
      </c>
      <c r="CD337">
        <v>0</v>
      </c>
    </row>
    <row r="338" spans="1:82" hidden="1" x14ac:dyDescent="0.25">
      <c r="A338" t="s">
        <v>128</v>
      </c>
      <c r="B338" t="s">
        <v>421</v>
      </c>
      <c r="C338" s="14" t="s">
        <v>72</v>
      </c>
      <c r="D338" s="12">
        <v>46232</v>
      </c>
      <c r="E338" s="14" t="s">
        <v>420</v>
      </c>
      <c r="F338" s="14" t="s">
        <v>74</v>
      </c>
      <c r="G338">
        <v>0</v>
      </c>
      <c r="H338">
        <v>0</v>
      </c>
      <c r="I338">
        <v>20</v>
      </c>
      <c r="J338">
        <v>0</v>
      </c>
      <c r="K338">
        <v>46232</v>
      </c>
      <c r="L338" t="s">
        <v>448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D338">
        <v>0</v>
      </c>
    </row>
    <row r="339" spans="1:82" hidden="1" x14ac:dyDescent="0.25">
      <c r="A339" t="s">
        <v>128</v>
      </c>
      <c r="B339" t="s">
        <v>422</v>
      </c>
      <c r="C339" s="14" t="s">
        <v>72</v>
      </c>
      <c r="D339" s="12">
        <v>46232</v>
      </c>
      <c r="E339" s="14" t="s">
        <v>420</v>
      </c>
      <c r="F339" s="14" t="s">
        <v>74</v>
      </c>
      <c r="G339">
        <v>0</v>
      </c>
      <c r="H339">
        <v>0</v>
      </c>
      <c r="I339">
        <v>20</v>
      </c>
      <c r="J339">
        <v>0</v>
      </c>
      <c r="K339">
        <v>46232</v>
      </c>
      <c r="L339" t="s">
        <v>448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D339">
        <v>0</v>
      </c>
    </row>
    <row r="340" spans="1:82" hidden="1" x14ac:dyDescent="0.25">
      <c r="A340" t="s">
        <v>128</v>
      </c>
      <c r="B340" t="s">
        <v>291</v>
      </c>
      <c r="C340" s="14" t="s">
        <v>72</v>
      </c>
      <c r="D340" s="12">
        <v>46232</v>
      </c>
      <c r="E340" s="14" t="s">
        <v>420</v>
      </c>
      <c r="F340" s="14" t="s">
        <v>74</v>
      </c>
      <c r="G340">
        <v>0</v>
      </c>
      <c r="H340">
        <v>12.35</v>
      </c>
      <c r="I340">
        <v>20</v>
      </c>
      <c r="J340">
        <v>12.35</v>
      </c>
      <c r="K340">
        <v>46232</v>
      </c>
      <c r="L340" t="s">
        <v>448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</v>
      </c>
      <c r="CD340">
        <v>0</v>
      </c>
    </row>
    <row r="341" spans="1:82" hidden="1" x14ac:dyDescent="0.25">
      <c r="A341" t="s">
        <v>128</v>
      </c>
      <c r="B341" t="s">
        <v>421</v>
      </c>
      <c r="C341" s="14" t="s">
        <v>72</v>
      </c>
      <c r="D341" s="12">
        <v>46232</v>
      </c>
      <c r="E341" s="14" t="s">
        <v>420</v>
      </c>
      <c r="F341" s="14" t="s">
        <v>75</v>
      </c>
      <c r="G341">
        <v>1.5949011943973781</v>
      </c>
      <c r="H341">
        <v>2.8499999999999996</v>
      </c>
      <c r="I341">
        <v>20</v>
      </c>
      <c r="J341">
        <v>2.8499999999999996</v>
      </c>
      <c r="K341">
        <v>46232</v>
      </c>
      <c r="L341" t="s">
        <v>449</v>
      </c>
      <c r="M341">
        <v>0</v>
      </c>
      <c r="N341">
        <v>1.7869445518077072</v>
      </c>
      <c r="O341">
        <v>1.7869445518077072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0.55961445417451872</v>
      </c>
      <c r="AL341">
        <v>0.55961445417451872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</row>
    <row r="342" spans="1:82" hidden="1" x14ac:dyDescent="0.25">
      <c r="A342" t="s">
        <v>128</v>
      </c>
      <c r="B342" t="s">
        <v>422</v>
      </c>
      <c r="C342" s="14" t="s">
        <v>72</v>
      </c>
      <c r="D342" s="12">
        <v>46232</v>
      </c>
      <c r="E342" s="14" t="s">
        <v>420</v>
      </c>
      <c r="F342" s="14" t="s">
        <v>75</v>
      </c>
      <c r="G342">
        <v>3.1774912809962848</v>
      </c>
      <c r="H342">
        <v>2.8499999999999996</v>
      </c>
      <c r="I342">
        <v>20</v>
      </c>
      <c r="J342">
        <v>2.8499999999999996</v>
      </c>
      <c r="K342">
        <v>46232</v>
      </c>
      <c r="L342" t="s">
        <v>449</v>
      </c>
      <c r="M342">
        <v>1.523159108844776</v>
      </c>
      <c r="N342">
        <v>0.89693401113169946</v>
      </c>
      <c r="O342">
        <v>0.89693401113169946</v>
      </c>
      <c r="P342">
        <v>0.479359020732607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0.10306598886830054</v>
      </c>
      <c r="AB342">
        <v>0</v>
      </c>
      <c r="AC342">
        <v>0.41757499039909246</v>
      </c>
      <c r="AD342">
        <v>0</v>
      </c>
      <c r="AE342">
        <v>0.479359020732607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1.1149092214022054</v>
      </c>
      <c r="AL342">
        <v>1.1149092214022054</v>
      </c>
      <c r="AM342">
        <v>0.53444179257711444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0.11490922140220539</v>
      </c>
      <c r="AW342">
        <v>0</v>
      </c>
      <c r="AX342">
        <v>0</v>
      </c>
      <c r="AY342">
        <v>0</v>
      </c>
      <c r="AZ342">
        <v>0.46555820742288556</v>
      </c>
      <c r="BA342">
        <v>0</v>
      </c>
      <c r="BB342">
        <v>0.53444179257711444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1.8711111553943647</v>
      </c>
      <c r="BI342">
        <v>1.8711111553943647</v>
      </c>
      <c r="BJ342">
        <v>2.0861190814177117</v>
      </c>
      <c r="CA342">
        <v>0</v>
      </c>
      <c r="CB342">
        <v>0</v>
      </c>
      <c r="CC342">
        <v>0</v>
      </c>
    </row>
    <row r="343" spans="1:82" hidden="1" x14ac:dyDescent="0.25">
      <c r="A343" t="s">
        <v>128</v>
      </c>
      <c r="B343" t="s">
        <v>291</v>
      </c>
      <c r="C343" s="14" t="s">
        <v>72</v>
      </c>
      <c r="D343" s="12">
        <v>46232</v>
      </c>
      <c r="E343" s="14" t="s">
        <v>420</v>
      </c>
      <c r="F343" s="14" t="s">
        <v>75</v>
      </c>
      <c r="G343">
        <v>3.1774912809962848</v>
      </c>
      <c r="H343">
        <v>1.9</v>
      </c>
      <c r="I343">
        <v>20</v>
      </c>
      <c r="J343">
        <v>1.9</v>
      </c>
      <c r="K343">
        <v>46232</v>
      </c>
      <c r="L343" t="s">
        <v>449</v>
      </c>
      <c r="M343">
        <v>3.7508650519031144</v>
      </c>
      <c r="N343">
        <v>0.59795600742113297</v>
      </c>
      <c r="O343">
        <v>0.59795600742113297</v>
      </c>
      <c r="P343">
        <v>1.180448574111288</v>
      </c>
      <c r="Q343">
        <v>0.18044857411128801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0.40204399257886703</v>
      </c>
      <c r="AA343">
        <v>0</v>
      </c>
      <c r="AB343">
        <v>0</v>
      </c>
      <c r="AC343">
        <v>0</v>
      </c>
      <c r="AD343">
        <v>0</v>
      </c>
      <c r="AE343">
        <v>0.59795600742113297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1.6723638321033079</v>
      </c>
      <c r="AL343">
        <v>1.6723638321033079</v>
      </c>
      <c r="AM343">
        <v>1.9741395010016392</v>
      </c>
      <c r="BD343">
        <v>0</v>
      </c>
      <c r="BE343">
        <v>0</v>
      </c>
      <c r="BF343">
        <v>0</v>
      </c>
      <c r="BH343">
        <v>0.50654981549815492</v>
      </c>
      <c r="BI343">
        <v>0.50654981549815492</v>
      </c>
      <c r="BJ343">
        <v>0.84713559059771792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0.15286440940228208</v>
      </c>
      <c r="BV343">
        <v>0</v>
      </c>
      <c r="BW343">
        <v>0</v>
      </c>
      <c r="BX343">
        <v>0</v>
      </c>
      <c r="BY343">
        <v>0.50654981549815492</v>
      </c>
      <c r="BZ343">
        <v>0</v>
      </c>
      <c r="CA343">
        <v>0</v>
      </c>
      <c r="CB343">
        <v>0</v>
      </c>
      <c r="CC343">
        <v>0</v>
      </c>
      <c r="CD343">
        <v>0</v>
      </c>
    </row>
    <row r="344" spans="1:82" hidden="1" x14ac:dyDescent="0.25">
      <c r="A344" t="s">
        <v>128</v>
      </c>
      <c r="B344" t="s">
        <v>421</v>
      </c>
      <c r="C344" s="14" t="s">
        <v>72</v>
      </c>
      <c r="D344" s="12">
        <v>46233</v>
      </c>
      <c r="E344" s="14" t="s">
        <v>420</v>
      </c>
      <c r="F344" s="14" t="s">
        <v>73</v>
      </c>
      <c r="G344">
        <v>1.869884158948651</v>
      </c>
      <c r="H344">
        <v>1.9</v>
      </c>
      <c r="I344">
        <v>20</v>
      </c>
      <c r="J344">
        <v>1.9</v>
      </c>
      <c r="K344">
        <v>46233</v>
      </c>
      <c r="L344" t="s">
        <v>450</v>
      </c>
      <c r="M344">
        <v>0</v>
      </c>
      <c r="N344">
        <v>1.0161057255377155</v>
      </c>
      <c r="O344">
        <v>1.0161057255377155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1.6105725537715498E-2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0.98414955734139531</v>
      </c>
      <c r="AL344">
        <v>0.98414955734139531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</row>
    <row r="345" spans="1:82" hidden="1" x14ac:dyDescent="0.25">
      <c r="A345" t="s">
        <v>128</v>
      </c>
      <c r="B345" t="s">
        <v>291</v>
      </c>
      <c r="C345" s="14" t="s">
        <v>72</v>
      </c>
      <c r="D345" s="12">
        <v>46233</v>
      </c>
      <c r="E345" s="14" t="s">
        <v>420</v>
      </c>
      <c r="F345" s="14" t="s">
        <v>73</v>
      </c>
      <c r="G345">
        <v>3.6011567851291222</v>
      </c>
      <c r="H345">
        <v>0.95</v>
      </c>
      <c r="I345">
        <v>20</v>
      </c>
      <c r="J345">
        <v>0.95</v>
      </c>
      <c r="K345">
        <v>46233</v>
      </c>
      <c r="L345" t="s">
        <v>450</v>
      </c>
      <c r="M345">
        <v>4.7058823529411749</v>
      </c>
      <c r="N345">
        <v>0.26380412092108813</v>
      </c>
      <c r="O345">
        <v>0.26380412092108813</v>
      </c>
      <c r="P345">
        <v>1.3067696392375878</v>
      </c>
      <c r="Q345">
        <v>0.30676963923758782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0.73619587907891182</v>
      </c>
      <c r="AA345">
        <v>0</v>
      </c>
      <c r="AB345">
        <v>0</v>
      </c>
      <c r="AC345">
        <v>0</v>
      </c>
      <c r="AD345">
        <v>0</v>
      </c>
      <c r="AE345">
        <v>0.26380412092108813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3.7906913527674972</v>
      </c>
      <c r="AL345">
        <v>3.7906913527674972</v>
      </c>
      <c r="AM345">
        <v>4.9535603715170264</v>
      </c>
      <c r="BD345">
        <v>0</v>
      </c>
      <c r="BE345">
        <v>0</v>
      </c>
      <c r="BF345">
        <v>0</v>
      </c>
      <c r="BH345">
        <v>0.20187500000000005</v>
      </c>
      <c r="BI345">
        <v>0.20187500000000005</v>
      </c>
      <c r="BJ345">
        <v>0.76524581683993875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0.23475418316006125</v>
      </c>
      <c r="BV345">
        <v>0</v>
      </c>
      <c r="BW345">
        <v>0</v>
      </c>
      <c r="BX345">
        <v>0</v>
      </c>
      <c r="BY345">
        <v>0.20187500000000005</v>
      </c>
      <c r="BZ345">
        <v>0</v>
      </c>
      <c r="CA345">
        <v>0</v>
      </c>
      <c r="CB345">
        <v>0</v>
      </c>
      <c r="CC345">
        <v>0</v>
      </c>
      <c r="CD345">
        <v>0</v>
      </c>
    </row>
    <row r="346" spans="1:82" hidden="1" x14ac:dyDescent="0.25">
      <c r="A346" t="s">
        <v>128</v>
      </c>
      <c r="B346" t="s">
        <v>422</v>
      </c>
      <c r="C346" s="14" t="s">
        <v>72</v>
      </c>
      <c r="D346" s="12">
        <v>46233</v>
      </c>
      <c r="E346" s="14" t="s">
        <v>420</v>
      </c>
      <c r="F346" s="14" t="s">
        <v>73</v>
      </c>
      <c r="G346">
        <v>3.6011567851291222</v>
      </c>
      <c r="H346">
        <v>1.9</v>
      </c>
      <c r="I346">
        <v>20</v>
      </c>
      <c r="J346">
        <v>1.9</v>
      </c>
      <c r="K346">
        <v>46233</v>
      </c>
      <c r="L346" t="s">
        <v>450</v>
      </c>
      <c r="M346">
        <v>2.4760061919504648</v>
      </c>
      <c r="N346">
        <v>0.52760824184217625</v>
      </c>
      <c r="O346">
        <v>0.52760824184217625</v>
      </c>
      <c r="P346">
        <v>0.68755856511859303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0.15995032327641678</v>
      </c>
      <c r="AA346">
        <v>0.31244143488140697</v>
      </c>
      <c r="AB346">
        <v>0</v>
      </c>
      <c r="AC346">
        <v>0</v>
      </c>
      <c r="AD346">
        <v>0</v>
      </c>
      <c r="AE346">
        <v>0.52760824184217625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1.8953456763837486</v>
      </c>
      <c r="AL346">
        <v>1.8953456763837486</v>
      </c>
      <c r="AM346">
        <v>1.3031611536581393</v>
      </c>
      <c r="BD346">
        <v>0</v>
      </c>
      <c r="BE346">
        <v>0</v>
      </c>
      <c r="BF346">
        <v>0</v>
      </c>
      <c r="BH346">
        <v>0.76736480150046871</v>
      </c>
      <c r="BI346">
        <v>0.76736480150046871</v>
      </c>
      <c r="BJ346">
        <v>1.454421558732987</v>
      </c>
      <c r="BK346">
        <v>0.45442155873298695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0.47239175815782375</v>
      </c>
      <c r="BU346">
        <v>0</v>
      </c>
      <c r="BV346">
        <v>0</v>
      </c>
      <c r="BW346">
        <v>0</v>
      </c>
      <c r="BX346">
        <v>0</v>
      </c>
      <c r="BY346">
        <v>0.76736480150046871</v>
      </c>
      <c r="BZ346">
        <v>0</v>
      </c>
      <c r="CA346">
        <v>0</v>
      </c>
      <c r="CB346">
        <v>0</v>
      </c>
      <c r="CC346">
        <v>0</v>
      </c>
      <c r="CD346">
        <v>0</v>
      </c>
    </row>
    <row r="347" spans="1:82" hidden="1" x14ac:dyDescent="0.25">
      <c r="A347" t="s">
        <v>128</v>
      </c>
      <c r="B347" t="s">
        <v>291</v>
      </c>
      <c r="C347" s="14" t="s">
        <v>72</v>
      </c>
      <c r="D347" s="12">
        <v>46233</v>
      </c>
      <c r="E347" s="14" t="s">
        <v>420</v>
      </c>
      <c r="F347" s="14" t="s">
        <v>74</v>
      </c>
      <c r="G347">
        <v>0</v>
      </c>
      <c r="H347">
        <v>2.8499999999999996</v>
      </c>
      <c r="I347">
        <v>20</v>
      </c>
      <c r="J347">
        <v>2.8499999999999996</v>
      </c>
      <c r="K347">
        <v>46233</v>
      </c>
      <c r="L347" t="s">
        <v>451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D347">
        <v>0</v>
      </c>
    </row>
    <row r="348" spans="1:82" hidden="1" x14ac:dyDescent="0.25">
      <c r="A348" t="s">
        <v>128</v>
      </c>
      <c r="B348" t="s">
        <v>421</v>
      </c>
      <c r="C348" s="14" t="s">
        <v>72</v>
      </c>
      <c r="D348" s="12">
        <v>46233</v>
      </c>
      <c r="E348" s="14" t="s">
        <v>420</v>
      </c>
      <c r="F348" s="14" t="s">
        <v>74</v>
      </c>
      <c r="G348">
        <v>0</v>
      </c>
      <c r="H348">
        <v>0.95</v>
      </c>
      <c r="I348">
        <v>20</v>
      </c>
      <c r="J348">
        <v>0.95</v>
      </c>
      <c r="K348">
        <v>46233</v>
      </c>
      <c r="L348" t="s">
        <v>451</v>
      </c>
      <c r="M348">
        <v>0.92307692307692291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0.97165991902833992</v>
      </c>
      <c r="AI348">
        <v>0</v>
      </c>
      <c r="AJ348">
        <v>0</v>
      </c>
      <c r="AK348">
        <v>0</v>
      </c>
      <c r="AL348">
        <v>0</v>
      </c>
      <c r="AM348">
        <v>0.97165991902833992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2.8340080971660075E-2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G348">
        <v>0</v>
      </c>
      <c r="BH348">
        <v>1.0291666666666668</v>
      </c>
      <c r="BI348">
        <v>1.0291666666666668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2.9166666666666785E-2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1</v>
      </c>
      <c r="CA348">
        <v>2.8340080971660075E-2</v>
      </c>
      <c r="CB348">
        <v>0.97165991902833992</v>
      </c>
      <c r="CD348">
        <v>0</v>
      </c>
    </row>
    <row r="349" spans="1:82" hidden="1" x14ac:dyDescent="0.25">
      <c r="A349" t="s">
        <v>128</v>
      </c>
      <c r="B349" t="s">
        <v>422</v>
      </c>
      <c r="C349" s="14" t="s">
        <v>72</v>
      </c>
      <c r="D349" s="12">
        <v>46233</v>
      </c>
      <c r="E349" s="14" t="s">
        <v>420</v>
      </c>
      <c r="F349" s="14" t="s">
        <v>74</v>
      </c>
      <c r="G349">
        <v>0</v>
      </c>
      <c r="H349">
        <v>0.95</v>
      </c>
      <c r="I349">
        <v>20</v>
      </c>
      <c r="J349">
        <v>0.95</v>
      </c>
      <c r="K349">
        <v>46233</v>
      </c>
      <c r="L349" t="s">
        <v>451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0</v>
      </c>
      <c r="CD349">
        <v>0</v>
      </c>
    </row>
    <row r="350" spans="1:82" hidden="1" x14ac:dyDescent="0.25">
      <c r="A350" t="s">
        <v>128</v>
      </c>
      <c r="B350" t="s">
        <v>422</v>
      </c>
      <c r="C350" s="14" t="s">
        <v>72</v>
      </c>
      <c r="D350" s="12">
        <v>46233</v>
      </c>
      <c r="E350" s="14" t="s">
        <v>420</v>
      </c>
      <c r="F350" s="14" t="s">
        <v>75</v>
      </c>
      <c r="G350">
        <v>3.1774912809962848</v>
      </c>
      <c r="H350">
        <v>0.95</v>
      </c>
      <c r="I350">
        <v>20</v>
      </c>
      <c r="J350">
        <v>0.95</v>
      </c>
      <c r="K350">
        <v>46233</v>
      </c>
      <c r="L350" t="s">
        <v>452</v>
      </c>
      <c r="M350">
        <v>0.61081770169368066</v>
      </c>
      <c r="N350">
        <v>0.29897800371056649</v>
      </c>
      <c r="O350">
        <v>0.29897800371056649</v>
      </c>
      <c r="P350">
        <v>0.1922326916667926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0.70102199628943351</v>
      </c>
      <c r="AB350">
        <v>0</v>
      </c>
      <c r="AC350">
        <v>0.10674531204377388</v>
      </c>
      <c r="AD350">
        <v>0</v>
      </c>
      <c r="AE350">
        <v>0.1922326916667926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3.3447276642066157</v>
      </c>
      <c r="AL350">
        <v>3.3447276642066157</v>
      </c>
      <c r="AM350">
        <v>0.64296600178282182</v>
      </c>
      <c r="BD350">
        <v>0</v>
      </c>
      <c r="BE350">
        <v>0</v>
      </c>
      <c r="BF350">
        <v>0</v>
      </c>
      <c r="BH350">
        <v>1.555292188431723</v>
      </c>
      <c r="BI350">
        <v>1.555292188431723</v>
      </c>
      <c r="BJ350">
        <v>5.2020288085720328</v>
      </c>
      <c r="CA350">
        <v>0</v>
      </c>
      <c r="CB350">
        <v>0</v>
      </c>
      <c r="CC350">
        <v>0</v>
      </c>
    </row>
    <row r="351" spans="1:82" hidden="1" x14ac:dyDescent="0.25">
      <c r="A351" t="s">
        <v>128</v>
      </c>
      <c r="B351" t="s">
        <v>421</v>
      </c>
      <c r="C351" s="14" t="s">
        <v>72</v>
      </c>
      <c r="D351" s="12">
        <v>46233</v>
      </c>
      <c r="E351" s="14" t="s">
        <v>420</v>
      </c>
      <c r="F351" s="14" t="s">
        <v>75</v>
      </c>
      <c r="G351">
        <v>1.4299114156666153</v>
      </c>
      <c r="H351">
        <v>0.95</v>
      </c>
      <c r="I351">
        <v>20</v>
      </c>
      <c r="J351">
        <v>0.95</v>
      </c>
      <c r="K351">
        <v>46233</v>
      </c>
      <c r="L351" t="s">
        <v>452</v>
      </c>
      <c r="M351">
        <v>0.86877828054298623</v>
      </c>
      <c r="N351">
        <v>0.66437682054389102</v>
      </c>
      <c r="O351">
        <v>0.66437682054389102</v>
      </c>
      <c r="P351">
        <v>0.60757489661551345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0.33562317945610898</v>
      </c>
      <c r="AB351">
        <v>0</v>
      </c>
      <c r="AC351">
        <v>5.6801923928377573E-2</v>
      </c>
      <c r="AD351">
        <v>0</v>
      </c>
      <c r="AE351">
        <v>0.60757489661551345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1.5051699112280161</v>
      </c>
      <c r="AL351">
        <v>1.5051699112280161</v>
      </c>
      <c r="AM351">
        <v>0.91450345320314341</v>
      </c>
      <c r="BD351">
        <v>0</v>
      </c>
      <c r="BE351">
        <v>0</v>
      </c>
      <c r="BF351">
        <v>0</v>
      </c>
      <c r="BH351">
        <v>1.0934895833333336</v>
      </c>
      <c r="BI351">
        <v>1.0934895833333336</v>
      </c>
      <c r="BJ351">
        <v>1.6458876190745939</v>
      </c>
      <c r="BK351">
        <v>0.55239803574126034</v>
      </c>
      <c r="BL351">
        <v>0</v>
      </c>
      <c r="BM351">
        <v>0</v>
      </c>
      <c r="BN351">
        <v>0</v>
      </c>
      <c r="BO351">
        <v>0</v>
      </c>
      <c r="BP351">
        <v>0.40651041666666643</v>
      </c>
      <c r="BQ351">
        <v>9.348958333333357E-2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</row>
    <row r="352" spans="1:82" hidden="1" x14ac:dyDescent="0.25">
      <c r="A352" t="s">
        <v>128</v>
      </c>
      <c r="B352" t="s">
        <v>291</v>
      </c>
      <c r="C352" s="14" t="s">
        <v>72</v>
      </c>
      <c r="D352" s="12">
        <v>46233</v>
      </c>
      <c r="E352" s="14" t="s">
        <v>420</v>
      </c>
      <c r="F352" s="14" t="s">
        <v>75</v>
      </c>
      <c r="G352">
        <v>3.1774912809962848</v>
      </c>
      <c r="H352">
        <v>2.8499999999999996</v>
      </c>
      <c r="I352">
        <v>20</v>
      </c>
      <c r="J352">
        <v>2.8499999999999996</v>
      </c>
      <c r="K352">
        <v>46233</v>
      </c>
      <c r="L352" t="s">
        <v>452</v>
      </c>
      <c r="M352">
        <v>3.8062283737024223</v>
      </c>
      <c r="N352">
        <v>0.89693401113169946</v>
      </c>
      <c r="O352">
        <v>0.89693401113169946</v>
      </c>
      <c r="P352">
        <v>1.1978721693011225</v>
      </c>
      <c r="Q352">
        <v>0.1978721693011225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0.10306598886830054</v>
      </c>
      <c r="AA352">
        <v>0</v>
      </c>
      <c r="AB352">
        <v>0</v>
      </c>
      <c r="AC352">
        <v>0</v>
      </c>
      <c r="AD352">
        <v>0</v>
      </c>
      <c r="AE352">
        <v>0.89693401113169946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1.1149092214022054</v>
      </c>
      <c r="AL352">
        <v>1.1149092214022054</v>
      </c>
      <c r="AM352">
        <v>1.3355187276148852</v>
      </c>
      <c r="AN352">
        <v>0.22060950621267983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0.11490922140220539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0.74877272727272715</v>
      </c>
      <c r="BI352">
        <v>0.74877272727272715</v>
      </c>
      <c r="BJ352">
        <v>0.834813618370842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0.165186381629158</v>
      </c>
      <c r="BV352">
        <v>0</v>
      </c>
      <c r="BW352">
        <v>0</v>
      </c>
      <c r="BX352">
        <v>0</v>
      </c>
      <c r="BY352">
        <v>0.74877272727272715</v>
      </c>
      <c r="BZ352">
        <v>0</v>
      </c>
      <c r="CA352">
        <v>0</v>
      </c>
      <c r="CB352">
        <v>0</v>
      </c>
      <c r="CC352">
        <v>0</v>
      </c>
      <c r="CD352">
        <v>0</v>
      </c>
    </row>
    <row r="353" spans="1:82" hidden="1" x14ac:dyDescent="0.25">
      <c r="A353" t="s">
        <v>128</v>
      </c>
      <c r="B353" t="s">
        <v>291</v>
      </c>
      <c r="C353" s="14" t="s">
        <v>72</v>
      </c>
      <c r="D353" s="12">
        <v>46234</v>
      </c>
      <c r="E353" s="14" t="s">
        <v>420</v>
      </c>
      <c r="F353" s="14" t="s">
        <v>73</v>
      </c>
      <c r="G353">
        <v>3.6011567851291235</v>
      </c>
      <c r="H353">
        <v>0.95</v>
      </c>
      <c r="I353">
        <v>20</v>
      </c>
      <c r="J353">
        <v>0.95</v>
      </c>
      <c r="K353">
        <v>46234</v>
      </c>
      <c r="L353" t="s">
        <v>453</v>
      </c>
      <c r="M353">
        <v>3.8235294117647038</v>
      </c>
      <c r="N353">
        <v>0.26380412092108801</v>
      </c>
      <c r="O353">
        <v>0.26380412092108801</v>
      </c>
      <c r="P353">
        <v>1.0617503318805395</v>
      </c>
      <c r="Q353">
        <v>6.1750331880539466E-2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0.73619587907891204</v>
      </c>
      <c r="AA353">
        <v>0</v>
      </c>
      <c r="AB353">
        <v>0</v>
      </c>
      <c r="AC353">
        <v>0</v>
      </c>
      <c r="AD353">
        <v>0</v>
      </c>
      <c r="AE353">
        <v>0.26380412092108801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3.7906913527674986</v>
      </c>
      <c r="AL353">
        <v>3.7906913527674986</v>
      </c>
      <c r="AM353">
        <v>4.0247678018575828</v>
      </c>
      <c r="BD353">
        <v>0</v>
      </c>
      <c r="BE353">
        <v>0</v>
      </c>
      <c r="BF353">
        <v>0</v>
      </c>
      <c r="BH353">
        <v>0.24846153846153859</v>
      </c>
      <c r="BI353">
        <v>0.24846153846153859</v>
      </c>
      <c r="BJ353">
        <v>0.94184100534146353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5.8158994658536467E-2</v>
      </c>
      <c r="BV353">
        <v>0</v>
      </c>
      <c r="BW353">
        <v>0</v>
      </c>
      <c r="BX353">
        <v>0</v>
      </c>
      <c r="BY353">
        <v>0.24846153846153859</v>
      </c>
      <c r="BZ353">
        <v>0</v>
      </c>
      <c r="CA353">
        <v>0</v>
      </c>
      <c r="CB353">
        <v>0</v>
      </c>
      <c r="CC353">
        <v>0</v>
      </c>
      <c r="CD353">
        <v>0</v>
      </c>
    </row>
    <row r="354" spans="1:82" hidden="1" x14ac:dyDescent="0.25">
      <c r="A354" t="s">
        <v>128</v>
      </c>
      <c r="B354" t="s">
        <v>421</v>
      </c>
      <c r="C354" s="14" t="s">
        <v>72</v>
      </c>
      <c r="D354" s="12">
        <v>46234</v>
      </c>
      <c r="E354" s="14" t="s">
        <v>420</v>
      </c>
      <c r="F354" s="14" t="s">
        <v>73</v>
      </c>
      <c r="G354">
        <v>1.869884158948651</v>
      </c>
      <c r="H354">
        <v>1.9</v>
      </c>
      <c r="I354">
        <v>20</v>
      </c>
      <c r="J354">
        <v>1.9</v>
      </c>
      <c r="K354">
        <v>46234</v>
      </c>
      <c r="L354" t="s">
        <v>453</v>
      </c>
      <c r="M354">
        <v>0.92307692307692291</v>
      </c>
      <c r="N354">
        <v>1.0161057255377155</v>
      </c>
      <c r="O354">
        <v>1.0161057255377155</v>
      </c>
      <c r="P354">
        <v>0.49365460350010459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1.6105725537715498E-2</v>
      </c>
      <c r="Z354">
        <v>0</v>
      </c>
      <c r="AA354">
        <v>0</v>
      </c>
      <c r="AB354">
        <v>0</v>
      </c>
      <c r="AC354">
        <v>0.50634539649989541</v>
      </c>
      <c r="AD354">
        <v>0</v>
      </c>
      <c r="AE354">
        <v>0.49365460350010459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0.98414955734139531</v>
      </c>
      <c r="AL354">
        <v>0.98414955734139531</v>
      </c>
      <c r="AM354">
        <v>0.48582995951416996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1.5850442658604691E-2</v>
      </c>
      <c r="AY354">
        <v>0</v>
      </c>
      <c r="AZ354">
        <v>0.49831959782722535</v>
      </c>
      <c r="BA354">
        <v>0</v>
      </c>
      <c r="BB354">
        <v>0.48582995951416996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2.0583333333333336</v>
      </c>
      <c r="BI354">
        <v>2.0583333333333336</v>
      </c>
      <c r="BJ354">
        <v>2.025707838861039</v>
      </c>
      <c r="CA354">
        <v>0</v>
      </c>
      <c r="CB354">
        <v>0</v>
      </c>
      <c r="CC354">
        <v>0</v>
      </c>
    </row>
    <row r="355" spans="1:82" hidden="1" x14ac:dyDescent="0.25">
      <c r="A355" t="s">
        <v>128</v>
      </c>
      <c r="B355" t="s">
        <v>422</v>
      </c>
      <c r="C355" s="14" t="s">
        <v>72</v>
      </c>
      <c r="D355" s="12">
        <v>46234</v>
      </c>
      <c r="E355" s="14" t="s">
        <v>420</v>
      </c>
      <c r="F355" s="14" t="s">
        <v>73</v>
      </c>
      <c r="G355">
        <v>3.6011567851291235</v>
      </c>
      <c r="H355">
        <v>1.9</v>
      </c>
      <c r="I355">
        <v>20</v>
      </c>
      <c r="J355">
        <v>1.9</v>
      </c>
      <c r="K355">
        <v>46234</v>
      </c>
      <c r="L355" t="s">
        <v>453</v>
      </c>
      <c r="M355">
        <v>1.6470588235294119</v>
      </c>
      <c r="N355">
        <v>0.52760824184217603</v>
      </c>
      <c r="O355">
        <v>0.52760824184217603</v>
      </c>
      <c r="P355">
        <v>0.45736937373315578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0.47239175815782397</v>
      </c>
      <c r="AB355">
        <v>0</v>
      </c>
      <c r="AC355">
        <v>7.0238868109020247E-2</v>
      </c>
      <c r="AD355">
        <v>0</v>
      </c>
      <c r="AE355">
        <v>0.45736937373315578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1.8953456763837493</v>
      </c>
      <c r="AL355">
        <v>1.8953456763837493</v>
      </c>
      <c r="AM355">
        <v>0.86687306501548</v>
      </c>
      <c r="BD355">
        <v>0</v>
      </c>
      <c r="BE355">
        <v>0</v>
      </c>
      <c r="BF355">
        <v>0</v>
      </c>
      <c r="BH355">
        <v>1.1535714285714285</v>
      </c>
      <c r="BI355">
        <v>1.1535714285714285</v>
      </c>
      <c r="BJ355">
        <v>2.186416619542682</v>
      </c>
      <c r="BK355">
        <v>1.0328451909712535</v>
      </c>
      <c r="BL355">
        <v>0</v>
      </c>
      <c r="BM355">
        <v>0</v>
      </c>
      <c r="BN355">
        <v>0</v>
      </c>
      <c r="BO355">
        <v>0</v>
      </c>
      <c r="BP355">
        <v>0.34642857142857153</v>
      </c>
      <c r="BQ355">
        <v>0.15357142857142847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</row>
    <row r="356" spans="1:82" hidden="1" x14ac:dyDescent="0.25">
      <c r="A356" t="s">
        <v>128</v>
      </c>
      <c r="B356" t="s">
        <v>291</v>
      </c>
      <c r="C356" s="14" t="s">
        <v>72</v>
      </c>
      <c r="D356" s="12">
        <v>46234</v>
      </c>
      <c r="E356" s="14" t="s">
        <v>420</v>
      </c>
      <c r="F356" s="14" t="s">
        <v>74</v>
      </c>
      <c r="G356">
        <v>0</v>
      </c>
      <c r="H356">
        <v>2.8499999999999996</v>
      </c>
      <c r="I356">
        <v>20</v>
      </c>
      <c r="J356">
        <v>2.8499999999999996</v>
      </c>
      <c r="K356">
        <v>46234</v>
      </c>
      <c r="L356" t="s">
        <v>454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D356">
        <v>0</v>
      </c>
    </row>
    <row r="357" spans="1:82" hidden="1" x14ac:dyDescent="0.25">
      <c r="A357" t="s">
        <v>128</v>
      </c>
      <c r="B357" t="s">
        <v>421</v>
      </c>
      <c r="C357" s="14" t="s">
        <v>72</v>
      </c>
      <c r="D357" s="12">
        <v>46234</v>
      </c>
      <c r="E357" s="14" t="s">
        <v>420</v>
      </c>
      <c r="F357" s="14" t="s">
        <v>74</v>
      </c>
      <c r="G357">
        <v>0</v>
      </c>
      <c r="H357">
        <v>0</v>
      </c>
      <c r="I357">
        <v>20</v>
      </c>
      <c r="J357">
        <v>0</v>
      </c>
      <c r="K357">
        <v>46234</v>
      </c>
      <c r="L357" t="s">
        <v>454</v>
      </c>
      <c r="M357">
        <v>0.92307692307692291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D357">
        <v>0</v>
      </c>
    </row>
    <row r="358" spans="1:82" hidden="1" x14ac:dyDescent="0.25">
      <c r="A358" t="s">
        <v>128</v>
      </c>
      <c r="B358" t="s">
        <v>422</v>
      </c>
      <c r="C358" s="14" t="s">
        <v>72</v>
      </c>
      <c r="D358" s="12">
        <v>46234</v>
      </c>
      <c r="E358" s="14" t="s">
        <v>420</v>
      </c>
      <c r="F358" s="14" t="s">
        <v>74</v>
      </c>
      <c r="G358">
        <v>0</v>
      </c>
      <c r="H358">
        <v>0</v>
      </c>
      <c r="I358">
        <v>20</v>
      </c>
      <c r="J358">
        <v>0</v>
      </c>
      <c r="K358">
        <v>46234</v>
      </c>
      <c r="L358" t="s">
        <v>454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D358">
        <v>0</v>
      </c>
    </row>
    <row r="359" spans="1:82" hidden="1" x14ac:dyDescent="0.25">
      <c r="A359" t="s">
        <v>128</v>
      </c>
      <c r="B359" t="s">
        <v>291</v>
      </c>
      <c r="C359" s="14" t="s">
        <v>72</v>
      </c>
      <c r="D359" s="12">
        <v>46234</v>
      </c>
      <c r="E359" s="14" t="s">
        <v>420</v>
      </c>
      <c r="F359" s="14" t="s">
        <v>75</v>
      </c>
      <c r="G359">
        <v>3.1774912809962848</v>
      </c>
      <c r="H359">
        <v>2.8499999999999996</v>
      </c>
      <c r="I359">
        <v>20</v>
      </c>
      <c r="J359">
        <v>2.8499999999999996</v>
      </c>
      <c r="K359">
        <v>46234</v>
      </c>
      <c r="L359" t="s">
        <v>455</v>
      </c>
      <c r="M359">
        <v>3.7543252595155705</v>
      </c>
      <c r="N359">
        <v>0.89693401113169946</v>
      </c>
      <c r="O359">
        <v>0.89693401113169946</v>
      </c>
      <c r="P359">
        <v>1.1815375488106525</v>
      </c>
      <c r="Q359">
        <v>0.18153754881065254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0.10306598886830054</v>
      </c>
      <c r="AA359">
        <v>0</v>
      </c>
      <c r="AB359">
        <v>0</v>
      </c>
      <c r="AC359">
        <v>0</v>
      </c>
      <c r="AD359">
        <v>0</v>
      </c>
      <c r="AE359">
        <v>0.89693401113169946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1.1149092214022054</v>
      </c>
      <c r="AL359">
        <v>1.1149092214022054</v>
      </c>
      <c r="AM359">
        <v>1.3173071086019548</v>
      </c>
      <c r="AN359">
        <v>0.20239788719974938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0.11490922140220539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0.75912442396313362</v>
      </c>
      <c r="BI359">
        <v>0.75912442396313362</v>
      </c>
      <c r="BJ359">
        <v>0.84635482046813493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0.15364517953186507</v>
      </c>
      <c r="BV359">
        <v>0</v>
      </c>
      <c r="BW359">
        <v>0</v>
      </c>
      <c r="BX359">
        <v>0</v>
      </c>
      <c r="BY359">
        <v>0.75912442396313362</v>
      </c>
      <c r="BZ359">
        <v>0</v>
      </c>
      <c r="CA359">
        <v>0</v>
      </c>
      <c r="CB359">
        <v>0</v>
      </c>
      <c r="CC359">
        <v>0</v>
      </c>
      <c r="CD359">
        <v>0</v>
      </c>
    </row>
    <row r="360" spans="1:82" hidden="1" x14ac:dyDescent="0.25">
      <c r="A360" t="s">
        <v>128</v>
      </c>
      <c r="B360" t="s">
        <v>421</v>
      </c>
      <c r="C360" s="14" t="s">
        <v>72</v>
      </c>
      <c r="D360" s="12">
        <v>46234</v>
      </c>
      <c r="E360" s="14" t="s">
        <v>420</v>
      </c>
      <c r="F360" s="14" t="s">
        <v>75</v>
      </c>
      <c r="G360">
        <v>1.4299114156666153</v>
      </c>
      <c r="H360">
        <v>0</v>
      </c>
      <c r="I360">
        <v>20</v>
      </c>
      <c r="J360">
        <v>0</v>
      </c>
      <c r="K360">
        <v>46234</v>
      </c>
      <c r="L360" t="s">
        <v>455</v>
      </c>
      <c r="M360">
        <v>0.97737556561085948</v>
      </c>
      <c r="N360">
        <v>0</v>
      </c>
      <c r="O360">
        <v>0</v>
      </c>
      <c r="P360">
        <v>0.68352175869245257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0.68352175869245257</v>
      </c>
      <c r="AA360">
        <v>0.31647824130754743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H360">
        <v>0</v>
      </c>
      <c r="BI360">
        <v>0</v>
      </c>
      <c r="BJ360">
        <v>1.4630112169551948</v>
      </c>
      <c r="BK360">
        <v>0.46301121695519476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</row>
    <row r="361" spans="1:82" hidden="1" x14ac:dyDescent="0.25">
      <c r="A361" t="s">
        <v>128</v>
      </c>
      <c r="B361" t="s">
        <v>422</v>
      </c>
      <c r="C361" s="14" t="s">
        <v>72</v>
      </c>
      <c r="D361" s="12">
        <v>46234</v>
      </c>
      <c r="E361" s="14" t="s">
        <v>420</v>
      </c>
      <c r="F361" s="14" t="s">
        <v>75</v>
      </c>
      <c r="G361">
        <v>3.1774912809962848</v>
      </c>
      <c r="H361">
        <v>0</v>
      </c>
      <c r="I361">
        <v>20</v>
      </c>
      <c r="J361">
        <v>0</v>
      </c>
      <c r="K361">
        <v>46234</v>
      </c>
      <c r="L361" t="s">
        <v>455</v>
      </c>
      <c r="M361">
        <v>0.33217993079584773</v>
      </c>
      <c r="N361">
        <v>0</v>
      </c>
      <c r="O361">
        <v>0</v>
      </c>
      <c r="P361">
        <v>0.10454157113900704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0.10454157113900704</v>
      </c>
      <c r="AA361">
        <v>0.89545842886099292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H361">
        <v>0</v>
      </c>
      <c r="BI361">
        <v>0</v>
      </c>
      <c r="BJ361">
        <v>9.5655727104992323</v>
      </c>
      <c r="BK361">
        <v>8.5655727104992323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</row>
    <row r="362" spans="1:82" hidden="1" x14ac:dyDescent="0.25">
      <c r="A362" t="s">
        <v>128</v>
      </c>
      <c r="B362" t="s">
        <v>422</v>
      </c>
      <c r="C362" s="14" t="s">
        <v>72</v>
      </c>
      <c r="D362" s="12">
        <v>46235</v>
      </c>
      <c r="E362" s="14" t="s">
        <v>420</v>
      </c>
      <c r="F362" s="14" t="s">
        <v>73</v>
      </c>
      <c r="G362">
        <v>3.6011567851291222</v>
      </c>
      <c r="H362">
        <v>0.95</v>
      </c>
      <c r="I362">
        <v>20</v>
      </c>
      <c r="J362">
        <v>0.95</v>
      </c>
      <c r="K362">
        <v>46235</v>
      </c>
      <c r="L362" t="s">
        <v>456</v>
      </c>
      <c r="M362">
        <v>0</v>
      </c>
      <c r="N362">
        <v>0.26380412092108813</v>
      </c>
      <c r="O362">
        <v>0.26380412092108813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0.73619587907891182</v>
      </c>
      <c r="AB362">
        <v>0</v>
      </c>
      <c r="AC362">
        <v>0</v>
      </c>
      <c r="AD362">
        <v>0</v>
      </c>
      <c r="AE362">
        <v>0</v>
      </c>
      <c r="AF362">
        <v>0.26380412092108813</v>
      </c>
      <c r="AG362">
        <v>0</v>
      </c>
      <c r="AH362">
        <v>0</v>
      </c>
      <c r="AI362">
        <v>0</v>
      </c>
      <c r="AJ362">
        <v>0</v>
      </c>
      <c r="AK362">
        <v>3.7906913527674972</v>
      </c>
      <c r="AL362">
        <v>3.7906913527674972</v>
      </c>
      <c r="AM362">
        <v>0</v>
      </c>
      <c r="BD362">
        <v>0</v>
      </c>
      <c r="BE362">
        <v>0</v>
      </c>
      <c r="BF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</row>
    <row r="363" spans="1:82" hidden="1" x14ac:dyDescent="0.25">
      <c r="A363" t="s">
        <v>128</v>
      </c>
      <c r="B363" t="s">
        <v>291</v>
      </c>
      <c r="C363" s="14" t="s">
        <v>72</v>
      </c>
      <c r="D363" s="12">
        <v>46235</v>
      </c>
      <c r="E363" s="14" t="s">
        <v>420</v>
      </c>
      <c r="F363" s="14" t="s">
        <v>73</v>
      </c>
      <c r="G363">
        <v>3.6011567851291222</v>
      </c>
      <c r="H363">
        <v>1.9</v>
      </c>
      <c r="I363">
        <v>20</v>
      </c>
      <c r="J363">
        <v>1.9</v>
      </c>
      <c r="K363">
        <v>46235</v>
      </c>
      <c r="L363" t="s">
        <v>456</v>
      </c>
      <c r="M363">
        <v>3.7647058823529393</v>
      </c>
      <c r="N363">
        <v>0.52760824184217625</v>
      </c>
      <c r="O363">
        <v>0.52760824184217625</v>
      </c>
      <c r="P363">
        <v>1.0454157113900702</v>
      </c>
      <c r="Q363">
        <v>4.5415711390070168E-2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0.47239175815782375</v>
      </c>
      <c r="AA363">
        <v>0</v>
      </c>
      <c r="AB363">
        <v>0</v>
      </c>
      <c r="AC363">
        <v>0</v>
      </c>
      <c r="AD363">
        <v>0</v>
      </c>
      <c r="AE363">
        <v>0.52760824184217625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1.8953456763837486</v>
      </c>
      <c r="AL363">
        <v>1.8953456763837486</v>
      </c>
      <c r="AM363">
        <v>1.9814241486068103</v>
      </c>
      <c r="BD363">
        <v>0</v>
      </c>
      <c r="BE363">
        <v>0</v>
      </c>
      <c r="BF363">
        <v>0</v>
      </c>
      <c r="BH363">
        <v>0.50468750000000018</v>
      </c>
      <c r="BI363">
        <v>0.50468750000000018</v>
      </c>
      <c r="BJ363">
        <v>0.9565572710499235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4.3442728950076503E-2</v>
      </c>
      <c r="BV363">
        <v>0</v>
      </c>
      <c r="BW363">
        <v>0</v>
      </c>
      <c r="BX363">
        <v>0</v>
      </c>
      <c r="BY363">
        <v>0.50468750000000018</v>
      </c>
      <c r="BZ363">
        <v>0</v>
      </c>
      <c r="CA363">
        <v>0</v>
      </c>
      <c r="CB363">
        <v>0</v>
      </c>
      <c r="CC363">
        <v>0</v>
      </c>
      <c r="CD363">
        <v>0</v>
      </c>
    </row>
    <row r="364" spans="1:82" hidden="1" x14ac:dyDescent="0.25">
      <c r="A364" t="s">
        <v>128</v>
      </c>
      <c r="B364" t="s">
        <v>421</v>
      </c>
      <c r="C364" s="14" t="s">
        <v>72</v>
      </c>
      <c r="D364" s="12">
        <v>46235</v>
      </c>
      <c r="E364" s="14" t="s">
        <v>420</v>
      </c>
      <c r="F364" s="14" t="s">
        <v>73</v>
      </c>
      <c r="G364">
        <v>1.869884158948651</v>
      </c>
      <c r="H364">
        <v>0.95</v>
      </c>
      <c r="I364">
        <v>20</v>
      </c>
      <c r="J364">
        <v>0.95</v>
      </c>
      <c r="K364">
        <v>46235</v>
      </c>
      <c r="L364" t="s">
        <v>456</v>
      </c>
      <c r="M364">
        <v>0.92307692307692291</v>
      </c>
      <c r="N364">
        <v>0.50805286276885775</v>
      </c>
      <c r="O364">
        <v>0.50805286276885775</v>
      </c>
      <c r="P364">
        <v>0.49365460350010459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0.49194713723114225</v>
      </c>
      <c r="AB364">
        <v>0</v>
      </c>
      <c r="AC364">
        <v>1.4398259268753155E-2</v>
      </c>
      <c r="AD364">
        <v>0</v>
      </c>
      <c r="AE364">
        <v>0.49365460350010459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1.9682991146827906</v>
      </c>
      <c r="AL364">
        <v>1.9682991146827906</v>
      </c>
      <c r="AM364">
        <v>0.97165991902833992</v>
      </c>
      <c r="BD364">
        <v>0</v>
      </c>
      <c r="BE364">
        <v>0</v>
      </c>
      <c r="BF364">
        <v>0</v>
      </c>
      <c r="BH364">
        <v>1.0291666666666668</v>
      </c>
      <c r="BI364">
        <v>1.0291666666666668</v>
      </c>
      <c r="BJ364">
        <v>2.025707838861039</v>
      </c>
      <c r="BK364">
        <v>0.99654117219437222</v>
      </c>
      <c r="BL364">
        <v>0</v>
      </c>
      <c r="BM364">
        <v>0</v>
      </c>
      <c r="BN364">
        <v>0</v>
      </c>
      <c r="BO364">
        <v>0</v>
      </c>
      <c r="BP364">
        <v>0.47083333333333321</v>
      </c>
      <c r="BQ364">
        <v>2.9166666666666785E-2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</row>
    <row r="365" spans="1:82" hidden="1" x14ac:dyDescent="0.25">
      <c r="A365" t="s">
        <v>128</v>
      </c>
      <c r="B365" t="s">
        <v>422</v>
      </c>
      <c r="C365" s="14" t="s">
        <v>72</v>
      </c>
      <c r="D365" s="12">
        <v>46235</v>
      </c>
      <c r="E365" s="14" t="s">
        <v>420</v>
      </c>
      <c r="F365" s="14" t="s">
        <v>74</v>
      </c>
      <c r="G365">
        <v>0</v>
      </c>
      <c r="H365">
        <v>0.95</v>
      </c>
      <c r="I365">
        <v>20</v>
      </c>
      <c r="J365">
        <v>0.95</v>
      </c>
      <c r="K365">
        <v>46235</v>
      </c>
      <c r="L365" t="s">
        <v>457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0</v>
      </c>
      <c r="CD365">
        <v>0</v>
      </c>
    </row>
    <row r="366" spans="1:82" hidden="1" x14ac:dyDescent="0.25">
      <c r="A366" t="s">
        <v>128</v>
      </c>
      <c r="B366" t="s">
        <v>291</v>
      </c>
      <c r="C366" s="14" t="s">
        <v>72</v>
      </c>
      <c r="D366" s="12">
        <v>46235</v>
      </c>
      <c r="E366" s="14" t="s">
        <v>420</v>
      </c>
      <c r="F366" s="14" t="s">
        <v>74</v>
      </c>
      <c r="G366">
        <v>0</v>
      </c>
      <c r="H366">
        <v>9.5</v>
      </c>
      <c r="I366">
        <v>20</v>
      </c>
      <c r="J366">
        <v>9.5</v>
      </c>
      <c r="K366">
        <v>46235</v>
      </c>
      <c r="L366" t="s">
        <v>457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D366">
        <v>0</v>
      </c>
    </row>
    <row r="367" spans="1:82" hidden="1" x14ac:dyDescent="0.25">
      <c r="A367" t="s">
        <v>128</v>
      </c>
      <c r="B367" t="s">
        <v>421</v>
      </c>
      <c r="C367" s="14" t="s">
        <v>72</v>
      </c>
      <c r="D367" s="12">
        <v>46235</v>
      </c>
      <c r="E367" s="14" t="s">
        <v>420</v>
      </c>
      <c r="F367" s="14" t="s">
        <v>74</v>
      </c>
      <c r="G367">
        <v>0</v>
      </c>
      <c r="H367">
        <v>0.95</v>
      </c>
      <c r="I367">
        <v>20</v>
      </c>
      <c r="J367">
        <v>0.95</v>
      </c>
      <c r="K367">
        <v>46235</v>
      </c>
      <c r="L367" t="s">
        <v>457</v>
      </c>
      <c r="M367">
        <v>0.92307692307692291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0.97165991902833992</v>
      </c>
      <c r="AI367">
        <v>0</v>
      </c>
      <c r="AJ367">
        <v>0</v>
      </c>
      <c r="AK367">
        <v>0</v>
      </c>
      <c r="AL367">
        <v>0</v>
      </c>
      <c r="AM367">
        <v>0.97165991902833992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2.8340080971660075E-2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G367">
        <v>0</v>
      </c>
      <c r="BH367">
        <v>1.0291666666666668</v>
      </c>
      <c r="BI367">
        <v>1.0291666666666668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2.9166666666666785E-2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1</v>
      </c>
      <c r="CA367">
        <v>2.8340080971660075E-2</v>
      </c>
      <c r="CB367">
        <v>0.97165991902833992</v>
      </c>
      <c r="CD367">
        <v>0</v>
      </c>
    </row>
    <row r="368" spans="1:82" hidden="1" x14ac:dyDescent="0.25">
      <c r="A368" t="s">
        <v>128</v>
      </c>
      <c r="B368" t="s">
        <v>291</v>
      </c>
      <c r="C368" s="14" t="s">
        <v>72</v>
      </c>
      <c r="D368" s="12">
        <v>46235</v>
      </c>
      <c r="E368" s="14" t="s">
        <v>420</v>
      </c>
      <c r="F368" s="14" t="s">
        <v>75</v>
      </c>
      <c r="G368">
        <v>3.2304494690128904</v>
      </c>
      <c r="H368">
        <v>3.8</v>
      </c>
      <c r="I368">
        <v>20</v>
      </c>
      <c r="J368">
        <v>3.8</v>
      </c>
      <c r="K368">
        <v>46235</v>
      </c>
      <c r="L368" t="s">
        <v>458</v>
      </c>
      <c r="M368">
        <v>3.7508650519031144</v>
      </c>
      <c r="N368">
        <v>1.1763068998448516</v>
      </c>
      <c r="O368">
        <v>1.1763068998448516</v>
      </c>
      <c r="P368">
        <v>1.1610969581422501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0.16109695814225011</v>
      </c>
      <c r="X368">
        <v>0</v>
      </c>
      <c r="Y368">
        <v>1.5209941702601482E-2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0.85011828131918177</v>
      </c>
      <c r="AL368">
        <v>0.85011828131918177</v>
      </c>
      <c r="AM368">
        <v>0.98706975050081958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1.2930249499180424E-2</v>
      </c>
      <c r="AY368">
        <v>0</v>
      </c>
      <c r="AZ368">
        <v>0</v>
      </c>
      <c r="BA368">
        <v>0</v>
      </c>
      <c r="BB368">
        <v>0.85011828131918177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1.0130996309963098</v>
      </c>
      <c r="BI368">
        <v>1.0130996309963098</v>
      </c>
      <c r="BJ368">
        <v>0.8612545171076802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1.3099630996309841E-2</v>
      </c>
      <c r="BT368">
        <v>0</v>
      </c>
      <c r="BU368">
        <v>0</v>
      </c>
      <c r="BV368">
        <v>0</v>
      </c>
      <c r="BW368">
        <v>0.1387454828923198</v>
      </c>
      <c r="BX368">
        <v>0</v>
      </c>
      <c r="BY368">
        <v>0.8612545171076802</v>
      </c>
      <c r="BZ368">
        <v>0</v>
      </c>
      <c r="CA368">
        <v>0</v>
      </c>
      <c r="CB368">
        <v>0</v>
      </c>
      <c r="CC368">
        <v>0</v>
      </c>
      <c r="CD368">
        <v>0</v>
      </c>
    </row>
    <row r="369" spans="1:82" hidden="1" x14ac:dyDescent="0.25">
      <c r="A369" t="s">
        <v>128</v>
      </c>
      <c r="B369" t="s">
        <v>422</v>
      </c>
      <c r="C369" s="14" t="s">
        <v>72</v>
      </c>
      <c r="D369" s="12">
        <v>46235</v>
      </c>
      <c r="E369" s="14" t="s">
        <v>420</v>
      </c>
      <c r="F369" s="14" t="s">
        <v>75</v>
      </c>
      <c r="G369">
        <v>3.2304494690128904</v>
      </c>
      <c r="H369">
        <v>0</v>
      </c>
      <c r="I369">
        <v>20</v>
      </c>
      <c r="J369">
        <v>0</v>
      </c>
      <c r="K369">
        <v>46235</v>
      </c>
      <c r="L369" t="s">
        <v>458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</row>
    <row r="370" spans="1:82" hidden="1" x14ac:dyDescent="0.25">
      <c r="A370" t="s">
        <v>128</v>
      </c>
      <c r="B370" t="s">
        <v>421</v>
      </c>
      <c r="C370" s="14" t="s">
        <v>72</v>
      </c>
      <c r="D370" s="12">
        <v>46235</v>
      </c>
      <c r="E370" s="14" t="s">
        <v>420</v>
      </c>
      <c r="F370" s="14" t="s">
        <v>75</v>
      </c>
      <c r="G370">
        <v>1.4299114156666153</v>
      </c>
      <c r="H370">
        <v>0</v>
      </c>
      <c r="I370">
        <v>20</v>
      </c>
      <c r="J370">
        <v>0</v>
      </c>
      <c r="K370">
        <v>46235</v>
      </c>
      <c r="L370" t="s">
        <v>458</v>
      </c>
      <c r="M370">
        <v>0.92307692307692291</v>
      </c>
      <c r="N370">
        <v>0</v>
      </c>
      <c r="O370">
        <v>0</v>
      </c>
      <c r="P370">
        <v>0.64554832765398307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0.64554832765398307</v>
      </c>
      <c r="AA370">
        <v>0.35445167234601693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H370">
        <v>0</v>
      </c>
      <c r="BI370">
        <v>0</v>
      </c>
      <c r="BJ370">
        <v>1.5490707003055002</v>
      </c>
      <c r="BK370">
        <v>0.5490707003055002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</row>
    <row r="371" spans="1:82" hidden="1" x14ac:dyDescent="0.25">
      <c r="A371" t="s">
        <v>128</v>
      </c>
      <c r="B371" t="s">
        <v>422</v>
      </c>
      <c r="C371" s="14" t="s">
        <v>72</v>
      </c>
      <c r="D371" s="12">
        <v>46236</v>
      </c>
      <c r="E371" s="14" t="s">
        <v>420</v>
      </c>
      <c r="F371" s="14" t="s">
        <v>73</v>
      </c>
      <c r="G371">
        <v>3.6011567851291222</v>
      </c>
      <c r="H371">
        <v>0</v>
      </c>
      <c r="I371">
        <v>20</v>
      </c>
      <c r="J371">
        <v>0</v>
      </c>
      <c r="K371">
        <v>46236</v>
      </c>
      <c r="L371" t="s">
        <v>459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</row>
    <row r="372" spans="1:82" hidden="1" x14ac:dyDescent="0.25">
      <c r="A372" t="s">
        <v>128</v>
      </c>
      <c r="B372" t="s">
        <v>291</v>
      </c>
      <c r="C372" s="14" t="s">
        <v>72</v>
      </c>
      <c r="D372" s="12">
        <v>46236</v>
      </c>
      <c r="E372" s="14" t="s">
        <v>420</v>
      </c>
      <c r="F372" s="14" t="s">
        <v>73</v>
      </c>
      <c r="G372">
        <v>3.6011567851291222</v>
      </c>
      <c r="H372">
        <v>2.8499999999999996</v>
      </c>
      <c r="I372">
        <v>20</v>
      </c>
      <c r="J372">
        <v>2.8499999999999996</v>
      </c>
      <c r="K372">
        <v>46236</v>
      </c>
      <c r="L372" t="s">
        <v>459</v>
      </c>
      <c r="M372">
        <v>3.8235294117647038</v>
      </c>
      <c r="N372">
        <v>0.79141236276326432</v>
      </c>
      <c r="O372">
        <v>0.79141236276326432</v>
      </c>
      <c r="P372">
        <v>1.0617503318805399</v>
      </c>
      <c r="Q372">
        <v>6.175033188053991E-2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0.20858763723673568</v>
      </c>
      <c r="AA372">
        <v>0</v>
      </c>
      <c r="AB372">
        <v>0</v>
      </c>
      <c r="AC372">
        <v>0</v>
      </c>
      <c r="AD372">
        <v>0</v>
      </c>
      <c r="AE372">
        <v>0.79141236276326432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1.2635637842558325</v>
      </c>
      <c r="AL372">
        <v>1.2635637842558325</v>
      </c>
      <c r="AM372">
        <v>1.3415892672858611</v>
      </c>
      <c r="AN372">
        <v>7.8025483030028653E-2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0.26356378425583249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0.74538461538461565</v>
      </c>
      <c r="BI372">
        <v>0.74538461538461565</v>
      </c>
      <c r="BJ372">
        <v>0.9418410053414632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5.81589946585368E-2</v>
      </c>
      <c r="BV372">
        <v>0</v>
      </c>
      <c r="BW372">
        <v>0</v>
      </c>
      <c r="BX372">
        <v>0</v>
      </c>
      <c r="BY372">
        <v>0.74538461538461565</v>
      </c>
      <c r="BZ372">
        <v>0</v>
      </c>
      <c r="CA372">
        <v>0</v>
      </c>
      <c r="CB372">
        <v>0</v>
      </c>
      <c r="CC372">
        <v>0</v>
      </c>
      <c r="CD372">
        <v>0</v>
      </c>
    </row>
    <row r="373" spans="1:82" hidden="1" x14ac:dyDescent="0.25">
      <c r="A373" t="s">
        <v>128</v>
      </c>
      <c r="B373" t="s">
        <v>421</v>
      </c>
      <c r="C373" s="14" t="s">
        <v>72</v>
      </c>
      <c r="D373" s="12">
        <v>46236</v>
      </c>
      <c r="E373" s="14" t="s">
        <v>420</v>
      </c>
      <c r="F373" s="14" t="s">
        <v>73</v>
      </c>
      <c r="G373">
        <v>1.869884158948651</v>
      </c>
      <c r="H373">
        <v>0</v>
      </c>
      <c r="I373">
        <v>20</v>
      </c>
      <c r="J373">
        <v>0</v>
      </c>
      <c r="K373">
        <v>46236</v>
      </c>
      <c r="L373" t="s">
        <v>459</v>
      </c>
      <c r="M373">
        <v>0.92307692307692291</v>
      </c>
      <c r="N373">
        <v>0</v>
      </c>
      <c r="O373">
        <v>0</v>
      </c>
      <c r="P373">
        <v>0.49365460350010459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0.49365460350010459</v>
      </c>
      <c r="AA373">
        <v>0.50634539649989541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H373">
        <v>0</v>
      </c>
      <c r="BI373">
        <v>0</v>
      </c>
      <c r="BJ373">
        <v>2.025707838861039</v>
      </c>
      <c r="BK373">
        <v>1.025707838861039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</row>
    <row r="374" spans="1:82" hidden="1" x14ac:dyDescent="0.25">
      <c r="A374" t="s">
        <v>128</v>
      </c>
      <c r="B374" t="s">
        <v>422</v>
      </c>
      <c r="C374" s="14" t="s">
        <v>72</v>
      </c>
      <c r="D374" s="12">
        <v>46236</v>
      </c>
      <c r="E374" s="14" t="s">
        <v>420</v>
      </c>
      <c r="F374" s="14" t="s">
        <v>74</v>
      </c>
      <c r="G374">
        <v>0</v>
      </c>
      <c r="H374">
        <v>0.95</v>
      </c>
      <c r="I374">
        <v>20</v>
      </c>
      <c r="J374">
        <v>0.95</v>
      </c>
      <c r="K374">
        <v>46236</v>
      </c>
      <c r="L374" t="s">
        <v>460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0</v>
      </c>
      <c r="CD374">
        <v>0</v>
      </c>
    </row>
    <row r="375" spans="1:82" hidden="1" x14ac:dyDescent="0.25">
      <c r="A375" t="s">
        <v>128</v>
      </c>
      <c r="B375" t="s">
        <v>421</v>
      </c>
      <c r="C375" s="14" t="s">
        <v>72</v>
      </c>
      <c r="D375" s="12">
        <v>46236</v>
      </c>
      <c r="E375" s="14" t="s">
        <v>420</v>
      </c>
      <c r="F375" s="14" t="s">
        <v>74</v>
      </c>
      <c r="G375">
        <v>0</v>
      </c>
      <c r="H375">
        <v>0.95</v>
      </c>
      <c r="I375">
        <v>20</v>
      </c>
      <c r="J375">
        <v>0.95</v>
      </c>
      <c r="K375">
        <v>46236</v>
      </c>
      <c r="L375" t="s">
        <v>460</v>
      </c>
      <c r="M375">
        <v>0.92307692307692291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0.97165991902833992</v>
      </c>
      <c r="AI375">
        <v>0</v>
      </c>
      <c r="AJ375">
        <v>0</v>
      </c>
      <c r="AK375">
        <v>0</v>
      </c>
      <c r="AL375">
        <v>0</v>
      </c>
      <c r="AM375">
        <v>0.97165991902833992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2.8340080971660075E-2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G375">
        <v>0</v>
      </c>
      <c r="BH375">
        <v>1.0291666666666668</v>
      </c>
      <c r="BI375">
        <v>1.0291666666666668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2.9166666666666785E-2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1</v>
      </c>
      <c r="CA375">
        <v>2.8340080971660075E-2</v>
      </c>
      <c r="CB375">
        <v>0.97165991902833992</v>
      </c>
      <c r="CD375">
        <v>0</v>
      </c>
    </row>
    <row r="376" spans="1:82" hidden="1" x14ac:dyDescent="0.25">
      <c r="A376" t="s">
        <v>128</v>
      </c>
      <c r="B376" t="s">
        <v>291</v>
      </c>
      <c r="C376" s="14" t="s">
        <v>72</v>
      </c>
      <c r="D376" s="12">
        <v>46236</v>
      </c>
      <c r="E376" s="14" t="s">
        <v>420</v>
      </c>
      <c r="F376" s="14" t="s">
        <v>74</v>
      </c>
      <c r="G376">
        <v>0</v>
      </c>
      <c r="H376">
        <v>2.8499999999999996</v>
      </c>
      <c r="I376">
        <v>20</v>
      </c>
      <c r="J376">
        <v>2.8499999999999996</v>
      </c>
      <c r="K376">
        <v>46236</v>
      </c>
      <c r="L376" t="s">
        <v>460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D376">
        <v>0</v>
      </c>
    </row>
    <row r="377" spans="1:82" hidden="1" x14ac:dyDescent="0.25">
      <c r="A377" t="s">
        <v>128</v>
      </c>
      <c r="B377" t="s">
        <v>421</v>
      </c>
      <c r="C377" s="14" t="s">
        <v>72</v>
      </c>
      <c r="D377" s="12">
        <v>46236</v>
      </c>
      <c r="E377" s="14" t="s">
        <v>420</v>
      </c>
      <c r="F377" s="14" t="s">
        <v>75</v>
      </c>
      <c r="G377">
        <v>1.4299114156666153</v>
      </c>
      <c r="H377">
        <v>0.95</v>
      </c>
      <c r="I377">
        <v>20</v>
      </c>
      <c r="J377">
        <v>0.95</v>
      </c>
      <c r="K377">
        <v>46236</v>
      </c>
      <c r="L377" t="s">
        <v>461</v>
      </c>
      <c r="M377">
        <v>0.92307692307692291</v>
      </c>
      <c r="N377">
        <v>0.66437682054389102</v>
      </c>
      <c r="O377">
        <v>0.66437682054389102</v>
      </c>
      <c r="P377">
        <v>0.64554832765398307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0.33562317945610898</v>
      </c>
      <c r="AB377">
        <v>0</v>
      </c>
      <c r="AC377">
        <v>1.8828492889907955E-2</v>
      </c>
      <c r="AD377">
        <v>0</v>
      </c>
      <c r="AE377">
        <v>0.64554832765398307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1.5051699112280161</v>
      </c>
      <c r="AL377">
        <v>1.5051699112280161</v>
      </c>
      <c r="AM377">
        <v>0.97165991902833992</v>
      </c>
      <c r="BD377">
        <v>0</v>
      </c>
      <c r="BE377">
        <v>0</v>
      </c>
      <c r="BF377">
        <v>0</v>
      </c>
      <c r="BH377">
        <v>1.0291666666666668</v>
      </c>
      <c r="BI377">
        <v>1.0291666666666668</v>
      </c>
      <c r="BJ377">
        <v>1.5490707003055002</v>
      </c>
      <c r="BK377">
        <v>0.51990403363883342</v>
      </c>
      <c r="BL377">
        <v>0</v>
      </c>
      <c r="BM377">
        <v>0</v>
      </c>
      <c r="BN377">
        <v>0</v>
      </c>
      <c r="BO377">
        <v>0</v>
      </c>
      <c r="BP377">
        <v>0.47083333333333321</v>
      </c>
      <c r="BQ377">
        <v>2.9166666666666785E-2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</row>
    <row r="378" spans="1:82" hidden="1" x14ac:dyDescent="0.25">
      <c r="A378" t="s">
        <v>128</v>
      </c>
      <c r="B378" t="s">
        <v>422</v>
      </c>
      <c r="C378" s="14" t="s">
        <v>72</v>
      </c>
      <c r="D378" s="12">
        <v>46236</v>
      </c>
      <c r="E378" s="14" t="s">
        <v>420</v>
      </c>
      <c r="F378" s="14" t="s">
        <v>75</v>
      </c>
      <c r="G378">
        <v>3.1774912809962856</v>
      </c>
      <c r="H378">
        <v>0.95</v>
      </c>
      <c r="I378">
        <v>20</v>
      </c>
      <c r="J378">
        <v>0.95</v>
      </c>
      <c r="K378">
        <v>46236</v>
      </c>
      <c r="L378" t="s">
        <v>461</v>
      </c>
      <c r="M378">
        <v>0</v>
      </c>
      <c r="N378">
        <v>0.29897800371056643</v>
      </c>
      <c r="O378">
        <v>0.29897800371056643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0.70102199628943351</v>
      </c>
      <c r="AB378">
        <v>0</v>
      </c>
      <c r="AC378">
        <v>0</v>
      </c>
      <c r="AD378">
        <v>0</v>
      </c>
      <c r="AE378">
        <v>0</v>
      </c>
      <c r="AF378">
        <v>0.29897800371056643</v>
      </c>
      <c r="AG378">
        <v>0</v>
      </c>
      <c r="AH378">
        <v>0</v>
      </c>
      <c r="AI378">
        <v>0</v>
      </c>
      <c r="AJ378">
        <v>0</v>
      </c>
      <c r="AK378">
        <v>3.3447276642066166</v>
      </c>
      <c r="AL378">
        <v>3.3447276642066166</v>
      </c>
      <c r="AM378">
        <v>0</v>
      </c>
      <c r="BD378">
        <v>0</v>
      </c>
      <c r="BE378">
        <v>0</v>
      </c>
      <c r="BF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</row>
    <row r="379" spans="1:82" hidden="1" x14ac:dyDescent="0.25">
      <c r="A379" t="s">
        <v>128</v>
      </c>
      <c r="B379" t="s">
        <v>291</v>
      </c>
      <c r="C379" s="14" t="s">
        <v>72</v>
      </c>
      <c r="D379" s="12">
        <v>46236</v>
      </c>
      <c r="E379" s="14" t="s">
        <v>420</v>
      </c>
      <c r="F379" s="14" t="s">
        <v>75</v>
      </c>
      <c r="G379">
        <v>3.1774912809962856</v>
      </c>
      <c r="H379">
        <v>0</v>
      </c>
      <c r="I379">
        <v>20</v>
      </c>
      <c r="J379">
        <v>0</v>
      </c>
      <c r="K379">
        <v>46236</v>
      </c>
      <c r="L379" t="s">
        <v>461</v>
      </c>
      <c r="M379">
        <v>3.7543252595155714</v>
      </c>
      <c r="N379">
        <v>0</v>
      </c>
      <c r="O379">
        <v>0</v>
      </c>
      <c r="P379">
        <v>1.1815375488106525</v>
      </c>
      <c r="Q379">
        <v>0.18153754881065254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1</v>
      </c>
      <c r="BH379">
        <v>0</v>
      </c>
      <c r="BI379">
        <v>0</v>
      </c>
      <c r="BJ379">
        <v>0.84635482046813493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0.15364517953186507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0.84635482046813493</v>
      </c>
      <c r="CD379">
        <v>0</v>
      </c>
    </row>
    <row r="380" spans="1:82" hidden="1" x14ac:dyDescent="0.25">
      <c r="A380" t="s">
        <v>128</v>
      </c>
      <c r="B380" t="s">
        <v>291</v>
      </c>
      <c r="C380" s="14" t="s">
        <v>72</v>
      </c>
      <c r="D380" s="12">
        <v>46237</v>
      </c>
      <c r="E380" s="14" t="s">
        <v>420</v>
      </c>
      <c r="F380" s="14" t="s">
        <v>73</v>
      </c>
      <c r="G380">
        <v>3.6011567851291222</v>
      </c>
      <c r="H380">
        <v>0.95</v>
      </c>
      <c r="I380">
        <v>20</v>
      </c>
      <c r="J380">
        <v>0.95</v>
      </c>
      <c r="K380">
        <v>46237</v>
      </c>
      <c r="L380" t="s">
        <v>462</v>
      </c>
      <c r="M380">
        <v>3.7647058823529393</v>
      </c>
      <c r="N380">
        <v>0.26380412092108813</v>
      </c>
      <c r="O380">
        <v>0.26380412092108813</v>
      </c>
      <c r="P380">
        <v>1.0454157113900702</v>
      </c>
      <c r="Q380">
        <v>4.5415711390070168E-2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0.73619587907891182</v>
      </c>
      <c r="AA380">
        <v>0</v>
      </c>
      <c r="AB380">
        <v>0</v>
      </c>
      <c r="AC380">
        <v>0</v>
      </c>
      <c r="AD380">
        <v>0</v>
      </c>
      <c r="AE380">
        <v>0.26380412092108813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3.7906913527674972</v>
      </c>
      <c r="AL380">
        <v>3.7906913527674972</v>
      </c>
      <c r="AM380">
        <v>3.9628482972136205</v>
      </c>
      <c r="BD380">
        <v>0</v>
      </c>
      <c r="BE380">
        <v>0</v>
      </c>
      <c r="BF380">
        <v>0</v>
      </c>
      <c r="BH380">
        <v>0.25234375000000009</v>
      </c>
      <c r="BI380">
        <v>0.25234375000000009</v>
      </c>
      <c r="BJ380">
        <v>0.9565572710499235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4.3442728950076503E-2</v>
      </c>
      <c r="BV380">
        <v>0</v>
      </c>
      <c r="BW380">
        <v>0</v>
      </c>
      <c r="BX380">
        <v>0</v>
      </c>
      <c r="BY380">
        <v>0.25234375000000009</v>
      </c>
      <c r="BZ380">
        <v>0</v>
      </c>
      <c r="CA380">
        <v>0</v>
      </c>
      <c r="CB380">
        <v>0</v>
      </c>
      <c r="CC380">
        <v>0</v>
      </c>
      <c r="CD380">
        <v>0</v>
      </c>
    </row>
    <row r="381" spans="1:82" hidden="1" x14ac:dyDescent="0.25">
      <c r="A381" t="s">
        <v>128</v>
      </c>
      <c r="B381" t="s">
        <v>421</v>
      </c>
      <c r="C381" s="14" t="s">
        <v>72</v>
      </c>
      <c r="D381" s="12">
        <v>46237</v>
      </c>
      <c r="E381" s="14" t="s">
        <v>420</v>
      </c>
      <c r="F381" s="14" t="s">
        <v>73</v>
      </c>
      <c r="G381">
        <v>1.869884158948651</v>
      </c>
      <c r="H381">
        <v>0.95</v>
      </c>
      <c r="I381">
        <v>20</v>
      </c>
      <c r="J381">
        <v>0.95</v>
      </c>
      <c r="K381">
        <v>46237</v>
      </c>
      <c r="L381" t="s">
        <v>462</v>
      </c>
      <c r="M381">
        <v>0.9230769230769228</v>
      </c>
      <c r="N381">
        <v>0.50805286276885775</v>
      </c>
      <c r="O381">
        <v>0.50805286276885775</v>
      </c>
      <c r="P381">
        <v>0.49365460350010454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0.49194713723114225</v>
      </c>
      <c r="AB381">
        <v>0</v>
      </c>
      <c r="AC381">
        <v>1.4398259268753211E-2</v>
      </c>
      <c r="AD381">
        <v>0</v>
      </c>
      <c r="AE381">
        <v>0.49365460350010454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1.9682991146827906</v>
      </c>
      <c r="AL381">
        <v>1.9682991146827906</v>
      </c>
      <c r="AM381">
        <v>0.97165991902833981</v>
      </c>
      <c r="BD381">
        <v>0</v>
      </c>
      <c r="BE381">
        <v>0</v>
      </c>
      <c r="BF381">
        <v>0</v>
      </c>
      <c r="BH381">
        <v>1.029166666666667</v>
      </c>
      <c r="BI381">
        <v>1.029166666666667</v>
      </c>
      <c r="BJ381">
        <v>2.025707838861039</v>
      </c>
      <c r="BK381">
        <v>0.99654117219437199</v>
      </c>
      <c r="BL381">
        <v>0</v>
      </c>
      <c r="BM381">
        <v>0</v>
      </c>
      <c r="BN381">
        <v>0</v>
      </c>
      <c r="BO381">
        <v>0</v>
      </c>
      <c r="BP381">
        <v>0.47083333333333299</v>
      </c>
      <c r="BQ381">
        <v>2.9166666666667007E-2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</row>
    <row r="382" spans="1:82" hidden="1" x14ac:dyDescent="0.25">
      <c r="A382" t="s">
        <v>128</v>
      </c>
      <c r="B382" t="s">
        <v>422</v>
      </c>
      <c r="C382" s="14" t="s">
        <v>72</v>
      </c>
      <c r="D382" s="12">
        <v>46237</v>
      </c>
      <c r="E382" s="14" t="s">
        <v>420</v>
      </c>
      <c r="F382" s="14" t="s">
        <v>73</v>
      </c>
      <c r="G382">
        <v>3.6011567851291222</v>
      </c>
      <c r="H382">
        <v>0.95</v>
      </c>
      <c r="I382">
        <v>20</v>
      </c>
      <c r="J382">
        <v>0.95</v>
      </c>
      <c r="K382">
        <v>46237</v>
      </c>
      <c r="L382" t="s">
        <v>462</v>
      </c>
      <c r="M382">
        <v>0.82352941176470595</v>
      </c>
      <c r="N382">
        <v>0.26380412092108813</v>
      </c>
      <c r="O382">
        <v>0.26380412092108813</v>
      </c>
      <c r="P382">
        <v>0.22868468686657797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0.73619587907891182</v>
      </c>
      <c r="AB382">
        <v>0</v>
      </c>
      <c r="AC382">
        <v>3.5119434054510151E-2</v>
      </c>
      <c r="AD382">
        <v>0</v>
      </c>
      <c r="AE382">
        <v>0.22868468686657797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3.7906913527674972</v>
      </c>
      <c r="AL382">
        <v>3.7906913527674972</v>
      </c>
      <c r="AM382">
        <v>0.86687306501548</v>
      </c>
      <c r="BD382">
        <v>0</v>
      </c>
      <c r="BE382">
        <v>0</v>
      </c>
      <c r="BF382">
        <v>0</v>
      </c>
      <c r="BH382">
        <v>1.1535714285714285</v>
      </c>
      <c r="BI382">
        <v>1.1535714285714285</v>
      </c>
      <c r="BJ382">
        <v>4.3728332390853621</v>
      </c>
      <c r="BK382">
        <v>3.2192618105139337</v>
      </c>
      <c r="BL382">
        <v>0</v>
      </c>
      <c r="BM382">
        <v>0</v>
      </c>
      <c r="BN382">
        <v>0</v>
      </c>
      <c r="BO382">
        <v>0</v>
      </c>
      <c r="BP382">
        <v>0.34642857142857153</v>
      </c>
      <c r="BQ382">
        <v>0.15357142857142847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</row>
    <row r="383" spans="1:82" hidden="1" x14ac:dyDescent="0.25">
      <c r="A383" t="s">
        <v>128</v>
      </c>
      <c r="B383" t="s">
        <v>291</v>
      </c>
      <c r="C383" s="14" t="s">
        <v>72</v>
      </c>
      <c r="D383" s="12">
        <v>46237</v>
      </c>
      <c r="E383" s="14" t="s">
        <v>420</v>
      </c>
      <c r="F383" s="14" t="s">
        <v>74</v>
      </c>
      <c r="G383">
        <v>0</v>
      </c>
      <c r="H383">
        <v>0</v>
      </c>
      <c r="I383">
        <v>20</v>
      </c>
      <c r="J383">
        <v>0</v>
      </c>
      <c r="K383">
        <v>46237</v>
      </c>
      <c r="L383" t="s">
        <v>463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D383">
        <v>0</v>
      </c>
    </row>
    <row r="384" spans="1:82" hidden="1" x14ac:dyDescent="0.25">
      <c r="A384" t="s">
        <v>128</v>
      </c>
      <c r="B384" t="s">
        <v>421</v>
      </c>
      <c r="C384" s="14" t="s">
        <v>72</v>
      </c>
      <c r="D384" s="12">
        <v>46237</v>
      </c>
      <c r="E384" s="14" t="s">
        <v>420</v>
      </c>
      <c r="F384" s="14" t="s">
        <v>74</v>
      </c>
      <c r="G384">
        <v>0</v>
      </c>
      <c r="H384">
        <v>0</v>
      </c>
      <c r="I384">
        <v>20</v>
      </c>
      <c r="J384">
        <v>0</v>
      </c>
      <c r="K384">
        <v>46237</v>
      </c>
      <c r="L384" t="s">
        <v>463</v>
      </c>
      <c r="M384">
        <v>0.92307692307692291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D384">
        <v>0</v>
      </c>
    </row>
    <row r="385" spans="1:82" hidden="1" x14ac:dyDescent="0.25">
      <c r="A385" t="s">
        <v>128</v>
      </c>
      <c r="B385" t="s">
        <v>422</v>
      </c>
      <c r="C385" s="14" t="s">
        <v>72</v>
      </c>
      <c r="D385" s="12">
        <v>46237</v>
      </c>
      <c r="E385" s="14" t="s">
        <v>420</v>
      </c>
      <c r="F385" s="14" t="s">
        <v>74</v>
      </c>
      <c r="G385">
        <v>0</v>
      </c>
      <c r="H385">
        <v>0</v>
      </c>
      <c r="I385">
        <v>20</v>
      </c>
      <c r="J385">
        <v>0</v>
      </c>
      <c r="K385">
        <v>46237</v>
      </c>
      <c r="L385" t="s">
        <v>463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D385">
        <v>0</v>
      </c>
    </row>
    <row r="386" spans="1:82" hidden="1" x14ac:dyDescent="0.25">
      <c r="A386" t="s">
        <v>128</v>
      </c>
      <c r="B386" t="s">
        <v>422</v>
      </c>
      <c r="C386" s="14" t="s">
        <v>72</v>
      </c>
      <c r="D386" s="12">
        <v>46237</v>
      </c>
      <c r="E386" s="14" t="s">
        <v>420</v>
      </c>
      <c r="F386" s="14" t="s">
        <v>75</v>
      </c>
      <c r="G386">
        <v>3.1774912809962848</v>
      </c>
      <c r="H386">
        <v>0</v>
      </c>
      <c r="I386">
        <v>20</v>
      </c>
      <c r="J386">
        <v>0</v>
      </c>
      <c r="K386">
        <v>46237</v>
      </c>
      <c r="L386" t="s">
        <v>464</v>
      </c>
      <c r="M386">
        <v>0.16608996539792387</v>
      </c>
      <c r="N386">
        <v>0</v>
      </c>
      <c r="O386">
        <v>0</v>
      </c>
      <c r="P386">
        <v>5.2270785569503521E-2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5.2270785569503521E-2</v>
      </c>
      <c r="AA386">
        <v>0.94772921443049651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H386">
        <v>0</v>
      </c>
      <c r="BI386">
        <v>0</v>
      </c>
      <c r="BJ386">
        <v>19.131145420998465</v>
      </c>
      <c r="BK386">
        <v>18.131145420998465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</row>
    <row r="387" spans="1:82" hidden="1" x14ac:dyDescent="0.25">
      <c r="A387" t="s">
        <v>128</v>
      </c>
      <c r="B387" t="s">
        <v>291</v>
      </c>
      <c r="C387" s="14" t="s">
        <v>72</v>
      </c>
      <c r="D387" s="12">
        <v>46237</v>
      </c>
      <c r="E387" s="14" t="s">
        <v>420</v>
      </c>
      <c r="F387" s="14" t="s">
        <v>75</v>
      </c>
      <c r="G387">
        <v>3.1774912809962848</v>
      </c>
      <c r="H387">
        <v>5.6999999999999993</v>
      </c>
      <c r="I387">
        <v>20</v>
      </c>
      <c r="J387">
        <v>5.6999999999999993</v>
      </c>
      <c r="K387">
        <v>46237</v>
      </c>
      <c r="L387" t="s">
        <v>464</v>
      </c>
      <c r="M387">
        <v>3.7508650519031144</v>
      </c>
      <c r="N387">
        <v>1.7938680222633989</v>
      </c>
      <c r="O387">
        <v>1.7938680222633989</v>
      </c>
      <c r="P387">
        <v>1.180448574111288</v>
      </c>
      <c r="Q387">
        <v>0</v>
      </c>
      <c r="R387">
        <v>0</v>
      </c>
      <c r="S387">
        <v>0.54386802226339892</v>
      </c>
      <c r="T387">
        <v>0</v>
      </c>
      <c r="U387">
        <v>0</v>
      </c>
      <c r="V387">
        <v>0</v>
      </c>
      <c r="W387">
        <v>0.18044857411128801</v>
      </c>
      <c r="X387">
        <v>0</v>
      </c>
      <c r="Y387">
        <v>6.9551425888711993E-2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0.55745461070110269</v>
      </c>
      <c r="AL387">
        <v>0.55745461070110269</v>
      </c>
      <c r="AM387">
        <v>0.65804650033387979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0.34195349966612021</v>
      </c>
      <c r="AY387">
        <v>0</v>
      </c>
      <c r="AZ387">
        <v>0</v>
      </c>
      <c r="BA387">
        <v>0</v>
      </c>
      <c r="BB387">
        <v>0.55745461070110269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1.5196494464944648</v>
      </c>
      <c r="BI387">
        <v>1.5196494464944648</v>
      </c>
      <c r="BJ387">
        <v>0.84713559059771792</v>
      </c>
      <c r="CA387">
        <v>0</v>
      </c>
      <c r="CB387">
        <v>0</v>
      </c>
      <c r="CC387">
        <v>0</v>
      </c>
    </row>
    <row r="388" spans="1:82" hidden="1" x14ac:dyDescent="0.25">
      <c r="A388" t="s">
        <v>128</v>
      </c>
      <c r="B388" t="s">
        <v>421</v>
      </c>
      <c r="C388" s="14" t="s">
        <v>72</v>
      </c>
      <c r="D388" s="12">
        <v>46237</v>
      </c>
      <c r="E388" s="14" t="s">
        <v>420</v>
      </c>
      <c r="F388" s="14" t="s">
        <v>75</v>
      </c>
      <c r="G388">
        <v>1.4299114156666153</v>
      </c>
      <c r="H388">
        <v>0</v>
      </c>
      <c r="I388">
        <v>20</v>
      </c>
      <c r="J388">
        <v>0</v>
      </c>
      <c r="K388">
        <v>46237</v>
      </c>
      <c r="L388" t="s">
        <v>464</v>
      </c>
      <c r="M388">
        <v>0.92307692307692291</v>
      </c>
      <c r="N388">
        <v>0</v>
      </c>
      <c r="O388">
        <v>0</v>
      </c>
      <c r="P388">
        <v>0.64554832765398307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0.64554832765398307</v>
      </c>
      <c r="AA388">
        <v>0.35445167234601693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H388">
        <v>0</v>
      </c>
      <c r="BI388">
        <v>0</v>
      </c>
      <c r="BJ388">
        <v>1.5490707003055002</v>
      </c>
      <c r="BK388">
        <v>0.5490707003055002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</row>
    <row r="389" spans="1:82" hidden="1" x14ac:dyDescent="0.25">
      <c r="A389" t="s">
        <v>128</v>
      </c>
      <c r="B389" t="s">
        <v>421</v>
      </c>
      <c r="C389" s="14" t="s">
        <v>72</v>
      </c>
      <c r="D389" s="12">
        <v>46238</v>
      </c>
      <c r="E389" s="14" t="s">
        <v>420</v>
      </c>
      <c r="F389" s="14" t="s">
        <v>73</v>
      </c>
      <c r="G389">
        <v>1.869884158948651</v>
      </c>
      <c r="H389">
        <v>0.95</v>
      </c>
      <c r="I389">
        <v>20</v>
      </c>
      <c r="J389">
        <v>0.95</v>
      </c>
      <c r="K389">
        <v>46238</v>
      </c>
      <c r="L389" t="s">
        <v>465</v>
      </c>
      <c r="M389">
        <v>0.96832579185520351</v>
      </c>
      <c r="N389">
        <v>0.50805286276885775</v>
      </c>
      <c r="O389">
        <v>0.50805286276885775</v>
      </c>
      <c r="P389">
        <v>0.51785335857363923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9.8004958047814839E-3</v>
      </c>
      <c r="AA389">
        <v>0.48214664142636077</v>
      </c>
      <c r="AB389">
        <v>0</v>
      </c>
      <c r="AC389">
        <v>0</v>
      </c>
      <c r="AD389">
        <v>0</v>
      </c>
      <c r="AE389">
        <v>0.50805286276885775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1.9682991146827906</v>
      </c>
      <c r="AL389">
        <v>1.9682991146827906</v>
      </c>
      <c r="AM389">
        <v>1.0192903072160038</v>
      </c>
      <c r="BD389">
        <v>0</v>
      </c>
      <c r="BE389">
        <v>0</v>
      </c>
      <c r="BF389">
        <v>0</v>
      </c>
      <c r="BH389">
        <v>0.98107476635514024</v>
      </c>
      <c r="BI389">
        <v>0.98107476635514024</v>
      </c>
      <c r="BJ389">
        <v>1.9310485940544482</v>
      </c>
      <c r="BK389">
        <v>0.93104859405444818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0.49194713723114225</v>
      </c>
      <c r="BU389">
        <v>0</v>
      </c>
      <c r="BV389">
        <v>0</v>
      </c>
      <c r="BW389">
        <v>0</v>
      </c>
      <c r="BX389">
        <v>0</v>
      </c>
      <c r="BY389">
        <v>0.98107476635514024</v>
      </c>
      <c r="BZ389">
        <v>0</v>
      </c>
      <c r="CA389">
        <v>0</v>
      </c>
      <c r="CB389">
        <v>0</v>
      </c>
      <c r="CC389">
        <v>0</v>
      </c>
      <c r="CD389">
        <v>0</v>
      </c>
    </row>
    <row r="390" spans="1:82" hidden="1" x14ac:dyDescent="0.25">
      <c r="A390" t="s">
        <v>128</v>
      </c>
      <c r="B390" t="s">
        <v>291</v>
      </c>
      <c r="C390" s="14" t="s">
        <v>72</v>
      </c>
      <c r="D390" s="12">
        <v>46238</v>
      </c>
      <c r="E390" s="14" t="s">
        <v>420</v>
      </c>
      <c r="F390" s="14" t="s">
        <v>73</v>
      </c>
      <c r="G390">
        <v>3.6011567851291222</v>
      </c>
      <c r="H390">
        <v>1.9</v>
      </c>
      <c r="I390">
        <v>20</v>
      </c>
      <c r="J390">
        <v>1.9</v>
      </c>
      <c r="K390">
        <v>46238</v>
      </c>
      <c r="L390" t="s">
        <v>465</v>
      </c>
      <c r="M390">
        <v>3.7647058823529398</v>
      </c>
      <c r="N390">
        <v>0.52760824184217625</v>
      </c>
      <c r="O390">
        <v>0.52760824184217625</v>
      </c>
      <c r="P390">
        <v>1.0454157113900704</v>
      </c>
      <c r="Q390">
        <v>4.541571139007039E-2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0.47239175815782375</v>
      </c>
      <c r="AA390">
        <v>0</v>
      </c>
      <c r="AB390">
        <v>0</v>
      </c>
      <c r="AC390">
        <v>0</v>
      </c>
      <c r="AD390">
        <v>0</v>
      </c>
      <c r="AE390">
        <v>0.52760824184217625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1.8953456763837486</v>
      </c>
      <c r="AL390">
        <v>1.8953456763837486</v>
      </c>
      <c r="AM390">
        <v>1.9814241486068105</v>
      </c>
      <c r="BD390">
        <v>0</v>
      </c>
      <c r="BE390">
        <v>0</v>
      </c>
      <c r="BF390">
        <v>0</v>
      </c>
      <c r="BH390">
        <v>0.50468750000000018</v>
      </c>
      <c r="BI390">
        <v>0.50468750000000018</v>
      </c>
      <c r="BJ390">
        <v>0.95655727104992339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4.3442728950076615E-2</v>
      </c>
      <c r="BV390">
        <v>0</v>
      </c>
      <c r="BW390">
        <v>0</v>
      </c>
      <c r="BX390">
        <v>0</v>
      </c>
      <c r="BY390">
        <v>0.50468750000000018</v>
      </c>
      <c r="BZ390">
        <v>0</v>
      </c>
      <c r="CA390">
        <v>0</v>
      </c>
      <c r="CB390">
        <v>0</v>
      </c>
      <c r="CC390">
        <v>0</v>
      </c>
      <c r="CD390">
        <v>0</v>
      </c>
    </row>
    <row r="391" spans="1:82" hidden="1" x14ac:dyDescent="0.25">
      <c r="A391" t="s">
        <v>128</v>
      </c>
      <c r="B391" t="s">
        <v>422</v>
      </c>
      <c r="C391" s="14" t="s">
        <v>72</v>
      </c>
      <c r="D391" s="12">
        <v>46238</v>
      </c>
      <c r="E391" s="14" t="s">
        <v>420</v>
      </c>
      <c r="F391" s="14" t="s">
        <v>73</v>
      </c>
      <c r="G391">
        <v>3.6011567851291222</v>
      </c>
      <c r="H391">
        <v>0.95</v>
      </c>
      <c r="I391">
        <v>20</v>
      </c>
      <c r="J391">
        <v>0.95</v>
      </c>
      <c r="K391">
        <v>46238</v>
      </c>
      <c r="L391" t="s">
        <v>465</v>
      </c>
      <c r="M391">
        <v>0.82352941176470595</v>
      </c>
      <c r="N391">
        <v>0.26380412092108813</v>
      </c>
      <c r="O391">
        <v>0.26380412092108813</v>
      </c>
      <c r="P391">
        <v>0.22868468686657797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0.73619587907891182</v>
      </c>
      <c r="AB391">
        <v>0</v>
      </c>
      <c r="AC391">
        <v>3.5119434054510151E-2</v>
      </c>
      <c r="AD391">
        <v>0</v>
      </c>
      <c r="AE391">
        <v>0.22868468686657797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3.7906913527674972</v>
      </c>
      <c r="AL391">
        <v>3.7906913527674972</v>
      </c>
      <c r="AM391">
        <v>0.86687306501548</v>
      </c>
      <c r="BD391">
        <v>0</v>
      </c>
      <c r="BE391">
        <v>0</v>
      </c>
      <c r="BF391">
        <v>0</v>
      </c>
      <c r="BH391">
        <v>1.1535714285714285</v>
      </c>
      <c r="BI391">
        <v>1.1535714285714285</v>
      </c>
      <c r="BJ391">
        <v>4.3728332390853621</v>
      </c>
      <c r="BK391">
        <v>3.2192618105139337</v>
      </c>
      <c r="BL391">
        <v>0</v>
      </c>
      <c r="BM391">
        <v>0</v>
      </c>
      <c r="BN391">
        <v>0</v>
      </c>
      <c r="BO391">
        <v>0</v>
      </c>
      <c r="BP391">
        <v>0.34642857142857153</v>
      </c>
      <c r="BQ391">
        <v>0.15357142857142847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</row>
    <row r="392" spans="1:82" hidden="1" x14ac:dyDescent="0.25">
      <c r="A392" t="s">
        <v>128</v>
      </c>
      <c r="B392" t="s">
        <v>291</v>
      </c>
      <c r="C392" s="14" t="s">
        <v>72</v>
      </c>
      <c r="D392" s="12">
        <v>46238</v>
      </c>
      <c r="E392" s="14" t="s">
        <v>420</v>
      </c>
      <c r="F392" s="14" t="s">
        <v>74</v>
      </c>
      <c r="G392">
        <v>0</v>
      </c>
      <c r="H392">
        <v>12.35</v>
      </c>
      <c r="I392">
        <v>20</v>
      </c>
      <c r="J392">
        <v>12.35</v>
      </c>
      <c r="K392">
        <v>46238</v>
      </c>
      <c r="L392" t="s">
        <v>466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0</v>
      </c>
      <c r="CD392">
        <v>0</v>
      </c>
    </row>
    <row r="393" spans="1:82" hidden="1" x14ac:dyDescent="0.25">
      <c r="A393" t="s">
        <v>128</v>
      </c>
      <c r="B393" t="s">
        <v>422</v>
      </c>
      <c r="C393" s="14" t="s">
        <v>72</v>
      </c>
      <c r="D393" s="12">
        <v>46238</v>
      </c>
      <c r="E393" s="14" t="s">
        <v>420</v>
      </c>
      <c r="F393" s="14" t="s">
        <v>74</v>
      </c>
      <c r="G393">
        <v>0</v>
      </c>
      <c r="H393">
        <v>2.8499999999999996</v>
      </c>
      <c r="I393">
        <v>20</v>
      </c>
      <c r="J393">
        <v>2.8499999999999996</v>
      </c>
      <c r="K393">
        <v>46238</v>
      </c>
      <c r="L393" t="s">
        <v>466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D393">
        <v>0</v>
      </c>
    </row>
    <row r="394" spans="1:82" hidden="1" x14ac:dyDescent="0.25">
      <c r="A394" t="s">
        <v>128</v>
      </c>
      <c r="B394" t="s">
        <v>421</v>
      </c>
      <c r="C394" s="14" t="s">
        <v>72</v>
      </c>
      <c r="D394" s="12">
        <v>46238</v>
      </c>
      <c r="E394" s="14" t="s">
        <v>420</v>
      </c>
      <c r="F394" s="14" t="s">
        <v>74</v>
      </c>
      <c r="G394">
        <v>0</v>
      </c>
      <c r="H394">
        <v>2.8499999999999996</v>
      </c>
      <c r="I394">
        <v>20</v>
      </c>
      <c r="J394">
        <v>2.8499999999999996</v>
      </c>
      <c r="K394">
        <v>46238</v>
      </c>
      <c r="L394" t="s">
        <v>466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0</v>
      </c>
      <c r="CD394">
        <v>0</v>
      </c>
    </row>
    <row r="395" spans="1:82" hidden="1" x14ac:dyDescent="0.25">
      <c r="A395" t="s">
        <v>128</v>
      </c>
      <c r="B395" t="s">
        <v>422</v>
      </c>
      <c r="C395" s="14" t="s">
        <v>72</v>
      </c>
      <c r="D395" s="12">
        <v>46238</v>
      </c>
      <c r="E395" s="14" t="s">
        <v>420</v>
      </c>
      <c r="F395" s="14" t="s">
        <v>75</v>
      </c>
      <c r="G395">
        <v>3.23044946901289</v>
      </c>
      <c r="H395">
        <v>0</v>
      </c>
      <c r="I395">
        <v>20</v>
      </c>
      <c r="J395">
        <v>0</v>
      </c>
      <c r="K395">
        <v>46238</v>
      </c>
      <c r="L395" t="s">
        <v>467</v>
      </c>
      <c r="M395">
        <v>0.16608996539792387</v>
      </c>
      <c r="N395">
        <v>0</v>
      </c>
      <c r="O395">
        <v>0</v>
      </c>
      <c r="P395">
        <v>5.1413887445413295E-2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5.1413887445413295E-2</v>
      </c>
      <c r="AA395">
        <v>0.94858611255458669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H395">
        <v>0</v>
      </c>
      <c r="BI395">
        <v>0</v>
      </c>
      <c r="BJ395">
        <v>19.449997844681775</v>
      </c>
      <c r="BK395">
        <v>18.449997844681775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</row>
    <row r="396" spans="1:82" hidden="1" x14ac:dyDescent="0.25">
      <c r="A396" t="s">
        <v>128</v>
      </c>
      <c r="B396" t="s">
        <v>291</v>
      </c>
      <c r="C396" s="14" t="s">
        <v>72</v>
      </c>
      <c r="D396" s="12">
        <v>46238</v>
      </c>
      <c r="E396" s="14" t="s">
        <v>420</v>
      </c>
      <c r="F396" s="14" t="s">
        <v>75</v>
      </c>
      <c r="G396">
        <v>3.23044946901289</v>
      </c>
      <c r="H396">
        <v>2.8499999999999996</v>
      </c>
      <c r="I396">
        <v>20</v>
      </c>
      <c r="J396">
        <v>2.8499999999999996</v>
      </c>
      <c r="K396">
        <v>46238</v>
      </c>
      <c r="L396" t="s">
        <v>467</v>
      </c>
      <c r="M396">
        <v>2.8685121107266438</v>
      </c>
      <c r="N396">
        <v>0.88223017488363864</v>
      </c>
      <c r="O396">
        <v>0.88223017488363864</v>
      </c>
      <c r="P396">
        <v>0.88796068108849224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5.7305062048536026E-3</v>
      </c>
      <c r="AA396">
        <v>0.11203931891150776</v>
      </c>
      <c r="AB396">
        <v>0</v>
      </c>
      <c r="AC396">
        <v>0</v>
      </c>
      <c r="AD396">
        <v>0</v>
      </c>
      <c r="AE396">
        <v>0.88223017488363864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1.1334910417589088</v>
      </c>
      <c r="AL396">
        <v>1.1334910417589088</v>
      </c>
      <c r="AM396">
        <v>1.0064954774479453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6.4954774479453192E-3</v>
      </c>
      <c r="AU396">
        <v>0</v>
      </c>
      <c r="AV396">
        <v>0.12699556431096348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0.99354644149577787</v>
      </c>
      <c r="BI396">
        <v>0.99354644149577787</v>
      </c>
      <c r="BJ396">
        <v>1.126175991006906</v>
      </c>
      <c r="BK396">
        <v>0.12617599100690602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0.11776982511636136</v>
      </c>
      <c r="BU396">
        <v>0</v>
      </c>
      <c r="BV396">
        <v>0</v>
      </c>
      <c r="BW396">
        <v>0</v>
      </c>
      <c r="BX396">
        <v>0</v>
      </c>
      <c r="BY396">
        <v>0.99354644149577787</v>
      </c>
      <c r="BZ396">
        <v>0</v>
      </c>
      <c r="CA396">
        <v>0</v>
      </c>
      <c r="CB396">
        <v>0</v>
      </c>
      <c r="CC396">
        <v>0</v>
      </c>
      <c r="CD396">
        <v>0</v>
      </c>
    </row>
    <row r="397" spans="1:82" hidden="1" x14ac:dyDescent="0.25">
      <c r="A397" t="s">
        <v>128</v>
      </c>
      <c r="B397" t="s">
        <v>421</v>
      </c>
      <c r="C397" s="14" t="s">
        <v>72</v>
      </c>
      <c r="D397" s="12">
        <v>46238</v>
      </c>
      <c r="E397" s="14" t="s">
        <v>420</v>
      </c>
      <c r="F397" s="14" t="s">
        <v>75</v>
      </c>
      <c r="G397">
        <v>1.4299114156666153</v>
      </c>
      <c r="H397">
        <v>0</v>
      </c>
      <c r="I397">
        <v>20</v>
      </c>
      <c r="J397">
        <v>0</v>
      </c>
      <c r="K397">
        <v>46238</v>
      </c>
      <c r="L397" t="s">
        <v>467</v>
      </c>
      <c r="M397">
        <v>0.9896193771626296</v>
      </c>
      <c r="N397">
        <v>0</v>
      </c>
      <c r="O397">
        <v>0</v>
      </c>
      <c r="P397">
        <v>0.69208439510308795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0.69208439510308795</v>
      </c>
      <c r="AA397">
        <v>0.30791560489691205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H397">
        <v>0</v>
      </c>
      <c r="BI397">
        <v>0</v>
      </c>
      <c r="BJ397">
        <v>1.4449104864603213</v>
      </c>
      <c r="BK397">
        <v>0.44491048646032128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</row>
    <row r="398" spans="1:82" hidden="1" x14ac:dyDescent="0.25">
      <c r="A398" t="s">
        <v>128</v>
      </c>
      <c r="B398" t="s">
        <v>291</v>
      </c>
      <c r="C398" s="14" t="s">
        <v>72</v>
      </c>
      <c r="D398" s="12">
        <v>46239</v>
      </c>
      <c r="E398" s="14" t="s">
        <v>420</v>
      </c>
      <c r="F398" s="14" t="s">
        <v>73</v>
      </c>
      <c r="G398">
        <v>3.6011567851291222</v>
      </c>
      <c r="H398">
        <v>2.8499999999999996</v>
      </c>
      <c r="I398">
        <v>20</v>
      </c>
      <c r="J398">
        <v>2.8499999999999996</v>
      </c>
      <c r="K398">
        <v>46239</v>
      </c>
      <c r="L398" t="s">
        <v>468</v>
      </c>
      <c r="M398">
        <v>3.7647058823529393</v>
      </c>
      <c r="N398">
        <v>0.79141236276326432</v>
      </c>
      <c r="O398">
        <v>0.79141236276326432</v>
      </c>
      <c r="P398">
        <v>1.0454157113900702</v>
      </c>
      <c r="Q398">
        <v>4.5415711390070168E-2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0.20858763723673568</v>
      </c>
      <c r="AA398">
        <v>0</v>
      </c>
      <c r="AB398">
        <v>0</v>
      </c>
      <c r="AC398">
        <v>0</v>
      </c>
      <c r="AD398">
        <v>0</v>
      </c>
      <c r="AE398">
        <v>0.79141236276326432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1.2635637842558325</v>
      </c>
      <c r="AL398">
        <v>1.2635637842558325</v>
      </c>
      <c r="AM398">
        <v>1.3209494324045403</v>
      </c>
      <c r="AN398">
        <v>5.7385648148707835E-2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0.26356378425583249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0.75703125000000027</v>
      </c>
      <c r="BI398">
        <v>0.75703125000000027</v>
      </c>
      <c r="BJ398">
        <v>0.9565572710499235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4.3442728950076503E-2</v>
      </c>
      <c r="BV398">
        <v>0</v>
      </c>
      <c r="BW398">
        <v>0</v>
      </c>
      <c r="BX398">
        <v>0</v>
      </c>
      <c r="BY398">
        <v>0.75703125000000027</v>
      </c>
      <c r="BZ398">
        <v>0</v>
      </c>
      <c r="CA398">
        <v>0</v>
      </c>
      <c r="CB398">
        <v>0</v>
      </c>
      <c r="CC398">
        <v>0</v>
      </c>
      <c r="CD398">
        <v>0</v>
      </c>
    </row>
    <row r="399" spans="1:82" hidden="1" x14ac:dyDescent="0.25">
      <c r="A399" t="s">
        <v>128</v>
      </c>
      <c r="B399" t="s">
        <v>421</v>
      </c>
      <c r="C399" s="14" t="s">
        <v>72</v>
      </c>
      <c r="D399" s="12">
        <v>46239</v>
      </c>
      <c r="E399" s="14" t="s">
        <v>420</v>
      </c>
      <c r="F399" s="14" t="s">
        <v>73</v>
      </c>
      <c r="G399">
        <v>1.869884158948651</v>
      </c>
      <c r="H399">
        <v>0.95</v>
      </c>
      <c r="I399">
        <v>20</v>
      </c>
      <c r="J399">
        <v>0.95</v>
      </c>
      <c r="K399">
        <v>46239</v>
      </c>
      <c r="L399" t="s">
        <v>468</v>
      </c>
      <c r="M399">
        <v>0</v>
      </c>
      <c r="N399">
        <v>0.50805286276885775</v>
      </c>
      <c r="O399">
        <v>0.50805286276885775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0.49194713723114225</v>
      </c>
      <c r="AB399">
        <v>0</v>
      </c>
      <c r="AC399">
        <v>0</v>
      </c>
      <c r="AD399">
        <v>0</v>
      </c>
      <c r="AE399">
        <v>0</v>
      </c>
      <c r="AF399">
        <v>0.50805286276885775</v>
      </c>
      <c r="AG399">
        <v>0</v>
      </c>
      <c r="AH399">
        <v>0</v>
      </c>
      <c r="AI399">
        <v>0</v>
      </c>
      <c r="AJ399">
        <v>0</v>
      </c>
      <c r="AK399">
        <v>1.9682991146827906</v>
      </c>
      <c r="AL399">
        <v>1.9682991146827906</v>
      </c>
      <c r="AM399">
        <v>0</v>
      </c>
      <c r="BD399">
        <v>0</v>
      </c>
      <c r="BE399">
        <v>0</v>
      </c>
      <c r="BF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</row>
    <row r="400" spans="1:82" hidden="1" x14ac:dyDescent="0.25">
      <c r="A400" t="s">
        <v>128</v>
      </c>
      <c r="B400" t="s">
        <v>422</v>
      </c>
      <c r="C400" s="14" t="s">
        <v>72</v>
      </c>
      <c r="D400" s="12">
        <v>46239</v>
      </c>
      <c r="E400" s="14" t="s">
        <v>420</v>
      </c>
      <c r="F400" s="14" t="s">
        <v>73</v>
      </c>
      <c r="G400">
        <v>3.6011567851291222</v>
      </c>
      <c r="H400">
        <v>0.95</v>
      </c>
      <c r="I400">
        <v>20</v>
      </c>
      <c r="J400">
        <v>0.95</v>
      </c>
      <c r="K400">
        <v>46239</v>
      </c>
      <c r="L400" t="s">
        <v>468</v>
      </c>
      <c r="M400">
        <v>1.6524767801857587</v>
      </c>
      <c r="N400">
        <v>0.26380412092108813</v>
      </c>
      <c r="O400">
        <v>0.26380412092108813</v>
      </c>
      <c r="P400">
        <v>0.45887387825201503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0.19506975733092691</v>
      </c>
      <c r="AA400">
        <v>0.54112612174798502</v>
      </c>
      <c r="AB400">
        <v>0</v>
      </c>
      <c r="AC400">
        <v>0</v>
      </c>
      <c r="AD400">
        <v>0</v>
      </c>
      <c r="AE400">
        <v>0.26380412092108813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3.7906913527674972</v>
      </c>
      <c r="AL400">
        <v>3.7906913527674972</v>
      </c>
      <c r="AM400">
        <v>1.7394492423007988</v>
      </c>
      <c r="BD400">
        <v>0</v>
      </c>
      <c r="BE400">
        <v>0</v>
      </c>
      <c r="BF400">
        <v>0</v>
      </c>
      <c r="BH400">
        <v>0.57489461358313809</v>
      </c>
      <c r="BI400">
        <v>0.57489461358313809</v>
      </c>
      <c r="BJ400">
        <v>2.1792480404622134</v>
      </c>
      <c r="BK400">
        <v>1.1792480404622134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0.73619587907891182</v>
      </c>
      <c r="BU400">
        <v>0</v>
      </c>
      <c r="BV400">
        <v>0</v>
      </c>
      <c r="BW400">
        <v>0</v>
      </c>
      <c r="BX400">
        <v>0</v>
      </c>
      <c r="BY400">
        <v>0.57489461358313809</v>
      </c>
      <c r="BZ400">
        <v>0</v>
      </c>
      <c r="CA400">
        <v>0</v>
      </c>
      <c r="CB400">
        <v>0</v>
      </c>
      <c r="CC400">
        <v>0</v>
      </c>
      <c r="CD400">
        <v>0</v>
      </c>
    </row>
    <row r="401" spans="1:82" hidden="1" x14ac:dyDescent="0.25">
      <c r="A401" t="s">
        <v>128</v>
      </c>
      <c r="B401" t="s">
        <v>421</v>
      </c>
      <c r="C401" s="14" t="s">
        <v>72</v>
      </c>
      <c r="D401" s="12">
        <v>46239</v>
      </c>
      <c r="E401" s="14" t="s">
        <v>420</v>
      </c>
      <c r="F401" s="14" t="s">
        <v>74</v>
      </c>
      <c r="G401">
        <v>0</v>
      </c>
      <c r="H401">
        <v>0</v>
      </c>
      <c r="I401">
        <v>20</v>
      </c>
      <c r="J401">
        <v>0</v>
      </c>
      <c r="K401">
        <v>46239</v>
      </c>
      <c r="L401" t="s">
        <v>469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D401">
        <v>0</v>
      </c>
    </row>
    <row r="402" spans="1:82" hidden="1" x14ac:dyDescent="0.25">
      <c r="A402" t="s">
        <v>128</v>
      </c>
      <c r="B402" t="s">
        <v>291</v>
      </c>
      <c r="C402" s="14" t="s">
        <v>72</v>
      </c>
      <c r="D402" s="12">
        <v>46239</v>
      </c>
      <c r="E402" s="14" t="s">
        <v>420</v>
      </c>
      <c r="F402" s="14" t="s">
        <v>74</v>
      </c>
      <c r="G402">
        <v>0</v>
      </c>
      <c r="H402">
        <v>5.6999999999999993</v>
      </c>
      <c r="I402">
        <v>20</v>
      </c>
      <c r="J402">
        <v>5.6999999999999993</v>
      </c>
      <c r="K402">
        <v>46239</v>
      </c>
      <c r="L402" t="s">
        <v>469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0</v>
      </c>
      <c r="CD402">
        <v>0</v>
      </c>
    </row>
    <row r="403" spans="1:82" hidden="1" x14ac:dyDescent="0.25">
      <c r="A403" t="s">
        <v>128</v>
      </c>
      <c r="B403" t="s">
        <v>422</v>
      </c>
      <c r="C403" s="14" t="s">
        <v>72</v>
      </c>
      <c r="D403" s="12">
        <v>46239</v>
      </c>
      <c r="E403" s="14" t="s">
        <v>420</v>
      </c>
      <c r="F403" s="14" t="s">
        <v>74</v>
      </c>
      <c r="G403">
        <v>0</v>
      </c>
      <c r="H403">
        <v>0</v>
      </c>
      <c r="I403">
        <v>20</v>
      </c>
      <c r="J403">
        <v>0</v>
      </c>
      <c r="K403">
        <v>46239</v>
      </c>
      <c r="L403" t="s">
        <v>469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D403">
        <v>0</v>
      </c>
    </row>
    <row r="404" spans="1:82" hidden="1" x14ac:dyDescent="0.25">
      <c r="A404" t="s">
        <v>128</v>
      </c>
      <c r="B404" t="s">
        <v>291</v>
      </c>
      <c r="C404" s="14" t="s">
        <v>72</v>
      </c>
      <c r="D404" s="12">
        <v>46239</v>
      </c>
      <c r="E404" s="14" t="s">
        <v>420</v>
      </c>
      <c r="F404" s="14" t="s">
        <v>75</v>
      </c>
      <c r="G404">
        <v>3.1774912809962848</v>
      </c>
      <c r="H404">
        <v>0.95</v>
      </c>
      <c r="I404">
        <v>20</v>
      </c>
      <c r="J404">
        <v>0.95</v>
      </c>
      <c r="K404">
        <v>46239</v>
      </c>
      <c r="L404" t="s">
        <v>470</v>
      </c>
      <c r="M404">
        <v>3.7508650519031144</v>
      </c>
      <c r="N404">
        <v>0.29897800371056649</v>
      </c>
      <c r="O404">
        <v>0.29897800371056649</v>
      </c>
      <c r="P404">
        <v>1.180448574111288</v>
      </c>
      <c r="Q404">
        <v>0.18044857411128801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0.70102199628943351</v>
      </c>
      <c r="AA404">
        <v>0</v>
      </c>
      <c r="AB404">
        <v>0</v>
      </c>
      <c r="AC404">
        <v>0</v>
      </c>
      <c r="AD404">
        <v>0</v>
      </c>
      <c r="AE404">
        <v>0.29897800371056649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3.3447276642066157</v>
      </c>
      <c r="AL404">
        <v>3.3447276642066157</v>
      </c>
      <c r="AM404">
        <v>3.9482790020032783</v>
      </c>
      <c r="BD404">
        <v>0</v>
      </c>
      <c r="BE404">
        <v>0</v>
      </c>
      <c r="BF404">
        <v>0</v>
      </c>
      <c r="BH404">
        <v>0.25327490774907746</v>
      </c>
      <c r="BI404">
        <v>0.25327490774907746</v>
      </c>
      <c r="BJ404">
        <v>0.84713559059771792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0.15286440940228208</v>
      </c>
      <c r="BV404">
        <v>0</v>
      </c>
      <c r="BW404">
        <v>0</v>
      </c>
      <c r="BX404">
        <v>0</v>
      </c>
      <c r="BY404">
        <v>0.25327490774907746</v>
      </c>
      <c r="BZ404">
        <v>0</v>
      </c>
      <c r="CA404">
        <v>0</v>
      </c>
      <c r="CB404">
        <v>0</v>
      </c>
      <c r="CC404">
        <v>0</v>
      </c>
      <c r="CD404">
        <v>0</v>
      </c>
    </row>
    <row r="405" spans="1:82" hidden="1" x14ac:dyDescent="0.25">
      <c r="A405" t="s">
        <v>128</v>
      </c>
      <c r="B405" t="s">
        <v>422</v>
      </c>
      <c r="C405" s="14" t="s">
        <v>72</v>
      </c>
      <c r="D405" s="12">
        <v>46239</v>
      </c>
      <c r="E405" s="14" t="s">
        <v>420</v>
      </c>
      <c r="F405" s="14" t="s">
        <v>75</v>
      </c>
      <c r="G405">
        <v>3.1774912809962848</v>
      </c>
      <c r="H405">
        <v>1.9</v>
      </c>
      <c r="I405">
        <v>20</v>
      </c>
      <c r="J405">
        <v>1.9</v>
      </c>
      <c r="K405">
        <v>46239</v>
      </c>
      <c r="L405" t="s">
        <v>470</v>
      </c>
      <c r="M405">
        <v>1.1506100892369333</v>
      </c>
      <c r="N405">
        <v>0.59795600742113297</v>
      </c>
      <c r="O405">
        <v>0.59795600742113297</v>
      </c>
      <c r="P405">
        <v>0.36211274476767907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0.40204399257886703</v>
      </c>
      <c r="AB405">
        <v>0</v>
      </c>
      <c r="AC405">
        <v>0.2358432626534539</v>
      </c>
      <c r="AD405">
        <v>0</v>
      </c>
      <c r="AE405">
        <v>0.36211274476767907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1.6723638321033079</v>
      </c>
      <c r="AL405">
        <v>1.6723638321033079</v>
      </c>
      <c r="AM405">
        <v>0.60558425749312284</v>
      </c>
      <c r="BD405">
        <v>0</v>
      </c>
      <c r="BE405">
        <v>0</v>
      </c>
      <c r="BF405">
        <v>0</v>
      </c>
      <c r="BH405">
        <v>1.6512978790756565</v>
      </c>
      <c r="BI405">
        <v>1.6512978790756565</v>
      </c>
      <c r="BJ405">
        <v>2.7615708489950297</v>
      </c>
      <c r="CA405">
        <v>0</v>
      </c>
      <c r="CB405">
        <v>0</v>
      </c>
      <c r="CC405">
        <v>0</v>
      </c>
    </row>
    <row r="406" spans="1:82" hidden="1" x14ac:dyDescent="0.25">
      <c r="A406" t="s">
        <v>128</v>
      </c>
      <c r="B406" t="s">
        <v>421</v>
      </c>
      <c r="C406" s="14" t="s">
        <v>72</v>
      </c>
      <c r="D406" s="12">
        <v>46239</v>
      </c>
      <c r="E406" s="14" t="s">
        <v>420</v>
      </c>
      <c r="F406" s="14" t="s">
        <v>75</v>
      </c>
      <c r="G406">
        <v>1.5949011943973783</v>
      </c>
      <c r="H406">
        <v>1.9</v>
      </c>
      <c r="I406">
        <v>20</v>
      </c>
      <c r="J406">
        <v>1.9</v>
      </c>
      <c r="K406">
        <v>46239</v>
      </c>
      <c r="L406" t="s">
        <v>470</v>
      </c>
      <c r="M406">
        <v>0.82352941176470573</v>
      </c>
      <c r="N406">
        <v>1.1912963678718047</v>
      </c>
      <c r="O406">
        <v>1.1912963678718047</v>
      </c>
      <c r="P406">
        <v>0.51635136687941996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0.19129636787180471</v>
      </c>
      <c r="Z406">
        <v>0</v>
      </c>
      <c r="AA406">
        <v>0</v>
      </c>
      <c r="AB406">
        <v>0</v>
      </c>
      <c r="AC406">
        <v>0.48364863312058004</v>
      </c>
      <c r="AD406">
        <v>0</v>
      </c>
      <c r="AE406">
        <v>0.51635136687941996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0.83942168126177807</v>
      </c>
      <c r="AL406">
        <v>0.83942168126177807</v>
      </c>
      <c r="AM406">
        <v>0.43343653250773989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0.16057831873822193</v>
      </c>
      <c r="AY406">
        <v>0</v>
      </c>
      <c r="AZ406">
        <v>0.40598514875403818</v>
      </c>
      <c r="BA406">
        <v>0</v>
      </c>
      <c r="BB406">
        <v>0.43343653250773989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2.3071428571428574</v>
      </c>
      <c r="BI406">
        <v>2.3071428571428574</v>
      </c>
      <c r="BJ406">
        <v>1.9366657360539596</v>
      </c>
      <c r="CA406">
        <v>0</v>
      </c>
      <c r="CB406">
        <v>0</v>
      </c>
      <c r="CC406">
        <v>0</v>
      </c>
    </row>
    <row r="407" spans="1:82" hidden="1" x14ac:dyDescent="0.25">
      <c r="A407" t="s">
        <v>128</v>
      </c>
      <c r="B407" t="s">
        <v>421</v>
      </c>
      <c r="C407" s="14" t="s">
        <v>72</v>
      </c>
      <c r="D407" s="12">
        <v>46240</v>
      </c>
      <c r="E407" s="14" t="s">
        <v>420</v>
      </c>
      <c r="F407" s="14" t="s">
        <v>73</v>
      </c>
      <c r="G407">
        <v>1.869884158948651</v>
      </c>
      <c r="H407">
        <v>0.95</v>
      </c>
      <c r="I407">
        <v>20</v>
      </c>
      <c r="J407">
        <v>0.95</v>
      </c>
      <c r="K407">
        <v>46240</v>
      </c>
      <c r="L407" t="s">
        <v>471</v>
      </c>
      <c r="M407">
        <v>0</v>
      </c>
      <c r="N407">
        <v>0.50805286276885775</v>
      </c>
      <c r="O407">
        <v>0.50805286276885775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0.49194713723114225</v>
      </c>
      <c r="AB407">
        <v>0</v>
      </c>
      <c r="AC407">
        <v>0</v>
      </c>
      <c r="AD407">
        <v>0</v>
      </c>
      <c r="AE407">
        <v>0</v>
      </c>
      <c r="AF407">
        <v>0.50805286276885775</v>
      </c>
      <c r="AG407">
        <v>0</v>
      </c>
      <c r="AH407">
        <v>0</v>
      </c>
      <c r="AI407">
        <v>0</v>
      </c>
      <c r="AJ407">
        <v>0</v>
      </c>
      <c r="AK407">
        <v>1.9682991146827906</v>
      </c>
      <c r="AL407">
        <v>1.9682991146827906</v>
      </c>
      <c r="AM407">
        <v>0</v>
      </c>
      <c r="BD407">
        <v>0</v>
      </c>
      <c r="BE407">
        <v>0</v>
      </c>
      <c r="BF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</row>
    <row r="408" spans="1:82" hidden="1" x14ac:dyDescent="0.25">
      <c r="A408" t="s">
        <v>128</v>
      </c>
      <c r="B408" t="s">
        <v>291</v>
      </c>
      <c r="C408" s="14" t="s">
        <v>72</v>
      </c>
      <c r="D408" s="12">
        <v>46240</v>
      </c>
      <c r="E408" s="14" t="s">
        <v>420</v>
      </c>
      <c r="F408" s="14" t="s">
        <v>73</v>
      </c>
      <c r="G408">
        <v>3.6011567851291222</v>
      </c>
      <c r="H408">
        <v>1.9</v>
      </c>
      <c r="I408">
        <v>20</v>
      </c>
      <c r="J408">
        <v>1.9</v>
      </c>
      <c r="K408">
        <v>46240</v>
      </c>
      <c r="L408" t="s">
        <v>471</v>
      </c>
      <c r="M408">
        <v>3.7647058823529393</v>
      </c>
      <c r="N408">
        <v>0.52760824184217625</v>
      </c>
      <c r="O408">
        <v>0.52760824184217625</v>
      </c>
      <c r="P408">
        <v>1.0454157113900702</v>
      </c>
      <c r="Q408">
        <v>4.5415711390070168E-2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0.47239175815782375</v>
      </c>
      <c r="AA408">
        <v>0</v>
      </c>
      <c r="AB408">
        <v>0</v>
      </c>
      <c r="AC408">
        <v>0</v>
      </c>
      <c r="AD408">
        <v>0</v>
      </c>
      <c r="AE408">
        <v>0.52760824184217625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1.8953456763837486</v>
      </c>
      <c r="AL408">
        <v>1.8953456763837486</v>
      </c>
      <c r="AM408">
        <v>1.9814241486068103</v>
      </c>
      <c r="BD408">
        <v>0</v>
      </c>
      <c r="BE408">
        <v>0</v>
      </c>
      <c r="BF408">
        <v>0</v>
      </c>
      <c r="BH408">
        <v>0.50468750000000018</v>
      </c>
      <c r="BI408">
        <v>0.50468750000000018</v>
      </c>
      <c r="BJ408">
        <v>0.9565572710499235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4.3442728950076503E-2</v>
      </c>
      <c r="BV408">
        <v>0</v>
      </c>
      <c r="BW408">
        <v>0</v>
      </c>
      <c r="BX408">
        <v>0</v>
      </c>
      <c r="BY408">
        <v>0.50468750000000018</v>
      </c>
      <c r="BZ408">
        <v>0</v>
      </c>
      <c r="CA408">
        <v>0</v>
      </c>
      <c r="CB408">
        <v>0</v>
      </c>
      <c r="CC408">
        <v>0</v>
      </c>
      <c r="CD408">
        <v>0</v>
      </c>
    </row>
    <row r="409" spans="1:82" hidden="1" x14ac:dyDescent="0.25">
      <c r="A409" t="s">
        <v>128</v>
      </c>
      <c r="B409" t="s">
        <v>422</v>
      </c>
      <c r="C409" s="14" t="s">
        <v>72</v>
      </c>
      <c r="D409" s="12">
        <v>46240</v>
      </c>
      <c r="E409" s="14" t="s">
        <v>420</v>
      </c>
      <c r="F409" s="14" t="s">
        <v>73</v>
      </c>
      <c r="G409">
        <v>3.6011567851291222</v>
      </c>
      <c r="H409">
        <v>0.95</v>
      </c>
      <c r="I409">
        <v>20</v>
      </c>
      <c r="J409">
        <v>0.95</v>
      </c>
      <c r="K409">
        <v>46240</v>
      </c>
      <c r="L409" t="s">
        <v>471</v>
      </c>
      <c r="M409">
        <v>1.6524767801857585</v>
      </c>
      <c r="N409">
        <v>0.26380412092108813</v>
      </c>
      <c r="O409">
        <v>0.26380412092108813</v>
      </c>
      <c r="P409">
        <v>0.45887387825201498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0.19506975733092685</v>
      </c>
      <c r="AA409">
        <v>0.54112612174798502</v>
      </c>
      <c r="AB409">
        <v>0</v>
      </c>
      <c r="AC409">
        <v>0</v>
      </c>
      <c r="AD409">
        <v>0</v>
      </c>
      <c r="AE409">
        <v>0.26380412092108813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3.7906913527674972</v>
      </c>
      <c r="AL409">
        <v>3.7906913527674972</v>
      </c>
      <c r="AM409">
        <v>1.7394492423007986</v>
      </c>
      <c r="BD409">
        <v>0</v>
      </c>
      <c r="BE409">
        <v>0</v>
      </c>
      <c r="BF409">
        <v>0</v>
      </c>
      <c r="BH409">
        <v>0.5748946135831382</v>
      </c>
      <c r="BI409">
        <v>0.5748946135831382</v>
      </c>
      <c r="BJ409">
        <v>2.1792480404622134</v>
      </c>
      <c r="BK409">
        <v>1.1792480404622134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0.73619587907891182</v>
      </c>
      <c r="BU409">
        <v>0</v>
      </c>
      <c r="BV409">
        <v>0</v>
      </c>
      <c r="BW409">
        <v>0</v>
      </c>
      <c r="BX409">
        <v>0</v>
      </c>
      <c r="BY409">
        <v>0.5748946135831382</v>
      </c>
      <c r="BZ409">
        <v>0</v>
      </c>
      <c r="CA409">
        <v>0</v>
      </c>
      <c r="CB409">
        <v>0</v>
      </c>
      <c r="CC409">
        <v>0</v>
      </c>
      <c r="CD409">
        <v>0</v>
      </c>
    </row>
    <row r="410" spans="1:82" hidden="1" x14ac:dyDescent="0.25">
      <c r="A410" t="s">
        <v>128</v>
      </c>
      <c r="B410" t="s">
        <v>421</v>
      </c>
      <c r="C410" s="14" t="s">
        <v>72</v>
      </c>
      <c r="D410" s="12">
        <v>46240</v>
      </c>
      <c r="E410" s="14" t="s">
        <v>420</v>
      </c>
      <c r="F410" s="14" t="s">
        <v>74</v>
      </c>
      <c r="G410">
        <v>0</v>
      </c>
      <c r="H410">
        <v>0.95</v>
      </c>
      <c r="I410">
        <v>20</v>
      </c>
      <c r="J410">
        <v>0.95</v>
      </c>
      <c r="K410">
        <v>46240</v>
      </c>
      <c r="L410" t="s">
        <v>472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</v>
      </c>
      <c r="CD410">
        <v>0</v>
      </c>
    </row>
    <row r="411" spans="1:82" hidden="1" x14ac:dyDescent="0.25">
      <c r="A411" t="s">
        <v>128</v>
      </c>
      <c r="B411" t="s">
        <v>291</v>
      </c>
      <c r="C411" s="14" t="s">
        <v>72</v>
      </c>
      <c r="D411" s="12">
        <v>46240</v>
      </c>
      <c r="E411" s="14" t="s">
        <v>420</v>
      </c>
      <c r="F411" s="14" t="s">
        <v>74</v>
      </c>
      <c r="G411">
        <v>0</v>
      </c>
      <c r="H411">
        <v>3.8</v>
      </c>
      <c r="I411">
        <v>20</v>
      </c>
      <c r="J411">
        <v>3.8</v>
      </c>
      <c r="K411">
        <v>46240</v>
      </c>
      <c r="L411" t="s">
        <v>472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0</v>
      </c>
      <c r="CD411">
        <v>0</v>
      </c>
    </row>
    <row r="412" spans="1:82" hidden="1" x14ac:dyDescent="0.25">
      <c r="A412" t="s">
        <v>128</v>
      </c>
      <c r="B412" t="s">
        <v>422</v>
      </c>
      <c r="C412" s="14" t="s">
        <v>72</v>
      </c>
      <c r="D412" s="12">
        <v>46240</v>
      </c>
      <c r="E412" s="14" t="s">
        <v>420</v>
      </c>
      <c r="F412" s="14" t="s">
        <v>74</v>
      </c>
      <c r="G412">
        <v>0</v>
      </c>
      <c r="H412">
        <v>0.95</v>
      </c>
      <c r="I412">
        <v>20</v>
      </c>
      <c r="J412">
        <v>0.95</v>
      </c>
      <c r="K412">
        <v>46240</v>
      </c>
      <c r="L412" t="s">
        <v>472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D412">
        <v>0</v>
      </c>
    </row>
    <row r="413" spans="1:82" hidden="1" x14ac:dyDescent="0.25">
      <c r="A413" t="s">
        <v>128</v>
      </c>
      <c r="B413" t="s">
        <v>421</v>
      </c>
      <c r="C413" s="14" t="s">
        <v>72</v>
      </c>
      <c r="D413" s="12">
        <v>46240</v>
      </c>
      <c r="E413" s="14" t="s">
        <v>420</v>
      </c>
      <c r="F413" s="14" t="s">
        <v>75</v>
      </c>
      <c r="G413">
        <v>1.4299114156666153</v>
      </c>
      <c r="H413">
        <v>0.95</v>
      </c>
      <c r="I413">
        <v>20</v>
      </c>
      <c r="J413">
        <v>0.95</v>
      </c>
      <c r="K413">
        <v>46240</v>
      </c>
      <c r="L413" t="s">
        <v>473</v>
      </c>
      <c r="M413">
        <v>0</v>
      </c>
      <c r="N413">
        <v>0.66437682054389102</v>
      </c>
      <c r="O413">
        <v>0.66437682054389102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0.33562317945610898</v>
      </c>
      <c r="AB413">
        <v>0</v>
      </c>
      <c r="AC413">
        <v>0</v>
      </c>
      <c r="AD413">
        <v>0</v>
      </c>
      <c r="AE413">
        <v>0</v>
      </c>
      <c r="AF413">
        <v>0.66437682054389102</v>
      </c>
      <c r="AG413">
        <v>0</v>
      </c>
      <c r="AH413">
        <v>0</v>
      </c>
      <c r="AI413">
        <v>0</v>
      </c>
      <c r="AJ413">
        <v>0</v>
      </c>
      <c r="AK413">
        <v>1.5051699112280161</v>
      </c>
      <c r="AL413">
        <v>1.5051699112280161</v>
      </c>
      <c r="AM413">
        <v>0</v>
      </c>
      <c r="BD413">
        <v>0</v>
      </c>
      <c r="BE413">
        <v>0</v>
      </c>
      <c r="BF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</row>
    <row r="414" spans="1:82" hidden="1" x14ac:dyDescent="0.25">
      <c r="A414" t="s">
        <v>128</v>
      </c>
      <c r="B414" t="s">
        <v>291</v>
      </c>
      <c r="C414" s="14" t="s">
        <v>72</v>
      </c>
      <c r="D414" s="12">
        <v>46240</v>
      </c>
      <c r="E414" s="14" t="s">
        <v>420</v>
      </c>
      <c r="F414" s="14" t="s">
        <v>75</v>
      </c>
      <c r="G414">
        <v>3.1774912809962848</v>
      </c>
      <c r="H414">
        <v>0.95</v>
      </c>
      <c r="I414">
        <v>20</v>
      </c>
      <c r="J414">
        <v>0.95</v>
      </c>
      <c r="K414">
        <v>46240</v>
      </c>
      <c r="L414" t="s">
        <v>473</v>
      </c>
      <c r="M414">
        <v>3.7508650519031144</v>
      </c>
      <c r="N414">
        <v>0.29897800371056649</v>
      </c>
      <c r="O414">
        <v>0.29897800371056649</v>
      </c>
      <c r="P414">
        <v>1.180448574111288</v>
      </c>
      <c r="Q414">
        <v>0.18044857411128801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0.70102199628943351</v>
      </c>
      <c r="AA414">
        <v>0</v>
      </c>
      <c r="AB414">
        <v>0</v>
      </c>
      <c r="AC414">
        <v>0</v>
      </c>
      <c r="AD414">
        <v>0</v>
      </c>
      <c r="AE414">
        <v>0.29897800371056649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3.3447276642066157</v>
      </c>
      <c r="AL414">
        <v>3.3447276642066157</v>
      </c>
      <c r="AM414">
        <v>3.9482790020032783</v>
      </c>
      <c r="BD414">
        <v>0</v>
      </c>
      <c r="BE414">
        <v>0</v>
      </c>
      <c r="BF414">
        <v>0</v>
      </c>
      <c r="BH414">
        <v>0.25327490774907746</v>
      </c>
      <c r="BI414">
        <v>0.25327490774907746</v>
      </c>
      <c r="BJ414">
        <v>0.84713559059771792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0.15286440940228208</v>
      </c>
      <c r="BV414">
        <v>0</v>
      </c>
      <c r="BW414">
        <v>0</v>
      </c>
      <c r="BX414">
        <v>0</v>
      </c>
      <c r="BY414">
        <v>0.25327490774907746</v>
      </c>
      <c r="BZ414">
        <v>0</v>
      </c>
      <c r="CA414">
        <v>0</v>
      </c>
      <c r="CB414">
        <v>0</v>
      </c>
      <c r="CC414">
        <v>0</v>
      </c>
      <c r="CD414">
        <v>0</v>
      </c>
    </row>
    <row r="415" spans="1:82" hidden="1" x14ac:dyDescent="0.25">
      <c r="A415" t="s">
        <v>128</v>
      </c>
      <c r="B415" t="s">
        <v>422</v>
      </c>
      <c r="C415" s="14" t="s">
        <v>72</v>
      </c>
      <c r="D415" s="12">
        <v>46240</v>
      </c>
      <c r="E415" s="14" t="s">
        <v>420</v>
      </c>
      <c r="F415" s="14" t="s">
        <v>75</v>
      </c>
      <c r="G415">
        <v>3.1774912809962848</v>
      </c>
      <c r="H415">
        <v>0.95</v>
      </c>
      <c r="I415">
        <v>20</v>
      </c>
      <c r="J415">
        <v>0.95</v>
      </c>
      <c r="K415">
        <v>46240</v>
      </c>
      <c r="L415" t="s">
        <v>473</v>
      </c>
      <c r="M415">
        <v>0.44472773629575663</v>
      </c>
      <c r="N415">
        <v>0.29897800371056649</v>
      </c>
      <c r="O415">
        <v>0.29897800371056649</v>
      </c>
      <c r="P415">
        <v>0.13996190609728903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0.70102199628943351</v>
      </c>
      <c r="AB415">
        <v>0</v>
      </c>
      <c r="AC415">
        <v>0.15901609761327745</v>
      </c>
      <c r="AD415">
        <v>0</v>
      </c>
      <c r="AE415">
        <v>0.13996190609728903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3.3447276642066157</v>
      </c>
      <c r="AL415">
        <v>3.3447276642066157</v>
      </c>
      <c r="AM415">
        <v>0.46813445925869118</v>
      </c>
      <c r="BD415">
        <v>0</v>
      </c>
      <c r="BE415">
        <v>0</v>
      </c>
      <c r="BF415">
        <v>0</v>
      </c>
      <c r="BH415">
        <v>2.1361384111384112</v>
      </c>
      <c r="BI415">
        <v>2.1361384111384112</v>
      </c>
      <c r="BJ415">
        <v>7.14480123830901</v>
      </c>
      <c r="CA415">
        <v>0</v>
      </c>
      <c r="CB415">
        <v>0</v>
      </c>
      <c r="CC415">
        <v>0</v>
      </c>
    </row>
    <row r="416" spans="1:82" hidden="1" x14ac:dyDescent="0.25">
      <c r="A416" t="s">
        <v>128</v>
      </c>
      <c r="B416" t="s">
        <v>421</v>
      </c>
      <c r="C416" s="14" t="s">
        <v>72</v>
      </c>
      <c r="D416" s="12">
        <v>46241</v>
      </c>
      <c r="E416" s="14" t="s">
        <v>420</v>
      </c>
      <c r="F416" s="14" t="s">
        <v>73</v>
      </c>
      <c r="G416">
        <v>1.869884158948651</v>
      </c>
      <c r="H416">
        <v>0</v>
      </c>
      <c r="I416">
        <v>20</v>
      </c>
      <c r="J416">
        <v>0</v>
      </c>
      <c r="K416">
        <v>46241</v>
      </c>
      <c r="L416" t="s">
        <v>474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</row>
    <row r="417" spans="1:82" hidden="1" x14ac:dyDescent="0.25">
      <c r="A417" t="s">
        <v>128</v>
      </c>
      <c r="B417" t="s">
        <v>422</v>
      </c>
      <c r="C417" s="14" t="s">
        <v>72</v>
      </c>
      <c r="D417" s="12">
        <v>46241</v>
      </c>
      <c r="E417" s="14" t="s">
        <v>420</v>
      </c>
      <c r="F417" s="14" t="s">
        <v>73</v>
      </c>
      <c r="G417">
        <v>3.6011567851291222</v>
      </c>
      <c r="H417">
        <v>0</v>
      </c>
      <c r="I417">
        <v>20</v>
      </c>
      <c r="J417">
        <v>0</v>
      </c>
      <c r="K417">
        <v>46241</v>
      </c>
      <c r="L417" t="s">
        <v>474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</row>
    <row r="418" spans="1:82" hidden="1" x14ac:dyDescent="0.25">
      <c r="A418" t="s">
        <v>128</v>
      </c>
      <c r="B418" t="s">
        <v>291</v>
      </c>
      <c r="C418" s="14" t="s">
        <v>72</v>
      </c>
      <c r="D418" s="12">
        <v>46241</v>
      </c>
      <c r="E418" s="14" t="s">
        <v>420</v>
      </c>
      <c r="F418" s="14" t="s">
        <v>73</v>
      </c>
      <c r="G418">
        <v>3.6011567851291222</v>
      </c>
      <c r="H418">
        <v>3.8</v>
      </c>
      <c r="I418">
        <v>20</v>
      </c>
      <c r="J418">
        <v>3.8</v>
      </c>
      <c r="K418">
        <v>46241</v>
      </c>
      <c r="L418" t="s">
        <v>474</v>
      </c>
      <c r="M418">
        <v>3.7647058823529398</v>
      </c>
      <c r="N418">
        <v>1.0552164836843525</v>
      </c>
      <c r="O418">
        <v>1.0552164836843525</v>
      </c>
      <c r="P418">
        <v>1.0454157113900704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4.541571139007039E-2</v>
      </c>
      <c r="X418">
        <v>0</v>
      </c>
      <c r="Y418">
        <v>9.8007722942821118E-3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0.94767283819187431</v>
      </c>
      <c r="AL418">
        <v>0.94767283819187431</v>
      </c>
      <c r="AM418">
        <v>0.99071207430340524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9.2879256965947565E-3</v>
      </c>
      <c r="AY418">
        <v>0</v>
      </c>
      <c r="AZ418">
        <v>0</v>
      </c>
      <c r="BA418">
        <v>0</v>
      </c>
      <c r="BB418">
        <v>0.94767283819187431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1.0093750000000004</v>
      </c>
      <c r="BI418">
        <v>1.0093750000000004</v>
      </c>
      <c r="BJ418">
        <v>0.95655727104992339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9.3750000000003553E-3</v>
      </c>
      <c r="BT418">
        <v>0</v>
      </c>
      <c r="BU418">
        <v>0</v>
      </c>
      <c r="BV418">
        <v>0</v>
      </c>
      <c r="BW418">
        <v>4.3442728950076615E-2</v>
      </c>
      <c r="BX418">
        <v>0</v>
      </c>
      <c r="BY418">
        <v>0.95655727104992339</v>
      </c>
      <c r="BZ418">
        <v>0</v>
      </c>
      <c r="CA418">
        <v>0</v>
      </c>
      <c r="CB418">
        <v>0</v>
      </c>
      <c r="CC418">
        <v>0</v>
      </c>
      <c r="CD418">
        <v>0</v>
      </c>
    </row>
    <row r="419" spans="1:82" hidden="1" x14ac:dyDescent="0.25">
      <c r="A419" t="s">
        <v>128</v>
      </c>
      <c r="B419" t="s">
        <v>421</v>
      </c>
      <c r="C419" s="14" t="s">
        <v>72</v>
      </c>
      <c r="D419" s="12">
        <v>46241</v>
      </c>
      <c r="E419" s="14" t="s">
        <v>420</v>
      </c>
      <c r="F419" s="14" t="s">
        <v>74</v>
      </c>
      <c r="G419">
        <v>0</v>
      </c>
      <c r="H419">
        <v>0.95</v>
      </c>
      <c r="I419">
        <v>20</v>
      </c>
      <c r="J419">
        <v>0.95</v>
      </c>
      <c r="K419">
        <v>46241</v>
      </c>
      <c r="L419" t="s">
        <v>475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0</v>
      </c>
      <c r="CD419">
        <v>0</v>
      </c>
    </row>
    <row r="420" spans="1:82" hidden="1" x14ac:dyDescent="0.25">
      <c r="A420" t="s">
        <v>128</v>
      </c>
      <c r="B420" t="s">
        <v>291</v>
      </c>
      <c r="C420" s="14" t="s">
        <v>72</v>
      </c>
      <c r="D420" s="12">
        <v>46241</v>
      </c>
      <c r="E420" s="14" t="s">
        <v>420</v>
      </c>
      <c r="F420" s="14" t="s">
        <v>74</v>
      </c>
      <c r="G420">
        <v>0</v>
      </c>
      <c r="H420">
        <v>12.35</v>
      </c>
      <c r="I420">
        <v>20</v>
      </c>
      <c r="J420">
        <v>12.35</v>
      </c>
      <c r="K420">
        <v>46241</v>
      </c>
      <c r="L420" t="s">
        <v>475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D420">
        <v>0</v>
      </c>
    </row>
    <row r="421" spans="1:82" hidden="1" x14ac:dyDescent="0.25">
      <c r="A421" t="s">
        <v>128</v>
      </c>
      <c r="B421" t="s">
        <v>422</v>
      </c>
      <c r="C421" s="14" t="s">
        <v>72</v>
      </c>
      <c r="D421" s="12">
        <v>46241</v>
      </c>
      <c r="E421" s="14" t="s">
        <v>420</v>
      </c>
      <c r="F421" s="14" t="s">
        <v>74</v>
      </c>
      <c r="G421">
        <v>0</v>
      </c>
      <c r="H421">
        <v>0.95</v>
      </c>
      <c r="I421">
        <v>20</v>
      </c>
      <c r="J421">
        <v>0.95</v>
      </c>
      <c r="K421">
        <v>46241</v>
      </c>
      <c r="L421" t="s">
        <v>475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D421">
        <v>0</v>
      </c>
    </row>
    <row r="422" spans="1:82" hidden="1" x14ac:dyDescent="0.25">
      <c r="A422" t="s">
        <v>128</v>
      </c>
      <c r="B422" t="s">
        <v>291</v>
      </c>
      <c r="C422" s="14" t="s">
        <v>72</v>
      </c>
      <c r="D422" s="12">
        <v>46241</v>
      </c>
      <c r="E422" s="14" t="s">
        <v>420</v>
      </c>
      <c r="F422" s="14" t="s">
        <v>75</v>
      </c>
      <c r="G422">
        <v>3.1774912809962856</v>
      </c>
      <c r="H422">
        <v>2.8499999999999996</v>
      </c>
      <c r="I422">
        <v>20</v>
      </c>
      <c r="J422">
        <v>2.8499999999999996</v>
      </c>
      <c r="K422">
        <v>46241</v>
      </c>
      <c r="L422" t="s">
        <v>476</v>
      </c>
      <c r="M422">
        <v>3.7508650519031144</v>
      </c>
      <c r="N422">
        <v>0.89693401113169924</v>
      </c>
      <c r="O422">
        <v>0.89693401113169924</v>
      </c>
      <c r="P422">
        <v>1.1804485741112878</v>
      </c>
      <c r="Q422">
        <v>0.18044857411128779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0.10306598886830076</v>
      </c>
      <c r="AA422">
        <v>0</v>
      </c>
      <c r="AB422">
        <v>0</v>
      </c>
      <c r="AC422">
        <v>0</v>
      </c>
      <c r="AD422">
        <v>0</v>
      </c>
      <c r="AE422">
        <v>0.89693401113169924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1.1149092214022056</v>
      </c>
      <c r="AL422">
        <v>1.1149092214022056</v>
      </c>
      <c r="AM422">
        <v>1.3160930006677596</v>
      </c>
      <c r="AN422">
        <v>0.20118377926555397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0.11490922140220561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0.75982472324723238</v>
      </c>
      <c r="BI422">
        <v>0.75982472324723238</v>
      </c>
      <c r="BJ422">
        <v>0.84713559059771815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0.15286440940228185</v>
      </c>
      <c r="BV422">
        <v>0</v>
      </c>
      <c r="BW422">
        <v>0</v>
      </c>
      <c r="BX422">
        <v>0</v>
      </c>
      <c r="BY422">
        <v>0.75982472324723238</v>
      </c>
      <c r="BZ422">
        <v>0</v>
      </c>
      <c r="CA422">
        <v>0</v>
      </c>
      <c r="CB422">
        <v>0</v>
      </c>
      <c r="CC422">
        <v>0</v>
      </c>
      <c r="CD422">
        <v>0</v>
      </c>
    </row>
    <row r="423" spans="1:82" hidden="1" x14ac:dyDescent="0.25">
      <c r="A423" t="s">
        <v>128</v>
      </c>
      <c r="B423" t="s">
        <v>422</v>
      </c>
      <c r="C423" s="14" t="s">
        <v>72</v>
      </c>
      <c r="D423" s="12">
        <v>46241</v>
      </c>
      <c r="E423" s="14" t="s">
        <v>420</v>
      </c>
      <c r="F423" s="14" t="s">
        <v>75</v>
      </c>
      <c r="G423">
        <v>3.1774912809962856</v>
      </c>
      <c r="H423">
        <v>0.95</v>
      </c>
      <c r="I423">
        <v>20</v>
      </c>
      <c r="J423">
        <v>0.95</v>
      </c>
      <c r="K423">
        <v>46241</v>
      </c>
      <c r="L423" t="s">
        <v>476</v>
      </c>
      <c r="M423">
        <v>0</v>
      </c>
      <c r="N423">
        <v>0.29897800371056643</v>
      </c>
      <c r="O423">
        <v>0.29897800371056643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0.70102199628943351</v>
      </c>
      <c r="AB423">
        <v>0</v>
      </c>
      <c r="AC423">
        <v>0</v>
      </c>
      <c r="AD423">
        <v>0</v>
      </c>
      <c r="AE423">
        <v>0</v>
      </c>
      <c r="AF423">
        <v>0.29897800371056643</v>
      </c>
      <c r="AG423">
        <v>0</v>
      </c>
      <c r="AH423">
        <v>0</v>
      </c>
      <c r="AI423">
        <v>0</v>
      </c>
      <c r="AJ423">
        <v>0</v>
      </c>
      <c r="AK423">
        <v>3.3447276642066166</v>
      </c>
      <c r="AL423">
        <v>3.3447276642066166</v>
      </c>
      <c r="AM423">
        <v>0</v>
      </c>
      <c r="BD423">
        <v>0</v>
      </c>
      <c r="BE423">
        <v>0</v>
      </c>
      <c r="BF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</row>
    <row r="424" spans="1:82" hidden="1" x14ac:dyDescent="0.25">
      <c r="A424" t="s">
        <v>128</v>
      </c>
      <c r="B424" t="s">
        <v>421</v>
      </c>
      <c r="C424" s="14" t="s">
        <v>72</v>
      </c>
      <c r="D424" s="12">
        <v>46241</v>
      </c>
      <c r="E424" s="14" t="s">
        <v>420</v>
      </c>
      <c r="F424" s="14" t="s">
        <v>75</v>
      </c>
      <c r="G424">
        <v>1.4299114156666153</v>
      </c>
      <c r="H424">
        <v>0.95</v>
      </c>
      <c r="I424">
        <v>20</v>
      </c>
      <c r="J424">
        <v>0.95</v>
      </c>
      <c r="K424">
        <v>46241</v>
      </c>
      <c r="L424" t="s">
        <v>476</v>
      </c>
      <c r="M424">
        <v>0</v>
      </c>
      <c r="N424">
        <v>0.66437682054389102</v>
      </c>
      <c r="O424">
        <v>0.66437682054389102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0.33562317945610898</v>
      </c>
      <c r="AB424">
        <v>0</v>
      </c>
      <c r="AC424">
        <v>0</v>
      </c>
      <c r="AD424">
        <v>0</v>
      </c>
      <c r="AE424">
        <v>0</v>
      </c>
      <c r="AF424">
        <v>0.66437682054389102</v>
      </c>
      <c r="AG424">
        <v>0</v>
      </c>
      <c r="AH424">
        <v>0</v>
      </c>
      <c r="AI424">
        <v>0</v>
      </c>
      <c r="AJ424">
        <v>0</v>
      </c>
      <c r="AK424">
        <v>1.5051699112280161</v>
      </c>
      <c r="AL424">
        <v>1.5051699112280161</v>
      </c>
      <c r="AM424">
        <v>0</v>
      </c>
      <c r="BD424">
        <v>0</v>
      </c>
      <c r="BE424">
        <v>0</v>
      </c>
      <c r="BF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</row>
    <row r="425" spans="1:82" hidden="1" x14ac:dyDescent="0.25">
      <c r="A425" t="s">
        <v>128</v>
      </c>
      <c r="B425" t="s">
        <v>422</v>
      </c>
      <c r="C425" s="14" t="s">
        <v>72</v>
      </c>
      <c r="D425" s="12">
        <v>46242</v>
      </c>
      <c r="E425" s="14" t="s">
        <v>420</v>
      </c>
      <c r="F425" s="14" t="s">
        <v>73</v>
      </c>
      <c r="G425">
        <v>3.6011567851291222</v>
      </c>
      <c r="H425">
        <v>0</v>
      </c>
      <c r="I425">
        <v>20</v>
      </c>
      <c r="J425">
        <v>0</v>
      </c>
      <c r="K425">
        <v>46242</v>
      </c>
      <c r="L425" t="s">
        <v>477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</row>
    <row r="426" spans="1:82" hidden="1" x14ac:dyDescent="0.25">
      <c r="A426" t="s">
        <v>128</v>
      </c>
      <c r="B426" t="s">
        <v>291</v>
      </c>
      <c r="C426" s="14" t="s">
        <v>72</v>
      </c>
      <c r="D426" s="12">
        <v>46242</v>
      </c>
      <c r="E426" s="14" t="s">
        <v>420</v>
      </c>
      <c r="F426" s="14" t="s">
        <v>73</v>
      </c>
      <c r="G426">
        <v>3.6011567851291222</v>
      </c>
      <c r="H426">
        <v>13.3</v>
      </c>
      <c r="I426">
        <v>20</v>
      </c>
      <c r="J426">
        <v>13.3</v>
      </c>
      <c r="K426">
        <v>46242</v>
      </c>
      <c r="L426" t="s">
        <v>477</v>
      </c>
      <c r="M426">
        <v>3.7647058823529398</v>
      </c>
      <c r="N426">
        <v>3.6932576928952336</v>
      </c>
      <c r="O426">
        <v>3.6932576928952336</v>
      </c>
      <c r="P426">
        <v>1.0454157113900704</v>
      </c>
      <c r="Q426">
        <v>0</v>
      </c>
      <c r="R426">
        <v>0</v>
      </c>
      <c r="S426">
        <v>2.4432576928952336</v>
      </c>
      <c r="T426">
        <v>0</v>
      </c>
      <c r="U426">
        <v>0</v>
      </c>
      <c r="V426">
        <v>0</v>
      </c>
      <c r="W426">
        <v>4.541571139007039E-2</v>
      </c>
      <c r="X426">
        <v>0</v>
      </c>
      <c r="Y426">
        <v>0.20458428860992961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0.27076366805482122</v>
      </c>
      <c r="AL426">
        <v>0.27076366805482122</v>
      </c>
      <c r="AM426">
        <v>0.28306059265811578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0.71693940734188422</v>
      </c>
      <c r="AY426">
        <v>0</v>
      </c>
      <c r="AZ426">
        <v>0</v>
      </c>
      <c r="BA426">
        <v>0</v>
      </c>
      <c r="BB426">
        <v>0.27076366805482122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3.5328125000000008</v>
      </c>
      <c r="BI426">
        <v>3.5328125000000008</v>
      </c>
      <c r="BJ426">
        <v>0.95655727104992339</v>
      </c>
      <c r="CA426">
        <v>0</v>
      </c>
      <c r="CB426">
        <v>0</v>
      </c>
      <c r="CC426">
        <v>0</v>
      </c>
    </row>
    <row r="427" spans="1:82" hidden="1" x14ac:dyDescent="0.25">
      <c r="A427" t="s">
        <v>128</v>
      </c>
      <c r="B427" t="s">
        <v>421</v>
      </c>
      <c r="C427" s="14" t="s">
        <v>72</v>
      </c>
      <c r="D427" s="12">
        <v>46242</v>
      </c>
      <c r="E427" s="14" t="s">
        <v>420</v>
      </c>
      <c r="F427" s="14" t="s">
        <v>73</v>
      </c>
      <c r="G427">
        <v>1.869884158948651</v>
      </c>
      <c r="H427">
        <v>0</v>
      </c>
      <c r="I427">
        <v>20</v>
      </c>
      <c r="J427">
        <v>0</v>
      </c>
      <c r="K427">
        <v>46242</v>
      </c>
      <c r="L427" t="s">
        <v>477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</row>
    <row r="428" spans="1:82" hidden="1" x14ac:dyDescent="0.25">
      <c r="A428" t="s">
        <v>128</v>
      </c>
      <c r="B428" t="s">
        <v>291</v>
      </c>
      <c r="C428" s="14" t="s">
        <v>72</v>
      </c>
      <c r="D428" s="12">
        <v>46242</v>
      </c>
      <c r="E428" s="14" t="s">
        <v>420</v>
      </c>
      <c r="F428" s="14" t="s">
        <v>74</v>
      </c>
      <c r="G428">
        <v>0</v>
      </c>
      <c r="H428">
        <v>0</v>
      </c>
      <c r="I428">
        <v>20</v>
      </c>
      <c r="J428">
        <v>0</v>
      </c>
      <c r="K428">
        <v>46242</v>
      </c>
      <c r="L428" t="s">
        <v>478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D428">
        <v>0</v>
      </c>
    </row>
    <row r="429" spans="1:82" hidden="1" x14ac:dyDescent="0.25">
      <c r="A429" t="s">
        <v>128</v>
      </c>
      <c r="B429" t="s">
        <v>422</v>
      </c>
      <c r="C429" s="14" t="s">
        <v>72</v>
      </c>
      <c r="D429" s="12">
        <v>46242</v>
      </c>
      <c r="E429" s="14" t="s">
        <v>420</v>
      </c>
      <c r="F429" s="14" t="s">
        <v>74</v>
      </c>
      <c r="G429">
        <v>0</v>
      </c>
      <c r="H429">
        <v>1.9</v>
      </c>
      <c r="I429">
        <v>20</v>
      </c>
      <c r="J429">
        <v>1.9</v>
      </c>
      <c r="K429">
        <v>46242</v>
      </c>
      <c r="L429" t="s">
        <v>478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D429">
        <v>0</v>
      </c>
    </row>
    <row r="430" spans="1:82" hidden="1" x14ac:dyDescent="0.25">
      <c r="A430" t="s">
        <v>128</v>
      </c>
      <c r="B430" t="s">
        <v>421</v>
      </c>
      <c r="C430" s="14" t="s">
        <v>72</v>
      </c>
      <c r="D430" s="12">
        <v>46242</v>
      </c>
      <c r="E430" s="14" t="s">
        <v>420</v>
      </c>
      <c r="F430" s="14" t="s">
        <v>74</v>
      </c>
      <c r="G430">
        <v>0</v>
      </c>
      <c r="H430">
        <v>1.9</v>
      </c>
      <c r="I430">
        <v>20</v>
      </c>
      <c r="J430">
        <v>1.9</v>
      </c>
      <c r="K430">
        <v>46242</v>
      </c>
      <c r="L430" t="s">
        <v>478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0</v>
      </c>
      <c r="CD430">
        <v>0</v>
      </c>
    </row>
    <row r="431" spans="1:82" hidden="1" x14ac:dyDescent="0.25">
      <c r="A431" t="s">
        <v>128</v>
      </c>
      <c r="B431" t="s">
        <v>291</v>
      </c>
      <c r="C431" s="14" t="s">
        <v>72</v>
      </c>
      <c r="D431" s="12">
        <v>46242</v>
      </c>
      <c r="E431" s="14" t="s">
        <v>420</v>
      </c>
      <c r="F431" s="14" t="s">
        <v>75</v>
      </c>
      <c r="G431">
        <v>3.1774912809962856</v>
      </c>
      <c r="H431">
        <v>3.8</v>
      </c>
      <c r="I431">
        <v>20</v>
      </c>
      <c r="J431">
        <v>3.8</v>
      </c>
      <c r="K431">
        <v>46242</v>
      </c>
      <c r="L431" t="s">
        <v>479</v>
      </c>
      <c r="M431">
        <v>3.7508650519031144</v>
      </c>
      <c r="N431">
        <v>1.1959120148422657</v>
      </c>
      <c r="O431">
        <v>1.1959120148422657</v>
      </c>
      <c r="P431">
        <v>1.1804485741112878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0.18044857411128779</v>
      </c>
      <c r="X431">
        <v>0</v>
      </c>
      <c r="Y431">
        <v>1.546344073097794E-2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0.83618191605165415</v>
      </c>
      <c r="AL431">
        <v>0.83618191605165415</v>
      </c>
      <c r="AM431">
        <v>0.98706975050081958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1.2930249499180424E-2</v>
      </c>
      <c r="AY431">
        <v>0</v>
      </c>
      <c r="AZ431">
        <v>0</v>
      </c>
      <c r="BA431">
        <v>0</v>
      </c>
      <c r="BB431">
        <v>0.83618191605165415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1.0130996309963098</v>
      </c>
      <c r="BI431">
        <v>1.0130996309963098</v>
      </c>
      <c r="BJ431">
        <v>0.84713559059771815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1.3099630996309841E-2</v>
      </c>
      <c r="BT431">
        <v>0</v>
      </c>
      <c r="BU431">
        <v>0</v>
      </c>
      <c r="BV431">
        <v>0</v>
      </c>
      <c r="BW431">
        <v>0.15286440940228185</v>
      </c>
      <c r="BX431">
        <v>0</v>
      </c>
      <c r="BY431">
        <v>0.84713559059771815</v>
      </c>
      <c r="BZ431">
        <v>0</v>
      </c>
      <c r="CA431">
        <v>0</v>
      </c>
      <c r="CB431">
        <v>0</v>
      </c>
      <c r="CC431">
        <v>0</v>
      </c>
      <c r="CD431">
        <v>0</v>
      </c>
    </row>
    <row r="432" spans="1:82" hidden="1" x14ac:dyDescent="0.25">
      <c r="A432" t="s">
        <v>128</v>
      </c>
      <c r="B432" t="s">
        <v>421</v>
      </c>
      <c r="C432" s="14" t="s">
        <v>72</v>
      </c>
      <c r="D432" s="12">
        <v>46242</v>
      </c>
      <c r="E432" s="14" t="s">
        <v>420</v>
      </c>
      <c r="F432" s="14" t="s">
        <v>75</v>
      </c>
      <c r="G432">
        <v>1.4299114156666153</v>
      </c>
      <c r="H432">
        <v>0</v>
      </c>
      <c r="I432">
        <v>20</v>
      </c>
      <c r="J432">
        <v>0</v>
      </c>
      <c r="K432">
        <v>46242</v>
      </c>
      <c r="L432" t="s">
        <v>479</v>
      </c>
      <c r="M432">
        <v>0.82352941176470573</v>
      </c>
      <c r="N432">
        <v>0</v>
      </c>
      <c r="O432">
        <v>0</v>
      </c>
      <c r="P432">
        <v>0.5759303707501221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0.5759303707501221</v>
      </c>
      <c r="AA432">
        <v>0.4240696292498779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J432">
        <v>1.7363210047380331</v>
      </c>
      <c r="BK432">
        <v>0.73632100473803308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</row>
    <row r="433" spans="1:82" hidden="1" x14ac:dyDescent="0.25">
      <c r="A433" t="s">
        <v>128</v>
      </c>
      <c r="B433" t="s">
        <v>422</v>
      </c>
      <c r="C433" s="14" t="s">
        <v>72</v>
      </c>
      <c r="D433" s="12">
        <v>46242</v>
      </c>
      <c r="E433" s="14" t="s">
        <v>420</v>
      </c>
      <c r="F433" s="14" t="s">
        <v>75</v>
      </c>
      <c r="G433">
        <v>3.1774912809962856</v>
      </c>
      <c r="H433">
        <v>0</v>
      </c>
      <c r="I433">
        <v>20</v>
      </c>
      <c r="J433">
        <v>0</v>
      </c>
      <c r="K433">
        <v>46242</v>
      </c>
      <c r="L433" t="s">
        <v>479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</row>
    <row r="434" spans="1:82" hidden="1" x14ac:dyDescent="0.25">
      <c r="A434" t="s">
        <v>128</v>
      </c>
      <c r="B434" t="s">
        <v>291</v>
      </c>
      <c r="C434" s="14" t="s">
        <v>72</v>
      </c>
      <c r="D434" s="12">
        <v>46243</v>
      </c>
      <c r="E434" s="14" t="s">
        <v>420</v>
      </c>
      <c r="F434" s="14" t="s">
        <v>73</v>
      </c>
      <c r="G434">
        <v>3.6011567851291222</v>
      </c>
      <c r="H434">
        <v>2.8499999999999996</v>
      </c>
      <c r="I434">
        <v>20</v>
      </c>
      <c r="J434">
        <v>2.8499999999999996</v>
      </c>
      <c r="K434">
        <v>46243</v>
      </c>
      <c r="L434" t="s">
        <v>480</v>
      </c>
      <c r="M434">
        <v>3.7647058823529393</v>
      </c>
      <c r="N434">
        <v>0.79141236276326432</v>
      </c>
      <c r="O434">
        <v>0.79141236276326432</v>
      </c>
      <c r="P434">
        <v>1.0454157113900702</v>
      </c>
      <c r="Q434">
        <v>4.5415711390070168E-2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0.20858763723673568</v>
      </c>
      <c r="AA434">
        <v>0</v>
      </c>
      <c r="AB434">
        <v>0</v>
      </c>
      <c r="AC434">
        <v>0</v>
      </c>
      <c r="AD434">
        <v>0</v>
      </c>
      <c r="AE434">
        <v>0.79141236276326432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1.2635637842558325</v>
      </c>
      <c r="AL434">
        <v>1.2635637842558325</v>
      </c>
      <c r="AM434">
        <v>1.3209494324045403</v>
      </c>
      <c r="AN434">
        <v>5.7385648148707835E-2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0.26356378425583249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0.75703125000000027</v>
      </c>
      <c r="BI434">
        <v>0.75703125000000027</v>
      </c>
      <c r="BJ434">
        <v>0.9565572710499235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4.3442728950076503E-2</v>
      </c>
      <c r="BV434">
        <v>0</v>
      </c>
      <c r="BW434">
        <v>0</v>
      </c>
      <c r="BX434">
        <v>0</v>
      </c>
      <c r="BY434">
        <v>0.75703125000000027</v>
      </c>
      <c r="BZ434">
        <v>0</v>
      </c>
      <c r="CA434">
        <v>0</v>
      </c>
      <c r="CB434">
        <v>0</v>
      </c>
      <c r="CC434">
        <v>0</v>
      </c>
      <c r="CD434">
        <v>0</v>
      </c>
    </row>
    <row r="435" spans="1:82" hidden="1" x14ac:dyDescent="0.25">
      <c r="A435" t="s">
        <v>128</v>
      </c>
      <c r="B435" t="s">
        <v>421</v>
      </c>
      <c r="C435" s="14" t="s">
        <v>72</v>
      </c>
      <c r="D435" s="12">
        <v>46243</v>
      </c>
      <c r="E435" s="14" t="s">
        <v>420</v>
      </c>
      <c r="F435" s="14" t="s">
        <v>73</v>
      </c>
      <c r="G435">
        <v>1.869884158948651</v>
      </c>
      <c r="H435">
        <v>0.95</v>
      </c>
      <c r="I435">
        <v>20</v>
      </c>
      <c r="J435">
        <v>0.95</v>
      </c>
      <c r="K435">
        <v>46243</v>
      </c>
      <c r="L435" t="s">
        <v>480</v>
      </c>
      <c r="M435">
        <v>0</v>
      </c>
      <c r="N435">
        <v>0.50805286276885775</v>
      </c>
      <c r="O435">
        <v>0.50805286276885775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0.49194713723114225</v>
      </c>
      <c r="AB435">
        <v>0</v>
      </c>
      <c r="AC435">
        <v>0</v>
      </c>
      <c r="AD435">
        <v>0</v>
      </c>
      <c r="AE435">
        <v>0</v>
      </c>
      <c r="AF435">
        <v>0.50805286276885775</v>
      </c>
      <c r="AG435">
        <v>0</v>
      </c>
      <c r="AH435">
        <v>0</v>
      </c>
      <c r="AI435">
        <v>0</v>
      </c>
      <c r="AJ435">
        <v>0</v>
      </c>
      <c r="AK435">
        <v>1.9682991146827906</v>
      </c>
      <c r="AL435">
        <v>1.9682991146827906</v>
      </c>
      <c r="AM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</row>
    <row r="436" spans="1:82" hidden="1" x14ac:dyDescent="0.25">
      <c r="A436" t="s">
        <v>128</v>
      </c>
      <c r="B436" t="s">
        <v>422</v>
      </c>
      <c r="C436" s="14" t="s">
        <v>72</v>
      </c>
      <c r="D436" s="12">
        <v>46243</v>
      </c>
      <c r="E436" s="14" t="s">
        <v>420</v>
      </c>
      <c r="F436" s="14" t="s">
        <v>73</v>
      </c>
      <c r="G436">
        <v>3.6011567851291222</v>
      </c>
      <c r="H436">
        <v>0.95</v>
      </c>
      <c r="I436">
        <v>20</v>
      </c>
      <c r="J436">
        <v>0.95</v>
      </c>
      <c r="K436">
        <v>46243</v>
      </c>
      <c r="L436" t="s">
        <v>480</v>
      </c>
      <c r="M436">
        <v>0.82352941176470595</v>
      </c>
      <c r="N436">
        <v>0.26380412092108813</v>
      </c>
      <c r="O436">
        <v>0.26380412092108813</v>
      </c>
      <c r="P436">
        <v>0.22868468686657797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0.73619587907891182</v>
      </c>
      <c r="AB436">
        <v>0</v>
      </c>
      <c r="AC436">
        <v>3.5119434054510151E-2</v>
      </c>
      <c r="AD436">
        <v>0</v>
      </c>
      <c r="AE436">
        <v>0.22868468686657797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3.7906913527674972</v>
      </c>
      <c r="AL436">
        <v>3.7906913527674972</v>
      </c>
      <c r="AM436">
        <v>0.86687306501548</v>
      </c>
      <c r="BD436">
        <v>0</v>
      </c>
      <c r="BE436">
        <v>0</v>
      </c>
      <c r="BF436">
        <v>0</v>
      </c>
      <c r="BH436">
        <v>1.1535714285714285</v>
      </c>
      <c r="BI436">
        <v>1.1535714285714285</v>
      </c>
      <c r="BJ436">
        <v>4.3728332390853621</v>
      </c>
      <c r="BK436">
        <v>3.2192618105139337</v>
      </c>
      <c r="BL436">
        <v>0</v>
      </c>
      <c r="BM436">
        <v>0</v>
      </c>
      <c r="BN436">
        <v>0</v>
      </c>
      <c r="BO436">
        <v>0</v>
      </c>
      <c r="BP436">
        <v>0.34642857142857153</v>
      </c>
      <c r="BQ436">
        <v>0.15357142857142847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</row>
    <row r="437" spans="1:82" hidden="1" x14ac:dyDescent="0.25">
      <c r="A437" t="s">
        <v>128</v>
      </c>
      <c r="B437" t="s">
        <v>421</v>
      </c>
      <c r="C437" s="14" t="s">
        <v>72</v>
      </c>
      <c r="D437" s="12">
        <v>46243</v>
      </c>
      <c r="E437" s="14" t="s">
        <v>420</v>
      </c>
      <c r="F437" s="14" t="s">
        <v>74</v>
      </c>
      <c r="G437">
        <v>0</v>
      </c>
      <c r="H437">
        <v>0</v>
      </c>
      <c r="I437">
        <v>20</v>
      </c>
      <c r="J437">
        <v>0</v>
      </c>
      <c r="K437">
        <v>46243</v>
      </c>
      <c r="L437" t="s">
        <v>481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D437">
        <v>0</v>
      </c>
    </row>
    <row r="438" spans="1:82" hidden="1" x14ac:dyDescent="0.25">
      <c r="A438" t="s">
        <v>128</v>
      </c>
      <c r="B438" t="s">
        <v>291</v>
      </c>
      <c r="C438" s="14" t="s">
        <v>72</v>
      </c>
      <c r="D438" s="12">
        <v>46243</v>
      </c>
      <c r="E438" s="14" t="s">
        <v>420</v>
      </c>
      <c r="F438" s="14" t="s">
        <v>74</v>
      </c>
      <c r="G438">
        <v>0</v>
      </c>
      <c r="H438">
        <v>4.75</v>
      </c>
      <c r="I438">
        <v>20</v>
      </c>
      <c r="J438">
        <v>4.75</v>
      </c>
      <c r="K438">
        <v>46243</v>
      </c>
      <c r="L438" t="s">
        <v>481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0</v>
      </c>
      <c r="CD438">
        <v>0</v>
      </c>
    </row>
    <row r="439" spans="1:82" hidden="1" x14ac:dyDescent="0.25">
      <c r="A439" t="s">
        <v>128</v>
      </c>
      <c r="B439" t="s">
        <v>422</v>
      </c>
      <c r="C439" s="14" t="s">
        <v>72</v>
      </c>
      <c r="D439" s="12">
        <v>46243</v>
      </c>
      <c r="E439" s="14" t="s">
        <v>420</v>
      </c>
      <c r="F439" s="14" t="s">
        <v>74</v>
      </c>
      <c r="G439">
        <v>0</v>
      </c>
      <c r="H439">
        <v>0</v>
      </c>
      <c r="I439">
        <v>20</v>
      </c>
      <c r="J439">
        <v>0</v>
      </c>
      <c r="K439">
        <v>46243</v>
      </c>
      <c r="L439" t="s">
        <v>481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D439">
        <v>0</v>
      </c>
    </row>
    <row r="440" spans="1:82" hidden="1" x14ac:dyDescent="0.25">
      <c r="A440" t="s">
        <v>128</v>
      </c>
      <c r="B440" t="s">
        <v>422</v>
      </c>
      <c r="C440" s="14" t="s">
        <v>72</v>
      </c>
      <c r="D440" s="12">
        <v>46243</v>
      </c>
      <c r="E440" s="14" t="s">
        <v>420</v>
      </c>
      <c r="F440" s="14" t="s">
        <v>75</v>
      </c>
      <c r="G440">
        <v>3.1774912809962856</v>
      </c>
      <c r="H440">
        <v>0</v>
      </c>
      <c r="I440">
        <v>20</v>
      </c>
      <c r="J440">
        <v>0</v>
      </c>
      <c r="K440">
        <v>46243</v>
      </c>
      <c r="L440" t="s">
        <v>482</v>
      </c>
      <c r="M440">
        <v>0.16608996539792387</v>
      </c>
      <c r="N440">
        <v>0</v>
      </c>
      <c r="O440">
        <v>0</v>
      </c>
      <c r="P440">
        <v>5.2270785569503507E-2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5.2270785569503507E-2</v>
      </c>
      <c r="AA440">
        <v>0.94772921443049651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H440">
        <v>0</v>
      </c>
      <c r="BI440">
        <v>0</v>
      </c>
      <c r="BJ440">
        <v>19.131145420998472</v>
      </c>
      <c r="BK440">
        <v>18.131145420998472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</row>
    <row r="441" spans="1:82" hidden="1" x14ac:dyDescent="0.25">
      <c r="A441" t="s">
        <v>128</v>
      </c>
      <c r="B441" t="s">
        <v>421</v>
      </c>
      <c r="C441" s="14" t="s">
        <v>72</v>
      </c>
      <c r="D441" s="12">
        <v>46243</v>
      </c>
      <c r="E441" s="14" t="s">
        <v>420</v>
      </c>
      <c r="F441" s="14" t="s">
        <v>75</v>
      </c>
      <c r="G441">
        <v>1.4299114156666153</v>
      </c>
      <c r="H441">
        <v>0</v>
      </c>
      <c r="I441">
        <v>20</v>
      </c>
      <c r="J441">
        <v>0</v>
      </c>
      <c r="K441">
        <v>46243</v>
      </c>
      <c r="L441" t="s">
        <v>482</v>
      </c>
      <c r="M441">
        <v>0.82352941176470573</v>
      </c>
      <c r="N441">
        <v>0</v>
      </c>
      <c r="O441">
        <v>0</v>
      </c>
      <c r="P441">
        <v>0.5759303707501221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0.5759303707501221</v>
      </c>
      <c r="AA441">
        <v>0.4240696292498779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H441">
        <v>0</v>
      </c>
      <c r="BI441">
        <v>0</v>
      </c>
      <c r="BJ441">
        <v>1.7363210047380331</v>
      </c>
      <c r="BK441">
        <v>0.73632100473803308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</row>
    <row r="442" spans="1:82" hidden="1" x14ac:dyDescent="0.25">
      <c r="A442" t="s">
        <v>128</v>
      </c>
      <c r="B442" t="s">
        <v>291</v>
      </c>
      <c r="C442" s="14" t="s">
        <v>72</v>
      </c>
      <c r="D442" s="12">
        <v>46243</v>
      </c>
      <c r="E442" s="14" t="s">
        <v>420</v>
      </c>
      <c r="F442" s="14" t="s">
        <v>75</v>
      </c>
      <c r="G442">
        <v>3.1774912809962856</v>
      </c>
      <c r="H442">
        <v>11.4</v>
      </c>
      <c r="I442">
        <v>20</v>
      </c>
      <c r="J442">
        <v>11.4</v>
      </c>
      <c r="K442">
        <v>46243</v>
      </c>
      <c r="L442" t="s">
        <v>482</v>
      </c>
      <c r="M442">
        <v>3.7508650519031144</v>
      </c>
      <c r="N442">
        <v>3.587736044526797</v>
      </c>
      <c r="O442">
        <v>3.587736044526797</v>
      </c>
      <c r="P442">
        <v>1.1804485741112878</v>
      </c>
      <c r="Q442">
        <v>0</v>
      </c>
      <c r="R442">
        <v>0</v>
      </c>
      <c r="S442">
        <v>2.337736044526797</v>
      </c>
      <c r="T442">
        <v>0</v>
      </c>
      <c r="U442">
        <v>0</v>
      </c>
      <c r="V442">
        <v>0</v>
      </c>
      <c r="W442">
        <v>0.18044857411128779</v>
      </c>
      <c r="X442">
        <v>0</v>
      </c>
      <c r="Y442">
        <v>6.9551425888712215E-2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0.2787273053505514</v>
      </c>
      <c r="AL442">
        <v>0.2787273053505514</v>
      </c>
      <c r="AM442">
        <v>0.3290232501669399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0.6709767498330601</v>
      </c>
      <c r="AY442">
        <v>0</v>
      </c>
      <c r="AZ442">
        <v>0</v>
      </c>
      <c r="BA442">
        <v>0</v>
      </c>
      <c r="BB442">
        <v>0.2787273053505514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3.0392988929889295</v>
      </c>
      <c r="BI442">
        <v>3.0392988929889295</v>
      </c>
      <c r="BJ442">
        <v>0.84713559059771815</v>
      </c>
      <c r="CA442">
        <v>0</v>
      </c>
      <c r="CB442">
        <v>0</v>
      </c>
      <c r="CC442">
        <v>0</v>
      </c>
    </row>
    <row r="443" spans="1:82" hidden="1" x14ac:dyDescent="0.25">
      <c r="A443" t="s">
        <v>128</v>
      </c>
      <c r="B443" t="s">
        <v>422</v>
      </c>
      <c r="C443" s="14" t="s">
        <v>72</v>
      </c>
      <c r="D443" s="12">
        <v>46244</v>
      </c>
      <c r="E443" s="14" t="s">
        <v>420</v>
      </c>
      <c r="F443" s="14" t="s">
        <v>73</v>
      </c>
      <c r="G443">
        <v>3.6011567851291222</v>
      </c>
      <c r="H443">
        <v>0</v>
      </c>
      <c r="I443">
        <v>20</v>
      </c>
      <c r="J443">
        <v>0</v>
      </c>
      <c r="K443">
        <v>46244</v>
      </c>
      <c r="L443" t="s">
        <v>483</v>
      </c>
      <c r="M443">
        <v>0.82352941176470595</v>
      </c>
      <c r="N443">
        <v>0</v>
      </c>
      <c r="O443">
        <v>0</v>
      </c>
      <c r="P443">
        <v>0.22868468686657797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0.22868468686657797</v>
      </c>
      <c r="AA443">
        <v>0.77131531313342205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H443">
        <v>0</v>
      </c>
      <c r="BI443">
        <v>0</v>
      </c>
      <c r="BJ443">
        <v>4.3728332390853621</v>
      </c>
      <c r="BK443">
        <v>3.3728332390853621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</row>
    <row r="444" spans="1:82" hidden="1" x14ac:dyDescent="0.25">
      <c r="A444" t="s">
        <v>128</v>
      </c>
      <c r="B444" t="s">
        <v>291</v>
      </c>
      <c r="C444" s="14" t="s">
        <v>72</v>
      </c>
      <c r="D444" s="12">
        <v>46244</v>
      </c>
      <c r="E444" s="14" t="s">
        <v>420</v>
      </c>
      <c r="F444" s="14" t="s">
        <v>73</v>
      </c>
      <c r="G444">
        <v>3.6011567851291222</v>
      </c>
      <c r="H444">
        <v>14.25</v>
      </c>
      <c r="I444">
        <v>20</v>
      </c>
      <c r="J444">
        <v>14.25</v>
      </c>
      <c r="K444">
        <v>46244</v>
      </c>
      <c r="L444" t="s">
        <v>483</v>
      </c>
      <c r="M444">
        <v>3.7647058823529398</v>
      </c>
      <c r="N444">
        <v>3.9570618138163223</v>
      </c>
      <c r="O444">
        <v>3.9570618138163223</v>
      </c>
      <c r="P444">
        <v>1.0454157113900704</v>
      </c>
      <c r="Q444">
        <v>0</v>
      </c>
      <c r="R444">
        <v>0</v>
      </c>
      <c r="S444">
        <v>2.7070618138163223</v>
      </c>
      <c r="T444">
        <v>0</v>
      </c>
      <c r="U444">
        <v>0</v>
      </c>
      <c r="V444">
        <v>0</v>
      </c>
      <c r="W444">
        <v>4.541571139007039E-2</v>
      </c>
      <c r="X444">
        <v>0</v>
      </c>
      <c r="Y444">
        <v>0.20458428860992961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0.25271275685116645</v>
      </c>
      <c r="AL444">
        <v>0.25271275685116645</v>
      </c>
      <c r="AM444">
        <v>0.26418988648090808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0.73581011351909198</v>
      </c>
      <c r="AY444">
        <v>0</v>
      </c>
      <c r="AZ444">
        <v>0</v>
      </c>
      <c r="BA444">
        <v>0</v>
      </c>
      <c r="BB444">
        <v>0.25271275685116645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3.7851562500000013</v>
      </c>
      <c r="BI444">
        <v>3.7851562500000013</v>
      </c>
      <c r="BJ444">
        <v>0.95655727104992339</v>
      </c>
      <c r="CA444">
        <v>0</v>
      </c>
      <c r="CB444">
        <v>0</v>
      </c>
      <c r="CC444">
        <v>0</v>
      </c>
    </row>
    <row r="445" spans="1:82" hidden="1" x14ac:dyDescent="0.25">
      <c r="A445" t="s">
        <v>128</v>
      </c>
      <c r="B445" t="s">
        <v>421</v>
      </c>
      <c r="C445" s="14" t="s">
        <v>72</v>
      </c>
      <c r="D445" s="12">
        <v>46244</v>
      </c>
      <c r="E445" s="14" t="s">
        <v>420</v>
      </c>
      <c r="F445" s="14" t="s">
        <v>73</v>
      </c>
      <c r="G445">
        <v>1.869884158948651</v>
      </c>
      <c r="H445">
        <v>0</v>
      </c>
      <c r="I445">
        <v>20</v>
      </c>
      <c r="J445">
        <v>0</v>
      </c>
      <c r="K445">
        <v>46244</v>
      </c>
      <c r="L445" t="s">
        <v>483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</row>
    <row r="446" spans="1:82" hidden="1" x14ac:dyDescent="0.25">
      <c r="A446" t="s">
        <v>128</v>
      </c>
      <c r="B446" t="s">
        <v>291</v>
      </c>
      <c r="C446" s="14" t="s">
        <v>72</v>
      </c>
      <c r="D446" s="12">
        <v>46244</v>
      </c>
      <c r="E446" s="14" t="s">
        <v>420</v>
      </c>
      <c r="F446" s="14" t="s">
        <v>74</v>
      </c>
      <c r="G446">
        <v>0</v>
      </c>
      <c r="H446">
        <v>0</v>
      </c>
      <c r="I446">
        <v>20</v>
      </c>
      <c r="J446">
        <v>0</v>
      </c>
      <c r="K446">
        <v>46244</v>
      </c>
      <c r="L446" t="s">
        <v>484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D446">
        <v>0</v>
      </c>
    </row>
    <row r="447" spans="1:82" hidden="1" x14ac:dyDescent="0.25">
      <c r="A447" t="s">
        <v>128</v>
      </c>
      <c r="B447" t="s">
        <v>421</v>
      </c>
      <c r="C447" s="14" t="s">
        <v>72</v>
      </c>
      <c r="D447" s="12">
        <v>46244</v>
      </c>
      <c r="E447" s="14" t="s">
        <v>420</v>
      </c>
      <c r="F447" s="14" t="s">
        <v>74</v>
      </c>
      <c r="G447">
        <v>0</v>
      </c>
      <c r="H447">
        <v>0.95</v>
      </c>
      <c r="I447">
        <v>20</v>
      </c>
      <c r="J447">
        <v>0.95</v>
      </c>
      <c r="K447">
        <v>46244</v>
      </c>
      <c r="L447" t="s">
        <v>484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</v>
      </c>
      <c r="CD447">
        <v>0</v>
      </c>
    </row>
    <row r="448" spans="1:82" hidden="1" x14ac:dyDescent="0.25">
      <c r="A448" t="s">
        <v>128</v>
      </c>
      <c r="B448" t="s">
        <v>422</v>
      </c>
      <c r="C448" s="14" t="s">
        <v>72</v>
      </c>
      <c r="D448" s="12">
        <v>46244</v>
      </c>
      <c r="E448" s="14" t="s">
        <v>420</v>
      </c>
      <c r="F448" s="14" t="s">
        <v>74</v>
      </c>
      <c r="G448">
        <v>0</v>
      </c>
      <c r="H448">
        <v>0.95</v>
      </c>
      <c r="I448">
        <v>20</v>
      </c>
      <c r="J448">
        <v>0.95</v>
      </c>
      <c r="K448">
        <v>46244</v>
      </c>
      <c r="L448" t="s">
        <v>484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1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</v>
      </c>
      <c r="CD448">
        <v>0</v>
      </c>
    </row>
    <row r="449" spans="1:82" hidden="1" x14ac:dyDescent="0.25">
      <c r="A449" t="s">
        <v>128</v>
      </c>
      <c r="B449" t="s">
        <v>422</v>
      </c>
      <c r="C449" s="14" t="s">
        <v>72</v>
      </c>
      <c r="D449" s="12">
        <v>46244</v>
      </c>
      <c r="E449" s="14" t="s">
        <v>420</v>
      </c>
      <c r="F449" s="14" t="s">
        <v>75</v>
      </c>
      <c r="G449">
        <v>3.1774912809962848</v>
      </c>
      <c r="H449">
        <v>0</v>
      </c>
      <c r="I449">
        <v>20</v>
      </c>
      <c r="J449">
        <v>0</v>
      </c>
      <c r="K449">
        <v>46244</v>
      </c>
      <c r="L449" t="s">
        <v>485</v>
      </c>
      <c r="M449">
        <v>0.16608996539792387</v>
      </c>
      <c r="N449">
        <v>0</v>
      </c>
      <c r="O449">
        <v>0</v>
      </c>
      <c r="P449">
        <v>5.2270785569503521E-2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5.2270785569503521E-2</v>
      </c>
      <c r="AA449">
        <v>0.94772921443049651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H449">
        <v>0</v>
      </c>
      <c r="BI449">
        <v>0</v>
      </c>
      <c r="BJ449">
        <v>19.131145420998465</v>
      </c>
      <c r="BK449">
        <v>18.131145420998465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</row>
    <row r="450" spans="1:82" hidden="1" x14ac:dyDescent="0.25">
      <c r="A450" t="s">
        <v>128</v>
      </c>
      <c r="B450" t="s">
        <v>291</v>
      </c>
      <c r="C450" s="14" t="s">
        <v>72</v>
      </c>
      <c r="D450" s="12">
        <v>46244</v>
      </c>
      <c r="E450" s="14" t="s">
        <v>420</v>
      </c>
      <c r="F450" s="14" t="s">
        <v>75</v>
      </c>
      <c r="G450">
        <v>3.1774912809962848</v>
      </c>
      <c r="H450">
        <v>3.8</v>
      </c>
      <c r="I450">
        <v>20</v>
      </c>
      <c r="J450">
        <v>3.8</v>
      </c>
      <c r="K450">
        <v>46244</v>
      </c>
      <c r="L450" t="s">
        <v>485</v>
      </c>
      <c r="M450">
        <v>3.7508650519031144</v>
      </c>
      <c r="N450">
        <v>1.1959120148422659</v>
      </c>
      <c r="O450">
        <v>1.1959120148422659</v>
      </c>
      <c r="P450">
        <v>1.180448574111288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0.18044857411128801</v>
      </c>
      <c r="X450">
        <v>0</v>
      </c>
      <c r="Y450">
        <v>1.546344073097794E-2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0.83618191605165393</v>
      </c>
      <c r="AL450">
        <v>0.83618191605165393</v>
      </c>
      <c r="AM450">
        <v>0.98706975050081958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1.2930249499180424E-2</v>
      </c>
      <c r="AY450">
        <v>0</v>
      </c>
      <c r="AZ450">
        <v>0</v>
      </c>
      <c r="BA450">
        <v>0</v>
      </c>
      <c r="BB450">
        <v>0.83618191605165393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1.0130996309963098</v>
      </c>
      <c r="BI450">
        <v>1.0130996309963098</v>
      </c>
      <c r="BJ450">
        <v>0.84713559059771792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1.3099630996309841E-2</v>
      </c>
      <c r="BT450">
        <v>0</v>
      </c>
      <c r="BU450">
        <v>0</v>
      </c>
      <c r="BV450">
        <v>0</v>
      </c>
      <c r="BW450">
        <v>0.15286440940228208</v>
      </c>
      <c r="BX450">
        <v>0</v>
      </c>
      <c r="BY450">
        <v>0.84713559059771792</v>
      </c>
      <c r="BZ450">
        <v>0</v>
      </c>
      <c r="CA450">
        <v>0</v>
      </c>
      <c r="CB450">
        <v>0</v>
      </c>
      <c r="CC450">
        <v>0</v>
      </c>
      <c r="CD450">
        <v>0</v>
      </c>
    </row>
    <row r="451" spans="1:82" hidden="1" x14ac:dyDescent="0.25">
      <c r="A451" t="s">
        <v>128</v>
      </c>
      <c r="B451" t="s">
        <v>421</v>
      </c>
      <c r="C451" s="14" t="s">
        <v>72</v>
      </c>
      <c r="D451" s="12">
        <v>46244</v>
      </c>
      <c r="E451" s="14" t="s">
        <v>420</v>
      </c>
      <c r="F451" s="14" t="s">
        <v>75</v>
      </c>
      <c r="G451">
        <v>1.4299114156666155</v>
      </c>
      <c r="H451">
        <v>0</v>
      </c>
      <c r="I451">
        <v>20</v>
      </c>
      <c r="J451">
        <v>0</v>
      </c>
      <c r="K451">
        <v>46244</v>
      </c>
      <c r="L451" t="s">
        <v>485</v>
      </c>
      <c r="M451">
        <v>0.82352941176470573</v>
      </c>
      <c r="N451">
        <v>0</v>
      </c>
      <c r="O451">
        <v>0</v>
      </c>
      <c r="P451">
        <v>0.57593037075012199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0.57593037075012199</v>
      </c>
      <c r="AA451">
        <v>0.42406962924987801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H451">
        <v>0</v>
      </c>
      <c r="BI451">
        <v>0</v>
      </c>
      <c r="BJ451">
        <v>1.7363210047380335</v>
      </c>
      <c r="BK451">
        <v>0.73632100473803352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</row>
    <row r="452" spans="1:82" hidden="1" x14ac:dyDescent="0.25">
      <c r="A452" t="s">
        <v>128</v>
      </c>
      <c r="B452" t="s">
        <v>291</v>
      </c>
      <c r="C452" s="14" t="s">
        <v>72</v>
      </c>
      <c r="D452" s="12">
        <v>46245</v>
      </c>
      <c r="E452" s="14" t="s">
        <v>420</v>
      </c>
      <c r="F452" s="14" t="s">
        <v>73</v>
      </c>
      <c r="G452">
        <v>3.6011567851291222</v>
      </c>
      <c r="H452">
        <v>1.9</v>
      </c>
      <c r="I452">
        <v>20</v>
      </c>
      <c r="J452">
        <v>1.9</v>
      </c>
      <c r="K452">
        <v>46245</v>
      </c>
      <c r="L452" t="s">
        <v>486</v>
      </c>
      <c r="M452">
        <v>3.7647058823529398</v>
      </c>
      <c r="N452">
        <v>0.52760824184217625</v>
      </c>
      <c r="O452">
        <v>0.52760824184217625</v>
      </c>
      <c r="P452">
        <v>1.0454157113900704</v>
      </c>
      <c r="Q452">
        <v>4.541571139007039E-2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0.47239175815782375</v>
      </c>
      <c r="AA452">
        <v>0</v>
      </c>
      <c r="AB452">
        <v>0</v>
      </c>
      <c r="AC452">
        <v>0</v>
      </c>
      <c r="AD452">
        <v>0</v>
      </c>
      <c r="AE452">
        <v>0.52760824184217625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1.8953456763837486</v>
      </c>
      <c r="AL452">
        <v>1.8953456763837486</v>
      </c>
      <c r="AM452">
        <v>1.9814241486068105</v>
      </c>
      <c r="BD452">
        <v>0</v>
      </c>
      <c r="BE452">
        <v>0</v>
      </c>
      <c r="BF452">
        <v>0</v>
      </c>
      <c r="BH452">
        <v>0.50468750000000018</v>
      </c>
      <c r="BI452">
        <v>0.50468750000000018</v>
      </c>
      <c r="BJ452">
        <v>0.95655727104992339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4.3442728950076615E-2</v>
      </c>
      <c r="BV452">
        <v>0</v>
      </c>
      <c r="BW452">
        <v>0</v>
      </c>
      <c r="BX452">
        <v>0</v>
      </c>
      <c r="BY452">
        <v>0.50468750000000018</v>
      </c>
      <c r="BZ452">
        <v>0</v>
      </c>
      <c r="CA452">
        <v>0</v>
      </c>
      <c r="CB452">
        <v>0</v>
      </c>
      <c r="CC452">
        <v>0</v>
      </c>
      <c r="CD452">
        <v>0</v>
      </c>
    </row>
    <row r="453" spans="1:82" hidden="1" x14ac:dyDescent="0.25">
      <c r="A453" t="s">
        <v>128</v>
      </c>
      <c r="B453" t="s">
        <v>422</v>
      </c>
      <c r="C453" s="14" t="s">
        <v>72</v>
      </c>
      <c r="D453" s="12">
        <v>46245</v>
      </c>
      <c r="E453" s="14" t="s">
        <v>420</v>
      </c>
      <c r="F453" s="14" t="s">
        <v>73</v>
      </c>
      <c r="G453">
        <v>3.6011567851291222</v>
      </c>
      <c r="H453">
        <v>0.95</v>
      </c>
      <c r="I453">
        <v>20</v>
      </c>
      <c r="J453">
        <v>0.95</v>
      </c>
      <c r="K453">
        <v>46245</v>
      </c>
      <c r="L453" t="s">
        <v>486</v>
      </c>
      <c r="M453">
        <v>0.82352941176470595</v>
      </c>
      <c r="N453">
        <v>0.26380412092108813</v>
      </c>
      <c r="O453">
        <v>0.26380412092108813</v>
      </c>
      <c r="P453">
        <v>0.22868468686657797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0.73619587907891182</v>
      </c>
      <c r="AB453">
        <v>0</v>
      </c>
      <c r="AC453">
        <v>3.5119434054510151E-2</v>
      </c>
      <c r="AD453">
        <v>0</v>
      </c>
      <c r="AE453">
        <v>0.22868468686657797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3.7906913527674972</v>
      </c>
      <c r="AL453">
        <v>3.7906913527674972</v>
      </c>
      <c r="AM453">
        <v>0.86687306501548</v>
      </c>
      <c r="BD453">
        <v>0</v>
      </c>
      <c r="BE453">
        <v>0</v>
      </c>
      <c r="BF453">
        <v>0</v>
      </c>
      <c r="BH453">
        <v>1.1535714285714285</v>
      </c>
      <c r="BI453">
        <v>1.1535714285714285</v>
      </c>
      <c r="BJ453">
        <v>4.3728332390853621</v>
      </c>
      <c r="BK453">
        <v>3.2192618105139337</v>
      </c>
      <c r="BL453">
        <v>0</v>
      </c>
      <c r="BM453">
        <v>0</v>
      </c>
      <c r="BN453">
        <v>0</v>
      </c>
      <c r="BO453">
        <v>0</v>
      </c>
      <c r="BP453">
        <v>0.34642857142857153</v>
      </c>
      <c r="BQ453">
        <v>0.15357142857142847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</row>
    <row r="454" spans="1:82" hidden="1" x14ac:dyDescent="0.25">
      <c r="A454" t="s">
        <v>128</v>
      </c>
      <c r="B454" t="s">
        <v>421</v>
      </c>
      <c r="C454" s="14" t="s">
        <v>72</v>
      </c>
      <c r="D454" s="12">
        <v>46245</v>
      </c>
      <c r="E454" s="14" t="s">
        <v>420</v>
      </c>
      <c r="F454" s="14" t="s">
        <v>73</v>
      </c>
      <c r="G454">
        <v>1.869884158948651</v>
      </c>
      <c r="H454">
        <v>0.95</v>
      </c>
      <c r="I454">
        <v>20</v>
      </c>
      <c r="J454">
        <v>0.95</v>
      </c>
      <c r="K454">
        <v>46245</v>
      </c>
      <c r="L454" t="s">
        <v>486</v>
      </c>
      <c r="M454">
        <v>0</v>
      </c>
      <c r="N454">
        <v>0.50805286276885775</v>
      </c>
      <c r="O454">
        <v>0.50805286276885775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0.49194713723114225</v>
      </c>
      <c r="AB454">
        <v>0</v>
      </c>
      <c r="AC454">
        <v>0</v>
      </c>
      <c r="AD454">
        <v>0</v>
      </c>
      <c r="AE454">
        <v>0</v>
      </c>
      <c r="AF454">
        <v>0.50805286276885775</v>
      </c>
      <c r="AG454">
        <v>0</v>
      </c>
      <c r="AH454">
        <v>0</v>
      </c>
      <c r="AI454">
        <v>0</v>
      </c>
      <c r="AJ454">
        <v>0</v>
      </c>
      <c r="AK454">
        <v>1.9682991146827906</v>
      </c>
      <c r="AL454">
        <v>1.9682991146827906</v>
      </c>
      <c r="AM454">
        <v>0</v>
      </c>
      <c r="BD454">
        <v>0</v>
      </c>
      <c r="BE454">
        <v>0</v>
      </c>
      <c r="BF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</row>
    <row r="455" spans="1:82" hidden="1" x14ac:dyDescent="0.25">
      <c r="A455" t="s">
        <v>128</v>
      </c>
      <c r="B455" t="s">
        <v>422</v>
      </c>
      <c r="C455" s="14" t="s">
        <v>72</v>
      </c>
      <c r="D455" s="12">
        <v>46245</v>
      </c>
      <c r="E455" s="14" t="s">
        <v>420</v>
      </c>
      <c r="F455" s="14" t="s">
        <v>74</v>
      </c>
      <c r="G455">
        <v>0</v>
      </c>
      <c r="H455">
        <v>0.95</v>
      </c>
      <c r="I455">
        <v>20</v>
      </c>
      <c r="J455">
        <v>0.95</v>
      </c>
      <c r="K455">
        <v>46245</v>
      </c>
      <c r="L455" t="s">
        <v>487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0</v>
      </c>
      <c r="CD455">
        <v>0</v>
      </c>
    </row>
    <row r="456" spans="1:82" hidden="1" x14ac:dyDescent="0.25">
      <c r="A456" t="s">
        <v>128</v>
      </c>
      <c r="B456" t="s">
        <v>291</v>
      </c>
      <c r="C456" s="14" t="s">
        <v>72</v>
      </c>
      <c r="D456" s="12">
        <v>46245</v>
      </c>
      <c r="E456" s="14" t="s">
        <v>420</v>
      </c>
      <c r="F456" s="14" t="s">
        <v>74</v>
      </c>
      <c r="G456">
        <v>0</v>
      </c>
      <c r="H456">
        <v>11.4</v>
      </c>
      <c r="I456">
        <v>20</v>
      </c>
      <c r="J456">
        <v>11.4</v>
      </c>
      <c r="K456">
        <v>46245</v>
      </c>
      <c r="L456" t="s">
        <v>487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D456">
        <v>0</v>
      </c>
    </row>
    <row r="457" spans="1:82" hidden="1" x14ac:dyDescent="0.25">
      <c r="A457" t="s">
        <v>128</v>
      </c>
      <c r="B457" t="s">
        <v>421</v>
      </c>
      <c r="C457" s="14" t="s">
        <v>72</v>
      </c>
      <c r="D457" s="12">
        <v>46245</v>
      </c>
      <c r="E457" s="14" t="s">
        <v>420</v>
      </c>
      <c r="F457" s="14" t="s">
        <v>74</v>
      </c>
      <c r="G457">
        <v>0</v>
      </c>
      <c r="H457">
        <v>0.95</v>
      </c>
      <c r="I457">
        <v>20</v>
      </c>
      <c r="J457">
        <v>0.95</v>
      </c>
      <c r="K457">
        <v>46245</v>
      </c>
      <c r="L457" t="s">
        <v>487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D457">
        <v>0</v>
      </c>
    </row>
    <row r="458" spans="1:82" hidden="1" x14ac:dyDescent="0.25">
      <c r="A458" t="s">
        <v>128</v>
      </c>
      <c r="B458" t="s">
        <v>422</v>
      </c>
      <c r="C458" s="14" t="s">
        <v>72</v>
      </c>
      <c r="D458" s="12">
        <v>46245</v>
      </c>
      <c r="E458" s="14" t="s">
        <v>420</v>
      </c>
      <c r="F458" s="14" t="s">
        <v>75</v>
      </c>
      <c r="G458">
        <v>3.1774912809962848</v>
      </c>
      <c r="H458">
        <v>0</v>
      </c>
      <c r="I458">
        <v>20</v>
      </c>
      <c r="J458">
        <v>0</v>
      </c>
      <c r="K458">
        <v>46245</v>
      </c>
      <c r="L458" t="s">
        <v>488</v>
      </c>
      <c r="M458">
        <v>0.16608996539792387</v>
      </c>
      <c r="N458">
        <v>0</v>
      </c>
      <c r="O458">
        <v>0</v>
      </c>
      <c r="P458">
        <v>5.2270785569503521E-2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5.2270785569503521E-2</v>
      </c>
      <c r="AA458">
        <v>0.94772921443049651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H458">
        <v>0</v>
      </c>
      <c r="BI458">
        <v>0</v>
      </c>
      <c r="BJ458">
        <v>19.131145420998465</v>
      </c>
      <c r="BK458">
        <v>18.131145420998465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</row>
    <row r="459" spans="1:82" hidden="1" x14ac:dyDescent="0.25">
      <c r="A459" t="s">
        <v>128</v>
      </c>
      <c r="B459" t="s">
        <v>291</v>
      </c>
      <c r="C459" s="14" t="s">
        <v>72</v>
      </c>
      <c r="D459" s="12">
        <v>46245</v>
      </c>
      <c r="E459" s="14" t="s">
        <v>420</v>
      </c>
      <c r="F459" s="14" t="s">
        <v>75</v>
      </c>
      <c r="G459">
        <v>3.1774912809962848</v>
      </c>
      <c r="H459">
        <v>2.8499999999999996</v>
      </c>
      <c r="I459">
        <v>20</v>
      </c>
      <c r="J459">
        <v>2.8499999999999996</v>
      </c>
      <c r="K459">
        <v>46245</v>
      </c>
      <c r="L459" t="s">
        <v>488</v>
      </c>
      <c r="M459">
        <v>3.7508650519031144</v>
      </c>
      <c r="N459">
        <v>0.89693401113169946</v>
      </c>
      <c r="O459">
        <v>0.89693401113169946</v>
      </c>
      <c r="P459">
        <v>1.180448574111288</v>
      </c>
      <c r="Q459">
        <v>0.18044857411128801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0.10306598886830054</v>
      </c>
      <c r="AA459">
        <v>0</v>
      </c>
      <c r="AB459">
        <v>0</v>
      </c>
      <c r="AC459">
        <v>0</v>
      </c>
      <c r="AD459">
        <v>0</v>
      </c>
      <c r="AE459">
        <v>0.89693401113169946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1.1149092214022054</v>
      </c>
      <c r="AL459">
        <v>1.1149092214022054</v>
      </c>
      <c r="AM459">
        <v>1.3160930006677596</v>
      </c>
      <c r="AN459">
        <v>0.2011837792655542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0.11490922140220539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0.75982472324723238</v>
      </c>
      <c r="BI459">
        <v>0.75982472324723238</v>
      </c>
      <c r="BJ459">
        <v>0.84713559059771792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0.15286440940228208</v>
      </c>
      <c r="BV459">
        <v>0</v>
      </c>
      <c r="BW459">
        <v>0</v>
      </c>
      <c r="BX459">
        <v>0</v>
      </c>
      <c r="BY459">
        <v>0.75982472324723238</v>
      </c>
      <c r="BZ459">
        <v>0</v>
      </c>
      <c r="CA459">
        <v>0</v>
      </c>
      <c r="CB459">
        <v>0</v>
      </c>
      <c r="CC459">
        <v>0</v>
      </c>
      <c r="CD459">
        <v>0</v>
      </c>
    </row>
    <row r="460" spans="1:82" hidden="1" x14ac:dyDescent="0.25">
      <c r="A460" t="s">
        <v>128</v>
      </c>
      <c r="B460" t="s">
        <v>421</v>
      </c>
      <c r="C460" s="14" t="s">
        <v>72</v>
      </c>
      <c r="D460" s="12">
        <v>46245</v>
      </c>
      <c r="E460" s="14" t="s">
        <v>420</v>
      </c>
      <c r="F460" s="14" t="s">
        <v>75</v>
      </c>
      <c r="G460">
        <v>1.4299114156666155</v>
      </c>
      <c r="H460">
        <v>0</v>
      </c>
      <c r="I460">
        <v>20</v>
      </c>
      <c r="J460">
        <v>0</v>
      </c>
      <c r="K460">
        <v>46245</v>
      </c>
      <c r="L460" t="s">
        <v>488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</row>
    <row r="461" spans="1:82" hidden="1" x14ac:dyDescent="0.25">
      <c r="A461" t="s">
        <v>128</v>
      </c>
      <c r="B461" t="s">
        <v>291</v>
      </c>
      <c r="C461" s="14" t="s">
        <v>72</v>
      </c>
      <c r="D461" s="12">
        <v>46246</v>
      </c>
      <c r="E461" s="14" t="s">
        <v>420</v>
      </c>
      <c r="F461" s="14" t="s">
        <v>73</v>
      </c>
      <c r="G461">
        <v>3.6011567851291222</v>
      </c>
      <c r="H461">
        <v>1.9</v>
      </c>
      <c r="I461">
        <v>20</v>
      </c>
      <c r="J461">
        <v>1.9</v>
      </c>
      <c r="K461">
        <v>46246</v>
      </c>
      <c r="L461" t="s">
        <v>489</v>
      </c>
      <c r="M461">
        <v>3.7647058823529398</v>
      </c>
      <c r="N461">
        <v>0.52760824184217625</v>
      </c>
      <c r="O461">
        <v>0.52760824184217625</v>
      </c>
      <c r="P461">
        <v>1.0454157113900704</v>
      </c>
      <c r="Q461">
        <v>4.541571139007039E-2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0.47239175815782375</v>
      </c>
      <c r="AA461">
        <v>0</v>
      </c>
      <c r="AB461">
        <v>0</v>
      </c>
      <c r="AC461">
        <v>0</v>
      </c>
      <c r="AD461">
        <v>0</v>
      </c>
      <c r="AE461">
        <v>0.52760824184217625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1.8953456763837486</v>
      </c>
      <c r="AL461">
        <v>1.8953456763837486</v>
      </c>
      <c r="AM461">
        <v>1.9814241486068105</v>
      </c>
      <c r="BD461">
        <v>0</v>
      </c>
      <c r="BE461">
        <v>0</v>
      </c>
      <c r="BF461">
        <v>0</v>
      </c>
      <c r="BH461">
        <v>0.50468750000000018</v>
      </c>
      <c r="BI461">
        <v>0.50468750000000018</v>
      </c>
      <c r="BJ461">
        <v>0.95655727104992339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4.3442728950076615E-2</v>
      </c>
      <c r="BV461">
        <v>0</v>
      </c>
      <c r="BW461">
        <v>0</v>
      </c>
      <c r="BX461">
        <v>0</v>
      </c>
      <c r="BY461">
        <v>0.50468750000000018</v>
      </c>
      <c r="BZ461">
        <v>0</v>
      </c>
      <c r="CA461">
        <v>0</v>
      </c>
      <c r="CB461">
        <v>0</v>
      </c>
      <c r="CC461">
        <v>0</v>
      </c>
      <c r="CD461">
        <v>0</v>
      </c>
    </row>
    <row r="462" spans="1:82" hidden="1" x14ac:dyDescent="0.25">
      <c r="A462" t="s">
        <v>128</v>
      </c>
      <c r="B462" t="s">
        <v>421</v>
      </c>
      <c r="C462" s="14" t="s">
        <v>72</v>
      </c>
      <c r="D462" s="12">
        <v>46246</v>
      </c>
      <c r="E462" s="14" t="s">
        <v>420</v>
      </c>
      <c r="F462" s="14" t="s">
        <v>73</v>
      </c>
      <c r="G462">
        <v>1.636148639080069</v>
      </c>
      <c r="H462">
        <v>1.9</v>
      </c>
      <c r="I462">
        <v>20</v>
      </c>
      <c r="J462">
        <v>1.9</v>
      </c>
      <c r="K462">
        <v>46246</v>
      </c>
      <c r="L462" t="s">
        <v>489</v>
      </c>
      <c r="M462">
        <v>0</v>
      </c>
      <c r="N462">
        <v>1.1612636863288182</v>
      </c>
      <c r="O462">
        <v>1.1612636863288182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0.16126368632881816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0.86113086267372063</v>
      </c>
      <c r="AL462">
        <v>0.86113086267372063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</row>
    <row r="463" spans="1:82" hidden="1" x14ac:dyDescent="0.25">
      <c r="A463" t="s">
        <v>128</v>
      </c>
      <c r="B463" t="s">
        <v>422</v>
      </c>
      <c r="C463" s="14" t="s">
        <v>72</v>
      </c>
      <c r="D463" s="12">
        <v>46246</v>
      </c>
      <c r="E463" s="14" t="s">
        <v>420</v>
      </c>
      <c r="F463" s="14" t="s">
        <v>73</v>
      </c>
      <c r="G463">
        <v>3.6011567851291222</v>
      </c>
      <c r="H463">
        <v>1.9</v>
      </c>
      <c r="I463">
        <v>20</v>
      </c>
      <c r="J463">
        <v>1.9</v>
      </c>
      <c r="K463">
        <v>46246</v>
      </c>
      <c r="L463" t="s">
        <v>489</v>
      </c>
      <c r="M463">
        <v>1.6470588235294119</v>
      </c>
      <c r="N463">
        <v>0.52760824184217625</v>
      </c>
      <c r="O463">
        <v>0.52760824184217625</v>
      </c>
      <c r="P463">
        <v>0.45736937373315595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0.47239175815782375</v>
      </c>
      <c r="AB463">
        <v>0</v>
      </c>
      <c r="AC463">
        <v>7.0238868109020303E-2</v>
      </c>
      <c r="AD463">
        <v>0</v>
      </c>
      <c r="AE463">
        <v>0.45736937373315595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1.8953456763837486</v>
      </c>
      <c r="AL463">
        <v>1.8953456763837486</v>
      </c>
      <c r="AM463">
        <v>0.86687306501548</v>
      </c>
      <c r="BD463">
        <v>0</v>
      </c>
      <c r="BE463">
        <v>0</v>
      </c>
      <c r="BF463">
        <v>0</v>
      </c>
      <c r="BH463">
        <v>1.1535714285714285</v>
      </c>
      <c r="BI463">
        <v>1.1535714285714285</v>
      </c>
      <c r="BJ463">
        <v>2.1864166195426811</v>
      </c>
      <c r="BK463">
        <v>1.0328451909712526</v>
      </c>
      <c r="BL463">
        <v>0</v>
      </c>
      <c r="BM463">
        <v>0</v>
      </c>
      <c r="BN463">
        <v>0</v>
      </c>
      <c r="BO463">
        <v>0</v>
      </c>
      <c r="BP463">
        <v>0.34642857142857153</v>
      </c>
      <c r="BQ463">
        <v>0.15357142857142847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</row>
    <row r="464" spans="1:82" hidden="1" x14ac:dyDescent="0.25">
      <c r="A464" t="s">
        <v>128</v>
      </c>
      <c r="B464" t="s">
        <v>422</v>
      </c>
      <c r="C464" s="14" t="s">
        <v>72</v>
      </c>
      <c r="D464" s="12">
        <v>46246</v>
      </c>
      <c r="E464" s="14" t="s">
        <v>420</v>
      </c>
      <c r="F464" s="14" t="s">
        <v>74</v>
      </c>
      <c r="G464">
        <v>0</v>
      </c>
      <c r="H464">
        <v>0</v>
      </c>
      <c r="I464">
        <v>20</v>
      </c>
      <c r="J464">
        <v>0</v>
      </c>
      <c r="K464">
        <v>46246</v>
      </c>
      <c r="L464" t="s">
        <v>490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D464">
        <v>0</v>
      </c>
    </row>
    <row r="465" spans="1:82" hidden="1" x14ac:dyDescent="0.25">
      <c r="A465" t="s">
        <v>128</v>
      </c>
      <c r="B465" t="s">
        <v>291</v>
      </c>
      <c r="C465" s="14" t="s">
        <v>72</v>
      </c>
      <c r="D465" s="12">
        <v>46246</v>
      </c>
      <c r="E465" s="14" t="s">
        <v>420</v>
      </c>
      <c r="F465" s="14" t="s">
        <v>74</v>
      </c>
      <c r="G465">
        <v>0</v>
      </c>
      <c r="H465">
        <v>11.4</v>
      </c>
      <c r="I465">
        <v>20</v>
      </c>
      <c r="J465">
        <v>11.4</v>
      </c>
      <c r="K465">
        <v>46246</v>
      </c>
      <c r="L465" t="s">
        <v>490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D465">
        <v>0</v>
      </c>
    </row>
    <row r="466" spans="1:82" hidden="1" x14ac:dyDescent="0.25">
      <c r="A466" t="s">
        <v>128</v>
      </c>
      <c r="B466" t="s">
        <v>421</v>
      </c>
      <c r="C466" s="14" t="s">
        <v>72</v>
      </c>
      <c r="D466" s="12">
        <v>46246</v>
      </c>
      <c r="E466" s="14" t="s">
        <v>420</v>
      </c>
      <c r="F466" s="14" t="s">
        <v>74</v>
      </c>
      <c r="G466">
        <v>0</v>
      </c>
      <c r="H466">
        <v>0</v>
      </c>
      <c r="I466">
        <v>20</v>
      </c>
      <c r="J466">
        <v>0</v>
      </c>
      <c r="K466">
        <v>46246</v>
      </c>
      <c r="L466" t="s">
        <v>490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D466">
        <v>0</v>
      </c>
    </row>
    <row r="467" spans="1:82" hidden="1" x14ac:dyDescent="0.25">
      <c r="A467" t="s">
        <v>128</v>
      </c>
      <c r="B467" t="s">
        <v>291</v>
      </c>
      <c r="C467" s="14" t="s">
        <v>72</v>
      </c>
      <c r="D467" s="12">
        <v>46246</v>
      </c>
      <c r="E467" s="14" t="s">
        <v>420</v>
      </c>
      <c r="F467" s="14" t="s">
        <v>75</v>
      </c>
      <c r="G467">
        <v>3.1774912809962848</v>
      </c>
      <c r="H467">
        <v>2.8499999999999996</v>
      </c>
      <c r="I467">
        <v>20</v>
      </c>
      <c r="J467">
        <v>2.8499999999999996</v>
      </c>
      <c r="K467">
        <v>46246</v>
      </c>
      <c r="L467" t="s">
        <v>491</v>
      </c>
      <c r="M467">
        <v>3.7508650519031144</v>
      </c>
      <c r="N467">
        <v>0.89693401113169946</v>
      </c>
      <c r="O467">
        <v>0.89693401113169946</v>
      </c>
      <c r="P467">
        <v>1.180448574111288</v>
      </c>
      <c r="Q467">
        <v>0.18044857411128801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0.10306598886830054</v>
      </c>
      <c r="AA467">
        <v>0</v>
      </c>
      <c r="AB467">
        <v>0</v>
      </c>
      <c r="AC467">
        <v>0</v>
      </c>
      <c r="AD467">
        <v>0</v>
      </c>
      <c r="AE467">
        <v>0.89693401113169946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1.1149092214022054</v>
      </c>
      <c r="AL467">
        <v>1.1149092214022054</v>
      </c>
      <c r="AM467">
        <v>1.3160930006677596</v>
      </c>
      <c r="AN467">
        <v>0.2011837792655542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0.11490922140220539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0.75982472324723238</v>
      </c>
      <c r="BI467">
        <v>0.75982472324723238</v>
      </c>
      <c r="BJ467">
        <v>0.84713559059771792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0.15286440940228208</v>
      </c>
      <c r="BV467">
        <v>0</v>
      </c>
      <c r="BW467">
        <v>0</v>
      </c>
      <c r="BX467">
        <v>0</v>
      </c>
      <c r="BY467">
        <v>0.75982472324723238</v>
      </c>
      <c r="BZ467">
        <v>0</v>
      </c>
      <c r="CA467">
        <v>0</v>
      </c>
      <c r="CB467">
        <v>0</v>
      </c>
      <c r="CC467">
        <v>0</v>
      </c>
      <c r="CD467">
        <v>0</v>
      </c>
    </row>
    <row r="468" spans="1:82" hidden="1" x14ac:dyDescent="0.25">
      <c r="A468" t="s">
        <v>128</v>
      </c>
      <c r="B468" t="s">
        <v>421</v>
      </c>
      <c r="C468" s="14" t="s">
        <v>72</v>
      </c>
      <c r="D468" s="12">
        <v>46246</v>
      </c>
      <c r="E468" s="14" t="s">
        <v>420</v>
      </c>
      <c r="F468" s="14" t="s">
        <v>75</v>
      </c>
      <c r="G468">
        <v>1.5949011943973783</v>
      </c>
      <c r="H468">
        <v>0.95</v>
      </c>
      <c r="I468">
        <v>20</v>
      </c>
      <c r="J468">
        <v>0.95</v>
      </c>
      <c r="K468">
        <v>46246</v>
      </c>
      <c r="L468" t="s">
        <v>491</v>
      </c>
      <c r="M468">
        <v>0.82352941176470573</v>
      </c>
      <c r="N468">
        <v>0.59564818393590235</v>
      </c>
      <c r="O468">
        <v>0.59564818393590235</v>
      </c>
      <c r="P468">
        <v>0.51635136687941996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0.40435181606409765</v>
      </c>
      <c r="AB468">
        <v>0</v>
      </c>
      <c r="AC468">
        <v>7.9296817056482394E-2</v>
      </c>
      <c r="AD468">
        <v>0</v>
      </c>
      <c r="AE468">
        <v>0.51635136687941996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1.6788433625235561</v>
      </c>
      <c r="AL468">
        <v>1.6788433625235561</v>
      </c>
      <c r="AM468">
        <v>0.86687306501547978</v>
      </c>
      <c r="BD468">
        <v>0</v>
      </c>
      <c r="BE468">
        <v>0</v>
      </c>
      <c r="BF468">
        <v>0</v>
      </c>
      <c r="BH468">
        <v>1.1535714285714287</v>
      </c>
      <c r="BI468">
        <v>1.1535714285714287</v>
      </c>
      <c r="BJ468">
        <v>1.9366657360539596</v>
      </c>
      <c r="BK468">
        <v>0.78309430748253095</v>
      </c>
      <c r="BL468">
        <v>0</v>
      </c>
      <c r="BM468">
        <v>0</v>
      </c>
      <c r="BN468">
        <v>0</v>
      </c>
      <c r="BO468">
        <v>0</v>
      </c>
      <c r="BP468">
        <v>0.34642857142857131</v>
      </c>
      <c r="BQ468">
        <v>0.15357142857142869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</row>
    <row r="469" spans="1:82" hidden="1" x14ac:dyDescent="0.25">
      <c r="A469" t="s">
        <v>128</v>
      </c>
      <c r="B469" t="s">
        <v>422</v>
      </c>
      <c r="C469" s="14" t="s">
        <v>72</v>
      </c>
      <c r="D469" s="12">
        <v>46246</v>
      </c>
      <c r="E469" s="14" t="s">
        <v>420</v>
      </c>
      <c r="F469" s="14" t="s">
        <v>75</v>
      </c>
      <c r="G469">
        <v>3.1774912809962848</v>
      </c>
      <c r="H469">
        <v>0.95</v>
      </c>
      <c r="I469">
        <v>20</v>
      </c>
      <c r="J469">
        <v>0.95</v>
      </c>
      <c r="K469">
        <v>46246</v>
      </c>
      <c r="L469" t="s">
        <v>491</v>
      </c>
      <c r="M469">
        <v>1.0380622837370239</v>
      </c>
      <c r="N469">
        <v>0.29897800371056649</v>
      </c>
      <c r="O469">
        <v>0.29897800371056649</v>
      </c>
      <c r="P469">
        <v>0.32669240980939696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2.7714406098830469E-2</v>
      </c>
      <c r="AA469">
        <v>0.67330759019060304</v>
      </c>
      <c r="AB469">
        <v>0</v>
      </c>
      <c r="AC469">
        <v>0</v>
      </c>
      <c r="AD469">
        <v>0</v>
      </c>
      <c r="AE469">
        <v>0.29897800371056649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3.3447276642066157</v>
      </c>
      <c r="AL469">
        <v>3.3447276642066157</v>
      </c>
      <c r="AM469">
        <v>1.0926971407758146</v>
      </c>
      <c r="BD469">
        <v>0</v>
      </c>
      <c r="BE469">
        <v>0</v>
      </c>
      <c r="BF469">
        <v>0</v>
      </c>
      <c r="BH469">
        <v>0.91516666666666691</v>
      </c>
      <c r="BI469">
        <v>0.91516666666666691</v>
      </c>
      <c r="BJ469">
        <v>3.060983267359755</v>
      </c>
      <c r="BK469">
        <v>2.060983267359755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0.70102199628943351</v>
      </c>
      <c r="BU469">
        <v>0</v>
      </c>
      <c r="BV469">
        <v>0</v>
      </c>
      <c r="BW469">
        <v>0</v>
      </c>
      <c r="BX469">
        <v>0</v>
      </c>
      <c r="BY469">
        <v>0.91516666666666691</v>
      </c>
      <c r="BZ469">
        <v>0</v>
      </c>
      <c r="CA469">
        <v>0</v>
      </c>
      <c r="CB469">
        <v>0</v>
      </c>
      <c r="CC469">
        <v>0</v>
      </c>
      <c r="CD469">
        <v>0</v>
      </c>
    </row>
    <row r="470" spans="1:82" hidden="1" x14ac:dyDescent="0.25">
      <c r="A470" t="s">
        <v>128</v>
      </c>
      <c r="B470" t="s">
        <v>421</v>
      </c>
      <c r="C470" s="14" t="s">
        <v>72</v>
      </c>
      <c r="D470" s="12">
        <v>46247</v>
      </c>
      <c r="E470" s="14" t="s">
        <v>420</v>
      </c>
      <c r="F470" s="14" t="s">
        <v>73</v>
      </c>
      <c r="G470">
        <v>1.869884158948651</v>
      </c>
      <c r="H470">
        <v>1.9</v>
      </c>
      <c r="I470">
        <v>20</v>
      </c>
      <c r="J470">
        <v>1.9</v>
      </c>
      <c r="K470">
        <v>46247</v>
      </c>
      <c r="L470" t="s">
        <v>492</v>
      </c>
      <c r="M470">
        <v>0</v>
      </c>
      <c r="N470">
        <v>1.0161057255377155</v>
      </c>
      <c r="O470">
        <v>1.0161057255377155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1.6105725537715498E-2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0.98414955734139531</v>
      </c>
      <c r="AL470">
        <v>0.98414955734139531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</row>
    <row r="471" spans="1:82" hidden="1" x14ac:dyDescent="0.25">
      <c r="A471" t="s">
        <v>128</v>
      </c>
      <c r="B471" t="s">
        <v>422</v>
      </c>
      <c r="C471" s="14" t="s">
        <v>72</v>
      </c>
      <c r="D471" s="12">
        <v>46247</v>
      </c>
      <c r="E471" s="14" t="s">
        <v>420</v>
      </c>
      <c r="F471" s="14" t="s">
        <v>73</v>
      </c>
      <c r="G471">
        <v>3.6011567851291222</v>
      </c>
      <c r="H471">
        <v>1.9</v>
      </c>
      <c r="I471">
        <v>20</v>
      </c>
      <c r="J471">
        <v>1.9</v>
      </c>
      <c r="K471">
        <v>46247</v>
      </c>
      <c r="L471" t="s">
        <v>492</v>
      </c>
      <c r="M471">
        <v>1.6470588235294119</v>
      </c>
      <c r="N471">
        <v>0.52760824184217625</v>
      </c>
      <c r="O471">
        <v>0.52760824184217625</v>
      </c>
      <c r="P471">
        <v>0.45736937373315595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0.47239175815782375</v>
      </c>
      <c r="AB471">
        <v>0</v>
      </c>
      <c r="AC471">
        <v>7.0238868109020303E-2</v>
      </c>
      <c r="AD471">
        <v>0</v>
      </c>
      <c r="AE471">
        <v>0.45736937373315595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1.8953456763837486</v>
      </c>
      <c r="AL471">
        <v>1.8953456763837486</v>
      </c>
      <c r="AM471">
        <v>0.86687306501548</v>
      </c>
      <c r="BD471">
        <v>0</v>
      </c>
      <c r="BE471">
        <v>0</v>
      </c>
      <c r="BF471">
        <v>0</v>
      </c>
      <c r="BH471">
        <v>1.1535714285714285</v>
      </c>
      <c r="BI471">
        <v>1.1535714285714285</v>
      </c>
      <c r="BJ471">
        <v>2.1864166195426811</v>
      </c>
      <c r="BK471">
        <v>1.0328451909712526</v>
      </c>
      <c r="BL471">
        <v>0</v>
      </c>
      <c r="BM471">
        <v>0</v>
      </c>
      <c r="BN471">
        <v>0</v>
      </c>
      <c r="BO471">
        <v>0</v>
      </c>
      <c r="BP471">
        <v>0.34642857142857153</v>
      </c>
      <c r="BQ471">
        <v>0.15357142857142847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</row>
    <row r="472" spans="1:82" hidden="1" x14ac:dyDescent="0.25">
      <c r="A472" t="s">
        <v>128</v>
      </c>
      <c r="B472" t="s">
        <v>291</v>
      </c>
      <c r="C472" s="14" t="s">
        <v>72</v>
      </c>
      <c r="D472" s="12">
        <v>46247</v>
      </c>
      <c r="E472" s="14" t="s">
        <v>420</v>
      </c>
      <c r="F472" s="14" t="s">
        <v>73</v>
      </c>
      <c r="G472">
        <v>3.6011567851291222</v>
      </c>
      <c r="H472">
        <v>2.8499999999999996</v>
      </c>
      <c r="I472">
        <v>20</v>
      </c>
      <c r="J472">
        <v>2.8499999999999996</v>
      </c>
      <c r="K472">
        <v>46247</v>
      </c>
      <c r="L472" t="s">
        <v>492</v>
      </c>
      <c r="M472">
        <v>3.7647058823529393</v>
      </c>
      <c r="N472">
        <v>0.79141236276326432</v>
      </c>
      <c r="O472">
        <v>0.79141236276326432</v>
      </c>
      <c r="P472">
        <v>1.0454157113900702</v>
      </c>
      <c r="Q472">
        <v>4.5415711390070168E-2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0.20858763723673568</v>
      </c>
      <c r="AA472">
        <v>0</v>
      </c>
      <c r="AB472">
        <v>0</v>
      </c>
      <c r="AC472">
        <v>0</v>
      </c>
      <c r="AD472">
        <v>0</v>
      </c>
      <c r="AE472">
        <v>0.79141236276326432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1.2635637842558325</v>
      </c>
      <c r="AL472">
        <v>1.2635637842558325</v>
      </c>
      <c r="AM472">
        <v>1.3209494324045403</v>
      </c>
      <c r="AN472">
        <v>5.7385648148707835E-2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0.26356378425583249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0.75703125000000027</v>
      </c>
      <c r="BI472">
        <v>0.75703125000000027</v>
      </c>
      <c r="BJ472">
        <v>0.9565572710499235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4.3442728950076503E-2</v>
      </c>
      <c r="BV472">
        <v>0</v>
      </c>
      <c r="BW472">
        <v>0</v>
      </c>
      <c r="BX472">
        <v>0</v>
      </c>
      <c r="BY472">
        <v>0.75703125000000027</v>
      </c>
      <c r="BZ472">
        <v>0</v>
      </c>
      <c r="CA472">
        <v>0</v>
      </c>
      <c r="CB472">
        <v>0</v>
      </c>
      <c r="CC472">
        <v>0</v>
      </c>
      <c r="CD472">
        <v>0</v>
      </c>
    </row>
    <row r="473" spans="1:82" hidden="1" x14ac:dyDescent="0.25">
      <c r="A473" t="s">
        <v>128</v>
      </c>
      <c r="B473" t="s">
        <v>421</v>
      </c>
      <c r="C473" s="14" t="s">
        <v>72</v>
      </c>
      <c r="D473" s="12">
        <v>46247</v>
      </c>
      <c r="E473" s="14" t="s">
        <v>420</v>
      </c>
      <c r="F473" s="14" t="s">
        <v>74</v>
      </c>
      <c r="G473">
        <v>0</v>
      </c>
      <c r="H473">
        <v>0.95</v>
      </c>
      <c r="I473">
        <v>20</v>
      </c>
      <c r="J473">
        <v>0.95</v>
      </c>
      <c r="K473">
        <v>46247</v>
      </c>
      <c r="L473" t="s">
        <v>493</v>
      </c>
      <c r="M473">
        <v>0.92307692307692291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0.97165991902833992</v>
      </c>
      <c r="AI473">
        <v>0</v>
      </c>
      <c r="AJ473">
        <v>0</v>
      </c>
      <c r="AK473">
        <v>0</v>
      </c>
      <c r="AL473">
        <v>0</v>
      </c>
      <c r="AM473">
        <v>0.97165991902833992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2.8340080971660075E-2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  <c r="BG473">
        <v>0</v>
      </c>
      <c r="BH473">
        <v>1.0291666666666668</v>
      </c>
      <c r="BI473">
        <v>1.0291666666666668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2.9166666666666785E-2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1</v>
      </c>
      <c r="CA473">
        <v>2.8340080971660075E-2</v>
      </c>
      <c r="CB473">
        <v>0.97165991902833992</v>
      </c>
      <c r="CD473">
        <v>0</v>
      </c>
    </row>
    <row r="474" spans="1:82" hidden="1" x14ac:dyDescent="0.25">
      <c r="A474" t="s">
        <v>128</v>
      </c>
      <c r="B474" t="s">
        <v>422</v>
      </c>
      <c r="C474" s="14" t="s">
        <v>72</v>
      </c>
      <c r="D474" s="12">
        <v>46247</v>
      </c>
      <c r="E474" s="14" t="s">
        <v>420</v>
      </c>
      <c r="F474" s="14" t="s">
        <v>74</v>
      </c>
      <c r="G474">
        <v>0</v>
      </c>
      <c r="H474">
        <v>0.95</v>
      </c>
      <c r="I474">
        <v>20</v>
      </c>
      <c r="J474">
        <v>0.95</v>
      </c>
      <c r="K474">
        <v>46247</v>
      </c>
      <c r="L474" t="s">
        <v>493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0</v>
      </c>
      <c r="CD474">
        <v>0</v>
      </c>
    </row>
    <row r="475" spans="1:82" hidden="1" x14ac:dyDescent="0.25">
      <c r="A475" t="s">
        <v>128</v>
      </c>
      <c r="B475" t="s">
        <v>291</v>
      </c>
      <c r="C475" s="14" t="s">
        <v>72</v>
      </c>
      <c r="D475" s="12">
        <v>46247</v>
      </c>
      <c r="E475" s="14" t="s">
        <v>420</v>
      </c>
      <c r="F475" s="14" t="s">
        <v>74</v>
      </c>
      <c r="G475">
        <v>0</v>
      </c>
      <c r="H475">
        <v>11.4</v>
      </c>
      <c r="I475">
        <v>20</v>
      </c>
      <c r="J475">
        <v>11.4</v>
      </c>
      <c r="K475">
        <v>46247</v>
      </c>
      <c r="L475" t="s">
        <v>493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D475">
        <v>0</v>
      </c>
    </row>
    <row r="476" spans="1:82" hidden="1" x14ac:dyDescent="0.25">
      <c r="A476" t="s">
        <v>128</v>
      </c>
      <c r="B476" t="s">
        <v>291</v>
      </c>
      <c r="C476" s="14" t="s">
        <v>72</v>
      </c>
      <c r="D476" s="12">
        <v>46247</v>
      </c>
      <c r="E476" s="14" t="s">
        <v>420</v>
      </c>
      <c r="F476" s="14" t="s">
        <v>75</v>
      </c>
      <c r="G476">
        <v>3.1774912809962848</v>
      </c>
      <c r="H476">
        <v>0.95</v>
      </c>
      <c r="I476">
        <v>20</v>
      </c>
      <c r="J476">
        <v>0.95</v>
      </c>
      <c r="K476">
        <v>46247</v>
      </c>
      <c r="L476" t="s">
        <v>494</v>
      </c>
      <c r="M476">
        <v>3.7508650519031144</v>
      </c>
      <c r="N476">
        <v>0.29897800371056649</v>
      </c>
      <c r="O476">
        <v>0.29897800371056649</v>
      </c>
      <c r="P476">
        <v>1.180448574111288</v>
      </c>
      <c r="Q476">
        <v>0.18044857411128801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0.70102199628943351</v>
      </c>
      <c r="AA476">
        <v>0</v>
      </c>
      <c r="AB476">
        <v>0</v>
      </c>
      <c r="AC476">
        <v>0</v>
      </c>
      <c r="AD476">
        <v>0</v>
      </c>
      <c r="AE476">
        <v>0.29897800371056649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3.3447276642066157</v>
      </c>
      <c r="AL476">
        <v>3.3447276642066157</v>
      </c>
      <c r="AM476">
        <v>3.9482790020032783</v>
      </c>
      <c r="BD476">
        <v>0</v>
      </c>
      <c r="BE476">
        <v>0</v>
      </c>
      <c r="BF476">
        <v>0</v>
      </c>
      <c r="BH476">
        <v>0.25327490774907746</v>
      </c>
      <c r="BI476">
        <v>0.25327490774907746</v>
      </c>
      <c r="BJ476">
        <v>0.84713559059771792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0.15286440940228208</v>
      </c>
      <c r="BV476">
        <v>0</v>
      </c>
      <c r="BW476">
        <v>0</v>
      </c>
      <c r="BX476">
        <v>0</v>
      </c>
      <c r="BY476">
        <v>0.25327490774907746</v>
      </c>
      <c r="BZ476">
        <v>0</v>
      </c>
      <c r="CA476">
        <v>0</v>
      </c>
      <c r="CB476">
        <v>0</v>
      </c>
      <c r="CC476">
        <v>0</v>
      </c>
      <c r="CD476">
        <v>0</v>
      </c>
    </row>
    <row r="477" spans="1:82" hidden="1" x14ac:dyDescent="0.25">
      <c r="A477" t="s">
        <v>128</v>
      </c>
      <c r="B477" t="s">
        <v>422</v>
      </c>
      <c r="C477" s="14" t="s">
        <v>72</v>
      </c>
      <c r="D477" s="12">
        <v>46247</v>
      </c>
      <c r="E477" s="14" t="s">
        <v>420</v>
      </c>
      <c r="F477" s="14" t="s">
        <v>75</v>
      </c>
      <c r="G477">
        <v>3.1774912809962848</v>
      </c>
      <c r="H477">
        <v>0</v>
      </c>
      <c r="I477">
        <v>20</v>
      </c>
      <c r="J477">
        <v>0</v>
      </c>
      <c r="K477">
        <v>46247</v>
      </c>
      <c r="L477" t="s">
        <v>494</v>
      </c>
      <c r="M477">
        <v>0.33217993079584773</v>
      </c>
      <c r="N477">
        <v>0</v>
      </c>
      <c r="O477">
        <v>0</v>
      </c>
      <c r="P477">
        <v>0.10454157113900704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0.10454157113900704</v>
      </c>
      <c r="AA477">
        <v>0.89545842886099292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H477">
        <v>0</v>
      </c>
      <c r="BI477">
        <v>0</v>
      </c>
      <c r="BJ477">
        <v>9.5655727104992323</v>
      </c>
      <c r="BK477">
        <v>8.5655727104992323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</row>
    <row r="478" spans="1:82" hidden="1" x14ac:dyDescent="0.25">
      <c r="A478" t="s">
        <v>128</v>
      </c>
      <c r="B478" t="s">
        <v>421</v>
      </c>
      <c r="C478" s="14" t="s">
        <v>72</v>
      </c>
      <c r="D478" s="12">
        <v>46247</v>
      </c>
      <c r="E478" s="14" t="s">
        <v>420</v>
      </c>
      <c r="F478" s="14" t="s">
        <v>75</v>
      </c>
      <c r="G478">
        <v>1.4299114156666153</v>
      </c>
      <c r="H478">
        <v>0</v>
      </c>
      <c r="I478">
        <v>20</v>
      </c>
      <c r="J478">
        <v>0</v>
      </c>
      <c r="K478">
        <v>46247</v>
      </c>
      <c r="L478" t="s">
        <v>494</v>
      </c>
      <c r="M478">
        <v>0.86877828054298623</v>
      </c>
      <c r="N478">
        <v>0</v>
      </c>
      <c r="O478">
        <v>0</v>
      </c>
      <c r="P478">
        <v>0.60757489661551345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0.60757489661551345</v>
      </c>
      <c r="AA478">
        <v>0.39242510338448655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H478">
        <v>0</v>
      </c>
      <c r="BI478">
        <v>0</v>
      </c>
      <c r="BJ478">
        <v>1.6458876190745939</v>
      </c>
      <c r="BK478">
        <v>0.64588761907459391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</row>
    <row r="479" spans="1:82" hidden="1" x14ac:dyDescent="0.25">
      <c r="A479" t="s">
        <v>128</v>
      </c>
      <c r="B479" t="s">
        <v>291</v>
      </c>
      <c r="C479" s="14" t="s">
        <v>72</v>
      </c>
      <c r="D479" s="12">
        <v>46248</v>
      </c>
      <c r="E479" s="14" t="s">
        <v>420</v>
      </c>
      <c r="F479" s="14" t="s">
        <v>73</v>
      </c>
      <c r="G479">
        <v>3.6011567851291222</v>
      </c>
      <c r="H479">
        <v>2.8499999999999996</v>
      </c>
      <c r="I479">
        <v>20</v>
      </c>
      <c r="J479">
        <v>2.8499999999999996</v>
      </c>
      <c r="K479">
        <v>46248</v>
      </c>
      <c r="L479" t="s">
        <v>495</v>
      </c>
      <c r="M479">
        <v>3.7647058823529398</v>
      </c>
      <c r="N479">
        <v>0.79141236276326432</v>
      </c>
      <c r="O479">
        <v>0.79141236276326432</v>
      </c>
      <c r="P479">
        <v>1.0454157113900704</v>
      </c>
      <c r="Q479">
        <v>4.541571139007039E-2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0.20858763723673568</v>
      </c>
      <c r="AA479">
        <v>0</v>
      </c>
      <c r="AB479">
        <v>0</v>
      </c>
      <c r="AC479">
        <v>0</v>
      </c>
      <c r="AD479">
        <v>0</v>
      </c>
      <c r="AE479">
        <v>0.79141236276326432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1.2635637842558325</v>
      </c>
      <c r="AL479">
        <v>1.2635637842558325</v>
      </c>
      <c r="AM479">
        <v>1.3209494324045405</v>
      </c>
      <c r="AN479">
        <v>5.7385648148708057E-2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0.26356378425583249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0.75703125000000016</v>
      </c>
      <c r="BI479">
        <v>0.75703125000000016</v>
      </c>
      <c r="BJ479">
        <v>0.95655727104992339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4.3442728950076615E-2</v>
      </c>
      <c r="BV479">
        <v>0</v>
      </c>
      <c r="BW479">
        <v>0</v>
      </c>
      <c r="BX479">
        <v>0</v>
      </c>
      <c r="BY479">
        <v>0.75703125000000016</v>
      </c>
      <c r="BZ479">
        <v>0</v>
      </c>
      <c r="CA479">
        <v>0</v>
      </c>
      <c r="CB479">
        <v>0</v>
      </c>
      <c r="CC479">
        <v>0</v>
      </c>
      <c r="CD479">
        <v>0</v>
      </c>
    </row>
    <row r="480" spans="1:82" hidden="1" x14ac:dyDescent="0.25">
      <c r="A480" t="s">
        <v>128</v>
      </c>
      <c r="B480" t="s">
        <v>422</v>
      </c>
      <c r="C480" s="14" t="s">
        <v>72</v>
      </c>
      <c r="D480" s="12">
        <v>46248</v>
      </c>
      <c r="E480" s="14" t="s">
        <v>420</v>
      </c>
      <c r="F480" s="14" t="s">
        <v>73</v>
      </c>
      <c r="G480">
        <v>3.6011567851291222</v>
      </c>
      <c r="H480">
        <v>0.95</v>
      </c>
      <c r="I480">
        <v>20</v>
      </c>
      <c r="J480">
        <v>0.95</v>
      </c>
      <c r="K480">
        <v>46248</v>
      </c>
      <c r="L480" t="s">
        <v>495</v>
      </c>
      <c r="M480">
        <v>0.82352941176470595</v>
      </c>
      <c r="N480">
        <v>0.26380412092108813</v>
      </c>
      <c r="O480">
        <v>0.26380412092108813</v>
      </c>
      <c r="P480">
        <v>0.22868468686657797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0.73619587907891182</v>
      </c>
      <c r="AB480">
        <v>0</v>
      </c>
      <c r="AC480">
        <v>3.5119434054510151E-2</v>
      </c>
      <c r="AD480">
        <v>0</v>
      </c>
      <c r="AE480">
        <v>0.22868468686657797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3.7906913527674972</v>
      </c>
      <c r="AL480">
        <v>3.7906913527674972</v>
      </c>
      <c r="AM480">
        <v>0.86687306501548</v>
      </c>
      <c r="BD480">
        <v>0</v>
      </c>
      <c r="BE480">
        <v>0</v>
      </c>
      <c r="BF480">
        <v>0</v>
      </c>
      <c r="BH480">
        <v>1.1535714285714285</v>
      </c>
      <c r="BI480">
        <v>1.1535714285714285</v>
      </c>
      <c r="BJ480">
        <v>4.3728332390853621</v>
      </c>
      <c r="BK480">
        <v>3.2192618105139337</v>
      </c>
      <c r="BL480">
        <v>0</v>
      </c>
      <c r="BM480">
        <v>0</v>
      </c>
      <c r="BN480">
        <v>0</v>
      </c>
      <c r="BO480">
        <v>0</v>
      </c>
      <c r="BP480">
        <v>0.34642857142857153</v>
      </c>
      <c r="BQ480">
        <v>0.15357142857142847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</row>
    <row r="481" spans="1:82" hidden="1" x14ac:dyDescent="0.25">
      <c r="A481" t="s">
        <v>128</v>
      </c>
      <c r="B481" t="s">
        <v>421</v>
      </c>
      <c r="C481" s="14" t="s">
        <v>72</v>
      </c>
      <c r="D481" s="12">
        <v>46248</v>
      </c>
      <c r="E481" s="14" t="s">
        <v>420</v>
      </c>
      <c r="F481" s="14" t="s">
        <v>73</v>
      </c>
      <c r="G481">
        <v>1.869884158948651</v>
      </c>
      <c r="H481">
        <v>0.95</v>
      </c>
      <c r="I481">
        <v>20</v>
      </c>
      <c r="J481">
        <v>0.95</v>
      </c>
      <c r="K481">
        <v>46248</v>
      </c>
      <c r="L481" t="s">
        <v>495</v>
      </c>
      <c r="M481">
        <v>0.92307692307692291</v>
      </c>
      <c r="N481">
        <v>0.50805286276885775</v>
      </c>
      <c r="O481">
        <v>0.50805286276885775</v>
      </c>
      <c r="P481">
        <v>0.49365460350010459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0.49194713723114225</v>
      </c>
      <c r="AB481">
        <v>0</v>
      </c>
      <c r="AC481">
        <v>1.4398259268753155E-2</v>
      </c>
      <c r="AD481">
        <v>0</v>
      </c>
      <c r="AE481">
        <v>0.49365460350010459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1.9682991146827906</v>
      </c>
      <c r="AL481">
        <v>1.9682991146827906</v>
      </c>
      <c r="AM481">
        <v>0.97165991902833992</v>
      </c>
      <c r="BD481">
        <v>0</v>
      </c>
      <c r="BE481">
        <v>0</v>
      </c>
      <c r="BF481">
        <v>0</v>
      </c>
      <c r="BH481">
        <v>1.0291666666666668</v>
      </c>
      <c r="BI481">
        <v>1.0291666666666668</v>
      </c>
      <c r="BJ481">
        <v>2.025707838861039</v>
      </c>
      <c r="BK481">
        <v>0.99654117219437222</v>
      </c>
      <c r="BL481">
        <v>0</v>
      </c>
      <c r="BM481">
        <v>0</v>
      </c>
      <c r="BN481">
        <v>0</v>
      </c>
      <c r="BO481">
        <v>0</v>
      </c>
      <c r="BP481">
        <v>0.47083333333333321</v>
      </c>
      <c r="BQ481">
        <v>2.9166666666666785E-2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</row>
    <row r="482" spans="1:82" hidden="1" x14ac:dyDescent="0.25">
      <c r="A482" t="s">
        <v>128</v>
      </c>
      <c r="B482" t="s">
        <v>422</v>
      </c>
      <c r="C482" s="14" t="s">
        <v>72</v>
      </c>
      <c r="D482" s="12">
        <v>46248</v>
      </c>
      <c r="E482" s="14" t="s">
        <v>420</v>
      </c>
      <c r="F482" s="14" t="s">
        <v>74</v>
      </c>
      <c r="G482">
        <v>0</v>
      </c>
      <c r="H482">
        <v>0</v>
      </c>
      <c r="I482">
        <v>20</v>
      </c>
      <c r="J482">
        <v>0</v>
      </c>
      <c r="K482">
        <v>46248</v>
      </c>
      <c r="L482" t="s">
        <v>496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D482">
        <v>0</v>
      </c>
    </row>
    <row r="483" spans="1:82" hidden="1" x14ac:dyDescent="0.25">
      <c r="A483" t="s">
        <v>128</v>
      </c>
      <c r="B483" t="s">
        <v>291</v>
      </c>
      <c r="C483" s="14" t="s">
        <v>72</v>
      </c>
      <c r="D483" s="12">
        <v>46248</v>
      </c>
      <c r="E483" s="14" t="s">
        <v>420</v>
      </c>
      <c r="F483" s="14" t="s">
        <v>74</v>
      </c>
      <c r="G483">
        <v>0</v>
      </c>
      <c r="H483">
        <v>11.4</v>
      </c>
      <c r="I483">
        <v>20</v>
      </c>
      <c r="J483">
        <v>11.4</v>
      </c>
      <c r="K483">
        <v>46248</v>
      </c>
      <c r="L483" t="s">
        <v>496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0</v>
      </c>
      <c r="CD483">
        <v>0</v>
      </c>
    </row>
    <row r="484" spans="1:82" hidden="1" x14ac:dyDescent="0.25">
      <c r="A484" t="s">
        <v>128</v>
      </c>
      <c r="B484" t="s">
        <v>421</v>
      </c>
      <c r="C484" s="14" t="s">
        <v>72</v>
      </c>
      <c r="D484" s="12">
        <v>46248</v>
      </c>
      <c r="E484" s="14" t="s">
        <v>420</v>
      </c>
      <c r="F484" s="14" t="s">
        <v>74</v>
      </c>
      <c r="G484">
        <v>0</v>
      </c>
      <c r="H484">
        <v>0</v>
      </c>
      <c r="I484">
        <v>20</v>
      </c>
      <c r="J484">
        <v>0</v>
      </c>
      <c r="K484">
        <v>46248</v>
      </c>
      <c r="L484" t="s">
        <v>496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D484">
        <v>0</v>
      </c>
    </row>
    <row r="485" spans="1:82" hidden="1" x14ac:dyDescent="0.25">
      <c r="A485" t="s">
        <v>128</v>
      </c>
      <c r="B485" t="s">
        <v>422</v>
      </c>
      <c r="C485" s="14" t="s">
        <v>72</v>
      </c>
      <c r="D485" s="12">
        <v>46248</v>
      </c>
      <c r="E485" s="14" t="s">
        <v>420</v>
      </c>
      <c r="F485" s="14" t="s">
        <v>75</v>
      </c>
      <c r="G485">
        <v>3.1774912809962848</v>
      </c>
      <c r="H485">
        <v>0</v>
      </c>
      <c r="I485">
        <v>20</v>
      </c>
      <c r="J485">
        <v>0</v>
      </c>
      <c r="K485">
        <v>46248</v>
      </c>
      <c r="L485" t="s">
        <v>497</v>
      </c>
      <c r="M485">
        <v>0.16608996539792387</v>
      </c>
      <c r="N485">
        <v>0</v>
      </c>
      <c r="O485">
        <v>0</v>
      </c>
      <c r="P485">
        <v>5.2270785569503521E-2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5.2270785569503521E-2</v>
      </c>
      <c r="AA485">
        <v>0.94772921443049651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H485">
        <v>0</v>
      </c>
      <c r="BI485">
        <v>0</v>
      </c>
      <c r="BJ485">
        <v>19.131145420998465</v>
      </c>
      <c r="BK485">
        <v>18.131145420998465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</row>
    <row r="486" spans="1:82" hidden="1" x14ac:dyDescent="0.25">
      <c r="A486" t="s">
        <v>128</v>
      </c>
      <c r="B486" t="s">
        <v>291</v>
      </c>
      <c r="C486" s="14" t="s">
        <v>72</v>
      </c>
      <c r="D486" s="12">
        <v>46248</v>
      </c>
      <c r="E486" s="14" t="s">
        <v>420</v>
      </c>
      <c r="F486" s="14" t="s">
        <v>75</v>
      </c>
      <c r="G486">
        <v>3.1774912809962848</v>
      </c>
      <c r="H486">
        <v>1.9</v>
      </c>
      <c r="I486">
        <v>20</v>
      </c>
      <c r="J486">
        <v>1.9</v>
      </c>
      <c r="K486">
        <v>46248</v>
      </c>
      <c r="L486" t="s">
        <v>497</v>
      </c>
      <c r="M486">
        <v>3.7508650519031144</v>
      </c>
      <c r="N486">
        <v>0.59795600742113297</v>
      </c>
      <c r="O486">
        <v>0.59795600742113297</v>
      </c>
      <c r="P486">
        <v>1.180448574111288</v>
      </c>
      <c r="Q486">
        <v>0.18044857411128801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0.40204399257886703</v>
      </c>
      <c r="AA486">
        <v>0</v>
      </c>
      <c r="AB486">
        <v>0</v>
      </c>
      <c r="AC486">
        <v>0</v>
      </c>
      <c r="AD486">
        <v>0</v>
      </c>
      <c r="AE486">
        <v>0.59795600742113297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1.6723638321033079</v>
      </c>
      <c r="AL486">
        <v>1.6723638321033079</v>
      </c>
      <c r="AM486">
        <v>1.9741395010016392</v>
      </c>
      <c r="BD486">
        <v>0</v>
      </c>
      <c r="BE486">
        <v>0</v>
      </c>
      <c r="BF486">
        <v>0</v>
      </c>
      <c r="BH486">
        <v>0.50654981549815492</v>
      </c>
      <c r="BI486">
        <v>0.50654981549815492</v>
      </c>
      <c r="BJ486">
        <v>0.84713559059771792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0.15286440940228208</v>
      </c>
      <c r="BV486">
        <v>0</v>
      </c>
      <c r="BW486">
        <v>0</v>
      </c>
      <c r="BX486">
        <v>0</v>
      </c>
      <c r="BY486">
        <v>0.50654981549815492</v>
      </c>
      <c r="BZ486">
        <v>0</v>
      </c>
      <c r="CA486">
        <v>0</v>
      </c>
      <c r="CB486">
        <v>0</v>
      </c>
      <c r="CC486">
        <v>0</v>
      </c>
      <c r="CD486">
        <v>0</v>
      </c>
    </row>
    <row r="487" spans="1:82" hidden="1" x14ac:dyDescent="0.25">
      <c r="A487" t="s">
        <v>128</v>
      </c>
      <c r="B487" t="s">
        <v>421</v>
      </c>
      <c r="C487" s="14" t="s">
        <v>72</v>
      </c>
      <c r="D487" s="12">
        <v>46248</v>
      </c>
      <c r="E487" s="14" t="s">
        <v>420</v>
      </c>
      <c r="F487" s="14" t="s">
        <v>75</v>
      </c>
      <c r="G487">
        <v>1.4299114156666153</v>
      </c>
      <c r="H487">
        <v>0</v>
      </c>
      <c r="I487">
        <v>20</v>
      </c>
      <c r="J487">
        <v>0</v>
      </c>
      <c r="K487">
        <v>46248</v>
      </c>
      <c r="L487" t="s">
        <v>497</v>
      </c>
      <c r="M487">
        <v>0.16289592760180993</v>
      </c>
      <c r="N487">
        <v>0</v>
      </c>
      <c r="O487">
        <v>0</v>
      </c>
      <c r="P487">
        <v>0.11392029311540877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0.11392029311540877</v>
      </c>
      <c r="AA487">
        <v>0.88607970688459126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H487">
        <v>0</v>
      </c>
      <c r="BI487">
        <v>0</v>
      </c>
      <c r="BJ487">
        <v>8.7780673017311681</v>
      </c>
      <c r="BK487">
        <v>7.7780673017311681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</row>
    <row r="488" spans="1:82" hidden="1" x14ac:dyDescent="0.25">
      <c r="A488" t="s">
        <v>128</v>
      </c>
      <c r="B488" t="s">
        <v>421</v>
      </c>
      <c r="C488" s="14" t="s">
        <v>72</v>
      </c>
      <c r="D488" s="12">
        <v>46249</v>
      </c>
      <c r="E488" s="14" t="s">
        <v>420</v>
      </c>
      <c r="F488" s="14" t="s">
        <v>73</v>
      </c>
      <c r="G488">
        <v>1.869884158948651</v>
      </c>
      <c r="H488">
        <v>2.8499999999999996</v>
      </c>
      <c r="I488">
        <v>20</v>
      </c>
      <c r="J488">
        <v>2.8499999999999996</v>
      </c>
      <c r="K488">
        <v>46249</v>
      </c>
      <c r="L488" t="s">
        <v>498</v>
      </c>
      <c r="M488">
        <v>0</v>
      </c>
      <c r="N488">
        <v>1.5241585883065731</v>
      </c>
      <c r="O488">
        <v>1.5241585883065731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0.65609970489426361</v>
      </c>
      <c r="AL488">
        <v>0.65609970489426361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</row>
    <row r="489" spans="1:82" hidden="1" x14ac:dyDescent="0.25">
      <c r="A489" t="s">
        <v>128</v>
      </c>
      <c r="B489" t="s">
        <v>422</v>
      </c>
      <c r="C489" s="14" t="s">
        <v>72</v>
      </c>
      <c r="D489" s="12">
        <v>46249</v>
      </c>
      <c r="E489" s="14" t="s">
        <v>420</v>
      </c>
      <c r="F489" s="14" t="s">
        <v>73</v>
      </c>
      <c r="G489">
        <v>3.6011567851291222</v>
      </c>
      <c r="H489">
        <v>2.8499999999999996</v>
      </c>
      <c r="I489">
        <v>20</v>
      </c>
      <c r="J489">
        <v>2.8499999999999996</v>
      </c>
      <c r="K489">
        <v>46249</v>
      </c>
      <c r="L489" t="s">
        <v>498</v>
      </c>
      <c r="M489">
        <v>0</v>
      </c>
      <c r="N489">
        <v>0.79141236276326432</v>
      </c>
      <c r="O489">
        <v>0.79141236276326432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0.20858763723673568</v>
      </c>
      <c r="AB489">
        <v>0</v>
      </c>
      <c r="AC489">
        <v>0</v>
      </c>
      <c r="AD489">
        <v>0</v>
      </c>
      <c r="AE489">
        <v>0</v>
      </c>
      <c r="AF489">
        <v>0.79141236276326432</v>
      </c>
      <c r="AG489">
        <v>0</v>
      </c>
      <c r="AH489">
        <v>0</v>
      </c>
      <c r="AI489">
        <v>0</v>
      </c>
      <c r="AJ489">
        <v>0</v>
      </c>
      <c r="AK489">
        <v>1.2635637842558325</v>
      </c>
      <c r="AL489">
        <v>1.2635637842558325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0.26356378425583249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</row>
    <row r="490" spans="1:82" hidden="1" x14ac:dyDescent="0.25">
      <c r="A490" t="s">
        <v>128</v>
      </c>
      <c r="B490" t="s">
        <v>291</v>
      </c>
      <c r="C490" s="14" t="s">
        <v>72</v>
      </c>
      <c r="D490" s="12">
        <v>46249</v>
      </c>
      <c r="E490" s="14" t="s">
        <v>420</v>
      </c>
      <c r="F490" s="14" t="s">
        <v>73</v>
      </c>
      <c r="G490">
        <v>3.6011567851291222</v>
      </c>
      <c r="H490">
        <v>13.3</v>
      </c>
      <c r="I490">
        <v>20</v>
      </c>
      <c r="J490">
        <v>13.3</v>
      </c>
      <c r="K490">
        <v>46249</v>
      </c>
      <c r="L490" t="s">
        <v>498</v>
      </c>
      <c r="M490">
        <v>3.8235294117647038</v>
      </c>
      <c r="N490">
        <v>3.6932576928952336</v>
      </c>
      <c r="O490">
        <v>3.6932576928952336</v>
      </c>
      <c r="P490">
        <v>1.0617503318805399</v>
      </c>
      <c r="Q490">
        <v>0</v>
      </c>
      <c r="R490">
        <v>0</v>
      </c>
      <c r="S490">
        <v>2.4432576928952336</v>
      </c>
      <c r="T490">
        <v>0</v>
      </c>
      <c r="U490">
        <v>0</v>
      </c>
      <c r="V490">
        <v>0</v>
      </c>
      <c r="W490">
        <v>6.175033188053991E-2</v>
      </c>
      <c r="X490">
        <v>0</v>
      </c>
      <c r="Y490">
        <v>0.18824966811946009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0.27076366805482122</v>
      </c>
      <c r="AL490">
        <v>0.27076366805482122</v>
      </c>
      <c r="AM490">
        <v>0.28748341441839881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0.71251658558160114</v>
      </c>
      <c r="AY490">
        <v>0</v>
      </c>
      <c r="AZ490">
        <v>0</v>
      </c>
      <c r="BA490">
        <v>0</v>
      </c>
      <c r="BB490">
        <v>0.27076366805482122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3.47846153846154</v>
      </c>
      <c r="BI490">
        <v>3.47846153846154</v>
      </c>
      <c r="BJ490">
        <v>0.9418410053414632</v>
      </c>
      <c r="CA490">
        <v>0</v>
      </c>
      <c r="CB490">
        <v>0</v>
      </c>
      <c r="CC490">
        <v>0</v>
      </c>
    </row>
    <row r="491" spans="1:82" hidden="1" x14ac:dyDescent="0.25">
      <c r="A491" t="s">
        <v>128</v>
      </c>
      <c r="B491" t="s">
        <v>421</v>
      </c>
      <c r="C491" s="14" t="s">
        <v>72</v>
      </c>
      <c r="D491" s="12">
        <v>46249</v>
      </c>
      <c r="E491" s="14" t="s">
        <v>420</v>
      </c>
      <c r="F491" s="14" t="s">
        <v>74</v>
      </c>
      <c r="G491">
        <v>0</v>
      </c>
      <c r="H491">
        <v>0</v>
      </c>
      <c r="I491">
        <v>20</v>
      </c>
      <c r="J491">
        <v>0</v>
      </c>
      <c r="K491">
        <v>46249</v>
      </c>
      <c r="L491" t="s">
        <v>499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D491">
        <v>0</v>
      </c>
    </row>
    <row r="492" spans="1:82" hidden="1" x14ac:dyDescent="0.25">
      <c r="A492" t="s">
        <v>128</v>
      </c>
      <c r="B492" t="s">
        <v>422</v>
      </c>
      <c r="C492" s="14" t="s">
        <v>72</v>
      </c>
      <c r="D492" s="12">
        <v>46249</v>
      </c>
      <c r="E492" s="14" t="s">
        <v>420</v>
      </c>
      <c r="F492" s="14" t="s">
        <v>74</v>
      </c>
      <c r="G492">
        <v>0</v>
      </c>
      <c r="H492">
        <v>0</v>
      </c>
      <c r="I492">
        <v>20</v>
      </c>
      <c r="J492">
        <v>0</v>
      </c>
      <c r="K492">
        <v>46249</v>
      </c>
      <c r="L492" t="s">
        <v>499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D492">
        <v>0</v>
      </c>
    </row>
    <row r="493" spans="1:82" hidden="1" x14ac:dyDescent="0.25">
      <c r="A493" t="s">
        <v>128</v>
      </c>
      <c r="B493" t="s">
        <v>291</v>
      </c>
      <c r="C493" s="14" t="s">
        <v>72</v>
      </c>
      <c r="D493" s="12">
        <v>46249</v>
      </c>
      <c r="E493" s="14" t="s">
        <v>420</v>
      </c>
      <c r="F493" s="14" t="s">
        <v>74</v>
      </c>
      <c r="G493">
        <v>0</v>
      </c>
      <c r="H493">
        <v>0.95</v>
      </c>
      <c r="I493">
        <v>20</v>
      </c>
      <c r="J493">
        <v>0.95</v>
      </c>
      <c r="K493">
        <v>46249</v>
      </c>
      <c r="L493" t="s">
        <v>499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0</v>
      </c>
      <c r="CD493">
        <v>0</v>
      </c>
    </row>
    <row r="494" spans="1:82" hidden="1" x14ac:dyDescent="0.25">
      <c r="A494" t="s">
        <v>128</v>
      </c>
      <c r="B494" t="s">
        <v>422</v>
      </c>
      <c r="C494" s="14" t="s">
        <v>72</v>
      </c>
      <c r="D494" s="12">
        <v>46249</v>
      </c>
      <c r="E494" s="14" t="s">
        <v>420</v>
      </c>
      <c r="F494" s="14" t="s">
        <v>75</v>
      </c>
      <c r="G494">
        <v>3.2304494690128904</v>
      </c>
      <c r="H494">
        <v>0</v>
      </c>
      <c r="I494">
        <v>20</v>
      </c>
      <c r="J494">
        <v>0</v>
      </c>
      <c r="K494">
        <v>46249</v>
      </c>
      <c r="L494" t="s">
        <v>500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</row>
    <row r="495" spans="1:82" hidden="1" x14ac:dyDescent="0.25">
      <c r="A495" t="s">
        <v>128</v>
      </c>
      <c r="B495" t="s">
        <v>291</v>
      </c>
      <c r="C495" s="14" t="s">
        <v>72</v>
      </c>
      <c r="D495" s="12">
        <v>46249</v>
      </c>
      <c r="E495" s="14" t="s">
        <v>420</v>
      </c>
      <c r="F495" s="14" t="s">
        <v>75</v>
      </c>
      <c r="G495">
        <v>3.2304494690128904</v>
      </c>
      <c r="H495">
        <v>3.8</v>
      </c>
      <c r="I495">
        <v>20</v>
      </c>
      <c r="J495">
        <v>3.8</v>
      </c>
      <c r="K495">
        <v>46249</v>
      </c>
      <c r="L495" t="s">
        <v>500</v>
      </c>
      <c r="M495">
        <v>3.7543252595155714</v>
      </c>
      <c r="N495">
        <v>1.1763068998448516</v>
      </c>
      <c r="O495">
        <v>1.1763068998448516</v>
      </c>
      <c r="P495">
        <v>1.1621680807973631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0.16216808079736311</v>
      </c>
      <c r="X495">
        <v>0</v>
      </c>
      <c r="Y495">
        <v>1.4138819047488482E-2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0.85011828131918177</v>
      </c>
      <c r="AL495">
        <v>0.85011828131918177</v>
      </c>
      <c r="AM495">
        <v>0.98798033145146624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1.2019668548533757E-2</v>
      </c>
      <c r="AY495">
        <v>0</v>
      </c>
      <c r="AZ495">
        <v>0</v>
      </c>
      <c r="BA495">
        <v>0</v>
      </c>
      <c r="BB495">
        <v>0.85011828131918177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1.0121658986175113</v>
      </c>
      <c r="BI495">
        <v>1.0121658986175113</v>
      </c>
      <c r="BJ495">
        <v>0.86046073414260393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1.2165898617511273E-2</v>
      </c>
      <c r="BT495">
        <v>0</v>
      </c>
      <c r="BU495">
        <v>0</v>
      </c>
      <c r="BV495">
        <v>0</v>
      </c>
      <c r="BW495">
        <v>0.13953926585739607</v>
      </c>
      <c r="BX495">
        <v>0</v>
      </c>
      <c r="BY495">
        <v>0.86046073414260393</v>
      </c>
      <c r="BZ495">
        <v>0</v>
      </c>
      <c r="CA495">
        <v>0</v>
      </c>
      <c r="CB495">
        <v>0</v>
      </c>
      <c r="CC495">
        <v>0</v>
      </c>
      <c r="CD495">
        <v>0</v>
      </c>
    </row>
    <row r="496" spans="1:82" hidden="1" x14ac:dyDescent="0.25">
      <c r="A496" t="s">
        <v>128</v>
      </c>
      <c r="B496" t="s">
        <v>421</v>
      </c>
      <c r="C496" s="14" t="s">
        <v>72</v>
      </c>
      <c r="D496" s="12">
        <v>46249</v>
      </c>
      <c r="E496" s="14" t="s">
        <v>420</v>
      </c>
      <c r="F496" s="14" t="s">
        <v>75</v>
      </c>
      <c r="G496">
        <v>1.4299114156666153</v>
      </c>
      <c r="H496">
        <v>0</v>
      </c>
      <c r="I496">
        <v>20</v>
      </c>
      <c r="J496">
        <v>0</v>
      </c>
      <c r="K496">
        <v>46249</v>
      </c>
      <c r="L496" t="s">
        <v>500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</row>
    <row r="497" spans="1:82" hidden="1" x14ac:dyDescent="0.25">
      <c r="A497" t="s">
        <v>128</v>
      </c>
      <c r="B497" t="s">
        <v>422</v>
      </c>
      <c r="C497" s="14" t="s">
        <v>72</v>
      </c>
      <c r="D497" s="12">
        <v>46250</v>
      </c>
      <c r="E497" s="14" t="s">
        <v>420</v>
      </c>
      <c r="F497" s="14" t="s">
        <v>73</v>
      </c>
      <c r="G497">
        <v>3.6011567851291222</v>
      </c>
      <c r="H497">
        <v>0</v>
      </c>
      <c r="I497">
        <v>20</v>
      </c>
      <c r="J497">
        <v>0</v>
      </c>
      <c r="K497">
        <v>46250</v>
      </c>
      <c r="L497" t="s">
        <v>501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</row>
    <row r="498" spans="1:82" hidden="1" x14ac:dyDescent="0.25">
      <c r="A498" t="s">
        <v>128</v>
      </c>
      <c r="B498" t="s">
        <v>291</v>
      </c>
      <c r="C498" s="14" t="s">
        <v>72</v>
      </c>
      <c r="D498" s="12">
        <v>46250</v>
      </c>
      <c r="E498" s="14" t="s">
        <v>420</v>
      </c>
      <c r="F498" s="14" t="s">
        <v>73</v>
      </c>
      <c r="G498">
        <v>3.6011567851291222</v>
      </c>
      <c r="H498">
        <v>2.8499999999999996</v>
      </c>
      <c r="I498">
        <v>20</v>
      </c>
      <c r="J498">
        <v>2.8499999999999996</v>
      </c>
      <c r="K498">
        <v>46250</v>
      </c>
      <c r="L498" t="s">
        <v>501</v>
      </c>
      <c r="M498">
        <v>3.7647058823529393</v>
      </c>
      <c r="N498">
        <v>0.79141236276326432</v>
      </c>
      <c r="O498">
        <v>0.79141236276326432</v>
      </c>
      <c r="P498">
        <v>1.0454157113900702</v>
      </c>
      <c r="Q498">
        <v>4.5415711390070168E-2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0.20858763723673568</v>
      </c>
      <c r="AA498">
        <v>0</v>
      </c>
      <c r="AB498">
        <v>0</v>
      </c>
      <c r="AC498">
        <v>0</v>
      </c>
      <c r="AD498">
        <v>0</v>
      </c>
      <c r="AE498">
        <v>0.79141236276326432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1.2635637842558325</v>
      </c>
      <c r="AL498">
        <v>1.2635637842558325</v>
      </c>
      <c r="AM498">
        <v>1.3209494324045403</v>
      </c>
      <c r="AN498">
        <v>5.7385648148707835E-2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0.26356378425583249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0.75703125000000027</v>
      </c>
      <c r="BI498">
        <v>0.75703125000000027</v>
      </c>
      <c r="BJ498">
        <v>0.9565572710499235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4.3442728950076503E-2</v>
      </c>
      <c r="BV498">
        <v>0</v>
      </c>
      <c r="BW498">
        <v>0</v>
      </c>
      <c r="BX498">
        <v>0</v>
      </c>
      <c r="BY498">
        <v>0.75703125000000027</v>
      </c>
      <c r="BZ498">
        <v>0</v>
      </c>
      <c r="CA498">
        <v>0</v>
      </c>
      <c r="CB498">
        <v>0</v>
      </c>
      <c r="CC498">
        <v>0</v>
      </c>
      <c r="CD498">
        <v>0</v>
      </c>
    </row>
    <row r="499" spans="1:82" hidden="1" x14ac:dyDescent="0.25">
      <c r="A499" t="s">
        <v>128</v>
      </c>
      <c r="B499" t="s">
        <v>421</v>
      </c>
      <c r="C499" s="14" t="s">
        <v>72</v>
      </c>
      <c r="D499" s="12">
        <v>46250</v>
      </c>
      <c r="E499" s="14" t="s">
        <v>420</v>
      </c>
      <c r="F499" s="14" t="s">
        <v>73</v>
      </c>
      <c r="G499">
        <v>1.869884158948651</v>
      </c>
      <c r="H499">
        <v>0</v>
      </c>
      <c r="I499">
        <v>20</v>
      </c>
      <c r="J499">
        <v>0</v>
      </c>
      <c r="K499">
        <v>46250</v>
      </c>
      <c r="L499" t="s">
        <v>501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</row>
    <row r="500" spans="1:82" hidden="1" x14ac:dyDescent="0.25">
      <c r="A500" t="s">
        <v>128</v>
      </c>
      <c r="B500" t="s">
        <v>291</v>
      </c>
      <c r="C500" s="14" t="s">
        <v>72</v>
      </c>
      <c r="D500" s="12">
        <v>46250</v>
      </c>
      <c r="E500" s="14" t="s">
        <v>420</v>
      </c>
      <c r="F500" s="14" t="s">
        <v>74</v>
      </c>
      <c r="G500">
        <v>0</v>
      </c>
      <c r="H500">
        <v>0.95</v>
      </c>
      <c r="I500">
        <v>20</v>
      </c>
      <c r="J500">
        <v>0.95</v>
      </c>
      <c r="K500">
        <v>46250</v>
      </c>
      <c r="L500" t="s">
        <v>502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0</v>
      </c>
      <c r="CD500">
        <v>0</v>
      </c>
    </row>
    <row r="501" spans="1:82" hidden="1" x14ac:dyDescent="0.25">
      <c r="A501" t="s">
        <v>128</v>
      </c>
      <c r="B501" t="s">
        <v>421</v>
      </c>
      <c r="C501" s="14" t="s">
        <v>72</v>
      </c>
      <c r="D501" s="12">
        <v>46250</v>
      </c>
      <c r="E501" s="14" t="s">
        <v>420</v>
      </c>
      <c r="F501" s="14" t="s">
        <v>74</v>
      </c>
      <c r="G501">
        <v>0</v>
      </c>
      <c r="H501">
        <v>0.95</v>
      </c>
      <c r="I501">
        <v>20</v>
      </c>
      <c r="J501">
        <v>0.95</v>
      </c>
      <c r="K501">
        <v>46250</v>
      </c>
      <c r="L501" t="s">
        <v>502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</v>
      </c>
      <c r="CD501">
        <v>0</v>
      </c>
    </row>
    <row r="502" spans="1:82" hidden="1" x14ac:dyDescent="0.25">
      <c r="A502" t="s">
        <v>128</v>
      </c>
      <c r="B502" t="s">
        <v>422</v>
      </c>
      <c r="C502" s="14" t="s">
        <v>72</v>
      </c>
      <c r="D502" s="12">
        <v>46250</v>
      </c>
      <c r="E502" s="14" t="s">
        <v>420</v>
      </c>
      <c r="F502" s="14" t="s">
        <v>74</v>
      </c>
      <c r="G502">
        <v>0</v>
      </c>
      <c r="H502">
        <v>1.9</v>
      </c>
      <c r="I502">
        <v>20</v>
      </c>
      <c r="J502">
        <v>1.9</v>
      </c>
      <c r="K502">
        <v>46250</v>
      </c>
      <c r="L502" t="s">
        <v>502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0</v>
      </c>
      <c r="CD502">
        <v>0</v>
      </c>
    </row>
    <row r="503" spans="1:82" hidden="1" x14ac:dyDescent="0.25">
      <c r="A503" t="s">
        <v>128</v>
      </c>
      <c r="B503" t="s">
        <v>422</v>
      </c>
      <c r="C503" s="14" t="s">
        <v>72</v>
      </c>
      <c r="D503" s="12">
        <v>46250</v>
      </c>
      <c r="E503" s="14" t="s">
        <v>420</v>
      </c>
      <c r="F503" s="14" t="s">
        <v>75</v>
      </c>
      <c r="G503">
        <v>3.1774912809962856</v>
      </c>
      <c r="H503">
        <v>0.95</v>
      </c>
      <c r="I503">
        <v>20</v>
      </c>
      <c r="J503">
        <v>0.95</v>
      </c>
      <c r="K503">
        <v>46250</v>
      </c>
      <c r="L503" t="s">
        <v>503</v>
      </c>
      <c r="M503">
        <v>0</v>
      </c>
      <c r="N503">
        <v>0.29897800371056643</v>
      </c>
      <c r="O503">
        <v>0.29897800371056643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0.70102199628943351</v>
      </c>
      <c r="AB503">
        <v>0</v>
      </c>
      <c r="AC503">
        <v>0</v>
      </c>
      <c r="AD503">
        <v>0</v>
      </c>
      <c r="AE503">
        <v>0</v>
      </c>
      <c r="AF503">
        <v>0.29897800371056643</v>
      </c>
      <c r="AG503">
        <v>0</v>
      </c>
      <c r="AH503">
        <v>0</v>
      </c>
      <c r="AI503">
        <v>0</v>
      </c>
      <c r="AJ503">
        <v>0</v>
      </c>
      <c r="AK503">
        <v>3.3447276642066166</v>
      </c>
      <c r="AL503">
        <v>3.3447276642066166</v>
      </c>
      <c r="AM503">
        <v>0</v>
      </c>
      <c r="BD503">
        <v>0</v>
      </c>
      <c r="BE503">
        <v>0</v>
      </c>
      <c r="BF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</row>
    <row r="504" spans="1:82" hidden="1" x14ac:dyDescent="0.25">
      <c r="A504" t="s">
        <v>128</v>
      </c>
      <c r="B504" t="s">
        <v>291</v>
      </c>
      <c r="C504" s="14" t="s">
        <v>72</v>
      </c>
      <c r="D504" s="12">
        <v>46250</v>
      </c>
      <c r="E504" s="14" t="s">
        <v>420</v>
      </c>
      <c r="F504" s="14" t="s">
        <v>75</v>
      </c>
      <c r="G504">
        <v>3.1774912809962856</v>
      </c>
      <c r="H504">
        <v>14.25</v>
      </c>
      <c r="I504">
        <v>20</v>
      </c>
      <c r="J504">
        <v>14.25</v>
      </c>
      <c r="K504">
        <v>46250</v>
      </c>
      <c r="L504" t="s">
        <v>503</v>
      </c>
      <c r="M504">
        <v>3.7508650519031144</v>
      </c>
      <c r="N504">
        <v>4.4846700556584969</v>
      </c>
      <c r="O504">
        <v>4.4846700556584969</v>
      </c>
      <c r="P504">
        <v>1.1804485741112878</v>
      </c>
      <c r="Q504">
        <v>0</v>
      </c>
      <c r="R504">
        <v>0</v>
      </c>
      <c r="S504">
        <v>3.2346700556584969</v>
      </c>
      <c r="T504">
        <v>0</v>
      </c>
      <c r="U504">
        <v>0</v>
      </c>
      <c r="V504">
        <v>0</v>
      </c>
      <c r="W504">
        <v>0.18044857411128779</v>
      </c>
      <c r="X504">
        <v>0</v>
      </c>
      <c r="Y504">
        <v>6.9551425888712215E-2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0.2229818442804411</v>
      </c>
      <c r="AL504">
        <v>0.2229818442804411</v>
      </c>
      <c r="AM504">
        <v>0.26321860013355186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0.73678139986644808</v>
      </c>
      <c r="AY504">
        <v>0</v>
      </c>
      <c r="AZ504">
        <v>0</v>
      </c>
      <c r="BA504">
        <v>0</v>
      </c>
      <c r="BB504">
        <v>0.2229818442804411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3.7991236162361623</v>
      </c>
      <c r="BI504">
        <v>3.7991236162361623</v>
      </c>
      <c r="BJ504">
        <v>0.84713559059771815</v>
      </c>
      <c r="CA504">
        <v>0</v>
      </c>
      <c r="CB504">
        <v>0</v>
      </c>
      <c r="CC504">
        <v>0</v>
      </c>
    </row>
    <row r="505" spans="1:82" hidden="1" x14ac:dyDescent="0.25">
      <c r="A505" t="s">
        <v>128</v>
      </c>
      <c r="B505" t="s">
        <v>421</v>
      </c>
      <c r="C505" s="14" t="s">
        <v>72</v>
      </c>
      <c r="D505" s="12">
        <v>46250</v>
      </c>
      <c r="E505" s="14" t="s">
        <v>420</v>
      </c>
      <c r="F505" s="14" t="s">
        <v>75</v>
      </c>
      <c r="G505">
        <v>1.4299114156666153</v>
      </c>
      <c r="H505">
        <v>1.9</v>
      </c>
      <c r="I505">
        <v>20</v>
      </c>
      <c r="J505">
        <v>1.9</v>
      </c>
      <c r="K505">
        <v>46250</v>
      </c>
      <c r="L505" t="s">
        <v>503</v>
      </c>
      <c r="M505">
        <v>0</v>
      </c>
      <c r="N505">
        <v>1.328753641087782</v>
      </c>
      <c r="O505">
        <v>1.328753641087782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0.75258495561400807</v>
      </c>
      <c r="AL505">
        <v>0.75258495561400807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</row>
    <row r="506" spans="1:82" hidden="1" x14ac:dyDescent="0.25">
      <c r="A506" t="s">
        <v>128</v>
      </c>
      <c r="B506" t="s">
        <v>291</v>
      </c>
      <c r="C506" s="14" t="s">
        <v>72</v>
      </c>
      <c r="D506" s="12">
        <v>46223</v>
      </c>
      <c r="E506" s="14" t="s">
        <v>134</v>
      </c>
      <c r="F506" s="14" t="s">
        <v>73</v>
      </c>
      <c r="G506">
        <v>5.8204648795871554</v>
      </c>
      <c r="H506">
        <v>1.9</v>
      </c>
      <c r="I506">
        <v>20</v>
      </c>
      <c r="J506">
        <v>1.9</v>
      </c>
      <c r="K506">
        <v>46223</v>
      </c>
      <c r="L506" t="s">
        <v>423</v>
      </c>
      <c r="M506">
        <v>2.823529411764707</v>
      </c>
      <c r="N506">
        <v>0.32643440675390978</v>
      </c>
      <c r="O506">
        <v>0.32643440675390978</v>
      </c>
      <c r="P506">
        <v>0.48510376235875158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0.1586693556048418</v>
      </c>
      <c r="AA506">
        <v>0.51489623764124848</v>
      </c>
      <c r="AB506">
        <v>0</v>
      </c>
      <c r="AC506">
        <v>0</v>
      </c>
      <c r="AD506">
        <v>0</v>
      </c>
      <c r="AE506">
        <v>0.32643440675390978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3.0634025682037662</v>
      </c>
      <c r="AL506">
        <v>3.0634025682037662</v>
      </c>
      <c r="AM506">
        <v>1.4860681114551091</v>
      </c>
      <c r="BD506">
        <v>0</v>
      </c>
      <c r="BE506">
        <v>0</v>
      </c>
      <c r="BF506">
        <v>0</v>
      </c>
      <c r="BH506">
        <v>0.67291666666666639</v>
      </c>
      <c r="BI506">
        <v>0.67291666666666639</v>
      </c>
      <c r="BJ506">
        <v>2.0614146448537833</v>
      </c>
      <c r="BK506">
        <v>1.0614146448537833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0.67356559324609022</v>
      </c>
      <c r="BU506">
        <v>0</v>
      </c>
      <c r="BV506">
        <v>0</v>
      </c>
      <c r="BW506">
        <v>0</v>
      </c>
      <c r="BX506">
        <v>0</v>
      </c>
      <c r="BY506">
        <v>0.67291666666666639</v>
      </c>
      <c r="BZ506">
        <v>0</v>
      </c>
      <c r="CA506">
        <v>0</v>
      </c>
      <c r="CB506">
        <v>0</v>
      </c>
      <c r="CC506">
        <v>0</v>
      </c>
      <c r="CD506">
        <v>0</v>
      </c>
    </row>
    <row r="507" spans="1:82" hidden="1" x14ac:dyDescent="0.25">
      <c r="A507" t="s">
        <v>128</v>
      </c>
      <c r="B507" t="s">
        <v>421</v>
      </c>
      <c r="C507" s="14" t="s">
        <v>72</v>
      </c>
      <c r="D507" s="12">
        <v>46223</v>
      </c>
      <c r="E507" s="14" t="s">
        <v>134</v>
      </c>
      <c r="F507" s="14" t="s">
        <v>73</v>
      </c>
      <c r="G507">
        <v>2.5233188720173532</v>
      </c>
      <c r="H507">
        <v>0.95</v>
      </c>
      <c r="I507">
        <v>20</v>
      </c>
      <c r="J507">
        <v>0.95</v>
      </c>
      <c r="K507">
        <v>46223</v>
      </c>
      <c r="L507" t="s">
        <v>423</v>
      </c>
      <c r="M507">
        <v>0</v>
      </c>
      <c r="N507">
        <v>0.37648828712658505</v>
      </c>
      <c r="O507">
        <v>0.37648828712658505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0.62351171287341489</v>
      </c>
      <c r="AB507">
        <v>0</v>
      </c>
      <c r="AC507">
        <v>0</v>
      </c>
      <c r="AD507">
        <v>0</v>
      </c>
      <c r="AE507">
        <v>0</v>
      </c>
      <c r="AF507">
        <v>0.37648828712658505</v>
      </c>
      <c r="AG507">
        <v>0</v>
      </c>
      <c r="AH507">
        <v>0</v>
      </c>
      <c r="AI507">
        <v>0</v>
      </c>
      <c r="AJ507">
        <v>0</v>
      </c>
      <c r="AK507">
        <v>2.656125128439319</v>
      </c>
      <c r="AL507">
        <v>2.656125128439319</v>
      </c>
      <c r="AM507">
        <v>0</v>
      </c>
      <c r="BD507">
        <v>0</v>
      </c>
      <c r="BE507">
        <v>0</v>
      </c>
      <c r="BF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</row>
    <row r="508" spans="1:82" hidden="1" x14ac:dyDescent="0.25">
      <c r="A508" t="s">
        <v>128</v>
      </c>
      <c r="B508" t="s">
        <v>422</v>
      </c>
      <c r="C508" s="14" t="s">
        <v>72</v>
      </c>
      <c r="D508" s="12">
        <v>46223</v>
      </c>
      <c r="E508" s="14" t="s">
        <v>134</v>
      </c>
      <c r="F508" s="14" t="s">
        <v>73</v>
      </c>
      <c r="G508">
        <v>5.8204648795871554</v>
      </c>
      <c r="H508">
        <v>0.95</v>
      </c>
      <c r="I508">
        <v>20</v>
      </c>
      <c r="J508">
        <v>0.95</v>
      </c>
      <c r="K508">
        <v>46223</v>
      </c>
      <c r="L508" t="s">
        <v>423</v>
      </c>
      <c r="M508">
        <v>0.94117647058823517</v>
      </c>
      <c r="N508">
        <v>0.16321720337695489</v>
      </c>
      <c r="O508">
        <v>0.16321720337695489</v>
      </c>
      <c r="P508">
        <v>0.16170125411958378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0.83678279662304511</v>
      </c>
      <c r="AB508">
        <v>0</v>
      </c>
      <c r="AC508">
        <v>1.5159492573711131E-3</v>
      </c>
      <c r="AD508">
        <v>0</v>
      </c>
      <c r="AE508">
        <v>0.16170125411958378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6.1268051364075324</v>
      </c>
      <c r="AL508">
        <v>6.1268051364075324</v>
      </c>
      <c r="AM508">
        <v>0.99071207430340547</v>
      </c>
      <c r="BD508">
        <v>0</v>
      </c>
      <c r="BE508">
        <v>0</v>
      </c>
      <c r="BF508">
        <v>0</v>
      </c>
      <c r="BH508">
        <v>1.0093750000000001</v>
      </c>
      <c r="BI508">
        <v>1.0093750000000001</v>
      </c>
      <c r="BJ508">
        <v>6.1842439345613531</v>
      </c>
      <c r="BK508">
        <v>5.1748689345613528</v>
      </c>
      <c r="BL508">
        <v>0</v>
      </c>
      <c r="BM508">
        <v>0</v>
      </c>
      <c r="BN508">
        <v>0</v>
      </c>
      <c r="BO508">
        <v>0</v>
      </c>
      <c r="BP508">
        <v>0.49062499999999987</v>
      </c>
      <c r="BQ508">
        <v>9.3750000000001332E-3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</row>
    <row r="509" spans="1:82" hidden="1" x14ac:dyDescent="0.25">
      <c r="A509" t="s">
        <v>128</v>
      </c>
      <c r="B509" t="s">
        <v>291</v>
      </c>
      <c r="C509" s="14" t="s">
        <v>72</v>
      </c>
      <c r="D509" s="12">
        <v>46223</v>
      </c>
      <c r="E509" s="14" t="s">
        <v>134</v>
      </c>
      <c r="F509" s="14" t="s">
        <v>74</v>
      </c>
      <c r="G509">
        <v>1.2735376146788988</v>
      </c>
      <c r="H509">
        <v>11.4</v>
      </c>
      <c r="I509">
        <v>20</v>
      </c>
      <c r="J509">
        <v>11.4</v>
      </c>
      <c r="K509">
        <v>46223</v>
      </c>
      <c r="L509" t="s">
        <v>424</v>
      </c>
      <c r="M509">
        <v>0.94117647058823517</v>
      </c>
      <c r="N509">
        <v>8.9514434977048705</v>
      </c>
      <c r="O509">
        <v>8.9514434977048705</v>
      </c>
      <c r="P509">
        <v>0.73902526296841031</v>
      </c>
      <c r="Q509">
        <v>0</v>
      </c>
      <c r="R509">
        <v>0</v>
      </c>
      <c r="S509">
        <v>7.7014434977048705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0.25</v>
      </c>
      <c r="Z509">
        <v>0</v>
      </c>
      <c r="AA509">
        <v>0</v>
      </c>
      <c r="AB509">
        <v>0</v>
      </c>
      <c r="AC509">
        <v>0.26097473703158969</v>
      </c>
      <c r="AD509">
        <v>0</v>
      </c>
      <c r="AE509">
        <v>0.73902526296841031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0.11171382584902623</v>
      </c>
      <c r="AL509">
        <v>0.11171382584902623</v>
      </c>
      <c r="AM509">
        <v>8.2559339525283798E-2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0.88828617415097377</v>
      </c>
      <c r="AY509">
        <v>0</v>
      </c>
      <c r="AZ509">
        <v>2.9154486323742429E-2</v>
      </c>
      <c r="BA509">
        <v>0</v>
      </c>
      <c r="BB509">
        <v>8.2559339525283798E-2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12.112500000000001</v>
      </c>
      <c r="BI509">
        <v>12.112500000000001</v>
      </c>
      <c r="BJ509">
        <v>1.3531337155963301</v>
      </c>
      <c r="CA509">
        <v>0</v>
      </c>
      <c r="CB509">
        <v>0</v>
      </c>
      <c r="CC509">
        <v>0</v>
      </c>
    </row>
    <row r="510" spans="1:82" hidden="1" x14ac:dyDescent="0.25">
      <c r="A510" t="s">
        <v>128</v>
      </c>
      <c r="B510" t="s">
        <v>422</v>
      </c>
      <c r="C510" s="14" t="s">
        <v>72</v>
      </c>
      <c r="D510" s="12">
        <v>46223</v>
      </c>
      <c r="E510" s="14" t="s">
        <v>134</v>
      </c>
      <c r="F510" s="14" t="s">
        <v>74</v>
      </c>
      <c r="G510">
        <v>1.2735376146788988</v>
      </c>
      <c r="H510">
        <v>0.95</v>
      </c>
      <c r="I510">
        <v>20</v>
      </c>
      <c r="J510">
        <v>0.95</v>
      </c>
      <c r="K510">
        <v>46223</v>
      </c>
      <c r="L510" t="s">
        <v>424</v>
      </c>
      <c r="M510">
        <v>1.0127450980392154</v>
      </c>
      <c r="N510">
        <v>0.74595362480873917</v>
      </c>
      <c r="O510">
        <v>0.74595362480873917</v>
      </c>
      <c r="P510">
        <v>0.79522197567329966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4.9268350864560495E-2</v>
      </c>
      <c r="AA510">
        <v>0.20477802432670034</v>
      </c>
      <c r="AB510">
        <v>0</v>
      </c>
      <c r="AC510">
        <v>0</v>
      </c>
      <c r="AD510">
        <v>0</v>
      </c>
      <c r="AE510">
        <v>0.74595362480873917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1.3405659101883145</v>
      </c>
      <c r="AL510">
        <v>1.3405659101883145</v>
      </c>
      <c r="AM510">
        <v>1.0660474716202268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6.6047471620226839E-2</v>
      </c>
      <c r="AU510">
        <v>0</v>
      </c>
      <c r="AV510">
        <v>0.27451843856808766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0.93804453049370784</v>
      </c>
      <c r="BI510">
        <v>0.93804453049370784</v>
      </c>
      <c r="BJ510">
        <v>1.2575105198184677</v>
      </c>
      <c r="BK510">
        <v>0.25751051981846773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0.25404637519126083</v>
      </c>
      <c r="BU510">
        <v>0</v>
      </c>
      <c r="BV510">
        <v>0</v>
      </c>
      <c r="BW510">
        <v>0</v>
      </c>
      <c r="BX510">
        <v>0</v>
      </c>
      <c r="BY510">
        <v>0.93804453049370784</v>
      </c>
      <c r="BZ510">
        <v>0</v>
      </c>
      <c r="CA510">
        <v>0</v>
      </c>
      <c r="CB510">
        <v>0</v>
      </c>
      <c r="CC510">
        <v>0</v>
      </c>
      <c r="CD510">
        <v>0</v>
      </c>
    </row>
    <row r="511" spans="1:82" hidden="1" x14ac:dyDescent="0.25">
      <c r="A511" t="s">
        <v>128</v>
      </c>
      <c r="B511" t="s">
        <v>421</v>
      </c>
      <c r="C511" s="14" t="s">
        <v>72</v>
      </c>
      <c r="D511" s="12">
        <v>46223</v>
      </c>
      <c r="E511" s="14" t="s">
        <v>134</v>
      </c>
      <c r="F511" s="14" t="s">
        <v>74</v>
      </c>
      <c r="G511">
        <v>2.7731019522776572</v>
      </c>
      <c r="H511">
        <v>0.95</v>
      </c>
      <c r="I511">
        <v>20</v>
      </c>
      <c r="J511">
        <v>0.95</v>
      </c>
      <c r="K511">
        <v>46223</v>
      </c>
      <c r="L511" t="s">
        <v>424</v>
      </c>
      <c r="M511">
        <v>2.0078431372549019</v>
      </c>
      <c r="N511">
        <v>0.34257665832290363</v>
      </c>
      <c r="O511">
        <v>0.34257665832290363</v>
      </c>
      <c r="P511">
        <v>0.72404230778669421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0.38146564946379058</v>
      </c>
      <c r="AA511">
        <v>0.27595769221330579</v>
      </c>
      <c r="AB511">
        <v>0</v>
      </c>
      <c r="AC511">
        <v>0</v>
      </c>
      <c r="AD511">
        <v>0</v>
      </c>
      <c r="AE511">
        <v>0.34257665832290363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2.9190546866080602</v>
      </c>
      <c r="AL511">
        <v>2.9190546866080602</v>
      </c>
      <c r="AM511">
        <v>2.1135190918472655</v>
      </c>
      <c r="BD511">
        <v>0</v>
      </c>
      <c r="BE511">
        <v>0</v>
      </c>
      <c r="BF511">
        <v>0</v>
      </c>
      <c r="BH511">
        <v>0.47314453125</v>
      </c>
      <c r="BI511">
        <v>0.47314453125</v>
      </c>
      <c r="BJ511">
        <v>1.3811347613882863</v>
      </c>
      <c r="BK511">
        <v>0.38113476138828628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0.65742334167709637</v>
      </c>
      <c r="BU511">
        <v>0</v>
      </c>
      <c r="BV511">
        <v>0</v>
      </c>
      <c r="BW511">
        <v>0</v>
      </c>
      <c r="BX511">
        <v>0</v>
      </c>
      <c r="BY511">
        <v>0.47314453125</v>
      </c>
      <c r="BZ511">
        <v>0</v>
      </c>
      <c r="CA511">
        <v>0</v>
      </c>
      <c r="CB511">
        <v>0</v>
      </c>
      <c r="CC511">
        <v>0</v>
      </c>
      <c r="CD511">
        <v>0</v>
      </c>
    </row>
    <row r="512" spans="1:82" hidden="1" x14ac:dyDescent="0.25">
      <c r="A512" t="s">
        <v>128</v>
      </c>
      <c r="B512" t="s">
        <v>291</v>
      </c>
      <c r="C512" s="14" t="s">
        <v>72</v>
      </c>
      <c r="D512" s="12">
        <v>46223</v>
      </c>
      <c r="E512" s="14" t="s">
        <v>134</v>
      </c>
      <c r="F512" s="14" t="s">
        <v>75</v>
      </c>
      <c r="G512">
        <v>3.3711289800323794</v>
      </c>
      <c r="H512">
        <v>3.8</v>
      </c>
      <c r="I512">
        <v>20</v>
      </c>
      <c r="J512">
        <v>3.8</v>
      </c>
      <c r="K512">
        <v>46223</v>
      </c>
      <c r="L512" t="s">
        <v>425</v>
      </c>
      <c r="M512">
        <v>3.9861591695501688</v>
      </c>
      <c r="N512">
        <v>1.1272188108220946</v>
      </c>
      <c r="O512">
        <v>1.1272188108220946</v>
      </c>
      <c r="P512">
        <v>1.1824404207494552</v>
      </c>
      <c r="Q512">
        <v>5.5221609927360582E-2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0.12721881082209463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0.88713920527167878</v>
      </c>
      <c r="AL512">
        <v>0.88713920527167878</v>
      </c>
      <c r="AM512">
        <v>1.0489892551447813</v>
      </c>
      <c r="AN512">
        <v>4.8989255144781252E-2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0.88713920527167878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0.95329861111111203</v>
      </c>
      <c r="BI512">
        <v>0.95329861111111203</v>
      </c>
      <c r="BJ512">
        <v>0.84570857224770712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4.6701388888887974E-2</v>
      </c>
      <c r="BV512">
        <v>0</v>
      </c>
      <c r="BW512">
        <v>0.1075900388634049</v>
      </c>
      <c r="BX512">
        <v>0</v>
      </c>
      <c r="BY512">
        <v>0.84570857224770712</v>
      </c>
      <c r="BZ512">
        <v>0</v>
      </c>
      <c r="CA512">
        <v>0</v>
      </c>
      <c r="CB512">
        <v>0</v>
      </c>
      <c r="CC512">
        <v>0</v>
      </c>
      <c r="CD512">
        <v>0</v>
      </c>
    </row>
    <row r="513" spans="1:82" hidden="1" x14ac:dyDescent="0.25">
      <c r="A513" t="s">
        <v>128</v>
      </c>
      <c r="B513" t="s">
        <v>421</v>
      </c>
      <c r="C513" s="14" t="s">
        <v>72</v>
      </c>
      <c r="D513" s="12">
        <v>46223</v>
      </c>
      <c r="E513" s="14" t="s">
        <v>134</v>
      </c>
      <c r="F513" s="14" t="s">
        <v>75</v>
      </c>
      <c r="G513">
        <v>2.4468546637744035</v>
      </c>
      <c r="H513">
        <v>7.6</v>
      </c>
      <c r="I513">
        <v>20</v>
      </c>
      <c r="J513">
        <v>7.6</v>
      </c>
      <c r="K513">
        <v>46223</v>
      </c>
      <c r="L513" t="s">
        <v>425</v>
      </c>
      <c r="M513">
        <v>1.7716262975778552</v>
      </c>
      <c r="N513">
        <v>3.106028368794326</v>
      </c>
      <c r="O513">
        <v>3.106028368794326</v>
      </c>
      <c r="P513">
        <v>0.72404230778669432</v>
      </c>
      <c r="Q513">
        <v>0</v>
      </c>
      <c r="R513">
        <v>0</v>
      </c>
      <c r="S513">
        <v>1.856028368794326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0.25</v>
      </c>
      <c r="Z513">
        <v>0</v>
      </c>
      <c r="AA513">
        <v>0</v>
      </c>
      <c r="AB513">
        <v>0</v>
      </c>
      <c r="AC513">
        <v>0.27595769221330568</v>
      </c>
      <c r="AD513">
        <v>0</v>
      </c>
      <c r="AE513">
        <v>0.72404230778669432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0.32195456102294784</v>
      </c>
      <c r="AL513">
        <v>0.32195456102294784</v>
      </c>
      <c r="AM513">
        <v>0.23310872336550728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0.67804543897705216</v>
      </c>
      <c r="AY513">
        <v>0</v>
      </c>
      <c r="AZ513">
        <v>8.8845837657440557E-2</v>
      </c>
      <c r="BA513">
        <v>0</v>
      </c>
      <c r="BB513">
        <v>0.23310872336550728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4.2898437499999984</v>
      </c>
      <c r="BI513">
        <v>4.2898437499999984</v>
      </c>
      <c r="BJ513">
        <v>1.3811347613882861</v>
      </c>
      <c r="CA513">
        <v>0</v>
      </c>
      <c r="CB513">
        <v>0</v>
      </c>
      <c r="CC513">
        <v>0</v>
      </c>
    </row>
    <row r="514" spans="1:82" hidden="1" x14ac:dyDescent="0.25">
      <c r="A514" t="s">
        <v>128</v>
      </c>
      <c r="B514" t="s">
        <v>422</v>
      </c>
      <c r="C514" s="14" t="s">
        <v>72</v>
      </c>
      <c r="D514" s="12">
        <v>46223</v>
      </c>
      <c r="E514" s="14" t="s">
        <v>134</v>
      </c>
      <c r="F514" s="14" t="s">
        <v>75</v>
      </c>
      <c r="G514">
        <v>3.3711289800323794</v>
      </c>
      <c r="H514">
        <v>3.8</v>
      </c>
      <c r="I514">
        <v>20</v>
      </c>
      <c r="J514">
        <v>3.8</v>
      </c>
      <c r="K514">
        <v>46223</v>
      </c>
      <c r="L514" t="s">
        <v>425</v>
      </c>
      <c r="M514">
        <v>2.0220588235294117</v>
      </c>
      <c r="N514">
        <v>1.1272188108220946</v>
      </c>
      <c r="O514">
        <v>1.1272188108220946</v>
      </c>
      <c r="P514">
        <v>0.59981651117661772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0.12721881082209463</v>
      </c>
      <c r="Z514">
        <v>0</v>
      </c>
      <c r="AA514">
        <v>0</v>
      </c>
      <c r="AB514">
        <v>0</v>
      </c>
      <c r="AC514">
        <v>0.40018348882338228</v>
      </c>
      <c r="AD514">
        <v>0</v>
      </c>
      <c r="AE514">
        <v>0.59981651117661772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0.88713920527167878</v>
      </c>
      <c r="AL514">
        <v>0.88713920527167878</v>
      </c>
      <c r="AM514">
        <v>0.53212074303405577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0.11286079472832122</v>
      </c>
      <c r="AY514">
        <v>0</v>
      </c>
      <c r="AZ514">
        <v>0.35501846223762301</v>
      </c>
      <c r="BA514">
        <v>0</v>
      </c>
      <c r="BB514">
        <v>0.53212074303405577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1.8792727272727272</v>
      </c>
      <c r="BI514">
        <v>1.8792727272727272</v>
      </c>
      <c r="BJ514">
        <v>1.6671765137614676</v>
      </c>
      <c r="CA514">
        <v>0</v>
      </c>
      <c r="CB514">
        <v>0</v>
      </c>
      <c r="CC514">
        <v>0</v>
      </c>
    </row>
    <row r="515" spans="1:82" hidden="1" x14ac:dyDescent="0.25">
      <c r="A515" t="s">
        <v>128</v>
      </c>
      <c r="B515" t="s">
        <v>421</v>
      </c>
      <c r="C515" s="14" t="s">
        <v>72</v>
      </c>
      <c r="D515" s="12">
        <v>46224</v>
      </c>
      <c r="E515" s="14" t="s">
        <v>134</v>
      </c>
      <c r="F515" s="14" t="s">
        <v>73</v>
      </c>
      <c r="G515">
        <v>3.7467462039045554</v>
      </c>
      <c r="H515">
        <v>0.95</v>
      </c>
      <c r="I515">
        <v>20</v>
      </c>
      <c r="J515">
        <v>0.95</v>
      </c>
      <c r="K515">
        <v>46224</v>
      </c>
      <c r="L515" t="s">
        <v>426</v>
      </c>
      <c r="M515">
        <v>0.23529411764705879</v>
      </c>
      <c r="N515">
        <v>0.25355333622810827</v>
      </c>
      <c r="O515">
        <v>0.25355333622810827</v>
      </c>
      <c r="P515">
        <v>6.2799587920274486E-2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0.74644666377189173</v>
      </c>
      <c r="AB515">
        <v>0</v>
      </c>
      <c r="AC515">
        <v>0.19075374830783379</v>
      </c>
      <c r="AD515">
        <v>0</v>
      </c>
      <c r="AE515">
        <v>6.2799587920274486E-2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3.9439433725311113</v>
      </c>
      <c r="AL515">
        <v>3.9439433725311113</v>
      </c>
      <c r="AM515">
        <v>0.24767801857585137</v>
      </c>
      <c r="BD515">
        <v>0</v>
      </c>
      <c r="BE515">
        <v>0</v>
      </c>
      <c r="BF515">
        <v>0</v>
      </c>
      <c r="BH515">
        <v>4.0375000000000005</v>
      </c>
      <c r="BI515">
        <v>4.0375000000000005</v>
      </c>
      <c r="BJ515">
        <v>15.923671366594363</v>
      </c>
      <c r="CA515">
        <v>0</v>
      </c>
      <c r="CB515">
        <v>0</v>
      </c>
      <c r="CC515">
        <v>0</v>
      </c>
    </row>
    <row r="516" spans="1:82" hidden="1" x14ac:dyDescent="0.25">
      <c r="A516" t="s">
        <v>128</v>
      </c>
      <c r="B516" t="s">
        <v>422</v>
      </c>
      <c r="C516" s="14" t="s">
        <v>72</v>
      </c>
      <c r="D516" s="12">
        <v>46224</v>
      </c>
      <c r="E516" s="14" t="s">
        <v>134</v>
      </c>
      <c r="F516" s="14" t="s">
        <v>73</v>
      </c>
      <c r="G516">
        <v>5.8204648795871572</v>
      </c>
      <c r="H516">
        <v>0.95</v>
      </c>
      <c r="I516">
        <v>20</v>
      </c>
      <c r="J516">
        <v>0.95</v>
      </c>
      <c r="K516">
        <v>46224</v>
      </c>
      <c r="L516" t="s">
        <v>426</v>
      </c>
      <c r="M516">
        <v>1.0896139705882353</v>
      </c>
      <c r="N516">
        <v>0.16321720337695483</v>
      </c>
      <c r="O516">
        <v>0.16321720337695483</v>
      </c>
      <c r="P516">
        <v>0.18720394214723293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2.3986738770278099E-2</v>
      </c>
      <c r="AA516">
        <v>0.8127960578527671</v>
      </c>
      <c r="AB516">
        <v>0</v>
      </c>
      <c r="AC516">
        <v>0</v>
      </c>
      <c r="AD516">
        <v>0</v>
      </c>
      <c r="AE516">
        <v>0.16321720337695483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6.1268051364075342</v>
      </c>
      <c r="AL516">
        <v>6.1268051364075342</v>
      </c>
      <c r="AM516">
        <v>1.1469620743034057</v>
      </c>
      <c r="BD516">
        <v>0</v>
      </c>
      <c r="BE516">
        <v>0</v>
      </c>
      <c r="BF516">
        <v>0</v>
      </c>
      <c r="BH516">
        <v>0.87186840995360604</v>
      </c>
      <c r="BI516">
        <v>0.87186840995360604</v>
      </c>
      <c r="BJ516">
        <v>5.3417678523752228</v>
      </c>
      <c r="BK516">
        <v>4.3417678523752228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0.83678279662304522</v>
      </c>
      <c r="BU516">
        <v>0</v>
      </c>
      <c r="BV516">
        <v>0</v>
      </c>
      <c r="BW516">
        <v>0</v>
      </c>
      <c r="BX516">
        <v>0</v>
      </c>
      <c r="BY516">
        <v>0.87186840995360604</v>
      </c>
      <c r="BZ516">
        <v>0</v>
      </c>
      <c r="CA516">
        <v>0</v>
      </c>
      <c r="CB516">
        <v>0</v>
      </c>
      <c r="CC516">
        <v>0</v>
      </c>
      <c r="CD516">
        <v>0</v>
      </c>
    </row>
    <row r="517" spans="1:82" hidden="1" x14ac:dyDescent="0.25">
      <c r="A517" t="s">
        <v>128</v>
      </c>
      <c r="B517" t="s">
        <v>291</v>
      </c>
      <c r="C517" s="14" t="s">
        <v>72</v>
      </c>
      <c r="D517" s="12">
        <v>46224</v>
      </c>
      <c r="E517" s="14" t="s">
        <v>134</v>
      </c>
      <c r="F517" s="14" t="s">
        <v>73</v>
      </c>
      <c r="G517">
        <v>5.8204648795871572</v>
      </c>
      <c r="H517">
        <v>2.8499999999999996</v>
      </c>
      <c r="I517">
        <v>20</v>
      </c>
      <c r="J517">
        <v>2.8499999999999996</v>
      </c>
      <c r="K517">
        <v>46224</v>
      </c>
      <c r="L517" t="s">
        <v>426</v>
      </c>
      <c r="M517">
        <v>3.7647058823529393</v>
      </c>
      <c r="N517">
        <v>0.48965161013086445</v>
      </c>
      <c r="O517">
        <v>0.48965161013086445</v>
      </c>
      <c r="P517">
        <v>0.64680501647833466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0.15715340634747021</v>
      </c>
      <c r="AA517">
        <v>0.35319498352166534</v>
      </c>
      <c r="AB517">
        <v>0</v>
      </c>
      <c r="AC517">
        <v>0</v>
      </c>
      <c r="AD517">
        <v>0</v>
      </c>
      <c r="AE517">
        <v>0.48965161013086445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2.0422683788025116</v>
      </c>
      <c r="AL517">
        <v>2.0422683788025116</v>
      </c>
      <c r="AM517">
        <v>1.3209494324045403</v>
      </c>
      <c r="BD517">
        <v>0</v>
      </c>
      <c r="BE517">
        <v>0</v>
      </c>
      <c r="BF517">
        <v>0</v>
      </c>
      <c r="BH517">
        <v>0.75703125000000027</v>
      </c>
      <c r="BI517">
        <v>0.75703125000000027</v>
      </c>
      <c r="BJ517">
        <v>1.5460609836403394</v>
      </c>
      <c r="BK517">
        <v>0.54606098364033939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0.51034838986913555</v>
      </c>
      <c r="BU517">
        <v>0</v>
      </c>
      <c r="BV517">
        <v>0</v>
      </c>
      <c r="BW517">
        <v>0</v>
      </c>
      <c r="BX517">
        <v>0</v>
      </c>
      <c r="BY517">
        <v>0.75703125000000027</v>
      </c>
      <c r="BZ517">
        <v>0</v>
      </c>
      <c r="CA517">
        <v>0</v>
      </c>
      <c r="CB517">
        <v>0</v>
      </c>
      <c r="CC517">
        <v>0</v>
      </c>
      <c r="CD517">
        <v>0</v>
      </c>
    </row>
    <row r="518" spans="1:82" hidden="1" x14ac:dyDescent="0.25">
      <c r="A518" t="s">
        <v>128</v>
      </c>
      <c r="B518" t="s">
        <v>291</v>
      </c>
      <c r="C518" s="14" t="s">
        <v>72</v>
      </c>
      <c r="D518" s="12">
        <v>46224</v>
      </c>
      <c r="E518" s="14" t="s">
        <v>134</v>
      </c>
      <c r="F518" s="14" t="s">
        <v>74</v>
      </c>
      <c r="G518">
        <v>1.2735376146788988</v>
      </c>
      <c r="H518">
        <v>11.4</v>
      </c>
      <c r="I518">
        <v>20</v>
      </c>
      <c r="J518">
        <v>11.4</v>
      </c>
      <c r="K518">
        <v>46224</v>
      </c>
      <c r="L518" t="s">
        <v>427</v>
      </c>
      <c r="M518">
        <v>1.8823529411764703</v>
      </c>
      <c r="N518">
        <v>8.9514434977048705</v>
      </c>
      <c r="O518">
        <v>8.9514434977048705</v>
      </c>
      <c r="P518">
        <v>1.4780505259368206</v>
      </c>
      <c r="Q518">
        <v>0</v>
      </c>
      <c r="R518">
        <v>0</v>
      </c>
      <c r="S518">
        <v>7.4733929717680496</v>
      </c>
      <c r="T518">
        <v>0</v>
      </c>
      <c r="U518">
        <v>0.22805052593682063</v>
      </c>
      <c r="V518">
        <v>0</v>
      </c>
      <c r="W518">
        <v>0.25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0.11171382584902623</v>
      </c>
      <c r="AL518">
        <v>0.11171382584902623</v>
      </c>
      <c r="AM518">
        <v>0.1651186790505676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0.83488132094943235</v>
      </c>
      <c r="AY518">
        <v>0</v>
      </c>
      <c r="AZ518">
        <v>0</v>
      </c>
      <c r="BA518">
        <v>0</v>
      </c>
      <c r="BB518">
        <v>0.11171382584902623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6.0562500000000004</v>
      </c>
      <c r="BI518">
        <v>6.0562500000000004</v>
      </c>
      <c r="BJ518">
        <v>0.67656685779816506</v>
      </c>
      <c r="CA518">
        <v>0</v>
      </c>
      <c r="CB518">
        <v>0</v>
      </c>
      <c r="CC518">
        <v>0</v>
      </c>
    </row>
    <row r="519" spans="1:82" hidden="1" x14ac:dyDescent="0.25">
      <c r="A519" t="s">
        <v>128</v>
      </c>
      <c r="B519" t="s">
        <v>422</v>
      </c>
      <c r="C519" s="14" t="s">
        <v>72</v>
      </c>
      <c r="D519" s="12">
        <v>46224</v>
      </c>
      <c r="E519" s="14" t="s">
        <v>134</v>
      </c>
      <c r="F519" s="14" t="s">
        <v>74</v>
      </c>
      <c r="G519">
        <v>1.2735376146788988</v>
      </c>
      <c r="H519">
        <v>0.95</v>
      </c>
      <c r="I519">
        <v>20</v>
      </c>
      <c r="J519">
        <v>0.95</v>
      </c>
      <c r="K519">
        <v>46224</v>
      </c>
      <c r="L519" t="s">
        <v>427</v>
      </c>
      <c r="M519">
        <v>0.94999999999999973</v>
      </c>
      <c r="N519">
        <v>0.74595362480873917</v>
      </c>
      <c r="O519">
        <v>0.74595362480873917</v>
      </c>
      <c r="P519">
        <v>0.74595362480873906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0.25404637519126083</v>
      </c>
      <c r="AB519">
        <v>0</v>
      </c>
      <c r="AC519">
        <v>1.1102230246251565E-16</v>
      </c>
      <c r="AD519">
        <v>0</v>
      </c>
      <c r="AE519">
        <v>0.74595362480873906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1.3405659101883145</v>
      </c>
      <c r="AL519">
        <v>1.3405659101883145</v>
      </c>
      <c r="AM519">
        <v>0.99999999999999978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-2.2204460492503131E-16</v>
      </c>
      <c r="AU519">
        <v>0</v>
      </c>
      <c r="AV519">
        <v>0.34056591018831472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1.0000000000000002</v>
      </c>
      <c r="BI519">
        <v>1.0000000000000002</v>
      </c>
      <c r="BJ519">
        <v>1.3405659101883149</v>
      </c>
      <c r="BK519">
        <v>0.34056591018831472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2.2204460492503131E-16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</row>
    <row r="520" spans="1:82" hidden="1" x14ac:dyDescent="0.25">
      <c r="A520" t="s">
        <v>128</v>
      </c>
      <c r="B520" t="s">
        <v>421</v>
      </c>
      <c r="C520" s="14" t="s">
        <v>72</v>
      </c>
      <c r="D520" s="12">
        <v>46224</v>
      </c>
      <c r="E520" s="14" t="s">
        <v>134</v>
      </c>
      <c r="F520" s="14" t="s">
        <v>74</v>
      </c>
      <c r="G520">
        <v>2.7731019522776572</v>
      </c>
      <c r="H520">
        <v>0.95</v>
      </c>
      <c r="I520">
        <v>20</v>
      </c>
      <c r="J520">
        <v>0.95</v>
      </c>
      <c r="K520">
        <v>46224</v>
      </c>
      <c r="L520" t="s">
        <v>427</v>
      </c>
      <c r="M520">
        <v>2.0078431372549019</v>
      </c>
      <c r="N520">
        <v>0.34257665832290363</v>
      </c>
      <c r="O520">
        <v>0.34257665832290363</v>
      </c>
      <c r="P520">
        <v>0.72404230778669421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0.38146564946379058</v>
      </c>
      <c r="AA520">
        <v>0.27595769221330579</v>
      </c>
      <c r="AB520">
        <v>0</v>
      </c>
      <c r="AC520">
        <v>0</v>
      </c>
      <c r="AD520">
        <v>0</v>
      </c>
      <c r="AE520">
        <v>0.34257665832290363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2.9190546866080602</v>
      </c>
      <c r="AL520">
        <v>2.9190546866080602</v>
      </c>
      <c r="AM520">
        <v>2.1135190918472655</v>
      </c>
      <c r="BD520">
        <v>0</v>
      </c>
      <c r="BE520">
        <v>0</v>
      </c>
      <c r="BF520">
        <v>0</v>
      </c>
      <c r="BH520">
        <v>0.47314453125</v>
      </c>
      <c r="BI520">
        <v>0.47314453125</v>
      </c>
      <c r="BJ520">
        <v>1.3811347613882863</v>
      </c>
      <c r="BK520">
        <v>0.38113476138828628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0.65742334167709637</v>
      </c>
      <c r="BU520">
        <v>0</v>
      </c>
      <c r="BV520">
        <v>0</v>
      </c>
      <c r="BW520">
        <v>0</v>
      </c>
      <c r="BX520">
        <v>0</v>
      </c>
      <c r="BY520">
        <v>0.47314453125</v>
      </c>
      <c r="BZ520">
        <v>0</v>
      </c>
      <c r="CA520">
        <v>0</v>
      </c>
      <c r="CB520">
        <v>0</v>
      </c>
      <c r="CC520">
        <v>0</v>
      </c>
      <c r="CD520">
        <v>0</v>
      </c>
    </row>
    <row r="521" spans="1:82" hidden="1" x14ac:dyDescent="0.25">
      <c r="A521" t="s">
        <v>128</v>
      </c>
      <c r="B521" t="s">
        <v>422</v>
      </c>
      <c r="C521" s="14" t="s">
        <v>72</v>
      </c>
      <c r="D521" s="12">
        <v>46224</v>
      </c>
      <c r="E521" s="14" t="s">
        <v>134</v>
      </c>
      <c r="F521" s="14" t="s">
        <v>75</v>
      </c>
      <c r="G521">
        <v>3.3711289800323794</v>
      </c>
      <c r="H521">
        <v>3.8</v>
      </c>
      <c r="I521">
        <v>20</v>
      </c>
      <c r="J521">
        <v>3.8</v>
      </c>
      <c r="K521">
        <v>46224</v>
      </c>
      <c r="L521" t="s">
        <v>428</v>
      </c>
      <c r="M521">
        <v>1.1362456747404843</v>
      </c>
      <c r="N521">
        <v>1.1272188108220946</v>
      </c>
      <c r="O521">
        <v>1.1272188108220946</v>
      </c>
      <c r="P521">
        <v>0.33705197323229408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0.12721881082209463</v>
      </c>
      <c r="Z521">
        <v>0</v>
      </c>
      <c r="AA521">
        <v>0</v>
      </c>
      <c r="AB521">
        <v>0</v>
      </c>
      <c r="AC521">
        <v>0.66294802676770592</v>
      </c>
      <c r="AD521">
        <v>0</v>
      </c>
      <c r="AE521">
        <v>0.33705197323229408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0.88713920527167878</v>
      </c>
      <c r="AL521">
        <v>0.88713920527167878</v>
      </c>
      <c r="AM521">
        <v>0.29901201966854851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0.11286079472832122</v>
      </c>
      <c r="AY521">
        <v>0</v>
      </c>
      <c r="AZ521">
        <v>0.58812718560313026</v>
      </c>
      <c r="BA521">
        <v>0</v>
      </c>
      <c r="BB521">
        <v>0.29901201966854851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3.3443471640654741</v>
      </c>
      <c r="BI521">
        <v>3.3443471640654741</v>
      </c>
      <c r="BJ521">
        <v>2.9669014852816376</v>
      </c>
      <c r="CA521">
        <v>0</v>
      </c>
      <c r="CB521">
        <v>0</v>
      </c>
      <c r="CC521">
        <v>0</v>
      </c>
    </row>
    <row r="522" spans="1:82" hidden="1" x14ac:dyDescent="0.25">
      <c r="A522" t="s">
        <v>128</v>
      </c>
      <c r="B522" t="s">
        <v>421</v>
      </c>
      <c r="C522" s="14" t="s">
        <v>72</v>
      </c>
      <c r="D522" s="12">
        <v>46224</v>
      </c>
      <c r="E522" s="14" t="s">
        <v>134</v>
      </c>
      <c r="F522" s="14" t="s">
        <v>75</v>
      </c>
      <c r="G522">
        <v>2.4468546637744035</v>
      </c>
      <c r="H522">
        <v>6.6499999999999995</v>
      </c>
      <c r="I522">
        <v>20</v>
      </c>
      <c r="J522">
        <v>6.6499999999999995</v>
      </c>
      <c r="K522">
        <v>46224</v>
      </c>
      <c r="L522" t="s">
        <v>428</v>
      </c>
      <c r="M522">
        <v>1.7716262975778552</v>
      </c>
      <c r="N522">
        <v>2.7177748226950351</v>
      </c>
      <c r="O522">
        <v>2.7177748226950351</v>
      </c>
      <c r="P522">
        <v>0.72404230778669432</v>
      </c>
      <c r="Q522">
        <v>0</v>
      </c>
      <c r="R522">
        <v>0</v>
      </c>
      <c r="S522">
        <v>1.4677748226950351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0.25</v>
      </c>
      <c r="Z522">
        <v>0</v>
      </c>
      <c r="AA522">
        <v>0</v>
      </c>
      <c r="AB522">
        <v>0</v>
      </c>
      <c r="AC522">
        <v>0.27595769221330568</v>
      </c>
      <c r="AD522">
        <v>0</v>
      </c>
      <c r="AE522">
        <v>0.72404230778669432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0.36794806974051186</v>
      </c>
      <c r="AL522">
        <v>0.36794806974051186</v>
      </c>
      <c r="AM522">
        <v>0.26640996956057977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0.63205193025948814</v>
      </c>
      <c r="AY522">
        <v>0</v>
      </c>
      <c r="AZ522">
        <v>0.10153810017993209</v>
      </c>
      <c r="BA522">
        <v>0</v>
      </c>
      <c r="BB522">
        <v>0.26640996956057977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3.7536132812499985</v>
      </c>
      <c r="BI522">
        <v>3.7536132812499985</v>
      </c>
      <c r="BJ522">
        <v>1.3811347613882861</v>
      </c>
      <c r="CA522">
        <v>0</v>
      </c>
      <c r="CB522">
        <v>0</v>
      </c>
      <c r="CC522">
        <v>0</v>
      </c>
    </row>
    <row r="523" spans="1:82" hidden="1" x14ac:dyDescent="0.25">
      <c r="A523" t="s">
        <v>128</v>
      </c>
      <c r="B523" t="s">
        <v>291</v>
      </c>
      <c r="C523" s="14" t="s">
        <v>72</v>
      </c>
      <c r="D523" s="12">
        <v>46224</v>
      </c>
      <c r="E523" s="14" t="s">
        <v>134</v>
      </c>
      <c r="F523" s="14" t="s">
        <v>75</v>
      </c>
      <c r="G523">
        <v>3.3711289800323794</v>
      </c>
      <c r="H523">
        <v>0.95</v>
      </c>
      <c r="I523">
        <v>20</v>
      </c>
      <c r="J523">
        <v>0.95</v>
      </c>
      <c r="K523">
        <v>46224</v>
      </c>
      <c r="L523" t="s">
        <v>428</v>
      </c>
      <c r="M523">
        <v>3.9861591695501706</v>
      </c>
      <c r="N523">
        <v>0.28180470270552366</v>
      </c>
      <c r="O523">
        <v>0.28180470270552366</v>
      </c>
      <c r="P523">
        <v>1.1824404207494559</v>
      </c>
      <c r="Q523">
        <v>0.18244042074945588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0.71819529729447629</v>
      </c>
      <c r="AA523">
        <v>0</v>
      </c>
      <c r="AB523">
        <v>0</v>
      </c>
      <c r="AC523">
        <v>0</v>
      </c>
      <c r="AD523">
        <v>0</v>
      </c>
      <c r="AE523">
        <v>0.28180470270552366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3.5485568210867151</v>
      </c>
      <c r="AL523">
        <v>3.5485568210867151</v>
      </c>
      <c r="AM523">
        <v>4.1959570205791268</v>
      </c>
      <c r="BD523">
        <v>0</v>
      </c>
      <c r="BE523">
        <v>0</v>
      </c>
      <c r="BF523">
        <v>0</v>
      </c>
      <c r="BH523">
        <v>0.23832465277777792</v>
      </c>
      <c r="BI523">
        <v>0.23832465277777792</v>
      </c>
      <c r="BJ523">
        <v>0.84570857224770679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0.15429142775229321</v>
      </c>
      <c r="BV523">
        <v>0</v>
      </c>
      <c r="BW523">
        <v>0</v>
      </c>
      <c r="BX523">
        <v>0</v>
      </c>
      <c r="BY523">
        <v>0.23832465277777792</v>
      </c>
      <c r="BZ523">
        <v>0</v>
      </c>
      <c r="CA523">
        <v>0</v>
      </c>
      <c r="CB523">
        <v>0</v>
      </c>
      <c r="CC523">
        <v>0</v>
      </c>
      <c r="CD523">
        <v>0</v>
      </c>
    </row>
    <row r="524" spans="1:82" hidden="1" x14ac:dyDescent="0.25">
      <c r="A524" t="s">
        <v>128</v>
      </c>
      <c r="B524" t="s">
        <v>422</v>
      </c>
      <c r="C524" s="14" t="s">
        <v>72</v>
      </c>
      <c r="D524" s="12">
        <v>46225</v>
      </c>
      <c r="E524" s="14" t="s">
        <v>134</v>
      </c>
      <c r="F524" s="14" t="s">
        <v>73</v>
      </c>
      <c r="G524">
        <v>4.6265233658256886</v>
      </c>
      <c r="H524">
        <v>5.6999999999999993</v>
      </c>
      <c r="I524">
        <v>20</v>
      </c>
      <c r="J524">
        <v>5.6999999999999993</v>
      </c>
      <c r="K524">
        <v>46225</v>
      </c>
      <c r="L524" t="s">
        <v>429</v>
      </c>
      <c r="M524">
        <v>1.0896139705882353</v>
      </c>
      <c r="N524">
        <v>1.2320266319421753</v>
      </c>
      <c r="O524">
        <v>1.2320266319421753</v>
      </c>
      <c r="P524">
        <v>0.23551463689490598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0.23202663194217532</v>
      </c>
      <c r="Z524">
        <v>0</v>
      </c>
      <c r="AA524">
        <v>0</v>
      </c>
      <c r="AB524">
        <v>0</v>
      </c>
      <c r="AC524">
        <v>0.76448536310509407</v>
      </c>
      <c r="AD524">
        <v>0</v>
      </c>
      <c r="AE524">
        <v>0.23551463689490598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0.81167076593433141</v>
      </c>
      <c r="AL524">
        <v>0.81167076593433141</v>
      </c>
      <c r="AM524">
        <v>0.19116034571723428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0.18832923406566859</v>
      </c>
      <c r="AY524">
        <v>0</v>
      </c>
      <c r="AZ524">
        <v>0.62051042021709713</v>
      </c>
      <c r="BA524">
        <v>0</v>
      </c>
      <c r="BB524">
        <v>0.19116034571723428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5.2312104597216358</v>
      </c>
      <c r="BI524">
        <v>5.2312104597216358</v>
      </c>
      <c r="BJ524">
        <v>4.246020600605946</v>
      </c>
      <c r="CA524">
        <v>0</v>
      </c>
      <c r="CB524">
        <v>0</v>
      </c>
      <c r="CC524">
        <v>0</v>
      </c>
    </row>
    <row r="525" spans="1:82" hidden="1" x14ac:dyDescent="0.25">
      <c r="A525" t="s">
        <v>128</v>
      </c>
      <c r="B525" t="s">
        <v>421</v>
      </c>
      <c r="C525" s="14" t="s">
        <v>72</v>
      </c>
      <c r="D525" s="12">
        <v>46225</v>
      </c>
      <c r="E525" s="14" t="s">
        <v>134</v>
      </c>
      <c r="F525" s="14" t="s">
        <v>73</v>
      </c>
      <c r="G525">
        <v>2.5233188720173532</v>
      </c>
      <c r="H525">
        <v>7.6</v>
      </c>
      <c r="I525">
        <v>20</v>
      </c>
      <c r="J525">
        <v>7.6</v>
      </c>
      <c r="K525">
        <v>46225</v>
      </c>
      <c r="L525" t="s">
        <v>429</v>
      </c>
      <c r="M525">
        <v>0.23529411764705879</v>
      </c>
      <c r="N525">
        <v>3.0119062970126804</v>
      </c>
      <c r="O525">
        <v>3.0119062970126804</v>
      </c>
      <c r="P525">
        <v>9.3247872972528789E-2</v>
      </c>
      <c r="Q525">
        <v>0</v>
      </c>
      <c r="R525">
        <v>0</v>
      </c>
      <c r="S525">
        <v>1.7619062970126804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0.25</v>
      </c>
      <c r="Z525">
        <v>0</v>
      </c>
      <c r="AA525">
        <v>0</v>
      </c>
      <c r="AB525">
        <v>0</v>
      </c>
      <c r="AC525">
        <v>0.90675212702747121</v>
      </c>
      <c r="AD525">
        <v>0</v>
      </c>
      <c r="AE525">
        <v>9.3247872972528789E-2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0.33201564105491488</v>
      </c>
      <c r="AL525">
        <v>0.33201564105491488</v>
      </c>
      <c r="AM525">
        <v>3.0959752321981421E-2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0.66798435894508512</v>
      </c>
      <c r="AY525">
        <v>0</v>
      </c>
      <c r="AZ525">
        <v>0.30105588873293343</v>
      </c>
      <c r="BA525">
        <v>0</v>
      </c>
      <c r="BB525">
        <v>3.0959752321981421E-2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32.300000000000004</v>
      </c>
      <c r="BI525">
        <v>32.300000000000004</v>
      </c>
      <c r="BJ525">
        <v>10.724105206073752</v>
      </c>
      <c r="CA525">
        <v>0</v>
      </c>
      <c r="CB525">
        <v>0</v>
      </c>
      <c r="CC525">
        <v>0</v>
      </c>
    </row>
    <row r="526" spans="1:82" hidden="1" x14ac:dyDescent="0.25">
      <c r="A526" t="s">
        <v>128</v>
      </c>
      <c r="B526" t="s">
        <v>291</v>
      </c>
      <c r="C526" s="14" t="s">
        <v>72</v>
      </c>
      <c r="D526" s="12">
        <v>46225</v>
      </c>
      <c r="E526" s="14" t="s">
        <v>134</v>
      </c>
      <c r="F526" s="14" t="s">
        <v>73</v>
      </c>
      <c r="G526">
        <v>4.6265233658256886</v>
      </c>
      <c r="H526">
        <v>1.9</v>
      </c>
      <c r="I526">
        <v>20</v>
      </c>
      <c r="J526">
        <v>1.9</v>
      </c>
      <c r="K526">
        <v>46225</v>
      </c>
      <c r="L526" t="s">
        <v>429</v>
      </c>
      <c r="M526">
        <v>3.8308823529411753</v>
      </c>
      <c r="N526">
        <v>0.41067554398072509</v>
      </c>
      <c r="O526">
        <v>0.41067554398072509</v>
      </c>
      <c r="P526">
        <v>0.82802615485277753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0.41735061087205244</v>
      </c>
      <c r="AA526">
        <v>0.17197384514722247</v>
      </c>
      <c r="AB526">
        <v>0</v>
      </c>
      <c r="AC526">
        <v>0</v>
      </c>
      <c r="AD526">
        <v>0</v>
      </c>
      <c r="AE526">
        <v>0.41067554398072509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2.4350122978029942</v>
      </c>
      <c r="AL526">
        <v>2.4350122978029942</v>
      </c>
      <c r="AM526">
        <v>2.0162538699690398</v>
      </c>
      <c r="BD526">
        <v>0</v>
      </c>
      <c r="BE526">
        <v>0</v>
      </c>
      <c r="BF526">
        <v>0</v>
      </c>
      <c r="BH526">
        <v>0.49596928982725541</v>
      </c>
      <c r="BI526">
        <v>0.49596928982725541</v>
      </c>
      <c r="BJ526">
        <v>1.2076913200619843</v>
      </c>
      <c r="BK526">
        <v>0.20769132006198432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0.58932445601927497</v>
      </c>
      <c r="BU526">
        <v>0</v>
      </c>
      <c r="BV526">
        <v>0</v>
      </c>
      <c r="BW526">
        <v>0</v>
      </c>
      <c r="BX526">
        <v>0</v>
      </c>
      <c r="BY526">
        <v>0.49596928982725541</v>
      </c>
      <c r="BZ526">
        <v>0</v>
      </c>
      <c r="CA526">
        <v>0</v>
      </c>
      <c r="CB526">
        <v>0</v>
      </c>
      <c r="CC526">
        <v>0</v>
      </c>
      <c r="CD526">
        <v>0</v>
      </c>
    </row>
    <row r="527" spans="1:82" hidden="1" x14ac:dyDescent="0.25">
      <c r="A527" t="s">
        <v>128</v>
      </c>
      <c r="B527" t="s">
        <v>422</v>
      </c>
      <c r="C527" s="14" t="s">
        <v>72</v>
      </c>
      <c r="D527" s="12">
        <v>46225</v>
      </c>
      <c r="E527" s="14" t="s">
        <v>134</v>
      </c>
      <c r="F527" s="14" t="s">
        <v>74</v>
      </c>
      <c r="G527">
        <v>1.2735376146788988</v>
      </c>
      <c r="H527">
        <v>0</v>
      </c>
      <c r="I527">
        <v>20</v>
      </c>
      <c r="J527">
        <v>0</v>
      </c>
      <c r="K527">
        <v>46225</v>
      </c>
      <c r="L527" t="s">
        <v>430</v>
      </c>
      <c r="M527">
        <v>6.2745098039215685E-2</v>
      </c>
      <c r="N527">
        <v>0</v>
      </c>
      <c r="O527">
        <v>0</v>
      </c>
      <c r="P527">
        <v>4.9268350864560689E-2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4.9268350864560689E-2</v>
      </c>
      <c r="AA527">
        <v>0.95073164913543928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H527">
        <v>0</v>
      </c>
      <c r="BI527">
        <v>0</v>
      </c>
      <c r="BJ527">
        <v>20.29700573394495</v>
      </c>
      <c r="BK527">
        <v>19.29700573394495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</row>
    <row r="528" spans="1:82" hidden="1" x14ac:dyDescent="0.25">
      <c r="A528" t="s">
        <v>128</v>
      </c>
      <c r="B528" t="s">
        <v>291</v>
      </c>
      <c r="C528" s="14" t="s">
        <v>72</v>
      </c>
      <c r="D528" s="12">
        <v>46225</v>
      </c>
      <c r="E528" s="14" t="s">
        <v>134</v>
      </c>
      <c r="F528" s="14" t="s">
        <v>74</v>
      </c>
      <c r="G528">
        <v>1.2735376146788988</v>
      </c>
      <c r="H528">
        <v>2.8499999999999996</v>
      </c>
      <c r="I528">
        <v>20</v>
      </c>
      <c r="J528">
        <v>2.8499999999999996</v>
      </c>
      <c r="K528">
        <v>46225</v>
      </c>
      <c r="L528" t="s">
        <v>430</v>
      </c>
      <c r="M528">
        <v>1.9411764705882348</v>
      </c>
      <c r="N528">
        <v>2.2378608744262176</v>
      </c>
      <c r="O528">
        <v>2.2378608744262176</v>
      </c>
      <c r="P528">
        <v>1.5242396048723461</v>
      </c>
      <c r="Q528">
        <v>0</v>
      </c>
      <c r="R528">
        <v>0</v>
      </c>
      <c r="S528">
        <v>0.71362126955387151</v>
      </c>
      <c r="T528">
        <v>0</v>
      </c>
      <c r="U528">
        <v>0.27423960487234611</v>
      </c>
      <c r="V528">
        <v>0</v>
      </c>
      <c r="W528">
        <v>0.25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0.44685530339610491</v>
      </c>
      <c r="AL528">
        <v>0.44685530339610491</v>
      </c>
      <c r="AM528">
        <v>0.6811145510835912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0.3188854489164088</v>
      </c>
      <c r="AY528">
        <v>0</v>
      </c>
      <c r="AZ528">
        <v>0</v>
      </c>
      <c r="BA528">
        <v>0</v>
      </c>
      <c r="BB528">
        <v>0.44685530339610491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1.4681818181818183</v>
      </c>
      <c r="BI528">
        <v>1.4681818181818183</v>
      </c>
      <c r="BJ528">
        <v>0.65606483180428132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0.46818181818181825</v>
      </c>
      <c r="BT528">
        <v>0</v>
      </c>
      <c r="BU528">
        <v>0</v>
      </c>
      <c r="BV528">
        <v>0</v>
      </c>
      <c r="BW528">
        <v>0.34393516819571868</v>
      </c>
      <c r="BX528">
        <v>0</v>
      </c>
      <c r="BY528">
        <v>0.65606483180428132</v>
      </c>
      <c r="BZ528">
        <v>0</v>
      </c>
      <c r="CA528">
        <v>0</v>
      </c>
      <c r="CB528">
        <v>0</v>
      </c>
      <c r="CC528">
        <v>0</v>
      </c>
      <c r="CD528">
        <v>0</v>
      </c>
    </row>
    <row r="529" spans="1:82" hidden="1" x14ac:dyDescent="0.25">
      <c r="A529" t="s">
        <v>128</v>
      </c>
      <c r="B529" t="s">
        <v>421</v>
      </c>
      <c r="C529" s="14" t="s">
        <v>72</v>
      </c>
      <c r="D529" s="12">
        <v>46225</v>
      </c>
      <c r="E529" s="14" t="s">
        <v>134</v>
      </c>
      <c r="F529" s="14" t="s">
        <v>74</v>
      </c>
      <c r="G529">
        <v>2.7731019522776572</v>
      </c>
      <c r="H529">
        <v>0</v>
      </c>
      <c r="I529">
        <v>20</v>
      </c>
      <c r="J529">
        <v>0</v>
      </c>
      <c r="K529">
        <v>46225</v>
      </c>
      <c r="L529" t="s">
        <v>430</v>
      </c>
      <c r="M529">
        <v>2.0078431372549019</v>
      </c>
      <c r="N529">
        <v>0</v>
      </c>
      <c r="O529">
        <v>0</v>
      </c>
      <c r="P529">
        <v>0.72404230778669421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0.72404230778669421</v>
      </c>
      <c r="AA529">
        <v>0.27595769221330579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H529">
        <v>0</v>
      </c>
      <c r="BI529">
        <v>0</v>
      </c>
      <c r="BJ529">
        <v>1.3811347613882863</v>
      </c>
      <c r="BK529">
        <v>0.38113476138828628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1</v>
      </c>
    </row>
    <row r="530" spans="1:82" hidden="1" x14ac:dyDescent="0.25">
      <c r="A530" t="s">
        <v>128</v>
      </c>
      <c r="B530" t="s">
        <v>422</v>
      </c>
      <c r="C530" s="14" t="s">
        <v>72</v>
      </c>
      <c r="D530" s="12">
        <v>46225</v>
      </c>
      <c r="E530" s="14" t="s">
        <v>134</v>
      </c>
      <c r="F530" s="14" t="s">
        <v>75</v>
      </c>
      <c r="G530">
        <v>3.9329838100377761</v>
      </c>
      <c r="H530">
        <v>1.9</v>
      </c>
      <c r="I530">
        <v>20</v>
      </c>
      <c r="J530">
        <v>1.9</v>
      </c>
      <c r="K530">
        <v>46225</v>
      </c>
      <c r="L530" t="s">
        <v>431</v>
      </c>
      <c r="M530">
        <v>1.8823529411764703</v>
      </c>
      <c r="N530">
        <v>0.48309377606661202</v>
      </c>
      <c r="O530">
        <v>0.48309377606661202</v>
      </c>
      <c r="P530">
        <v>0.47860683697001805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0.51690622393338792</v>
      </c>
      <c r="AB530">
        <v>0</v>
      </c>
      <c r="AC530">
        <v>4.4869390965939782E-3</v>
      </c>
      <c r="AD530">
        <v>0</v>
      </c>
      <c r="AE530">
        <v>0.47860683697001805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2.0699914789672507</v>
      </c>
      <c r="AL530">
        <v>2.0699914789672507</v>
      </c>
      <c r="AM530">
        <v>0.99071207430340547</v>
      </c>
      <c r="BD530">
        <v>0</v>
      </c>
      <c r="BE530">
        <v>0</v>
      </c>
      <c r="BF530">
        <v>0</v>
      </c>
      <c r="BH530">
        <v>1.0093750000000001</v>
      </c>
      <c r="BI530">
        <v>1.0093750000000001</v>
      </c>
      <c r="BJ530">
        <v>2.089397649082569</v>
      </c>
      <c r="BK530">
        <v>1.0800226490825688</v>
      </c>
      <c r="BL530">
        <v>0</v>
      </c>
      <c r="BM530">
        <v>0</v>
      </c>
      <c r="BN530">
        <v>0</v>
      </c>
      <c r="BO530">
        <v>0</v>
      </c>
      <c r="BP530">
        <v>0.49062499999999987</v>
      </c>
      <c r="BQ530">
        <v>9.3750000000001332E-3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</row>
    <row r="531" spans="1:82" hidden="1" x14ac:dyDescent="0.25">
      <c r="A531" t="s">
        <v>128</v>
      </c>
      <c r="B531" t="s">
        <v>291</v>
      </c>
      <c r="C531" s="14" t="s">
        <v>72</v>
      </c>
      <c r="D531" s="12">
        <v>46225</v>
      </c>
      <c r="E531" s="14" t="s">
        <v>134</v>
      </c>
      <c r="F531" s="14" t="s">
        <v>75</v>
      </c>
      <c r="G531">
        <v>3.9329838100377761</v>
      </c>
      <c r="H531">
        <v>3.8</v>
      </c>
      <c r="I531">
        <v>20</v>
      </c>
      <c r="J531">
        <v>3.8</v>
      </c>
      <c r="K531">
        <v>46225</v>
      </c>
      <c r="L531" t="s">
        <v>431</v>
      </c>
      <c r="M531">
        <v>5.0519031141868496</v>
      </c>
      <c r="N531">
        <v>0.96618755213322405</v>
      </c>
      <c r="O531">
        <v>0.96618755213322405</v>
      </c>
      <c r="P531">
        <v>1.2844962903974746</v>
      </c>
      <c r="Q531">
        <v>0.28449629039747459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3.3812447866775952E-2</v>
      </c>
      <c r="AA531">
        <v>0</v>
      </c>
      <c r="AB531">
        <v>0</v>
      </c>
      <c r="AC531">
        <v>0</v>
      </c>
      <c r="AD531">
        <v>0</v>
      </c>
      <c r="AE531">
        <v>0.96618755213322405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1.0349957394836253</v>
      </c>
      <c r="AL531">
        <v>1.0349957394836253</v>
      </c>
      <c r="AM531">
        <v>1.3294481879439077</v>
      </c>
      <c r="AN531">
        <v>0.2944524484602824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3.4995739483625332E-2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0.75219178082191807</v>
      </c>
      <c r="BI531">
        <v>0.75219178082191807</v>
      </c>
      <c r="BJ531">
        <v>0.77851528842528606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0.22148471157471394</v>
      </c>
      <c r="BV531">
        <v>0</v>
      </c>
      <c r="BW531">
        <v>0</v>
      </c>
      <c r="BX531">
        <v>0</v>
      </c>
      <c r="BY531">
        <v>0.75219178082191807</v>
      </c>
      <c r="BZ531">
        <v>0</v>
      </c>
      <c r="CA531">
        <v>0</v>
      </c>
      <c r="CB531">
        <v>0</v>
      </c>
      <c r="CC531">
        <v>0</v>
      </c>
      <c r="CD531">
        <v>0</v>
      </c>
    </row>
    <row r="532" spans="1:82" hidden="1" x14ac:dyDescent="0.25">
      <c r="A532" t="s">
        <v>128</v>
      </c>
      <c r="B532" t="s">
        <v>421</v>
      </c>
      <c r="C532" s="14" t="s">
        <v>72</v>
      </c>
      <c r="D532" s="12">
        <v>46225</v>
      </c>
      <c r="E532" s="14" t="s">
        <v>134</v>
      </c>
      <c r="F532" s="14" t="s">
        <v>75</v>
      </c>
      <c r="G532">
        <v>2.4468546637744035</v>
      </c>
      <c r="H532">
        <v>1.9</v>
      </c>
      <c r="I532">
        <v>20</v>
      </c>
      <c r="J532">
        <v>1.9</v>
      </c>
      <c r="K532">
        <v>46225</v>
      </c>
      <c r="L532" t="s">
        <v>431</v>
      </c>
      <c r="M532">
        <v>1.7716262975778552</v>
      </c>
      <c r="N532">
        <v>0.77650709219858149</v>
      </c>
      <c r="O532">
        <v>0.77650709219858149</v>
      </c>
      <c r="P532">
        <v>0.72404230778669432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0.22349290780141851</v>
      </c>
      <c r="AB532">
        <v>0</v>
      </c>
      <c r="AC532">
        <v>5.2464784411887178E-2</v>
      </c>
      <c r="AD532">
        <v>0</v>
      </c>
      <c r="AE532">
        <v>0.72404230778669432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1.2878182440917914</v>
      </c>
      <c r="AL532">
        <v>1.2878182440917914</v>
      </c>
      <c r="AM532">
        <v>0.93243489346202912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0.28781824409179135</v>
      </c>
      <c r="AW532">
        <v>0</v>
      </c>
      <c r="AX532">
        <v>0</v>
      </c>
      <c r="AY532">
        <v>0</v>
      </c>
      <c r="AZ532">
        <v>6.7565106537970876E-2</v>
      </c>
      <c r="BA532">
        <v>0</v>
      </c>
      <c r="BB532">
        <v>0.93243489346202912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1.0724609374999996</v>
      </c>
      <c r="BI532">
        <v>1.0724609374999996</v>
      </c>
      <c r="BJ532">
        <v>1.3811347613882861</v>
      </c>
      <c r="BK532">
        <v>0.30867382388828646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7.24609374999996E-2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</row>
    <row r="533" spans="1:82" hidden="1" x14ac:dyDescent="0.25">
      <c r="A533" t="s">
        <v>128</v>
      </c>
      <c r="B533" t="s">
        <v>291</v>
      </c>
      <c r="C533" s="14" t="s">
        <v>72</v>
      </c>
      <c r="D533" s="12">
        <v>46226</v>
      </c>
      <c r="E533" s="14" t="s">
        <v>134</v>
      </c>
      <c r="F533" s="14" t="s">
        <v>73</v>
      </c>
      <c r="G533">
        <v>5.9697075688073395</v>
      </c>
      <c r="H533">
        <v>1.9</v>
      </c>
      <c r="I533">
        <v>20</v>
      </c>
      <c r="J533">
        <v>1.9</v>
      </c>
      <c r="K533">
        <v>46226</v>
      </c>
      <c r="L533" t="s">
        <v>432</v>
      </c>
      <c r="M533">
        <v>6.7654798761609918</v>
      </c>
      <c r="N533">
        <v>0.31827354658506196</v>
      </c>
      <c r="O533">
        <v>0.31827354658506196</v>
      </c>
      <c r="P533">
        <v>1.1333017234398026</v>
      </c>
      <c r="Q533">
        <v>0.13330172343980262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0.68172645341493809</v>
      </c>
      <c r="AA533">
        <v>0</v>
      </c>
      <c r="AB533">
        <v>0</v>
      </c>
      <c r="AC533">
        <v>0</v>
      </c>
      <c r="AD533">
        <v>0</v>
      </c>
      <c r="AE533">
        <v>0.31827354658506196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3.1419513520038631</v>
      </c>
      <c r="AL533">
        <v>3.1419513520038631</v>
      </c>
      <c r="AM533">
        <v>3.5607788821899957</v>
      </c>
      <c r="BD533">
        <v>0</v>
      </c>
      <c r="BE533">
        <v>0</v>
      </c>
      <c r="BF533">
        <v>0</v>
      </c>
      <c r="BH533">
        <v>0.28083743278801049</v>
      </c>
      <c r="BI533">
        <v>0.28083743278801049</v>
      </c>
      <c r="BJ533">
        <v>0.88237755164158349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0.11762244835841651</v>
      </c>
      <c r="BV533">
        <v>0</v>
      </c>
      <c r="BW533">
        <v>0</v>
      </c>
      <c r="BX533">
        <v>0</v>
      </c>
      <c r="BY533">
        <v>0.28083743278801049</v>
      </c>
      <c r="BZ533">
        <v>0</v>
      </c>
      <c r="CA533">
        <v>0</v>
      </c>
      <c r="CB533">
        <v>0</v>
      </c>
      <c r="CC533">
        <v>0</v>
      </c>
      <c r="CD533">
        <v>0</v>
      </c>
    </row>
    <row r="534" spans="1:82" hidden="1" x14ac:dyDescent="0.25">
      <c r="A534" t="s">
        <v>128</v>
      </c>
      <c r="B534" t="s">
        <v>421</v>
      </c>
      <c r="C534" s="14" t="s">
        <v>72</v>
      </c>
      <c r="D534" s="12">
        <v>46226</v>
      </c>
      <c r="E534" s="14" t="s">
        <v>134</v>
      </c>
      <c r="F534" s="14" t="s">
        <v>73</v>
      </c>
      <c r="G534">
        <v>3.8996746203904551</v>
      </c>
      <c r="H534">
        <v>0.95</v>
      </c>
      <c r="I534">
        <v>20</v>
      </c>
      <c r="J534">
        <v>0.95</v>
      </c>
      <c r="K534">
        <v>46226</v>
      </c>
      <c r="L534" t="s">
        <v>432</v>
      </c>
      <c r="M534">
        <v>0.23529411764705879</v>
      </c>
      <c r="N534">
        <v>0.24361006814073149</v>
      </c>
      <c r="O534">
        <v>0.24361006814073149</v>
      </c>
      <c r="P534">
        <v>6.033685898222451E-2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0.75638993185926851</v>
      </c>
      <c r="AB534">
        <v>0</v>
      </c>
      <c r="AC534">
        <v>0.18327320915850698</v>
      </c>
      <c r="AD534">
        <v>0</v>
      </c>
      <c r="AE534">
        <v>6.033685898222451E-2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4.1049206530425844</v>
      </c>
      <c r="AL534">
        <v>4.1049206530425844</v>
      </c>
      <c r="AM534">
        <v>0.24767801857585137</v>
      </c>
      <c r="BD534">
        <v>0</v>
      </c>
      <c r="BE534">
        <v>0</v>
      </c>
      <c r="BF534">
        <v>0</v>
      </c>
      <c r="BH534">
        <v>4.0375000000000005</v>
      </c>
      <c r="BI534">
        <v>4.0375000000000005</v>
      </c>
      <c r="BJ534">
        <v>16.573617136659436</v>
      </c>
      <c r="CA534">
        <v>0</v>
      </c>
      <c r="CB534">
        <v>0</v>
      </c>
      <c r="CC534">
        <v>0</v>
      </c>
    </row>
    <row r="535" spans="1:82" hidden="1" x14ac:dyDescent="0.25">
      <c r="A535" t="s">
        <v>128</v>
      </c>
      <c r="B535" t="s">
        <v>422</v>
      </c>
      <c r="C535" s="14" t="s">
        <v>72</v>
      </c>
      <c r="D535" s="12">
        <v>46226</v>
      </c>
      <c r="E535" s="14" t="s">
        <v>134</v>
      </c>
      <c r="F535" s="14" t="s">
        <v>73</v>
      </c>
      <c r="G535">
        <v>5.9697075688073395</v>
      </c>
      <c r="H535">
        <v>0.95</v>
      </c>
      <c r="I535">
        <v>20</v>
      </c>
      <c r="J535">
        <v>0.95</v>
      </c>
      <c r="K535">
        <v>46226</v>
      </c>
      <c r="L535" t="s">
        <v>432</v>
      </c>
      <c r="M535">
        <v>1.7647058823529416</v>
      </c>
      <c r="N535">
        <v>0.15913677329253098</v>
      </c>
      <c r="O535">
        <v>0.15913677329253098</v>
      </c>
      <c r="P535">
        <v>0.29561010518736414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0.13647333189483316</v>
      </c>
      <c r="AA535">
        <v>0.70438989481263592</v>
      </c>
      <c r="AB535">
        <v>0</v>
      </c>
      <c r="AC535">
        <v>0</v>
      </c>
      <c r="AD535">
        <v>0</v>
      </c>
      <c r="AE535">
        <v>0.15913677329253098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6.2839027040077262</v>
      </c>
      <c r="AL535">
        <v>6.2839027040077262</v>
      </c>
      <c r="AM535">
        <v>1.857585139318886</v>
      </c>
      <c r="BD535">
        <v>0</v>
      </c>
      <c r="BE535">
        <v>0</v>
      </c>
      <c r="BF535">
        <v>0</v>
      </c>
      <c r="BH535">
        <v>0.53833333333333322</v>
      </c>
      <c r="BI535">
        <v>0.53833333333333322</v>
      </c>
      <c r="BJ535">
        <v>3.3828342889908249</v>
      </c>
      <c r="BK535">
        <v>2.3828342889908249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0.84086322670746905</v>
      </c>
      <c r="BU535">
        <v>0</v>
      </c>
      <c r="BV535">
        <v>0</v>
      </c>
      <c r="BW535">
        <v>0</v>
      </c>
      <c r="BX535">
        <v>0</v>
      </c>
      <c r="BY535">
        <v>0.53833333333333322</v>
      </c>
      <c r="BZ535">
        <v>0</v>
      </c>
      <c r="CA535">
        <v>0</v>
      </c>
      <c r="CB535">
        <v>0</v>
      </c>
      <c r="CC535">
        <v>0</v>
      </c>
      <c r="CD535">
        <v>0</v>
      </c>
    </row>
    <row r="536" spans="1:82" hidden="1" x14ac:dyDescent="0.25">
      <c r="A536" t="s">
        <v>128</v>
      </c>
      <c r="B536" t="s">
        <v>421</v>
      </c>
      <c r="C536" s="14" t="s">
        <v>72</v>
      </c>
      <c r="D536" s="12">
        <v>46226</v>
      </c>
      <c r="E536" s="14" t="s">
        <v>134</v>
      </c>
      <c r="F536" s="14" t="s">
        <v>74</v>
      </c>
      <c r="G536">
        <v>2.7731019522776572</v>
      </c>
      <c r="H536">
        <v>0</v>
      </c>
      <c r="I536">
        <v>20</v>
      </c>
      <c r="J536">
        <v>0</v>
      </c>
      <c r="K536">
        <v>46226</v>
      </c>
      <c r="L536" t="s">
        <v>433</v>
      </c>
      <c r="M536">
        <v>2.0078431372549019</v>
      </c>
      <c r="N536">
        <v>0</v>
      </c>
      <c r="O536">
        <v>0</v>
      </c>
      <c r="P536">
        <v>0.72404230778669421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0.72404230778669421</v>
      </c>
      <c r="AA536">
        <v>0.27595769221330579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H536">
        <v>0</v>
      </c>
      <c r="BI536">
        <v>0</v>
      </c>
      <c r="BJ536">
        <v>1.3811347613882863</v>
      </c>
      <c r="BK536">
        <v>0.38113476138828628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1</v>
      </c>
      <c r="CD536">
        <v>1</v>
      </c>
    </row>
    <row r="537" spans="1:82" hidden="1" x14ac:dyDescent="0.25">
      <c r="A537" t="s">
        <v>128</v>
      </c>
      <c r="B537" t="s">
        <v>422</v>
      </c>
      <c r="C537" s="14" t="s">
        <v>72</v>
      </c>
      <c r="D537" s="12">
        <v>46226</v>
      </c>
      <c r="E537" s="14" t="s">
        <v>134</v>
      </c>
      <c r="F537" s="14" t="s">
        <v>74</v>
      </c>
      <c r="G537">
        <v>1.2735376146788988</v>
      </c>
      <c r="H537">
        <v>0</v>
      </c>
      <c r="I537">
        <v>20</v>
      </c>
      <c r="J537">
        <v>0</v>
      </c>
      <c r="K537">
        <v>46226</v>
      </c>
      <c r="L537" t="s">
        <v>433</v>
      </c>
      <c r="M537">
        <v>6.2745098039215685E-2</v>
      </c>
      <c r="N537">
        <v>0</v>
      </c>
      <c r="O537">
        <v>0</v>
      </c>
      <c r="P537">
        <v>4.9268350864560689E-2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4.9268350864560689E-2</v>
      </c>
      <c r="AA537">
        <v>0.95073164913543928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H537">
        <v>0</v>
      </c>
      <c r="BI537">
        <v>0</v>
      </c>
      <c r="BJ537">
        <v>20.29700573394495</v>
      </c>
      <c r="BK537">
        <v>19.29700573394495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</row>
    <row r="538" spans="1:82" hidden="1" x14ac:dyDescent="0.25">
      <c r="A538" t="s">
        <v>128</v>
      </c>
      <c r="B538" t="s">
        <v>291</v>
      </c>
      <c r="C538" s="14" t="s">
        <v>72</v>
      </c>
      <c r="D538" s="12">
        <v>46226</v>
      </c>
      <c r="E538" s="14" t="s">
        <v>134</v>
      </c>
      <c r="F538" s="14" t="s">
        <v>74</v>
      </c>
      <c r="G538">
        <v>1.2735376146788988</v>
      </c>
      <c r="H538">
        <v>9.5</v>
      </c>
      <c r="I538">
        <v>20</v>
      </c>
      <c r="J538">
        <v>9.5</v>
      </c>
      <c r="K538">
        <v>46226</v>
      </c>
      <c r="L538" t="s">
        <v>433</v>
      </c>
      <c r="M538">
        <v>1.8823529411764703</v>
      </c>
      <c r="N538">
        <v>7.4595362480873924</v>
      </c>
      <c r="O538">
        <v>7.4595362480873924</v>
      </c>
      <c r="P538">
        <v>1.4780505259368206</v>
      </c>
      <c r="Q538">
        <v>0</v>
      </c>
      <c r="R538">
        <v>0</v>
      </c>
      <c r="S538">
        <v>5.9814857221505715</v>
      </c>
      <c r="T538">
        <v>0</v>
      </c>
      <c r="U538">
        <v>0.22805052593682063</v>
      </c>
      <c r="V538">
        <v>0</v>
      </c>
      <c r="W538">
        <v>0.25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0.13405659101883147</v>
      </c>
      <c r="AL538">
        <v>0.13405659101883147</v>
      </c>
      <c r="AM538">
        <v>0.1981424148606811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0.80185758513931893</v>
      </c>
      <c r="AY538">
        <v>0</v>
      </c>
      <c r="AZ538">
        <v>0</v>
      </c>
      <c r="BA538">
        <v>0</v>
      </c>
      <c r="BB538">
        <v>0.13405659101883147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5.0468750000000009</v>
      </c>
      <c r="BI538">
        <v>5.0468750000000009</v>
      </c>
      <c r="BJ538">
        <v>0.67656685779816506</v>
      </c>
      <c r="CA538">
        <v>0</v>
      </c>
      <c r="CB538">
        <v>0</v>
      </c>
      <c r="CC538">
        <v>0</v>
      </c>
    </row>
    <row r="539" spans="1:82" hidden="1" x14ac:dyDescent="0.25">
      <c r="A539" t="s">
        <v>128</v>
      </c>
      <c r="B539" t="s">
        <v>291</v>
      </c>
      <c r="C539" s="14" t="s">
        <v>72</v>
      </c>
      <c r="D539" s="12">
        <v>46226</v>
      </c>
      <c r="E539" s="14" t="s">
        <v>134</v>
      </c>
      <c r="F539" s="14" t="s">
        <v>75</v>
      </c>
      <c r="G539">
        <v>3.5115926875337284</v>
      </c>
      <c r="H539">
        <v>1.9</v>
      </c>
      <c r="I539">
        <v>20</v>
      </c>
      <c r="J539">
        <v>1.9</v>
      </c>
      <c r="K539">
        <v>46226</v>
      </c>
      <c r="L539" t="s">
        <v>434</v>
      </c>
      <c r="M539">
        <v>4.1584410854124911</v>
      </c>
      <c r="N539">
        <v>0.54106502919460553</v>
      </c>
      <c r="O539">
        <v>0.54106502919460553</v>
      </c>
      <c r="P539">
        <v>1.1842037090961877</v>
      </c>
      <c r="Q539">
        <v>0.18420370909618766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0.45893497080539447</v>
      </c>
      <c r="AA539">
        <v>0</v>
      </c>
      <c r="AB539">
        <v>0</v>
      </c>
      <c r="AC539">
        <v>0</v>
      </c>
      <c r="AD539">
        <v>0</v>
      </c>
      <c r="AE539">
        <v>0.54106502919460553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1.8482066776493309</v>
      </c>
      <c r="AL539">
        <v>1.8482066776493309</v>
      </c>
      <c r="AM539">
        <v>2.1886532028486796</v>
      </c>
      <c r="BD539">
        <v>0</v>
      </c>
      <c r="BE539">
        <v>0</v>
      </c>
      <c r="BF539">
        <v>0</v>
      </c>
      <c r="BH539">
        <v>0.45690198826311662</v>
      </c>
      <c r="BI539">
        <v>0.45690198826311662</v>
      </c>
      <c r="BJ539">
        <v>0.84444930573914834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0.15555069426085166</v>
      </c>
      <c r="BV539">
        <v>0</v>
      </c>
      <c r="BW539">
        <v>0</v>
      </c>
      <c r="BX539">
        <v>0</v>
      </c>
      <c r="BY539">
        <v>0.45690198826311662</v>
      </c>
      <c r="BZ539">
        <v>0</v>
      </c>
      <c r="CA539">
        <v>0</v>
      </c>
      <c r="CB539">
        <v>0</v>
      </c>
      <c r="CC539">
        <v>0</v>
      </c>
      <c r="CD539">
        <v>0</v>
      </c>
    </row>
    <row r="540" spans="1:82" hidden="1" x14ac:dyDescent="0.25">
      <c r="A540" t="s">
        <v>128</v>
      </c>
      <c r="B540" t="s">
        <v>422</v>
      </c>
      <c r="C540" s="14" t="s">
        <v>72</v>
      </c>
      <c r="D540" s="12">
        <v>46226</v>
      </c>
      <c r="E540" s="14" t="s">
        <v>134</v>
      </c>
      <c r="F540" s="14" t="s">
        <v>75</v>
      </c>
      <c r="G540">
        <v>3.5115926875337284</v>
      </c>
      <c r="H540">
        <v>2.8499999999999996</v>
      </c>
      <c r="I540">
        <v>20</v>
      </c>
      <c r="J540">
        <v>2.8499999999999996</v>
      </c>
      <c r="K540">
        <v>46226</v>
      </c>
      <c r="L540" t="s">
        <v>434</v>
      </c>
      <c r="M540">
        <v>2.0484429065743943</v>
      </c>
      <c r="N540">
        <v>0.81159754379190818</v>
      </c>
      <c r="O540">
        <v>0.81159754379190818</v>
      </c>
      <c r="P540">
        <v>0.58333727423639858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0.18840245620809182</v>
      </c>
      <c r="AB540">
        <v>0</v>
      </c>
      <c r="AC540">
        <v>0.2282602695555096</v>
      </c>
      <c r="AD540">
        <v>0</v>
      </c>
      <c r="AE540">
        <v>0.58333727423639858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1.2321377850995541</v>
      </c>
      <c r="AL540">
        <v>1.2321377850995541</v>
      </c>
      <c r="AM540">
        <v>0.71875189704364717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0.23213778509955407</v>
      </c>
      <c r="AW540">
        <v>0</v>
      </c>
      <c r="AX540">
        <v>0</v>
      </c>
      <c r="AY540">
        <v>0</v>
      </c>
      <c r="AZ540">
        <v>0.28124810295635283</v>
      </c>
      <c r="BA540">
        <v>0</v>
      </c>
      <c r="BB540">
        <v>0.71875189704364717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1.3913006756756756</v>
      </c>
      <c r="BI540">
        <v>1.3913006756756756</v>
      </c>
      <c r="BJ540">
        <v>1.7142741329345399</v>
      </c>
      <c r="BK540">
        <v>0.32297345725886428</v>
      </c>
      <c r="BL540">
        <v>0</v>
      </c>
      <c r="BM540">
        <v>0</v>
      </c>
      <c r="BN540">
        <v>0</v>
      </c>
      <c r="BO540">
        <v>0</v>
      </c>
      <c r="BP540">
        <v>0.10869932432432439</v>
      </c>
      <c r="BQ540">
        <v>0.39130067567567561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</row>
    <row r="541" spans="1:82" hidden="1" x14ac:dyDescent="0.25">
      <c r="A541" t="s">
        <v>128</v>
      </c>
      <c r="B541" t="s">
        <v>421</v>
      </c>
      <c r="C541" s="14" t="s">
        <v>72</v>
      </c>
      <c r="D541" s="12">
        <v>46226</v>
      </c>
      <c r="E541" s="14" t="s">
        <v>134</v>
      </c>
      <c r="F541" s="14" t="s">
        <v>75</v>
      </c>
      <c r="G541">
        <v>2.4468546637744035</v>
      </c>
      <c r="H541">
        <v>6.6499999999999995</v>
      </c>
      <c r="I541">
        <v>20</v>
      </c>
      <c r="J541">
        <v>6.6499999999999995</v>
      </c>
      <c r="K541">
        <v>46226</v>
      </c>
      <c r="L541" t="s">
        <v>434</v>
      </c>
      <c r="M541">
        <v>1.7716262975778552</v>
      </c>
      <c r="N541">
        <v>2.7177748226950351</v>
      </c>
      <c r="O541">
        <v>2.7177748226950351</v>
      </c>
      <c r="P541">
        <v>0.72404230778669432</v>
      </c>
      <c r="Q541">
        <v>0</v>
      </c>
      <c r="R541">
        <v>0</v>
      </c>
      <c r="S541">
        <v>1.4677748226950351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0.25</v>
      </c>
      <c r="Z541">
        <v>0</v>
      </c>
      <c r="AA541">
        <v>0</v>
      </c>
      <c r="AB541">
        <v>0</v>
      </c>
      <c r="AC541">
        <v>0.27595769221330568</v>
      </c>
      <c r="AD541">
        <v>0</v>
      </c>
      <c r="AE541">
        <v>0.72404230778669432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0.36794806974051186</v>
      </c>
      <c r="AL541">
        <v>0.36794806974051186</v>
      </c>
      <c r="AM541">
        <v>0.26640996956057977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0.63205193025948814</v>
      </c>
      <c r="AY541">
        <v>0</v>
      </c>
      <c r="AZ541">
        <v>0.10153810017993209</v>
      </c>
      <c r="BA541">
        <v>0</v>
      </c>
      <c r="BB541">
        <v>0.26640996956057977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3.7536132812499985</v>
      </c>
      <c r="BI541">
        <v>3.7536132812499985</v>
      </c>
      <c r="BJ541">
        <v>1.3811347613882861</v>
      </c>
      <c r="CA541">
        <v>0</v>
      </c>
      <c r="CB541">
        <v>0</v>
      </c>
      <c r="CC541">
        <v>0</v>
      </c>
    </row>
    <row r="542" spans="1:82" hidden="1" x14ac:dyDescent="0.25">
      <c r="A542" t="s">
        <v>128</v>
      </c>
      <c r="B542" t="s">
        <v>421</v>
      </c>
      <c r="C542" s="14" t="s">
        <v>72</v>
      </c>
      <c r="D542" s="12">
        <v>46227</v>
      </c>
      <c r="E542" s="14" t="s">
        <v>134</v>
      </c>
      <c r="F542" s="14" t="s">
        <v>73</v>
      </c>
      <c r="G542">
        <v>3.8232104121475055</v>
      </c>
      <c r="H542">
        <v>6.6499999999999995</v>
      </c>
      <c r="I542">
        <v>20</v>
      </c>
      <c r="J542">
        <v>6.6499999999999995</v>
      </c>
      <c r="K542">
        <v>46227</v>
      </c>
      <c r="L542" t="s">
        <v>157</v>
      </c>
      <c r="M542">
        <v>0.23529411764705879</v>
      </c>
      <c r="N542">
        <v>1.7393758865248226</v>
      </c>
      <c r="O542">
        <v>1.7393758865248226</v>
      </c>
      <c r="P542">
        <v>6.1543596161868996E-2</v>
      </c>
      <c r="Q542">
        <v>0</v>
      </c>
      <c r="R542">
        <v>0</v>
      </c>
      <c r="S542">
        <v>0.48937588652482256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0.25</v>
      </c>
      <c r="Z542">
        <v>0</v>
      </c>
      <c r="AA542">
        <v>0</v>
      </c>
      <c r="AB542">
        <v>0</v>
      </c>
      <c r="AC542">
        <v>0.938456403838131</v>
      </c>
      <c r="AD542">
        <v>0</v>
      </c>
      <c r="AE542">
        <v>6.1543596161868996E-2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0.57491885896954975</v>
      </c>
      <c r="AL542">
        <v>0.57491885896954975</v>
      </c>
      <c r="AM542">
        <v>3.538257408226448E-2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0.42508114103045025</v>
      </c>
      <c r="AY542">
        <v>0</v>
      </c>
      <c r="AZ542">
        <v>0.53953628488728522</v>
      </c>
      <c r="BA542">
        <v>0</v>
      </c>
      <c r="BB542">
        <v>3.538257408226448E-2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28.262500000000003</v>
      </c>
      <c r="BI542">
        <v>28.262500000000003</v>
      </c>
      <c r="BJ542">
        <v>16.248644251626899</v>
      </c>
      <c r="CA542">
        <v>0</v>
      </c>
      <c r="CB542">
        <v>0</v>
      </c>
      <c r="CC542">
        <v>0</v>
      </c>
    </row>
    <row r="543" spans="1:82" hidden="1" x14ac:dyDescent="0.25">
      <c r="A543" t="s">
        <v>128</v>
      </c>
      <c r="B543" t="s">
        <v>422</v>
      </c>
      <c r="C543" s="14" t="s">
        <v>72</v>
      </c>
      <c r="D543" s="12">
        <v>46227</v>
      </c>
      <c r="E543" s="14" t="s">
        <v>134</v>
      </c>
      <c r="F543" s="14" t="s">
        <v>73</v>
      </c>
      <c r="G543">
        <v>4.7757660550458709</v>
      </c>
      <c r="H543">
        <v>5.6999999999999993</v>
      </c>
      <c r="I543">
        <v>20</v>
      </c>
      <c r="J543">
        <v>5.6999999999999993</v>
      </c>
      <c r="K543">
        <v>46227</v>
      </c>
      <c r="L543" t="s">
        <v>157</v>
      </c>
      <c r="M543">
        <v>1.7647058823529416</v>
      </c>
      <c r="N543">
        <v>1.1935257996939825</v>
      </c>
      <c r="O543">
        <v>1.1935257996939825</v>
      </c>
      <c r="P543">
        <v>0.36951263148420527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0.19352579969398254</v>
      </c>
      <c r="Z543">
        <v>0</v>
      </c>
      <c r="AA543">
        <v>0</v>
      </c>
      <c r="AB543">
        <v>0</v>
      </c>
      <c r="AC543">
        <v>0.63048736851579479</v>
      </c>
      <c r="AD543">
        <v>0</v>
      </c>
      <c r="AE543">
        <v>0.36951263148420527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0.83785369386769681</v>
      </c>
      <c r="AL543">
        <v>0.83785369386769681</v>
      </c>
      <c r="AM543">
        <v>0.30959752321981437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0.16214630613230319</v>
      </c>
      <c r="AY543">
        <v>0</v>
      </c>
      <c r="AZ543">
        <v>0.52825617064788244</v>
      </c>
      <c r="BA543">
        <v>0</v>
      </c>
      <c r="BB543">
        <v>0.30959752321981437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3.2299999999999991</v>
      </c>
      <c r="BI543">
        <v>3.2299999999999991</v>
      </c>
      <c r="BJ543">
        <v>2.7062674311926598</v>
      </c>
      <c r="CA543">
        <v>0</v>
      </c>
      <c r="CB543">
        <v>0</v>
      </c>
      <c r="CC543">
        <v>0</v>
      </c>
    </row>
    <row r="544" spans="1:82" hidden="1" x14ac:dyDescent="0.25">
      <c r="A544" t="s">
        <v>128</v>
      </c>
      <c r="B544" t="s">
        <v>291</v>
      </c>
      <c r="C544" s="14" t="s">
        <v>72</v>
      </c>
      <c r="D544" s="12">
        <v>46227</v>
      </c>
      <c r="E544" s="14" t="s">
        <v>134</v>
      </c>
      <c r="F544" s="14" t="s">
        <v>73</v>
      </c>
      <c r="G544">
        <v>4.7757660550458709</v>
      </c>
      <c r="H544">
        <v>1.9</v>
      </c>
      <c r="I544">
        <v>20</v>
      </c>
      <c r="J544">
        <v>1.9</v>
      </c>
      <c r="K544">
        <v>46227</v>
      </c>
      <c r="L544" t="s">
        <v>157</v>
      </c>
      <c r="M544">
        <v>3.7647058823529393</v>
      </c>
      <c r="N544">
        <v>0.39784193323132755</v>
      </c>
      <c r="O544">
        <v>0.39784193323132755</v>
      </c>
      <c r="P544">
        <v>0.78829361383297059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0.39045168060164304</v>
      </c>
      <c r="AA544">
        <v>0.21170638616702941</v>
      </c>
      <c r="AB544">
        <v>0</v>
      </c>
      <c r="AC544">
        <v>0</v>
      </c>
      <c r="AD544">
        <v>0</v>
      </c>
      <c r="AE544">
        <v>0.39784193323132755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2.5135610816030902</v>
      </c>
      <c r="AL544">
        <v>2.5135610816030902</v>
      </c>
      <c r="AM544">
        <v>1.9814241486068103</v>
      </c>
      <c r="BD544">
        <v>0</v>
      </c>
      <c r="BE544">
        <v>0</v>
      </c>
      <c r="BF544">
        <v>0</v>
      </c>
      <c r="BH544">
        <v>0.50468750000000018</v>
      </c>
      <c r="BI544">
        <v>0.50468750000000018</v>
      </c>
      <c r="BJ544">
        <v>1.26856285837156</v>
      </c>
      <c r="BK544">
        <v>0.26856285837156002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0.60215806676867245</v>
      </c>
      <c r="BU544">
        <v>0</v>
      </c>
      <c r="BV544">
        <v>0</v>
      </c>
      <c r="BW544">
        <v>0</v>
      </c>
      <c r="BX544">
        <v>0</v>
      </c>
      <c r="BY544">
        <v>0.50468750000000018</v>
      </c>
      <c r="BZ544">
        <v>0</v>
      </c>
      <c r="CA544">
        <v>0</v>
      </c>
      <c r="CB544">
        <v>0</v>
      </c>
      <c r="CC544">
        <v>0</v>
      </c>
      <c r="CD544">
        <v>0</v>
      </c>
    </row>
    <row r="545" spans="1:82" hidden="1" x14ac:dyDescent="0.25">
      <c r="A545" t="s">
        <v>128</v>
      </c>
      <c r="B545" t="s">
        <v>291</v>
      </c>
      <c r="C545" s="14" t="s">
        <v>72</v>
      </c>
      <c r="D545" s="12">
        <v>46227</v>
      </c>
      <c r="E545" s="14" t="s">
        <v>134</v>
      </c>
      <c r="F545" s="14" t="s">
        <v>74</v>
      </c>
      <c r="G545">
        <v>1.2735376146788988</v>
      </c>
      <c r="H545">
        <v>7.6</v>
      </c>
      <c r="I545">
        <v>20</v>
      </c>
      <c r="J545">
        <v>7.6</v>
      </c>
      <c r="K545">
        <v>46227</v>
      </c>
      <c r="L545" t="s">
        <v>156</v>
      </c>
      <c r="M545">
        <v>1.8823529411764703</v>
      </c>
      <c r="N545">
        <v>5.9676289984699133</v>
      </c>
      <c r="O545">
        <v>5.9676289984699133</v>
      </c>
      <c r="P545">
        <v>1.4780505259368206</v>
      </c>
      <c r="Q545">
        <v>0</v>
      </c>
      <c r="R545">
        <v>0</v>
      </c>
      <c r="S545">
        <v>4.4895784725330925</v>
      </c>
      <c r="T545">
        <v>0</v>
      </c>
      <c r="U545">
        <v>0.22805052593682063</v>
      </c>
      <c r="V545">
        <v>0</v>
      </c>
      <c r="W545">
        <v>0.25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0.16757073877353931</v>
      </c>
      <c r="AL545">
        <v>0.16757073877353931</v>
      </c>
      <c r="AM545">
        <v>0.24767801857585137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0.75232198142414863</v>
      </c>
      <c r="AY545">
        <v>0</v>
      </c>
      <c r="AZ545">
        <v>0</v>
      </c>
      <c r="BA545">
        <v>0</v>
      </c>
      <c r="BB545">
        <v>0.16757073877353931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4.0375000000000005</v>
      </c>
      <c r="BI545">
        <v>4.0375000000000005</v>
      </c>
      <c r="BJ545">
        <v>0.67656685779816506</v>
      </c>
      <c r="CA545">
        <v>0</v>
      </c>
      <c r="CB545">
        <v>0</v>
      </c>
      <c r="CC545">
        <v>0</v>
      </c>
    </row>
    <row r="546" spans="1:82" hidden="1" x14ac:dyDescent="0.25">
      <c r="A546" t="s">
        <v>128</v>
      </c>
      <c r="B546" t="s">
        <v>421</v>
      </c>
      <c r="C546" s="14" t="s">
        <v>72</v>
      </c>
      <c r="D546" s="12">
        <v>46227</v>
      </c>
      <c r="E546" s="14" t="s">
        <v>134</v>
      </c>
      <c r="F546" s="14" t="s">
        <v>74</v>
      </c>
      <c r="G546">
        <v>2.7731019522776572</v>
      </c>
      <c r="H546">
        <v>0.95</v>
      </c>
      <c r="I546">
        <v>20</v>
      </c>
      <c r="J546">
        <v>0.95</v>
      </c>
      <c r="K546">
        <v>46227</v>
      </c>
      <c r="L546" t="s">
        <v>156</v>
      </c>
      <c r="M546">
        <v>2.0078431372549019</v>
      </c>
      <c r="N546">
        <v>0.34257665832290363</v>
      </c>
      <c r="O546">
        <v>0.34257665832290363</v>
      </c>
      <c r="P546">
        <v>0.72404230778669421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0.38146564946379058</v>
      </c>
      <c r="AA546">
        <v>0.27595769221330579</v>
      </c>
      <c r="AB546">
        <v>0</v>
      </c>
      <c r="AC546">
        <v>0</v>
      </c>
      <c r="AD546">
        <v>0</v>
      </c>
      <c r="AE546">
        <v>0.34257665832290363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2.9190546866080602</v>
      </c>
      <c r="AL546">
        <v>2.9190546866080602</v>
      </c>
      <c r="AM546">
        <v>2.1135190918472655</v>
      </c>
      <c r="BD546">
        <v>0</v>
      </c>
      <c r="BE546">
        <v>0</v>
      </c>
      <c r="BF546">
        <v>0</v>
      </c>
      <c r="BH546">
        <v>0.47314453125</v>
      </c>
      <c r="BI546">
        <v>0.47314453125</v>
      </c>
      <c r="BJ546">
        <v>1.3811347613882863</v>
      </c>
      <c r="BK546">
        <v>0.38113476138828628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0.65742334167709637</v>
      </c>
      <c r="BU546">
        <v>0</v>
      </c>
      <c r="BV546">
        <v>0</v>
      </c>
      <c r="BW546">
        <v>0</v>
      </c>
      <c r="BX546">
        <v>0</v>
      </c>
      <c r="BY546">
        <v>0.47314453125</v>
      </c>
      <c r="BZ546">
        <v>0</v>
      </c>
      <c r="CA546">
        <v>0</v>
      </c>
      <c r="CB546">
        <v>0</v>
      </c>
      <c r="CC546">
        <v>0</v>
      </c>
      <c r="CD546">
        <v>0</v>
      </c>
    </row>
    <row r="547" spans="1:82" hidden="1" x14ac:dyDescent="0.25">
      <c r="A547" t="s">
        <v>128</v>
      </c>
      <c r="B547" t="s">
        <v>422</v>
      </c>
      <c r="C547" s="14" t="s">
        <v>72</v>
      </c>
      <c r="D547" s="12">
        <v>46227</v>
      </c>
      <c r="E547" s="14" t="s">
        <v>134</v>
      </c>
      <c r="F547" s="14" t="s">
        <v>74</v>
      </c>
      <c r="G547">
        <v>1.2735376146788988</v>
      </c>
      <c r="H547">
        <v>0.95</v>
      </c>
      <c r="I547">
        <v>20</v>
      </c>
      <c r="J547">
        <v>0.95</v>
      </c>
      <c r="K547">
        <v>46227</v>
      </c>
      <c r="L547" t="s">
        <v>156</v>
      </c>
      <c r="M547">
        <v>1.0127450980392154</v>
      </c>
      <c r="N547">
        <v>0.74595362480873917</v>
      </c>
      <c r="O547">
        <v>0.74595362480873917</v>
      </c>
      <c r="P547">
        <v>0.79522197567329966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4.9268350864560495E-2</v>
      </c>
      <c r="AA547">
        <v>0.20477802432670034</v>
      </c>
      <c r="AB547">
        <v>0</v>
      </c>
      <c r="AC547">
        <v>0</v>
      </c>
      <c r="AD547">
        <v>0</v>
      </c>
      <c r="AE547">
        <v>0.74595362480873917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1.3405659101883145</v>
      </c>
      <c r="AL547">
        <v>1.3405659101883145</v>
      </c>
      <c r="AM547">
        <v>1.0660474716202268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6.6047471620226839E-2</v>
      </c>
      <c r="AU547">
        <v>0</v>
      </c>
      <c r="AV547">
        <v>0.27451843856808766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0.93804453049370784</v>
      </c>
      <c r="BI547">
        <v>0.93804453049370784</v>
      </c>
      <c r="BJ547">
        <v>1.2575105198184677</v>
      </c>
      <c r="BK547">
        <v>0.25751051981846773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0.25404637519126083</v>
      </c>
      <c r="BU547">
        <v>0</v>
      </c>
      <c r="BV547">
        <v>0</v>
      </c>
      <c r="BW547">
        <v>0</v>
      </c>
      <c r="BX547">
        <v>0</v>
      </c>
      <c r="BY547">
        <v>0.93804453049370784</v>
      </c>
      <c r="BZ547">
        <v>0</v>
      </c>
      <c r="CA547">
        <v>0</v>
      </c>
      <c r="CB547">
        <v>0</v>
      </c>
      <c r="CC547">
        <v>0</v>
      </c>
      <c r="CD547">
        <v>0</v>
      </c>
    </row>
    <row r="548" spans="1:82" hidden="1" x14ac:dyDescent="0.25">
      <c r="A548" t="s">
        <v>128</v>
      </c>
      <c r="B548" t="s">
        <v>291</v>
      </c>
      <c r="C548" s="14" t="s">
        <v>72</v>
      </c>
      <c r="D548" s="12">
        <v>46227</v>
      </c>
      <c r="E548" s="14" t="s">
        <v>134</v>
      </c>
      <c r="F548" s="14" t="s">
        <v>75</v>
      </c>
      <c r="G548">
        <v>2.2474193200215868</v>
      </c>
      <c r="H548">
        <v>0</v>
      </c>
      <c r="I548">
        <v>20</v>
      </c>
      <c r="J548">
        <v>0</v>
      </c>
      <c r="K548">
        <v>46227</v>
      </c>
      <c r="L548" t="s">
        <v>155</v>
      </c>
      <c r="M548">
        <v>4.8131487889273332</v>
      </c>
      <c r="N548">
        <v>0</v>
      </c>
      <c r="O548">
        <v>0</v>
      </c>
      <c r="P548">
        <v>2.1416336266438707</v>
      </c>
      <c r="Q548">
        <v>1.1416336266438707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1</v>
      </c>
      <c r="BH548">
        <v>0</v>
      </c>
      <c r="BI548">
        <v>0</v>
      </c>
      <c r="BJ548">
        <v>0.46693327353431985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0.5330667264656801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0.4669332735343199</v>
      </c>
      <c r="CD548">
        <v>0</v>
      </c>
    </row>
    <row r="549" spans="1:82" hidden="1" x14ac:dyDescent="0.25">
      <c r="A549" t="s">
        <v>128</v>
      </c>
      <c r="B549" t="s">
        <v>421</v>
      </c>
      <c r="C549" s="14" t="s">
        <v>72</v>
      </c>
      <c r="D549" s="12">
        <v>46227</v>
      </c>
      <c r="E549" s="14" t="s">
        <v>134</v>
      </c>
      <c r="F549" s="14" t="s">
        <v>75</v>
      </c>
      <c r="G549">
        <v>2.4468546637744031</v>
      </c>
      <c r="H549">
        <v>1.9</v>
      </c>
      <c r="I549">
        <v>20</v>
      </c>
      <c r="J549">
        <v>1.9</v>
      </c>
      <c r="K549">
        <v>46227</v>
      </c>
      <c r="L549" t="s">
        <v>155</v>
      </c>
      <c r="M549">
        <v>1.7716262975778552</v>
      </c>
      <c r="N549">
        <v>0.77650709219858161</v>
      </c>
      <c r="O549">
        <v>0.77650709219858161</v>
      </c>
      <c r="P549">
        <v>0.72404230778669443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0.22349290780141839</v>
      </c>
      <c r="AB549">
        <v>0</v>
      </c>
      <c r="AC549">
        <v>5.2464784411887178E-2</v>
      </c>
      <c r="AD549">
        <v>0</v>
      </c>
      <c r="AE549">
        <v>0.72404230778669443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1.2878182440917911</v>
      </c>
      <c r="AL549">
        <v>1.2878182440917911</v>
      </c>
      <c r="AM549">
        <v>0.93243489346202912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0.28781824409179113</v>
      </c>
      <c r="AW549">
        <v>0</v>
      </c>
      <c r="AX549">
        <v>0</v>
      </c>
      <c r="AY549">
        <v>0</v>
      </c>
      <c r="AZ549">
        <v>6.7565106537970876E-2</v>
      </c>
      <c r="BA549">
        <v>0</v>
      </c>
      <c r="BB549">
        <v>0.93243489346202912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1.0724609374999996</v>
      </c>
      <c r="BI549">
        <v>1.0724609374999996</v>
      </c>
      <c r="BJ549">
        <v>1.3811347613882858</v>
      </c>
      <c r="BK549">
        <v>0.30867382388828624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7.24609374999996E-2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0</v>
      </c>
      <c r="CC549">
        <v>0</v>
      </c>
      <c r="CD549">
        <v>0</v>
      </c>
    </row>
    <row r="550" spans="1:82" hidden="1" x14ac:dyDescent="0.25">
      <c r="A550" t="s">
        <v>128</v>
      </c>
      <c r="B550" t="s">
        <v>422</v>
      </c>
      <c r="C550" s="14" t="s">
        <v>72</v>
      </c>
      <c r="D550" s="12">
        <v>46227</v>
      </c>
      <c r="E550" s="14" t="s">
        <v>134</v>
      </c>
      <c r="F550" s="14" t="s">
        <v>75</v>
      </c>
      <c r="G550">
        <v>2.2474193200215868</v>
      </c>
      <c r="H550">
        <v>1.9</v>
      </c>
      <c r="I550">
        <v>20</v>
      </c>
      <c r="J550">
        <v>1.9</v>
      </c>
      <c r="K550">
        <v>46227</v>
      </c>
      <c r="L550" t="s">
        <v>155</v>
      </c>
      <c r="M550">
        <v>2.1881487889273359</v>
      </c>
      <c r="N550">
        <v>0.84541410811657081</v>
      </c>
      <c r="O550">
        <v>0.84541410811657081</v>
      </c>
      <c r="P550">
        <v>0.97362729306176754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0.12821318494519673</v>
      </c>
      <c r="AA550">
        <v>2.637270693823246E-2</v>
      </c>
      <c r="AB550">
        <v>0</v>
      </c>
      <c r="AC550">
        <v>0</v>
      </c>
      <c r="AD550">
        <v>0</v>
      </c>
      <c r="AE550">
        <v>0.84541410811657081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1.182852273695572</v>
      </c>
      <c r="AL550">
        <v>1.182852273695572</v>
      </c>
      <c r="AM550">
        <v>1.1516572573301769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0.15165725733017688</v>
      </c>
      <c r="AU550">
        <v>0</v>
      </c>
      <c r="AV550">
        <v>3.1195016365395123E-2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0.86831389602688269</v>
      </c>
      <c r="BI550">
        <v>0.86831389602688269</v>
      </c>
      <c r="BJ550">
        <v>1.0270870661968587</v>
      </c>
      <c r="BK550">
        <v>2.7087066196858745E-2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0.15458589188342919</v>
      </c>
      <c r="BU550">
        <v>0</v>
      </c>
      <c r="BV550">
        <v>0</v>
      </c>
      <c r="BW550">
        <v>0</v>
      </c>
      <c r="BX550">
        <v>0</v>
      </c>
      <c r="BY550">
        <v>0.86831389602688269</v>
      </c>
      <c r="BZ550">
        <v>0</v>
      </c>
      <c r="CA550">
        <v>0</v>
      </c>
      <c r="CB550">
        <v>0</v>
      </c>
      <c r="CC550">
        <v>0</v>
      </c>
      <c r="CD550">
        <v>0</v>
      </c>
    </row>
    <row r="551" spans="1:82" hidden="1" x14ac:dyDescent="0.25">
      <c r="A551" t="s">
        <v>128</v>
      </c>
      <c r="B551" t="s">
        <v>421</v>
      </c>
      <c r="C551" s="14" t="s">
        <v>72</v>
      </c>
      <c r="D551" s="12">
        <v>46228</v>
      </c>
      <c r="E551" s="14" t="s">
        <v>134</v>
      </c>
      <c r="F551" s="14" t="s">
        <v>73</v>
      </c>
      <c r="G551">
        <v>0</v>
      </c>
      <c r="H551">
        <v>0.95</v>
      </c>
      <c r="I551">
        <v>20</v>
      </c>
      <c r="J551">
        <v>0.95</v>
      </c>
      <c r="K551">
        <v>46228</v>
      </c>
      <c r="L551" t="s">
        <v>435</v>
      </c>
      <c r="M551">
        <v>0.23529411764705879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0.24767801857585137</v>
      </c>
      <c r="AI551">
        <v>0</v>
      </c>
      <c r="AJ551">
        <v>0</v>
      </c>
      <c r="AK551">
        <v>0</v>
      </c>
      <c r="AL551">
        <v>0</v>
      </c>
      <c r="AM551">
        <v>0.24767801857585137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0.75232198142414863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G551">
        <v>0</v>
      </c>
      <c r="BH551">
        <v>4.0375000000000005</v>
      </c>
      <c r="BI551">
        <v>4.0375000000000005</v>
      </c>
      <c r="BJ551">
        <v>0</v>
      </c>
      <c r="CA551">
        <v>0.75232198142414863</v>
      </c>
      <c r="CB551">
        <v>0.24767801857585137</v>
      </c>
    </row>
    <row r="552" spans="1:82" hidden="1" x14ac:dyDescent="0.25">
      <c r="A552" t="s">
        <v>128</v>
      </c>
      <c r="B552" t="s">
        <v>422</v>
      </c>
      <c r="C552" s="14" t="s">
        <v>72</v>
      </c>
      <c r="D552" s="12">
        <v>46228</v>
      </c>
      <c r="E552" s="14" t="s">
        <v>134</v>
      </c>
      <c r="F552" s="14" t="s">
        <v>73</v>
      </c>
      <c r="G552">
        <v>2.3878830275229355</v>
      </c>
      <c r="H552">
        <v>0.95</v>
      </c>
      <c r="I552">
        <v>20</v>
      </c>
      <c r="J552">
        <v>0.95</v>
      </c>
      <c r="K552">
        <v>46228</v>
      </c>
      <c r="L552" t="s">
        <v>435</v>
      </c>
      <c r="M552">
        <v>1.7954963235294119</v>
      </c>
      <c r="N552">
        <v>0.39784193323132755</v>
      </c>
      <c r="O552">
        <v>0.39784193323132755</v>
      </c>
      <c r="P552">
        <v>0.75191971417124459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0.35407778093991704</v>
      </c>
      <c r="AA552">
        <v>0.24808028582875541</v>
      </c>
      <c r="AB552">
        <v>0</v>
      </c>
      <c r="AC552">
        <v>0</v>
      </c>
      <c r="AD552">
        <v>0</v>
      </c>
      <c r="AE552">
        <v>0.39784193323132755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2.5135610816030902</v>
      </c>
      <c r="AL552">
        <v>2.5135610816030902</v>
      </c>
      <c r="AM552">
        <v>1.88999613003096</v>
      </c>
      <c r="BD552">
        <v>0</v>
      </c>
      <c r="BE552">
        <v>0</v>
      </c>
      <c r="BF552">
        <v>0</v>
      </c>
      <c r="BH552">
        <v>0.52910161249040177</v>
      </c>
      <c r="BI552">
        <v>0.52910161249040177</v>
      </c>
      <c r="BJ552">
        <v>1.3299292213693132</v>
      </c>
      <c r="BK552">
        <v>0.32992922136931324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0.60215806676867245</v>
      </c>
      <c r="BU552">
        <v>0</v>
      </c>
      <c r="BV552">
        <v>0</v>
      </c>
      <c r="BW552">
        <v>0</v>
      </c>
      <c r="BX552">
        <v>0</v>
      </c>
      <c r="BY552">
        <v>0.52910161249040177</v>
      </c>
      <c r="BZ552">
        <v>0</v>
      </c>
      <c r="CA552">
        <v>0</v>
      </c>
      <c r="CB552">
        <v>0</v>
      </c>
      <c r="CC552">
        <v>0</v>
      </c>
      <c r="CD552">
        <v>0</v>
      </c>
    </row>
    <row r="553" spans="1:82" hidden="1" x14ac:dyDescent="0.25">
      <c r="A553" t="s">
        <v>128</v>
      </c>
      <c r="B553" t="s">
        <v>291</v>
      </c>
      <c r="C553" s="14" t="s">
        <v>72</v>
      </c>
      <c r="D553" s="12">
        <v>46228</v>
      </c>
      <c r="E553" s="14" t="s">
        <v>134</v>
      </c>
      <c r="F553" s="14" t="s">
        <v>73</v>
      </c>
      <c r="G553">
        <v>2.3878830275229355</v>
      </c>
      <c r="H553">
        <v>12.35</v>
      </c>
      <c r="I553">
        <v>20</v>
      </c>
      <c r="J553">
        <v>12.35</v>
      </c>
      <c r="K553">
        <v>46228</v>
      </c>
      <c r="L553" t="s">
        <v>435</v>
      </c>
      <c r="M553">
        <v>5.6470588235294112</v>
      </c>
      <c r="N553">
        <v>5.1719451320072585</v>
      </c>
      <c r="O553">
        <v>5.1719451320072585</v>
      </c>
      <c r="P553">
        <v>2.3648808414989126</v>
      </c>
      <c r="Q553">
        <v>0</v>
      </c>
      <c r="R553">
        <v>0</v>
      </c>
      <c r="S553">
        <v>2.8070642905083458</v>
      </c>
      <c r="T553">
        <v>0</v>
      </c>
      <c r="U553">
        <v>1.1148808414989126</v>
      </c>
      <c r="V553">
        <v>0</v>
      </c>
      <c r="W553">
        <v>0.25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0.19335085243100691</v>
      </c>
      <c r="AL553">
        <v>0.19335085243100691</v>
      </c>
      <c r="AM553">
        <v>0.45725172660157176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0.54274827339842824</v>
      </c>
      <c r="AY553">
        <v>0</v>
      </c>
      <c r="AZ553">
        <v>0</v>
      </c>
      <c r="BA553">
        <v>0</v>
      </c>
      <c r="BB553">
        <v>0.19335085243100691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2.1869791666666667</v>
      </c>
      <c r="BI553">
        <v>2.1869791666666667</v>
      </c>
      <c r="BJ553">
        <v>0.42285428612385317</v>
      </c>
      <c r="CA553">
        <v>0</v>
      </c>
      <c r="CB553">
        <v>0</v>
      </c>
      <c r="CC553">
        <v>0</v>
      </c>
    </row>
    <row r="554" spans="1:82" hidden="1" x14ac:dyDescent="0.25">
      <c r="A554" t="s">
        <v>128</v>
      </c>
      <c r="B554" t="s">
        <v>291</v>
      </c>
      <c r="C554" s="14" t="s">
        <v>72</v>
      </c>
      <c r="D554" s="12">
        <v>46228</v>
      </c>
      <c r="E554" s="14" t="s">
        <v>134</v>
      </c>
      <c r="F554" s="14" t="s">
        <v>74</v>
      </c>
      <c r="G554">
        <v>1.2735376146788988</v>
      </c>
      <c r="H554">
        <v>0.95</v>
      </c>
      <c r="I554">
        <v>20</v>
      </c>
      <c r="J554">
        <v>0.95</v>
      </c>
      <c r="K554">
        <v>46228</v>
      </c>
      <c r="L554" t="s">
        <v>436</v>
      </c>
      <c r="M554">
        <v>1.8823529411764703</v>
      </c>
      <c r="N554">
        <v>0.74595362480873917</v>
      </c>
      <c r="O554">
        <v>0.74595362480873917</v>
      </c>
      <c r="P554">
        <v>1.4780505259368206</v>
      </c>
      <c r="Q554">
        <v>0.47805052593682063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0.25404637519126083</v>
      </c>
      <c r="AA554">
        <v>0</v>
      </c>
      <c r="AB554">
        <v>0</v>
      </c>
      <c r="AC554">
        <v>0</v>
      </c>
      <c r="AD554">
        <v>0</v>
      </c>
      <c r="AE554">
        <v>0.74595362480873917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1.3405659101883145</v>
      </c>
      <c r="AL554">
        <v>1.3405659101883145</v>
      </c>
      <c r="AM554">
        <v>1.9814241486068109</v>
      </c>
      <c r="AN554">
        <v>0.64085823841849643</v>
      </c>
      <c r="AO554">
        <v>0</v>
      </c>
      <c r="AP554">
        <v>0</v>
      </c>
      <c r="AQ554">
        <v>0</v>
      </c>
      <c r="AR554">
        <v>0</v>
      </c>
      <c r="AS554">
        <v>0.1594340898116855</v>
      </c>
      <c r="AT554">
        <v>0.3405659101883145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0.50468750000000007</v>
      </c>
      <c r="BI554">
        <v>0.50468750000000007</v>
      </c>
      <c r="BJ554">
        <v>0.67656685779816506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0.32343314220183494</v>
      </c>
      <c r="BV554">
        <v>0</v>
      </c>
      <c r="BW554">
        <v>0</v>
      </c>
      <c r="BX554">
        <v>0</v>
      </c>
      <c r="BY554">
        <v>0.50468750000000007</v>
      </c>
      <c r="BZ554">
        <v>0</v>
      </c>
      <c r="CA554">
        <v>0</v>
      </c>
      <c r="CB554">
        <v>0</v>
      </c>
      <c r="CC554">
        <v>0</v>
      </c>
      <c r="CD554">
        <v>0</v>
      </c>
    </row>
    <row r="555" spans="1:82" hidden="1" x14ac:dyDescent="0.25">
      <c r="A555" t="s">
        <v>128</v>
      </c>
      <c r="B555" t="s">
        <v>421</v>
      </c>
      <c r="C555" s="14" t="s">
        <v>72</v>
      </c>
      <c r="D555" s="12">
        <v>46228</v>
      </c>
      <c r="E555" s="14" t="s">
        <v>134</v>
      </c>
      <c r="F555" s="14" t="s">
        <v>74</v>
      </c>
      <c r="G555">
        <v>2.7731019522776572</v>
      </c>
      <c r="H555">
        <v>0.95</v>
      </c>
      <c r="I555">
        <v>20</v>
      </c>
      <c r="J555">
        <v>0.95</v>
      </c>
      <c r="K555">
        <v>46228</v>
      </c>
      <c r="L555" t="s">
        <v>436</v>
      </c>
      <c r="M555">
        <v>2.0078431372549019</v>
      </c>
      <c r="N555">
        <v>0.34257665832290363</v>
      </c>
      <c r="O555">
        <v>0.34257665832290363</v>
      </c>
      <c r="P555">
        <v>0.72404230778669421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0.38146564946379058</v>
      </c>
      <c r="AA555">
        <v>0.27595769221330579</v>
      </c>
      <c r="AB555">
        <v>0</v>
      </c>
      <c r="AC555">
        <v>0</v>
      </c>
      <c r="AD555">
        <v>0</v>
      </c>
      <c r="AE555">
        <v>0.34257665832290363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2.9190546866080602</v>
      </c>
      <c r="AL555">
        <v>2.9190546866080602</v>
      </c>
      <c r="AM555">
        <v>2.1135190918472655</v>
      </c>
      <c r="BD555">
        <v>0</v>
      </c>
      <c r="BE555">
        <v>0</v>
      </c>
      <c r="BF555">
        <v>0</v>
      </c>
      <c r="BH555">
        <v>0.47314453125</v>
      </c>
      <c r="BI555">
        <v>0.47314453125</v>
      </c>
      <c r="BJ555">
        <v>1.3811347613882863</v>
      </c>
      <c r="BK555">
        <v>0.38113476138828628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0.65742334167709637</v>
      </c>
      <c r="BU555">
        <v>0</v>
      </c>
      <c r="BV555">
        <v>0</v>
      </c>
      <c r="BW555">
        <v>0</v>
      </c>
      <c r="BX555">
        <v>0</v>
      </c>
      <c r="BY555">
        <v>0.47314453125</v>
      </c>
      <c r="BZ555">
        <v>0</v>
      </c>
      <c r="CA555">
        <v>0</v>
      </c>
      <c r="CB555">
        <v>0</v>
      </c>
      <c r="CC555">
        <v>0</v>
      </c>
      <c r="CD555">
        <v>0</v>
      </c>
    </row>
    <row r="556" spans="1:82" hidden="1" x14ac:dyDescent="0.25">
      <c r="A556" t="s">
        <v>128</v>
      </c>
      <c r="B556" t="s">
        <v>422</v>
      </c>
      <c r="C556" s="14" t="s">
        <v>72</v>
      </c>
      <c r="D556" s="12">
        <v>46228</v>
      </c>
      <c r="E556" s="14" t="s">
        <v>134</v>
      </c>
      <c r="F556" s="14" t="s">
        <v>74</v>
      </c>
      <c r="G556">
        <v>1.2735376146788988</v>
      </c>
      <c r="H556">
        <v>0.95</v>
      </c>
      <c r="I556">
        <v>20</v>
      </c>
      <c r="J556">
        <v>0.95</v>
      </c>
      <c r="K556">
        <v>46228</v>
      </c>
      <c r="L556" t="s">
        <v>436</v>
      </c>
      <c r="M556">
        <v>1.0127450980392154</v>
      </c>
      <c r="N556">
        <v>0.74595362480873917</v>
      </c>
      <c r="O556">
        <v>0.74595362480873917</v>
      </c>
      <c r="P556">
        <v>0.79522197567329966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4.9268350864560495E-2</v>
      </c>
      <c r="AA556">
        <v>0.20477802432670034</v>
      </c>
      <c r="AB556">
        <v>0</v>
      </c>
      <c r="AC556">
        <v>0</v>
      </c>
      <c r="AD556">
        <v>0</v>
      </c>
      <c r="AE556">
        <v>0.74595362480873917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1.3405659101883145</v>
      </c>
      <c r="AL556">
        <v>1.3405659101883145</v>
      </c>
      <c r="AM556">
        <v>1.0660474716202268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6.6047471620226839E-2</v>
      </c>
      <c r="AU556">
        <v>0</v>
      </c>
      <c r="AV556">
        <v>0.27451843856808766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0.93804453049370784</v>
      </c>
      <c r="BI556">
        <v>0.93804453049370784</v>
      </c>
      <c r="BJ556">
        <v>1.2575105198184677</v>
      </c>
      <c r="BK556">
        <v>0.25751051981846773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0.25404637519126083</v>
      </c>
      <c r="BU556">
        <v>0</v>
      </c>
      <c r="BV556">
        <v>0</v>
      </c>
      <c r="BW556">
        <v>0</v>
      </c>
      <c r="BX556">
        <v>0</v>
      </c>
      <c r="BY556">
        <v>0.93804453049370784</v>
      </c>
      <c r="BZ556">
        <v>0</v>
      </c>
      <c r="CA556">
        <v>0</v>
      </c>
      <c r="CB556">
        <v>0</v>
      </c>
      <c r="CC556">
        <v>0</v>
      </c>
      <c r="CD556">
        <v>0</v>
      </c>
    </row>
    <row r="557" spans="1:82" hidden="1" x14ac:dyDescent="0.25">
      <c r="A557" t="s">
        <v>128</v>
      </c>
      <c r="B557" t="s">
        <v>421</v>
      </c>
      <c r="C557" s="14" t="s">
        <v>72</v>
      </c>
      <c r="D557" s="12">
        <v>46228</v>
      </c>
      <c r="E557" s="14" t="s">
        <v>134</v>
      </c>
      <c r="F557" s="14" t="s">
        <v>75</v>
      </c>
      <c r="G557">
        <v>2.4468546637744031</v>
      </c>
      <c r="H557">
        <v>4.75</v>
      </c>
      <c r="I557">
        <v>20</v>
      </c>
      <c r="J557">
        <v>4.75</v>
      </c>
      <c r="K557">
        <v>46228</v>
      </c>
      <c r="L557" t="s">
        <v>437</v>
      </c>
      <c r="M557">
        <v>1.7716262975778552</v>
      </c>
      <c r="N557">
        <v>1.9412677304964543</v>
      </c>
      <c r="O557">
        <v>1.9412677304964543</v>
      </c>
      <c r="P557">
        <v>0.72404230778669443</v>
      </c>
      <c r="Q557">
        <v>0</v>
      </c>
      <c r="R557">
        <v>0</v>
      </c>
      <c r="S557">
        <v>0.69126773049645429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0.25</v>
      </c>
      <c r="Z557">
        <v>0</v>
      </c>
      <c r="AA557">
        <v>0</v>
      </c>
      <c r="AB557">
        <v>0</v>
      </c>
      <c r="AC557">
        <v>0.27595769221330557</v>
      </c>
      <c r="AD557">
        <v>0</v>
      </c>
      <c r="AE557">
        <v>0.72404230778669443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0.51512729763671639</v>
      </c>
      <c r="AL557">
        <v>0.51512729763671639</v>
      </c>
      <c r="AM557">
        <v>0.37297395738481159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0.48487270236328361</v>
      </c>
      <c r="AY557">
        <v>0</v>
      </c>
      <c r="AZ557">
        <v>0.14215334025190479</v>
      </c>
      <c r="BA557">
        <v>0</v>
      </c>
      <c r="BB557">
        <v>0.37297395738481159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2.6811523437499991</v>
      </c>
      <c r="BI557">
        <v>2.6811523437499991</v>
      </c>
      <c r="BJ557">
        <v>1.3811347613882858</v>
      </c>
      <c r="CA557">
        <v>0</v>
      </c>
      <c r="CB557">
        <v>0</v>
      </c>
      <c r="CC557">
        <v>0</v>
      </c>
    </row>
    <row r="558" spans="1:82" hidden="1" x14ac:dyDescent="0.25">
      <c r="A558" t="s">
        <v>128</v>
      </c>
      <c r="B558" t="s">
        <v>291</v>
      </c>
      <c r="C558" s="14" t="s">
        <v>72</v>
      </c>
      <c r="D558" s="12">
        <v>46228</v>
      </c>
      <c r="E558" s="14" t="s">
        <v>134</v>
      </c>
      <c r="F558" s="14" t="s">
        <v>75</v>
      </c>
      <c r="G558">
        <v>3.3711289800323798</v>
      </c>
      <c r="H558">
        <v>2.8499999999999996</v>
      </c>
      <c r="I558">
        <v>20</v>
      </c>
      <c r="J558">
        <v>2.8499999999999996</v>
      </c>
      <c r="K558">
        <v>46228</v>
      </c>
      <c r="L558" t="s">
        <v>437</v>
      </c>
      <c r="M558">
        <v>4.9826989619377127</v>
      </c>
      <c r="N558">
        <v>0.84541410811657092</v>
      </c>
      <c r="O558">
        <v>0.84541410811657092</v>
      </c>
      <c r="P558">
        <v>1.4780505259368195</v>
      </c>
      <c r="Q558">
        <v>0.47805052593681951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0.15458589188342908</v>
      </c>
      <c r="AA558">
        <v>0</v>
      </c>
      <c r="AB558">
        <v>0</v>
      </c>
      <c r="AC558">
        <v>0</v>
      </c>
      <c r="AD558">
        <v>0</v>
      </c>
      <c r="AE558">
        <v>0.84541410811657092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1.182852273695572</v>
      </c>
      <c r="AL558">
        <v>1.182852273695572</v>
      </c>
      <c r="AM558">
        <v>1.7483154252413029</v>
      </c>
      <c r="AN558">
        <v>0.5654631515457309</v>
      </c>
      <c r="AO558">
        <v>0</v>
      </c>
      <c r="AP558">
        <v>0</v>
      </c>
      <c r="AQ558">
        <v>0</v>
      </c>
      <c r="AR558">
        <v>0</v>
      </c>
      <c r="AS558">
        <v>0.317147726304428</v>
      </c>
      <c r="AT558">
        <v>0.182852273695572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0.57197916666666704</v>
      </c>
      <c r="BI558">
        <v>0.57197916666666704</v>
      </c>
      <c r="BJ558">
        <v>0.67656685779816561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0.32343314220183439</v>
      </c>
      <c r="BV558">
        <v>0</v>
      </c>
      <c r="BW558">
        <v>0</v>
      </c>
      <c r="BX558">
        <v>0</v>
      </c>
      <c r="BY558">
        <v>0.57197916666666704</v>
      </c>
      <c r="BZ558">
        <v>0</v>
      </c>
      <c r="CA558">
        <v>0</v>
      </c>
      <c r="CB558">
        <v>0</v>
      </c>
      <c r="CC558">
        <v>0</v>
      </c>
      <c r="CD558">
        <v>0</v>
      </c>
    </row>
    <row r="559" spans="1:82" hidden="1" x14ac:dyDescent="0.25">
      <c r="A559" t="s">
        <v>128</v>
      </c>
      <c r="B559" t="s">
        <v>422</v>
      </c>
      <c r="C559" s="14" t="s">
        <v>72</v>
      </c>
      <c r="D559" s="12">
        <v>46228</v>
      </c>
      <c r="E559" s="14" t="s">
        <v>134</v>
      </c>
      <c r="F559" s="14" t="s">
        <v>75</v>
      </c>
      <c r="G559">
        <v>3.3711289800323798</v>
      </c>
      <c r="H559">
        <v>2.8499999999999996</v>
      </c>
      <c r="I559">
        <v>20</v>
      </c>
      <c r="J559">
        <v>2.8499999999999996</v>
      </c>
      <c r="K559">
        <v>46228</v>
      </c>
      <c r="L559" t="s">
        <v>437</v>
      </c>
      <c r="M559">
        <v>2.0635813148788924</v>
      </c>
      <c r="N559">
        <v>0.84541410811657092</v>
      </c>
      <c r="O559">
        <v>0.84541410811657092</v>
      </c>
      <c r="P559">
        <v>0.61213359889275776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0.15458589188342908</v>
      </c>
      <c r="AB559">
        <v>0</v>
      </c>
      <c r="AC559">
        <v>0.23328050922381316</v>
      </c>
      <c r="AD559">
        <v>0</v>
      </c>
      <c r="AE559">
        <v>0.61213359889275776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1.182852273695572</v>
      </c>
      <c r="AL559">
        <v>1.182852273695572</v>
      </c>
      <c r="AM559">
        <v>0.7240636192557518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0.182852273695572</v>
      </c>
      <c r="AW559">
        <v>0</v>
      </c>
      <c r="AX559">
        <v>0</v>
      </c>
      <c r="AY559">
        <v>0</v>
      </c>
      <c r="AZ559">
        <v>0.2759363807442482</v>
      </c>
      <c r="BA559">
        <v>0</v>
      </c>
      <c r="BB559">
        <v>0.7240636192557518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1.3810941102494236</v>
      </c>
      <c r="BI559">
        <v>1.3810941102494236</v>
      </c>
      <c r="BJ559">
        <v>1.6336303084960937</v>
      </c>
      <c r="BK559">
        <v>0.25253619824667006</v>
      </c>
      <c r="BL559">
        <v>0</v>
      </c>
      <c r="BM559">
        <v>0</v>
      </c>
      <c r="BN559">
        <v>0</v>
      </c>
      <c r="BO559">
        <v>0</v>
      </c>
      <c r="BP559">
        <v>0.11890588975057637</v>
      </c>
      <c r="BQ559">
        <v>0.38109411024942363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</row>
    <row r="560" spans="1:82" hidden="1" x14ac:dyDescent="0.25">
      <c r="A560" t="s">
        <v>128</v>
      </c>
      <c r="B560" t="s">
        <v>421</v>
      </c>
      <c r="C560" s="14" t="s">
        <v>72</v>
      </c>
      <c r="D560" s="12">
        <v>46229</v>
      </c>
      <c r="E560" s="14" t="s">
        <v>134</v>
      </c>
      <c r="F560" s="14" t="s">
        <v>73</v>
      </c>
      <c r="G560">
        <v>0</v>
      </c>
      <c r="H560">
        <v>0.95</v>
      </c>
      <c r="I560">
        <v>20</v>
      </c>
      <c r="J560">
        <v>0.95</v>
      </c>
      <c r="K560">
        <v>46229</v>
      </c>
      <c r="L560" t="s">
        <v>438</v>
      </c>
      <c r="M560">
        <v>0.23529411764705879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0.24767801857585137</v>
      </c>
      <c r="AI560">
        <v>0</v>
      </c>
      <c r="AJ560">
        <v>0</v>
      </c>
      <c r="AK560">
        <v>0</v>
      </c>
      <c r="AL560">
        <v>0</v>
      </c>
      <c r="AM560">
        <v>0.24767801857585137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0.75232198142414863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G560">
        <v>0</v>
      </c>
      <c r="BH560">
        <v>4.0375000000000005</v>
      </c>
      <c r="BI560">
        <v>4.0375000000000005</v>
      </c>
      <c r="BJ560">
        <v>0</v>
      </c>
      <c r="CA560">
        <v>0.75232198142414863</v>
      </c>
      <c r="CB560">
        <v>0.24767801857585137</v>
      </c>
    </row>
    <row r="561" spans="1:82" hidden="1" x14ac:dyDescent="0.25">
      <c r="A561" t="s">
        <v>128</v>
      </c>
      <c r="B561" t="s">
        <v>422</v>
      </c>
      <c r="C561" s="14" t="s">
        <v>72</v>
      </c>
      <c r="D561" s="12">
        <v>46229</v>
      </c>
      <c r="E561" s="14" t="s">
        <v>134</v>
      </c>
      <c r="F561" s="14" t="s">
        <v>73</v>
      </c>
      <c r="G561">
        <v>3.507203196674312</v>
      </c>
      <c r="H561">
        <v>0.95</v>
      </c>
      <c r="I561">
        <v>20</v>
      </c>
      <c r="J561">
        <v>0.95</v>
      </c>
      <c r="K561">
        <v>46229</v>
      </c>
      <c r="L561" t="s">
        <v>438</v>
      </c>
      <c r="M561">
        <v>1.9131433823529416</v>
      </c>
      <c r="N561">
        <v>0.2708711034766485</v>
      </c>
      <c r="O561">
        <v>0.2708711034766485</v>
      </c>
      <c r="P561">
        <v>0.54548974640735681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0.27461864293070831</v>
      </c>
      <c r="AA561">
        <v>0.45451025359264319</v>
      </c>
      <c r="AB561">
        <v>0</v>
      </c>
      <c r="AC561">
        <v>0</v>
      </c>
      <c r="AD561">
        <v>0</v>
      </c>
      <c r="AE561">
        <v>0.2708711034766485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3.6917928386045391</v>
      </c>
      <c r="AL561">
        <v>3.6917928386045391</v>
      </c>
      <c r="AM561">
        <v>2.013835139318886</v>
      </c>
      <c r="BD561">
        <v>0</v>
      </c>
      <c r="BE561">
        <v>0</v>
      </c>
      <c r="BF561">
        <v>0</v>
      </c>
      <c r="BH561">
        <v>0.49656497717991821</v>
      </c>
      <c r="BI561">
        <v>0.49656497717991821</v>
      </c>
      <c r="BJ561">
        <v>1.8332150266546485</v>
      </c>
      <c r="BK561">
        <v>0.83321502665464853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0.72912889652335156</v>
      </c>
      <c r="BU561">
        <v>0</v>
      </c>
      <c r="BV561">
        <v>0</v>
      </c>
      <c r="BW561">
        <v>0</v>
      </c>
      <c r="BX561">
        <v>0</v>
      </c>
      <c r="BY561">
        <v>0.49656497717991821</v>
      </c>
      <c r="BZ561">
        <v>0</v>
      </c>
      <c r="CA561">
        <v>0</v>
      </c>
      <c r="CB561">
        <v>0</v>
      </c>
      <c r="CC561">
        <v>0</v>
      </c>
      <c r="CD561">
        <v>0</v>
      </c>
    </row>
    <row r="562" spans="1:82" hidden="1" x14ac:dyDescent="0.25">
      <c r="A562" t="s">
        <v>128</v>
      </c>
      <c r="B562" t="s">
        <v>291</v>
      </c>
      <c r="C562" s="14" t="s">
        <v>72</v>
      </c>
      <c r="D562" s="12">
        <v>46229</v>
      </c>
      <c r="E562" s="14" t="s">
        <v>134</v>
      </c>
      <c r="F562" s="14" t="s">
        <v>73</v>
      </c>
      <c r="G562">
        <v>3.507203196674312</v>
      </c>
      <c r="H562">
        <v>1.9</v>
      </c>
      <c r="I562">
        <v>20</v>
      </c>
      <c r="J562">
        <v>1.9</v>
      </c>
      <c r="K562">
        <v>46229</v>
      </c>
      <c r="L562" t="s">
        <v>438</v>
      </c>
      <c r="M562">
        <v>4.705882352941174</v>
      </c>
      <c r="N562">
        <v>0.541742206953297</v>
      </c>
      <c r="O562">
        <v>0.541742206953297</v>
      </c>
      <c r="P562">
        <v>1.3417763639710136</v>
      </c>
      <c r="Q562">
        <v>0.34177636397101363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0.458257793046703</v>
      </c>
      <c r="AA562">
        <v>0</v>
      </c>
      <c r="AB562">
        <v>0</v>
      </c>
      <c r="AC562">
        <v>0</v>
      </c>
      <c r="AD562">
        <v>0</v>
      </c>
      <c r="AE562">
        <v>0.541742206953297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1.8458964193022696</v>
      </c>
      <c r="AL562">
        <v>1.8458964193022696</v>
      </c>
      <c r="AM562">
        <v>2.4767801857585128</v>
      </c>
      <c r="BD562">
        <v>0</v>
      </c>
      <c r="BE562">
        <v>0</v>
      </c>
      <c r="BF562">
        <v>0</v>
      </c>
      <c r="BH562">
        <v>0.40375000000000022</v>
      </c>
      <c r="BI562">
        <v>0.40375000000000022</v>
      </c>
      <c r="BJ562">
        <v>0.74528067929329167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0.25471932070670833</v>
      </c>
      <c r="BV562">
        <v>0</v>
      </c>
      <c r="BW562">
        <v>0</v>
      </c>
      <c r="BX562">
        <v>0</v>
      </c>
      <c r="BY562">
        <v>0.40375000000000022</v>
      </c>
      <c r="BZ562">
        <v>0</v>
      </c>
      <c r="CA562">
        <v>0</v>
      </c>
      <c r="CB562">
        <v>0</v>
      </c>
      <c r="CC562">
        <v>0</v>
      </c>
      <c r="CD562">
        <v>0</v>
      </c>
    </row>
    <row r="563" spans="1:82" hidden="1" x14ac:dyDescent="0.25">
      <c r="A563" t="s">
        <v>128</v>
      </c>
      <c r="B563" t="s">
        <v>421</v>
      </c>
      <c r="C563" s="14" t="s">
        <v>72</v>
      </c>
      <c r="D563" s="12">
        <v>46229</v>
      </c>
      <c r="E563" s="14" t="s">
        <v>134</v>
      </c>
      <c r="F563" s="14" t="s">
        <v>74</v>
      </c>
      <c r="G563">
        <v>2.7731019522776572</v>
      </c>
      <c r="H563">
        <v>0</v>
      </c>
      <c r="I563">
        <v>20</v>
      </c>
      <c r="J563">
        <v>0</v>
      </c>
      <c r="K563">
        <v>46229</v>
      </c>
      <c r="L563" t="s">
        <v>439</v>
      </c>
      <c r="M563">
        <v>2.0078431372549019</v>
      </c>
      <c r="N563">
        <v>0</v>
      </c>
      <c r="O563">
        <v>0</v>
      </c>
      <c r="P563">
        <v>0.72404230778669421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0.72404230778669421</v>
      </c>
      <c r="AA563">
        <v>0.27595769221330579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H563">
        <v>0</v>
      </c>
      <c r="BI563">
        <v>0</v>
      </c>
      <c r="BJ563">
        <v>1.3811347613882863</v>
      </c>
      <c r="BK563">
        <v>0.38113476138828628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1</v>
      </c>
      <c r="CD563">
        <v>1</v>
      </c>
    </row>
    <row r="564" spans="1:82" hidden="1" x14ac:dyDescent="0.25">
      <c r="A564" t="s">
        <v>128</v>
      </c>
      <c r="B564" t="s">
        <v>291</v>
      </c>
      <c r="C564" s="14" t="s">
        <v>72</v>
      </c>
      <c r="D564" s="12">
        <v>46229</v>
      </c>
      <c r="E564" s="14" t="s">
        <v>134</v>
      </c>
      <c r="F564" s="14" t="s">
        <v>74</v>
      </c>
      <c r="G564">
        <v>1.2735376146788988</v>
      </c>
      <c r="H564">
        <v>7.6</v>
      </c>
      <c r="I564">
        <v>20</v>
      </c>
      <c r="J564">
        <v>7.6</v>
      </c>
      <c r="K564">
        <v>46229</v>
      </c>
      <c r="L564" t="s">
        <v>439</v>
      </c>
      <c r="M564">
        <v>2.8235294117647056</v>
      </c>
      <c r="N564">
        <v>5.9676289984699133</v>
      </c>
      <c r="O564">
        <v>5.9676289984699133</v>
      </c>
      <c r="P564">
        <v>2.2170757889052308</v>
      </c>
      <c r="Q564">
        <v>0</v>
      </c>
      <c r="R564">
        <v>0</v>
      </c>
      <c r="S564">
        <v>3.7505532095646825</v>
      </c>
      <c r="T564">
        <v>0</v>
      </c>
      <c r="U564">
        <v>0.96707578890523083</v>
      </c>
      <c r="V564">
        <v>0</v>
      </c>
      <c r="W564">
        <v>0.25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0.16757073877353931</v>
      </c>
      <c r="AL564">
        <v>0.16757073877353931</v>
      </c>
      <c r="AM564">
        <v>0.37151702786377705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0.62848297213622295</v>
      </c>
      <c r="AY564">
        <v>0</v>
      </c>
      <c r="AZ564">
        <v>0</v>
      </c>
      <c r="BA564">
        <v>0</v>
      </c>
      <c r="BB564">
        <v>0.16757073877353931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2.6916666666666669</v>
      </c>
      <c r="BI564">
        <v>2.6916666666666669</v>
      </c>
      <c r="BJ564">
        <v>0.45104457186544339</v>
      </c>
      <c r="CA564">
        <v>0</v>
      </c>
      <c r="CB564">
        <v>0</v>
      </c>
      <c r="CC564">
        <v>0</v>
      </c>
    </row>
    <row r="565" spans="1:82" hidden="1" x14ac:dyDescent="0.25">
      <c r="A565" t="s">
        <v>128</v>
      </c>
      <c r="B565" t="s">
        <v>422</v>
      </c>
      <c r="C565" s="14" t="s">
        <v>72</v>
      </c>
      <c r="D565" s="12">
        <v>46229</v>
      </c>
      <c r="E565" s="14" t="s">
        <v>134</v>
      </c>
      <c r="F565" s="14" t="s">
        <v>74</v>
      </c>
      <c r="G565">
        <v>1.2735376146788988</v>
      </c>
      <c r="H565">
        <v>0</v>
      </c>
      <c r="I565">
        <v>20</v>
      </c>
      <c r="J565">
        <v>0</v>
      </c>
      <c r="K565">
        <v>46229</v>
      </c>
      <c r="L565" t="s">
        <v>439</v>
      </c>
      <c r="M565">
        <v>6.2745098039215685E-2</v>
      </c>
      <c r="N565">
        <v>0</v>
      </c>
      <c r="O565">
        <v>0</v>
      </c>
      <c r="P565">
        <v>4.9268350864560689E-2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4.9268350864560689E-2</v>
      </c>
      <c r="AA565">
        <v>0.95073164913543928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H565">
        <v>0</v>
      </c>
      <c r="BI565">
        <v>0</v>
      </c>
      <c r="BJ565">
        <v>20.29700573394495</v>
      </c>
      <c r="BK565">
        <v>19.29700573394495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</row>
    <row r="566" spans="1:82" hidden="1" x14ac:dyDescent="0.25">
      <c r="A566" t="s">
        <v>128</v>
      </c>
      <c r="B566" t="s">
        <v>422</v>
      </c>
      <c r="C566" s="14" t="s">
        <v>72</v>
      </c>
      <c r="D566" s="12">
        <v>46229</v>
      </c>
      <c r="E566" s="14" t="s">
        <v>134</v>
      </c>
      <c r="F566" s="14" t="s">
        <v>75</v>
      </c>
      <c r="G566">
        <v>3.3711289800323794</v>
      </c>
      <c r="H566">
        <v>5.6999999999999993</v>
      </c>
      <c r="I566">
        <v>20</v>
      </c>
      <c r="J566">
        <v>5.6999999999999993</v>
      </c>
      <c r="K566">
        <v>46229</v>
      </c>
      <c r="L566" t="s">
        <v>440</v>
      </c>
      <c r="M566">
        <v>2.0484429065743948</v>
      </c>
      <c r="N566">
        <v>1.6908282162331421</v>
      </c>
      <c r="O566">
        <v>1.6908282162331421</v>
      </c>
      <c r="P566">
        <v>0.60764299399624855</v>
      </c>
      <c r="Q566">
        <v>0</v>
      </c>
      <c r="R566">
        <v>0</v>
      </c>
      <c r="S566">
        <v>0.44082821623314206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0.25</v>
      </c>
      <c r="Z566">
        <v>0</v>
      </c>
      <c r="AA566">
        <v>0</v>
      </c>
      <c r="AB566">
        <v>0</v>
      </c>
      <c r="AC566">
        <v>0.39235700600375145</v>
      </c>
      <c r="AD566">
        <v>0</v>
      </c>
      <c r="AE566">
        <v>0.60764299399624855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0.59142613684778589</v>
      </c>
      <c r="AL566">
        <v>0.59142613684778589</v>
      </c>
      <c r="AM566">
        <v>0.3593759485218237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0.40857386315221411</v>
      </c>
      <c r="AY566">
        <v>0</v>
      </c>
      <c r="AZ566">
        <v>0.23205018832596219</v>
      </c>
      <c r="BA566">
        <v>0</v>
      </c>
      <c r="BB566">
        <v>0.3593759485218237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2.7826013513513508</v>
      </c>
      <c r="BI566">
        <v>2.7826013513513508</v>
      </c>
      <c r="BJ566">
        <v>1.6457031676171578</v>
      </c>
      <c r="CA566">
        <v>0</v>
      </c>
      <c r="CB566">
        <v>0</v>
      </c>
      <c r="CC566">
        <v>0</v>
      </c>
    </row>
    <row r="567" spans="1:82" hidden="1" x14ac:dyDescent="0.25">
      <c r="A567" t="s">
        <v>128</v>
      </c>
      <c r="B567" t="s">
        <v>291</v>
      </c>
      <c r="C567" s="14" t="s">
        <v>72</v>
      </c>
      <c r="D567" s="12">
        <v>46229</v>
      </c>
      <c r="E567" s="14" t="s">
        <v>134</v>
      </c>
      <c r="F567" s="14" t="s">
        <v>75</v>
      </c>
      <c r="G567">
        <v>3.3711289800323794</v>
      </c>
      <c r="H567">
        <v>0.95</v>
      </c>
      <c r="I567">
        <v>20</v>
      </c>
      <c r="J567">
        <v>0.95</v>
      </c>
      <c r="K567">
        <v>46229</v>
      </c>
      <c r="L567" t="s">
        <v>440</v>
      </c>
      <c r="M567">
        <v>4.9273356401384047</v>
      </c>
      <c r="N567">
        <v>0.28180470270552366</v>
      </c>
      <c r="O567">
        <v>0.28180470270552366</v>
      </c>
      <c r="P567">
        <v>1.4616277423152995</v>
      </c>
      <c r="Q567">
        <v>0.46162774231529946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0.71819529729447629</v>
      </c>
      <c r="AA567">
        <v>0</v>
      </c>
      <c r="AB567">
        <v>0</v>
      </c>
      <c r="AC567">
        <v>0</v>
      </c>
      <c r="AD567">
        <v>0</v>
      </c>
      <c r="AE567">
        <v>0.28180470270552366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3.5485568210867151</v>
      </c>
      <c r="AL567">
        <v>3.5485568210867151</v>
      </c>
      <c r="AM567">
        <v>5.1866690948825314</v>
      </c>
      <c r="BD567">
        <v>0</v>
      </c>
      <c r="BE567">
        <v>0</v>
      </c>
      <c r="BF567">
        <v>0</v>
      </c>
      <c r="BH567">
        <v>0.19280196629213497</v>
      </c>
      <c r="BI567">
        <v>0.19280196629213497</v>
      </c>
      <c r="BJ567">
        <v>0.68416873260488653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0.31583126739511347</v>
      </c>
      <c r="BV567">
        <v>0</v>
      </c>
      <c r="BW567">
        <v>0</v>
      </c>
      <c r="BX567">
        <v>0</v>
      </c>
      <c r="BY567">
        <v>0.19280196629213497</v>
      </c>
      <c r="BZ567">
        <v>0</v>
      </c>
      <c r="CA567">
        <v>0</v>
      </c>
      <c r="CB567">
        <v>0</v>
      </c>
      <c r="CC567">
        <v>0</v>
      </c>
      <c r="CD567">
        <v>0</v>
      </c>
    </row>
    <row r="568" spans="1:82" hidden="1" x14ac:dyDescent="0.25">
      <c r="A568" t="s">
        <v>128</v>
      </c>
      <c r="B568" t="s">
        <v>421</v>
      </c>
      <c r="C568" s="14" t="s">
        <v>72</v>
      </c>
      <c r="D568" s="12">
        <v>46229</v>
      </c>
      <c r="E568" s="14" t="s">
        <v>134</v>
      </c>
      <c r="F568" s="14" t="s">
        <v>75</v>
      </c>
      <c r="G568">
        <v>2.4468546637744031</v>
      </c>
      <c r="H568">
        <v>6.6499999999999995</v>
      </c>
      <c r="I568">
        <v>20</v>
      </c>
      <c r="J568">
        <v>6.6499999999999995</v>
      </c>
      <c r="K568">
        <v>46229</v>
      </c>
      <c r="L568" t="s">
        <v>440</v>
      </c>
      <c r="M568">
        <v>1.7716262975778552</v>
      </c>
      <c r="N568">
        <v>2.7177748226950356</v>
      </c>
      <c r="O568">
        <v>2.7177748226950356</v>
      </c>
      <c r="P568">
        <v>0.72404230778669443</v>
      </c>
      <c r="Q568">
        <v>0</v>
      </c>
      <c r="R568">
        <v>0</v>
      </c>
      <c r="S568">
        <v>1.4677748226950356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0.25</v>
      </c>
      <c r="Z568">
        <v>0</v>
      </c>
      <c r="AA568">
        <v>0</v>
      </c>
      <c r="AB568">
        <v>0</v>
      </c>
      <c r="AC568">
        <v>0.27595769221330557</v>
      </c>
      <c r="AD568">
        <v>0</v>
      </c>
      <c r="AE568">
        <v>0.72404230778669443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0.36794806974051175</v>
      </c>
      <c r="AL568">
        <v>0.36794806974051175</v>
      </c>
      <c r="AM568">
        <v>0.26640996956057977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0.63205193025948825</v>
      </c>
      <c r="AY568">
        <v>0</v>
      </c>
      <c r="AZ568">
        <v>0.10153810017993198</v>
      </c>
      <c r="BA568">
        <v>0</v>
      </c>
      <c r="BB568">
        <v>0.26640996956057977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3.7536132812499985</v>
      </c>
      <c r="BI568">
        <v>3.7536132812499985</v>
      </c>
      <c r="BJ568">
        <v>1.3811347613882858</v>
      </c>
      <c r="CA568">
        <v>0</v>
      </c>
      <c r="CB568">
        <v>0</v>
      </c>
      <c r="CC568">
        <v>0</v>
      </c>
    </row>
    <row r="569" spans="1:82" hidden="1" x14ac:dyDescent="0.25">
      <c r="A569" t="s">
        <v>128</v>
      </c>
      <c r="B569" t="s">
        <v>422</v>
      </c>
      <c r="C569" s="14" t="s">
        <v>72</v>
      </c>
      <c r="D569" s="12">
        <v>46230</v>
      </c>
      <c r="E569" s="14" t="s">
        <v>134</v>
      </c>
      <c r="F569" s="14" t="s">
        <v>73</v>
      </c>
      <c r="G569">
        <v>3.5072031966743116</v>
      </c>
      <c r="H569">
        <v>0</v>
      </c>
      <c r="I569">
        <v>20</v>
      </c>
      <c r="J569">
        <v>0</v>
      </c>
      <c r="K569">
        <v>46230</v>
      </c>
      <c r="L569" t="s">
        <v>441</v>
      </c>
      <c r="M569">
        <v>0.1176470588235294</v>
      </c>
      <c r="N569">
        <v>0</v>
      </c>
      <c r="O569">
        <v>0</v>
      </c>
      <c r="P569">
        <v>3.3544409099275356E-2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3.3544409099275356E-2</v>
      </c>
      <c r="AA569">
        <v>0.96645559090072464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H569">
        <v>0</v>
      </c>
      <c r="BI569">
        <v>0</v>
      </c>
      <c r="BJ569">
        <v>29.811227171731652</v>
      </c>
      <c r="BK569">
        <v>28.811227171731652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</row>
    <row r="570" spans="1:82" hidden="1" x14ac:dyDescent="0.25">
      <c r="A570" t="s">
        <v>128</v>
      </c>
      <c r="B570" t="s">
        <v>291</v>
      </c>
      <c r="C570" s="14" t="s">
        <v>72</v>
      </c>
      <c r="D570" s="12">
        <v>46230</v>
      </c>
      <c r="E570" s="14" t="s">
        <v>134</v>
      </c>
      <c r="F570" s="14" t="s">
        <v>73</v>
      </c>
      <c r="G570">
        <v>3.5072031966743116</v>
      </c>
      <c r="H570">
        <v>0.95</v>
      </c>
      <c r="I570">
        <v>20</v>
      </c>
      <c r="J570">
        <v>0.95</v>
      </c>
      <c r="K570">
        <v>46230</v>
      </c>
      <c r="L570" t="s">
        <v>441</v>
      </c>
      <c r="M570">
        <v>3.7647058823529393</v>
      </c>
      <c r="N570">
        <v>0.27087110347664856</v>
      </c>
      <c r="O570">
        <v>0.27087110347664856</v>
      </c>
      <c r="P570">
        <v>1.0734210911768109</v>
      </c>
      <c r="Q570">
        <v>7.3421091176810949E-2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0.72912889652335144</v>
      </c>
      <c r="AA570">
        <v>0</v>
      </c>
      <c r="AB570">
        <v>0</v>
      </c>
      <c r="AC570">
        <v>0</v>
      </c>
      <c r="AD570">
        <v>0</v>
      </c>
      <c r="AE570">
        <v>0.27087110347664856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3.6917928386045387</v>
      </c>
      <c r="AL570">
        <v>3.6917928386045387</v>
      </c>
      <c r="AM570">
        <v>3.9628482972136205</v>
      </c>
      <c r="BD570">
        <v>0</v>
      </c>
      <c r="BE570">
        <v>0</v>
      </c>
      <c r="BF570">
        <v>0</v>
      </c>
      <c r="BH570">
        <v>0.25234375000000009</v>
      </c>
      <c r="BI570">
        <v>0.25234375000000009</v>
      </c>
      <c r="BJ570">
        <v>0.93160084911661445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6.8399150883385551E-2</v>
      </c>
      <c r="BV570">
        <v>0</v>
      </c>
      <c r="BW570">
        <v>0</v>
      </c>
      <c r="BX570">
        <v>0</v>
      </c>
      <c r="BY570">
        <v>0.25234375000000009</v>
      </c>
      <c r="BZ570">
        <v>0</v>
      </c>
      <c r="CA570">
        <v>0</v>
      </c>
      <c r="CB570">
        <v>0</v>
      </c>
      <c r="CC570">
        <v>0</v>
      </c>
      <c r="CD570">
        <v>0</v>
      </c>
    </row>
    <row r="571" spans="1:82" hidden="1" x14ac:dyDescent="0.25">
      <c r="A571" t="s">
        <v>128</v>
      </c>
      <c r="B571" t="s">
        <v>421</v>
      </c>
      <c r="C571" s="14" t="s">
        <v>72</v>
      </c>
      <c r="D571" s="12">
        <v>46230</v>
      </c>
      <c r="E571" s="14" t="s">
        <v>134</v>
      </c>
      <c r="F571" s="14" t="s">
        <v>73</v>
      </c>
      <c r="G571">
        <v>2.5233188720173527</v>
      </c>
      <c r="H571">
        <v>0</v>
      </c>
      <c r="I571">
        <v>20</v>
      </c>
      <c r="J571">
        <v>0</v>
      </c>
      <c r="K571">
        <v>46230</v>
      </c>
      <c r="L571" t="s">
        <v>441</v>
      </c>
      <c r="M571">
        <v>0.23529411764705879</v>
      </c>
      <c r="N571">
        <v>0</v>
      </c>
      <c r="O571">
        <v>0</v>
      </c>
      <c r="P571">
        <v>9.3247872972528817E-2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9.3247872972528817E-2</v>
      </c>
      <c r="AA571">
        <v>0.90675212702747121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H571">
        <v>0</v>
      </c>
      <c r="BI571">
        <v>0</v>
      </c>
      <c r="BJ571">
        <v>10.72410520607375</v>
      </c>
      <c r="BK571">
        <v>9.7241052060737498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</row>
    <row r="572" spans="1:82" hidden="1" x14ac:dyDescent="0.25">
      <c r="A572" t="s">
        <v>128</v>
      </c>
      <c r="B572" t="s">
        <v>291</v>
      </c>
      <c r="C572" s="14" t="s">
        <v>72</v>
      </c>
      <c r="D572" s="12">
        <v>46230</v>
      </c>
      <c r="E572" s="14" t="s">
        <v>134</v>
      </c>
      <c r="F572" s="14" t="s">
        <v>74</v>
      </c>
      <c r="G572">
        <v>1.2735376146788988</v>
      </c>
      <c r="H572">
        <v>2.8499999999999996</v>
      </c>
      <c r="I572">
        <v>20</v>
      </c>
      <c r="J572">
        <v>2.8499999999999996</v>
      </c>
      <c r="K572">
        <v>46230</v>
      </c>
      <c r="L572" t="s">
        <v>442</v>
      </c>
      <c r="M572">
        <v>2.8235294117647056</v>
      </c>
      <c r="N572">
        <v>2.2378608744262176</v>
      </c>
      <c r="O572">
        <v>2.2378608744262176</v>
      </c>
      <c r="P572">
        <v>2.2170757889052308</v>
      </c>
      <c r="Q572">
        <v>0</v>
      </c>
      <c r="R572">
        <v>0</v>
      </c>
      <c r="S572">
        <v>2.078508552098679E-2</v>
      </c>
      <c r="T572">
        <v>0</v>
      </c>
      <c r="U572">
        <v>0.96707578890523083</v>
      </c>
      <c r="V572">
        <v>0</v>
      </c>
      <c r="W572">
        <v>0.25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0.44685530339610491</v>
      </c>
      <c r="AL572">
        <v>0.44685530339610491</v>
      </c>
      <c r="AM572">
        <v>0.99071207430340558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9.2879256965944235E-3</v>
      </c>
      <c r="AY572">
        <v>0</v>
      </c>
      <c r="AZ572">
        <v>0</v>
      </c>
      <c r="BA572">
        <v>0</v>
      </c>
      <c r="BB572">
        <v>0.44685530339610491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1.0093749999999999</v>
      </c>
      <c r="BI572">
        <v>1.0093749999999999</v>
      </c>
      <c r="BJ572">
        <v>0.45104457186544339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9.3749999999999112E-3</v>
      </c>
      <c r="BT572">
        <v>0</v>
      </c>
      <c r="BU572">
        <v>0</v>
      </c>
      <c r="BV572">
        <v>0</v>
      </c>
      <c r="BW572">
        <v>0.54895542813455656</v>
      </c>
      <c r="BX572">
        <v>0</v>
      </c>
      <c r="BY572">
        <v>0.45104457186544339</v>
      </c>
      <c r="BZ572">
        <v>0</v>
      </c>
      <c r="CA572">
        <v>0</v>
      </c>
      <c r="CB572">
        <v>0</v>
      </c>
      <c r="CC572">
        <v>0</v>
      </c>
      <c r="CD572">
        <v>0</v>
      </c>
    </row>
    <row r="573" spans="1:82" hidden="1" x14ac:dyDescent="0.25">
      <c r="A573" t="s">
        <v>128</v>
      </c>
      <c r="B573" t="s">
        <v>422</v>
      </c>
      <c r="C573" s="14" t="s">
        <v>72</v>
      </c>
      <c r="D573" s="12">
        <v>46230</v>
      </c>
      <c r="E573" s="14" t="s">
        <v>134</v>
      </c>
      <c r="F573" s="14" t="s">
        <v>74</v>
      </c>
      <c r="G573">
        <v>1.2735376146788988</v>
      </c>
      <c r="H573">
        <v>0</v>
      </c>
      <c r="I573">
        <v>20</v>
      </c>
      <c r="J573">
        <v>0</v>
      </c>
      <c r="K573">
        <v>46230</v>
      </c>
      <c r="L573" t="s">
        <v>442</v>
      </c>
      <c r="M573">
        <v>6.2745098039215685E-2</v>
      </c>
      <c r="N573">
        <v>0</v>
      </c>
      <c r="O573">
        <v>0</v>
      </c>
      <c r="P573">
        <v>4.9268350864560689E-2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4.9268350864560689E-2</v>
      </c>
      <c r="AA573">
        <v>0.95073164913543928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H573">
        <v>0</v>
      </c>
      <c r="BI573">
        <v>0</v>
      </c>
      <c r="BJ573">
        <v>20.29700573394495</v>
      </c>
      <c r="BK573">
        <v>19.29700573394495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</row>
    <row r="574" spans="1:82" hidden="1" x14ac:dyDescent="0.25">
      <c r="A574" t="s">
        <v>128</v>
      </c>
      <c r="B574" t="s">
        <v>421</v>
      </c>
      <c r="C574" s="14" t="s">
        <v>72</v>
      </c>
      <c r="D574" s="12">
        <v>46230</v>
      </c>
      <c r="E574" s="14" t="s">
        <v>134</v>
      </c>
      <c r="F574" s="14" t="s">
        <v>74</v>
      </c>
      <c r="G574">
        <v>2.7731019522776572</v>
      </c>
      <c r="H574">
        <v>0</v>
      </c>
      <c r="I574">
        <v>20</v>
      </c>
      <c r="J574">
        <v>0</v>
      </c>
      <c r="K574">
        <v>46230</v>
      </c>
      <c r="L574" t="s">
        <v>442</v>
      </c>
      <c r="M574">
        <v>2.0078431372549019</v>
      </c>
      <c r="N574">
        <v>0</v>
      </c>
      <c r="O574">
        <v>0</v>
      </c>
      <c r="P574">
        <v>0.72404230778669421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0.72404230778669421</v>
      </c>
      <c r="AA574">
        <v>0.27595769221330579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</v>
      </c>
      <c r="BH574">
        <v>0</v>
      </c>
      <c r="BI574">
        <v>0</v>
      </c>
      <c r="BJ574">
        <v>1.3811347613882863</v>
      </c>
      <c r="BK574">
        <v>0.38113476138828628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1</v>
      </c>
      <c r="CD574">
        <v>1</v>
      </c>
    </row>
    <row r="575" spans="1:82" hidden="1" x14ac:dyDescent="0.25">
      <c r="A575" t="s">
        <v>128</v>
      </c>
      <c r="B575" t="s">
        <v>291</v>
      </c>
      <c r="C575" s="14" t="s">
        <v>72</v>
      </c>
      <c r="D575" s="12">
        <v>46230</v>
      </c>
      <c r="E575" s="14" t="s">
        <v>134</v>
      </c>
      <c r="F575" s="14" t="s">
        <v>75</v>
      </c>
      <c r="G575">
        <v>3.3711289800323794</v>
      </c>
      <c r="H575">
        <v>2.8499999999999996</v>
      </c>
      <c r="I575">
        <v>20</v>
      </c>
      <c r="J575">
        <v>2.8499999999999996</v>
      </c>
      <c r="K575">
        <v>46230</v>
      </c>
      <c r="L575" t="s">
        <v>443</v>
      </c>
      <c r="M575">
        <v>5.7577854671280253</v>
      </c>
      <c r="N575">
        <v>0.84541410811657103</v>
      </c>
      <c r="O575">
        <v>0.84541410811657103</v>
      </c>
      <c r="P575">
        <v>1.7079694966381032</v>
      </c>
      <c r="Q575">
        <v>0.70796949663810316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0.15458589188342897</v>
      </c>
      <c r="AA575">
        <v>0</v>
      </c>
      <c r="AB575">
        <v>0</v>
      </c>
      <c r="AC575">
        <v>0</v>
      </c>
      <c r="AD575">
        <v>0</v>
      </c>
      <c r="AE575">
        <v>0.84541410811657103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1.1828522736955718</v>
      </c>
      <c r="AL575">
        <v>1.1828522736955718</v>
      </c>
      <c r="AM575">
        <v>2.0202756025010618</v>
      </c>
      <c r="AN575">
        <v>0.83742332880548997</v>
      </c>
      <c r="AO575">
        <v>0</v>
      </c>
      <c r="AP575">
        <v>0</v>
      </c>
      <c r="AQ575">
        <v>0</v>
      </c>
      <c r="AR575">
        <v>0</v>
      </c>
      <c r="AS575">
        <v>0.31714772630442822</v>
      </c>
      <c r="AT575">
        <v>0.18285227369557178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0.49498197115384629</v>
      </c>
      <c r="BI575">
        <v>0.49498197115384629</v>
      </c>
      <c r="BJ575">
        <v>0.58549055001764305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0.41450944998235695</v>
      </c>
      <c r="BV575">
        <v>0</v>
      </c>
      <c r="BW575">
        <v>0</v>
      </c>
      <c r="BX575">
        <v>0</v>
      </c>
      <c r="BY575">
        <v>0.49498197115384629</v>
      </c>
      <c r="BZ575">
        <v>0</v>
      </c>
      <c r="CA575">
        <v>0</v>
      </c>
      <c r="CB575">
        <v>0</v>
      </c>
      <c r="CC575">
        <v>0</v>
      </c>
      <c r="CD575">
        <v>0</v>
      </c>
    </row>
    <row r="576" spans="1:82" hidden="1" x14ac:dyDescent="0.25">
      <c r="A576" t="s">
        <v>128</v>
      </c>
      <c r="B576" t="s">
        <v>421</v>
      </c>
      <c r="C576" s="14" t="s">
        <v>72</v>
      </c>
      <c r="D576" s="12">
        <v>46230</v>
      </c>
      <c r="E576" s="14" t="s">
        <v>134</v>
      </c>
      <c r="F576" s="14" t="s">
        <v>75</v>
      </c>
      <c r="G576">
        <v>2.5188209774148271</v>
      </c>
      <c r="H576">
        <v>9.5</v>
      </c>
      <c r="I576">
        <v>20</v>
      </c>
      <c r="J576">
        <v>9.5</v>
      </c>
      <c r="K576">
        <v>46230</v>
      </c>
      <c r="L576" t="s">
        <v>443</v>
      </c>
      <c r="M576">
        <v>1.7716262975778552</v>
      </c>
      <c r="N576">
        <v>3.7716058763931102</v>
      </c>
      <c r="O576">
        <v>3.7716058763931102</v>
      </c>
      <c r="P576">
        <v>0.70335538470707448</v>
      </c>
      <c r="Q576">
        <v>0</v>
      </c>
      <c r="R576">
        <v>0</v>
      </c>
      <c r="S576">
        <v>2.5216058763931102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0.25</v>
      </c>
      <c r="Z576">
        <v>0</v>
      </c>
      <c r="AA576">
        <v>0</v>
      </c>
      <c r="AB576">
        <v>0</v>
      </c>
      <c r="AC576">
        <v>0.29664461529292552</v>
      </c>
      <c r="AD576">
        <v>0</v>
      </c>
      <c r="AE576">
        <v>0.70335538470707448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0.26513905025419232</v>
      </c>
      <c r="AL576">
        <v>0.26513905025419232</v>
      </c>
      <c r="AM576">
        <v>0.1864869786924058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0.73486094974580762</v>
      </c>
      <c r="AY576">
        <v>0</v>
      </c>
      <c r="AZ576">
        <v>7.8652071561786524E-2</v>
      </c>
      <c r="BA576">
        <v>0</v>
      </c>
      <c r="BB576">
        <v>0.1864869786924058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5.3623046874999982</v>
      </c>
      <c r="BI576">
        <v>5.3623046874999982</v>
      </c>
      <c r="BJ576">
        <v>1.4217563720173532</v>
      </c>
      <c r="CA576">
        <v>0</v>
      </c>
      <c r="CB576">
        <v>0</v>
      </c>
      <c r="CC576">
        <v>0</v>
      </c>
    </row>
    <row r="577" spans="1:82" hidden="1" x14ac:dyDescent="0.25">
      <c r="A577" t="s">
        <v>128</v>
      </c>
      <c r="B577" t="s">
        <v>422</v>
      </c>
      <c r="C577" s="14" t="s">
        <v>72</v>
      </c>
      <c r="D577" s="12">
        <v>46230</v>
      </c>
      <c r="E577" s="14" t="s">
        <v>134</v>
      </c>
      <c r="F577" s="14" t="s">
        <v>75</v>
      </c>
      <c r="G577">
        <v>3.3711289800323794</v>
      </c>
      <c r="H577">
        <v>7.6</v>
      </c>
      <c r="I577">
        <v>20</v>
      </c>
      <c r="J577">
        <v>7.6</v>
      </c>
      <c r="K577">
        <v>46230</v>
      </c>
      <c r="L577" t="s">
        <v>443</v>
      </c>
      <c r="M577">
        <v>1.7162629757785473</v>
      </c>
      <c r="N577">
        <v>2.2544376216441893</v>
      </c>
      <c r="O577">
        <v>2.2544376216441893</v>
      </c>
      <c r="P577">
        <v>0.50910629226712734</v>
      </c>
      <c r="Q577">
        <v>0</v>
      </c>
      <c r="R577">
        <v>0</v>
      </c>
      <c r="S577">
        <v>1.0044376216441893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0.25</v>
      </c>
      <c r="Z577">
        <v>0</v>
      </c>
      <c r="AA577">
        <v>0</v>
      </c>
      <c r="AB577">
        <v>0</v>
      </c>
      <c r="AC577">
        <v>0.49089370773287266</v>
      </c>
      <c r="AD577">
        <v>0</v>
      </c>
      <c r="AE577">
        <v>0.50910629226712734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0.44356960263583939</v>
      </c>
      <c r="AL577">
        <v>0.44356960263583939</v>
      </c>
      <c r="AM577">
        <v>0.22582407576033517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0.55643039736416067</v>
      </c>
      <c r="AY577">
        <v>0</v>
      </c>
      <c r="AZ577">
        <v>0.21774552687550422</v>
      </c>
      <c r="BA577">
        <v>0</v>
      </c>
      <c r="BB577">
        <v>0.22582407576033517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4.4282258064516116</v>
      </c>
      <c r="BI577">
        <v>4.4282258064516116</v>
      </c>
      <c r="BJ577">
        <v>1.9642263613495108</v>
      </c>
      <c r="CA577">
        <v>0</v>
      </c>
      <c r="CB577">
        <v>0</v>
      </c>
      <c r="CC577">
        <v>0</v>
      </c>
    </row>
    <row r="578" spans="1:82" hidden="1" x14ac:dyDescent="0.25">
      <c r="A578" t="s">
        <v>128</v>
      </c>
      <c r="B578" t="s">
        <v>291</v>
      </c>
      <c r="C578" s="14" t="s">
        <v>72</v>
      </c>
      <c r="D578" s="12">
        <v>46231</v>
      </c>
      <c r="E578" s="14" t="s">
        <v>134</v>
      </c>
      <c r="F578" s="14" t="s">
        <v>73</v>
      </c>
      <c r="G578">
        <v>7.014406393348624</v>
      </c>
      <c r="H578">
        <v>3.8</v>
      </c>
      <c r="I578">
        <v>20</v>
      </c>
      <c r="J578">
        <v>3.8</v>
      </c>
      <c r="K578">
        <v>46231</v>
      </c>
      <c r="L578" t="s">
        <v>444</v>
      </c>
      <c r="M578">
        <v>6.5882352941176423</v>
      </c>
      <c r="N578">
        <v>0.541742206953297</v>
      </c>
      <c r="O578">
        <v>0.541742206953297</v>
      </c>
      <c r="P578">
        <v>0.93924345477970927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0.39750124782641227</v>
      </c>
      <c r="AA578">
        <v>6.0756545220290725E-2</v>
      </c>
      <c r="AB578">
        <v>0</v>
      </c>
      <c r="AC578">
        <v>0</v>
      </c>
      <c r="AD578">
        <v>0</v>
      </c>
      <c r="AE578">
        <v>0.541742206953297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1.8458964193022696</v>
      </c>
      <c r="AL578">
        <v>1.8458964193022696</v>
      </c>
      <c r="AM578">
        <v>1.7337461300309587</v>
      </c>
      <c r="BD578">
        <v>0</v>
      </c>
      <c r="BE578">
        <v>0</v>
      </c>
      <c r="BF578">
        <v>0</v>
      </c>
      <c r="BH578">
        <v>0.57678571428571468</v>
      </c>
      <c r="BI578">
        <v>0.57678571428571468</v>
      </c>
      <c r="BJ578">
        <v>1.0646866847047027</v>
      </c>
      <c r="BK578">
        <v>6.4686684704702735E-2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0.458257793046703</v>
      </c>
      <c r="BU578">
        <v>0</v>
      </c>
      <c r="BV578">
        <v>0</v>
      </c>
      <c r="BW578">
        <v>0</v>
      </c>
      <c r="BX578">
        <v>0</v>
      </c>
      <c r="BY578">
        <v>0.57678571428571468</v>
      </c>
      <c r="BZ578">
        <v>0</v>
      </c>
      <c r="CA578">
        <v>0</v>
      </c>
      <c r="CB578">
        <v>0</v>
      </c>
      <c r="CC578">
        <v>0</v>
      </c>
      <c r="CD578">
        <v>0</v>
      </c>
    </row>
    <row r="579" spans="1:82" hidden="1" x14ac:dyDescent="0.25">
      <c r="A579" t="s">
        <v>128</v>
      </c>
      <c r="B579" t="s">
        <v>422</v>
      </c>
      <c r="C579" s="14" t="s">
        <v>72</v>
      </c>
      <c r="D579" s="12">
        <v>46231</v>
      </c>
      <c r="E579" s="14" t="s">
        <v>134</v>
      </c>
      <c r="F579" s="14" t="s">
        <v>73</v>
      </c>
      <c r="G579">
        <v>7.014406393348624</v>
      </c>
      <c r="H579">
        <v>0.95</v>
      </c>
      <c r="I579">
        <v>20</v>
      </c>
      <c r="J579">
        <v>0.95</v>
      </c>
      <c r="K579">
        <v>46231</v>
      </c>
      <c r="L579" t="s">
        <v>444</v>
      </c>
      <c r="M579">
        <v>2.6176470588235294</v>
      </c>
      <c r="N579">
        <v>0.13543555173832425</v>
      </c>
      <c r="O579">
        <v>0.13543555173832425</v>
      </c>
      <c r="P579">
        <v>0.37318155122943836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0.23774599949111411</v>
      </c>
      <c r="AA579">
        <v>0.6268184487705617</v>
      </c>
      <c r="AB579">
        <v>0</v>
      </c>
      <c r="AC579">
        <v>0</v>
      </c>
      <c r="AD579">
        <v>0</v>
      </c>
      <c r="AE579">
        <v>0.13543555173832425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7.3835856772090782</v>
      </c>
      <c r="AL579">
        <v>7.3835856772090782</v>
      </c>
      <c r="AM579">
        <v>2.755417956656347</v>
      </c>
      <c r="BD579">
        <v>0</v>
      </c>
      <c r="BE579">
        <v>0</v>
      </c>
      <c r="BF579">
        <v>0</v>
      </c>
      <c r="BH579">
        <v>0.36292134831460671</v>
      </c>
      <c r="BI579">
        <v>0.36292134831460671</v>
      </c>
      <c r="BJ579">
        <v>2.6796608693691373</v>
      </c>
      <c r="BK579">
        <v>1.6796608693691373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0.86456444826167578</v>
      </c>
      <c r="BU579">
        <v>0</v>
      </c>
      <c r="BV579">
        <v>0</v>
      </c>
      <c r="BW579">
        <v>0</v>
      </c>
      <c r="BX579">
        <v>0</v>
      </c>
      <c r="BY579">
        <v>0.36292134831460671</v>
      </c>
      <c r="BZ579">
        <v>0</v>
      </c>
      <c r="CA579">
        <v>0</v>
      </c>
      <c r="CB579">
        <v>0</v>
      </c>
      <c r="CC579">
        <v>0</v>
      </c>
      <c r="CD579">
        <v>0</v>
      </c>
    </row>
    <row r="580" spans="1:82" hidden="1" x14ac:dyDescent="0.25">
      <c r="A580" t="s">
        <v>128</v>
      </c>
      <c r="B580" t="s">
        <v>421</v>
      </c>
      <c r="C580" s="14" t="s">
        <v>72</v>
      </c>
      <c r="D580" s="12">
        <v>46231</v>
      </c>
      <c r="E580" s="14" t="s">
        <v>134</v>
      </c>
      <c r="F580" s="14" t="s">
        <v>73</v>
      </c>
      <c r="G580">
        <v>3.8232104121475055</v>
      </c>
      <c r="H580">
        <v>0.95</v>
      </c>
      <c r="I580">
        <v>20</v>
      </c>
      <c r="J580">
        <v>0.95</v>
      </c>
      <c r="K580">
        <v>46231</v>
      </c>
      <c r="L580" t="s">
        <v>444</v>
      </c>
      <c r="M580">
        <v>0.23529411764705879</v>
      </c>
      <c r="N580">
        <v>0.2484822695035461</v>
      </c>
      <c r="O580">
        <v>0.2484822695035461</v>
      </c>
      <c r="P580">
        <v>6.1543596161868996E-2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0.75151773049645387</v>
      </c>
      <c r="AB580">
        <v>0</v>
      </c>
      <c r="AC580">
        <v>0.1869386733416771</v>
      </c>
      <c r="AD580">
        <v>0</v>
      </c>
      <c r="AE580">
        <v>6.1543596161868996E-2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4.024432012786848</v>
      </c>
      <c r="AL580">
        <v>4.024432012786848</v>
      </c>
      <c r="AM580">
        <v>0.24767801857585137</v>
      </c>
      <c r="BD580">
        <v>0</v>
      </c>
      <c r="BE580">
        <v>0</v>
      </c>
      <c r="BF580">
        <v>0</v>
      </c>
      <c r="BH580">
        <v>4.0375000000000005</v>
      </c>
      <c r="BI580">
        <v>4.0375000000000005</v>
      </c>
      <c r="BJ580">
        <v>16.248644251626899</v>
      </c>
      <c r="CA580">
        <v>0</v>
      </c>
      <c r="CB580">
        <v>0</v>
      </c>
      <c r="CC580">
        <v>0</v>
      </c>
    </row>
    <row r="581" spans="1:82" hidden="1" x14ac:dyDescent="0.25">
      <c r="A581" t="s">
        <v>128</v>
      </c>
      <c r="B581" t="s">
        <v>422</v>
      </c>
      <c r="C581" s="14" t="s">
        <v>72</v>
      </c>
      <c r="D581" s="12">
        <v>46231</v>
      </c>
      <c r="E581" s="14" t="s">
        <v>134</v>
      </c>
      <c r="F581" s="14" t="s">
        <v>74</v>
      </c>
      <c r="G581">
        <v>1.2735376146788988</v>
      </c>
      <c r="H581">
        <v>1.9</v>
      </c>
      <c r="I581">
        <v>20</v>
      </c>
      <c r="J581">
        <v>1.9</v>
      </c>
      <c r="K581">
        <v>46231</v>
      </c>
      <c r="L581" t="s">
        <v>445</v>
      </c>
      <c r="M581">
        <v>6.2745098039215685E-2</v>
      </c>
      <c r="N581">
        <v>1.4919072496174783</v>
      </c>
      <c r="O581">
        <v>1.4919072496174783</v>
      </c>
      <c r="P581">
        <v>4.9268350864560689E-2</v>
      </c>
      <c r="Q581">
        <v>0</v>
      </c>
      <c r="R581">
        <v>0</v>
      </c>
      <c r="S581">
        <v>0.24190724961747834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0.25</v>
      </c>
      <c r="Z581">
        <v>0</v>
      </c>
      <c r="AA581">
        <v>0</v>
      </c>
      <c r="AB581">
        <v>0</v>
      </c>
      <c r="AC581">
        <v>0.95073164913543928</v>
      </c>
      <c r="AD581">
        <v>0</v>
      </c>
      <c r="AE581">
        <v>4.9268350864560689E-2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0.67028295509415725</v>
      </c>
      <c r="AL581">
        <v>0.67028295509415725</v>
      </c>
      <c r="AM581">
        <v>3.3023735810113523E-2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0.32971704490584275</v>
      </c>
      <c r="AY581">
        <v>0</v>
      </c>
      <c r="AZ581">
        <v>0.63725921928404372</v>
      </c>
      <c r="BA581">
        <v>0</v>
      </c>
      <c r="BB581">
        <v>3.3023735810113523E-2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30.28125</v>
      </c>
      <c r="BI581">
        <v>30.28125</v>
      </c>
      <c r="BJ581">
        <v>20.29700573394495</v>
      </c>
      <c r="CA581">
        <v>0</v>
      </c>
      <c r="CB581">
        <v>0</v>
      </c>
      <c r="CC581">
        <v>0</v>
      </c>
    </row>
    <row r="582" spans="1:82" hidden="1" x14ac:dyDescent="0.25">
      <c r="A582" t="s">
        <v>128</v>
      </c>
      <c r="B582" t="s">
        <v>421</v>
      </c>
      <c r="C582" s="14" t="s">
        <v>72</v>
      </c>
      <c r="D582" s="12">
        <v>46231</v>
      </c>
      <c r="E582" s="14" t="s">
        <v>134</v>
      </c>
      <c r="F582" s="14" t="s">
        <v>74</v>
      </c>
      <c r="G582">
        <v>2.7731019522776572</v>
      </c>
      <c r="H582">
        <v>1.9</v>
      </c>
      <c r="I582">
        <v>20</v>
      </c>
      <c r="J582">
        <v>1.9</v>
      </c>
      <c r="K582">
        <v>46231</v>
      </c>
      <c r="L582" t="s">
        <v>445</v>
      </c>
      <c r="M582">
        <v>2.0078431372549019</v>
      </c>
      <c r="N582">
        <v>0.68515331664580725</v>
      </c>
      <c r="O582">
        <v>0.68515331664580725</v>
      </c>
      <c r="P582">
        <v>0.72404230778669421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3.8888991140886953E-2</v>
      </c>
      <c r="AA582">
        <v>0.27595769221330579</v>
      </c>
      <c r="AB582">
        <v>0</v>
      </c>
      <c r="AC582">
        <v>0</v>
      </c>
      <c r="AD582">
        <v>0</v>
      </c>
      <c r="AE582">
        <v>0.68515331664580725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1.4595273433040301</v>
      </c>
      <c r="AL582">
        <v>1.4595273433040301</v>
      </c>
      <c r="AM582">
        <v>1.0567595459236327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5.6759545923632748E-2</v>
      </c>
      <c r="AU582">
        <v>0</v>
      </c>
      <c r="AV582">
        <v>0.40276779738039736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0.9462890625</v>
      </c>
      <c r="BI582">
        <v>0.9462890625</v>
      </c>
      <c r="BJ582">
        <v>1.3811347613882863</v>
      </c>
      <c r="BK582">
        <v>0.38113476138828628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0.31484668335419275</v>
      </c>
      <c r="BU582">
        <v>0</v>
      </c>
      <c r="BV582">
        <v>0</v>
      </c>
      <c r="BW582">
        <v>0</v>
      </c>
      <c r="BX582">
        <v>0</v>
      </c>
      <c r="BY582">
        <v>0.9462890625</v>
      </c>
      <c r="BZ582">
        <v>0</v>
      </c>
      <c r="CA582">
        <v>0</v>
      </c>
      <c r="CB582">
        <v>0</v>
      </c>
      <c r="CC582">
        <v>0</v>
      </c>
      <c r="CD582">
        <v>0</v>
      </c>
    </row>
    <row r="583" spans="1:82" hidden="1" x14ac:dyDescent="0.25">
      <c r="A583" t="s">
        <v>128</v>
      </c>
      <c r="B583" t="s">
        <v>291</v>
      </c>
      <c r="C583" s="14" t="s">
        <v>72</v>
      </c>
      <c r="D583" s="12">
        <v>46231</v>
      </c>
      <c r="E583" s="14" t="s">
        <v>134</v>
      </c>
      <c r="F583" s="14" t="s">
        <v>74</v>
      </c>
      <c r="G583">
        <v>1.2735376146788988</v>
      </c>
      <c r="H583">
        <v>8.5499999999999989</v>
      </c>
      <c r="I583">
        <v>20</v>
      </c>
      <c r="J583">
        <v>8.5499999999999989</v>
      </c>
      <c r="K583">
        <v>46231</v>
      </c>
      <c r="L583" t="s">
        <v>445</v>
      </c>
      <c r="M583">
        <v>2.8235294117647056</v>
      </c>
      <c r="N583">
        <v>6.7135826232786524</v>
      </c>
      <c r="O583">
        <v>6.7135826232786524</v>
      </c>
      <c r="P583">
        <v>2.2170757889052308</v>
      </c>
      <c r="Q583">
        <v>0</v>
      </c>
      <c r="R583">
        <v>0</v>
      </c>
      <c r="S583">
        <v>4.496506834373422</v>
      </c>
      <c r="T583">
        <v>0</v>
      </c>
      <c r="U583">
        <v>0.96707578890523083</v>
      </c>
      <c r="V583">
        <v>0</v>
      </c>
      <c r="W583">
        <v>0.25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0.14895176779870165</v>
      </c>
      <c r="AL583">
        <v>0.14895176779870165</v>
      </c>
      <c r="AM583">
        <v>0.33023735810113519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0.66976264189886481</v>
      </c>
      <c r="AY583">
        <v>0</v>
      </c>
      <c r="AZ583">
        <v>0</v>
      </c>
      <c r="BA583">
        <v>0</v>
      </c>
      <c r="BB583">
        <v>0.14895176779870165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3.0281249999999997</v>
      </c>
      <c r="BI583">
        <v>3.0281249999999997</v>
      </c>
      <c r="BJ583">
        <v>0.45104457186544339</v>
      </c>
      <c r="CA583">
        <v>0</v>
      </c>
      <c r="CB583">
        <v>0</v>
      </c>
      <c r="CC583">
        <v>0</v>
      </c>
    </row>
    <row r="584" spans="1:82" hidden="1" x14ac:dyDescent="0.25">
      <c r="A584" t="s">
        <v>128</v>
      </c>
      <c r="B584" t="s">
        <v>291</v>
      </c>
      <c r="C584" s="14" t="s">
        <v>72</v>
      </c>
      <c r="D584" s="12">
        <v>46231</v>
      </c>
      <c r="E584" s="14" t="s">
        <v>134</v>
      </c>
      <c r="F584" s="14" t="s">
        <v>75</v>
      </c>
      <c r="G584">
        <v>3.3711289800323794</v>
      </c>
      <c r="H584">
        <v>2.8499999999999996</v>
      </c>
      <c r="I584">
        <v>20</v>
      </c>
      <c r="J584">
        <v>2.8499999999999996</v>
      </c>
      <c r="K584">
        <v>46231</v>
      </c>
      <c r="L584" t="s">
        <v>446</v>
      </c>
      <c r="M584">
        <v>5.9238754325259482</v>
      </c>
      <c r="N584">
        <v>0.84541410811657103</v>
      </c>
      <c r="O584">
        <v>0.84541410811657103</v>
      </c>
      <c r="P584">
        <v>1.7572378475026635</v>
      </c>
      <c r="Q584">
        <v>0.75723784750266354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0.15458589188342897</v>
      </c>
      <c r="AA584">
        <v>0</v>
      </c>
      <c r="AB584">
        <v>0</v>
      </c>
      <c r="AC584">
        <v>0</v>
      </c>
      <c r="AD584">
        <v>0</v>
      </c>
      <c r="AE584">
        <v>0.84541410811657103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1.1828522736955718</v>
      </c>
      <c r="AL584">
        <v>1.1828522736955718</v>
      </c>
      <c r="AM584">
        <v>2.0785527833424382</v>
      </c>
      <c r="AN584">
        <v>0.89570050964686643</v>
      </c>
      <c r="AO584">
        <v>0</v>
      </c>
      <c r="AP584">
        <v>0</v>
      </c>
      <c r="AQ584">
        <v>0</v>
      </c>
      <c r="AR584">
        <v>0</v>
      </c>
      <c r="AS584">
        <v>0.31714772630442822</v>
      </c>
      <c r="AT584">
        <v>0.18285227369557178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0.48110397196261706</v>
      </c>
      <c r="BI584">
        <v>0.48110397196261706</v>
      </c>
      <c r="BJ584">
        <v>0.56907492711995222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0.43092507288004778</v>
      </c>
      <c r="BV584">
        <v>0</v>
      </c>
      <c r="BW584">
        <v>0</v>
      </c>
      <c r="BX584">
        <v>0</v>
      </c>
      <c r="BY584">
        <v>0.48110397196261706</v>
      </c>
      <c r="BZ584">
        <v>0</v>
      </c>
      <c r="CA584">
        <v>0</v>
      </c>
      <c r="CB584">
        <v>0</v>
      </c>
      <c r="CC584">
        <v>0</v>
      </c>
      <c r="CD584">
        <v>0</v>
      </c>
    </row>
    <row r="585" spans="1:82" hidden="1" x14ac:dyDescent="0.25">
      <c r="A585" t="s">
        <v>128</v>
      </c>
      <c r="B585" t="s">
        <v>421</v>
      </c>
      <c r="C585" s="14" t="s">
        <v>72</v>
      </c>
      <c r="D585" s="12">
        <v>46231</v>
      </c>
      <c r="E585" s="14" t="s">
        <v>134</v>
      </c>
      <c r="F585" s="14" t="s">
        <v>75</v>
      </c>
      <c r="G585">
        <v>2.4468546637744031</v>
      </c>
      <c r="H585">
        <v>9.5</v>
      </c>
      <c r="I585">
        <v>20</v>
      </c>
      <c r="J585">
        <v>9.5</v>
      </c>
      <c r="K585">
        <v>46231</v>
      </c>
      <c r="L585" t="s">
        <v>446</v>
      </c>
      <c r="M585">
        <v>1.7716262975778552</v>
      </c>
      <c r="N585">
        <v>3.8825354609929086</v>
      </c>
      <c r="O585">
        <v>3.8825354609929086</v>
      </c>
      <c r="P585">
        <v>0.72404230778669443</v>
      </c>
      <c r="Q585">
        <v>0</v>
      </c>
      <c r="R585">
        <v>0</v>
      </c>
      <c r="S585">
        <v>2.6325354609929086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0.25</v>
      </c>
      <c r="Z585">
        <v>0</v>
      </c>
      <c r="AA585">
        <v>0</v>
      </c>
      <c r="AB585">
        <v>0</v>
      </c>
      <c r="AC585">
        <v>0.27595769221330557</v>
      </c>
      <c r="AD585">
        <v>0</v>
      </c>
      <c r="AE585">
        <v>0.72404230778669443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0.25756364881835819</v>
      </c>
      <c r="AL585">
        <v>0.25756364881835819</v>
      </c>
      <c r="AM585">
        <v>0.1864869786924058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0.74243635118164186</v>
      </c>
      <c r="AY585">
        <v>0</v>
      </c>
      <c r="AZ585">
        <v>7.1076670125952396E-2</v>
      </c>
      <c r="BA585">
        <v>0</v>
      </c>
      <c r="BB585">
        <v>0.1864869786924058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5.3623046874999982</v>
      </c>
      <c r="BI585">
        <v>5.3623046874999982</v>
      </c>
      <c r="BJ585">
        <v>1.3811347613882858</v>
      </c>
      <c r="CA585">
        <v>0</v>
      </c>
      <c r="CB585">
        <v>0</v>
      </c>
      <c r="CC585">
        <v>0</v>
      </c>
    </row>
    <row r="586" spans="1:82" hidden="1" x14ac:dyDescent="0.25">
      <c r="A586" t="s">
        <v>128</v>
      </c>
      <c r="B586" t="s">
        <v>422</v>
      </c>
      <c r="C586" s="14" t="s">
        <v>72</v>
      </c>
      <c r="D586" s="12">
        <v>46231</v>
      </c>
      <c r="E586" s="14" t="s">
        <v>134</v>
      </c>
      <c r="F586" s="14" t="s">
        <v>75</v>
      </c>
      <c r="G586">
        <v>3.3711289800323794</v>
      </c>
      <c r="H586">
        <v>6.6499999999999995</v>
      </c>
      <c r="I586">
        <v>20</v>
      </c>
      <c r="J586">
        <v>6.6499999999999995</v>
      </c>
      <c r="K586">
        <v>46231</v>
      </c>
      <c r="L586" t="s">
        <v>446</v>
      </c>
      <c r="M586">
        <v>1.7162629757785468</v>
      </c>
      <c r="N586">
        <v>1.9726329189386658</v>
      </c>
      <c r="O586">
        <v>1.9726329189386658</v>
      </c>
      <c r="P586">
        <v>0.50910629226712711</v>
      </c>
      <c r="Q586">
        <v>0</v>
      </c>
      <c r="R586">
        <v>0</v>
      </c>
      <c r="S586">
        <v>0.72263291893866577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0.25</v>
      </c>
      <c r="Z586">
        <v>0</v>
      </c>
      <c r="AA586">
        <v>0</v>
      </c>
      <c r="AB586">
        <v>0</v>
      </c>
      <c r="AC586">
        <v>0.49089370773287289</v>
      </c>
      <c r="AD586">
        <v>0</v>
      </c>
      <c r="AE586">
        <v>0.50910629226712711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0.50693668872667363</v>
      </c>
      <c r="AL586">
        <v>0.50693668872667363</v>
      </c>
      <c r="AM586">
        <v>0.25808465801181157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0.49306331127332637</v>
      </c>
      <c r="AY586">
        <v>0</v>
      </c>
      <c r="AZ586">
        <v>0.24885203071486206</v>
      </c>
      <c r="BA586">
        <v>0</v>
      </c>
      <c r="BB586">
        <v>0.25808465801181157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3.8746975806451607</v>
      </c>
      <c r="BI586">
        <v>3.8746975806451607</v>
      </c>
      <c r="BJ586">
        <v>1.9642263613495112</v>
      </c>
      <c r="CA586">
        <v>0</v>
      </c>
      <c r="CB586">
        <v>0</v>
      </c>
      <c r="CC586">
        <v>0</v>
      </c>
    </row>
    <row r="587" spans="1:82" hidden="1" x14ac:dyDescent="0.25">
      <c r="A587" t="s">
        <v>128</v>
      </c>
      <c r="B587" t="s">
        <v>421</v>
      </c>
      <c r="C587" s="14" t="s">
        <v>72</v>
      </c>
      <c r="D587" s="12">
        <v>46232</v>
      </c>
      <c r="E587" s="14" t="s">
        <v>134</v>
      </c>
      <c r="F587" s="14" t="s">
        <v>73</v>
      </c>
      <c r="G587">
        <v>3.8996746203904542</v>
      </c>
      <c r="H587">
        <v>5.6999999999999993</v>
      </c>
      <c r="I587">
        <v>20</v>
      </c>
      <c r="J587">
        <v>5.6999999999999993</v>
      </c>
      <c r="K587">
        <v>46232</v>
      </c>
      <c r="L587" t="s">
        <v>447</v>
      </c>
      <c r="M587">
        <v>0.23529411764705879</v>
      </c>
      <c r="N587">
        <v>1.4616604088443892</v>
      </c>
      <c r="O587">
        <v>1.4616604088443892</v>
      </c>
      <c r="P587">
        <v>6.0336858982224524E-2</v>
      </c>
      <c r="Q587">
        <v>0</v>
      </c>
      <c r="R587">
        <v>0</v>
      </c>
      <c r="S587">
        <v>0.21166040884438919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0.25</v>
      </c>
      <c r="Z587">
        <v>0</v>
      </c>
      <c r="AA587">
        <v>0</v>
      </c>
      <c r="AB587">
        <v>0</v>
      </c>
      <c r="AC587">
        <v>0.93966314101777548</v>
      </c>
      <c r="AD587">
        <v>0</v>
      </c>
      <c r="AE587">
        <v>6.0336858982224524E-2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0.68415344217376395</v>
      </c>
      <c r="AL587">
        <v>0.68415344217376395</v>
      </c>
      <c r="AM587">
        <v>4.1279669762641899E-2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0.31584655782623605</v>
      </c>
      <c r="AY587">
        <v>0</v>
      </c>
      <c r="AZ587">
        <v>0.64287377241112209</v>
      </c>
      <c r="BA587">
        <v>0</v>
      </c>
      <c r="BB587">
        <v>4.1279669762641899E-2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24.225000000000001</v>
      </c>
      <c r="BI587">
        <v>24.225000000000001</v>
      </c>
      <c r="BJ587">
        <v>16.573617136659433</v>
      </c>
      <c r="CA587">
        <v>0</v>
      </c>
      <c r="CB587">
        <v>0</v>
      </c>
      <c r="CC587">
        <v>0</v>
      </c>
    </row>
    <row r="588" spans="1:82" hidden="1" x14ac:dyDescent="0.25">
      <c r="A588" t="s">
        <v>128</v>
      </c>
      <c r="B588" t="s">
        <v>422</v>
      </c>
      <c r="C588" s="14" t="s">
        <v>72</v>
      </c>
      <c r="D588" s="12">
        <v>46232</v>
      </c>
      <c r="E588" s="14" t="s">
        <v>134</v>
      </c>
      <c r="F588" s="14" t="s">
        <v>73</v>
      </c>
      <c r="G588">
        <v>5.8204648795871572</v>
      </c>
      <c r="H588">
        <v>4.75</v>
      </c>
      <c r="I588">
        <v>20</v>
      </c>
      <c r="J588">
        <v>4.75</v>
      </c>
      <c r="K588">
        <v>46232</v>
      </c>
      <c r="L588" t="s">
        <v>447</v>
      </c>
      <c r="M588">
        <v>1.7647058823529416</v>
      </c>
      <c r="N588">
        <v>0.81608601688477422</v>
      </c>
      <c r="O588">
        <v>0.81608601688477422</v>
      </c>
      <c r="P588">
        <v>0.30318985147421956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0.18391398311522578</v>
      </c>
      <c r="AB588">
        <v>0</v>
      </c>
      <c r="AC588">
        <v>0.51289616541055461</v>
      </c>
      <c r="AD588">
        <v>0</v>
      </c>
      <c r="AE588">
        <v>0.30318985147421956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1.2253610272815068</v>
      </c>
      <c r="AL588">
        <v>1.2253610272815068</v>
      </c>
      <c r="AM588">
        <v>0.37151702786377716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0.22536102728150675</v>
      </c>
      <c r="AW588">
        <v>0</v>
      </c>
      <c r="AX588">
        <v>0</v>
      </c>
      <c r="AY588">
        <v>0</v>
      </c>
      <c r="AZ588">
        <v>0.62848297213622284</v>
      </c>
      <c r="BA588">
        <v>0</v>
      </c>
      <c r="BB588">
        <v>0.37151702786377716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2.691666666666666</v>
      </c>
      <c r="BI588">
        <v>2.691666666666666</v>
      </c>
      <c r="BJ588">
        <v>3.2982634317660549</v>
      </c>
      <c r="CA588">
        <v>0</v>
      </c>
      <c r="CB588">
        <v>0</v>
      </c>
      <c r="CC588">
        <v>0</v>
      </c>
    </row>
    <row r="589" spans="1:82" hidden="1" x14ac:dyDescent="0.25">
      <c r="A589" t="s">
        <v>128</v>
      </c>
      <c r="B589" t="s">
        <v>291</v>
      </c>
      <c r="C589" s="14" t="s">
        <v>72</v>
      </c>
      <c r="D589" s="12">
        <v>46232</v>
      </c>
      <c r="E589" s="14" t="s">
        <v>134</v>
      </c>
      <c r="F589" s="14" t="s">
        <v>73</v>
      </c>
      <c r="G589">
        <v>5.8204648795871572</v>
      </c>
      <c r="H589">
        <v>2.8499999999999996</v>
      </c>
      <c r="I589">
        <v>20</v>
      </c>
      <c r="J589">
        <v>2.8499999999999996</v>
      </c>
      <c r="K589">
        <v>46232</v>
      </c>
      <c r="L589" t="s">
        <v>447</v>
      </c>
      <c r="M589">
        <v>5.6470588235294095</v>
      </c>
      <c r="N589">
        <v>0.48965161013086445</v>
      </c>
      <c r="O589">
        <v>0.48965161013086445</v>
      </c>
      <c r="P589">
        <v>0.97020752471750205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0.4805559145866376</v>
      </c>
      <c r="AA589">
        <v>2.9792475282497954E-2</v>
      </c>
      <c r="AB589">
        <v>0</v>
      </c>
      <c r="AC589">
        <v>0</v>
      </c>
      <c r="AD589">
        <v>0</v>
      </c>
      <c r="AE589">
        <v>0.48965161013086445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2.0422683788025116</v>
      </c>
      <c r="AL589">
        <v>2.0422683788025116</v>
      </c>
      <c r="AM589">
        <v>1.9814241486068105</v>
      </c>
      <c r="BD589">
        <v>0</v>
      </c>
      <c r="BE589">
        <v>0</v>
      </c>
      <c r="BF589">
        <v>0</v>
      </c>
      <c r="BH589">
        <v>0.50468750000000018</v>
      </c>
      <c r="BI589">
        <v>0.50468750000000018</v>
      </c>
      <c r="BJ589">
        <v>1.0307073224268928</v>
      </c>
      <c r="BK589">
        <v>3.070732242689278E-2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0.51034838986913555</v>
      </c>
      <c r="BU589">
        <v>0</v>
      </c>
      <c r="BV589">
        <v>0</v>
      </c>
      <c r="BW589">
        <v>0</v>
      </c>
      <c r="BX589">
        <v>0</v>
      </c>
      <c r="BY589">
        <v>0.50468750000000018</v>
      </c>
      <c r="BZ589">
        <v>0</v>
      </c>
      <c r="CA589">
        <v>0</v>
      </c>
      <c r="CB589">
        <v>0</v>
      </c>
      <c r="CC589">
        <v>0</v>
      </c>
      <c r="CD589">
        <v>0</v>
      </c>
    </row>
    <row r="590" spans="1:82" hidden="1" x14ac:dyDescent="0.25">
      <c r="A590" t="s">
        <v>128</v>
      </c>
      <c r="B590" t="s">
        <v>421</v>
      </c>
      <c r="C590" s="14" t="s">
        <v>72</v>
      </c>
      <c r="D590" s="12">
        <v>46232</v>
      </c>
      <c r="E590" s="14" t="s">
        <v>134</v>
      </c>
      <c r="F590" s="14" t="s">
        <v>74</v>
      </c>
      <c r="G590">
        <v>2.7731019522776572</v>
      </c>
      <c r="H590">
        <v>0</v>
      </c>
      <c r="I590">
        <v>20</v>
      </c>
      <c r="J590">
        <v>0</v>
      </c>
      <c r="K590">
        <v>46232</v>
      </c>
      <c r="L590" t="s">
        <v>448</v>
      </c>
      <c r="M590">
        <v>2.0078431372549019</v>
      </c>
      <c r="N590">
        <v>0</v>
      </c>
      <c r="O590">
        <v>0</v>
      </c>
      <c r="P590">
        <v>0.72404230778669421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0.72404230778669421</v>
      </c>
      <c r="AA590">
        <v>0.27595769221330579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</v>
      </c>
      <c r="BH590">
        <v>0</v>
      </c>
      <c r="BI590">
        <v>0</v>
      </c>
      <c r="BJ590">
        <v>1.3811347613882863</v>
      </c>
      <c r="BK590">
        <v>0.38113476138828628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1</v>
      </c>
      <c r="CD590">
        <v>1</v>
      </c>
    </row>
    <row r="591" spans="1:82" hidden="1" x14ac:dyDescent="0.25">
      <c r="A591" t="s">
        <v>128</v>
      </c>
      <c r="B591" t="s">
        <v>291</v>
      </c>
      <c r="C591" s="14" t="s">
        <v>72</v>
      </c>
      <c r="D591" s="12">
        <v>46232</v>
      </c>
      <c r="E591" s="14" t="s">
        <v>134</v>
      </c>
      <c r="F591" s="14" t="s">
        <v>74</v>
      </c>
      <c r="G591">
        <v>1.2735376146788988</v>
      </c>
      <c r="H591">
        <v>9.5</v>
      </c>
      <c r="I591">
        <v>20</v>
      </c>
      <c r="J591">
        <v>9.5</v>
      </c>
      <c r="K591">
        <v>46232</v>
      </c>
      <c r="L591" t="s">
        <v>448</v>
      </c>
      <c r="M591">
        <v>1.8823529411764703</v>
      </c>
      <c r="N591">
        <v>7.4595362480873924</v>
      </c>
      <c r="O591">
        <v>7.4595362480873924</v>
      </c>
      <c r="P591">
        <v>1.4780505259368206</v>
      </c>
      <c r="Q591">
        <v>0</v>
      </c>
      <c r="R591">
        <v>0</v>
      </c>
      <c r="S591">
        <v>5.9814857221505715</v>
      </c>
      <c r="T591">
        <v>0</v>
      </c>
      <c r="U591">
        <v>0.22805052593682063</v>
      </c>
      <c r="V591">
        <v>0</v>
      </c>
      <c r="W591">
        <v>0.25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0.13405659101883147</v>
      </c>
      <c r="AL591">
        <v>0.13405659101883147</v>
      </c>
      <c r="AM591">
        <v>0.1981424148606811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0.80185758513931893</v>
      </c>
      <c r="AY591">
        <v>0</v>
      </c>
      <c r="AZ591">
        <v>0</v>
      </c>
      <c r="BA591">
        <v>0</v>
      </c>
      <c r="BB591">
        <v>0.13405659101883147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5.0468750000000009</v>
      </c>
      <c r="BI591">
        <v>5.0468750000000009</v>
      </c>
      <c r="BJ591">
        <v>0.67656685779816506</v>
      </c>
      <c r="CA591">
        <v>0</v>
      </c>
      <c r="CB591">
        <v>0</v>
      </c>
      <c r="CC591">
        <v>0</v>
      </c>
    </row>
    <row r="592" spans="1:82" hidden="1" x14ac:dyDescent="0.25">
      <c r="A592" t="s">
        <v>128</v>
      </c>
      <c r="B592" t="s">
        <v>422</v>
      </c>
      <c r="C592" s="14" t="s">
        <v>72</v>
      </c>
      <c r="D592" s="12">
        <v>46232</v>
      </c>
      <c r="E592" s="14" t="s">
        <v>134</v>
      </c>
      <c r="F592" s="14" t="s">
        <v>74</v>
      </c>
      <c r="G592">
        <v>1.2735376146788988</v>
      </c>
      <c r="H592">
        <v>0</v>
      </c>
      <c r="I592">
        <v>20</v>
      </c>
      <c r="J592">
        <v>0</v>
      </c>
      <c r="K592">
        <v>46232</v>
      </c>
      <c r="L592" t="s">
        <v>448</v>
      </c>
      <c r="M592">
        <v>6.2745098039215685E-2</v>
      </c>
      <c r="N592">
        <v>0</v>
      </c>
      <c r="O592">
        <v>0</v>
      </c>
      <c r="P592">
        <v>4.9268350864560689E-2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4.9268350864560689E-2</v>
      </c>
      <c r="AA592">
        <v>0.95073164913543928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H592">
        <v>0</v>
      </c>
      <c r="BI592">
        <v>0</v>
      </c>
      <c r="BJ592">
        <v>20.29700573394495</v>
      </c>
      <c r="BK592">
        <v>19.29700573394495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</row>
    <row r="593" spans="1:82" hidden="1" x14ac:dyDescent="0.25">
      <c r="A593" t="s">
        <v>128</v>
      </c>
      <c r="B593" t="s">
        <v>421</v>
      </c>
      <c r="C593" s="14" t="s">
        <v>72</v>
      </c>
      <c r="D593" s="12">
        <v>46232</v>
      </c>
      <c r="E593" s="14" t="s">
        <v>134</v>
      </c>
      <c r="F593" s="14" t="s">
        <v>75</v>
      </c>
      <c r="G593">
        <v>2.4468546637744031</v>
      </c>
      <c r="H593">
        <v>1.9</v>
      </c>
      <c r="I593">
        <v>20</v>
      </c>
      <c r="J593">
        <v>1.9</v>
      </c>
      <c r="K593">
        <v>46232</v>
      </c>
      <c r="L593" t="s">
        <v>449</v>
      </c>
      <c r="M593">
        <v>1.7716262975778552</v>
      </c>
      <c r="N593">
        <v>0.77650709219858161</v>
      </c>
      <c r="O593">
        <v>0.77650709219858161</v>
      </c>
      <c r="P593">
        <v>0.72404230778669443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0.22349290780141839</v>
      </c>
      <c r="AB593">
        <v>0</v>
      </c>
      <c r="AC593">
        <v>5.2464784411887178E-2</v>
      </c>
      <c r="AD593">
        <v>0</v>
      </c>
      <c r="AE593">
        <v>0.72404230778669443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1.2878182440917911</v>
      </c>
      <c r="AL593">
        <v>1.2878182440917911</v>
      </c>
      <c r="AM593">
        <v>0.93243489346202912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0.28781824409179113</v>
      </c>
      <c r="AW593">
        <v>0</v>
      </c>
      <c r="AX593">
        <v>0</v>
      </c>
      <c r="AY593">
        <v>0</v>
      </c>
      <c r="AZ593">
        <v>6.7565106537970876E-2</v>
      </c>
      <c r="BA593">
        <v>0</v>
      </c>
      <c r="BB593">
        <v>0.93243489346202912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1.0724609374999996</v>
      </c>
      <c r="BI593">
        <v>1.0724609374999996</v>
      </c>
      <c r="BJ593">
        <v>1.3811347613882858</v>
      </c>
      <c r="BK593">
        <v>0.30867382388828624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7.24609374999996E-2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</row>
    <row r="594" spans="1:82" hidden="1" x14ac:dyDescent="0.25">
      <c r="A594" t="s">
        <v>128</v>
      </c>
      <c r="B594" t="s">
        <v>422</v>
      </c>
      <c r="C594" s="14" t="s">
        <v>72</v>
      </c>
      <c r="D594" s="12">
        <v>46232</v>
      </c>
      <c r="E594" s="14" t="s">
        <v>134</v>
      </c>
      <c r="F594" s="14" t="s">
        <v>75</v>
      </c>
      <c r="G594">
        <v>2.2474193200215864</v>
      </c>
      <c r="H594">
        <v>1.9</v>
      </c>
      <c r="I594">
        <v>20</v>
      </c>
      <c r="J594">
        <v>1.9</v>
      </c>
      <c r="K594">
        <v>46232</v>
      </c>
      <c r="L594" t="s">
        <v>449</v>
      </c>
      <c r="M594">
        <v>2.0484429065743943</v>
      </c>
      <c r="N594">
        <v>0.84541410811657103</v>
      </c>
      <c r="O594">
        <v>0.84541410811657103</v>
      </c>
      <c r="P594">
        <v>0.91146449099437266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6.6050382877801628E-2</v>
      </c>
      <c r="AA594">
        <v>8.8535509005627344E-2</v>
      </c>
      <c r="AB594">
        <v>0</v>
      </c>
      <c r="AC594">
        <v>0</v>
      </c>
      <c r="AD594">
        <v>0</v>
      </c>
      <c r="AE594">
        <v>0.84541410811657103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1.1828522736955718</v>
      </c>
      <c r="AL594">
        <v>1.1828522736955718</v>
      </c>
      <c r="AM594">
        <v>1.0781278455654708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7.812784556547081E-2</v>
      </c>
      <c r="AU594">
        <v>0</v>
      </c>
      <c r="AV594">
        <v>0.10472442813010097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0.92753378378378382</v>
      </c>
      <c r="BI594">
        <v>0.92753378378378382</v>
      </c>
      <c r="BJ594">
        <v>1.0971354450781057</v>
      </c>
      <c r="BK594">
        <v>9.7135445078105676E-2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0.15458589188342897</v>
      </c>
      <c r="BU594">
        <v>0</v>
      </c>
      <c r="BV594">
        <v>0</v>
      </c>
      <c r="BW594">
        <v>0</v>
      </c>
      <c r="BX594">
        <v>0</v>
      </c>
      <c r="BY594">
        <v>0.92753378378378382</v>
      </c>
      <c r="BZ594">
        <v>0</v>
      </c>
      <c r="CA594">
        <v>0</v>
      </c>
      <c r="CB594">
        <v>0</v>
      </c>
      <c r="CC594">
        <v>0</v>
      </c>
      <c r="CD594">
        <v>0</v>
      </c>
    </row>
    <row r="595" spans="1:82" hidden="1" x14ac:dyDescent="0.25">
      <c r="A595" t="s">
        <v>128</v>
      </c>
      <c r="B595" t="s">
        <v>291</v>
      </c>
      <c r="C595" s="14" t="s">
        <v>72</v>
      </c>
      <c r="D595" s="12">
        <v>46232</v>
      </c>
      <c r="E595" s="14" t="s">
        <v>134</v>
      </c>
      <c r="F595" s="14" t="s">
        <v>75</v>
      </c>
      <c r="G595">
        <v>2.2474193200215864</v>
      </c>
      <c r="H595">
        <v>0.95</v>
      </c>
      <c r="I595">
        <v>20</v>
      </c>
      <c r="J595">
        <v>0.95</v>
      </c>
      <c r="K595">
        <v>46232</v>
      </c>
      <c r="L595" t="s">
        <v>449</v>
      </c>
      <c r="M595">
        <v>4.0415224913494781</v>
      </c>
      <c r="N595">
        <v>0.42270705405828551</v>
      </c>
      <c r="O595">
        <v>0.42270705405828551</v>
      </c>
      <c r="P595">
        <v>1.7982948065564637</v>
      </c>
      <c r="Q595">
        <v>0.79829480655646368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0.57729294594171443</v>
      </c>
      <c r="AA595">
        <v>0</v>
      </c>
      <c r="AB595">
        <v>0</v>
      </c>
      <c r="AC595">
        <v>0</v>
      </c>
      <c r="AD595">
        <v>0</v>
      </c>
      <c r="AE595">
        <v>0.42270705405828551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2.3657045473911436</v>
      </c>
      <c r="AL595">
        <v>2.3657045473911436</v>
      </c>
      <c r="AM595">
        <v>4.2542342014205037</v>
      </c>
      <c r="BD595">
        <v>0</v>
      </c>
      <c r="BE595">
        <v>0</v>
      </c>
      <c r="BF595">
        <v>0</v>
      </c>
      <c r="BH595">
        <v>0.23505993150684948</v>
      </c>
      <c r="BI595">
        <v>0.23505993150684948</v>
      </c>
      <c r="BJ595">
        <v>0.55608234887520458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0.44391765112479542</v>
      </c>
      <c r="BV595">
        <v>0</v>
      </c>
      <c r="BW595">
        <v>0</v>
      </c>
      <c r="BX595">
        <v>0</v>
      </c>
      <c r="BY595">
        <v>0.23505993150684948</v>
      </c>
      <c r="BZ595">
        <v>0</v>
      </c>
      <c r="CA595">
        <v>0</v>
      </c>
      <c r="CB595">
        <v>0</v>
      </c>
      <c r="CC595">
        <v>0</v>
      </c>
      <c r="CD595">
        <v>0</v>
      </c>
    </row>
    <row r="596" spans="1:82" hidden="1" x14ac:dyDescent="0.25">
      <c r="A596" t="s">
        <v>128</v>
      </c>
      <c r="B596" t="s">
        <v>422</v>
      </c>
      <c r="C596" s="14" t="s">
        <v>72</v>
      </c>
      <c r="D596" s="12">
        <v>46233</v>
      </c>
      <c r="E596" s="14" t="s">
        <v>134</v>
      </c>
      <c r="F596" s="14" t="s">
        <v>73</v>
      </c>
      <c r="G596">
        <v>5.7458435349770651</v>
      </c>
      <c r="H596">
        <v>2.8499999999999996</v>
      </c>
      <c r="I596">
        <v>20</v>
      </c>
      <c r="J596">
        <v>2.8499999999999996</v>
      </c>
      <c r="K596">
        <v>46233</v>
      </c>
      <c r="L596" t="s">
        <v>450</v>
      </c>
      <c r="M596">
        <v>1.6470588235294119</v>
      </c>
      <c r="N596">
        <v>0.49601072195074586</v>
      </c>
      <c r="O596">
        <v>0.49601072195074586</v>
      </c>
      <c r="P596">
        <v>0.28665222321198941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0.50398927804925409</v>
      </c>
      <c r="AB596">
        <v>0</v>
      </c>
      <c r="AC596">
        <v>0.20935849873875645</v>
      </c>
      <c r="AD596">
        <v>0</v>
      </c>
      <c r="AE596">
        <v>0.28665222321198941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2.0160854508691459</v>
      </c>
      <c r="AL596">
        <v>2.0160854508691459</v>
      </c>
      <c r="AM596">
        <v>0.57791537667698667</v>
      </c>
      <c r="BD596">
        <v>0</v>
      </c>
      <c r="BE596">
        <v>0</v>
      </c>
      <c r="BF596">
        <v>0</v>
      </c>
      <c r="BH596">
        <v>1.7303571428571425</v>
      </c>
      <c r="BI596">
        <v>1.7303571428571425</v>
      </c>
      <c r="BJ596">
        <v>3.4885478605217894</v>
      </c>
      <c r="CA596">
        <v>0</v>
      </c>
      <c r="CB596">
        <v>0</v>
      </c>
      <c r="CC596">
        <v>0</v>
      </c>
    </row>
    <row r="597" spans="1:82" hidden="1" x14ac:dyDescent="0.25">
      <c r="A597" t="s">
        <v>128</v>
      </c>
      <c r="B597" t="s">
        <v>421</v>
      </c>
      <c r="C597" s="14" t="s">
        <v>72</v>
      </c>
      <c r="D597" s="12">
        <v>46233</v>
      </c>
      <c r="E597" s="14" t="s">
        <v>134</v>
      </c>
      <c r="F597" s="14" t="s">
        <v>73</v>
      </c>
      <c r="G597">
        <v>2.5233188720173532</v>
      </c>
      <c r="H597">
        <v>4.75</v>
      </c>
      <c r="I597">
        <v>20</v>
      </c>
      <c r="J597">
        <v>4.75</v>
      </c>
      <c r="K597">
        <v>46233</v>
      </c>
      <c r="L597" t="s">
        <v>450</v>
      </c>
      <c r="M597">
        <v>0.23529411764705879</v>
      </c>
      <c r="N597">
        <v>1.8824414356329253</v>
      </c>
      <c r="O597">
        <v>1.8824414356329253</v>
      </c>
      <c r="P597">
        <v>9.3247872972528789E-2</v>
      </c>
      <c r="Q597">
        <v>0</v>
      </c>
      <c r="R597">
        <v>0</v>
      </c>
      <c r="S597">
        <v>0.63244143563292532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0.25</v>
      </c>
      <c r="Z597">
        <v>0</v>
      </c>
      <c r="AA597">
        <v>0</v>
      </c>
      <c r="AB597">
        <v>0</v>
      </c>
      <c r="AC597">
        <v>0.90675212702747121</v>
      </c>
      <c r="AD597">
        <v>0</v>
      </c>
      <c r="AE597">
        <v>9.3247872972528789E-2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0.53122502568786378</v>
      </c>
      <c r="AL597">
        <v>0.53122502568786378</v>
      </c>
      <c r="AM597">
        <v>4.9535603715170275E-2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0.46877497431213622</v>
      </c>
      <c r="AY597">
        <v>0</v>
      </c>
      <c r="AZ597">
        <v>0.48168942197269349</v>
      </c>
      <c r="BA597">
        <v>0</v>
      </c>
      <c r="BB597">
        <v>4.9535603715170275E-2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20.187500000000004</v>
      </c>
      <c r="BI597">
        <v>20.187500000000004</v>
      </c>
      <c r="BJ597">
        <v>10.724105206073752</v>
      </c>
      <c r="CA597">
        <v>0</v>
      </c>
      <c r="CB597">
        <v>0</v>
      </c>
      <c r="CC597">
        <v>0</v>
      </c>
    </row>
    <row r="598" spans="1:82" hidden="1" x14ac:dyDescent="0.25">
      <c r="A598" t="s">
        <v>128</v>
      </c>
      <c r="B598" t="s">
        <v>291</v>
      </c>
      <c r="C598" s="14" t="s">
        <v>72</v>
      </c>
      <c r="D598" s="12">
        <v>46233</v>
      </c>
      <c r="E598" s="14" t="s">
        <v>134</v>
      </c>
      <c r="F598" s="14" t="s">
        <v>73</v>
      </c>
      <c r="G598">
        <v>5.7458435349770651</v>
      </c>
      <c r="H598">
        <v>1.9</v>
      </c>
      <c r="I598">
        <v>20</v>
      </c>
      <c r="J598">
        <v>1.9</v>
      </c>
      <c r="K598">
        <v>46233</v>
      </c>
      <c r="L598" t="s">
        <v>450</v>
      </c>
      <c r="M598">
        <v>4.7058823529411749</v>
      </c>
      <c r="N598">
        <v>0.33067381463383061</v>
      </c>
      <c r="O598">
        <v>0.33067381463383061</v>
      </c>
      <c r="P598">
        <v>0.81900635203425509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0.48833253740042448</v>
      </c>
      <c r="AA598">
        <v>0.18099364796574491</v>
      </c>
      <c r="AB598">
        <v>0</v>
      </c>
      <c r="AC598">
        <v>0</v>
      </c>
      <c r="AD598">
        <v>0</v>
      </c>
      <c r="AE598">
        <v>0.33067381463383061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3.0241281763037184</v>
      </c>
      <c r="AL598">
        <v>3.0241281763037184</v>
      </c>
      <c r="AM598">
        <v>2.4767801857585132</v>
      </c>
      <c r="BD598">
        <v>0</v>
      </c>
      <c r="BE598">
        <v>0</v>
      </c>
      <c r="BF598">
        <v>0</v>
      </c>
      <c r="BH598">
        <v>0.40375000000000011</v>
      </c>
      <c r="BI598">
        <v>0.40375000000000011</v>
      </c>
      <c r="BJ598">
        <v>1.2209917511826267</v>
      </c>
      <c r="BK598">
        <v>0.22099175118262671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0.66932618536616939</v>
      </c>
      <c r="BU598">
        <v>0</v>
      </c>
      <c r="BV598">
        <v>0</v>
      </c>
      <c r="BW598">
        <v>0</v>
      </c>
      <c r="BX598">
        <v>0</v>
      </c>
      <c r="BY598">
        <v>0.40375000000000011</v>
      </c>
      <c r="BZ598">
        <v>0</v>
      </c>
      <c r="CA598">
        <v>0</v>
      </c>
      <c r="CB598">
        <v>0</v>
      </c>
      <c r="CC598">
        <v>0</v>
      </c>
      <c r="CD598">
        <v>0</v>
      </c>
    </row>
    <row r="599" spans="1:82" hidden="1" x14ac:dyDescent="0.25">
      <c r="A599" t="s">
        <v>128</v>
      </c>
      <c r="B599" t="s">
        <v>421</v>
      </c>
      <c r="C599" s="14" t="s">
        <v>72</v>
      </c>
      <c r="D599" s="12">
        <v>46233</v>
      </c>
      <c r="E599" s="14" t="s">
        <v>134</v>
      </c>
      <c r="F599" s="14" t="s">
        <v>74</v>
      </c>
      <c r="G599">
        <v>2.7731019522776572</v>
      </c>
      <c r="H599">
        <v>0</v>
      </c>
      <c r="I599">
        <v>20</v>
      </c>
      <c r="J599">
        <v>0</v>
      </c>
      <c r="K599">
        <v>46233</v>
      </c>
      <c r="L599" t="s">
        <v>451</v>
      </c>
      <c r="M599">
        <v>2.0078431372549019</v>
      </c>
      <c r="N599">
        <v>0</v>
      </c>
      <c r="O599">
        <v>0</v>
      </c>
      <c r="P599">
        <v>0.72404230778669421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0.72404230778669421</v>
      </c>
      <c r="AA599">
        <v>0.27595769221330579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H599">
        <v>0</v>
      </c>
      <c r="BI599">
        <v>0</v>
      </c>
      <c r="BJ599">
        <v>1.3811347613882863</v>
      </c>
      <c r="BK599">
        <v>0.38113476138828628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1</v>
      </c>
    </row>
    <row r="600" spans="1:82" hidden="1" x14ac:dyDescent="0.25">
      <c r="A600" t="s">
        <v>128</v>
      </c>
      <c r="B600" t="s">
        <v>291</v>
      </c>
      <c r="C600" s="14" t="s">
        <v>72</v>
      </c>
      <c r="D600" s="12">
        <v>46233</v>
      </c>
      <c r="E600" s="14" t="s">
        <v>134</v>
      </c>
      <c r="F600" s="14" t="s">
        <v>74</v>
      </c>
      <c r="G600">
        <v>1.2735376146788988</v>
      </c>
      <c r="H600">
        <v>2.8499999999999996</v>
      </c>
      <c r="I600">
        <v>20</v>
      </c>
      <c r="J600">
        <v>2.8499999999999996</v>
      </c>
      <c r="K600">
        <v>46233</v>
      </c>
      <c r="L600" t="s">
        <v>451</v>
      </c>
      <c r="M600">
        <v>2.8235294117647056</v>
      </c>
      <c r="N600">
        <v>2.2378608744262176</v>
      </c>
      <c r="O600">
        <v>2.2378608744262176</v>
      </c>
      <c r="P600">
        <v>2.2170757889052308</v>
      </c>
      <c r="Q600">
        <v>0</v>
      </c>
      <c r="R600">
        <v>0</v>
      </c>
      <c r="S600">
        <v>2.078508552098679E-2</v>
      </c>
      <c r="T600">
        <v>0</v>
      </c>
      <c r="U600">
        <v>0.96707578890523083</v>
      </c>
      <c r="V600">
        <v>0</v>
      </c>
      <c r="W600">
        <v>0.25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0.44685530339610491</v>
      </c>
      <c r="AL600">
        <v>0.44685530339610491</v>
      </c>
      <c r="AM600">
        <v>0.99071207430340558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9.2879256965944235E-3</v>
      </c>
      <c r="AY600">
        <v>0</v>
      </c>
      <c r="AZ600">
        <v>0</v>
      </c>
      <c r="BA600">
        <v>0</v>
      </c>
      <c r="BB600">
        <v>0.44685530339610491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1.0093749999999999</v>
      </c>
      <c r="BI600">
        <v>1.0093749999999999</v>
      </c>
      <c r="BJ600">
        <v>0.45104457186544339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9.3749999999999112E-3</v>
      </c>
      <c r="BT600">
        <v>0</v>
      </c>
      <c r="BU600">
        <v>0</v>
      </c>
      <c r="BV600">
        <v>0</v>
      </c>
      <c r="BW600">
        <v>0.54895542813455656</v>
      </c>
      <c r="BX600">
        <v>0</v>
      </c>
      <c r="BY600">
        <v>0.45104457186544339</v>
      </c>
      <c r="BZ600">
        <v>0</v>
      </c>
      <c r="CA600">
        <v>0</v>
      </c>
      <c r="CB600">
        <v>0</v>
      </c>
      <c r="CC600">
        <v>0</v>
      </c>
      <c r="CD600">
        <v>0</v>
      </c>
    </row>
    <row r="601" spans="1:82" hidden="1" x14ac:dyDescent="0.25">
      <c r="A601" t="s">
        <v>128</v>
      </c>
      <c r="B601" t="s">
        <v>422</v>
      </c>
      <c r="C601" s="14" t="s">
        <v>72</v>
      </c>
      <c r="D601" s="12">
        <v>46233</v>
      </c>
      <c r="E601" s="14" t="s">
        <v>134</v>
      </c>
      <c r="F601" s="14" t="s">
        <v>74</v>
      </c>
      <c r="G601">
        <v>1.2735376146788988</v>
      </c>
      <c r="H601">
        <v>0</v>
      </c>
      <c r="I601">
        <v>20</v>
      </c>
      <c r="J601">
        <v>0</v>
      </c>
      <c r="K601">
        <v>46233</v>
      </c>
      <c r="L601" t="s">
        <v>451</v>
      </c>
      <c r="M601">
        <v>1.0127450980392154</v>
      </c>
      <c r="N601">
        <v>0</v>
      </c>
      <c r="O601">
        <v>0</v>
      </c>
      <c r="P601">
        <v>0.79522197567329966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0.79522197567329966</v>
      </c>
      <c r="AA601">
        <v>0.20477802432670034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</v>
      </c>
      <c r="BH601">
        <v>0</v>
      </c>
      <c r="BI601">
        <v>0</v>
      </c>
      <c r="BJ601">
        <v>1.2575105198184677</v>
      </c>
      <c r="BK601">
        <v>0.25751051981846773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1</v>
      </c>
      <c r="CD601">
        <v>1</v>
      </c>
    </row>
    <row r="602" spans="1:82" hidden="1" x14ac:dyDescent="0.25">
      <c r="A602" t="s">
        <v>128</v>
      </c>
      <c r="B602" t="s">
        <v>421</v>
      </c>
      <c r="C602" s="14" t="s">
        <v>72</v>
      </c>
      <c r="D602" s="12">
        <v>46233</v>
      </c>
      <c r="E602" s="14" t="s">
        <v>134</v>
      </c>
      <c r="F602" s="14" t="s">
        <v>75</v>
      </c>
      <c r="G602">
        <v>2.4468546637744035</v>
      </c>
      <c r="H602">
        <v>1.9</v>
      </c>
      <c r="I602">
        <v>20</v>
      </c>
      <c r="J602">
        <v>1.9</v>
      </c>
      <c r="K602">
        <v>46233</v>
      </c>
      <c r="L602" t="s">
        <v>452</v>
      </c>
      <c r="M602">
        <v>1.7716262975778552</v>
      </c>
      <c r="N602">
        <v>0.77650709219858149</v>
      </c>
      <c r="O602">
        <v>0.77650709219858149</v>
      </c>
      <c r="P602">
        <v>0.72404230778669432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0.22349290780141851</v>
      </c>
      <c r="AB602">
        <v>0</v>
      </c>
      <c r="AC602">
        <v>5.2464784411887178E-2</v>
      </c>
      <c r="AD602">
        <v>0</v>
      </c>
      <c r="AE602">
        <v>0.72404230778669432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1.2878182440917914</v>
      </c>
      <c r="AL602">
        <v>1.2878182440917914</v>
      </c>
      <c r="AM602">
        <v>0.93243489346202912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0.28781824409179135</v>
      </c>
      <c r="AW602">
        <v>0</v>
      </c>
      <c r="AX602">
        <v>0</v>
      </c>
      <c r="AY602">
        <v>0</v>
      </c>
      <c r="AZ602">
        <v>6.7565106537970876E-2</v>
      </c>
      <c r="BA602">
        <v>0</v>
      </c>
      <c r="BB602">
        <v>0.93243489346202912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1.0724609374999996</v>
      </c>
      <c r="BI602">
        <v>1.0724609374999996</v>
      </c>
      <c r="BJ602">
        <v>1.3811347613882861</v>
      </c>
      <c r="BK602">
        <v>0.30867382388828646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7.24609374999996E-2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</row>
    <row r="603" spans="1:82" hidden="1" x14ac:dyDescent="0.25">
      <c r="A603" t="s">
        <v>128</v>
      </c>
      <c r="B603" t="s">
        <v>291</v>
      </c>
      <c r="C603" s="14" t="s">
        <v>72</v>
      </c>
      <c r="D603" s="12">
        <v>46233</v>
      </c>
      <c r="E603" s="14" t="s">
        <v>134</v>
      </c>
      <c r="F603" s="14" t="s">
        <v>75</v>
      </c>
      <c r="G603">
        <v>3.3711289800323794</v>
      </c>
      <c r="H603">
        <v>2.8499999999999996</v>
      </c>
      <c r="I603">
        <v>20</v>
      </c>
      <c r="J603">
        <v>2.8499999999999996</v>
      </c>
      <c r="K603">
        <v>46233</v>
      </c>
      <c r="L603" t="s">
        <v>452</v>
      </c>
      <c r="M603">
        <v>4.9273356401384039</v>
      </c>
      <c r="N603">
        <v>0.84541410811657103</v>
      </c>
      <c r="O603">
        <v>0.84541410811657103</v>
      </c>
      <c r="P603">
        <v>1.4616277423152992</v>
      </c>
      <c r="Q603">
        <v>0.46162774231529924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0.15458589188342897</v>
      </c>
      <c r="AA603">
        <v>0</v>
      </c>
      <c r="AB603">
        <v>0</v>
      </c>
      <c r="AC603">
        <v>0</v>
      </c>
      <c r="AD603">
        <v>0</v>
      </c>
      <c r="AE603">
        <v>0.84541410811657103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1.1828522736955718</v>
      </c>
      <c r="AL603">
        <v>1.1828522736955718</v>
      </c>
      <c r="AM603">
        <v>1.728889698294177</v>
      </c>
      <c r="AN603">
        <v>0.54603742459860527</v>
      </c>
      <c r="AO603">
        <v>0</v>
      </c>
      <c r="AP603">
        <v>0</v>
      </c>
      <c r="AQ603">
        <v>0</v>
      </c>
      <c r="AR603">
        <v>0</v>
      </c>
      <c r="AS603">
        <v>0.31714772630442822</v>
      </c>
      <c r="AT603">
        <v>0.18285227369557178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0.57840589887640492</v>
      </c>
      <c r="BI603">
        <v>0.57840589887640492</v>
      </c>
      <c r="BJ603">
        <v>0.68416873260488664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0.31583126739511336</v>
      </c>
      <c r="BV603">
        <v>0</v>
      </c>
      <c r="BW603">
        <v>0</v>
      </c>
      <c r="BX603">
        <v>0</v>
      </c>
      <c r="BY603">
        <v>0.57840589887640492</v>
      </c>
      <c r="BZ603">
        <v>0</v>
      </c>
      <c r="CA603">
        <v>0</v>
      </c>
      <c r="CB603">
        <v>0</v>
      </c>
      <c r="CC603">
        <v>0</v>
      </c>
      <c r="CD603">
        <v>0</v>
      </c>
    </row>
    <row r="604" spans="1:82" hidden="1" x14ac:dyDescent="0.25">
      <c r="A604" t="s">
        <v>128</v>
      </c>
      <c r="B604" t="s">
        <v>422</v>
      </c>
      <c r="C604" s="14" t="s">
        <v>72</v>
      </c>
      <c r="D604" s="12">
        <v>46233</v>
      </c>
      <c r="E604" s="14" t="s">
        <v>134</v>
      </c>
      <c r="F604" s="14" t="s">
        <v>75</v>
      </c>
      <c r="G604">
        <v>3.3711289800323794</v>
      </c>
      <c r="H604">
        <v>1.9</v>
      </c>
      <c r="I604">
        <v>20</v>
      </c>
      <c r="J604">
        <v>1.9</v>
      </c>
      <c r="K604">
        <v>46233</v>
      </c>
      <c r="L604" t="s">
        <v>452</v>
      </c>
      <c r="M604">
        <v>2.0635813148788924</v>
      </c>
      <c r="N604">
        <v>0.56360940541104732</v>
      </c>
      <c r="O604">
        <v>0.56360940541104732</v>
      </c>
      <c r="P604">
        <v>0.61213359889275787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4.8524193481710554E-2</v>
      </c>
      <c r="AA604">
        <v>0.38786640110724213</v>
      </c>
      <c r="AB604">
        <v>0</v>
      </c>
      <c r="AC604">
        <v>0</v>
      </c>
      <c r="AD604">
        <v>0</v>
      </c>
      <c r="AE604">
        <v>0.56360940541104732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1.7742784105433576</v>
      </c>
      <c r="AL604">
        <v>1.7742784105433576</v>
      </c>
      <c r="AM604">
        <v>1.0860954288836275</v>
      </c>
      <c r="BD604">
        <v>0</v>
      </c>
      <c r="BE604">
        <v>0</v>
      </c>
      <c r="BF604">
        <v>0</v>
      </c>
      <c r="BH604">
        <v>0.92072940683294913</v>
      </c>
      <c r="BI604">
        <v>0.92072940683294913</v>
      </c>
      <c r="BJ604">
        <v>1.6336303084960935</v>
      </c>
      <c r="BK604">
        <v>0.63363030849609348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0.43639059458895268</v>
      </c>
      <c r="BU604">
        <v>0</v>
      </c>
      <c r="BV604">
        <v>0</v>
      </c>
      <c r="BW604">
        <v>0</v>
      </c>
      <c r="BX604">
        <v>0</v>
      </c>
      <c r="BY604">
        <v>0.92072940683294913</v>
      </c>
      <c r="BZ604">
        <v>0</v>
      </c>
      <c r="CA604">
        <v>0</v>
      </c>
      <c r="CB604">
        <v>0</v>
      </c>
      <c r="CC604">
        <v>0</v>
      </c>
      <c r="CD604">
        <v>0</v>
      </c>
    </row>
    <row r="605" spans="1:82" hidden="1" x14ac:dyDescent="0.25">
      <c r="A605" t="s">
        <v>128</v>
      </c>
      <c r="B605" t="s">
        <v>421</v>
      </c>
      <c r="C605" s="14" t="s">
        <v>72</v>
      </c>
      <c r="D605" s="12">
        <v>46234</v>
      </c>
      <c r="E605" s="14" t="s">
        <v>134</v>
      </c>
      <c r="F605" s="14" t="s">
        <v>73</v>
      </c>
      <c r="G605">
        <v>3.7467462039045554</v>
      </c>
      <c r="H605">
        <v>5.6999999999999993</v>
      </c>
      <c r="I605">
        <v>20</v>
      </c>
      <c r="J605">
        <v>5.6999999999999993</v>
      </c>
      <c r="K605">
        <v>46234</v>
      </c>
      <c r="L605" t="s">
        <v>453</v>
      </c>
      <c r="M605">
        <v>0.23529411764705879</v>
      </c>
      <c r="N605">
        <v>1.5213200173686494</v>
      </c>
      <c r="O605">
        <v>1.5213200173686494</v>
      </c>
      <c r="P605">
        <v>6.2799587920274486E-2</v>
      </c>
      <c r="Q605">
        <v>0</v>
      </c>
      <c r="R605">
        <v>0</v>
      </c>
      <c r="S605">
        <v>0.27132001736864941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0.25</v>
      </c>
      <c r="Z605">
        <v>0</v>
      </c>
      <c r="AA605">
        <v>0</v>
      </c>
      <c r="AB605">
        <v>0</v>
      </c>
      <c r="AC605">
        <v>0.93720041207972549</v>
      </c>
      <c r="AD605">
        <v>0</v>
      </c>
      <c r="AE605">
        <v>6.2799587920274486E-2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0.65732389542185188</v>
      </c>
      <c r="AL605">
        <v>0.65732389542185188</v>
      </c>
      <c r="AM605">
        <v>4.1279669762641899E-2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0.34267610457814812</v>
      </c>
      <c r="AY605">
        <v>0</v>
      </c>
      <c r="AZ605">
        <v>0.61604422565921002</v>
      </c>
      <c r="BA605">
        <v>0</v>
      </c>
      <c r="BB605">
        <v>4.1279669762641899E-2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24.225000000000001</v>
      </c>
      <c r="BI605">
        <v>24.225000000000001</v>
      </c>
      <c r="BJ605">
        <v>15.923671366594363</v>
      </c>
      <c r="CA605">
        <v>0</v>
      </c>
      <c r="CB605">
        <v>0</v>
      </c>
      <c r="CC605">
        <v>0</v>
      </c>
    </row>
    <row r="606" spans="1:82" hidden="1" x14ac:dyDescent="0.25">
      <c r="A606" t="s">
        <v>128</v>
      </c>
      <c r="B606" t="s">
        <v>422</v>
      </c>
      <c r="C606" s="14" t="s">
        <v>72</v>
      </c>
      <c r="D606" s="12">
        <v>46234</v>
      </c>
      <c r="E606" s="14" t="s">
        <v>134</v>
      </c>
      <c r="F606" s="14" t="s">
        <v>73</v>
      </c>
      <c r="G606">
        <v>4.5519020212155965</v>
      </c>
      <c r="H606">
        <v>4.75</v>
      </c>
      <c r="I606">
        <v>20</v>
      </c>
      <c r="J606">
        <v>4.75</v>
      </c>
      <c r="K606">
        <v>46234</v>
      </c>
      <c r="L606" t="s">
        <v>453</v>
      </c>
      <c r="M606">
        <v>1.9131433823529425</v>
      </c>
      <c r="N606">
        <v>1.0435198248690558</v>
      </c>
      <c r="O606">
        <v>1.0435198248690558</v>
      </c>
      <c r="P606">
        <v>0.42029537837943903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4.3519824869055812E-2</v>
      </c>
      <c r="Z606">
        <v>0</v>
      </c>
      <c r="AA606">
        <v>0</v>
      </c>
      <c r="AB606">
        <v>0</v>
      </c>
      <c r="AC606">
        <v>0.57970462162056102</v>
      </c>
      <c r="AD606">
        <v>0</v>
      </c>
      <c r="AE606">
        <v>0.42029537837943903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0.95829516236117818</v>
      </c>
      <c r="AL606">
        <v>0.95829516236117818</v>
      </c>
      <c r="AM606">
        <v>0.40276702786377738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4.1704837638821823E-2</v>
      </c>
      <c r="AY606">
        <v>0</v>
      </c>
      <c r="AZ606">
        <v>0.55552813449740079</v>
      </c>
      <c r="BA606">
        <v>0</v>
      </c>
      <c r="BB606">
        <v>0.40276702786377738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2.4828248858995901</v>
      </c>
      <c r="BI606">
        <v>2.4828248858995901</v>
      </c>
      <c r="BJ606">
        <v>2.3792790771475212</v>
      </c>
      <c r="CA606">
        <v>0</v>
      </c>
      <c r="CB606">
        <v>0</v>
      </c>
      <c r="CC606">
        <v>0</v>
      </c>
    </row>
    <row r="607" spans="1:82" hidden="1" x14ac:dyDescent="0.25">
      <c r="A607" t="s">
        <v>128</v>
      </c>
      <c r="B607" t="s">
        <v>291</v>
      </c>
      <c r="C607" s="14" t="s">
        <v>72</v>
      </c>
      <c r="D607" s="12">
        <v>46234</v>
      </c>
      <c r="E607" s="14" t="s">
        <v>134</v>
      </c>
      <c r="F607" s="14" t="s">
        <v>73</v>
      </c>
      <c r="G607">
        <v>4.5519020212155965</v>
      </c>
      <c r="H607">
        <v>1.9</v>
      </c>
      <c r="I607">
        <v>20</v>
      </c>
      <c r="J607">
        <v>1.9</v>
      </c>
      <c r="K607">
        <v>46234</v>
      </c>
      <c r="L607" t="s">
        <v>453</v>
      </c>
      <c r="M607">
        <v>3.7647058823529393</v>
      </c>
      <c r="N607">
        <v>0.41740792994762227</v>
      </c>
      <c r="O607">
        <v>0.41740792994762227</v>
      </c>
      <c r="P607">
        <v>0.82706215221819857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0.4096542222705763</v>
      </c>
      <c r="AA607">
        <v>0.17293784778180143</v>
      </c>
      <c r="AB607">
        <v>0</v>
      </c>
      <c r="AC607">
        <v>0</v>
      </c>
      <c r="AD607">
        <v>0</v>
      </c>
      <c r="AE607">
        <v>0.41740792994762227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2.3957379059029456</v>
      </c>
      <c r="AL607">
        <v>2.3957379059029456</v>
      </c>
      <c r="AM607">
        <v>1.9814241486068103</v>
      </c>
      <c r="BD607">
        <v>0</v>
      </c>
      <c r="BE607">
        <v>0</v>
      </c>
      <c r="BF607">
        <v>0</v>
      </c>
      <c r="BH607">
        <v>0.50468750000000018</v>
      </c>
      <c r="BI607">
        <v>0.50468750000000018</v>
      </c>
      <c r="BJ607">
        <v>1.2090989743853935</v>
      </c>
      <c r="BK607">
        <v>0.20909897438539349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0.58259207005237768</v>
      </c>
      <c r="BU607">
        <v>0</v>
      </c>
      <c r="BV607">
        <v>0</v>
      </c>
      <c r="BW607">
        <v>0</v>
      </c>
      <c r="BX607">
        <v>0</v>
      </c>
      <c r="BY607">
        <v>0.50468750000000018</v>
      </c>
      <c r="BZ607">
        <v>0</v>
      </c>
      <c r="CA607">
        <v>0</v>
      </c>
      <c r="CB607">
        <v>0</v>
      </c>
      <c r="CC607">
        <v>0</v>
      </c>
      <c r="CD607">
        <v>0</v>
      </c>
    </row>
    <row r="608" spans="1:82" hidden="1" x14ac:dyDescent="0.25">
      <c r="A608" t="s">
        <v>128</v>
      </c>
      <c r="B608" t="s">
        <v>422</v>
      </c>
      <c r="C608" s="14" t="s">
        <v>72</v>
      </c>
      <c r="D608" s="12">
        <v>46234</v>
      </c>
      <c r="E608" s="14" t="s">
        <v>134</v>
      </c>
      <c r="F608" s="14" t="s">
        <v>74</v>
      </c>
      <c r="G608">
        <v>1.2735376146788988</v>
      </c>
      <c r="H608">
        <v>0.95</v>
      </c>
      <c r="I608">
        <v>20</v>
      </c>
      <c r="J608">
        <v>0.95</v>
      </c>
      <c r="K608">
        <v>46234</v>
      </c>
      <c r="L608" t="s">
        <v>454</v>
      </c>
      <c r="M608">
        <v>1.0127450980392154</v>
      </c>
      <c r="N608">
        <v>0.74595362480873917</v>
      </c>
      <c r="O608">
        <v>0.74595362480873917</v>
      </c>
      <c r="P608">
        <v>0.79522197567329966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4.9268350864560495E-2</v>
      </c>
      <c r="AA608">
        <v>0.20477802432670034</v>
      </c>
      <c r="AB608">
        <v>0</v>
      </c>
      <c r="AC608">
        <v>0</v>
      </c>
      <c r="AD608">
        <v>0</v>
      </c>
      <c r="AE608">
        <v>0.74595362480873917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1.3405659101883145</v>
      </c>
      <c r="AL608">
        <v>1.3405659101883145</v>
      </c>
      <c r="AM608">
        <v>1.0660474716202268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6.6047471620226839E-2</v>
      </c>
      <c r="AU608">
        <v>0</v>
      </c>
      <c r="AV608">
        <v>0.27451843856808766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0.93804453049370784</v>
      </c>
      <c r="BI608">
        <v>0.93804453049370784</v>
      </c>
      <c r="BJ608">
        <v>1.2575105198184677</v>
      </c>
      <c r="BK608">
        <v>0.25751051981846773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0.25404637519126083</v>
      </c>
      <c r="BU608">
        <v>0</v>
      </c>
      <c r="BV608">
        <v>0</v>
      </c>
      <c r="BW608">
        <v>0</v>
      </c>
      <c r="BX608">
        <v>0</v>
      </c>
      <c r="BY608">
        <v>0.93804453049370784</v>
      </c>
      <c r="BZ608">
        <v>0</v>
      </c>
      <c r="CA608">
        <v>0</v>
      </c>
      <c r="CB608">
        <v>0</v>
      </c>
      <c r="CC608">
        <v>0</v>
      </c>
      <c r="CD608">
        <v>0</v>
      </c>
    </row>
    <row r="609" spans="1:82" hidden="1" x14ac:dyDescent="0.25">
      <c r="A609" t="s">
        <v>128</v>
      </c>
      <c r="B609" t="s">
        <v>421</v>
      </c>
      <c r="C609" s="14" t="s">
        <v>72</v>
      </c>
      <c r="D609" s="12">
        <v>46234</v>
      </c>
      <c r="E609" s="14" t="s">
        <v>134</v>
      </c>
      <c r="F609" s="14" t="s">
        <v>74</v>
      </c>
      <c r="G609">
        <v>2.7731019522776572</v>
      </c>
      <c r="H609">
        <v>0.95</v>
      </c>
      <c r="I609">
        <v>20</v>
      </c>
      <c r="J609">
        <v>0.95</v>
      </c>
      <c r="K609">
        <v>46234</v>
      </c>
      <c r="L609" t="s">
        <v>454</v>
      </c>
      <c r="M609">
        <v>2.0078431372549019</v>
      </c>
      <c r="N609">
        <v>0.34257665832290363</v>
      </c>
      <c r="O609">
        <v>0.34257665832290363</v>
      </c>
      <c r="P609">
        <v>0.72404230778669421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0.38146564946379058</v>
      </c>
      <c r="AA609">
        <v>0.27595769221330579</v>
      </c>
      <c r="AB609">
        <v>0</v>
      </c>
      <c r="AC609">
        <v>0</v>
      </c>
      <c r="AD609">
        <v>0</v>
      </c>
      <c r="AE609">
        <v>0.34257665832290363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2.9190546866080602</v>
      </c>
      <c r="AL609">
        <v>2.9190546866080602</v>
      </c>
      <c r="AM609">
        <v>2.1135190918472655</v>
      </c>
      <c r="BD609">
        <v>0</v>
      </c>
      <c r="BE609">
        <v>0</v>
      </c>
      <c r="BF609">
        <v>0</v>
      </c>
      <c r="BH609">
        <v>0.47314453125</v>
      </c>
      <c r="BI609">
        <v>0.47314453125</v>
      </c>
      <c r="BJ609">
        <v>1.3811347613882863</v>
      </c>
      <c r="BK609">
        <v>0.38113476138828628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0.65742334167709637</v>
      </c>
      <c r="BU609">
        <v>0</v>
      </c>
      <c r="BV609">
        <v>0</v>
      </c>
      <c r="BW609">
        <v>0</v>
      </c>
      <c r="BX609">
        <v>0</v>
      </c>
      <c r="BY609">
        <v>0.47314453125</v>
      </c>
      <c r="BZ609">
        <v>0</v>
      </c>
      <c r="CA609">
        <v>0</v>
      </c>
      <c r="CB609">
        <v>0</v>
      </c>
      <c r="CC609">
        <v>0</v>
      </c>
      <c r="CD609">
        <v>0</v>
      </c>
    </row>
    <row r="610" spans="1:82" hidden="1" x14ac:dyDescent="0.25">
      <c r="A610" t="s">
        <v>128</v>
      </c>
      <c r="B610" t="s">
        <v>291</v>
      </c>
      <c r="C610" s="14" t="s">
        <v>72</v>
      </c>
      <c r="D610" s="12">
        <v>46234</v>
      </c>
      <c r="E610" s="14" t="s">
        <v>134</v>
      </c>
      <c r="F610" s="14" t="s">
        <v>74</v>
      </c>
      <c r="G610">
        <v>1.2735376146788988</v>
      </c>
      <c r="H610">
        <v>3.8</v>
      </c>
      <c r="I610">
        <v>20</v>
      </c>
      <c r="J610">
        <v>3.8</v>
      </c>
      <c r="K610">
        <v>46234</v>
      </c>
      <c r="L610" t="s">
        <v>454</v>
      </c>
      <c r="M610">
        <v>2.8235294117647056</v>
      </c>
      <c r="N610">
        <v>2.9838144992349567</v>
      </c>
      <c r="O610">
        <v>2.9838144992349567</v>
      </c>
      <c r="P610">
        <v>2.2170757889052308</v>
      </c>
      <c r="Q610">
        <v>0</v>
      </c>
      <c r="R610">
        <v>0</v>
      </c>
      <c r="S610">
        <v>0.76673871032972585</v>
      </c>
      <c r="T610">
        <v>0</v>
      </c>
      <c r="U610">
        <v>0.96707578890523083</v>
      </c>
      <c r="V610">
        <v>0</v>
      </c>
      <c r="W610">
        <v>0.25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0.33514147754707863</v>
      </c>
      <c r="AL610">
        <v>0.33514147754707863</v>
      </c>
      <c r="AM610">
        <v>0.7430340557275541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0.2569659442724459</v>
      </c>
      <c r="AY610">
        <v>0</v>
      </c>
      <c r="AZ610">
        <v>0</v>
      </c>
      <c r="BA610">
        <v>0</v>
      </c>
      <c r="BB610">
        <v>0.33514147754707863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1.3458333333333334</v>
      </c>
      <c r="BI610">
        <v>1.3458333333333334</v>
      </c>
      <c r="BJ610">
        <v>0.45104457186544339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0.34583333333333344</v>
      </c>
      <c r="BT610">
        <v>0</v>
      </c>
      <c r="BU610">
        <v>0</v>
      </c>
      <c r="BV610">
        <v>0</v>
      </c>
      <c r="BW610">
        <v>0.54895542813455656</v>
      </c>
      <c r="BX610">
        <v>0</v>
      </c>
      <c r="BY610">
        <v>0.45104457186544339</v>
      </c>
      <c r="BZ610">
        <v>0</v>
      </c>
      <c r="CA610">
        <v>0</v>
      </c>
      <c r="CB610">
        <v>0</v>
      </c>
      <c r="CC610">
        <v>0</v>
      </c>
      <c r="CD610">
        <v>0</v>
      </c>
    </row>
    <row r="611" spans="1:82" hidden="1" x14ac:dyDescent="0.25">
      <c r="A611" t="s">
        <v>128</v>
      </c>
      <c r="B611" t="s">
        <v>421</v>
      </c>
      <c r="C611" s="14" t="s">
        <v>72</v>
      </c>
      <c r="D611" s="12">
        <v>46234</v>
      </c>
      <c r="E611" s="14" t="s">
        <v>134</v>
      </c>
      <c r="F611" s="14" t="s">
        <v>75</v>
      </c>
      <c r="G611">
        <v>2.4468546637744035</v>
      </c>
      <c r="H611">
        <v>1.9</v>
      </c>
      <c r="I611">
        <v>20</v>
      </c>
      <c r="J611">
        <v>1.9</v>
      </c>
      <c r="K611">
        <v>46234</v>
      </c>
      <c r="L611" t="s">
        <v>455</v>
      </c>
      <c r="M611">
        <v>1.7716262975778552</v>
      </c>
      <c r="N611">
        <v>0.77650709219858149</v>
      </c>
      <c r="O611">
        <v>0.77650709219858149</v>
      </c>
      <c r="P611">
        <v>0.72404230778669432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0.22349290780141851</v>
      </c>
      <c r="AB611">
        <v>0</v>
      </c>
      <c r="AC611">
        <v>5.2464784411887178E-2</v>
      </c>
      <c r="AD611">
        <v>0</v>
      </c>
      <c r="AE611">
        <v>0.72404230778669432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1.2878182440917914</v>
      </c>
      <c r="AL611">
        <v>1.2878182440917914</v>
      </c>
      <c r="AM611">
        <v>0.93243489346202912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0.28781824409179135</v>
      </c>
      <c r="AW611">
        <v>0</v>
      </c>
      <c r="AX611">
        <v>0</v>
      </c>
      <c r="AY611">
        <v>0</v>
      </c>
      <c r="AZ611">
        <v>6.7565106537970876E-2</v>
      </c>
      <c r="BA611">
        <v>0</v>
      </c>
      <c r="BB611">
        <v>0.93243489346202912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1.0724609374999996</v>
      </c>
      <c r="BI611">
        <v>1.0724609374999996</v>
      </c>
      <c r="BJ611">
        <v>1.3811347613882861</v>
      </c>
      <c r="BK611">
        <v>0.30867382388828646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7.24609374999996E-2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</row>
    <row r="612" spans="1:82" hidden="1" x14ac:dyDescent="0.25">
      <c r="A612" t="s">
        <v>128</v>
      </c>
      <c r="B612" t="s">
        <v>422</v>
      </c>
      <c r="C612" s="14" t="s">
        <v>72</v>
      </c>
      <c r="D612" s="12">
        <v>46234</v>
      </c>
      <c r="E612" s="14" t="s">
        <v>134</v>
      </c>
      <c r="F612" s="14" t="s">
        <v>75</v>
      </c>
      <c r="G612">
        <v>2.2474193200215864</v>
      </c>
      <c r="H612">
        <v>1.9</v>
      </c>
      <c r="I612">
        <v>20</v>
      </c>
      <c r="J612">
        <v>1.9</v>
      </c>
      <c r="K612">
        <v>46234</v>
      </c>
      <c r="L612" t="s">
        <v>455</v>
      </c>
      <c r="M612">
        <v>2.188148788927335</v>
      </c>
      <c r="N612">
        <v>0.84541410811657103</v>
      </c>
      <c r="O612">
        <v>0.84541410811657103</v>
      </c>
      <c r="P612">
        <v>0.97362729306176732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0.12821318494519629</v>
      </c>
      <c r="AA612">
        <v>2.6372706938232682E-2</v>
      </c>
      <c r="AB612">
        <v>0</v>
      </c>
      <c r="AC612">
        <v>0</v>
      </c>
      <c r="AD612">
        <v>0</v>
      </c>
      <c r="AE612">
        <v>0.84541410811657103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1.1828522736955718</v>
      </c>
      <c r="AL612">
        <v>1.1828522736955718</v>
      </c>
      <c r="AM612">
        <v>1.1516572573301764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0.15165725733017643</v>
      </c>
      <c r="AU612">
        <v>0</v>
      </c>
      <c r="AV612">
        <v>3.1195016365395345E-2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0.86831389602688303</v>
      </c>
      <c r="BI612">
        <v>0.86831389602688303</v>
      </c>
      <c r="BJ612">
        <v>1.027087066196859</v>
      </c>
      <c r="BK612">
        <v>2.7087066196858967E-2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0.15458589188342897</v>
      </c>
      <c r="BU612">
        <v>0</v>
      </c>
      <c r="BV612">
        <v>0</v>
      </c>
      <c r="BW612">
        <v>0</v>
      </c>
      <c r="BX612">
        <v>0</v>
      </c>
      <c r="BY612">
        <v>0.86831389602688303</v>
      </c>
      <c r="BZ612">
        <v>0</v>
      </c>
      <c r="CA612">
        <v>0</v>
      </c>
      <c r="CB612">
        <v>0</v>
      </c>
      <c r="CC612">
        <v>0</v>
      </c>
      <c r="CD612">
        <v>0</v>
      </c>
    </row>
    <row r="613" spans="1:82" hidden="1" x14ac:dyDescent="0.25">
      <c r="A613" t="s">
        <v>128</v>
      </c>
      <c r="B613" t="s">
        <v>291</v>
      </c>
      <c r="C613" s="14" t="s">
        <v>72</v>
      </c>
      <c r="D613" s="12">
        <v>46234</v>
      </c>
      <c r="E613" s="14" t="s">
        <v>134</v>
      </c>
      <c r="F613" s="14" t="s">
        <v>75</v>
      </c>
      <c r="G613">
        <v>2.2474193200215864</v>
      </c>
      <c r="H613">
        <v>2.8499999999999996</v>
      </c>
      <c r="I613">
        <v>20</v>
      </c>
      <c r="J613">
        <v>2.8499999999999996</v>
      </c>
      <c r="K613">
        <v>46234</v>
      </c>
      <c r="L613" t="s">
        <v>455</v>
      </c>
      <c r="M613">
        <v>4.816608996539788</v>
      </c>
      <c r="N613">
        <v>1.2681211621748565</v>
      </c>
      <c r="O613">
        <v>1.2681211621748565</v>
      </c>
      <c r="P613">
        <v>2.1431732626083879</v>
      </c>
      <c r="Q613">
        <v>0.87505210043353143</v>
      </c>
      <c r="R613">
        <v>0</v>
      </c>
      <c r="S613">
        <v>0</v>
      </c>
      <c r="T613">
        <v>0</v>
      </c>
      <c r="U613">
        <v>1.8121162174856487E-2</v>
      </c>
      <c r="V613">
        <v>0</v>
      </c>
      <c r="W613">
        <v>0.25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0.78856818246371463</v>
      </c>
      <c r="AL613">
        <v>0.78856818246371463</v>
      </c>
      <c r="AM613">
        <v>1.6900382443999258</v>
      </c>
      <c r="AN613">
        <v>0.69003824439992578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0.78856818246371463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0.59170258620689697</v>
      </c>
      <c r="BI613">
        <v>0.59170258620689697</v>
      </c>
      <c r="BJ613">
        <v>0.46659783296425222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0.40829741379310303</v>
      </c>
      <c r="BV613">
        <v>0</v>
      </c>
      <c r="BW613">
        <v>0.12510475324264475</v>
      </c>
      <c r="BX613">
        <v>0</v>
      </c>
      <c r="BY613">
        <v>0.46659783296425222</v>
      </c>
      <c r="BZ613">
        <v>0</v>
      </c>
      <c r="CA613">
        <v>0</v>
      </c>
      <c r="CB613">
        <v>0</v>
      </c>
      <c r="CC613">
        <v>0</v>
      </c>
      <c r="CD613">
        <v>0</v>
      </c>
    </row>
    <row r="614" spans="1:82" hidden="1" x14ac:dyDescent="0.25">
      <c r="A614" t="s">
        <v>128</v>
      </c>
      <c r="B614" t="s">
        <v>422</v>
      </c>
      <c r="C614" s="14" t="s">
        <v>72</v>
      </c>
      <c r="D614" s="12">
        <v>46235</v>
      </c>
      <c r="E614" s="14" t="s">
        <v>134</v>
      </c>
      <c r="F614" s="14" t="s">
        <v>73</v>
      </c>
      <c r="G614">
        <v>5.3727368119266048</v>
      </c>
      <c r="H614">
        <v>0.95</v>
      </c>
      <c r="I614">
        <v>20</v>
      </c>
      <c r="J614">
        <v>0.95</v>
      </c>
      <c r="K614">
        <v>46235</v>
      </c>
      <c r="L614" t="s">
        <v>456</v>
      </c>
      <c r="M614">
        <v>1.9131433823529425</v>
      </c>
      <c r="N614">
        <v>0.17681863699170114</v>
      </c>
      <c r="O614">
        <v>0.17681863699170114</v>
      </c>
      <c r="P614">
        <v>0.35608358446035815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0.17926494746865701</v>
      </c>
      <c r="AA614">
        <v>0.64391641553964185</v>
      </c>
      <c r="AB614">
        <v>0</v>
      </c>
      <c r="AC614">
        <v>0</v>
      </c>
      <c r="AD614">
        <v>0</v>
      </c>
      <c r="AE614">
        <v>0.17681863699170114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5.6555124336069529</v>
      </c>
      <c r="AL614">
        <v>5.6555124336069529</v>
      </c>
      <c r="AM614">
        <v>2.0138351393188869</v>
      </c>
      <c r="BD614">
        <v>0</v>
      </c>
      <c r="BE614">
        <v>0</v>
      </c>
      <c r="BF614">
        <v>0</v>
      </c>
      <c r="BH614">
        <v>0.49656497717991799</v>
      </c>
      <c r="BI614">
        <v>0.49656497717991799</v>
      </c>
      <c r="BJ614">
        <v>2.8083294025347789</v>
      </c>
      <c r="BK614">
        <v>1.8083294025347789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0.82318136300829892</v>
      </c>
      <c r="BU614">
        <v>0</v>
      </c>
      <c r="BV614">
        <v>0</v>
      </c>
      <c r="BW614">
        <v>0</v>
      </c>
      <c r="BX614">
        <v>0</v>
      </c>
      <c r="BY614">
        <v>0.49656497717991799</v>
      </c>
      <c r="BZ614">
        <v>0</v>
      </c>
      <c r="CA614">
        <v>0</v>
      </c>
      <c r="CB614">
        <v>0</v>
      </c>
      <c r="CC614">
        <v>0</v>
      </c>
      <c r="CD614">
        <v>0</v>
      </c>
    </row>
    <row r="615" spans="1:82" hidden="1" x14ac:dyDescent="0.25">
      <c r="A615" t="s">
        <v>128</v>
      </c>
      <c r="B615" t="s">
        <v>421</v>
      </c>
      <c r="C615" s="14" t="s">
        <v>72</v>
      </c>
      <c r="D615" s="12">
        <v>46235</v>
      </c>
      <c r="E615" s="14" t="s">
        <v>134</v>
      </c>
      <c r="F615" s="14" t="s">
        <v>73</v>
      </c>
      <c r="G615">
        <v>0</v>
      </c>
      <c r="H615">
        <v>0.95</v>
      </c>
      <c r="I615">
        <v>20</v>
      </c>
      <c r="J615">
        <v>0.95</v>
      </c>
      <c r="K615">
        <v>46235</v>
      </c>
      <c r="L615" t="s">
        <v>456</v>
      </c>
      <c r="M615">
        <v>0.23529411764705879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0.24767801857585137</v>
      </c>
      <c r="AI615">
        <v>0</v>
      </c>
      <c r="AJ615">
        <v>0</v>
      </c>
      <c r="AK615">
        <v>0</v>
      </c>
      <c r="AL615">
        <v>0</v>
      </c>
      <c r="AM615">
        <v>0.24767801857585137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0.75232198142414863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G615">
        <v>0</v>
      </c>
      <c r="BH615">
        <v>4.0375000000000005</v>
      </c>
      <c r="BI615">
        <v>4.0375000000000005</v>
      </c>
      <c r="BJ615">
        <v>0</v>
      </c>
      <c r="CA615">
        <v>0.75232198142414863</v>
      </c>
      <c r="CB615">
        <v>0.24767801857585137</v>
      </c>
    </row>
    <row r="616" spans="1:82" hidden="1" x14ac:dyDescent="0.25">
      <c r="A616" t="s">
        <v>128</v>
      </c>
      <c r="B616" t="s">
        <v>291</v>
      </c>
      <c r="C616" s="14" t="s">
        <v>72</v>
      </c>
      <c r="D616" s="12">
        <v>46235</v>
      </c>
      <c r="E616" s="14" t="s">
        <v>134</v>
      </c>
      <c r="F616" s="14" t="s">
        <v>73</v>
      </c>
      <c r="G616">
        <v>5.3727368119266048</v>
      </c>
      <c r="H616">
        <v>2.8499999999999996</v>
      </c>
      <c r="I616">
        <v>20</v>
      </c>
      <c r="J616">
        <v>2.8499999999999996</v>
      </c>
      <c r="K616">
        <v>46235</v>
      </c>
      <c r="L616" t="s">
        <v>456</v>
      </c>
      <c r="M616">
        <v>6.7720588235294095</v>
      </c>
      <c r="N616">
        <v>0.53045591097510336</v>
      </c>
      <c r="O616">
        <v>0.53045591097510336</v>
      </c>
      <c r="P616">
        <v>1.2604486429516772</v>
      </c>
      <c r="Q616">
        <v>0.26044864295167724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0.46954408902489664</v>
      </c>
      <c r="AA616">
        <v>0</v>
      </c>
      <c r="AB616">
        <v>0</v>
      </c>
      <c r="AC616">
        <v>0</v>
      </c>
      <c r="AD616">
        <v>0</v>
      </c>
      <c r="AE616">
        <v>0.53045591097510336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1.8851708112023178</v>
      </c>
      <c r="AL616">
        <v>1.8851708112023178</v>
      </c>
      <c r="AM616">
        <v>2.3761609907120738</v>
      </c>
      <c r="BD616">
        <v>0</v>
      </c>
      <c r="BE616">
        <v>0</v>
      </c>
      <c r="BF616">
        <v>0</v>
      </c>
      <c r="BH616">
        <v>0.42084690553745935</v>
      </c>
      <c r="BI616">
        <v>0.42084690553745935</v>
      </c>
      <c r="BJ616">
        <v>0.79336830230403743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0.20663169769596257</v>
      </c>
      <c r="BV616">
        <v>0</v>
      </c>
      <c r="BW616">
        <v>0</v>
      </c>
      <c r="BX616">
        <v>0</v>
      </c>
      <c r="BY616">
        <v>0.42084690553745935</v>
      </c>
      <c r="BZ616">
        <v>0</v>
      </c>
      <c r="CA616">
        <v>0</v>
      </c>
      <c r="CB616">
        <v>0</v>
      </c>
      <c r="CC616">
        <v>0</v>
      </c>
      <c r="CD616">
        <v>0</v>
      </c>
    </row>
    <row r="617" spans="1:82" hidden="1" x14ac:dyDescent="0.25">
      <c r="A617" t="s">
        <v>128</v>
      </c>
      <c r="B617" t="s">
        <v>421</v>
      </c>
      <c r="C617" s="14" t="s">
        <v>72</v>
      </c>
      <c r="D617" s="12">
        <v>46235</v>
      </c>
      <c r="E617" s="14" t="s">
        <v>134</v>
      </c>
      <c r="F617" s="14" t="s">
        <v>74</v>
      </c>
      <c r="G617">
        <v>2.6099783080260304</v>
      </c>
      <c r="H617">
        <v>0.95</v>
      </c>
      <c r="I617">
        <v>20</v>
      </c>
      <c r="J617">
        <v>0.95</v>
      </c>
      <c r="K617">
        <v>46235</v>
      </c>
      <c r="L617" t="s">
        <v>457</v>
      </c>
      <c r="M617">
        <v>2.0078431372549019</v>
      </c>
      <c r="N617">
        <v>0.36398769946808507</v>
      </c>
      <c r="O617">
        <v>0.36398769946808507</v>
      </c>
      <c r="P617">
        <v>0.76929495202336251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0.40530725255527744</v>
      </c>
      <c r="AA617">
        <v>0.23070504797663749</v>
      </c>
      <c r="AB617">
        <v>0</v>
      </c>
      <c r="AC617">
        <v>0</v>
      </c>
      <c r="AD617">
        <v>0</v>
      </c>
      <c r="AE617">
        <v>0.36398769946808507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2.7473455873958215</v>
      </c>
      <c r="AL617">
        <v>2.7473455873958215</v>
      </c>
      <c r="AM617">
        <v>2.1135190918472655</v>
      </c>
      <c r="BD617">
        <v>0</v>
      </c>
      <c r="BE617">
        <v>0</v>
      </c>
      <c r="BF617">
        <v>0</v>
      </c>
      <c r="BH617">
        <v>0.47314453125</v>
      </c>
      <c r="BI617">
        <v>0.47314453125</v>
      </c>
      <c r="BJ617">
        <v>1.2998915401301518</v>
      </c>
      <c r="BK617">
        <v>0.29989154013015185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0.63601230053191493</v>
      </c>
      <c r="BU617">
        <v>0</v>
      </c>
      <c r="BV617">
        <v>0</v>
      </c>
      <c r="BW617">
        <v>0</v>
      </c>
      <c r="BX617">
        <v>0</v>
      </c>
      <c r="BY617">
        <v>0.47314453125</v>
      </c>
      <c r="BZ617">
        <v>0</v>
      </c>
      <c r="CA617">
        <v>0</v>
      </c>
      <c r="CB617">
        <v>0</v>
      </c>
      <c r="CC617">
        <v>0</v>
      </c>
      <c r="CD617">
        <v>0</v>
      </c>
    </row>
    <row r="618" spans="1:82" hidden="1" x14ac:dyDescent="0.25">
      <c r="A618" t="s">
        <v>128</v>
      </c>
      <c r="B618" t="s">
        <v>422</v>
      </c>
      <c r="C618" s="14" t="s">
        <v>72</v>
      </c>
      <c r="D618" s="12">
        <v>46235</v>
      </c>
      <c r="E618" s="14" t="s">
        <v>134</v>
      </c>
      <c r="F618" s="14" t="s">
        <v>74</v>
      </c>
      <c r="G618">
        <v>1.2735376146788988</v>
      </c>
      <c r="H618">
        <v>0.95</v>
      </c>
      <c r="I618">
        <v>20</v>
      </c>
      <c r="J618">
        <v>0.95</v>
      </c>
      <c r="K618">
        <v>46235</v>
      </c>
      <c r="L618" t="s">
        <v>457</v>
      </c>
      <c r="M618">
        <v>1.0127450980392154</v>
      </c>
      <c r="N618">
        <v>0.74595362480873917</v>
      </c>
      <c r="O618">
        <v>0.74595362480873917</v>
      </c>
      <c r="P618">
        <v>0.79522197567329966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4.9268350864560495E-2</v>
      </c>
      <c r="AA618">
        <v>0.20477802432670034</v>
      </c>
      <c r="AB618">
        <v>0</v>
      </c>
      <c r="AC618">
        <v>0</v>
      </c>
      <c r="AD618">
        <v>0</v>
      </c>
      <c r="AE618">
        <v>0.74595362480873917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1.3405659101883145</v>
      </c>
      <c r="AL618">
        <v>1.3405659101883145</v>
      </c>
      <c r="AM618">
        <v>1.0660474716202268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6.6047471620226839E-2</v>
      </c>
      <c r="AU618">
        <v>0</v>
      </c>
      <c r="AV618">
        <v>0.27451843856808766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0.93804453049370784</v>
      </c>
      <c r="BI618">
        <v>0.93804453049370784</v>
      </c>
      <c r="BJ618">
        <v>1.2575105198184677</v>
      </c>
      <c r="BK618">
        <v>0.25751051981846773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0.25404637519126083</v>
      </c>
      <c r="BU618">
        <v>0</v>
      </c>
      <c r="BV618">
        <v>0</v>
      </c>
      <c r="BW618">
        <v>0</v>
      </c>
      <c r="BX618">
        <v>0</v>
      </c>
      <c r="BY618">
        <v>0.93804453049370784</v>
      </c>
      <c r="BZ618">
        <v>0</v>
      </c>
      <c r="CA618">
        <v>0</v>
      </c>
      <c r="CB618">
        <v>0</v>
      </c>
      <c r="CC618">
        <v>0</v>
      </c>
      <c r="CD618">
        <v>0</v>
      </c>
    </row>
    <row r="619" spans="1:82" hidden="1" x14ac:dyDescent="0.25">
      <c r="A619" t="s">
        <v>128</v>
      </c>
      <c r="B619" t="s">
        <v>291</v>
      </c>
      <c r="C619" s="14" t="s">
        <v>72</v>
      </c>
      <c r="D619" s="12">
        <v>46235</v>
      </c>
      <c r="E619" s="14" t="s">
        <v>134</v>
      </c>
      <c r="F619" s="14" t="s">
        <v>74</v>
      </c>
      <c r="G619">
        <v>1.2735376146788988</v>
      </c>
      <c r="H619">
        <v>9.5</v>
      </c>
      <c r="I619">
        <v>20</v>
      </c>
      <c r="J619">
        <v>9.5</v>
      </c>
      <c r="K619">
        <v>46235</v>
      </c>
      <c r="L619" t="s">
        <v>457</v>
      </c>
      <c r="M619">
        <v>2.8823529411764706</v>
      </c>
      <c r="N619">
        <v>7.4595362480873924</v>
      </c>
      <c r="O619">
        <v>7.4595362480873924</v>
      </c>
      <c r="P619">
        <v>2.263264867840757</v>
      </c>
      <c r="Q619">
        <v>0</v>
      </c>
      <c r="R619">
        <v>0</v>
      </c>
      <c r="S619">
        <v>5.1962713802466354</v>
      </c>
      <c r="T619">
        <v>0</v>
      </c>
      <c r="U619">
        <v>1.013264867840757</v>
      </c>
      <c r="V619">
        <v>0</v>
      </c>
      <c r="W619">
        <v>0.25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0.13405659101883147</v>
      </c>
      <c r="AL619">
        <v>0.13405659101883147</v>
      </c>
      <c r="AM619">
        <v>0.30340557275541796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0.69659442724458209</v>
      </c>
      <c r="AY619">
        <v>0</v>
      </c>
      <c r="AZ619">
        <v>0</v>
      </c>
      <c r="BA619">
        <v>0</v>
      </c>
      <c r="BB619">
        <v>0.13405659101883147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3.295918367346939</v>
      </c>
      <c r="BI619">
        <v>3.295918367346939</v>
      </c>
      <c r="BJ619">
        <v>0.44183958060288325</v>
      </c>
      <c r="CA619">
        <v>0</v>
      </c>
      <c r="CB619">
        <v>0</v>
      </c>
      <c r="CC619">
        <v>0</v>
      </c>
    </row>
    <row r="620" spans="1:82" hidden="1" x14ac:dyDescent="0.25">
      <c r="A620" t="s">
        <v>128</v>
      </c>
      <c r="B620" t="s">
        <v>422</v>
      </c>
      <c r="C620" s="14" t="s">
        <v>72</v>
      </c>
      <c r="D620" s="12">
        <v>46235</v>
      </c>
      <c r="E620" s="14" t="s">
        <v>134</v>
      </c>
      <c r="F620" s="14" t="s">
        <v>75</v>
      </c>
      <c r="G620">
        <v>2.2474193200215868</v>
      </c>
      <c r="H620">
        <v>1.9</v>
      </c>
      <c r="I620">
        <v>20</v>
      </c>
      <c r="J620">
        <v>1.9</v>
      </c>
      <c r="K620">
        <v>46235</v>
      </c>
      <c r="L620" t="s">
        <v>458</v>
      </c>
      <c r="M620">
        <v>2.188148788927335</v>
      </c>
      <c r="N620">
        <v>0.84541410811657081</v>
      </c>
      <c r="O620">
        <v>0.84541410811657081</v>
      </c>
      <c r="P620">
        <v>0.97362729306176721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0.1282131849451964</v>
      </c>
      <c r="AA620">
        <v>2.6372706938232793E-2</v>
      </c>
      <c r="AB620">
        <v>0</v>
      </c>
      <c r="AC620">
        <v>0</v>
      </c>
      <c r="AD620">
        <v>0</v>
      </c>
      <c r="AE620">
        <v>0.84541410811657081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1.182852273695572</v>
      </c>
      <c r="AL620">
        <v>1.182852273695572</v>
      </c>
      <c r="AM620">
        <v>1.1516572573301764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0.15165725733017643</v>
      </c>
      <c r="AU620">
        <v>0</v>
      </c>
      <c r="AV620">
        <v>3.1195016365395567E-2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0.86831389602688303</v>
      </c>
      <c r="BI620">
        <v>0.86831389602688303</v>
      </c>
      <c r="BJ620">
        <v>1.0270870661968592</v>
      </c>
      <c r="BK620">
        <v>2.7087066196859189E-2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0.15458589188342919</v>
      </c>
      <c r="BU620">
        <v>0</v>
      </c>
      <c r="BV620">
        <v>0</v>
      </c>
      <c r="BW620">
        <v>0</v>
      </c>
      <c r="BX620">
        <v>0</v>
      </c>
      <c r="BY620">
        <v>0.86831389602688303</v>
      </c>
      <c r="BZ620">
        <v>0</v>
      </c>
      <c r="CA620">
        <v>0</v>
      </c>
      <c r="CB620">
        <v>0</v>
      </c>
      <c r="CC620">
        <v>0</v>
      </c>
      <c r="CD620">
        <v>0</v>
      </c>
    </row>
    <row r="621" spans="1:82" hidden="1" x14ac:dyDescent="0.25">
      <c r="A621" t="s">
        <v>128</v>
      </c>
      <c r="B621" t="s">
        <v>421</v>
      </c>
      <c r="C621" s="14" t="s">
        <v>72</v>
      </c>
      <c r="D621" s="12">
        <v>46235</v>
      </c>
      <c r="E621" s="14" t="s">
        <v>134</v>
      </c>
      <c r="F621" s="14" t="s">
        <v>75</v>
      </c>
      <c r="G621">
        <v>2.4468546637744031</v>
      </c>
      <c r="H621">
        <v>3.8</v>
      </c>
      <c r="I621">
        <v>20</v>
      </c>
      <c r="J621">
        <v>3.8</v>
      </c>
      <c r="K621">
        <v>46235</v>
      </c>
      <c r="L621" t="s">
        <v>458</v>
      </c>
      <c r="M621">
        <v>1.7716262975778552</v>
      </c>
      <c r="N621">
        <v>1.5530141843971632</v>
      </c>
      <c r="O621">
        <v>1.5530141843971632</v>
      </c>
      <c r="P621">
        <v>0.72404230778669443</v>
      </c>
      <c r="Q621">
        <v>0</v>
      </c>
      <c r="R621">
        <v>0</v>
      </c>
      <c r="S621">
        <v>0.30301418439716321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0.25</v>
      </c>
      <c r="Z621">
        <v>0</v>
      </c>
      <c r="AA621">
        <v>0</v>
      </c>
      <c r="AB621">
        <v>0</v>
      </c>
      <c r="AC621">
        <v>0.27595769221330557</v>
      </c>
      <c r="AD621">
        <v>0</v>
      </c>
      <c r="AE621">
        <v>0.72404230778669443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0.64390912204589557</v>
      </c>
      <c r="AL621">
        <v>0.64390912204589557</v>
      </c>
      <c r="AM621">
        <v>0.46621744673101456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0.35609087795410443</v>
      </c>
      <c r="AY621">
        <v>0</v>
      </c>
      <c r="AZ621">
        <v>0.177691675314881</v>
      </c>
      <c r="BA621">
        <v>0</v>
      </c>
      <c r="BB621">
        <v>0.46621744673101456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2.1449218749999992</v>
      </c>
      <c r="BI621">
        <v>2.1449218749999992</v>
      </c>
      <c r="BJ621">
        <v>1.3811347613882858</v>
      </c>
      <c r="CA621">
        <v>0</v>
      </c>
      <c r="CB621">
        <v>0</v>
      </c>
      <c r="CC621">
        <v>0</v>
      </c>
    </row>
    <row r="622" spans="1:82" hidden="1" x14ac:dyDescent="0.25">
      <c r="A622" t="s">
        <v>128</v>
      </c>
      <c r="B622" t="s">
        <v>291</v>
      </c>
      <c r="C622" s="14" t="s">
        <v>72</v>
      </c>
      <c r="D622" s="12">
        <v>46235</v>
      </c>
      <c r="E622" s="14" t="s">
        <v>134</v>
      </c>
      <c r="F622" s="14" t="s">
        <v>75</v>
      </c>
      <c r="G622">
        <v>2.2474193200215868</v>
      </c>
      <c r="H622">
        <v>1.9</v>
      </c>
      <c r="I622">
        <v>20</v>
      </c>
      <c r="J622">
        <v>1.9</v>
      </c>
      <c r="K622">
        <v>46235</v>
      </c>
      <c r="L622" t="s">
        <v>458</v>
      </c>
      <c r="M622">
        <v>5.0415224913494781</v>
      </c>
      <c r="N622">
        <v>0.84541410811657081</v>
      </c>
      <c r="O622">
        <v>0.84541410811657081</v>
      </c>
      <c r="P622">
        <v>2.2432496003020272</v>
      </c>
      <c r="Q622">
        <v>1.2432496003020272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0.15458589188342919</v>
      </c>
      <c r="AA622">
        <v>0</v>
      </c>
      <c r="AB622">
        <v>0</v>
      </c>
      <c r="AC622">
        <v>0</v>
      </c>
      <c r="AD622">
        <v>0</v>
      </c>
      <c r="AE622">
        <v>0.84541410811657081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1.182852273695572</v>
      </c>
      <c r="AL622">
        <v>1.182852273695572</v>
      </c>
      <c r="AM622">
        <v>2.6534328901839359</v>
      </c>
      <c r="AN622">
        <v>1.4705806164883639</v>
      </c>
      <c r="AO622">
        <v>0</v>
      </c>
      <c r="AP622">
        <v>0</v>
      </c>
      <c r="AQ622">
        <v>0</v>
      </c>
      <c r="AR622">
        <v>0</v>
      </c>
      <c r="AS622">
        <v>0.317147726304428</v>
      </c>
      <c r="AT622">
        <v>0.182852273695572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0.37687028140013745</v>
      </c>
      <c r="BI622">
        <v>0.37687028140013745</v>
      </c>
      <c r="BJ622">
        <v>0.44578186924244267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0.55421813075755733</v>
      </c>
      <c r="BV622">
        <v>0</v>
      </c>
      <c r="BW622">
        <v>0</v>
      </c>
      <c r="BX622">
        <v>0</v>
      </c>
      <c r="BY622">
        <v>0.37687028140013745</v>
      </c>
      <c r="BZ622">
        <v>0</v>
      </c>
      <c r="CA622">
        <v>0</v>
      </c>
      <c r="CB622">
        <v>0</v>
      </c>
      <c r="CC622">
        <v>0</v>
      </c>
      <c r="CD622">
        <v>0</v>
      </c>
    </row>
    <row r="623" spans="1:82" hidden="1" x14ac:dyDescent="0.25">
      <c r="A623" t="s">
        <v>128</v>
      </c>
      <c r="B623" t="s">
        <v>291</v>
      </c>
      <c r="C623" s="14" t="s">
        <v>72</v>
      </c>
      <c r="D623" s="12">
        <v>46236</v>
      </c>
      <c r="E623" s="14" t="s">
        <v>134</v>
      </c>
      <c r="F623" s="14" t="s">
        <v>73</v>
      </c>
      <c r="G623">
        <v>3.5818245412844019</v>
      </c>
      <c r="H623">
        <v>6.6499999999999995</v>
      </c>
      <c r="I623">
        <v>20</v>
      </c>
      <c r="J623">
        <v>6.6499999999999995</v>
      </c>
      <c r="K623">
        <v>46236</v>
      </c>
      <c r="L623" t="s">
        <v>459</v>
      </c>
      <c r="M623">
        <v>5.8823529411764675</v>
      </c>
      <c r="N623">
        <v>1.8565956884128625</v>
      </c>
      <c r="O623">
        <v>1.8565956884128625</v>
      </c>
      <c r="P623">
        <v>1.6422783621520227</v>
      </c>
      <c r="Q623">
        <v>0</v>
      </c>
      <c r="R623">
        <v>0</v>
      </c>
      <c r="S623">
        <v>0.21431732626083977</v>
      </c>
      <c r="T623">
        <v>0</v>
      </c>
      <c r="U623">
        <v>0.39227836215202272</v>
      </c>
      <c r="V623">
        <v>0</v>
      </c>
      <c r="W623">
        <v>0.25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0.53862023177209051</v>
      </c>
      <c r="AL623">
        <v>0.53862023177209051</v>
      </c>
      <c r="AM623">
        <v>0.88456435205661177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0.11543564794338823</v>
      </c>
      <c r="AY623">
        <v>0</v>
      </c>
      <c r="AZ623">
        <v>0</v>
      </c>
      <c r="BA623">
        <v>0</v>
      </c>
      <c r="BB623">
        <v>0.53862023177209051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1.1305000000000005</v>
      </c>
      <c r="BI623">
        <v>1.1305000000000005</v>
      </c>
      <c r="BJ623">
        <v>0.60891017201834863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0.1305000000000005</v>
      </c>
      <c r="BT623">
        <v>0</v>
      </c>
      <c r="BU623">
        <v>0</v>
      </c>
      <c r="BV623">
        <v>0</v>
      </c>
      <c r="BW623">
        <v>0.39108982798165137</v>
      </c>
      <c r="BX623">
        <v>0</v>
      </c>
      <c r="BY623">
        <v>0.60891017201834863</v>
      </c>
      <c r="BZ623">
        <v>0</v>
      </c>
      <c r="CA623">
        <v>0</v>
      </c>
      <c r="CB623">
        <v>0</v>
      </c>
      <c r="CC623">
        <v>0</v>
      </c>
      <c r="CD623">
        <v>0</v>
      </c>
    </row>
    <row r="624" spans="1:82" hidden="1" x14ac:dyDescent="0.25">
      <c r="A624" t="s">
        <v>128</v>
      </c>
      <c r="B624" t="s">
        <v>422</v>
      </c>
      <c r="C624" s="14" t="s">
        <v>72</v>
      </c>
      <c r="D624" s="12">
        <v>46236</v>
      </c>
      <c r="E624" s="14" t="s">
        <v>134</v>
      </c>
      <c r="F624" s="14" t="s">
        <v>73</v>
      </c>
      <c r="G624">
        <v>3.5818245412844019</v>
      </c>
      <c r="H624">
        <v>0.95</v>
      </c>
      <c r="I624">
        <v>20</v>
      </c>
      <c r="J624">
        <v>0.95</v>
      </c>
      <c r="K624">
        <v>46236</v>
      </c>
      <c r="L624" t="s">
        <v>459</v>
      </c>
      <c r="M624">
        <v>1.0896139705882353</v>
      </c>
      <c r="N624">
        <v>0.26522795548755179</v>
      </c>
      <c r="O624">
        <v>0.26522795548755179</v>
      </c>
      <c r="P624">
        <v>0.30420640598925375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3.8978450501701956E-2</v>
      </c>
      <c r="AA624">
        <v>0.69579359401074625</v>
      </c>
      <c r="AB624">
        <v>0</v>
      </c>
      <c r="AC624">
        <v>0</v>
      </c>
      <c r="AD624">
        <v>0</v>
      </c>
      <c r="AE624">
        <v>0.26522795548755179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3.7703416224046338</v>
      </c>
      <c r="AL624">
        <v>3.7703416224046338</v>
      </c>
      <c r="AM624">
        <v>1.1469620743034057</v>
      </c>
      <c r="BD624">
        <v>0</v>
      </c>
      <c r="BE624">
        <v>0</v>
      </c>
      <c r="BF624">
        <v>0</v>
      </c>
      <c r="BH624">
        <v>0.87186840995360604</v>
      </c>
      <c r="BI624">
        <v>0.87186840995360604</v>
      </c>
      <c r="BJ624">
        <v>3.2872417553078273</v>
      </c>
      <c r="BK624">
        <v>2.2872417553078273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0.73477204451244815</v>
      </c>
      <c r="BU624">
        <v>0</v>
      </c>
      <c r="BV624">
        <v>0</v>
      </c>
      <c r="BW624">
        <v>0</v>
      </c>
      <c r="BX624">
        <v>0</v>
      </c>
      <c r="BY624">
        <v>0.87186840995360604</v>
      </c>
      <c r="BZ624">
        <v>0</v>
      </c>
      <c r="CA624">
        <v>0</v>
      </c>
      <c r="CB624">
        <v>0</v>
      </c>
      <c r="CC624">
        <v>0</v>
      </c>
      <c r="CD624">
        <v>0</v>
      </c>
    </row>
    <row r="625" spans="1:82" hidden="1" x14ac:dyDescent="0.25">
      <c r="A625" t="s">
        <v>128</v>
      </c>
      <c r="B625" t="s">
        <v>421</v>
      </c>
      <c r="C625" s="14" t="s">
        <v>72</v>
      </c>
      <c r="D625" s="12">
        <v>46236</v>
      </c>
      <c r="E625" s="14" t="s">
        <v>134</v>
      </c>
      <c r="F625" s="14" t="s">
        <v>73</v>
      </c>
      <c r="G625">
        <v>0</v>
      </c>
      <c r="H625">
        <v>0.95</v>
      </c>
      <c r="I625">
        <v>20</v>
      </c>
      <c r="J625">
        <v>0.95</v>
      </c>
      <c r="K625">
        <v>46236</v>
      </c>
      <c r="L625" t="s">
        <v>459</v>
      </c>
      <c r="M625">
        <v>0.23529411764705879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0.24767801857585137</v>
      </c>
      <c r="AI625">
        <v>0</v>
      </c>
      <c r="AJ625">
        <v>0</v>
      </c>
      <c r="AK625">
        <v>0</v>
      </c>
      <c r="AL625">
        <v>0</v>
      </c>
      <c r="AM625">
        <v>0.24767801857585137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0.75232198142414863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G625">
        <v>0</v>
      </c>
      <c r="BH625">
        <v>4.0375000000000005</v>
      </c>
      <c r="BI625">
        <v>4.0375000000000005</v>
      </c>
      <c r="BJ625">
        <v>0</v>
      </c>
      <c r="CA625">
        <v>0.75232198142414863</v>
      </c>
      <c r="CB625">
        <v>0.24767801857585137</v>
      </c>
    </row>
    <row r="626" spans="1:82" hidden="1" x14ac:dyDescent="0.25">
      <c r="A626" t="s">
        <v>128</v>
      </c>
      <c r="B626" t="s">
        <v>291</v>
      </c>
      <c r="C626" s="14" t="s">
        <v>72</v>
      </c>
      <c r="D626" s="12">
        <v>46236</v>
      </c>
      <c r="E626" s="14" t="s">
        <v>134</v>
      </c>
      <c r="F626" s="14" t="s">
        <v>74</v>
      </c>
      <c r="G626">
        <v>1.2735376146788988</v>
      </c>
      <c r="H626">
        <v>0</v>
      </c>
      <c r="I626">
        <v>20</v>
      </c>
      <c r="J626">
        <v>0</v>
      </c>
      <c r="K626">
        <v>46236</v>
      </c>
      <c r="L626" t="s">
        <v>460</v>
      </c>
      <c r="M626">
        <v>3.8823529411764706</v>
      </c>
      <c r="N626">
        <v>0</v>
      </c>
      <c r="O626">
        <v>0</v>
      </c>
      <c r="P626">
        <v>3.0484792097446927</v>
      </c>
      <c r="Q626">
        <v>2.0484792097446927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1</v>
      </c>
      <c r="BH626">
        <v>0</v>
      </c>
      <c r="BI626">
        <v>0</v>
      </c>
      <c r="BJ626">
        <v>0.32803241590214061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0.67196758409785939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0.32803241590214061</v>
      </c>
      <c r="CD626">
        <v>0</v>
      </c>
    </row>
    <row r="627" spans="1:82" hidden="1" x14ac:dyDescent="0.25">
      <c r="A627" t="s">
        <v>128</v>
      </c>
      <c r="B627" t="s">
        <v>422</v>
      </c>
      <c r="C627" s="14" t="s">
        <v>72</v>
      </c>
      <c r="D627" s="12">
        <v>46236</v>
      </c>
      <c r="E627" s="14" t="s">
        <v>134</v>
      </c>
      <c r="F627" s="14" t="s">
        <v>74</v>
      </c>
      <c r="G627">
        <v>1.2735376146788988</v>
      </c>
      <c r="H627">
        <v>0</v>
      </c>
      <c r="I627">
        <v>20</v>
      </c>
      <c r="J627">
        <v>0</v>
      </c>
      <c r="K627">
        <v>46236</v>
      </c>
      <c r="L627" t="s">
        <v>460</v>
      </c>
      <c r="M627">
        <v>6.2745098039215685E-2</v>
      </c>
      <c r="N627">
        <v>0</v>
      </c>
      <c r="O627">
        <v>0</v>
      </c>
      <c r="P627">
        <v>4.9268350864560689E-2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4.9268350864560689E-2</v>
      </c>
      <c r="AA627">
        <v>0.95073164913543928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H627">
        <v>0</v>
      </c>
      <c r="BI627">
        <v>0</v>
      </c>
      <c r="BJ627">
        <v>20.29700573394495</v>
      </c>
      <c r="BK627">
        <v>19.29700573394495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</row>
    <row r="628" spans="1:82" hidden="1" x14ac:dyDescent="0.25">
      <c r="A628" t="s">
        <v>128</v>
      </c>
      <c r="B628" t="s">
        <v>421</v>
      </c>
      <c r="C628" s="14" t="s">
        <v>72</v>
      </c>
      <c r="D628" s="12">
        <v>46236</v>
      </c>
      <c r="E628" s="14" t="s">
        <v>134</v>
      </c>
      <c r="F628" s="14" t="s">
        <v>74</v>
      </c>
      <c r="G628">
        <v>2.7731019522776572</v>
      </c>
      <c r="H628">
        <v>0</v>
      </c>
      <c r="I628">
        <v>20</v>
      </c>
      <c r="J628">
        <v>0</v>
      </c>
      <c r="K628">
        <v>46236</v>
      </c>
      <c r="L628" t="s">
        <v>460</v>
      </c>
      <c r="M628">
        <v>2.0078431372549019</v>
      </c>
      <c r="N628">
        <v>0</v>
      </c>
      <c r="O628">
        <v>0</v>
      </c>
      <c r="P628">
        <v>0.72404230778669421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0.72404230778669421</v>
      </c>
      <c r="AA628">
        <v>0.27595769221330579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</v>
      </c>
      <c r="BH628">
        <v>0</v>
      </c>
      <c r="BI628">
        <v>0</v>
      </c>
      <c r="BJ628">
        <v>1.3811347613882863</v>
      </c>
      <c r="BK628">
        <v>0.38113476138828628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1</v>
      </c>
    </row>
    <row r="629" spans="1:82" hidden="1" x14ac:dyDescent="0.25">
      <c r="A629" t="s">
        <v>128</v>
      </c>
      <c r="B629" t="s">
        <v>291</v>
      </c>
      <c r="C629" s="14" t="s">
        <v>72</v>
      </c>
      <c r="D629" s="12">
        <v>46236</v>
      </c>
      <c r="E629" s="14" t="s">
        <v>134</v>
      </c>
      <c r="F629" s="14" t="s">
        <v>75</v>
      </c>
      <c r="G629">
        <v>2.2474193200215868</v>
      </c>
      <c r="H629">
        <v>0</v>
      </c>
      <c r="I629">
        <v>20</v>
      </c>
      <c r="J629">
        <v>0</v>
      </c>
      <c r="K629">
        <v>46236</v>
      </c>
      <c r="L629" t="s">
        <v>461</v>
      </c>
      <c r="M629">
        <v>5.9307958477508649</v>
      </c>
      <c r="N629">
        <v>0</v>
      </c>
      <c r="O629">
        <v>0</v>
      </c>
      <c r="P629">
        <v>2.6389360431830311</v>
      </c>
      <c r="Q629">
        <v>1.6389360431830311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0.37894059713316136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0.62105940286683858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0.37894059713316142</v>
      </c>
      <c r="CD629">
        <v>0</v>
      </c>
    </row>
    <row r="630" spans="1:82" hidden="1" x14ac:dyDescent="0.25">
      <c r="A630" t="s">
        <v>128</v>
      </c>
      <c r="B630" t="s">
        <v>422</v>
      </c>
      <c r="C630" s="14" t="s">
        <v>72</v>
      </c>
      <c r="D630" s="12">
        <v>46236</v>
      </c>
      <c r="E630" s="14" t="s">
        <v>134</v>
      </c>
      <c r="F630" s="14" t="s">
        <v>75</v>
      </c>
      <c r="G630">
        <v>2.2474193200215868</v>
      </c>
      <c r="H630">
        <v>5.6999999999999993</v>
      </c>
      <c r="I630">
        <v>20</v>
      </c>
      <c r="J630">
        <v>5.6999999999999993</v>
      </c>
      <c r="K630">
        <v>46236</v>
      </c>
      <c r="L630" t="s">
        <v>461</v>
      </c>
      <c r="M630">
        <v>1.8823529411764703</v>
      </c>
      <c r="N630">
        <v>2.5362423243497121</v>
      </c>
      <c r="O630">
        <v>2.5362423243497121</v>
      </c>
      <c r="P630">
        <v>0.83756196469753141</v>
      </c>
      <c r="Q630">
        <v>0</v>
      </c>
      <c r="R630">
        <v>0</v>
      </c>
      <c r="S630">
        <v>1.2862423243497121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0.25</v>
      </c>
      <c r="Z630">
        <v>0</v>
      </c>
      <c r="AA630">
        <v>0</v>
      </c>
      <c r="AB630">
        <v>0</v>
      </c>
      <c r="AC630">
        <v>0.16243803530246859</v>
      </c>
      <c r="AD630">
        <v>0</v>
      </c>
      <c r="AE630">
        <v>0.83756196469753141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0.39428409123185737</v>
      </c>
      <c r="AL630">
        <v>0.39428409123185737</v>
      </c>
      <c r="AM630">
        <v>0.33023735810113519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0.60571590876814263</v>
      </c>
      <c r="AY630">
        <v>0</v>
      </c>
      <c r="AZ630">
        <v>6.4046733130722178E-2</v>
      </c>
      <c r="BA630">
        <v>0</v>
      </c>
      <c r="BB630">
        <v>0.33023735810113519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3.0281250000000002</v>
      </c>
      <c r="BI630">
        <v>3.0281250000000002</v>
      </c>
      <c r="BJ630">
        <v>1.1939415137614682</v>
      </c>
      <c r="CA630">
        <v>0</v>
      </c>
      <c r="CB630">
        <v>0</v>
      </c>
      <c r="CC630">
        <v>0</v>
      </c>
    </row>
    <row r="631" spans="1:82" hidden="1" x14ac:dyDescent="0.25">
      <c r="A631" t="s">
        <v>128</v>
      </c>
      <c r="B631" t="s">
        <v>421</v>
      </c>
      <c r="C631" s="14" t="s">
        <v>72</v>
      </c>
      <c r="D631" s="12">
        <v>46236</v>
      </c>
      <c r="E631" s="14" t="s">
        <v>134</v>
      </c>
      <c r="F631" s="14" t="s">
        <v>75</v>
      </c>
      <c r="G631">
        <v>2.4468546637744031</v>
      </c>
      <c r="H631">
        <v>7.6</v>
      </c>
      <c r="I631">
        <v>20</v>
      </c>
      <c r="J631">
        <v>7.6</v>
      </c>
      <c r="K631">
        <v>46236</v>
      </c>
      <c r="L631" t="s">
        <v>461</v>
      </c>
      <c r="M631">
        <v>1.7716262975778552</v>
      </c>
      <c r="N631">
        <v>3.1060283687943264</v>
      </c>
      <c r="O631">
        <v>3.1060283687943264</v>
      </c>
      <c r="P631">
        <v>0.72404230778669443</v>
      </c>
      <c r="Q631">
        <v>0</v>
      </c>
      <c r="R631">
        <v>0</v>
      </c>
      <c r="S631">
        <v>1.8560283687943264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0.25</v>
      </c>
      <c r="Z631">
        <v>0</v>
      </c>
      <c r="AA631">
        <v>0</v>
      </c>
      <c r="AB631">
        <v>0</v>
      </c>
      <c r="AC631">
        <v>0.27595769221330557</v>
      </c>
      <c r="AD631">
        <v>0</v>
      </c>
      <c r="AE631">
        <v>0.72404230778669443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0.32195456102294778</v>
      </c>
      <c r="AL631">
        <v>0.32195456102294778</v>
      </c>
      <c r="AM631">
        <v>0.23310872336550728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0.67804543897705227</v>
      </c>
      <c r="AY631">
        <v>0</v>
      </c>
      <c r="AZ631">
        <v>8.8845837657440502E-2</v>
      </c>
      <c r="BA631">
        <v>0</v>
      </c>
      <c r="BB631">
        <v>0.23310872336550728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4.2898437499999984</v>
      </c>
      <c r="BI631">
        <v>4.2898437499999984</v>
      </c>
      <c r="BJ631">
        <v>1.3811347613882858</v>
      </c>
      <c r="CA631">
        <v>0</v>
      </c>
      <c r="CB631">
        <v>0</v>
      </c>
      <c r="CC631">
        <v>0</v>
      </c>
    </row>
    <row r="632" spans="1:82" hidden="1" x14ac:dyDescent="0.25">
      <c r="A632" t="s">
        <v>128</v>
      </c>
      <c r="B632" t="s">
        <v>291</v>
      </c>
      <c r="C632" s="14" t="s">
        <v>72</v>
      </c>
      <c r="D632" s="12">
        <v>46237</v>
      </c>
      <c r="E632" s="14" t="s">
        <v>134</v>
      </c>
      <c r="F632" s="14" t="s">
        <v>73</v>
      </c>
      <c r="G632">
        <v>5.8204648795871554</v>
      </c>
      <c r="H632">
        <v>1.9</v>
      </c>
      <c r="I632">
        <v>20</v>
      </c>
      <c r="J632">
        <v>1.9</v>
      </c>
      <c r="K632">
        <v>46237</v>
      </c>
      <c r="L632" t="s">
        <v>462</v>
      </c>
      <c r="M632">
        <v>4.9411764705882346</v>
      </c>
      <c r="N632">
        <v>0.32643440675390978</v>
      </c>
      <c r="O632">
        <v>0.32643440675390978</v>
      </c>
      <c r="P632">
        <v>0.84893158412781478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0.522497177373905</v>
      </c>
      <c r="AA632">
        <v>0.15106841587218522</v>
      </c>
      <c r="AB632">
        <v>0</v>
      </c>
      <c r="AC632">
        <v>0</v>
      </c>
      <c r="AD632">
        <v>0</v>
      </c>
      <c r="AE632">
        <v>0.32643440675390978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3.0634025682037662</v>
      </c>
      <c r="AL632">
        <v>3.0634025682037662</v>
      </c>
      <c r="AM632">
        <v>2.6006191950464395</v>
      </c>
      <c r="BD632">
        <v>0</v>
      </c>
      <c r="BE632">
        <v>0</v>
      </c>
      <c r="BF632">
        <v>0</v>
      </c>
      <c r="BH632">
        <v>0.38452380952380955</v>
      </c>
      <c r="BI632">
        <v>0.38452380952380955</v>
      </c>
      <c r="BJ632">
        <v>1.1779512256307341</v>
      </c>
      <c r="BK632">
        <v>0.17795122563073407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0.67356559324609022</v>
      </c>
      <c r="BU632">
        <v>0</v>
      </c>
      <c r="BV632">
        <v>0</v>
      </c>
      <c r="BW632">
        <v>0</v>
      </c>
      <c r="BX632">
        <v>0</v>
      </c>
      <c r="BY632">
        <v>0.38452380952380955</v>
      </c>
      <c r="BZ632">
        <v>0</v>
      </c>
      <c r="CA632">
        <v>0</v>
      </c>
      <c r="CB632">
        <v>0</v>
      </c>
      <c r="CC632">
        <v>0</v>
      </c>
      <c r="CD632">
        <v>0</v>
      </c>
    </row>
    <row r="633" spans="1:82" hidden="1" x14ac:dyDescent="0.25">
      <c r="A633" t="s">
        <v>128</v>
      </c>
      <c r="B633" t="s">
        <v>422</v>
      </c>
      <c r="C633" s="14" t="s">
        <v>72</v>
      </c>
      <c r="D633" s="12">
        <v>46237</v>
      </c>
      <c r="E633" s="14" t="s">
        <v>134</v>
      </c>
      <c r="F633" s="14" t="s">
        <v>73</v>
      </c>
      <c r="G633">
        <v>5.8204648795871554</v>
      </c>
      <c r="H633">
        <v>0.95</v>
      </c>
      <c r="I633">
        <v>20</v>
      </c>
      <c r="J633">
        <v>0.95</v>
      </c>
      <c r="K633">
        <v>46237</v>
      </c>
      <c r="L633" t="s">
        <v>462</v>
      </c>
      <c r="M633">
        <v>2.5882352941176476</v>
      </c>
      <c r="N633">
        <v>0.16321720337695489</v>
      </c>
      <c r="O633">
        <v>0.16321720337695489</v>
      </c>
      <c r="P633">
        <v>0.44467844882885554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0.28146124545190065</v>
      </c>
      <c r="AA633">
        <v>0.55532155117114446</v>
      </c>
      <c r="AB633">
        <v>0</v>
      </c>
      <c r="AC633">
        <v>0</v>
      </c>
      <c r="AD633">
        <v>0</v>
      </c>
      <c r="AE633">
        <v>0.16321720337695489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6.1268051364075324</v>
      </c>
      <c r="AL633">
        <v>6.1268051364075324</v>
      </c>
      <c r="AM633">
        <v>2.7244582043343661</v>
      </c>
      <c r="BD633">
        <v>0</v>
      </c>
      <c r="BE633">
        <v>0</v>
      </c>
      <c r="BF633">
        <v>0</v>
      </c>
      <c r="BH633">
        <v>0.36704545454545445</v>
      </c>
      <c r="BI633">
        <v>0.36704545454545445</v>
      </c>
      <c r="BJ633">
        <v>2.2488159762041278</v>
      </c>
      <c r="BK633">
        <v>1.2488159762041278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0.83678279662304511</v>
      </c>
      <c r="BU633">
        <v>0</v>
      </c>
      <c r="BV633">
        <v>0</v>
      </c>
      <c r="BW633">
        <v>0</v>
      </c>
      <c r="BX633">
        <v>0</v>
      </c>
      <c r="BY633">
        <v>0.36704545454545445</v>
      </c>
      <c r="BZ633">
        <v>0</v>
      </c>
      <c r="CA633">
        <v>0</v>
      </c>
      <c r="CB633">
        <v>0</v>
      </c>
      <c r="CC633">
        <v>0</v>
      </c>
      <c r="CD633">
        <v>0</v>
      </c>
    </row>
    <row r="634" spans="1:82" hidden="1" x14ac:dyDescent="0.25">
      <c r="A634" t="s">
        <v>128</v>
      </c>
      <c r="B634" t="s">
        <v>421</v>
      </c>
      <c r="C634" s="14" t="s">
        <v>72</v>
      </c>
      <c r="D634" s="12">
        <v>46237</v>
      </c>
      <c r="E634" s="14" t="s">
        <v>134</v>
      </c>
      <c r="F634" s="14" t="s">
        <v>73</v>
      </c>
      <c r="G634">
        <v>2.5233188720173532</v>
      </c>
      <c r="H634">
        <v>0.95</v>
      </c>
      <c r="I634">
        <v>20</v>
      </c>
      <c r="J634">
        <v>0.95</v>
      </c>
      <c r="K634">
        <v>46237</v>
      </c>
      <c r="L634" t="s">
        <v>462</v>
      </c>
      <c r="M634">
        <v>0.23529411764705879</v>
      </c>
      <c r="N634">
        <v>0.37648828712658505</v>
      </c>
      <c r="O634">
        <v>0.37648828712658505</v>
      </c>
      <c r="P634">
        <v>9.3247872972528789E-2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0.62351171287341489</v>
      </c>
      <c r="AB634">
        <v>0</v>
      </c>
      <c r="AC634">
        <v>0.28324041415405626</v>
      </c>
      <c r="AD634">
        <v>0</v>
      </c>
      <c r="AE634">
        <v>9.3247872972528789E-2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2.656125128439319</v>
      </c>
      <c r="AL634">
        <v>2.656125128439319</v>
      </c>
      <c r="AM634">
        <v>0.24767801857585137</v>
      </c>
      <c r="BD634">
        <v>0</v>
      </c>
      <c r="BE634">
        <v>0</v>
      </c>
      <c r="BF634">
        <v>0</v>
      </c>
      <c r="BH634">
        <v>4.0375000000000005</v>
      </c>
      <c r="BI634">
        <v>4.0375000000000005</v>
      </c>
      <c r="BJ634">
        <v>10.724105206073752</v>
      </c>
      <c r="CA634">
        <v>0</v>
      </c>
      <c r="CB634">
        <v>0</v>
      </c>
      <c r="CC634">
        <v>0</v>
      </c>
    </row>
    <row r="635" spans="1:82" hidden="1" x14ac:dyDescent="0.25">
      <c r="A635" t="s">
        <v>128</v>
      </c>
      <c r="B635" t="s">
        <v>422</v>
      </c>
      <c r="C635" s="14" t="s">
        <v>72</v>
      </c>
      <c r="D635" s="12">
        <v>46237</v>
      </c>
      <c r="E635" s="14" t="s">
        <v>134</v>
      </c>
      <c r="F635" s="14" t="s">
        <v>74</v>
      </c>
      <c r="G635">
        <v>1.2735376146788988</v>
      </c>
      <c r="H635">
        <v>0</v>
      </c>
      <c r="I635">
        <v>20</v>
      </c>
      <c r="J635">
        <v>0</v>
      </c>
      <c r="K635">
        <v>46237</v>
      </c>
      <c r="L635" t="s">
        <v>463</v>
      </c>
      <c r="M635">
        <v>6.2745098039215685E-2</v>
      </c>
      <c r="N635">
        <v>0</v>
      </c>
      <c r="O635">
        <v>0</v>
      </c>
      <c r="P635">
        <v>4.9268350864560689E-2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4.9268350864560689E-2</v>
      </c>
      <c r="AA635">
        <v>0.95073164913543928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H635">
        <v>0</v>
      </c>
      <c r="BI635">
        <v>0</v>
      </c>
      <c r="BJ635">
        <v>20.29700573394495</v>
      </c>
      <c r="BK635">
        <v>19.29700573394495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</row>
    <row r="636" spans="1:82" hidden="1" x14ac:dyDescent="0.25">
      <c r="A636" t="s">
        <v>128</v>
      </c>
      <c r="B636" t="s">
        <v>291</v>
      </c>
      <c r="C636" s="14" t="s">
        <v>72</v>
      </c>
      <c r="D636" s="12">
        <v>46237</v>
      </c>
      <c r="E636" s="14" t="s">
        <v>134</v>
      </c>
      <c r="F636" s="14" t="s">
        <v>74</v>
      </c>
      <c r="G636">
        <v>1.2735376146788988</v>
      </c>
      <c r="H636">
        <v>3.8</v>
      </c>
      <c r="I636">
        <v>20</v>
      </c>
      <c r="J636">
        <v>3.8</v>
      </c>
      <c r="K636">
        <v>46237</v>
      </c>
      <c r="L636" t="s">
        <v>463</v>
      </c>
      <c r="M636">
        <v>1.8823529411764703</v>
      </c>
      <c r="N636">
        <v>2.9838144992349567</v>
      </c>
      <c r="O636">
        <v>2.9838144992349567</v>
      </c>
      <c r="P636">
        <v>1.4780505259368206</v>
      </c>
      <c r="Q636">
        <v>0</v>
      </c>
      <c r="R636">
        <v>0</v>
      </c>
      <c r="S636">
        <v>1.505763973298136</v>
      </c>
      <c r="T636">
        <v>0</v>
      </c>
      <c r="U636">
        <v>0.22805052593682063</v>
      </c>
      <c r="V636">
        <v>0</v>
      </c>
      <c r="W636">
        <v>0.25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0.33514147754707863</v>
      </c>
      <c r="AL636">
        <v>0.33514147754707863</v>
      </c>
      <c r="AM636">
        <v>0.49535603715170273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0.50464396284829727</v>
      </c>
      <c r="AY636">
        <v>0</v>
      </c>
      <c r="AZ636">
        <v>0</v>
      </c>
      <c r="BA636">
        <v>0</v>
      </c>
      <c r="BB636">
        <v>0.33514147754707863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2.0187500000000003</v>
      </c>
      <c r="BI636">
        <v>2.0187500000000003</v>
      </c>
      <c r="BJ636">
        <v>0.67656685779816506</v>
      </c>
      <c r="CA636">
        <v>0</v>
      </c>
      <c r="CB636">
        <v>0</v>
      </c>
      <c r="CC636">
        <v>0</v>
      </c>
    </row>
    <row r="637" spans="1:82" hidden="1" x14ac:dyDescent="0.25">
      <c r="A637" t="s">
        <v>128</v>
      </c>
      <c r="B637" t="s">
        <v>421</v>
      </c>
      <c r="C637" s="14" t="s">
        <v>72</v>
      </c>
      <c r="D637" s="12">
        <v>46237</v>
      </c>
      <c r="E637" s="14" t="s">
        <v>134</v>
      </c>
      <c r="F637" s="14" t="s">
        <v>74</v>
      </c>
      <c r="G637">
        <v>2.7731019522776572</v>
      </c>
      <c r="H637">
        <v>0</v>
      </c>
      <c r="I637">
        <v>20</v>
      </c>
      <c r="J637">
        <v>0</v>
      </c>
      <c r="K637">
        <v>46237</v>
      </c>
      <c r="L637" t="s">
        <v>463</v>
      </c>
      <c r="M637">
        <v>2.0078431372549019</v>
      </c>
      <c r="N637">
        <v>0</v>
      </c>
      <c r="O637">
        <v>0</v>
      </c>
      <c r="P637">
        <v>0.72404230778669421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0.72404230778669421</v>
      </c>
      <c r="AA637">
        <v>0.27595769221330579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H637">
        <v>0</v>
      </c>
      <c r="BI637">
        <v>0</v>
      </c>
      <c r="BJ637">
        <v>1.3811347613882863</v>
      </c>
      <c r="BK637">
        <v>0.38113476138828628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1</v>
      </c>
    </row>
    <row r="638" spans="1:82" hidden="1" x14ac:dyDescent="0.25">
      <c r="A638" t="s">
        <v>128</v>
      </c>
      <c r="B638" t="s">
        <v>421</v>
      </c>
      <c r="C638" s="14" t="s">
        <v>72</v>
      </c>
      <c r="D638" s="12">
        <v>46237</v>
      </c>
      <c r="E638" s="14" t="s">
        <v>134</v>
      </c>
      <c r="F638" s="14" t="s">
        <v>75</v>
      </c>
      <c r="G638">
        <v>2.4468546637744035</v>
      </c>
      <c r="H638">
        <v>3.8</v>
      </c>
      <c r="I638">
        <v>20</v>
      </c>
      <c r="J638">
        <v>3.8</v>
      </c>
      <c r="K638">
        <v>46237</v>
      </c>
      <c r="L638" t="s">
        <v>464</v>
      </c>
      <c r="M638">
        <v>1.7716262975778552</v>
      </c>
      <c r="N638">
        <v>1.553014184397163</v>
      </c>
      <c r="O638">
        <v>1.553014184397163</v>
      </c>
      <c r="P638">
        <v>0.72404230778669432</v>
      </c>
      <c r="Q638">
        <v>0</v>
      </c>
      <c r="R638">
        <v>0</v>
      </c>
      <c r="S638">
        <v>0.30301418439716299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0.25</v>
      </c>
      <c r="Z638">
        <v>0</v>
      </c>
      <c r="AA638">
        <v>0</v>
      </c>
      <c r="AB638">
        <v>0</v>
      </c>
      <c r="AC638">
        <v>0.27595769221330568</v>
      </c>
      <c r="AD638">
        <v>0</v>
      </c>
      <c r="AE638">
        <v>0.72404230778669432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0.64390912204589568</v>
      </c>
      <c r="AL638">
        <v>0.64390912204589568</v>
      </c>
      <c r="AM638">
        <v>0.46621744673101456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0.35609087795410432</v>
      </c>
      <c r="AY638">
        <v>0</v>
      </c>
      <c r="AZ638">
        <v>0.17769167531488111</v>
      </c>
      <c r="BA638">
        <v>0</v>
      </c>
      <c r="BB638">
        <v>0.46621744673101456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2.1449218749999992</v>
      </c>
      <c r="BI638">
        <v>2.1449218749999992</v>
      </c>
      <c r="BJ638">
        <v>1.3811347613882861</v>
      </c>
      <c r="CA638">
        <v>0</v>
      </c>
      <c r="CB638">
        <v>0</v>
      </c>
      <c r="CC638">
        <v>0</v>
      </c>
    </row>
    <row r="639" spans="1:82" hidden="1" x14ac:dyDescent="0.25">
      <c r="A639" t="s">
        <v>128</v>
      </c>
      <c r="B639" t="s">
        <v>422</v>
      </c>
      <c r="C639" s="14" t="s">
        <v>72</v>
      </c>
      <c r="D639" s="12">
        <v>46237</v>
      </c>
      <c r="E639" s="14" t="s">
        <v>134</v>
      </c>
      <c r="F639" s="14" t="s">
        <v>75</v>
      </c>
      <c r="G639">
        <v>3.3711289800323794</v>
      </c>
      <c r="H639">
        <v>1.9</v>
      </c>
      <c r="I639">
        <v>20</v>
      </c>
      <c r="J639">
        <v>1.9</v>
      </c>
      <c r="K639">
        <v>46237</v>
      </c>
      <c r="L639" t="s">
        <v>464</v>
      </c>
      <c r="M639">
        <v>2.214532871972319</v>
      </c>
      <c r="N639">
        <v>0.56360940541104732</v>
      </c>
      <c r="O639">
        <v>0.56360940541104732</v>
      </c>
      <c r="P639">
        <v>0.65691134486080938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9.3301939449762061E-2</v>
      </c>
      <c r="AA639">
        <v>0.34308865513919062</v>
      </c>
      <c r="AB639">
        <v>0</v>
      </c>
      <c r="AC639">
        <v>0</v>
      </c>
      <c r="AD639">
        <v>0</v>
      </c>
      <c r="AE639">
        <v>0.56360940541104732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1.7742784105433576</v>
      </c>
      <c r="AL639">
        <v>1.7742784105433576</v>
      </c>
      <c r="AM639">
        <v>1.1655436168275364</v>
      </c>
      <c r="BD639">
        <v>0</v>
      </c>
      <c r="BE639">
        <v>0</v>
      </c>
      <c r="BF639">
        <v>0</v>
      </c>
      <c r="BH639">
        <v>0.85796874999999972</v>
      </c>
      <c r="BI639">
        <v>0.85796874999999972</v>
      </c>
      <c r="BJ639">
        <v>1.522275430045871</v>
      </c>
      <c r="BK639">
        <v>0.52227543004587096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0.43639059458895268</v>
      </c>
      <c r="BU639">
        <v>0</v>
      </c>
      <c r="BV639">
        <v>0</v>
      </c>
      <c r="BW639">
        <v>0</v>
      </c>
      <c r="BX639">
        <v>0</v>
      </c>
      <c r="BY639">
        <v>0.85796874999999972</v>
      </c>
      <c r="BZ639">
        <v>0</v>
      </c>
      <c r="CA639">
        <v>0</v>
      </c>
      <c r="CB639">
        <v>0</v>
      </c>
      <c r="CC639">
        <v>0</v>
      </c>
      <c r="CD639">
        <v>0</v>
      </c>
    </row>
    <row r="640" spans="1:82" hidden="1" x14ac:dyDescent="0.25">
      <c r="A640" t="s">
        <v>128</v>
      </c>
      <c r="B640" t="s">
        <v>291</v>
      </c>
      <c r="C640" s="14" t="s">
        <v>72</v>
      </c>
      <c r="D640" s="12">
        <v>46237</v>
      </c>
      <c r="E640" s="14" t="s">
        <v>134</v>
      </c>
      <c r="F640" s="14" t="s">
        <v>75</v>
      </c>
      <c r="G640">
        <v>3.3711289800323794</v>
      </c>
      <c r="H640">
        <v>2.8499999999999996</v>
      </c>
      <c r="I640">
        <v>20</v>
      </c>
      <c r="J640">
        <v>2.8499999999999996</v>
      </c>
      <c r="K640">
        <v>46237</v>
      </c>
      <c r="L640" t="s">
        <v>464</v>
      </c>
      <c r="M640">
        <v>4.9273356401384065</v>
      </c>
      <c r="N640">
        <v>0.84541410811657103</v>
      </c>
      <c r="O640">
        <v>0.84541410811657103</v>
      </c>
      <c r="P640">
        <v>1.4616277423152999</v>
      </c>
      <c r="Q640">
        <v>0.4616277423152999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0.15458589188342897</v>
      </c>
      <c r="AA640">
        <v>0</v>
      </c>
      <c r="AB640">
        <v>0</v>
      </c>
      <c r="AC640">
        <v>0</v>
      </c>
      <c r="AD640">
        <v>0</v>
      </c>
      <c r="AE640">
        <v>0.84541410811657103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1.1828522736955718</v>
      </c>
      <c r="AL640">
        <v>1.1828522736955718</v>
      </c>
      <c r="AM640">
        <v>1.7288896982941779</v>
      </c>
      <c r="AN640">
        <v>0.54603742459860616</v>
      </c>
      <c r="AO640">
        <v>0</v>
      </c>
      <c r="AP640">
        <v>0</v>
      </c>
      <c r="AQ640">
        <v>0</v>
      </c>
      <c r="AR640">
        <v>0</v>
      </c>
      <c r="AS640">
        <v>0.31714772630442822</v>
      </c>
      <c r="AT640">
        <v>0.18285227369557178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0.57840589887640459</v>
      </c>
      <c r="BI640">
        <v>0.57840589887640459</v>
      </c>
      <c r="BJ640">
        <v>0.6841687326048862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0.3158312673951138</v>
      </c>
      <c r="BV640">
        <v>0</v>
      </c>
      <c r="BW640">
        <v>0</v>
      </c>
      <c r="BX640">
        <v>0</v>
      </c>
      <c r="BY640">
        <v>0.57840589887640459</v>
      </c>
      <c r="BZ640">
        <v>0</v>
      </c>
      <c r="CA640">
        <v>0</v>
      </c>
      <c r="CB640">
        <v>0</v>
      </c>
      <c r="CC640">
        <v>0</v>
      </c>
      <c r="CD640">
        <v>0</v>
      </c>
    </row>
    <row r="641" spans="1:82" hidden="1" x14ac:dyDescent="0.25">
      <c r="A641" t="s">
        <v>128</v>
      </c>
      <c r="B641" t="s">
        <v>421</v>
      </c>
      <c r="C641" s="14" t="s">
        <v>72</v>
      </c>
      <c r="D641" s="12">
        <v>46238</v>
      </c>
      <c r="E641" s="14" t="s">
        <v>134</v>
      </c>
      <c r="F641" s="14" t="s">
        <v>73</v>
      </c>
      <c r="G641">
        <v>3.7467462039045554</v>
      </c>
      <c r="H641">
        <v>0.95</v>
      </c>
      <c r="I641">
        <v>20</v>
      </c>
      <c r="J641">
        <v>0.95</v>
      </c>
      <c r="K641">
        <v>46238</v>
      </c>
      <c r="L641" t="s">
        <v>465</v>
      </c>
      <c r="M641">
        <v>0.23529411764705879</v>
      </c>
      <c r="N641">
        <v>0.25355333622810827</v>
      </c>
      <c r="O641">
        <v>0.25355333622810827</v>
      </c>
      <c r="P641">
        <v>6.2799587920274486E-2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0.74644666377189173</v>
      </c>
      <c r="AB641">
        <v>0</v>
      </c>
      <c r="AC641">
        <v>0.19075374830783379</v>
      </c>
      <c r="AD641">
        <v>0</v>
      </c>
      <c r="AE641">
        <v>6.2799587920274486E-2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3.9439433725311113</v>
      </c>
      <c r="AL641">
        <v>3.9439433725311113</v>
      </c>
      <c r="AM641">
        <v>0.24767801857585137</v>
      </c>
      <c r="BD641">
        <v>0</v>
      </c>
      <c r="BE641">
        <v>0</v>
      </c>
      <c r="BF641">
        <v>0</v>
      </c>
      <c r="BH641">
        <v>4.0375000000000005</v>
      </c>
      <c r="BI641">
        <v>4.0375000000000005</v>
      </c>
      <c r="BJ641">
        <v>15.923671366594363</v>
      </c>
      <c r="CA641">
        <v>0</v>
      </c>
      <c r="CB641">
        <v>0</v>
      </c>
      <c r="CC641">
        <v>0</v>
      </c>
    </row>
    <row r="642" spans="1:82" hidden="1" x14ac:dyDescent="0.25">
      <c r="A642" t="s">
        <v>128</v>
      </c>
      <c r="B642" t="s">
        <v>422</v>
      </c>
      <c r="C642" s="14" t="s">
        <v>72</v>
      </c>
      <c r="D642" s="12">
        <v>46238</v>
      </c>
      <c r="E642" s="14" t="s">
        <v>134</v>
      </c>
      <c r="F642" s="14" t="s">
        <v>73</v>
      </c>
      <c r="G642">
        <v>5.8204648795871554</v>
      </c>
      <c r="H642">
        <v>0.95</v>
      </c>
      <c r="I642">
        <v>20</v>
      </c>
      <c r="J642">
        <v>0.95</v>
      </c>
      <c r="K642">
        <v>46238</v>
      </c>
      <c r="L642" t="s">
        <v>465</v>
      </c>
      <c r="M642">
        <v>3.2941176470588225</v>
      </c>
      <c r="N642">
        <v>0.16321720337695489</v>
      </c>
      <c r="O642">
        <v>0.16321720337695489</v>
      </c>
      <c r="P642">
        <v>0.56595438941854315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0.40273718604158826</v>
      </c>
      <c r="AA642">
        <v>0.43404561058145685</v>
      </c>
      <c r="AB642">
        <v>0</v>
      </c>
      <c r="AC642">
        <v>0</v>
      </c>
      <c r="AD642">
        <v>0</v>
      </c>
      <c r="AE642">
        <v>0.16321720337695489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6.1268051364075324</v>
      </c>
      <c r="AL642">
        <v>6.1268051364075324</v>
      </c>
      <c r="AM642">
        <v>3.4674922600619187</v>
      </c>
      <c r="BD642">
        <v>0</v>
      </c>
      <c r="BE642">
        <v>0</v>
      </c>
      <c r="BF642">
        <v>0</v>
      </c>
      <c r="BH642">
        <v>0.28839285714285723</v>
      </c>
      <c r="BI642">
        <v>0.28839285714285723</v>
      </c>
      <c r="BJ642">
        <v>1.7669268384461012</v>
      </c>
      <c r="BK642">
        <v>0.76692683844610121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0.83678279662304511</v>
      </c>
      <c r="BU642">
        <v>0</v>
      </c>
      <c r="BV642">
        <v>0</v>
      </c>
      <c r="BW642">
        <v>0</v>
      </c>
      <c r="BX642">
        <v>0</v>
      </c>
      <c r="BY642">
        <v>0.28839285714285723</v>
      </c>
      <c r="BZ642">
        <v>0</v>
      </c>
      <c r="CA642">
        <v>0</v>
      </c>
      <c r="CB642">
        <v>0</v>
      </c>
      <c r="CC642">
        <v>0</v>
      </c>
      <c r="CD642">
        <v>0</v>
      </c>
    </row>
    <row r="643" spans="1:82" hidden="1" x14ac:dyDescent="0.25">
      <c r="A643" t="s">
        <v>128</v>
      </c>
      <c r="B643" t="s">
        <v>291</v>
      </c>
      <c r="C643" s="14" t="s">
        <v>72</v>
      </c>
      <c r="D643" s="12">
        <v>46238</v>
      </c>
      <c r="E643" s="14" t="s">
        <v>134</v>
      </c>
      <c r="F643" s="14" t="s">
        <v>73</v>
      </c>
      <c r="G643">
        <v>5.8204648795871554</v>
      </c>
      <c r="H643">
        <v>2.8499999999999996</v>
      </c>
      <c r="I643">
        <v>20</v>
      </c>
      <c r="J643">
        <v>2.8499999999999996</v>
      </c>
      <c r="K643">
        <v>46238</v>
      </c>
      <c r="L643" t="s">
        <v>465</v>
      </c>
      <c r="M643">
        <v>4.7058823529411749</v>
      </c>
      <c r="N643">
        <v>0.48965161013086461</v>
      </c>
      <c r="O643">
        <v>0.48965161013086461</v>
      </c>
      <c r="P643">
        <v>0.80850627059791869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0.31885466046705407</v>
      </c>
      <c r="AA643">
        <v>0.19149372940208131</v>
      </c>
      <c r="AB643">
        <v>0</v>
      </c>
      <c r="AC643">
        <v>0</v>
      </c>
      <c r="AD643">
        <v>0</v>
      </c>
      <c r="AE643">
        <v>0.48965161013086461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2.0422683788025111</v>
      </c>
      <c r="AL643">
        <v>2.0422683788025111</v>
      </c>
      <c r="AM643">
        <v>1.6511867905056756</v>
      </c>
      <c r="BD643">
        <v>0</v>
      </c>
      <c r="BE643">
        <v>0</v>
      </c>
      <c r="BF643">
        <v>0</v>
      </c>
      <c r="BH643">
        <v>0.60562500000000008</v>
      </c>
      <c r="BI643">
        <v>0.60562500000000008</v>
      </c>
      <c r="BJ643">
        <v>1.2368487869122708</v>
      </c>
      <c r="BK643">
        <v>0.23684878691227085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0.51034838986913544</v>
      </c>
      <c r="BU643">
        <v>0</v>
      </c>
      <c r="BV643">
        <v>0</v>
      </c>
      <c r="BW643">
        <v>0</v>
      </c>
      <c r="BX643">
        <v>0</v>
      </c>
      <c r="BY643">
        <v>0.60562500000000008</v>
      </c>
      <c r="BZ643">
        <v>0</v>
      </c>
      <c r="CA643">
        <v>0</v>
      </c>
      <c r="CB643">
        <v>0</v>
      </c>
      <c r="CC643">
        <v>0</v>
      </c>
      <c r="CD643">
        <v>0</v>
      </c>
    </row>
    <row r="644" spans="1:82" hidden="1" x14ac:dyDescent="0.25">
      <c r="A644" t="s">
        <v>128</v>
      </c>
      <c r="B644" t="s">
        <v>421</v>
      </c>
      <c r="C644" s="14" t="s">
        <v>72</v>
      </c>
      <c r="D644" s="12">
        <v>46238</v>
      </c>
      <c r="E644" s="14" t="s">
        <v>134</v>
      </c>
      <c r="F644" s="14" t="s">
        <v>74</v>
      </c>
      <c r="G644">
        <v>2.7731019522776572</v>
      </c>
      <c r="H644">
        <v>0</v>
      </c>
      <c r="I644">
        <v>20</v>
      </c>
      <c r="J644">
        <v>0</v>
      </c>
      <c r="K644">
        <v>46238</v>
      </c>
      <c r="L644" t="s">
        <v>466</v>
      </c>
      <c r="M644">
        <v>2.0078431372549019</v>
      </c>
      <c r="N644">
        <v>0</v>
      </c>
      <c r="O644">
        <v>0</v>
      </c>
      <c r="P644">
        <v>0.72404230778669421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0.72404230778669421</v>
      </c>
      <c r="AA644">
        <v>0.27595769221330579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H644">
        <v>0</v>
      </c>
      <c r="BI644">
        <v>0</v>
      </c>
      <c r="BJ644">
        <v>1.3811347613882863</v>
      </c>
      <c r="BK644">
        <v>0.38113476138828628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1</v>
      </c>
    </row>
    <row r="645" spans="1:82" hidden="1" x14ac:dyDescent="0.25">
      <c r="A645" t="s">
        <v>128</v>
      </c>
      <c r="B645" t="s">
        <v>422</v>
      </c>
      <c r="C645" s="14" t="s">
        <v>72</v>
      </c>
      <c r="D645" s="12">
        <v>46238</v>
      </c>
      <c r="E645" s="14" t="s">
        <v>134</v>
      </c>
      <c r="F645" s="14" t="s">
        <v>74</v>
      </c>
      <c r="G645">
        <v>1.2735376146788988</v>
      </c>
      <c r="H645">
        <v>0</v>
      </c>
      <c r="I645">
        <v>20</v>
      </c>
      <c r="J645">
        <v>0</v>
      </c>
      <c r="K645">
        <v>46238</v>
      </c>
      <c r="L645" t="s">
        <v>466</v>
      </c>
      <c r="M645">
        <v>6.2745098039215685E-2</v>
      </c>
      <c r="N645">
        <v>0</v>
      </c>
      <c r="O645">
        <v>0</v>
      </c>
      <c r="P645">
        <v>4.9268350864560689E-2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4.9268350864560689E-2</v>
      </c>
      <c r="AA645">
        <v>0.95073164913543928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H645">
        <v>0</v>
      </c>
      <c r="BI645">
        <v>0</v>
      </c>
      <c r="BJ645">
        <v>20.29700573394495</v>
      </c>
      <c r="BK645">
        <v>19.29700573394495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</row>
    <row r="646" spans="1:82" hidden="1" x14ac:dyDescent="0.25">
      <c r="A646" t="s">
        <v>128</v>
      </c>
      <c r="B646" t="s">
        <v>291</v>
      </c>
      <c r="C646" s="14" t="s">
        <v>72</v>
      </c>
      <c r="D646" s="12">
        <v>46238</v>
      </c>
      <c r="E646" s="14" t="s">
        <v>134</v>
      </c>
      <c r="F646" s="14" t="s">
        <v>74</v>
      </c>
      <c r="G646">
        <v>1.2735376146788988</v>
      </c>
      <c r="H646">
        <v>10.45</v>
      </c>
      <c r="I646">
        <v>20</v>
      </c>
      <c r="J646">
        <v>10.45</v>
      </c>
      <c r="K646">
        <v>46238</v>
      </c>
      <c r="L646" t="s">
        <v>466</v>
      </c>
      <c r="M646">
        <v>1.8823529411764703</v>
      </c>
      <c r="N646">
        <v>8.2054898728961305</v>
      </c>
      <c r="O646">
        <v>8.2054898728961305</v>
      </c>
      <c r="P646">
        <v>1.4780505259368206</v>
      </c>
      <c r="Q646">
        <v>0</v>
      </c>
      <c r="R646">
        <v>0</v>
      </c>
      <c r="S646">
        <v>6.7274393469593097</v>
      </c>
      <c r="T646">
        <v>0</v>
      </c>
      <c r="U646">
        <v>0.22805052593682063</v>
      </c>
      <c r="V646">
        <v>0</v>
      </c>
      <c r="W646">
        <v>0.25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0.12186962819893769</v>
      </c>
      <c r="AL646">
        <v>0.12186962819893769</v>
      </c>
      <c r="AM646">
        <v>0.18012946805516464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0.81987053194483539</v>
      </c>
      <c r="AY646">
        <v>0</v>
      </c>
      <c r="AZ646">
        <v>0</v>
      </c>
      <c r="BA646">
        <v>0</v>
      </c>
      <c r="BB646">
        <v>0.12186962819893769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5.5515625000000002</v>
      </c>
      <c r="BI646">
        <v>5.5515625000000002</v>
      </c>
      <c r="BJ646">
        <v>0.67656685779816506</v>
      </c>
      <c r="CA646">
        <v>0</v>
      </c>
      <c r="CB646">
        <v>0</v>
      </c>
      <c r="CC646">
        <v>0</v>
      </c>
    </row>
    <row r="647" spans="1:82" hidden="1" x14ac:dyDescent="0.25">
      <c r="A647" t="s">
        <v>128</v>
      </c>
      <c r="B647" t="s">
        <v>422</v>
      </c>
      <c r="C647" s="14" t="s">
        <v>72</v>
      </c>
      <c r="D647" s="12">
        <v>46238</v>
      </c>
      <c r="E647" s="14" t="s">
        <v>134</v>
      </c>
      <c r="F647" s="14" t="s">
        <v>75</v>
      </c>
      <c r="G647">
        <v>3.3711289800323794</v>
      </c>
      <c r="H647">
        <v>2.8499999999999996</v>
      </c>
      <c r="I647">
        <v>20</v>
      </c>
      <c r="J647">
        <v>2.8499999999999996</v>
      </c>
      <c r="K647">
        <v>46238</v>
      </c>
      <c r="L647" t="s">
        <v>467</v>
      </c>
      <c r="M647">
        <v>1.5501730103806233</v>
      </c>
      <c r="N647">
        <v>0.84541410811657103</v>
      </c>
      <c r="O647">
        <v>0.84541410811657103</v>
      </c>
      <c r="P647">
        <v>0.45983794140256656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0.15458589188342897</v>
      </c>
      <c r="AB647">
        <v>0</v>
      </c>
      <c r="AC647">
        <v>0.38557616671400446</v>
      </c>
      <c r="AD647">
        <v>0</v>
      </c>
      <c r="AE647">
        <v>0.45983794140256656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1.1828522736955718</v>
      </c>
      <c r="AL647">
        <v>1.1828522736955718</v>
      </c>
      <c r="AM647">
        <v>0.54392035451951704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0.18285227369557178</v>
      </c>
      <c r="AW647">
        <v>0</v>
      </c>
      <c r="AX647">
        <v>0</v>
      </c>
      <c r="AY647">
        <v>0</v>
      </c>
      <c r="AZ647">
        <v>0.45607964548048296</v>
      </c>
      <c r="BA647">
        <v>0</v>
      </c>
      <c r="BB647">
        <v>0.54392035451951704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1.8385044642857136</v>
      </c>
      <c r="BI647">
        <v>1.8385044642857136</v>
      </c>
      <c r="BJ647">
        <v>2.1746791857798153</v>
      </c>
      <c r="CA647">
        <v>0</v>
      </c>
      <c r="CB647">
        <v>0</v>
      </c>
      <c r="CC647">
        <v>0</v>
      </c>
    </row>
    <row r="648" spans="1:82" hidden="1" x14ac:dyDescent="0.25">
      <c r="A648" t="s">
        <v>128</v>
      </c>
      <c r="B648" t="s">
        <v>291</v>
      </c>
      <c r="C648" s="14" t="s">
        <v>72</v>
      </c>
      <c r="D648" s="12">
        <v>46238</v>
      </c>
      <c r="E648" s="14" t="s">
        <v>134</v>
      </c>
      <c r="F648" s="14" t="s">
        <v>75</v>
      </c>
      <c r="G648">
        <v>3.3711289800323794</v>
      </c>
      <c r="H648">
        <v>2.8499999999999996</v>
      </c>
      <c r="I648">
        <v>20</v>
      </c>
      <c r="J648">
        <v>2.8499999999999996</v>
      </c>
      <c r="K648">
        <v>46238</v>
      </c>
      <c r="L648" t="s">
        <v>467</v>
      </c>
      <c r="M648">
        <v>4.9273356401384065</v>
      </c>
      <c r="N648">
        <v>0.84541410811657103</v>
      </c>
      <c r="O648">
        <v>0.84541410811657103</v>
      </c>
      <c r="P648">
        <v>1.4616277423152999</v>
      </c>
      <c r="Q648">
        <v>0.4616277423152999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0.15458589188342897</v>
      </c>
      <c r="AA648">
        <v>0</v>
      </c>
      <c r="AB648">
        <v>0</v>
      </c>
      <c r="AC648">
        <v>0</v>
      </c>
      <c r="AD648">
        <v>0</v>
      </c>
      <c r="AE648">
        <v>0.84541410811657103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1.1828522736955718</v>
      </c>
      <c r="AL648">
        <v>1.1828522736955718</v>
      </c>
      <c r="AM648">
        <v>1.7288896982941779</v>
      </c>
      <c r="AN648">
        <v>0.54603742459860616</v>
      </c>
      <c r="AO648">
        <v>0</v>
      </c>
      <c r="AP648">
        <v>0</v>
      </c>
      <c r="AQ648">
        <v>0</v>
      </c>
      <c r="AR648">
        <v>0</v>
      </c>
      <c r="AS648">
        <v>0.31714772630442822</v>
      </c>
      <c r="AT648">
        <v>0.18285227369557178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0.57840589887640459</v>
      </c>
      <c r="BI648">
        <v>0.57840589887640459</v>
      </c>
      <c r="BJ648">
        <v>0.6841687326048862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0.3158312673951138</v>
      </c>
      <c r="BV648">
        <v>0</v>
      </c>
      <c r="BW648">
        <v>0</v>
      </c>
      <c r="BX648">
        <v>0</v>
      </c>
      <c r="BY648">
        <v>0.57840589887640459</v>
      </c>
      <c r="BZ648">
        <v>0</v>
      </c>
      <c r="CA648">
        <v>0</v>
      </c>
      <c r="CB648">
        <v>0</v>
      </c>
      <c r="CC648">
        <v>0</v>
      </c>
      <c r="CD648">
        <v>0</v>
      </c>
    </row>
    <row r="649" spans="1:82" hidden="1" x14ac:dyDescent="0.25">
      <c r="A649" t="s">
        <v>128</v>
      </c>
      <c r="B649" t="s">
        <v>421</v>
      </c>
      <c r="C649" s="14" t="s">
        <v>72</v>
      </c>
      <c r="D649" s="12">
        <v>46238</v>
      </c>
      <c r="E649" s="14" t="s">
        <v>134</v>
      </c>
      <c r="F649" s="14" t="s">
        <v>75</v>
      </c>
      <c r="G649">
        <v>2.4468546637744035</v>
      </c>
      <c r="H649">
        <v>2.8499999999999996</v>
      </c>
      <c r="I649">
        <v>20</v>
      </c>
      <c r="J649">
        <v>2.8499999999999996</v>
      </c>
      <c r="K649">
        <v>46238</v>
      </c>
      <c r="L649" t="s">
        <v>467</v>
      </c>
      <c r="M649">
        <v>1.7716262975778552</v>
      </c>
      <c r="N649">
        <v>1.1647606382978721</v>
      </c>
      <c r="O649">
        <v>1.1647606382978721</v>
      </c>
      <c r="P649">
        <v>0.72404230778669432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0.16476063829787213</v>
      </c>
      <c r="Z649">
        <v>0</v>
      </c>
      <c r="AA649">
        <v>0</v>
      </c>
      <c r="AB649">
        <v>0</v>
      </c>
      <c r="AC649">
        <v>0.27595769221330568</v>
      </c>
      <c r="AD649">
        <v>0</v>
      </c>
      <c r="AE649">
        <v>0.72404230778669432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0.85854549606119435</v>
      </c>
      <c r="AL649">
        <v>0.85854549606119435</v>
      </c>
      <c r="AM649">
        <v>0.62162326230801945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0.14145450393880565</v>
      </c>
      <c r="AY649">
        <v>0</v>
      </c>
      <c r="AZ649">
        <v>0.23692223375317489</v>
      </c>
      <c r="BA649">
        <v>0</v>
      </c>
      <c r="BB649">
        <v>0.62162326230801945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1.6086914062499993</v>
      </c>
      <c r="BI649">
        <v>1.6086914062499993</v>
      </c>
      <c r="BJ649">
        <v>1.3811347613882861</v>
      </c>
      <c r="CA649">
        <v>0</v>
      </c>
      <c r="CB649">
        <v>0</v>
      </c>
      <c r="CC649">
        <v>0</v>
      </c>
    </row>
    <row r="650" spans="1:82" hidden="1" x14ac:dyDescent="0.25">
      <c r="A650" t="s">
        <v>128</v>
      </c>
      <c r="B650" t="s">
        <v>421</v>
      </c>
      <c r="C650" s="14" t="s">
        <v>72</v>
      </c>
      <c r="D650" s="12">
        <v>46239</v>
      </c>
      <c r="E650" s="14" t="s">
        <v>134</v>
      </c>
      <c r="F650" s="14" t="s">
        <v>73</v>
      </c>
      <c r="G650">
        <v>2.5233188720173527</v>
      </c>
      <c r="H650">
        <v>6.6499999999999995</v>
      </c>
      <c r="I650">
        <v>20</v>
      </c>
      <c r="J650">
        <v>6.6499999999999995</v>
      </c>
      <c r="K650">
        <v>46239</v>
      </c>
      <c r="L650" t="s">
        <v>468</v>
      </c>
      <c r="M650">
        <v>0.23529411764705879</v>
      </c>
      <c r="N650">
        <v>2.6354180098860955</v>
      </c>
      <c r="O650">
        <v>2.6354180098860955</v>
      </c>
      <c r="P650">
        <v>9.3247872972528817E-2</v>
      </c>
      <c r="Q650">
        <v>0</v>
      </c>
      <c r="R650">
        <v>0</v>
      </c>
      <c r="S650">
        <v>1.3854180098860955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0.25</v>
      </c>
      <c r="Z650">
        <v>0</v>
      </c>
      <c r="AA650">
        <v>0</v>
      </c>
      <c r="AB650">
        <v>0</v>
      </c>
      <c r="AC650">
        <v>0.90675212702747121</v>
      </c>
      <c r="AD650">
        <v>0</v>
      </c>
      <c r="AE650">
        <v>9.3247872972528817E-2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0.3794464469199027</v>
      </c>
      <c r="AL650">
        <v>0.3794464469199027</v>
      </c>
      <c r="AM650">
        <v>3.538257408226448E-2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0.6205535530800973</v>
      </c>
      <c r="AY650">
        <v>0</v>
      </c>
      <c r="AZ650">
        <v>0.34406387283763823</v>
      </c>
      <c r="BA650">
        <v>0</v>
      </c>
      <c r="BB650">
        <v>3.538257408226448E-2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28.262500000000003</v>
      </c>
      <c r="BI650">
        <v>28.262500000000003</v>
      </c>
      <c r="BJ650">
        <v>10.72410520607375</v>
      </c>
      <c r="CA650">
        <v>0</v>
      </c>
      <c r="CB650">
        <v>0</v>
      </c>
      <c r="CC650">
        <v>0</v>
      </c>
    </row>
    <row r="651" spans="1:82" hidden="1" x14ac:dyDescent="0.25">
      <c r="A651" t="s">
        <v>128</v>
      </c>
      <c r="B651" t="s">
        <v>291</v>
      </c>
      <c r="C651" s="14" t="s">
        <v>72</v>
      </c>
      <c r="D651" s="12">
        <v>46239</v>
      </c>
      <c r="E651" s="14" t="s">
        <v>134</v>
      </c>
      <c r="F651" s="14" t="s">
        <v>73</v>
      </c>
      <c r="G651">
        <v>4.6265233658256877</v>
      </c>
      <c r="H651">
        <v>0.95</v>
      </c>
      <c r="I651">
        <v>20</v>
      </c>
      <c r="J651">
        <v>0.95</v>
      </c>
      <c r="K651">
        <v>46239</v>
      </c>
      <c r="L651" t="s">
        <v>468</v>
      </c>
      <c r="M651">
        <v>2.8235294117647065</v>
      </c>
      <c r="N651">
        <v>0.2053377719903626</v>
      </c>
      <c r="O651">
        <v>0.2053377719903626</v>
      </c>
      <c r="P651">
        <v>0.61029183006423571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0.40495405807387308</v>
      </c>
      <c r="AA651">
        <v>0.38970816993576429</v>
      </c>
      <c r="AB651">
        <v>0</v>
      </c>
      <c r="AC651">
        <v>0</v>
      </c>
      <c r="AD651">
        <v>0</v>
      </c>
      <c r="AE651">
        <v>0.2053377719903626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4.8700245956059875</v>
      </c>
      <c r="AL651">
        <v>4.8700245956059875</v>
      </c>
      <c r="AM651">
        <v>2.9721362229102177</v>
      </c>
      <c r="BD651">
        <v>0</v>
      </c>
      <c r="BE651">
        <v>0</v>
      </c>
      <c r="BF651">
        <v>0</v>
      </c>
      <c r="BH651">
        <v>0.33645833333333325</v>
      </c>
      <c r="BI651">
        <v>0.33645833333333325</v>
      </c>
      <c r="BJ651">
        <v>1.6385603587299307</v>
      </c>
      <c r="BK651">
        <v>0.63856035872993067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0.79466222800963737</v>
      </c>
      <c r="BU651">
        <v>0</v>
      </c>
      <c r="BV651">
        <v>0</v>
      </c>
      <c r="BW651">
        <v>0</v>
      </c>
      <c r="BX651">
        <v>0</v>
      </c>
      <c r="BY651">
        <v>0.33645833333333325</v>
      </c>
      <c r="BZ651">
        <v>0</v>
      </c>
      <c r="CA651">
        <v>0</v>
      </c>
      <c r="CB651">
        <v>0</v>
      </c>
      <c r="CC651">
        <v>0</v>
      </c>
      <c r="CD651">
        <v>0</v>
      </c>
    </row>
    <row r="652" spans="1:82" hidden="1" x14ac:dyDescent="0.25">
      <c r="A652" t="s">
        <v>128</v>
      </c>
      <c r="B652" t="s">
        <v>422</v>
      </c>
      <c r="C652" s="14" t="s">
        <v>72</v>
      </c>
      <c r="D652" s="12">
        <v>46239</v>
      </c>
      <c r="E652" s="14" t="s">
        <v>134</v>
      </c>
      <c r="F652" s="14" t="s">
        <v>73</v>
      </c>
      <c r="G652">
        <v>4.6265233658256877</v>
      </c>
      <c r="H652">
        <v>4.75</v>
      </c>
      <c r="I652">
        <v>20</v>
      </c>
      <c r="J652">
        <v>4.75</v>
      </c>
      <c r="K652">
        <v>46239</v>
      </c>
      <c r="L652" t="s">
        <v>468</v>
      </c>
      <c r="M652">
        <v>2.3416289592760191</v>
      </c>
      <c r="N652">
        <v>1.0266888599518129</v>
      </c>
      <c r="O652">
        <v>1.0266888599518129</v>
      </c>
      <c r="P652">
        <v>0.50613144560615719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2.6688859951812915E-2</v>
      </c>
      <c r="Z652">
        <v>0</v>
      </c>
      <c r="AA652">
        <v>0</v>
      </c>
      <c r="AB652">
        <v>0</v>
      </c>
      <c r="AC652">
        <v>0.49386855439384281</v>
      </c>
      <c r="AD652">
        <v>0</v>
      </c>
      <c r="AE652">
        <v>0.50613144560615719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0.97400491912119735</v>
      </c>
      <c r="AL652">
        <v>0.97400491912119735</v>
      </c>
      <c r="AM652">
        <v>0.49297451774231982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2.5995080878802646E-2</v>
      </c>
      <c r="AY652">
        <v>0</v>
      </c>
      <c r="AZ652">
        <v>0.48103040137887754</v>
      </c>
      <c r="BA652">
        <v>0</v>
      </c>
      <c r="BB652">
        <v>0.49297451774231982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2.0285024154589362</v>
      </c>
      <c r="BI652">
        <v>2.0285024154589362</v>
      </c>
      <c r="BJ652">
        <v>1.9757713311062348</v>
      </c>
      <c r="CA652">
        <v>0</v>
      </c>
      <c r="CB652">
        <v>0</v>
      </c>
      <c r="CC652">
        <v>0</v>
      </c>
    </row>
    <row r="653" spans="1:82" hidden="1" x14ac:dyDescent="0.25">
      <c r="A653" t="s">
        <v>128</v>
      </c>
      <c r="B653" t="s">
        <v>421</v>
      </c>
      <c r="C653" s="14" t="s">
        <v>72</v>
      </c>
      <c r="D653" s="12">
        <v>46239</v>
      </c>
      <c r="E653" s="14" t="s">
        <v>134</v>
      </c>
      <c r="F653" s="14" t="s">
        <v>74</v>
      </c>
      <c r="G653">
        <v>2.7731019522776572</v>
      </c>
      <c r="H653">
        <v>0.95</v>
      </c>
      <c r="I653">
        <v>20</v>
      </c>
      <c r="J653">
        <v>0.95</v>
      </c>
      <c r="K653">
        <v>46239</v>
      </c>
      <c r="L653" t="s">
        <v>469</v>
      </c>
      <c r="M653">
        <v>2.0078431372549019</v>
      </c>
      <c r="N653">
        <v>0.34257665832290363</v>
      </c>
      <c r="O653">
        <v>0.34257665832290363</v>
      </c>
      <c r="P653">
        <v>0.72404230778669421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0.38146564946379058</v>
      </c>
      <c r="AA653">
        <v>0.27595769221330579</v>
      </c>
      <c r="AB653">
        <v>0</v>
      </c>
      <c r="AC653">
        <v>0</v>
      </c>
      <c r="AD653">
        <v>0</v>
      </c>
      <c r="AE653">
        <v>0.34257665832290363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2.9190546866080602</v>
      </c>
      <c r="AL653">
        <v>2.9190546866080602</v>
      </c>
      <c r="AM653">
        <v>2.1135190918472655</v>
      </c>
      <c r="BD653">
        <v>0</v>
      </c>
      <c r="BE653">
        <v>0</v>
      </c>
      <c r="BF653">
        <v>0</v>
      </c>
      <c r="BH653">
        <v>0.47314453125</v>
      </c>
      <c r="BI653">
        <v>0.47314453125</v>
      </c>
      <c r="BJ653">
        <v>1.3811347613882863</v>
      </c>
      <c r="BK653">
        <v>0.38113476138828628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0.65742334167709637</v>
      </c>
      <c r="BU653">
        <v>0</v>
      </c>
      <c r="BV653">
        <v>0</v>
      </c>
      <c r="BW653">
        <v>0</v>
      </c>
      <c r="BX653">
        <v>0</v>
      </c>
      <c r="BY653">
        <v>0.47314453125</v>
      </c>
      <c r="BZ653">
        <v>0</v>
      </c>
      <c r="CA653">
        <v>0</v>
      </c>
      <c r="CB653">
        <v>0</v>
      </c>
      <c r="CC653">
        <v>0</v>
      </c>
      <c r="CD653">
        <v>0</v>
      </c>
    </row>
    <row r="654" spans="1:82" hidden="1" x14ac:dyDescent="0.25">
      <c r="A654" t="s">
        <v>128</v>
      </c>
      <c r="B654" t="s">
        <v>291</v>
      </c>
      <c r="C654" s="14" t="s">
        <v>72</v>
      </c>
      <c r="D654" s="12">
        <v>46239</v>
      </c>
      <c r="E654" s="14" t="s">
        <v>134</v>
      </c>
      <c r="F654" s="14" t="s">
        <v>74</v>
      </c>
      <c r="G654">
        <v>1.2735376146788988</v>
      </c>
      <c r="H654">
        <v>4.75</v>
      </c>
      <c r="I654">
        <v>20</v>
      </c>
      <c r="J654">
        <v>4.75</v>
      </c>
      <c r="K654">
        <v>46239</v>
      </c>
      <c r="L654" t="s">
        <v>469</v>
      </c>
      <c r="M654">
        <v>2.8823529411764706</v>
      </c>
      <c r="N654">
        <v>3.7297681240436962</v>
      </c>
      <c r="O654">
        <v>3.7297681240436962</v>
      </c>
      <c r="P654">
        <v>2.263264867840757</v>
      </c>
      <c r="Q654">
        <v>0</v>
      </c>
      <c r="R654">
        <v>0</v>
      </c>
      <c r="S654">
        <v>1.4665032562029392</v>
      </c>
      <c r="T654">
        <v>0</v>
      </c>
      <c r="U654">
        <v>1.013264867840757</v>
      </c>
      <c r="V654">
        <v>0</v>
      </c>
      <c r="W654">
        <v>0.25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0.26811318203766293</v>
      </c>
      <c r="AL654">
        <v>0.26811318203766293</v>
      </c>
      <c r="AM654">
        <v>0.60681114551083593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0.39318885448916407</v>
      </c>
      <c r="AY654">
        <v>0</v>
      </c>
      <c r="AZ654">
        <v>0</v>
      </c>
      <c r="BA654">
        <v>0</v>
      </c>
      <c r="BB654">
        <v>0.26811318203766293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1.6479591836734695</v>
      </c>
      <c r="BI654">
        <v>1.6479591836734695</v>
      </c>
      <c r="BJ654">
        <v>0.44183958060288325</v>
      </c>
      <c r="CA654">
        <v>0</v>
      </c>
      <c r="CB654">
        <v>0</v>
      </c>
      <c r="CC654">
        <v>0</v>
      </c>
    </row>
    <row r="655" spans="1:82" hidden="1" x14ac:dyDescent="0.25">
      <c r="A655" t="s">
        <v>128</v>
      </c>
      <c r="B655" t="s">
        <v>422</v>
      </c>
      <c r="C655" s="14" t="s">
        <v>72</v>
      </c>
      <c r="D655" s="12">
        <v>46239</v>
      </c>
      <c r="E655" s="14" t="s">
        <v>134</v>
      </c>
      <c r="F655" s="14" t="s">
        <v>74</v>
      </c>
      <c r="G655">
        <v>1.2735376146788988</v>
      </c>
      <c r="H655">
        <v>0.95</v>
      </c>
      <c r="I655">
        <v>20</v>
      </c>
      <c r="J655">
        <v>0.95</v>
      </c>
      <c r="K655">
        <v>46239</v>
      </c>
      <c r="L655" t="s">
        <v>469</v>
      </c>
      <c r="M655">
        <v>6.2745098039215685E-2</v>
      </c>
      <c r="N655">
        <v>0.74595362480873917</v>
      </c>
      <c r="O655">
        <v>0.74595362480873917</v>
      </c>
      <c r="P655">
        <v>4.9268350864560689E-2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0.25404637519126083</v>
      </c>
      <c r="AB655">
        <v>0</v>
      </c>
      <c r="AC655">
        <v>0.69668527394417845</v>
      </c>
      <c r="AD655">
        <v>0</v>
      </c>
      <c r="AE655">
        <v>4.9268350864560689E-2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1.3405659101883145</v>
      </c>
      <c r="AL655">
        <v>1.3405659101883145</v>
      </c>
      <c r="AM655">
        <v>6.6047471620227047E-2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0.3405659101883145</v>
      </c>
      <c r="AW655">
        <v>0</v>
      </c>
      <c r="AX655">
        <v>0</v>
      </c>
      <c r="AY655">
        <v>0</v>
      </c>
      <c r="AZ655">
        <v>0.93395252837977294</v>
      </c>
      <c r="BA655">
        <v>0</v>
      </c>
      <c r="BB655">
        <v>6.6047471620227047E-2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15.140625</v>
      </c>
      <c r="BI655">
        <v>15.140625</v>
      </c>
      <c r="BJ655">
        <v>20.29700573394495</v>
      </c>
      <c r="CA655">
        <v>0</v>
      </c>
      <c r="CB655">
        <v>0</v>
      </c>
      <c r="CC655">
        <v>0</v>
      </c>
    </row>
    <row r="656" spans="1:82" hidden="1" x14ac:dyDescent="0.25">
      <c r="A656" t="s">
        <v>128</v>
      </c>
      <c r="B656" t="s">
        <v>421</v>
      </c>
      <c r="C656" s="14" t="s">
        <v>72</v>
      </c>
      <c r="D656" s="12">
        <v>46239</v>
      </c>
      <c r="E656" s="14" t="s">
        <v>134</v>
      </c>
      <c r="F656" s="14" t="s">
        <v>75</v>
      </c>
      <c r="G656">
        <v>2.4468546637744035</v>
      </c>
      <c r="H656">
        <v>2.8499999999999996</v>
      </c>
      <c r="I656">
        <v>20</v>
      </c>
      <c r="J656">
        <v>2.8499999999999996</v>
      </c>
      <c r="K656">
        <v>46239</v>
      </c>
      <c r="L656" t="s">
        <v>470</v>
      </c>
      <c r="M656">
        <v>1.7716262975778552</v>
      </c>
      <c r="N656">
        <v>1.1647606382978721</v>
      </c>
      <c r="O656">
        <v>1.1647606382978721</v>
      </c>
      <c r="P656">
        <v>0.72404230778669432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0.16476063829787213</v>
      </c>
      <c r="Z656">
        <v>0</v>
      </c>
      <c r="AA656">
        <v>0</v>
      </c>
      <c r="AB656">
        <v>0</v>
      </c>
      <c r="AC656">
        <v>0.27595769221330568</v>
      </c>
      <c r="AD656">
        <v>0</v>
      </c>
      <c r="AE656">
        <v>0.72404230778669432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0.85854549606119435</v>
      </c>
      <c r="AL656">
        <v>0.85854549606119435</v>
      </c>
      <c r="AM656">
        <v>0.62162326230801945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0.14145450393880565</v>
      </c>
      <c r="AY656">
        <v>0</v>
      </c>
      <c r="AZ656">
        <v>0.23692223375317489</v>
      </c>
      <c r="BA656">
        <v>0</v>
      </c>
      <c r="BB656">
        <v>0.62162326230801945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1.6086914062499993</v>
      </c>
      <c r="BI656">
        <v>1.6086914062499993</v>
      </c>
      <c r="BJ656">
        <v>1.3811347613882861</v>
      </c>
      <c r="CA656">
        <v>0</v>
      </c>
      <c r="CB656">
        <v>0</v>
      </c>
      <c r="CC656">
        <v>0</v>
      </c>
    </row>
    <row r="657" spans="1:82" hidden="1" x14ac:dyDescent="0.25">
      <c r="A657" t="s">
        <v>128</v>
      </c>
      <c r="B657" t="s">
        <v>291</v>
      </c>
      <c r="C657" s="14" t="s">
        <v>72</v>
      </c>
      <c r="D657" s="12">
        <v>46239</v>
      </c>
      <c r="E657" s="14" t="s">
        <v>134</v>
      </c>
      <c r="F657" s="14" t="s">
        <v>75</v>
      </c>
      <c r="G657">
        <v>3.9329838100377761</v>
      </c>
      <c r="H657">
        <v>1.9</v>
      </c>
      <c r="I657">
        <v>20</v>
      </c>
      <c r="J657">
        <v>1.9</v>
      </c>
      <c r="K657">
        <v>46239</v>
      </c>
      <c r="L657" t="s">
        <v>470</v>
      </c>
      <c r="M657">
        <v>5.8166089965397889</v>
      </c>
      <c r="N657">
        <v>0.48309377606661202</v>
      </c>
      <c r="O657">
        <v>0.48309377606661202</v>
      </c>
      <c r="P657">
        <v>1.4789303179165441</v>
      </c>
      <c r="Q657">
        <v>0.47893031791654406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0.51690622393338792</v>
      </c>
      <c r="AA657">
        <v>0</v>
      </c>
      <c r="AB657">
        <v>0</v>
      </c>
      <c r="AC657">
        <v>0</v>
      </c>
      <c r="AD657">
        <v>0</v>
      </c>
      <c r="AE657">
        <v>0.48309377606661202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2.0699914789672507</v>
      </c>
      <c r="AL657">
        <v>2.0699914789672507</v>
      </c>
      <c r="AM657">
        <v>3.0613731560735733</v>
      </c>
      <c r="BD657">
        <v>0</v>
      </c>
      <c r="BE657">
        <v>0</v>
      </c>
      <c r="BF657">
        <v>0</v>
      </c>
      <c r="BH657">
        <v>0.32665080309339695</v>
      </c>
      <c r="BI657">
        <v>0.32665080309339695</v>
      </c>
      <c r="BJ657">
        <v>0.67616437900114101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0.32383562099885899</v>
      </c>
      <c r="BV657">
        <v>0</v>
      </c>
      <c r="BW657">
        <v>0</v>
      </c>
      <c r="BX657">
        <v>0</v>
      </c>
      <c r="BY657">
        <v>0.32665080309339695</v>
      </c>
      <c r="BZ657">
        <v>0</v>
      </c>
      <c r="CA657">
        <v>0</v>
      </c>
      <c r="CB657">
        <v>0</v>
      </c>
      <c r="CC657">
        <v>0</v>
      </c>
      <c r="CD657">
        <v>0</v>
      </c>
    </row>
    <row r="658" spans="1:82" hidden="1" x14ac:dyDescent="0.25">
      <c r="A658" t="s">
        <v>128</v>
      </c>
      <c r="B658" t="s">
        <v>422</v>
      </c>
      <c r="C658" s="14" t="s">
        <v>72</v>
      </c>
      <c r="D658" s="12">
        <v>46239</v>
      </c>
      <c r="E658" s="14" t="s">
        <v>134</v>
      </c>
      <c r="F658" s="14" t="s">
        <v>75</v>
      </c>
      <c r="G658">
        <v>3.9329838100377761</v>
      </c>
      <c r="H658">
        <v>2.8499999999999996</v>
      </c>
      <c r="I658">
        <v>20</v>
      </c>
      <c r="J658">
        <v>2.8499999999999996</v>
      </c>
      <c r="K658">
        <v>46239</v>
      </c>
      <c r="L658" t="s">
        <v>470</v>
      </c>
      <c r="M658">
        <v>2.2113388341762041</v>
      </c>
      <c r="N658">
        <v>0.72464066409991801</v>
      </c>
      <c r="O658">
        <v>0.72464066409991801</v>
      </c>
      <c r="P658">
        <v>0.56225475134995895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0.27535933590008199</v>
      </c>
      <c r="AB658">
        <v>0</v>
      </c>
      <c r="AC658">
        <v>0.16238591274995906</v>
      </c>
      <c r="AD658">
        <v>0</v>
      </c>
      <c r="AE658">
        <v>0.56225475134995895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1.3799943193115005</v>
      </c>
      <c r="AL658">
        <v>1.3799943193115005</v>
      </c>
      <c r="AM658">
        <v>0.77590836286884368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0.37999431931150052</v>
      </c>
      <c r="AW658">
        <v>0</v>
      </c>
      <c r="AX658">
        <v>0</v>
      </c>
      <c r="AY658">
        <v>0</v>
      </c>
      <c r="AZ658">
        <v>0.22409163713115632</v>
      </c>
      <c r="BA658">
        <v>0</v>
      </c>
      <c r="BB658">
        <v>0.77590836286884368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1.2888119884448723</v>
      </c>
      <c r="BI658">
        <v>1.2888119884448723</v>
      </c>
      <c r="BJ658">
        <v>1.7785532227144831</v>
      </c>
      <c r="BK658">
        <v>0.4897412342696108</v>
      </c>
      <c r="BL658">
        <v>0</v>
      </c>
      <c r="BM658">
        <v>0</v>
      </c>
      <c r="BN658">
        <v>0</v>
      </c>
      <c r="BO658">
        <v>0</v>
      </c>
      <c r="BP658">
        <v>0.21118801155512767</v>
      </c>
      <c r="BQ658">
        <v>0.28881198844487233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</row>
    <row r="659" spans="1:82" hidden="1" x14ac:dyDescent="0.25">
      <c r="A659" t="s">
        <v>128</v>
      </c>
      <c r="B659" t="s">
        <v>421</v>
      </c>
      <c r="C659" s="14" t="s">
        <v>72</v>
      </c>
      <c r="D659" s="12">
        <v>46240</v>
      </c>
      <c r="E659" s="14" t="s">
        <v>134</v>
      </c>
      <c r="F659" s="14" t="s">
        <v>73</v>
      </c>
      <c r="G659">
        <v>3.8996746203904542</v>
      </c>
      <c r="H659">
        <v>0.95</v>
      </c>
      <c r="I659">
        <v>20</v>
      </c>
      <c r="J659">
        <v>0.95</v>
      </c>
      <c r="K659">
        <v>46240</v>
      </c>
      <c r="L659" t="s">
        <v>471</v>
      </c>
      <c r="M659">
        <v>0.23529411764705879</v>
      </c>
      <c r="N659">
        <v>0.24361006814073155</v>
      </c>
      <c r="O659">
        <v>0.24361006814073155</v>
      </c>
      <c r="P659">
        <v>6.0336858982224524E-2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0.75638993185926839</v>
      </c>
      <c r="AB659">
        <v>0</v>
      </c>
      <c r="AC659">
        <v>0.18327320915850703</v>
      </c>
      <c r="AD659">
        <v>0</v>
      </c>
      <c r="AE659">
        <v>6.0336858982224524E-2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4.1049206530425835</v>
      </c>
      <c r="AL659">
        <v>4.1049206530425835</v>
      </c>
      <c r="AM659">
        <v>0.24767801857585137</v>
      </c>
      <c r="BD659">
        <v>0</v>
      </c>
      <c r="BE659">
        <v>0</v>
      </c>
      <c r="BF659">
        <v>0</v>
      </c>
      <c r="BH659">
        <v>4.0375000000000005</v>
      </c>
      <c r="BI659">
        <v>4.0375000000000005</v>
      </c>
      <c r="BJ659">
        <v>16.573617136659433</v>
      </c>
      <c r="CA659">
        <v>0</v>
      </c>
      <c r="CB659">
        <v>0</v>
      </c>
      <c r="CC659">
        <v>0</v>
      </c>
    </row>
    <row r="660" spans="1:82" hidden="1" x14ac:dyDescent="0.25">
      <c r="A660" t="s">
        <v>128</v>
      </c>
      <c r="B660" t="s">
        <v>291</v>
      </c>
      <c r="C660" s="14" t="s">
        <v>72</v>
      </c>
      <c r="D660" s="12">
        <v>46240</v>
      </c>
      <c r="E660" s="14" t="s">
        <v>134</v>
      </c>
      <c r="F660" s="14" t="s">
        <v>73</v>
      </c>
      <c r="G660">
        <v>5.9697075688073395</v>
      </c>
      <c r="H660">
        <v>2.8499999999999996</v>
      </c>
      <c r="I660">
        <v>20</v>
      </c>
      <c r="J660">
        <v>2.8499999999999996</v>
      </c>
      <c r="K660">
        <v>46240</v>
      </c>
      <c r="L660" t="s">
        <v>471</v>
      </c>
      <c r="M660">
        <v>6.7654798761609918</v>
      </c>
      <c r="N660">
        <v>0.47741031987759291</v>
      </c>
      <c r="O660">
        <v>0.47741031987759291</v>
      </c>
      <c r="P660">
        <v>1.1333017234398026</v>
      </c>
      <c r="Q660">
        <v>0.13330172343980262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0.52258968012240703</v>
      </c>
      <c r="AA660">
        <v>0</v>
      </c>
      <c r="AB660">
        <v>0</v>
      </c>
      <c r="AC660">
        <v>0</v>
      </c>
      <c r="AD660">
        <v>0</v>
      </c>
      <c r="AE660">
        <v>0.47741031987759291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2.0946342346692424</v>
      </c>
      <c r="AL660">
        <v>2.0946342346692424</v>
      </c>
      <c r="AM660">
        <v>2.3738525881266641</v>
      </c>
      <c r="BD660">
        <v>0</v>
      </c>
      <c r="BE660">
        <v>0</v>
      </c>
      <c r="BF660">
        <v>0</v>
      </c>
      <c r="BH660">
        <v>0.42125614918201565</v>
      </c>
      <c r="BI660">
        <v>0.42125614918201565</v>
      </c>
      <c r="BJ660">
        <v>0.88237755164158349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0.11762244835841651</v>
      </c>
      <c r="BV660">
        <v>0</v>
      </c>
      <c r="BW660">
        <v>0</v>
      </c>
      <c r="BX660">
        <v>0</v>
      </c>
      <c r="BY660">
        <v>0.42125614918201565</v>
      </c>
      <c r="BZ660">
        <v>0</v>
      </c>
      <c r="CA660">
        <v>0</v>
      </c>
      <c r="CB660">
        <v>0</v>
      </c>
      <c r="CC660">
        <v>0</v>
      </c>
      <c r="CD660">
        <v>0</v>
      </c>
    </row>
    <row r="661" spans="1:82" hidden="1" x14ac:dyDescent="0.25">
      <c r="A661" t="s">
        <v>128</v>
      </c>
      <c r="B661" t="s">
        <v>422</v>
      </c>
      <c r="C661" s="14" t="s">
        <v>72</v>
      </c>
      <c r="D661" s="12">
        <v>46240</v>
      </c>
      <c r="E661" s="14" t="s">
        <v>134</v>
      </c>
      <c r="F661" s="14" t="s">
        <v>73</v>
      </c>
      <c r="G661">
        <v>5.9697075688073395</v>
      </c>
      <c r="H661">
        <v>0.95</v>
      </c>
      <c r="I661">
        <v>20</v>
      </c>
      <c r="J661">
        <v>0.95</v>
      </c>
      <c r="K661">
        <v>46240</v>
      </c>
      <c r="L661" t="s">
        <v>471</v>
      </c>
      <c r="M661">
        <v>2.514705882352942</v>
      </c>
      <c r="N661">
        <v>0.15913677329253098</v>
      </c>
      <c r="O661">
        <v>0.15913677329253098</v>
      </c>
      <c r="P661">
        <v>0.42124439989199397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0.26210762659946296</v>
      </c>
      <c r="AA661">
        <v>0.57875560010800609</v>
      </c>
      <c r="AB661">
        <v>0</v>
      </c>
      <c r="AC661">
        <v>0</v>
      </c>
      <c r="AD661">
        <v>0</v>
      </c>
      <c r="AE661">
        <v>0.15913677329253098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6.2839027040077262</v>
      </c>
      <c r="AL661">
        <v>6.2839027040077262</v>
      </c>
      <c r="AM661">
        <v>2.6470588235294126</v>
      </c>
      <c r="BD661">
        <v>0</v>
      </c>
      <c r="BE661">
        <v>0</v>
      </c>
      <c r="BF661">
        <v>0</v>
      </c>
      <c r="BH661">
        <v>0.37777777777777766</v>
      </c>
      <c r="BI661">
        <v>0.37777777777777766</v>
      </c>
      <c r="BJ661">
        <v>2.3739187992918067</v>
      </c>
      <c r="BK661">
        <v>1.3739187992918067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0.84086322670746905</v>
      </c>
      <c r="BU661">
        <v>0</v>
      </c>
      <c r="BV661">
        <v>0</v>
      </c>
      <c r="BW661">
        <v>0</v>
      </c>
      <c r="BX661">
        <v>0</v>
      </c>
      <c r="BY661">
        <v>0.37777777777777766</v>
      </c>
      <c r="BZ661">
        <v>0</v>
      </c>
      <c r="CA661">
        <v>0</v>
      </c>
      <c r="CB661">
        <v>0</v>
      </c>
      <c r="CC661">
        <v>0</v>
      </c>
      <c r="CD661">
        <v>0</v>
      </c>
    </row>
    <row r="662" spans="1:82" hidden="1" x14ac:dyDescent="0.25">
      <c r="A662" t="s">
        <v>128</v>
      </c>
      <c r="B662" t="s">
        <v>422</v>
      </c>
      <c r="C662" s="14" t="s">
        <v>72</v>
      </c>
      <c r="D662" s="12">
        <v>46240</v>
      </c>
      <c r="E662" s="14" t="s">
        <v>134</v>
      </c>
      <c r="F662" s="14" t="s">
        <v>74</v>
      </c>
      <c r="G662">
        <v>1.2735376146788988</v>
      </c>
      <c r="H662">
        <v>0</v>
      </c>
      <c r="I662">
        <v>20</v>
      </c>
      <c r="J662">
        <v>0</v>
      </c>
      <c r="K662">
        <v>46240</v>
      </c>
      <c r="L662" t="s">
        <v>472</v>
      </c>
      <c r="M662">
        <v>6.2745098039215685E-2</v>
      </c>
      <c r="N662">
        <v>0</v>
      </c>
      <c r="O662">
        <v>0</v>
      </c>
      <c r="P662">
        <v>4.9268350864560689E-2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4.9268350864560689E-2</v>
      </c>
      <c r="AA662">
        <v>0.95073164913543928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H662">
        <v>0</v>
      </c>
      <c r="BI662">
        <v>0</v>
      </c>
      <c r="BJ662">
        <v>20.29700573394495</v>
      </c>
      <c r="BK662">
        <v>19.29700573394495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</row>
    <row r="663" spans="1:82" hidden="1" x14ac:dyDescent="0.25">
      <c r="A663" t="s">
        <v>128</v>
      </c>
      <c r="B663" t="s">
        <v>291</v>
      </c>
      <c r="C663" s="14" t="s">
        <v>72</v>
      </c>
      <c r="D663" s="12">
        <v>46240</v>
      </c>
      <c r="E663" s="14" t="s">
        <v>134</v>
      </c>
      <c r="F663" s="14" t="s">
        <v>74</v>
      </c>
      <c r="G663">
        <v>1.2735376146788988</v>
      </c>
      <c r="H663">
        <v>1.9</v>
      </c>
      <c r="I663">
        <v>20</v>
      </c>
      <c r="J663">
        <v>1.9</v>
      </c>
      <c r="K663">
        <v>46240</v>
      </c>
      <c r="L663" t="s">
        <v>472</v>
      </c>
      <c r="M663">
        <v>1.8823529411764703</v>
      </c>
      <c r="N663">
        <v>1.4919072496174783</v>
      </c>
      <c r="O663">
        <v>1.4919072496174783</v>
      </c>
      <c r="P663">
        <v>1.4780505259368206</v>
      </c>
      <c r="Q663">
        <v>0</v>
      </c>
      <c r="R663">
        <v>0</v>
      </c>
      <c r="S663">
        <v>1.3856723680657712E-2</v>
      </c>
      <c r="T663">
        <v>0</v>
      </c>
      <c r="U663">
        <v>0.22805052593682063</v>
      </c>
      <c r="V663">
        <v>0</v>
      </c>
      <c r="W663">
        <v>0.25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0.67028295509415725</v>
      </c>
      <c r="AL663">
        <v>0.67028295509415725</v>
      </c>
      <c r="AM663">
        <v>0.99071207430340547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9.2879256965945345E-3</v>
      </c>
      <c r="AY663">
        <v>0</v>
      </c>
      <c r="AZ663">
        <v>0</v>
      </c>
      <c r="BA663">
        <v>0</v>
      </c>
      <c r="BB663">
        <v>0.67028295509415725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1.0093750000000001</v>
      </c>
      <c r="BI663">
        <v>1.0093750000000001</v>
      </c>
      <c r="BJ663">
        <v>0.67656685779816506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9.3750000000001332E-3</v>
      </c>
      <c r="BT663">
        <v>0</v>
      </c>
      <c r="BU663">
        <v>0</v>
      </c>
      <c r="BV663">
        <v>0</v>
      </c>
      <c r="BW663">
        <v>0.32343314220183494</v>
      </c>
      <c r="BX663">
        <v>0</v>
      </c>
      <c r="BY663">
        <v>0.67656685779816506</v>
      </c>
      <c r="BZ663">
        <v>0</v>
      </c>
      <c r="CA663">
        <v>0</v>
      </c>
      <c r="CB663">
        <v>0</v>
      </c>
      <c r="CC663">
        <v>0</v>
      </c>
      <c r="CD663">
        <v>0</v>
      </c>
    </row>
    <row r="664" spans="1:82" hidden="1" x14ac:dyDescent="0.25">
      <c r="A664" t="s">
        <v>128</v>
      </c>
      <c r="B664" t="s">
        <v>421</v>
      </c>
      <c r="C664" s="14" t="s">
        <v>72</v>
      </c>
      <c r="D664" s="12">
        <v>46240</v>
      </c>
      <c r="E664" s="14" t="s">
        <v>134</v>
      </c>
      <c r="F664" s="14" t="s">
        <v>74</v>
      </c>
      <c r="G664">
        <v>2.7731019522776572</v>
      </c>
      <c r="H664">
        <v>0</v>
      </c>
      <c r="I664">
        <v>20</v>
      </c>
      <c r="J664">
        <v>0</v>
      </c>
      <c r="K664">
        <v>46240</v>
      </c>
      <c r="L664" t="s">
        <v>472</v>
      </c>
      <c r="M664">
        <v>1.0666666666666669</v>
      </c>
      <c r="N664">
        <v>0</v>
      </c>
      <c r="O664">
        <v>0</v>
      </c>
      <c r="P664">
        <v>0.38464747601168137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0.38464747601168137</v>
      </c>
      <c r="AA664">
        <v>0.61535252398831863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H664">
        <v>0</v>
      </c>
      <c r="BI664">
        <v>0</v>
      </c>
      <c r="BJ664">
        <v>2.5997830802603032</v>
      </c>
      <c r="BK664">
        <v>1.5997830802603032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1</v>
      </c>
    </row>
    <row r="665" spans="1:82" hidden="1" x14ac:dyDescent="0.25">
      <c r="A665" t="s">
        <v>128</v>
      </c>
      <c r="B665" t="s">
        <v>422</v>
      </c>
      <c r="C665" s="14" t="s">
        <v>72</v>
      </c>
      <c r="D665" s="12">
        <v>46240</v>
      </c>
      <c r="E665" s="14" t="s">
        <v>134</v>
      </c>
      <c r="F665" s="14" t="s">
        <v>75</v>
      </c>
      <c r="G665">
        <v>3.5115926875337284</v>
      </c>
      <c r="H665">
        <v>2.8499999999999996</v>
      </c>
      <c r="I665">
        <v>20</v>
      </c>
      <c r="J665">
        <v>2.8499999999999996</v>
      </c>
      <c r="K665">
        <v>46240</v>
      </c>
      <c r="L665" t="s">
        <v>473</v>
      </c>
      <c r="M665">
        <v>2.0484429065743943</v>
      </c>
      <c r="N665">
        <v>0.81159754379190818</v>
      </c>
      <c r="O665">
        <v>0.81159754379190818</v>
      </c>
      <c r="P665">
        <v>0.58333727423639858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0.18840245620809182</v>
      </c>
      <c r="AB665">
        <v>0</v>
      </c>
      <c r="AC665">
        <v>0.2282602695555096</v>
      </c>
      <c r="AD665">
        <v>0</v>
      </c>
      <c r="AE665">
        <v>0.58333727423639858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1.2321377850995541</v>
      </c>
      <c r="AL665">
        <v>1.2321377850995541</v>
      </c>
      <c r="AM665">
        <v>0.71875189704364717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0.23213778509955407</v>
      </c>
      <c r="AW665">
        <v>0</v>
      </c>
      <c r="AX665">
        <v>0</v>
      </c>
      <c r="AY665">
        <v>0</v>
      </c>
      <c r="AZ665">
        <v>0.28124810295635283</v>
      </c>
      <c r="BA665">
        <v>0</v>
      </c>
      <c r="BB665">
        <v>0.71875189704364717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1.3913006756756756</v>
      </c>
      <c r="BI665">
        <v>1.3913006756756756</v>
      </c>
      <c r="BJ665">
        <v>1.7142741329345399</v>
      </c>
      <c r="BK665">
        <v>0.32297345725886428</v>
      </c>
      <c r="BL665">
        <v>0</v>
      </c>
      <c r="BM665">
        <v>0</v>
      </c>
      <c r="BN665">
        <v>0</v>
      </c>
      <c r="BO665">
        <v>0</v>
      </c>
      <c r="BP665">
        <v>0.10869932432432439</v>
      </c>
      <c r="BQ665">
        <v>0.39130067567567561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</row>
    <row r="666" spans="1:82" hidden="1" x14ac:dyDescent="0.25">
      <c r="A666" t="s">
        <v>128</v>
      </c>
      <c r="B666" t="s">
        <v>421</v>
      </c>
      <c r="C666" s="14" t="s">
        <v>72</v>
      </c>
      <c r="D666" s="12">
        <v>46240</v>
      </c>
      <c r="E666" s="14" t="s">
        <v>134</v>
      </c>
      <c r="F666" s="14" t="s">
        <v>75</v>
      </c>
      <c r="G666">
        <v>2.4468546637744035</v>
      </c>
      <c r="H666">
        <v>3.8</v>
      </c>
      <c r="I666">
        <v>20</v>
      </c>
      <c r="J666">
        <v>3.8</v>
      </c>
      <c r="K666">
        <v>46240</v>
      </c>
      <c r="L666" t="s">
        <v>473</v>
      </c>
      <c r="M666">
        <v>1.7716262975778552</v>
      </c>
      <c r="N666">
        <v>1.553014184397163</v>
      </c>
      <c r="O666">
        <v>1.553014184397163</v>
      </c>
      <c r="P666">
        <v>0.72404230778669432</v>
      </c>
      <c r="Q666">
        <v>0</v>
      </c>
      <c r="R666">
        <v>0</v>
      </c>
      <c r="S666">
        <v>0.30301418439716299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0.25</v>
      </c>
      <c r="Z666">
        <v>0</v>
      </c>
      <c r="AA666">
        <v>0</v>
      </c>
      <c r="AB666">
        <v>0</v>
      </c>
      <c r="AC666">
        <v>0.27595769221330568</v>
      </c>
      <c r="AD666">
        <v>0</v>
      </c>
      <c r="AE666">
        <v>0.72404230778669432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0.64390912204589568</v>
      </c>
      <c r="AL666">
        <v>0.64390912204589568</v>
      </c>
      <c r="AM666">
        <v>0.46621744673101456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0.35609087795410432</v>
      </c>
      <c r="AY666">
        <v>0</v>
      </c>
      <c r="AZ666">
        <v>0.17769167531488111</v>
      </c>
      <c r="BA666">
        <v>0</v>
      </c>
      <c r="BB666">
        <v>0.46621744673101456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2.1449218749999992</v>
      </c>
      <c r="BI666">
        <v>2.1449218749999992</v>
      </c>
      <c r="BJ666">
        <v>1.3811347613882861</v>
      </c>
      <c r="CA666">
        <v>0</v>
      </c>
      <c r="CB666">
        <v>0</v>
      </c>
      <c r="CC666">
        <v>0</v>
      </c>
    </row>
    <row r="667" spans="1:82" hidden="1" x14ac:dyDescent="0.25">
      <c r="A667" t="s">
        <v>128</v>
      </c>
      <c r="B667" t="s">
        <v>291</v>
      </c>
      <c r="C667" s="14" t="s">
        <v>72</v>
      </c>
      <c r="D667" s="12">
        <v>46240</v>
      </c>
      <c r="E667" s="14" t="s">
        <v>134</v>
      </c>
      <c r="F667" s="14" t="s">
        <v>75</v>
      </c>
      <c r="G667">
        <v>3.5115926875337284</v>
      </c>
      <c r="H667">
        <v>0.95</v>
      </c>
      <c r="I667">
        <v>20</v>
      </c>
      <c r="J667">
        <v>0.95</v>
      </c>
      <c r="K667">
        <v>46240</v>
      </c>
      <c r="L667" t="s">
        <v>473</v>
      </c>
      <c r="M667">
        <v>5.0442542342014178</v>
      </c>
      <c r="N667">
        <v>0.27053251459730276</v>
      </c>
      <c r="O667">
        <v>0.27053251459730276</v>
      </c>
      <c r="P667">
        <v>1.4364576655227381</v>
      </c>
      <c r="Q667">
        <v>0.43645766552273813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0.72946748540269724</v>
      </c>
      <c r="AA667">
        <v>0</v>
      </c>
      <c r="AB667">
        <v>0</v>
      </c>
      <c r="AC667">
        <v>0</v>
      </c>
      <c r="AD667">
        <v>0</v>
      </c>
      <c r="AE667">
        <v>0.27053251459730276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3.6964133552986618</v>
      </c>
      <c r="AL667">
        <v>3.6964133552986618</v>
      </c>
      <c r="AM667">
        <v>5.3097412991593878</v>
      </c>
      <c r="BD667">
        <v>0</v>
      </c>
      <c r="BE667">
        <v>0</v>
      </c>
      <c r="BF667">
        <v>0</v>
      </c>
      <c r="BH667">
        <v>0.1883330926420681</v>
      </c>
      <c r="BI667">
        <v>0.1883330926420681</v>
      </c>
      <c r="BJ667">
        <v>0.6961569588868407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0.3038430411131593</v>
      </c>
      <c r="BV667">
        <v>0</v>
      </c>
      <c r="BW667">
        <v>0</v>
      </c>
      <c r="BX667">
        <v>0</v>
      </c>
      <c r="BY667">
        <v>0.1883330926420681</v>
      </c>
      <c r="BZ667">
        <v>0</v>
      </c>
      <c r="CA667">
        <v>0</v>
      </c>
      <c r="CB667">
        <v>0</v>
      </c>
      <c r="CC667">
        <v>0</v>
      </c>
      <c r="CD667">
        <v>0</v>
      </c>
    </row>
    <row r="668" spans="1:82" hidden="1" x14ac:dyDescent="0.25">
      <c r="A668" t="s">
        <v>128</v>
      </c>
      <c r="B668" t="s">
        <v>421</v>
      </c>
      <c r="C668" s="14" t="s">
        <v>72</v>
      </c>
      <c r="D668" s="12">
        <v>46241</v>
      </c>
      <c r="E668" s="14" t="s">
        <v>134</v>
      </c>
      <c r="F668" s="14" t="s">
        <v>73</v>
      </c>
      <c r="G668">
        <v>3.8232104121475055</v>
      </c>
      <c r="H668">
        <v>6.6499999999999995</v>
      </c>
      <c r="I668">
        <v>20</v>
      </c>
      <c r="J668">
        <v>6.6499999999999995</v>
      </c>
      <c r="K668">
        <v>46241</v>
      </c>
      <c r="L668" t="s">
        <v>474</v>
      </c>
      <c r="M668">
        <v>0.1176470588235294</v>
      </c>
      <c r="N668">
        <v>1.7393758865248226</v>
      </c>
      <c r="O668">
        <v>1.7393758865248226</v>
      </c>
      <c r="P668">
        <v>3.0771798080934498E-2</v>
      </c>
      <c r="Q668">
        <v>0</v>
      </c>
      <c r="R668">
        <v>0</v>
      </c>
      <c r="S668">
        <v>0.48937588652482256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0.96922820191906545</v>
      </c>
      <c r="AD668">
        <v>0</v>
      </c>
      <c r="AE668">
        <v>3.0771798080934498E-2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0.57491885896954975</v>
      </c>
      <c r="AL668">
        <v>0.57491885896954975</v>
      </c>
      <c r="AM668">
        <v>1.769128704113224E-2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0.42508114103045025</v>
      </c>
      <c r="AY668">
        <v>0</v>
      </c>
      <c r="AZ668">
        <v>0.55722757192841754</v>
      </c>
      <c r="BA668">
        <v>0</v>
      </c>
      <c r="BB668">
        <v>1.769128704113224E-2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56.525000000000006</v>
      </c>
      <c r="BI668">
        <v>56.525000000000006</v>
      </c>
      <c r="BJ668">
        <v>32.497288503253799</v>
      </c>
      <c r="CA668">
        <v>0</v>
      </c>
      <c r="CB668">
        <v>0</v>
      </c>
      <c r="CC668">
        <v>0</v>
      </c>
    </row>
    <row r="669" spans="1:82" hidden="1" x14ac:dyDescent="0.25">
      <c r="A669" t="s">
        <v>128</v>
      </c>
      <c r="B669" t="s">
        <v>291</v>
      </c>
      <c r="C669" s="14" t="s">
        <v>72</v>
      </c>
      <c r="D669" s="12">
        <v>46241</v>
      </c>
      <c r="E669" s="14" t="s">
        <v>134</v>
      </c>
      <c r="F669" s="14" t="s">
        <v>73</v>
      </c>
      <c r="G669">
        <v>4.7757660550458709</v>
      </c>
      <c r="H669">
        <v>3.8</v>
      </c>
      <c r="I669">
        <v>20</v>
      </c>
      <c r="J669">
        <v>3.8</v>
      </c>
      <c r="K669">
        <v>46241</v>
      </c>
      <c r="L669" t="s">
        <v>474</v>
      </c>
      <c r="M669">
        <v>4.705882352941174</v>
      </c>
      <c r="N669">
        <v>0.7956838664626551</v>
      </c>
      <c r="O669">
        <v>0.7956838664626551</v>
      </c>
      <c r="P669">
        <v>0.98536701729121323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0.18968315082855813</v>
      </c>
      <c r="AA669">
        <v>1.4632982708786768E-2</v>
      </c>
      <c r="AB669">
        <v>0</v>
      </c>
      <c r="AC669">
        <v>0</v>
      </c>
      <c r="AD669">
        <v>0</v>
      </c>
      <c r="AE669">
        <v>0.7956838664626551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1.2567805408015451</v>
      </c>
      <c r="AL669">
        <v>1.2567805408015451</v>
      </c>
      <c r="AM669">
        <v>1.2383900928792564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0.23839009287925639</v>
      </c>
      <c r="AU669">
        <v>0</v>
      </c>
      <c r="AV669">
        <v>1.8390447922288722E-2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0.80750000000000044</v>
      </c>
      <c r="BI669">
        <v>0.80750000000000044</v>
      </c>
      <c r="BJ669">
        <v>1.0148502866972482</v>
      </c>
      <c r="BK669">
        <v>1.4850286697248194E-2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0.2043161335373449</v>
      </c>
      <c r="BU669">
        <v>0</v>
      </c>
      <c r="BV669">
        <v>0</v>
      </c>
      <c r="BW669">
        <v>0</v>
      </c>
      <c r="BX669">
        <v>0</v>
      </c>
      <c r="BY669">
        <v>0.80750000000000044</v>
      </c>
      <c r="BZ669">
        <v>0</v>
      </c>
      <c r="CA669">
        <v>0</v>
      </c>
      <c r="CB669">
        <v>0</v>
      </c>
      <c r="CC669">
        <v>0</v>
      </c>
      <c r="CD669">
        <v>0</v>
      </c>
    </row>
    <row r="670" spans="1:82" hidden="1" x14ac:dyDescent="0.25">
      <c r="A670" t="s">
        <v>128</v>
      </c>
      <c r="B670" t="s">
        <v>422</v>
      </c>
      <c r="C670" s="14" t="s">
        <v>72</v>
      </c>
      <c r="D670" s="12">
        <v>46241</v>
      </c>
      <c r="E670" s="14" t="s">
        <v>134</v>
      </c>
      <c r="F670" s="14" t="s">
        <v>73</v>
      </c>
      <c r="G670">
        <v>4.7757660550458709</v>
      </c>
      <c r="H670">
        <v>4.75</v>
      </c>
      <c r="I670">
        <v>20</v>
      </c>
      <c r="J670">
        <v>4.75</v>
      </c>
      <c r="K670">
        <v>46241</v>
      </c>
      <c r="L670" t="s">
        <v>474</v>
      </c>
      <c r="M670">
        <v>4.0294117647058805</v>
      </c>
      <c r="N670">
        <v>0.99460483307831893</v>
      </c>
      <c r="O670">
        <v>0.99460483307831893</v>
      </c>
      <c r="P670">
        <v>0.84372050855560143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5.3951669216810716E-3</v>
      </c>
      <c r="AB670">
        <v>0</v>
      </c>
      <c r="AC670">
        <v>0.15088432452271749</v>
      </c>
      <c r="AD670">
        <v>0</v>
      </c>
      <c r="AE670">
        <v>0.84372050855560143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1.005424432641236</v>
      </c>
      <c r="AL670">
        <v>1.005424432641236</v>
      </c>
      <c r="AM670">
        <v>0.8482972136222906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5.4244326412360433E-3</v>
      </c>
      <c r="AW670">
        <v>0</v>
      </c>
      <c r="AX670">
        <v>0</v>
      </c>
      <c r="AY670">
        <v>0</v>
      </c>
      <c r="AZ670">
        <v>0.1517027863777094</v>
      </c>
      <c r="BA670">
        <v>0</v>
      </c>
      <c r="BB670">
        <v>0.8482972136222906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1.1788321167883218</v>
      </c>
      <c r="BI670">
        <v>1.1788321167883218</v>
      </c>
      <c r="BJ670">
        <v>1.1852266122011657</v>
      </c>
      <c r="BK670">
        <v>6.3944954128438702E-3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0.17883211678832178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0</v>
      </c>
      <c r="CB670">
        <v>0</v>
      </c>
      <c r="CC670">
        <v>0</v>
      </c>
      <c r="CD670">
        <v>0</v>
      </c>
    </row>
    <row r="671" spans="1:82" hidden="1" x14ac:dyDescent="0.25">
      <c r="A671" t="s">
        <v>128</v>
      </c>
      <c r="B671" t="s">
        <v>421</v>
      </c>
      <c r="C671" s="14" t="s">
        <v>72</v>
      </c>
      <c r="D671" s="12">
        <v>46241</v>
      </c>
      <c r="E671" s="14" t="s">
        <v>134</v>
      </c>
      <c r="F671" s="14" t="s">
        <v>74</v>
      </c>
      <c r="G671">
        <v>2.7731019522776572</v>
      </c>
      <c r="H671">
        <v>0</v>
      </c>
      <c r="I671">
        <v>20</v>
      </c>
      <c r="J671">
        <v>0</v>
      </c>
      <c r="K671">
        <v>46241</v>
      </c>
      <c r="L671" t="s">
        <v>475</v>
      </c>
      <c r="M671">
        <v>2.0078431372549019</v>
      </c>
      <c r="N671">
        <v>0</v>
      </c>
      <c r="O671">
        <v>0</v>
      </c>
      <c r="P671">
        <v>0.72404230778669421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0.72404230778669421</v>
      </c>
      <c r="AA671">
        <v>0.27595769221330579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H671">
        <v>0</v>
      </c>
      <c r="BI671">
        <v>0</v>
      </c>
      <c r="BJ671">
        <v>1.3811347613882863</v>
      </c>
      <c r="BK671">
        <v>0.38113476138828628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1</v>
      </c>
    </row>
    <row r="672" spans="1:82" hidden="1" x14ac:dyDescent="0.25">
      <c r="A672" t="s">
        <v>128</v>
      </c>
      <c r="B672" t="s">
        <v>291</v>
      </c>
      <c r="C672" s="14" t="s">
        <v>72</v>
      </c>
      <c r="D672" s="12">
        <v>46241</v>
      </c>
      <c r="E672" s="14" t="s">
        <v>134</v>
      </c>
      <c r="F672" s="14" t="s">
        <v>74</v>
      </c>
      <c r="G672">
        <v>1.2735376146788988</v>
      </c>
      <c r="H672">
        <v>9.5</v>
      </c>
      <c r="I672">
        <v>20</v>
      </c>
      <c r="J672">
        <v>9.5</v>
      </c>
      <c r="K672">
        <v>46241</v>
      </c>
      <c r="L672" t="s">
        <v>475</v>
      </c>
      <c r="M672">
        <v>1.8823529411764703</v>
      </c>
      <c r="N672">
        <v>7.4595362480873924</v>
      </c>
      <c r="O672">
        <v>7.4595362480873924</v>
      </c>
      <c r="P672">
        <v>1.4780505259368206</v>
      </c>
      <c r="Q672">
        <v>0</v>
      </c>
      <c r="R672">
        <v>0</v>
      </c>
      <c r="S672">
        <v>5.9814857221505715</v>
      </c>
      <c r="T672">
        <v>0</v>
      </c>
      <c r="U672">
        <v>0.22805052593682063</v>
      </c>
      <c r="V672">
        <v>0</v>
      </c>
      <c r="W672">
        <v>0.25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0.13405659101883147</v>
      </c>
      <c r="AL672">
        <v>0.13405659101883147</v>
      </c>
      <c r="AM672">
        <v>0.1981424148606811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0.80185758513931893</v>
      </c>
      <c r="AY672">
        <v>0</v>
      </c>
      <c r="AZ672">
        <v>0</v>
      </c>
      <c r="BA672">
        <v>0</v>
      </c>
      <c r="BB672">
        <v>0.13405659101883147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5.0468750000000009</v>
      </c>
      <c r="BI672">
        <v>5.0468750000000009</v>
      </c>
      <c r="BJ672">
        <v>0.67656685779816506</v>
      </c>
      <c r="CA672">
        <v>0</v>
      </c>
      <c r="CB672">
        <v>0</v>
      </c>
      <c r="CC672">
        <v>0</v>
      </c>
    </row>
    <row r="673" spans="1:82" hidden="1" x14ac:dyDescent="0.25">
      <c r="A673" t="s">
        <v>128</v>
      </c>
      <c r="B673" t="s">
        <v>422</v>
      </c>
      <c r="C673" s="14" t="s">
        <v>72</v>
      </c>
      <c r="D673" s="12">
        <v>46241</v>
      </c>
      <c r="E673" s="14" t="s">
        <v>134</v>
      </c>
      <c r="F673" s="14" t="s">
        <v>74</v>
      </c>
      <c r="G673">
        <v>1.2735376146788988</v>
      </c>
      <c r="H673">
        <v>0</v>
      </c>
      <c r="I673">
        <v>20</v>
      </c>
      <c r="J673">
        <v>0</v>
      </c>
      <c r="K673">
        <v>46241</v>
      </c>
      <c r="L673" t="s">
        <v>475</v>
      </c>
      <c r="M673">
        <v>6.2745098039215685E-2</v>
      </c>
      <c r="N673">
        <v>0</v>
      </c>
      <c r="O673">
        <v>0</v>
      </c>
      <c r="P673">
        <v>4.9268350864560689E-2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4.9268350864560689E-2</v>
      </c>
      <c r="AA673">
        <v>0.95073164913543928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H673">
        <v>0</v>
      </c>
      <c r="BI673">
        <v>0</v>
      </c>
      <c r="BJ673">
        <v>20.29700573394495</v>
      </c>
      <c r="BK673">
        <v>19.29700573394495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</row>
    <row r="674" spans="1:82" hidden="1" x14ac:dyDescent="0.25">
      <c r="A674" t="s">
        <v>128</v>
      </c>
      <c r="B674" t="s">
        <v>422</v>
      </c>
      <c r="C674" s="14" t="s">
        <v>72</v>
      </c>
      <c r="D674" s="12">
        <v>46241</v>
      </c>
      <c r="E674" s="14" t="s">
        <v>134</v>
      </c>
      <c r="F674" s="14" t="s">
        <v>75</v>
      </c>
      <c r="G674">
        <v>2.2474193200215868</v>
      </c>
      <c r="H674">
        <v>1.9</v>
      </c>
      <c r="I674">
        <v>20</v>
      </c>
      <c r="J674">
        <v>1.9</v>
      </c>
      <c r="K674">
        <v>46241</v>
      </c>
      <c r="L674" t="s">
        <v>476</v>
      </c>
      <c r="M674">
        <v>2.269896193771626</v>
      </c>
      <c r="N674">
        <v>0.84541410811657081</v>
      </c>
      <c r="O674">
        <v>0.84541410811657081</v>
      </c>
      <c r="P674">
        <v>1.0100011927234938</v>
      </c>
      <c r="Q674">
        <v>1.0001192723493757E-2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0.15458589188342919</v>
      </c>
      <c r="AA674">
        <v>0</v>
      </c>
      <c r="AB674">
        <v>0</v>
      </c>
      <c r="AC674">
        <v>0</v>
      </c>
      <c r="AD674">
        <v>0</v>
      </c>
      <c r="AE674">
        <v>0.84541410811657081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1.182852273695572</v>
      </c>
      <c r="AL674">
        <v>1.182852273695572</v>
      </c>
      <c r="AM674">
        <v>1.1946822072482242</v>
      </c>
      <c r="AN674">
        <v>1.1829933552652161E-2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0.182852273695572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0.83704268292682937</v>
      </c>
      <c r="BI674">
        <v>0.83704268292682937</v>
      </c>
      <c r="BJ674">
        <v>0.99009784068024187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9.9021593197581304E-3</v>
      </c>
      <c r="BV674">
        <v>0</v>
      </c>
      <c r="BW674">
        <v>0</v>
      </c>
      <c r="BX674">
        <v>0</v>
      </c>
      <c r="BY674">
        <v>0.83704268292682937</v>
      </c>
      <c r="BZ674">
        <v>0</v>
      </c>
      <c r="CA674">
        <v>0</v>
      </c>
      <c r="CB674">
        <v>0</v>
      </c>
      <c r="CC674">
        <v>0</v>
      </c>
      <c r="CD674">
        <v>0</v>
      </c>
    </row>
    <row r="675" spans="1:82" hidden="1" x14ac:dyDescent="0.25">
      <c r="A675" t="s">
        <v>128</v>
      </c>
      <c r="B675" t="s">
        <v>421</v>
      </c>
      <c r="C675" s="14" t="s">
        <v>72</v>
      </c>
      <c r="D675" s="12">
        <v>46241</v>
      </c>
      <c r="E675" s="14" t="s">
        <v>134</v>
      </c>
      <c r="F675" s="14" t="s">
        <v>75</v>
      </c>
      <c r="G675">
        <v>2.4468546637744035</v>
      </c>
      <c r="H675">
        <v>1.9</v>
      </c>
      <c r="I675">
        <v>20</v>
      </c>
      <c r="J675">
        <v>1.9</v>
      </c>
      <c r="K675">
        <v>46241</v>
      </c>
      <c r="L675" t="s">
        <v>476</v>
      </c>
      <c r="M675">
        <v>1.7716262975778552</v>
      </c>
      <c r="N675">
        <v>0.77650709219858149</v>
      </c>
      <c r="O675">
        <v>0.77650709219858149</v>
      </c>
      <c r="P675">
        <v>0.72404230778669432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0.22349290780141851</v>
      </c>
      <c r="AB675">
        <v>0</v>
      </c>
      <c r="AC675">
        <v>5.2464784411887178E-2</v>
      </c>
      <c r="AD675">
        <v>0</v>
      </c>
      <c r="AE675">
        <v>0.72404230778669432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1.2878182440917914</v>
      </c>
      <c r="AL675">
        <v>1.2878182440917914</v>
      </c>
      <c r="AM675">
        <v>0.93243489346202912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0.28781824409179135</v>
      </c>
      <c r="AW675">
        <v>0</v>
      </c>
      <c r="AX675">
        <v>0</v>
      </c>
      <c r="AY675">
        <v>0</v>
      </c>
      <c r="AZ675">
        <v>6.7565106537970876E-2</v>
      </c>
      <c r="BA675">
        <v>0</v>
      </c>
      <c r="BB675">
        <v>0.93243489346202912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1.0724609374999996</v>
      </c>
      <c r="BI675">
        <v>1.0724609374999996</v>
      </c>
      <c r="BJ675">
        <v>1.3811347613882861</v>
      </c>
      <c r="BK675">
        <v>0.30867382388828646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7.24609374999996E-2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</row>
    <row r="676" spans="1:82" hidden="1" x14ac:dyDescent="0.25">
      <c r="A676" t="s">
        <v>128</v>
      </c>
      <c r="B676" t="s">
        <v>291</v>
      </c>
      <c r="C676" s="14" t="s">
        <v>72</v>
      </c>
      <c r="D676" s="12">
        <v>46241</v>
      </c>
      <c r="E676" s="14" t="s">
        <v>134</v>
      </c>
      <c r="F676" s="14" t="s">
        <v>75</v>
      </c>
      <c r="G676">
        <v>2.2474193200215868</v>
      </c>
      <c r="H676">
        <v>3.8</v>
      </c>
      <c r="I676">
        <v>20</v>
      </c>
      <c r="J676">
        <v>3.8</v>
      </c>
      <c r="K676">
        <v>46241</v>
      </c>
      <c r="L676" t="s">
        <v>476</v>
      </c>
      <c r="M676">
        <v>3.986159169550171</v>
      </c>
      <c r="N676">
        <v>1.6908282162331416</v>
      </c>
      <c r="O676">
        <v>1.6908282162331416</v>
      </c>
      <c r="P676">
        <v>1.7736606311241836</v>
      </c>
      <c r="Q676">
        <v>8.2832414891041983E-2</v>
      </c>
      <c r="R676">
        <v>0</v>
      </c>
      <c r="S676">
        <v>0</v>
      </c>
      <c r="T676">
        <v>0</v>
      </c>
      <c r="U676">
        <v>0.44082821623314161</v>
      </c>
      <c r="V676">
        <v>0</v>
      </c>
      <c r="W676">
        <v>0.25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0.591426136847786</v>
      </c>
      <c r="AL676">
        <v>0.591426136847786</v>
      </c>
      <c r="AM676">
        <v>1.0489892551447819</v>
      </c>
      <c r="AN676">
        <v>4.8989255144781918E-2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0.591426136847786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0.95329861111111158</v>
      </c>
      <c r="BI676">
        <v>0.95329861111111158</v>
      </c>
      <c r="BJ676">
        <v>0.56380571483180464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4.6701388888888418E-2</v>
      </c>
      <c r="BV676">
        <v>0</v>
      </c>
      <c r="BW676">
        <v>0.38949289627930694</v>
      </c>
      <c r="BX676">
        <v>0</v>
      </c>
      <c r="BY676">
        <v>0.56380571483180464</v>
      </c>
      <c r="BZ676">
        <v>0</v>
      </c>
      <c r="CA676">
        <v>0</v>
      </c>
      <c r="CB676">
        <v>0</v>
      </c>
      <c r="CC676">
        <v>0</v>
      </c>
      <c r="CD676">
        <v>0</v>
      </c>
    </row>
    <row r="677" spans="1:82" hidden="1" x14ac:dyDescent="0.25">
      <c r="A677" t="s">
        <v>128</v>
      </c>
      <c r="B677" t="s">
        <v>422</v>
      </c>
      <c r="C677" s="14" t="s">
        <v>72</v>
      </c>
      <c r="D677" s="12">
        <v>46242</v>
      </c>
      <c r="E677" s="14" t="s">
        <v>134</v>
      </c>
      <c r="F677" s="14" t="s">
        <v>73</v>
      </c>
      <c r="G677">
        <v>2.3878830275229355</v>
      </c>
      <c r="H677">
        <v>0.95</v>
      </c>
      <c r="I677">
        <v>20</v>
      </c>
      <c r="J677">
        <v>0.95</v>
      </c>
      <c r="K677">
        <v>46242</v>
      </c>
      <c r="L677" t="s">
        <v>477</v>
      </c>
      <c r="M677">
        <v>1.6470588235294119</v>
      </c>
      <c r="N677">
        <v>0.39784193323132755</v>
      </c>
      <c r="O677">
        <v>0.39784193323132755</v>
      </c>
      <c r="P677">
        <v>0.68975691210384971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0.29191497887252216</v>
      </c>
      <c r="AA677">
        <v>0.31024308789615029</v>
      </c>
      <c r="AB677">
        <v>0</v>
      </c>
      <c r="AC677">
        <v>0</v>
      </c>
      <c r="AD677">
        <v>0</v>
      </c>
      <c r="AE677">
        <v>0.39784193323132755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2.5135610816030902</v>
      </c>
      <c r="AL677">
        <v>2.5135610816030902</v>
      </c>
      <c r="AM677">
        <v>1.73374613003096</v>
      </c>
      <c r="BD677">
        <v>0</v>
      </c>
      <c r="BE677">
        <v>0</v>
      </c>
      <c r="BF677">
        <v>0</v>
      </c>
      <c r="BH677">
        <v>0.57678571428571423</v>
      </c>
      <c r="BI677">
        <v>0.57678571428571423</v>
      </c>
      <c r="BJ677">
        <v>1.4497861238532106</v>
      </c>
      <c r="BK677">
        <v>0.4497861238532106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0.60215806676867245</v>
      </c>
      <c r="BU677">
        <v>0</v>
      </c>
      <c r="BV677">
        <v>0</v>
      </c>
      <c r="BW677">
        <v>0</v>
      </c>
      <c r="BX677">
        <v>0</v>
      </c>
      <c r="BY677">
        <v>0.57678571428571423</v>
      </c>
      <c r="BZ677">
        <v>0</v>
      </c>
      <c r="CA677">
        <v>0</v>
      </c>
      <c r="CB677">
        <v>0</v>
      </c>
      <c r="CC677">
        <v>0</v>
      </c>
      <c r="CD677">
        <v>0</v>
      </c>
    </row>
    <row r="678" spans="1:82" hidden="1" x14ac:dyDescent="0.25">
      <c r="A678" t="s">
        <v>128</v>
      </c>
      <c r="B678" t="s">
        <v>291</v>
      </c>
      <c r="C678" s="14" t="s">
        <v>72</v>
      </c>
      <c r="D678" s="12">
        <v>46242</v>
      </c>
      <c r="E678" s="14" t="s">
        <v>134</v>
      </c>
      <c r="F678" s="14" t="s">
        <v>73</v>
      </c>
      <c r="G678">
        <v>2.3878830275229355</v>
      </c>
      <c r="H678">
        <v>12.35</v>
      </c>
      <c r="I678">
        <v>20</v>
      </c>
      <c r="J678">
        <v>12.35</v>
      </c>
      <c r="K678">
        <v>46242</v>
      </c>
      <c r="L678" t="s">
        <v>477</v>
      </c>
      <c r="M678">
        <v>4.7058823529411749</v>
      </c>
      <c r="N678">
        <v>5.1719451320072585</v>
      </c>
      <c r="O678">
        <v>5.1719451320072585</v>
      </c>
      <c r="P678">
        <v>1.9707340345824269</v>
      </c>
      <c r="Q678">
        <v>0</v>
      </c>
      <c r="R678">
        <v>0</v>
      </c>
      <c r="S678">
        <v>3.2012110974248316</v>
      </c>
      <c r="T678">
        <v>0</v>
      </c>
      <c r="U678">
        <v>0.72073403458242691</v>
      </c>
      <c r="V678">
        <v>0</v>
      </c>
      <c r="W678">
        <v>0.25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0.19335085243100691</v>
      </c>
      <c r="AL678">
        <v>0.19335085243100691</v>
      </c>
      <c r="AM678">
        <v>0.38104310550130971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0.61895689449869029</v>
      </c>
      <c r="AY678">
        <v>0</v>
      </c>
      <c r="AZ678">
        <v>0</v>
      </c>
      <c r="BA678">
        <v>0</v>
      </c>
      <c r="BB678">
        <v>0.19335085243100691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2.624375000000001</v>
      </c>
      <c r="BI678">
        <v>2.624375000000001</v>
      </c>
      <c r="BJ678">
        <v>0.50742514334862399</v>
      </c>
      <c r="CA678">
        <v>0</v>
      </c>
      <c r="CB678">
        <v>0</v>
      </c>
      <c r="CC678">
        <v>0</v>
      </c>
    </row>
    <row r="679" spans="1:82" hidden="1" x14ac:dyDescent="0.25">
      <c r="A679" t="s">
        <v>128</v>
      </c>
      <c r="B679" t="s">
        <v>421</v>
      </c>
      <c r="C679" s="14" t="s">
        <v>72</v>
      </c>
      <c r="D679" s="12">
        <v>46242</v>
      </c>
      <c r="E679" s="14" t="s">
        <v>134</v>
      </c>
      <c r="F679" s="14" t="s">
        <v>73</v>
      </c>
      <c r="G679">
        <v>0</v>
      </c>
      <c r="H679">
        <v>0.95</v>
      </c>
      <c r="I679">
        <v>20</v>
      </c>
      <c r="J679">
        <v>0.95</v>
      </c>
      <c r="K679">
        <v>46242</v>
      </c>
      <c r="L679" t="s">
        <v>477</v>
      </c>
      <c r="M679">
        <v>0.23529411764705879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0.24767801857585137</v>
      </c>
      <c r="AI679">
        <v>0</v>
      </c>
      <c r="AJ679">
        <v>0</v>
      </c>
      <c r="AK679">
        <v>0</v>
      </c>
      <c r="AL679">
        <v>0</v>
      </c>
      <c r="AM679">
        <v>0.24767801857585137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0.75232198142414863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4.0375000000000005</v>
      </c>
      <c r="BI679">
        <v>4.0375000000000005</v>
      </c>
      <c r="BJ679">
        <v>0</v>
      </c>
      <c r="CA679">
        <v>0.75232198142414863</v>
      </c>
      <c r="CB679">
        <v>0.24767801857585137</v>
      </c>
    </row>
    <row r="680" spans="1:82" hidden="1" x14ac:dyDescent="0.25">
      <c r="A680" t="s">
        <v>128</v>
      </c>
      <c r="B680" t="s">
        <v>291</v>
      </c>
      <c r="C680" s="14" t="s">
        <v>72</v>
      </c>
      <c r="D680" s="12">
        <v>46242</v>
      </c>
      <c r="E680" s="14" t="s">
        <v>134</v>
      </c>
      <c r="F680" s="14" t="s">
        <v>74</v>
      </c>
      <c r="G680">
        <v>1.2735376146788988</v>
      </c>
      <c r="H680">
        <v>1.9</v>
      </c>
      <c r="I680">
        <v>20</v>
      </c>
      <c r="J680">
        <v>1.9</v>
      </c>
      <c r="K680">
        <v>46242</v>
      </c>
      <c r="L680" t="s">
        <v>478</v>
      </c>
      <c r="M680">
        <v>1.8823529411764703</v>
      </c>
      <c r="N680">
        <v>1.4919072496174783</v>
      </c>
      <c r="O680">
        <v>1.4919072496174783</v>
      </c>
      <c r="P680">
        <v>1.4780505259368206</v>
      </c>
      <c r="Q680">
        <v>0</v>
      </c>
      <c r="R680">
        <v>0</v>
      </c>
      <c r="S680">
        <v>1.3856723680657712E-2</v>
      </c>
      <c r="T680">
        <v>0</v>
      </c>
      <c r="U680">
        <v>0.22805052593682063</v>
      </c>
      <c r="V680">
        <v>0</v>
      </c>
      <c r="W680">
        <v>0.25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0.67028295509415725</v>
      </c>
      <c r="AL680">
        <v>0.67028295509415725</v>
      </c>
      <c r="AM680">
        <v>0.99071207430340547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9.2879256965945345E-3</v>
      </c>
      <c r="AY680">
        <v>0</v>
      </c>
      <c r="AZ680">
        <v>0</v>
      </c>
      <c r="BA680">
        <v>0</v>
      </c>
      <c r="BB680">
        <v>0.67028295509415725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1.0093750000000001</v>
      </c>
      <c r="BI680">
        <v>1.0093750000000001</v>
      </c>
      <c r="BJ680">
        <v>0.67656685779816506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9.3750000000001332E-3</v>
      </c>
      <c r="BT680">
        <v>0</v>
      </c>
      <c r="BU680">
        <v>0</v>
      </c>
      <c r="BV680">
        <v>0</v>
      </c>
      <c r="BW680">
        <v>0.32343314220183494</v>
      </c>
      <c r="BX680">
        <v>0</v>
      </c>
      <c r="BY680">
        <v>0.67656685779816506</v>
      </c>
      <c r="BZ680">
        <v>0</v>
      </c>
      <c r="CA680">
        <v>0</v>
      </c>
      <c r="CB680">
        <v>0</v>
      </c>
      <c r="CC680">
        <v>0</v>
      </c>
      <c r="CD680">
        <v>0</v>
      </c>
    </row>
    <row r="681" spans="1:82" hidden="1" x14ac:dyDescent="0.25">
      <c r="A681" t="s">
        <v>128</v>
      </c>
      <c r="B681" t="s">
        <v>422</v>
      </c>
      <c r="C681" s="14" t="s">
        <v>72</v>
      </c>
      <c r="D681" s="12">
        <v>46242</v>
      </c>
      <c r="E681" s="14" t="s">
        <v>134</v>
      </c>
      <c r="F681" s="14" t="s">
        <v>74</v>
      </c>
      <c r="G681">
        <v>1.2735376146788988</v>
      </c>
      <c r="H681">
        <v>0</v>
      </c>
      <c r="I681">
        <v>20</v>
      </c>
      <c r="J681">
        <v>0</v>
      </c>
      <c r="K681">
        <v>46242</v>
      </c>
      <c r="L681" t="s">
        <v>478</v>
      </c>
      <c r="M681">
        <v>6.2745098039215685E-2</v>
      </c>
      <c r="N681">
        <v>0</v>
      </c>
      <c r="O681">
        <v>0</v>
      </c>
      <c r="P681">
        <v>4.9268350864560689E-2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4.9268350864560689E-2</v>
      </c>
      <c r="AA681">
        <v>0.95073164913543928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H681">
        <v>0</v>
      </c>
      <c r="BI681">
        <v>0</v>
      </c>
      <c r="BJ681">
        <v>20.29700573394495</v>
      </c>
      <c r="BK681">
        <v>19.29700573394495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</row>
    <row r="682" spans="1:82" hidden="1" x14ac:dyDescent="0.25">
      <c r="A682" t="s">
        <v>128</v>
      </c>
      <c r="B682" t="s">
        <v>421</v>
      </c>
      <c r="C682" s="14" t="s">
        <v>72</v>
      </c>
      <c r="D682" s="12">
        <v>46242</v>
      </c>
      <c r="E682" s="14" t="s">
        <v>134</v>
      </c>
      <c r="F682" s="14" t="s">
        <v>74</v>
      </c>
      <c r="G682">
        <v>2.7731019522776572</v>
      </c>
      <c r="H682">
        <v>0</v>
      </c>
      <c r="I682">
        <v>20</v>
      </c>
      <c r="J682">
        <v>0</v>
      </c>
      <c r="K682">
        <v>46242</v>
      </c>
      <c r="L682" t="s">
        <v>478</v>
      </c>
      <c r="M682">
        <v>2.0078431372549019</v>
      </c>
      <c r="N682">
        <v>0</v>
      </c>
      <c r="O682">
        <v>0</v>
      </c>
      <c r="P682">
        <v>0.72404230778669421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0.72404230778669421</v>
      </c>
      <c r="AA682">
        <v>0.27595769221330579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</v>
      </c>
      <c r="BH682">
        <v>0</v>
      </c>
      <c r="BI682">
        <v>0</v>
      </c>
      <c r="BJ682">
        <v>1.3811347613882863</v>
      </c>
      <c r="BK682">
        <v>0.38113476138828628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1</v>
      </c>
    </row>
    <row r="683" spans="1:82" hidden="1" x14ac:dyDescent="0.25">
      <c r="A683" t="s">
        <v>128</v>
      </c>
      <c r="B683" t="s">
        <v>291</v>
      </c>
      <c r="C683" s="14" t="s">
        <v>72</v>
      </c>
      <c r="D683" s="12">
        <v>46242</v>
      </c>
      <c r="E683" s="14" t="s">
        <v>134</v>
      </c>
      <c r="F683" s="14" t="s">
        <v>75</v>
      </c>
      <c r="G683">
        <v>3.3711289800323798</v>
      </c>
      <c r="H683">
        <v>2.8499999999999996</v>
      </c>
      <c r="I683">
        <v>20</v>
      </c>
      <c r="J683">
        <v>2.8499999999999996</v>
      </c>
      <c r="K683">
        <v>46242</v>
      </c>
      <c r="L683" t="s">
        <v>479</v>
      </c>
      <c r="M683">
        <v>4.9273356401384065</v>
      </c>
      <c r="N683">
        <v>0.84541410811657092</v>
      </c>
      <c r="O683">
        <v>0.84541410811657092</v>
      </c>
      <c r="P683">
        <v>1.4616277423152997</v>
      </c>
      <c r="Q683">
        <v>0.46162774231529968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0.15458589188342908</v>
      </c>
      <c r="AA683">
        <v>0</v>
      </c>
      <c r="AB683">
        <v>0</v>
      </c>
      <c r="AC683">
        <v>0</v>
      </c>
      <c r="AD683">
        <v>0</v>
      </c>
      <c r="AE683">
        <v>0.84541410811657092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1.182852273695572</v>
      </c>
      <c r="AL683">
        <v>1.182852273695572</v>
      </c>
      <c r="AM683">
        <v>1.7288896982941779</v>
      </c>
      <c r="AN683">
        <v>0.54603742459860594</v>
      </c>
      <c r="AO683">
        <v>0</v>
      </c>
      <c r="AP683">
        <v>0</v>
      </c>
      <c r="AQ683">
        <v>0</v>
      </c>
      <c r="AR683">
        <v>0</v>
      </c>
      <c r="AS683">
        <v>0.317147726304428</v>
      </c>
      <c r="AT683">
        <v>0.182852273695572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0.57840589887640459</v>
      </c>
      <c r="BI683">
        <v>0.57840589887640459</v>
      </c>
      <c r="BJ683">
        <v>0.68416873260488631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0.31583126739511369</v>
      </c>
      <c r="BV683">
        <v>0</v>
      </c>
      <c r="BW683">
        <v>0</v>
      </c>
      <c r="BX683">
        <v>0</v>
      </c>
      <c r="BY683">
        <v>0.57840589887640459</v>
      </c>
      <c r="BZ683">
        <v>0</v>
      </c>
      <c r="CA683">
        <v>0</v>
      </c>
      <c r="CB683">
        <v>0</v>
      </c>
      <c r="CC683">
        <v>0</v>
      </c>
      <c r="CD683">
        <v>0</v>
      </c>
    </row>
    <row r="684" spans="1:82" hidden="1" x14ac:dyDescent="0.25">
      <c r="A684" t="s">
        <v>128</v>
      </c>
      <c r="B684" t="s">
        <v>421</v>
      </c>
      <c r="C684" s="14" t="s">
        <v>72</v>
      </c>
      <c r="D684" s="12">
        <v>46242</v>
      </c>
      <c r="E684" s="14" t="s">
        <v>134</v>
      </c>
      <c r="F684" s="14" t="s">
        <v>75</v>
      </c>
      <c r="G684">
        <v>2.4468546637744031</v>
      </c>
      <c r="H684">
        <v>6.6499999999999995</v>
      </c>
      <c r="I684">
        <v>20</v>
      </c>
      <c r="J684">
        <v>6.6499999999999995</v>
      </c>
      <c r="K684">
        <v>46242</v>
      </c>
      <c r="L684" t="s">
        <v>479</v>
      </c>
      <c r="M684">
        <v>1.7716262975778552</v>
      </c>
      <c r="N684">
        <v>2.7177748226950356</v>
      </c>
      <c r="O684">
        <v>2.7177748226950356</v>
      </c>
      <c r="P684">
        <v>0.72404230778669443</v>
      </c>
      <c r="Q684">
        <v>0</v>
      </c>
      <c r="R684">
        <v>0</v>
      </c>
      <c r="S684">
        <v>1.4677748226950356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0.25</v>
      </c>
      <c r="Z684">
        <v>0</v>
      </c>
      <c r="AA684">
        <v>0</v>
      </c>
      <c r="AB684">
        <v>0</v>
      </c>
      <c r="AC684">
        <v>0.27595769221330557</v>
      </c>
      <c r="AD684">
        <v>0</v>
      </c>
      <c r="AE684">
        <v>0.72404230778669443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0.36794806974051175</v>
      </c>
      <c r="AL684">
        <v>0.36794806974051175</v>
      </c>
      <c r="AM684">
        <v>0.26640996956057977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0.63205193025948825</v>
      </c>
      <c r="AY684">
        <v>0</v>
      </c>
      <c r="AZ684">
        <v>0.10153810017993198</v>
      </c>
      <c r="BA684">
        <v>0</v>
      </c>
      <c r="BB684">
        <v>0.26640996956057977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3.7536132812499985</v>
      </c>
      <c r="BI684">
        <v>3.7536132812499985</v>
      </c>
      <c r="BJ684">
        <v>1.3811347613882858</v>
      </c>
      <c r="CA684">
        <v>0</v>
      </c>
      <c r="CB684">
        <v>0</v>
      </c>
      <c r="CC684">
        <v>0</v>
      </c>
    </row>
    <row r="685" spans="1:82" hidden="1" x14ac:dyDescent="0.25">
      <c r="A685" t="s">
        <v>128</v>
      </c>
      <c r="B685" t="s">
        <v>422</v>
      </c>
      <c r="C685" s="14" t="s">
        <v>72</v>
      </c>
      <c r="D685" s="12">
        <v>46242</v>
      </c>
      <c r="E685" s="14" t="s">
        <v>134</v>
      </c>
      <c r="F685" s="14" t="s">
        <v>75</v>
      </c>
      <c r="G685">
        <v>3.3711289800323798</v>
      </c>
      <c r="H685">
        <v>2.8499999999999996</v>
      </c>
      <c r="I685">
        <v>20</v>
      </c>
      <c r="J685">
        <v>2.8499999999999996</v>
      </c>
      <c r="K685">
        <v>46242</v>
      </c>
      <c r="L685" t="s">
        <v>479</v>
      </c>
      <c r="M685">
        <v>1.9238754325259515</v>
      </c>
      <c r="N685">
        <v>0.84541410811657092</v>
      </c>
      <c r="O685">
        <v>0.84541410811657092</v>
      </c>
      <c r="P685">
        <v>0.57069173084782787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0.15458589188342908</v>
      </c>
      <c r="AB685">
        <v>0</v>
      </c>
      <c r="AC685">
        <v>0.27472237726874305</v>
      </c>
      <c r="AD685">
        <v>0</v>
      </c>
      <c r="AE685">
        <v>0.57069173084782787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1.182852273695572</v>
      </c>
      <c r="AL685">
        <v>1.182852273695572</v>
      </c>
      <c r="AM685">
        <v>0.67504401141261461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0.182852273695572</v>
      </c>
      <c r="AW685">
        <v>0</v>
      </c>
      <c r="AX685">
        <v>0</v>
      </c>
      <c r="AY685">
        <v>0</v>
      </c>
      <c r="AZ685">
        <v>0.32495598858738539</v>
      </c>
      <c r="BA685">
        <v>0</v>
      </c>
      <c r="BB685">
        <v>0.67504401141261461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1.4813848920863308</v>
      </c>
      <c r="BI685">
        <v>1.4813848920863308</v>
      </c>
      <c r="BJ685">
        <v>1.7522594878225859</v>
      </c>
      <c r="BK685">
        <v>0.27087459573625505</v>
      </c>
      <c r="BL685">
        <v>0</v>
      </c>
      <c r="BM685">
        <v>0</v>
      </c>
      <c r="BN685">
        <v>0</v>
      </c>
      <c r="BO685">
        <v>0</v>
      </c>
      <c r="BP685">
        <v>1.861510791366916E-2</v>
      </c>
      <c r="BQ685">
        <v>0.48138489208633084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</row>
    <row r="686" spans="1:82" hidden="1" x14ac:dyDescent="0.25">
      <c r="A686" t="s">
        <v>128</v>
      </c>
      <c r="B686" t="s">
        <v>422</v>
      </c>
      <c r="C686" s="14" t="s">
        <v>72</v>
      </c>
      <c r="D686" s="12">
        <v>46243</v>
      </c>
      <c r="E686" s="14" t="s">
        <v>134</v>
      </c>
      <c r="F686" s="14" t="s">
        <v>73</v>
      </c>
      <c r="G686">
        <v>3.507203196674312</v>
      </c>
      <c r="H686">
        <v>0.95</v>
      </c>
      <c r="I686">
        <v>20</v>
      </c>
      <c r="J686">
        <v>0.95</v>
      </c>
      <c r="K686">
        <v>46243</v>
      </c>
      <c r="L686" t="s">
        <v>480</v>
      </c>
      <c r="M686">
        <v>1.6911764705882355</v>
      </c>
      <c r="N686">
        <v>0.2708711034766485</v>
      </c>
      <c r="O686">
        <v>0.2708711034766485</v>
      </c>
      <c r="P686">
        <v>0.48220088080208334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0.21132977732543484</v>
      </c>
      <c r="AA686">
        <v>0.51779911919791666</v>
      </c>
      <c r="AB686">
        <v>0</v>
      </c>
      <c r="AC686">
        <v>0</v>
      </c>
      <c r="AD686">
        <v>0</v>
      </c>
      <c r="AE686">
        <v>0.2708711034766485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3.6917928386045391</v>
      </c>
      <c r="AL686">
        <v>3.6917928386045391</v>
      </c>
      <c r="AM686">
        <v>1.7801857585139322</v>
      </c>
      <c r="BD686">
        <v>0</v>
      </c>
      <c r="BE686">
        <v>0</v>
      </c>
      <c r="BF686">
        <v>0</v>
      </c>
      <c r="BH686">
        <v>0.56173913043478252</v>
      </c>
      <c r="BI686">
        <v>0.56173913043478252</v>
      </c>
      <c r="BJ686">
        <v>2.0738244989030714</v>
      </c>
      <c r="BK686">
        <v>1.0738244989030714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0.72912889652335156</v>
      </c>
      <c r="BU686">
        <v>0</v>
      </c>
      <c r="BV686">
        <v>0</v>
      </c>
      <c r="BW686">
        <v>0</v>
      </c>
      <c r="BX686">
        <v>0</v>
      </c>
      <c r="BY686">
        <v>0.56173913043478252</v>
      </c>
      <c r="BZ686">
        <v>0</v>
      </c>
      <c r="CA686">
        <v>0</v>
      </c>
      <c r="CB686">
        <v>0</v>
      </c>
      <c r="CC686">
        <v>0</v>
      </c>
      <c r="CD686">
        <v>0</v>
      </c>
    </row>
    <row r="687" spans="1:82" hidden="1" x14ac:dyDescent="0.25">
      <c r="A687" t="s">
        <v>128</v>
      </c>
      <c r="B687" t="s">
        <v>291</v>
      </c>
      <c r="C687" s="14" t="s">
        <v>72</v>
      </c>
      <c r="D687" s="12">
        <v>46243</v>
      </c>
      <c r="E687" s="14" t="s">
        <v>134</v>
      </c>
      <c r="F687" s="14" t="s">
        <v>73</v>
      </c>
      <c r="G687">
        <v>3.507203196674312</v>
      </c>
      <c r="H687">
        <v>3.8</v>
      </c>
      <c r="I687">
        <v>20</v>
      </c>
      <c r="J687">
        <v>3.8</v>
      </c>
      <c r="K687">
        <v>46243</v>
      </c>
      <c r="L687" t="s">
        <v>480</v>
      </c>
      <c r="M687">
        <v>4.705882352941174</v>
      </c>
      <c r="N687">
        <v>1.083484413906594</v>
      </c>
      <c r="O687">
        <v>1.083484413906594</v>
      </c>
      <c r="P687">
        <v>1.3417763639710136</v>
      </c>
      <c r="Q687">
        <v>0.25829195006441963</v>
      </c>
      <c r="R687">
        <v>0</v>
      </c>
      <c r="S687">
        <v>0</v>
      </c>
      <c r="T687">
        <v>0</v>
      </c>
      <c r="U687">
        <v>0</v>
      </c>
      <c r="V687">
        <v>0.166515586093406</v>
      </c>
      <c r="W687">
        <v>8.3484413906594002E-2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0.92294820965113478</v>
      </c>
      <c r="AL687">
        <v>0.92294820965113478</v>
      </c>
      <c r="AM687">
        <v>1.2383900928792564</v>
      </c>
      <c r="AN687">
        <v>0.23839009287925639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0.92294820965113478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0.80750000000000044</v>
      </c>
      <c r="BI687">
        <v>0.80750000000000044</v>
      </c>
      <c r="BJ687">
        <v>0.74528067929329167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0.19249999999999956</v>
      </c>
      <c r="BV687">
        <v>0</v>
      </c>
      <c r="BW687">
        <v>6.2219320706708769E-2</v>
      </c>
      <c r="BX687">
        <v>0</v>
      </c>
      <c r="BY687">
        <v>0.74528067929329167</v>
      </c>
      <c r="BZ687">
        <v>0</v>
      </c>
      <c r="CA687">
        <v>0</v>
      </c>
      <c r="CB687">
        <v>0</v>
      </c>
      <c r="CC687">
        <v>0</v>
      </c>
      <c r="CD687">
        <v>0</v>
      </c>
    </row>
    <row r="688" spans="1:82" hidden="1" x14ac:dyDescent="0.25">
      <c r="A688" t="s">
        <v>128</v>
      </c>
      <c r="B688" t="s">
        <v>421</v>
      </c>
      <c r="C688" s="14" t="s">
        <v>72</v>
      </c>
      <c r="D688" s="12">
        <v>46243</v>
      </c>
      <c r="E688" s="14" t="s">
        <v>134</v>
      </c>
      <c r="F688" s="14" t="s">
        <v>73</v>
      </c>
      <c r="G688">
        <v>0</v>
      </c>
      <c r="H688">
        <v>0.95</v>
      </c>
      <c r="I688">
        <v>20</v>
      </c>
      <c r="J688">
        <v>0.95</v>
      </c>
      <c r="K688">
        <v>46243</v>
      </c>
      <c r="L688" t="s">
        <v>480</v>
      </c>
      <c r="M688">
        <v>0.23529411764705879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0.24767801857585137</v>
      </c>
      <c r="AI688">
        <v>0</v>
      </c>
      <c r="AJ688">
        <v>0</v>
      </c>
      <c r="AK688">
        <v>0</v>
      </c>
      <c r="AL688">
        <v>0</v>
      </c>
      <c r="AM688">
        <v>0.24767801857585137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0.75232198142414863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G688">
        <v>0</v>
      </c>
      <c r="BH688">
        <v>4.0375000000000005</v>
      </c>
      <c r="BI688">
        <v>4.0375000000000005</v>
      </c>
      <c r="BJ688">
        <v>0</v>
      </c>
      <c r="CA688">
        <v>0.75232198142414863</v>
      </c>
      <c r="CB688">
        <v>0.24767801857585137</v>
      </c>
    </row>
    <row r="689" spans="1:82" hidden="1" x14ac:dyDescent="0.25">
      <c r="A689" t="s">
        <v>128</v>
      </c>
      <c r="B689" t="s">
        <v>421</v>
      </c>
      <c r="C689" s="14" t="s">
        <v>72</v>
      </c>
      <c r="D689" s="12">
        <v>46243</v>
      </c>
      <c r="E689" s="14" t="s">
        <v>134</v>
      </c>
      <c r="F689" s="14" t="s">
        <v>74</v>
      </c>
      <c r="G689">
        <v>2.7731019522776572</v>
      </c>
      <c r="H689">
        <v>0</v>
      </c>
      <c r="I689">
        <v>20</v>
      </c>
      <c r="J689">
        <v>0</v>
      </c>
      <c r="K689">
        <v>46243</v>
      </c>
      <c r="L689" t="s">
        <v>481</v>
      </c>
      <c r="M689">
        <v>2.0078431372549019</v>
      </c>
      <c r="N689">
        <v>0</v>
      </c>
      <c r="O689">
        <v>0</v>
      </c>
      <c r="P689">
        <v>0.72404230778669421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0.72404230778669421</v>
      </c>
      <c r="AA689">
        <v>0.27595769221330579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1</v>
      </c>
      <c r="BH689">
        <v>0</v>
      </c>
      <c r="BI689">
        <v>0</v>
      </c>
      <c r="BJ689">
        <v>1.3811347613882863</v>
      </c>
      <c r="BK689">
        <v>0.38113476138828628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1</v>
      </c>
      <c r="CD689">
        <v>1</v>
      </c>
    </row>
    <row r="690" spans="1:82" hidden="1" x14ac:dyDescent="0.25">
      <c r="A690" t="s">
        <v>128</v>
      </c>
      <c r="B690" t="s">
        <v>291</v>
      </c>
      <c r="C690" s="14" t="s">
        <v>72</v>
      </c>
      <c r="D690" s="12">
        <v>46243</v>
      </c>
      <c r="E690" s="14" t="s">
        <v>134</v>
      </c>
      <c r="F690" s="14" t="s">
        <v>74</v>
      </c>
      <c r="G690">
        <v>1.2735376146788988</v>
      </c>
      <c r="H690">
        <v>5.6999999999999993</v>
      </c>
      <c r="I690">
        <v>20</v>
      </c>
      <c r="J690">
        <v>5.6999999999999993</v>
      </c>
      <c r="K690">
        <v>46243</v>
      </c>
      <c r="L690" t="s">
        <v>481</v>
      </c>
      <c r="M690">
        <v>2.8235294117647056</v>
      </c>
      <c r="N690">
        <v>4.4757217488524352</v>
      </c>
      <c r="O690">
        <v>4.4757217488524352</v>
      </c>
      <c r="P690">
        <v>2.2170757889052308</v>
      </c>
      <c r="Q690">
        <v>0</v>
      </c>
      <c r="R690">
        <v>0</v>
      </c>
      <c r="S690">
        <v>2.2586459599472044</v>
      </c>
      <c r="T690">
        <v>0</v>
      </c>
      <c r="U690">
        <v>0.96707578890523083</v>
      </c>
      <c r="V690">
        <v>0</v>
      </c>
      <c r="W690">
        <v>0.25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0.22342765169805245</v>
      </c>
      <c r="AL690">
        <v>0.22342765169805245</v>
      </c>
      <c r="AM690">
        <v>0.49535603715170279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0.50464396284829727</v>
      </c>
      <c r="AY690">
        <v>0</v>
      </c>
      <c r="AZ690">
        <v>0</v>
      </c>
      <c r="BA690">
        <v>0</v>
      </c>
      <c r="BB690">
        <v>0.22342765169805245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2.0187499999999998</v>
      </c>
      <c r="BI690">
        <v>2.0187499999999998</v>
      </c>
      <c r="BJ690">
        <v>0.45104457186544339</v>
      </c>
      <c r="CA690">
        <v>0</v>
      </c>
      <c r="CB690">
        <v>0</v>
      </c>
      <c r="CC690">
        <v>0</v>
      </c>
    </row>
    <row r="691" spans="1:82" hidden="1" x14ac:dyDescent="0.25">
      <c r="A691" t="s">
        <v>128</v>
      </c>
      <c r="B691" t="s">
        <v>422</v>
      </c>
      <c r="C691" s="14" t="s">
        <v>72</v>
      </c>
      <c r="D691" s="12">
        <v>46243</v>
      </c>
      <c r="E691" s="14" t="s">
        <v>134</v>
      </c>
      <c r="F691" s="14" t="s">
        <v>74</v>
      </c>
      <c r="G691">
        <v>1.2735376146788988</v>
      </c>
      <c r="H691">
        <v>0</v>
      </c>
      <c r="I691">
        <v>20</v>
      </c>
      <c r="J691">
        <v>0</v>
      </c>
      <c r="K691">
        <v>46243</v>
      </c>
      <c r="L691" t="s">
        <v>481</v>
      </c>
      <c r="M691">
        <v>6.2745098039215685E-2</v>
      </c>
      <c r="N691">
        <v>0</v>
      </c>
      <c r="O691">
        <v>0</v>
      </c>
      <c r="P691">
        <v>4.9268350864560689E-2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4.9268350864560689E-2</v>
      </c>
      <c r="AA691">
        <v>0.95073164913543928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H691">
        <v>0</v>
      </c>
      <c r="BI691">
        <v>0</v>
      </c>
      <c r="BJ691">
        <v>20.29700573394495</v>
      </c>
      <c r="BK691">
        <v>19.29700573394495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</row>
    <row r="692" spans="1:82" hidden="1" x14ac:dyDescent="0.25">
      <c r="A692" t="s">
        <v>128</v>
      </c>
      <c r="B692" t="s">
        <v>291</v>
      </c>
      <c r="C692" s="14" t="s">
        <v>72</v>
      </c>
      <c r="D692" s="12">
        <v>46243</v>
      </c>
      <c r="E692" s="14" t="s">
        <v>134</v>
      </c>
      <c r="F692" s="14" t="s">
        <v>75</v>
      </c>
      <c r="G692">
        <v>3.3711289800323798</v>
      </c>
      <c r="H692">
        <v>7.6</v>
      </c>
      <c r="I692">
        <v>20</v>
      </c>
      <c r="J692">
        <v>7.6</v>
      </c>
      <c r="K692">
        <v>46243</v>
      </c>
      <c r="L692" t="s">
        <v>482</v>
      </c>
      <c r="M692">
        <v>4.9273356401384065</v>
      </c>
      <c r="N692">
        <v>2.2544376216441893</v>
      </c>
      <c r="O692">
        <v>2.2544376216441893</v>
      </c>
      <c r="P692">
        <v>1.4616277423152997</v>
      </c>
      <c r="Q692">
        <v>0</v>
      </c>
      <c r="R692">
        <v>0</v>
      </c>
      <c r="S692">
        <v>0.79280987932888958</v>
      </c>
      <c r="T692">
        <v>0</v>
      </c>
      <c r="U692">
        <v>0.21162774231529968</v>
      </c>
      <c r="V692">
        <v>0</v>
      </c>
      <c r="W692">
        <v>0.25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0.44356960263583944</v>
      </c>
      <c r="AL692">
        <v>0.44356960263583944</v>
      </c>
      <c r="AM692">
        <v>0.64833363686031664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0.35166636313968336</v>
      </c>
      <c r="AY692">
        <v>0</v>
      </c>
      <c r="AZ692">
        <v>0</v>
      </c>
      <c r="BA692">
        <v>0</v>
      </c>
      <c r="BB692">
        <v>0.44356960263583944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1.5424157303370791</v>
      </c>
      <c r="BI692">
        <v>1.5424157303370791</v>
      </c>
      <c r="BJ692">
        <v>0.68416873260488631</v>
      </c>
      <c r="CA692">
        <v>0</v>
      </c>
      <c r="CB692">
        <v>0</v>
      </c>
      <c r="CC692">
        <v>0</v>
      </c>
    </row>
    <row r="693" spans="1:82" hidden="1" x14ac:dyDescent="0.25">
      <c r="A693" t="s">
        <v>128</v>
      </c>
      <c r="B693" t="s">
        <v>422</v>
      </c>
      <c r="C693" s="14" t="s">
        <v>72</v>
      </c>
      <c r="D693" s="12">
        <v>46243</v>
      </c>
      <c r="E693" s="14" t="s">
        <v>134</v>
      </c>
      <c r="F693" s="14" t="s">
        <v>75</v>
      </c>
      <c r="G693">
        <v>3.3711289800323798</v>
      </c>
      <c r="H693">
        <v>2.8499999999999996</v>
      </c>
      <c r="I693">
        <v>20</v>
      </c>
      <c r="J693">
        <v>2.8499999999999996</v>
      </c>
      <c r="K693">
        <v>46243</v>
      </c>
      <c r="L693" t="s">
        <v>482</v>
      </c>
      <c r="M693">
        <v>1.882352941176471</v>
      </c>
      <c r="N693">
        <v>0.84541410811657092</v>
      </c>
      <c r="O693">
        <v>0.84541410811657092</v>
      </c>
      <c r="P693">
        <v>0.55837464313168783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0.15458589188342908</v>
      </c>
      <c r="AB693">
        <v>0</v>
      </c>
      <c r="AC693">
        <v>0.28703946498488309</v>
      </c>
      <c r="AD693">
        <v>0</v>
      </c>
      <c r="AE693">
        <v>0.55837464313168783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1.182852273695572</v>
      </c>
      <c r="AL693">
        <v>1.182852273695572</v>
      </c>
      <c r="AM693">
        <v>0.66047471620227061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0.182852273695572</v>
      </c>
      <c r="AW693">
        <v>0</v>
      </c>
      <c r="AX693">
        <v>0</v>
      </c>
      <c r="AY693">
        <v>0</v>
      </c>
      <c r="AZ693">
        <v>0.33952528379772939</v>
      </c>
      <c r="BA693">
        <v>0</v>
      </c>
      <c r="BB693">
        <v>0.66047471620227061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1.5140624999999994</v>
      </c>
      <c r="BI693">
        <v>1.5140624999999994</v>
      </c>
      <c r="BJ693">
        <v>1.7909122706422014</v>
      </c>
      <c r="CA693">
        <v>0</v>
      </c>
      <c r="CB693">
        <v>0</v>
      </c>
      <c r="CC693">
        <v>0</v>
      </c>
    </row>
    <row r="694" spans="1:82" hidden="1" x14ac:dyDescent="0.25">
      <c r="A694" t="s">
        <v>128</v>
      </c>
      <c r="B694" t="s">
        <v>421</v>
      </c>
      <c r="C694" s="14" t="s">
        <v>72</v>
      </c>
      <c r="D694" s="12">
        <v>46243</v>
      </c>
      <c r="E694" s="14" t="s">
        <v>134</v>
      </c>
      <c r="F694" s="14" t="s">
        <v>75</v>
      </c>
      <c r="G694">
        <v>2.4468546637744031</v>
      </c>
      <c r="H694">
        <v>5.6999999999999993</v>
      </c>
      <c r="I694">
        <v>20</v>
      </c>
      <c r="J694">
        <v>5.6999999999999993</v>
      </c>
      <c r="K694">
        <v>46243</v>
      </c>
      <c r="L694" t="s">
        <v>482</v>
      </c>
      <c r="M694">
        <v>1.7716262975778552</v>
      </c>
      <c r="N694">
        <v>2.3295212765957447</v>
      </c>
      <c r="O694">
        <v>2.3295212765957447</v>
      </c>
      <c r="P694">
        <v>0.72404230778669443</v>
      </c>
      <c r="Q694">
        <v>0</v>
      </c>
      <c r="R694">
        <v>0</v>
      </c>
      <c r="S694">
        <v>1.0795212765957447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0.25</v>
      </c>
      <c r="Z694">
        <v>0</v>
      </c>
      <c r="AA694">
        <v>0</v>
      </c>
      <c r="AB694">
        <v>0</v>
      </c>
      <c r="AC694">
        <v>0.27595769221330557</v>
      </c>
      <c r="AD694">
        <v>0</v>
      </c>
      <c r="AE694">
        <v>0.72404230778669443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0.42927274803059706</v>
      </c>
      <c r="AL694">
        <v>0.42927274803059706</v>
      </c>
      <c r="AM694">
        <v>0.31081163115400973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0.57072725196940288</v>
      </c>
      <c r="AY694">
        <v>0</v>
      </c>
      <c r="AZ694">
        <v>0.11846111687658734</v>
      </c>
      <c r="BA694">
        <v>0</v>
      </c>
      <c r="BB694">
        <v>0.31081163115400973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3.2173828124999986</v>
      </c>
      <c r="BI694">
        <v>3.2173828124999986</v>
      </c>
      <c r="BJ694">
        <v>1.3811347613882858</v>
      </c>
      <c r="CA694">
        <v>0</v>
      </c>
      <c r="CB694">
        <v>0</v>
      </c>
      <c r="CC694">
        <v>0</v>
      </c>
    </row>
    <row r="695" spans="1:82" hidden="1" x14ac:dyDescent="0.25">
      <c r="A695" t="s">
        <v>128</v>
      </c>
      <c r="B695" t="s">
        <v>291</v>
      </c>
      <c r="C695" s="14" t="s">
        <v>72</v>
      </c>
      <c r="D695" s="12">
        <v>46244</v>
      </c>
      <c r="E695" s="14" t="s">
        <v>134</v>
      </c>
      <c r="F695" s="14" t="s">
        <v>73</v>
      </c>
      <c r="G695">
        <v>3.507203196674312</v>
      </c>
      <c r="H695">
        <v>13.3</v>
      </c>
      <c r="I695">
        <v>20</v>
      </c>
      <c r="J695">
        <v>13.3</v>
      </c>
      <c r="K695">
        <v>46244</v>
      </c>
      <c r="L695" t="s">
        <v>483</v>
      </c>
      <c r="M695">
        <v>4.7058823529411749</v>
      </c>
      <c r="N695">
        <v>3.7921954486730787</v>
      </c>
      <c r="O695">
        <v>3.7921954486730787</v>
      </c>
      <c r="P695">
        <v>1.3417763639710139</v>
      </c>
      <c r="Q695">
        <v>0</v>
      </c>
      <c r="R695">
        <v>0</v>
      </c>
      <c r="S695">
        <v>2.450419084702065</v>
      </c>
      <c r="T695">
        <v>0</v>
      </c>
      <c r="U695">
        <v>9.1776363971013852E-2</v>
      </c>
      <c r="V695">
        <v>0</v>
      </c>
      <c r="W695">
        <v>0.25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0.26369948847175279</v>
      </c>
      <c r="AL695">
        <v>0.26369948847175279</v>
      </c>
      <c r="AM695">
        <v>0.35382574082264473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0.64617425917735527</v>
      </c>
      <c r="AY695">
        <v>0</v>
      </c>
      <c r="AZ695">
        <v>0</v>
      </c>
      <c r="BA695">
        <v>0</v>
      </c>
      <c r="BB695">
        <v>0.26369948847175279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2.8262500000000008</v>
      </c>
      <c r="BI695">
        <v>2.8262500000000008</v>
      </c>
      <c r="BJ695">
        <v>0.74528067929329156</v>
      </c>
      <c r="CA695">
        <v>0</v>
      </c>
      <c r="CB695">
        <v>0</v>
      </c>
      <c r="CC695">
        <v>0</v>
      </c>
    </row>
    <row r="696" spans="1:82" hidden="1" x14ac:dyDescent="0.25">
      <c r="A696" t="s">
        <v>128</v>
      </c>
      <c r="B696" t="s">
        <v>422</v>
      </c>
      <c r="C696" s="14" t="s">
        <v>72</v>
      </c>
      <c r="D696" s="12">
        <v>46244</v>
      </c>
      <c r="E696" s="14" t="s">
        <v>134</v>
      </c>
      <c r="F696" s="14" t="s">
        <v>73</v>
      </c>
      <c r="G696">
        <v>3.507203196674312</v>
      </c>
      <c r="H696">
        <v>0.95</v>
      </c>
      <c r="I696">
        <v>20</v>
      </c>
      <c r="J696">
        <v>0.95</v>
      </c>
      <c r="K696">
        <v>46244</v>
      </c>
      <c r="L696" t="s">
        <v>483</v>
      </c>
      <c r="M696">
        <v>3.2205882352941169</v>
      </c>
      <c r="N696">
        <v>0.2708711034766485</v>
      </c>
      <c r="O696">
        <v>0.2708711034766485</v>
      </c>
      <c r="P696">
        <v>0.91827819909266273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0.64740709561601428</v>
      </c>
      <c r="AA696">
        <v>8.1721800907337272E-2</v>
      </c>
      <c r="AB696">
        <v>0</v>
      </c>
      <c r="AC696">
        <v>0</v>
      </c>
      <c r="AD696">
        <v>0</v>
      </c>
      <c r="AE696">
        <v>0.2708711034766485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3.6917928386045391</v>
      </c>
      <c r="AL696">
        <v>3.6917928386045391</v>
      </c>
      <c r="AM696">
        <v>3.3900928792569651</v>
      </c>
      <c r="BD696">
        <v>0</v>
      </c>
      <c r="BE696">
        <v>0</v>
      </c>
      <c r="BF696">
        <v>0</v>
      </c>
      <c r="BH696">
        <v>0.29497716894977177</v>
      </c>
      <c r="BI696">
        <v>0.29497716894977177</v>
      </c>
      <c r="BJ696">
        <v>1.0889945998806085</v>
      </c>
      <c r="BK696">
        <v>8.8994599880608538E-2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0.72912889652335156</v>
      </c>
      <c r="BU696">
        <v>0</v>
      </c>
      <c r="BV696">
        <v>0</v>
      </c>
      <c r="BW696">
        <v>0</v>
      </c>
      <c r="BX696">
        <v>0</v>
      </c>
      <c r="BY696">
        <v>0.29497716894977177</v>
      </c>
      <c r="BZ696">
        <v>0</v>
      </c>
      <c r="CA696">
        <v>0</v>
      </c>
      <c r="CB696">
        <v>0</v>
      </c>
      <c r="CC696">
        <v>0</v>
      </c>
      <c r="CD696">
        <v>0</v>
      </c>
    </row>
    <row r="697" spans="1:82" hidden="1" x14ac:dyDescent="0.25">
      <c r="A697" t="s">
        <v>128</v>
      </c>
      <c r="B697" t="s">
        <v>421</v>
      </c>
      <c r="C697" s="14" t="s">
        <v>72</v>
      </c>
      <c r="D697" s="12">
        <v>46244</v>
      </c>
      <c r="E697" s="14" t="s">
        <v>134</v>
      </c>
      <c r="F697" s="14" t="s">
        <v>73</v>
      </c>
      <c r="G697">
        <v>2.5233188720173527</v>
      </c>
      <c r="H697">
        <v>0.95</v>
      </c>
      <c r="I697">
        <v>20</v>
      </c>
      <c r="J697">
        <v>0.95</v>
      </c>
      <c r="K697">
        <v>46244</v>
      </c>
      <c r="L697" t="s">
        <v>483</v>
      </c>
      <c r="M697">
        <v>0.23529411764705879</v>
      </c>
      <c r="N697">
        <v>0.37648828712658511</v>
      </c>
      <c r="O697">
        <v>0.37648828712658511</v>
      </c>
      <c r="P697">
        <v>9.3247872972528817E-2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0.62351171287341489</v>
      </c>
      <c r="AB697">
        <v>0</v>
      </c>
      <c r="AC697">
        <v>0.28324041415405632</v>
      </c>
      <c r="AD697">
        <v>0</v>
      </c>
      <c r="AE697">
        <v>9.3247872972528817E-2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2.6561251284393186</v>
      </c>
      <c r="AL697">
        <v>2.6561251284393186</v>
      </c>
      <c r="AM697">
        <v>0.24767801857585137</v>
      </c>
      <c r="BD697">
        <v>0</v>
      </c>
      <c r="BE697">
        <v>0</v>
      </c>
      <c r="BF697">
        <v>0</v>
      </c>
      <c r="BH697">
        <v>4.0375000000000005</v>
      </c>
      <c r="BI697">
        <v>4.0375000000000005</v>
      </c>
      <c r="BJ697">
        <v>10.72410520607375</v>
      </c>
      <c r="CA697">
        <v>0</v>
      </c>
      <c r="CB697">
        <v>0</v>
      </c>
      <c r="CC697">
        <v>0</v>
      </c>
    </row>
    <row r="698" spans="1:82" hidden="1" x14ac:dyDescent="0.25">
      <c r="A698" t="s">
        <v>128</v>
      </c>
      <c r="B698" t="s">
        <v>422</v>
      </c>
      <c r="C698" s="14" t="s">
        <v>72</v>
      </c>
      <c r="D698" s="12">
        <v>46244</v>
      </c>
      <c r="E698" s="14" t="s">
        <v>134</v>
      </c>
      <c r="F698" s="14" t="s">
        <v>74</v>
      </c>
      <c r="G698">
        <v>1.2735376146788988</v>
      </c>
      <c r="H698">
        <v>0</v>
      </c>
      <c r="I698">
        <v>20</v>
      </c>
      <c r="J698">
        <v>0</v>
      </c>
      <c r="K698">
        <v>46244</v>
      </c>
      <c r="L698" t="s">
        <v>484</v>
      </c>
      <c r="M698">
        <v>6.2745098039215685E-2</v>
      </c>
      <c r="N698">
        <v>0</v>
      </c>
      <c r="O698">
        <v>0</v>
      </c>
      <c r="P698">
        <v>4.9268350864560689E-2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4.9268350864560689E-2</v>
      </c>
      <c r="AA698">
        <v>0.95073164913543928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H698">
        <v>0</v>
      </c>
      <c r="BI698">
        <v>0</v>
      </c>
      <c r="BJ698">
        <v>20.29700573394495</v>
      </c>
      <c r="BK698">
        <v>19.29700573394495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</row>
    <row r="699" spans="1:82" hidden="1" x14ac:dyDescent="0.25">
      <c r="A699" t="s">
        <v>128</v>
      </c>
      <c r="B699" t="s">
        <v>421</v>
      </c>
      <c r="C699" s="14" t="s">
        <v>72</v>
      </c>
      <c r="D699" s="12">
        <v>46244</v>
      </c>
      <c r="E699" s="14" t="s">
        <v>134</v>
      </c>
      <c r="F699" s="14" t="s">
        <v>74</v>
      </c>
      <c r="G699">
        <v>2.7731019522776572</v>
      </c>
      <c r="H699">
        <v>0</v>
      </c>
      <c r="I699">
        <v>20</v>
      </c>
      <c r="J699">
        <v>0</v>
      </c>
      <c r="K699">
        <v>46244</v>
      </c>
      <c r="L699" t="s">
        <v>484</v>
      </c>
      <c r="M699">
        <v>2.0078431372549019</v>
      </c>
      <c r="N699">
        <v>0</v>
      </c>
      <c r="O699">
        <v>0</v>
      </c>
      <c r="P699">
        <v>0.72404230778669421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0.72404230778669421</v>
      </c>
      <c r="AA699">
        <v>0.27595769221330579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H699">
        <v>0</v>
      </c>
      <c r="BI699">
        <v>0</v>
      </c>
      <c r="BJ699">
        <v>1.3811347613882863</v>
      </c>
      <c r="BK699">
        <v>0.38113476138828628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1</v>
      </c>
      <c r="CD699">
        <v>1</v>
      </c>
    </row>
    <row r="700" spans="1:82" hidden="1" x14ac:dyDescent="0.25">
      <c r="A700" t="s">
        <v>128</v>
      </c>
      <c r="B700" t="s">
        <v>291</v>
      </c>
      <c r="C700" s="14" t="s">
        <v>72</v>
      </c>
      <c r="D700" s="12">
        <v>46244</v>
      </c>
      <c r="E700" s="14" t="s">
        <v>134</v>
      </c>
      <c r="F700" s="14" t="s">
        <v>74</v>
      </c>
      <c r="G700">
        <v>1.2735376146788988</v>
      </c>
      <c r="H700">
        <v>0</v>
      </c>
      <c r="I700">
        <v>20</v>
      </c>
      <c r="J700">
        <v>0</v>
      </c>
      <c r="K700">
        <v>46244</v>
      </c>
      <c r="L700" t="s">
        <v>484</v>
      </c>
      <c r="M700">
        <v>2.8235294117647056</v>
      </c>
      <c r="N700">
        <v>0</v>
      </c>
      <c r="O700">
        <v>0</v>
      </c>
      <c r="P700">
        <v>2.2170757889052308</v>
      </c>
      <c r="Q700">
        <v>1.2170757889052308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1</v>
      </c>
      <c r="BH700">
        <v>0</v>
      </c>
      <c r="BI700">
        <v>0</v>
      </c>
      <c r="BJ700">
        <v>0.45104457186544339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0.54895542813455656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0.45104457186544344</v>
      </c>
      <c r="CD700">
        <v>0</v>
      </c>
    </row>
    <row r="701" spans="1:82" hidden="1" x14ac:dyDescent="0.25">
      <c r="A701" t="s">
        <v>128</v>
      </c>
      <c r="B701" t="s">
        <v>421</v>
      </c>
      <c r="C701" s="14" t="s">
        <v>72</v>
      </c>
      <c r="D701" s="12">
        <v>46244</v>
      </c>
      <c r="E701" s="14" t="s">
        <v>134</v>
      </c>
      <c r="F701" s="14" t="s">
        <v>75</v>
      </c>
      <c r="G701">
        <v>2.5188209774148276</v>
      </c>
      <c r="H701">
        <v>2.8499999999999996</v>
      </c>
      <c r="I701">
        <v>20</v>
      </c>
      <c r="J701">
        <v>2.8499999999999996</v>
      </c>
      <c r="K701">
        <v>46244</v>
      </c>
      <c r="L701" t="s">
        <v>485</v>
      </c>
      <c r="M701">
        <v>1.7716262975778552</v>
      </c>
      <c r="N701">
        <v>1.1314817629179328</v>
      </c>
      <c r="O701">
        <v>1.1314817629179328</v>
      </c>
      <c r="P701">
        <v>0.70335538470707437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0.13148176291793279</v>
      </c>
      <c r="Z701">
        <v>0</v>
      </c>
      <c r="AA701">
        <v>0</v>
      </c>
      <c r="AB701">
        <v>0</v>
      </c>
      <c r="AC701">
        <v>0.29664461529292563</v>
      </c>
      <c r="AD701">
        <v>0</v>
      </c>
      <c r="AE701">
        <v>0.70335538470707437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0.88379683418064137</v>
      </c>
      <c r="AL701">
        <v>0.88379683418064137</v>
      </c>
      <c r="AM701">
        <v>0.62162326230801945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0.11620316581935863</v>
      </c>
      <c r="AY701">
        <v>0</v>
      </c>
      <c r="AZ701">
        <v>0.26217357187262191</v>
      </c>
      <c r="BA701">
        <v>0</v>
      </c>
      <c r="BB701">
        <v>0.62162326230801945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1.6086914062499993</v>
      </c>
      <c r="BI701">
        <v>1.6086914062499993</v>
      </c>
      <c r="BJ701">
        <v>1.4217563720173534</v>
      </c>
      <c r="CA701">
        <v>0</v>
      </c>
      <c r="CB701">
        <v>0</v>
      </c>
      <c r="CC701">
        <v>0</v>
      </c>
    </row>
    <row r="702" spans="1:82" hidden="1" x14ac:dyDescent="0.25">
      <c r="A702" t="s">
        <v>128</v>
      </c>
      <c r="B702" t="s">
        <v>291</v>
      </c>
      <c r="C702" s="14" t="s">
        <v>72</v>
      </c>
      <c r="D702" s="12">
        <v>46244</v>
      </c>
      <c r="E702" s="14" t="s">
        <v>134</v>
      </c>
      <c r="F702" s="14" t="s">
        <v>75</v>
      </c>
      <c r="G702">
        <v>3.3711289800323794</v>
      </c>
      <c r="H702">
        <v>4.75</v>
      </c>
      <c r="I702">
        <v>20</v>
      </c>
      <c r="J702">
        <v>4.75</v>
      </c>
      <c r="K702">
        <v>46244</v>
      </c>
      <c r="L702" t="s">
        <v>485</v>
      </c>
      <c r="M702">
        <v>5.8131487889273332</v>
      </c>
      <c r="N702">
        <v>1.4090235135276186</v>
      </c>
      <c r="O702">
        <v>1.4090235135276186</v>
      </c>
      <c r="P702">
        <v>1.7243922802596234</v>
      </c>
      <c r="Q702">
        <v>0.31536876673200487</v>
      </c>
      <c r="R702">
        <v>0</v>
      </c>
      <c r="S702">
        <v>0</v>
      </c>
      <c r="T702">
        <v>0</v>
      </c>
      <c r="U702">
        <v>0.15902351352761857</v>
      </c>
      <c r="V702">
        <v>0</v>
      </c>
      <c r="W702">
        <v>0.25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0.70971136421734304</v>
      </c>
      <c r="AL702">
        <v>0.70971136421734304</v>
      </c>
      <c r="AM702">
        <v>1.2238207976689122</v>
      </c>
      <c r="AN702">
        <v>0.22382079766891216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0.70971136421734304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0.81711309523809561</v>
      </c>
      <c r="BI702">
        <v>0.81711309523809561</v>
      </c>
      <c r="BJ702">
        <v>0.57991444954128457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0.18288690476190439</v>
      </c>
      <c r="BV702">
        <v>0</v>
      </c>
      <c r="BW702">
        <v>0.23719864569681104</v>
      </c>
      <c r="BX702">
        <v>0</v>
      </c>
      <c r="BY702">
        <v>0.57991444954128457</v>
      </c>
      <c r="BZ702">
        <v>0</v>
      </c>
      <c r="CA702">
        <v>0</v>
      </c>
      <c r="CB702">
        <v>0</v>
      </c>
      <c r="CC702">
        <v>0</v>
      </c>
      <c r="CD702">
        <v>0</v>
      </c>
    </row>
    <row r="703" spans="1:82" hidden="1" x14ac:dyDescent="0.25">
      <c r="A703" t="s">
        <v>128</v>
      </c>
      <c r="B703" t="s">
        <v>422</v>
      </c>
      <c r="C703" s="14" t="s">
        <v>72</v>
      </c>
      <c r="D703" s="12">
        <v>46244</v>
      </c>
      <c r="E703" s="14" t="s">
        <v>134</v>
      </c>
      <c r="F703" s="14" t="s">
        <v>75</v>
      </c>
      <c r="G703">
        <v>3.3711289800323794</v>
      </c>
      <c r="H703">
        <v>2.8499999999999996</v>
      </c>
      <c r="I703">
        <v>20</v>
      </c>
      <c r="J703">
        <v>2.8499999999999996</v>
      </c>
      <c r="K703">
        <v>46244</v>
      </c>
      <c r="L703" t="s">
        <v>485</v>
      </c>
      <c r="M703">
        <v>1.3840830449826986</v>
      </c>
      <c r="N703">
        <v>0.84541410811657103</v>
      </c>
      <c r="O703">
        <v>0.84541410811657103</v>
      </c>
      <c r="P703">
        <v>0.41056959053800562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0.15458589188342897</v>
      </c>
      <c r="AB703">
        <v>0</v>
      </c>
      <c r="AC703">
        <v>0.4348445175785654</v>
      </c>
      <c r="AD703">
        <v>0</v>
      </c>
      <c r="AE703">
        <v>0.41056959053800562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1.1828522736955718</v>
      </c>
      <c r="AL703">
        <v>1.1828522736955718</v>
      </c>
      <c r="AM703">
        <v>0.48564317367813992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0.18285227369557178</v>
      </c>
      <c r="AW703">
        <v>0</v>
      </c>
      <c r="AX703">
        <v>0</v>
      </c>
      <c r="AY703">
        <v>0</v>
      </c>
      <c r="AZ703">
        <v>0.51435682632186008</v>
      </c>
      <c r="BA703">
        <v>0</v>
      </c>
      <c r="BB703">
        <v>0.48564317367813992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2.0591250000000003</v>
      </c>
      <c r="BI703">
        <v>2.0591250000000003</v>
      </c>
      <c r="BJ703">
        <v>2.4356406880733945</v>
      </c>
      <c r="CA703">
        <v>0</v>
      </c>
      <c r="CB703">
        <v>0</v>
      </c>
      <c r="CC703">
        <v>0</v>
      </c>
    </row>
    <row r="704" spans="1:82" hidden="1" x14ac:dyDescent="0.25">
      <c r="A704" t="s">
        <v>128</v>
      </c>
      <c r="B704" t="s">
        <v>421</v>
      </c>
      <c r="C704" s="14" t="s">
        <v>72</v>
      </c>
      <c r="D704" s="12">
        <v>46245</v>
      </c>
      <c r="E704" s="14" t="s">
        <v>134</v>
      </c>
      <c r="F704" s="14" t="s">
        <v>73</v>
      </c>
      <c r="G704">
        <v>3.8232104121475055</v>
      </c>
      <c r="H704">
        <v>0.95</v>
      </c>
      <c r="I704">
        <v>20</v>
      </c>
      <c r="J704">
        <v>0.95</v>
      </c>
      <c r="K704">
        <v>46245</v>
      </c>
      <c r="L704" t="s">
        <v>486</v>
      </c>
      <c r="M704">
        <v>0.23529411764705879</v>
      </c>
      <c r="N704">
        <v>0.2484822695035461</v>
      </c>
      <c r="O704">
        <v>0.2484822695035461</v>
      </c>
      <c r="P704">
        <v>6.1543596161868996E-2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0.75151773049645387</v>
      </c>
      <c r="AB704">
        <v>0</v>
      </c>
      <c r="AC704">
        <v>0.1869386733416771</v>
      </c>
      <c r="AD704">
        <v>0</v>
      </c>
      <c r="AE704">
        <v>6.1543596161868996E-2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4.024432012786848</v>
      </c>
      <c r="AL704">
        <v>4.024432012786848</v>
      </c>
      <c r="AM704">
        <v>0.24767801857585137</v>
      </c>
      <c r="BD704">
        <v>0</v>
      </c>
      <c r="BE704">
        <v>0</v>
      </c>
      <c r="BF704">
        <v>0</v>
      </c>
      <c r="BH704">
        <v>4.0375000000000005</v>
      </c>
      <c r="BI704">
        <v>4.0375000000000005</v>
      </c>
      <c r="BJ704">
        <v>16.248644251626899</v>
      </c>
      <c r="CA704">
        <v>0</v>
      </c>
      <c r="CB704">
        <v>0</v>
      </c>
      <c r="CC704">
        <v>0</v>
      </c>
    </row>
    <row r="705" spans="1:82" hidden="1" x14ac:dyDescent="0.25">
      <c r="A705" t="s">
        <v>128</v>
      </c>
      <c r="B705" t="s">
        <v>291</v>
      </c>
      <c r="C705" s="14" t="s">
        <v>72</v>
      </c>
      <c r="D705" s="12">
        <v>46245</v>
      </c>
      <c r="E705" s="14" t="s">
        <v>134</v>
      </c>
      <c r="F705" s="14" t="s">
        <v>73</v>
      </c>
      <c r="G705">
        <v>7.014406393348624</v>
      </c>
      <c r="H705">
        <v>3.8</v>
      </c>
      <c r="I705">
        <v>20</v>
      </c>
      <c r="J705">
        <v>3.8</v>
      </c>
      <c r="K705">
        <v>46245</v>
      </c>
      <c r="L705" t="s">
        <v>486</v>
      </c>
      <c r="M705">
        <v>6.5882352941176467</v>
      </c>
      <c r="N705">
        <v>0.541742206953297</v>
      </c>
      <c r="O705">
        <v>0.541742206953297</v>
      </c>
      <c r="P705">
        <v>0.93924345477970994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0.39750124782641294</v>
      </c>
      <c r="AA705">
        <v>6.0756545220290059E-2</v>
      </c>
      <c r="AB705">
        <v>0</v>
      </c>
      <c r="AC705">
        <v>0</v>
      </c>
      <c r="AD705">
        <v>0</v>
      </c>
      <c r="AE705">
        <v>0.541742206953297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1.8458964193022696</v>
      </c>
      <c r="AL705">
        <v>1.8458964193022696</v>
      </c>
      <c r="AM705">
        <v>1.7337461300309598</v>
      </c>
      <c r="BD705">
        <v>0</v>
      </c>
      <c r="BE705">
        <v>0</v>
      </c>
      <c r="BF705">
        <v>0</v>
      </c>
      <c r="BH705">
        <v>0.57678571428571423</v>
      </c>
      <c r="BI705">
        <v>0.57678571428571423</v>
      </c>
      <c r="BJ705">
        <v>1.0646866847047018</v>
      </c>
      <c r="BK705">
        <v>6.4686684704701847E-2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0.458257793046703</v>
      </c>
      <c r="BU705">
        <v>0</v>
      </c>
      <c r="BV705">
        <v>0</v>
      </c>
      <c r="BW705">
        <v>0</v>
      </c>
      <c r="BX705">
        <v>0</v>
      </c>
      <c r="BY705">
        <v>0.57678571428571423</v>
      </c>
      <c r="BZ705">
        <v>0</v>
      </c>
      <c r="CA705">
        <v>0</v>
      </c>
      <c r="CB705">
        <v>0</v>
      </c>
      <c r="CC705">
        <v>0</v>
      </c>
      <c r="CD705">
        <v>0</v>
      </c>
    </row>
    <row r="706" spans="1:82" hidden="1" x14ac:dyDescent="0.25">
      <c r="A706" t="s">
        <v>128</v>
      </c>
      <c r="B706" t="s">
        <v>422</v>
      </c>
      <c r="C706" s="14" t="s">
        <v>72</v>
      </c>
      <c r="D706" s="12">
        <v>46245</v>
      </c>
      <c r="E706" s="14" t="s">
        <v>134</v>
      </c>
      <c r="F706" s="14" t="s">
        <v>73</v>
      </c>
      <c r="G706">
        <v>7.014406393348624</v>
      </c>
      <c r="H706">
        <v>0.95</v>
      </c>
      <c r="I706">
        <v>20</v>
      </c>
      <c r="J706">
        <v>0.95</v>
      </c>
      <c r="K706">
        <v>46245</v>
      </c>
      <c r="L706" t="s">
        <v>486</v>
      </c>
      <c r="M706">
        <v>3.1470588235294112</v>
      </c>
      <c r="N706">
        <v>0.13543555173832425</v>
      </c>
      <c r="O706">
        <v>0.13543555173832425</v>
      </c>
      <c r="P706">
        <v>0.44865647170280781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0.31322091996448354</v>
      </c>
      <c r="AA706">
        <v>0.55134352829719213</v>
      </c>
      <c r="AB706">
        <v>0</v>
      </c>
      <c r="AC706">
        <v>0</v>
      </c>
      <c r="AD706">
        <v>0</v>
      </c>
      <c r="AE706">
        <v>0.13543555173832425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7.3835856772090782</v>
      </c>
      <c r="AL706">
        <v>7.3835856772090782</v>
      </c>
      <c r="AM706">
        <v>3.312693498452012</v>
      </c>
      <c r="BD706">
        <v>0</v>
      </c>
      <c r="BE706">
        <v>0</v>
      </c>
      <c r="BF706">
        <v>0</v>
      </c>
      <c r="BH706">
        <v>0.30186915887850468</v>
      </c>
      <c r="BI706">
        <v>0.30186915887850468</v>
      </c>
      <c r="BJ706">
        <v>2.2288767978864792</v>
      </c>
      <c r="BK706">
        <v>1.2288767978864792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0.86456444826167578</v>
      </c>
      <c r="BU706">
        <v>0</v>
      </c>
      <c r="BV706">
        <v>0</v>
      </c>
      <c r="BW706">
        <v>0</v>
      </c>
      <c r="BX706">
        <v>0</v>
      </c>
      <c r="BY706">
        <v>0.30186915887850468</v>
      </c>
      <c r="BZ706">
        <v>0</v>
      </c>
      <c r="CA706">
        <v>0</v>
      </c>
      <c r="CB706">
        <v>0</v>
      </c>
      <c r="CC706">
        <v>0</v>
      </c>
      <c r="CD706">
        <v>0</v>
      </c>
    </row>
    <row r="707" spans="1:82" hidden="1" x14ac:dyDescent="0.25">
      <c r="A707" t="s">
        <v>128</v>
      </c>
      <c r="B707" t="s">
        <v>421</v>
      </c>
      <c r="C707" s="14" t="s">
        <v>72</v>
      </c>
      <c r="D707" s="12">
        <v>46245</v>
      </c>
      <c r="E707" s="14" t="s">
        <v>134</v>
      </c>
      <c r="F707" s="14" t="s">
        <v>74</v>
      </c>
      <c r="G707">
        <v>2.7731019522776572</v>
      </c>
      <c r="H707">
        <v>0</v>
      </c>
      <c r="I707">
        <v>20</v>
      </c>
      <c r="J707">
        <v>0</v>
      </c>
      <c r="K707">
        <v>46245</v>
      </c>
      <c r="L707" t="s">
        <v>487</v>
      </c>
      <c r="M707">
        <v>2.0078431372549019</v>
      </c>
      <c r="N707">
        <v>0</v>
      </c>
      <c r="O707">
        <v>0</v>
      </c>
      <c r="P707">
        <v>0.72404230778669421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0.72404230778669421</v>
      </c>
      <c r="AA707">
        <v>0.27595769221330579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H707">
        <v>0</v>
      </c>
      <c r="BI707">
        <v>0</v>
      </c>
      <c r="BJ707">
        <v>1.3811347613882863</v>
      </c>
      <c r="BK707">
        <v>0.38113476138828628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1</v>
      </c>
    </row>
    <row r="708" spans="1:82" hidden="1" x14ac:dyDescent="0.25">
      <c r="A708" t="s">
        <v>128</v>
      </c>
      <c r="B708" t="s">
        <v>291</v>
      </c>
      <c r="C708" s="14" t="s">
        <v>72</v>
      </c>
      <c r="D708" s="12">
        <v>46245</v>
      </c>
      <c r="E708" s="14" t="s">
        <v>134</v>
      </c>
      <c r="F708" s="14" t="s">
        <v>74</v>
      </c>
      <c r="G708">
        <v>1.2735376146788988</v>
      </c>
      <c r="H708">
        <v>8.5499999999999989</v>
      </c>
      <c r="I708">
        <v>20</v>
      </c>
      <c r="J708">
        <v>8.5499999999999989</v>
      </c>
      <c r="K708">
        <v>46245</v>
      </c>
      <c r="L708" t="s">
        <v>487</v>
      </c>
      <c r="M708">
        <v>2.8235294117647056</v>
      </c>
      <c r="N708">
        <v>6.7135826232786524</v>
      </c>
      <c r="O708">
        <v>6.7135826232786524</v>
      </c>
      <c r="P708">
        <v>2.2170757889052308</v>
      </c>
      <c r="Q708">
        <v>0</v>
      </c>
      <c r="R708">
        <v>0</v>
      </c>
      <c r="S708">
        <v>4.496506834373422</v>
      </c>
      <c r="T708">
        <v>0</v>
      </c>
      <c r="U708">
        <v>0.96707578890523083</v>
      </c>
      <c r="V708">
        <v>0</v>
      </c>
      <c r="W708">
        <v>0.25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0.14895176779870165</v>
      </c>
      <c r="AL708">
        <v>0.14895176779870165</v>
      </c>
      <c r="AM708">
        <v>0.33023735810113519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0.66976264189886481</v>
      </c>
      <c r="AY708">
        <v>0</v>
      </c>
      <c r="AZ708">
        <v>0</v>
      </c>
      <c r="BA708">
        <v>0</v>
      </c>
      <c r="BB708">
        <v>0.14895176779870165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3.0281249999999997</v>
      </c>
      <c r="BI708">
        <v>3.0281249999999997</v>
      </c>
      <c r="BJ708">
        <v>0.45104457186544339</v>
      </c>
      <c r="CA708">
        <v>0</v>
      </c>
      <c r="CB708">
        <v>0</v>
      </c>
      <c r="CC708">
        <v>0</v>
      </c>
    </row>
    <row r="709" spans="1:82" hidden="1" x14ac:dyDescent="0.25">
      <c r="A709" t="s">
        <v>128</v>
      </c>
      <c r="B709" t="s">
        <v>422</v>
      </c>
      <c r="C709" s="14" t="s">
        <v>72</v>
      </c>
      <c r="D709" s="12">
        <v>46245</v>
      </c>
      <c r="E709" s="14" t="s">
        <v>134</v>
      </c>
      <c r="F709" s="14" t="s">
        <v>74</v>
      </c>
      <c r="G709">
        <v>1.2735376146788988</v>
      </c>
      <c r="H709">
        <v>0</v>
      </c>
      <c r="I709">
        <v>20</v>
      </c>
      <c r="J709">
        <v>0</v>
      </c>
      <c r="K709">
        <v>46245</v>
      </c>
      <c r="L709" t="s">
        <v>487</v>
      </c>
      <c r="M709">
        <v>6.2745098039215685E-2</v>
      </c>
      <c r="N709">
        <v>0</v>
      </c>
      <c r="O709">
        <v>0</v>
      </c>
      <c r="P709">
        <v>4.9268350864560689E-2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4.9268350864560689E-2</v>
      </c>
      <c r="AA709">
        <v>0.95073164913543928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H709">
        <v>0</v>
      </c>
      <c r="BI709">
        <v>0</v>
      </c>
      <c r="BJ709">
        <v>20.29700573394495</v>
      </c>
      <c r="BK709">
        <v>19.29700573394495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</row>
    <row r="710" spans="1:82" hidden="1" x14ac:dyDescent="0.25">
      <c r="A710" t="s">
        <v>128</v>
      </c>
      <c r="B710" t="s">
        <v>421</v>
      </c>
      <c r="C710" s="14" t="s">
        <v>72</v>
      </c>
      <c r="D710" s="12">
        <v>46245</v>
      </c>
      <c r="E710" s="14" t="s">
        <v>134</v>
      </c>
      <c r="F710" s="14" t="s">
        <v>75</v>
      </c>
      <c r="G710">
        <v>2.446854663774404</v>
      </c>
      <c r="H710">
        <v>2.8499999999999996</v>
      </c>
      <c r="I710">
        <v>20</v>
      </c>
      <c r="J710">
        <v>2.8499999999999996</v>
      </c>
      <c r="K710">
        <v>46245</v>
      </c>
      <c r="L710" t="s">
        <v>488</v>
      </c>
      <c r="M710">
        <v>1.7716262975778547</v>
      </c>
      <c r="N710">
        <v>1.1647606382978719</v>
      </c>
      <c r="O710">
        <v>1.1647606382978719</v>
      </c>
      <c r="P710">
        <v>0.72404230778669398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0.16476063829787191</v>
      </c>
      <c r="Z710">
        <v>0</v>
      </c>
      <c r="AA710">
        <v>0</v>
      </c>
      <c r="AB710">
        <v>0</v>
      </c>
      <c r="AC710">
        <v>0.27595769221330602</v>
      </c>
      <c r="AD710">
        <v>0</v>
      </c>
      <c r="AE710">
        <v>0.72404230778669398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0.85854549606119446</v>
      </c>
      <c r="AL710">
        <v>0.85854549606119446</v>
      </c>
      <c r="AM710">
        <v>0.62162326230801923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0.14145450393880554</v>
      </c>
      <c r="AY710">
        <v>0</v>
      </c>
      <c r="AZ710">
        <v>0.23692223375317523</v>
      </c>
      <c r="BA710">
        <v>0</v>
      </c>
      <c r="BB710">
        <v>0.62162326230801923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1.6086914062499997</v>
      </c>
      <c r="BI710">
        <v>1.6086914062499997</v>
      </c>
      <c r="BJ710">
        <v>1.3811347613882865</v>
      </c>
      <c r="CA710">
        <v>0</v>
      </c>
      <c r="CB710">
        <v>0</v>
      </c>
      <c r="CC710">
        <v>0</v>
      </c>
    </row>
    <row r="711" spans="1:82" hidden="1" x14ac:dyDescent="0.25">
      <c r="A711" t="s">
        <v>128</v>
      </c>
      <c r="B711" t="s">
        <v>291</v>
      </c>
      <c r="C711" s="14" t="s">
        <v>72</v>
      </c>
      <c r="D711" s="12">
        <v>46245</v>
      </c>
      <c r="E711" s="14" t="s">
        <v>134</v>
      </c>
      <c r="F711" s="14" t="s">
        <v>75</v>
      </c>
      <c r="G711">
        <v>3.3711289800323794</v>
      </c>
      <c r="H711">
        <v>2.8499999999999996</v>
      </c>
      <c r="I711">
        <v>20</v>
      </c>
      <c r="J711">
        <v>2.8499999999999996</v>
      </c>
      <c r="K711">
        <v>46245</v>
      </c>
      <c r="L711" t="s">
        <v>488</v>
      </c>
      <c r="M711">
        <v>5.9238754325259491</v>
      </c>
      <c r="N711">
        <v>0.84541410811657103</v>
      </c>
      <c r="O711">
        <v>0.84541410811657103</v>
      </c>
      <c r="P711">
        <v>1.7572378475026638</v>
      </c>
      <c r="Q711">
        <v>0.75723784750266376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0.15458589188342897</v>
      </c>
      <c r="AA711">
        <v>0</v>
      </c>
      <c r="AB711">
        <v>0</v>
      </c>
      <c r="AC711">
        <v>0</v>
      </c>
      <c r="AD711">
        <v>0</v>
      </c>
      <c r="AE711">
        <v>0.84541410811657103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1.1828522736955718</v>
      </c>
      <c r="AL711">
        <v>1.1828522736955718</v>
      </c>
      <c r="AM711">
        <v>2.0785527833424386</v>
      </c>
      <c r="AN711">
        <v>0.89570050964686687</v>
      </c>
      <c r="AO711">
        <v>0</v>
      </c>
      <c r="AP711">
        <v>0</v>
      </c>
      <c r="AQ711">
        <v>0</v>
      </c>
      <c r="AR711">
        <v>0</v>
      </c>
      <c r="AS711">
        <v>0.31714772630442822</v>
      </c>
      <c r="AT711">
        <v>0.18285227369557178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0.48110397196261695</v>
      </c>
      <c r="BI711">
        <v>0.48110397196261695</v>
      </c>
      <c r="BJ711">
        <v>0.56907492711995211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0.43092507288004789</v>
      </c>
      <c r="BV711">
        <v>0</v>
      </c>
      <c r="BW711">
        <v>0</v>
      </c>
      <c r="BX711">
        <v>0</v>
      </c>
      <c r="BY711">
        <v>0.48110397196261695</v>
      </c>
      <c r="BZ711">
        <v>0</v>
      </c>
      <c r="CA711">
        <v>0</v>
      </c>
      <c r="CB711">
        <v>0</v>
      </c>
      <c r="CC711">
        <v>0</v>
      </c>
      <c r="CD711">
        <v>0</v>
      </c>
    </row>
    <row r="712" spans="1:82" hidden="1" x14ac:dyDescent="0.25">
      <c r="A712" t="s">
        <v>128</v>
      </c>
      <c r="B712" t="s">
        <v>422</v>
      </c>
      <c r="C712" s="14" t="s">
        <v>72</v>
      </c>
      <c r="D712" s="12">
        <v>46245</v>
      </c>
      <c r="E712" s="14" t="s">
        <v>134</v>
      </c>
      <c r="F712" s="14" t="s">
        <v>75</v>
      </c>
      <c r="G712">
        <v>3.3711289800323794</v>
      </c>
      <c r="H712">
        <v>1.9</v>
      </c>
      <c r="I712">
        <v>20</v>
      </c>
      <c r="J712">
        <v>1.9</v>
      </c>
      <c r="K712">
        <v>46245</v>
      </c>
      <c r="L712" t="s">
        <v>488</v>
      </c>
      <c r="M712">
        <v>1.2179930795847749</v>
      </c>
      <c r="N712">
        <v>0.56360940541104732</v>
      </c>
      <c r="O712">
        <v>0.56360940541104732</v>
      </c>
      <c r="P712">
        <v>0.36130123967344502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0.43639059458895268</v>
      </c>
      <c r="AB712">
        <v>0</v>
      </c>
      <c r="AC712">
        <v>0.2023081657376023</v>
      </c>
      <c r="AD712">
        <v>0</v>
      </c>
      <c r="AE712">
        <v>0.36130123967344502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1.7742784105433576</v>
      </c>
      <c r="AL712">
        <v>1.7742784105433576</v>
      </c>
      <c r="AM712">
        <v>0.64104898925514475</v>
      </c>
      <c r="BD712">
        <v>0</v>
      </c>
      <c r="BE712">
        <v>0</v>
      </c>
      <c r="BF712">
        <v>0</v>
      </c>
      <c r="BH712">
        <v>1.5599431818181819</v>
      </c>
      <c r="BI712">
        <v>1.5599431818181819</v>
      </c>
      <c r="BJ712">
        <v>2.7677735091743121</v>
      </c>
      <c r="CA712">
        <v>0</v>
      </c>
      <c r="CB712">
        <v>0</v>
      </c>
      <c r="CC712">
        <v>0</v>
      </c>
    </row>
    <row r="713" spans="1:82" hidden="1" x14ac:dyDescent="0.25">
      <c r="A713" t="s">
        <v>128</v>
      </c>
      <c r="B713" t="s">
        <v>421</v>
      </c>
      <c r="C713" s="14" t="s">
        <v>72</v>
      </c>
      <c r="D713" s="12">
        <v>46246</v>
      </c>
      <c r="E713" s="14" t="s">
        <v>134</v>
      </c>
      <c r="F713" s="14" t="s">
        <v>73</v>
      </c>
      <c r="G713">
        <v>3.8996746203904542</v>
      </c>
      <c r="H713">
        <v>2.8499999999999996</v>
      </c>
      <c r="I713">
        <v>20</v>
      </c>
      <c r="J713">
        <v>2.8499999999999996</v>
      </c>
      <c r="K713">
        <v>46246</v>
      </c>
      <c r="L713" t="s">
        <v>489</v>
      </c>
      <c r="M713">
        <v>0.23529411764705879</v>
      </c>
      <c r="N713">
        <v>0.7308302044221946</v>
      </c>
      <c r="O713">
        <v>0.7308302044221946</v>
      </c>
      <c r="P713">
        <v>6.0336858982224524E-2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0.2691697955778054</v>
      </c>
      <c r="AB713">
        <v>0</v>
      </c>
      <c r="AC713">
        <v>0.67049334543997008</v>
      </c>
      <c r="AD713">
        <v>0</v>
      </c>
      <c r="AE713">
        <v>6.0336858982224524E-2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1.3683068843475279</v>
      </c>
      <c r="AL713">
        <v>1.3683068843475279</v>
      </c>
      <c r="AM713">
        <v>8.2559339525283798E-2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0.3683068843475279</v>
      </c>
      <c r="AW713">
        <v>0</v>
      </c>
      <c r="AX713">
        <v>0</v>
      </c>
      <c r="AY713">
        <v>0</v>
      </c>
      <c r="AZ713">
        <v>0.91744066047471617</v>
      </c>
      <c r="BA713">
        <v>0</v>
      </c>
      <c r="BB713">
        <v>8.2559339525283798E-2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12.112500000000001</v>
      </c>
      <c r="BI713">
        <v>12.112500000000001</v>
      </c>
      <c r="BJ713">
        <v>16.573617136659433</v>
      </c>
      <c r="CA713">
        <v>0</v>
      </c>
      <c r="CB713">
        <v>0</v>
      </c>
      <c r="CC713">
        <v>0</v>
      </c>
    </row>
    <row r="714" spans="1:82" hidden="1" x14ac:dyDescent="0.25">
      <c r="A714" t="s">
        <v>128</v>
      </c>
      <c r="B714" t="s">
        <v>291</v>
      </c>
      <c r="C714" s="14" t="s">
        <v>72</v>
      </c>
      <c r="D714" s="12">
        <v>46246</v>
      </c>
      <c r="E714" s="14" t="s">
        <v>134</v>
      </c>
      <c r="F714" s="14" t="s">
        <v>73</v>
      </c>
      <c r="G714">
        <v>5.8204648795871554</v>
      </c>
      <c r="H714">
        <v>2.8499999999999996</v>
      </c>
      <c r="I714">
        <v>20</v>
      </c>
      <c r="J714">
        <v>2.8499999999999996</v>
      </c>
      <c r="K714">
        <v>46246</v>
      </c>
      <c r="L714" t="s">
        <v>489</v>
      </c>
      <c r="M714">
        <v>5.6470588235294112</v>
      </c>
      <c r="N714">
        <v>0.48965161013086461</v>
      </c>
      <c r="O714">
        <v>0.48965161013086461</v>
      </c>
      <c r="P714">
        <v>0.97020752471750271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0.4805559145866381</v>
      </c>
      <c r="AA714">
        <v>2.9792475282497288E-2</v>
      </c>
      <c r="AB714">
        <v>0</v>
      </c>
      <c r="AC714">
        <v>0</v>
      </c>
      <c r="AD714">
        <v>0</v>
      </c>
      <c r="AE714">
        <v>0.48965161013086461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2.0422683788025111</v>
      </c>
      <c r="AL714">
        <v>2.0422683788025111</v>
      </c>
      <c r="AM714">
        <v>1.9814241486068112</v>
      </c>
      <c r="BD714">
        <v>0</v>
      </c>
      <c r="BE714">
        <v>0</v>
      </c>
      <c r="BF714">
        <v>0</v>
      </c>
      <c r="BH714">
        <v>0.50468749999999996</v>
      </c>
      <c r="BI714">
        <v>0.50468749999999996</v>
      </c>
      <c r="BJ714">
        <v>1.0307073224268921</v>
      </c>
      <c r="BK714">
        <v>3.0707322426892114E-2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0.51034838986913544</v>
      </c>
      <c r="BU714">
        <v>0</v>
      </c>
      <c r="BV714">
        <v>0</v>
      </c>
      <c r="BW714">
        <v>0</v>
      </c>
      <c r="BX714">
        <v>0</v>
      </c>
      <c r="BY714">
        <v>0.50468749999999996</v>
      </c>
      <c r="BZ714">
        <v>0</v>
      </c>
      <c r="CA714">
        <v>0</v>
      </c>
      <c r="CB714">
        <v>0</v>
      </c>
      <c r="CC714">
        <v>0</v>
      </c>
      <c r="CD714">
        <v>0</v>
      </c>
    </row>
    <row r="715" spans="1:82" hidden="1" x14ac:dyDescent="0.25">
      <c r="A715" t="s">
        <v>128</v>
      </c>
      <c r="B715" t="s">
        <v>422</v>
      </c>
      <c r="C715" s="14" t="s">
        <v>72</v>
      </c>
      <c r="D715" s="12">
        <v>46246</v>
      </c>
      <c r="E715" s="14" t="s">
        <v>134</v>
      </c>
      <c r="F715" s="14" t="s">
        <v>73</v>
      </c>
      <c r="G715">
        <v>5.8204648795871554</v>
      </c>
      <c r="H715">
        <v>2.8499999999999996</v>
      </c>
      <c r="I715">
        <v>20</v>
      </c>
      <c r="J715">
        <v>2.8499999999999996</v>
      </c>
      <c r="K715">
        <v>46246</v>
      </c>
      <c r="L715" t="s">
        <v>489</v>
      </c>
      <c r="M715">
        <v>3.2205882352941169</v>
      </c>
      <c r="N715">
        <v>0.48965161013086461</v>
      </c>
      <c r="O715">
        <v>0.48965161013086461</v>
      </c>
      <c r="P715">
        <v>0.5533214789404507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6.3669868809586083E-2</v>
      </c>
      <c r="AA715">
        <v>0.4466785210595493</v>
      </c>
      <c r="AB715">
        <v>0</v>
      </c>
      <c r="AC715">
        <v>0</v>
      </c>
      <c r="AD715">
        <v>0</v>
      </c>
      <c r="AE715">
        <v>0.48965161013086461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2.0422683788025111</v>
      </c>
      <c r="AL715">
        <v>2.0422683788025111</v>
      </c>
      <c r="AM715">
        <v>1.1300309597523219</v>
      </c>
      <c r="BD715">
        <v>0</v>
      </c>
      <c r="BE715">
        <v>0</v>
      </c>
      <c r="BF715">
        <v>0</v>
      </c>
      <c r="BH715">
        <v>0.88493150684931521</v>
      </c>
      <c r="BI715">
        <v>0.88493150684931521</v>
      </c>
      <c r="BJ715">
        <v>1.807267633844414</v>
      </c>
      <c r="BK715">
        <v>0.80726763384441402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0.51034838986913544</v>
      </c>
      <c r="BU715">
        <v>0</v>
      </c>
      <c r="BV715">
        <v>0</v>
      </c>
      <c r="BW715">
        <v>0</v>
      </c>
      <c r="BX715">
        <v>0</v>
      </c>
      <c r="BY715">
        <v>0.88493150684931521</v>
      </c>
      <c r="BZ715">
        <v>0</v>
      </c>
      <c r="CA715">
        <v>0</v>
      </c>
      <c r="CB715">
        <v>0</v>
      </c>
      <c r="CC715">
        <v>0</v>
      </c>
      <c r="CD715">
        <v>0</v>
      </c>
    </row>
    <row r="716" spans="1:82" hidden="1" x14ac:dyDescent="0.25">
      <c r="A716" t="s">
        <v>128</v>
      </c>
      <c r="B716" t="s">
        <v>422</v>
      </c>
      <c r="C716" s="14" t="s">
        <v>72</v>
      </c>
      <c r="D716" s="12">
        <v>46246</v>
      </c>
      <c r="E716" s="14" t="s">
        <v>134</v>
      </c>
      <c r="F716" s="14" t="s">
        <v>74</v>
      </c>
      <c r="G716">
        <v>1.2735376146788988</v>
      </c>
      <c r="H716">
        <v>0</v>
      </c>
      <c r="I716">
        <v>20</v>
      </c>
      <c r="J716">
        <v>0</v>
      </c>
      <c r="K716">
        <v>46246</v>
      </c>
      <c r="L716" t="s">
        <v>490</v>
      </c>
      <c r="M716">
        <v>6.2745098039215685E-2</v>
      </c>
      <c r="N716">
        <v>0</v>
      </c>
      <c r="O716">
        <v>0</v>
      </c>
      <c r="P716">
        <v>4.9268350864560689E-2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4.9268350864560689E-2</v>
      </c>
      <c r="AA716">
        <v>0.95073164913543928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H716">
        <v>0</v>
      </c>
      <c r="BI716">
        <v>0</v>
      </c>
      <c r="BJ716">
        <v>20.29700573394495</v>
      </c>
      <c r="BK716">
        <v>19.29700573394495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</row>
    <row r="717" spans="1:82" hidden="1" x14ac:dyDescent="0.25">
      <c r="A717" t="s">
        <v>128</v>
      </c>
      <c r="B717" t="s">
        <v>291</v>
      </c>
      <c r="C717" s="14" t="s">
        <v>72</v>
      </c>
      <c r="D717" s="12">
        <v>46246</v>
      </c>
      <c r="E717" s="14" t="s">
        <v>134</v>
      </c>
      <c r="F717" s="14" t="s">
        <v>74</v>
      </c>
      <c r="G717">
        <v>1.2735376146788988</v>
      </c>
      <c r="H717">
        <v>10.45</v>
      </c>
      <c r="I717">
        <v>20</v>
      </c>
      <c r="J717">
        <v>10.45</v>
      </c>
      <c r="K717">
        <v>46246</v>
      </c>
      <c r="L717" t="s">
        <v>490</v>
      </c>
      <c r="M717">
        <v>0.94117647058823517</v>
      </c>
      <c r="N717">
        <v>8.2054898728961305</v>
      </c>
      <c r="O717">
        <v>8.2054898728961305</v>
      </c>
      <c r="P717">
        <v>0.73902526296841031</v>
      </c>
      <c r="Q717">
        <v>0</v>
      </c>
      <c r="R717">
        <v>0</v>
      </c>
      <c r="S717">
        <v>6.9554898728961305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0.25</v>
      </c>
      <c r="Z717">
        <v>0</v>
      </c>
      <c r="AA717">
        <v>0</v>
      </c>
      <c r="AB717">
        <v>0</v>
      </c>
      <c r="AC717">
        <v>0.26097473703158969</v>
      </c>
      <c r="AD717">
        <v>0</v>
      </c>
      <c r="AE717">
        <v>0.73902526296841031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0.12186962819893769</v>
      </c>
      <c r="AL717">
        <v>0.12186962819893769</v>
      </c>
      <c r="AM717">
        <v>9.0064734027582319E-2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0.87813037180106235</v>
      </c>
      <c r="AY717">
        <v>0</v>
      </c>
      <c r="AZ717">
        <v>3.1804894171355375E-2</v>
      </c>
      <c r="BA717">
        <v>0</v>
      </c>
      <c r="BB717">
        <v>9.0064734027582319E-2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11.103125</v>
      </c>
      <c r="BI717">
        <v>11.103125</v>
      </c>
      <c r="BJ717">
        <v>1.3531337155963301</v>
      </c>
      <c r="CA717">
        <v>0</v>
      </c>
      <c r="CB717">
        <v>0</v>
      </c>
      <c r="CC717">
        <v>0</v>
      </c>
    </row>
    <row r="718" spans="1:82" hidden="1" x14ac:dyDescent="0.25">
      <c r="A718" t="s">
        <v>128</v>
      </c>
      <c r="B718" t="s">
        <v>421</v>
      </c>
      <c r="C718" s="14" t="s">
        <v>72</v>
      </c>
      <c r="D718" s="12">
        <v>46246</v>
      </c>
      <c r="E718" s="14" t="s">
        <v>134</v>
      </c>
      <c r="F718" s="14" t="s">
        <v>74</v>
      </c>
      <c r="G718">
        <v>2.7731019522776572</v>
      </c>
      <c r="H718">
        <v>0</v>
      </c>
      <c r="I718">
        <v>20</v>
      </c>
      <c r="J718">
        <v>0</v>
      </c>
      <c r="K718">
        <v>46246</v>
      </c>
      <c r="L718" t="s">
        <v>490</v>
      </c>
      <c r="M718">
        <v>2.0078431372549019</v>
      </c>
      <c r="N718">
        <v>0</v>
      </c>
      <c r="O718">
        <v>0</v>
      </c>
      <c r="P718">
        <v>0.72404230778669421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0.72404230778669421</v>
      </c>
      <c r="AA718">
        <v>0.27595769221330579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H718">
        <v>0</v>
      </c>
      <c r="BI718">
        <v>0</v>
      </c>
      <c r="BJ718">
        <v>1.3811347613882863</v>
      </c>
      <c r="BK718">
        <v>0.38113476138828628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1</v>
      </c>
    </row>
    <row r="719" spans="1:82" hidden="1" x14ac:dyDescent="0.25">
      <c r="A719" t="s">
        <v>128</v>
      </c>
      <c r="B719" t="s">
        <v>422</v>
      </c>
      <c r="C719" s="14" t="s">
        <v>72</v>
      </c>
      <c r="D719" s="12">
        <v>46246</v>
      </c>
      <c r="E719" s="14" t="s">
        <v>134</v>
      </c>
      <c r="F719" s="14" t="s">
        <v>75</v>
      </c>
      <c r="G719">
        <v>2.2474193200215864</v>
      </c>
      <c r="H719">
        <v>0.95</v>
      </c>
      <c r="I719">
        <v>20</v>
      </c>
      <c r="J719">
        <v>0.95</v>
      </c>
      <c r="K719">
        <v>46246</v>
      </c>
      <c r="L719" t="s">
        <v>491</v>
      </c>
      <c r="M719">
        <v>1.3840830449826986</v>
      </c>
      <c r="N719">
        <v>0.42270705405828551</v>
      </c>
      <c r="O719">
        <v>0.42270705405828551</v>
      </c>
      <c r="P719">
        <v>0.61585438580700846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0.19314733174872295</v>
      </c>
      <c r="AA719">
        <v>0.38414561419299154</v>
      </c>
      <c r="AB719">
        <v>0</v>
      </c>
      <c r="AC719">
        <v>0</v>
      </c>
      <c r="AD719">
        <v>0</v>
      </c>
      <c r="AE719">
        <v>0.42270705405828551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2.3657045473911436</v>
      </c>
      <c r="AL719">
        <v>2.3657045473911436</v>
      </c>
      <c r="AM719">
        <v>1.4569295210344197</v>
      </c>
      <c r="BD719">
        <v>0</v>
      </c>
      <c r="BE719">
        <v>0</v>
      </c>
      <c r="BF719">
        <v>0</v>
      </c>
      <c r="BH719">
        <v>0.68637500000000018</v>
      </c>
      <c r="BI719">
        <v>0.68637500000000018</v>
      </c>
      <c r="BJ719">
        <v>1.6237604587155965</v>
      </c>
      <c r="BK719">
        <v>0.62376045871559649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0.57729294594171443</v>
      </c>
      <c r="BU719">
        <v>0</v>
      </c>
      <c r="BV719">
        <v>0</v>
      </c>
      <c r="BW719">
        <v>0</v>
      </c>
      <c r="BX719">
        <v>0</v>
      </c>
      <c r="BY719">
        <v>0.68637500000000018</v>
      </c>
      <c r="BZ719">
        <v>0</v>
      </c>
      <c r="CA719">
        <v>0</v>
      </c>
      <c r="CB719">
        <v>0</v>
      </c>
      <c r="CC719">
        <v>0</v>
      </c>
      <c r="CD719">
        <v>0</v>
      </c>
    </row>
    <row r="720" spans="1:82" hidden="1" x14ac:dyDescent="0.25">
      <c r="A720" t="s">
        <v>128</v>
      </c>
      <c r="B720" t="s">
        <v>291</v>
      </c>
      <c r="C720" s="14" t="s">
        <v>72</v>
      </c>
      <c r="D720" s="12">
        <v>46246</v>
      </c>
      <c r="E720" s="14" t="s">
        <v>134</v>
      </c>
      <c r="F720" s="14" t="s">
        <v>75</v>
      </c>
      <c r="G720">
        <v>2.2474193200215864</v>
      </c>
      <c r="H720">
        <v>1.9</v>
      </c>
      <c r="I720">
        <v>20</v>
      </c>
      <c r="J720">
        <v>1.9</v>
      </c>
      <c r="K720">
        <v>46246</v>
      </c>
      <c r="L720" t="s">
        <v>491</v>
      </c>
      <c r="M720">
        <v>4.0415224913494789</v>
      </c>
      <c r="N720">
        <v>0.84541410811657103</v>
      </c>
      <c r="O720">
        <v>0.84541410811657103</v>
      </c>
      <c r="P720">
        <v>1.7982948065564641</v>
      </c>
      <c r="Q720">
        <v>0.79829480655646412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0.15458589188342897</v>
      </c>
      <c r="AA720">
        <v>0</v>
      </c>
      <c r="AB720">
        <v>0</v>
      </c>
      <c r="AC720">
        <v>0</v>
      </c>
      <c r="AD720">
        <v>0</v>
      </c>
      <c r="AE720">
        <v>0.84541410811657103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1.1828522736955718</v>
      </c>
      <c r="AL720">
        <v>1.1828522736955718</v>
      </c>
      <c r="AM720">
        <v>2.1271171007102523</v>
      </c>
      <c r="AN720">
        <v>0.94426482701468051</v>
      </c>
      <c r="AO720">
        <v>0</v>
      </c>
      <c r="AP720">
        <v>0</v>
      </c>
      <c r="AQ720">
        <v>0</v>
      </c>
      <c r="AR720">
        <v>0</v>
      </c>
      <c r="AS720">
        <v>0.31714772630442822</v>
      </c>
      <c r="AT720">
        <v>0.18285227369557178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0.47011986301369885</v>
      </c>
      <c r="BI720">
        <v>0.47011986301369885</v>
      </c>
      <c r="BJ720">
        <v>0.55608234887520447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0.44391765112479553</v>
      </c>
      <c r="BV720">
        <v>0</v>
      </c>
      <c r="BW720">
        <v>0</v>
      </c>
      <c r="BX720">
        <v>0</v>
      </c>
      <c r="BY720">
        <v>0.47011986301369885</v>
      </c>
      <c r="BZ720">
        <v>0</v>
      </c>
      <c r="CA720">
        <v>0</v>
      </c>
      <c r="CB720">
        <v>0</v>
      </c>
      <c r="CC720">
        <v>0</v>
      </c>
      <c r="CD720">
        <v>0</v>
      </c>
    </row>
    <row r="721" spans="1:82" hidden="1" x14ac:dyDescent="0.25">
      <c r="A721" t="s">
        <v>128</v>
      </c>
      <c r="B721" t="s">
        <v>421</v>
      </c>
      <c r="C721" s="14" t="s">
        <v>72</v>
      </c>
      <c r="D721" s="12">
        <v>46246</v>
      </c>
      <c r="E721" s="14" t="s">
        <v>134</v>
      </c>
      <c r="F721" s="14" t="s">
        <v>75</v>
      </c>
      <c r="G721">
        <v>2.4468546637744035</v>
      </c>
      <c r="H721">
        <v>0.95</v>
      </c>
      <c r="I721">
        <v>20</v>
      </c>
      <c r="J721">
        <v>0.95</v>
      </c>
      <c r="K721">
        <v>46246</v>
      </c>
      <c r="L721" t="s">
        <v>491</v>
      </c>
      <c r="M721">
        <v>1.7716262975778552</v>
      </c>
      <c r="N721">
        <v>0.38825354609929075</v>
      </c>
      <c r="O721">
        <v>0.38825354609929075</v>
      </c>
      <c r="P721">
        <v>0.72404230778669432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0.33578876168740357</v>
      </c>
      <c r="AA721">
        <v>0.27595769221330568</v>
      </c>
      <c r="AB721">
        <v>0</v>
      </c>
      <c r="AC721">
        <v>0</v>
      </c>
      <c r="AD721">
        <v>0</v>
      </c>
      <c r="AE721">
        <v>0.38825354609929075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2.5756364881835827</v>
      </c>
      <c r="AL721">
        <v>2.5756364881835827</v>
      </c>
      <c r="AM721">
        <v>1.8648697869240582</v>
      </c>
      <c r="BD721">
        <v>0</v>
      </c>
      <c r="BE721">
        <v>0</v>
      </c>
      <c r="BF721">
        <v>0</v>
      </c>
      <c r="BH721">
        <v>0.5362304687499998</v>
      </c>
      <c r="BI721">
        <v>0.5362304687499998</v>
      </c>
      <c r="BJ721">
        <v>1.3811347613882861</v>
      </c>
      <c r="BK721">
        <v>0.38113476138828606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0.61174645390070925</v>
      </c>
      <c r="BU721">
        <v>0</v>
      </c>
      <c r="BV721">
        <v>0</v>
      </c>
      <c r="BW721">
        <v>0</v>
      </c>
      <c r="BX721">
        <v>0</v>
      </c>
      <c r="BY721">
        <v>0.5362304687499998</v>
      </c>
      <c r="BZ721">
        <v>0</v>
      </c>
      <c r="CA721">
        <v>0</v>
      </c>
      <c r="CB721">
        <v>0</v>
      </c>
      <c r="CC721">
        <v>0</v>
      </c>
      <c r="CD721">
        <v>0</v>
      </c>
    </row>
    <row r="722" spans="1:82" hidden="1" x14ac:dyDescent="0.25">
      <c r="A722" t="s">
        <v>128</v>
      </c>
      <c r="B722" t="s">
        <v>291</v>
      </c>
      <c r="C722" s="14" t="s">
        <v>72</v>
      </c>
      <c r="D722" s="12">
        <v>46247</v>
      </c>
      <c r="E722" s="14" t="s">
        <v>134</v>
      </c>
      <c r="F722" s="14" t="s">
        <v>73</v>
      </c>
      <c r="G722">
        <v>5.7458435349770651</v>
      </c>
      <c r="H722">
        <v>1.9</v>
      </c>
      <c r="I722">
        <v>20</v>
      </c>
      <c r="J722">
        <v>1.9</v>
      </c>
      <c r="K722">
        <v>46247</v>
      </c>
      <c r="L722" t="s">
        <v>492</v>
      </c>
      <c r="M722">
        <v>3.7647058823529393</v>
      </c>
      <c r="N722">
        <v>0.33067381463383061</v>
      </c>
      <c r="O722">
        <v>0.33067381463383061</v>
      </c>
      <c r="P722">
        <v>0.65520508162740398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0.32453126699357338</v>
      </c>
      <c r="AA722">
        <v>0.34479491837259602</v>
      </c>
      <c r="AB722">
        <v>0</v>
      </c>
      <c r="AC722">
        <v>0</v>
      </c>
      <c r="AD722">
        <v>0</v>
      </c>
      <c r="AE722">
        <v>0.33067381463383061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3.0241281763037184</v>
      </c>
      <c r="AL722">
        <v>3.0241281763037184</v>
      </c>
      <c r="AM722">
        <v>1.9814241486068103</v>
      </c>
      <c r="BD722">
        <v>0</v>
      </c>
      <c r="BE722">
        <v>0</v>
      </c>
      <c r="BF722">
        <v>0</v>
      </c>
      <c r="BH722">
        <v>0.50468750000000018</v>
      </c>
      <c r="BI722">
        <v>0.50468750000000018</v>
      </c>
      <c r="BJ722">
        <v>1.5262396889782837</v>
      </c>
      <c r="BK722">
        <v>0.52623968897828366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0.66932618536616939</v>
      </c>
      <c r="BU722">
        <v>0</v>
      </c>
      <c r="BV722">
        <v>0</v>
      </c>
      <c r="BW722">
        <v>0</v>
      </c>
      <c r="BX722">
        <v>0</v>
      </c>
      <c r="BY722">
        <v>0.50468750000000018</v>
      </c>
      <c r="BZ722">
        <v>0</v>
      </c>
      <c r="CA722">
        <v>0</v>
      </c>
      <c r="CB722">
        <v>0</v>
      </c>
      <c r="CC722">
        <v>0</v>
      </c>
      <c r="CD722">
        <v>0</v>
      </c>
    </row>
    <row r="723" spans="1:82" hidden="1" x14ac:dyDescent="0.25">
      <c r="A723" t="s">
        <v>128</v>
      </c>
      <c r="B723" t="s">
        <v>422</v>
      </c>
      <c r="C723" s="14" t="s">
        <v>72</v>
      </c>
      <c r="D723" s="12">
        <v>46247</v>
      </c>
      <c r="E723" s="14" t="s">
        <v>134</v>
      </c>
      <c r="F723" s="14" t="s">
        <v>73</v>
      </c>
      <c r="G723">
        <v>5.7458435349770651</v>
      </c>
      <c r="H723">
        <v>3.8</v>
      </c>
      <c r="I723">
        <v>20</v>
      </c>
      <c r="J723">
        <v>3.8</v>
      </c>
      <c r="K723">
        <v>46247</v>
      </c>
      <c r="L723" t="s">
        <v>492</v>
      </c>
      <c r="M723">
        <v>2.7058823529411775</v>
      </c>
      <c r="N723">
        <v>0.66134762926766122</v>
      </c>
      <c r="O723">
        <v>0.66134762926766122</v>
      </c>
      <c r="P723">
        <v>0.470928652419697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0.33865237073233878</v>
      </c>
      <c r="AB723">
        <v>0</v>
      </c>
      <c r="AC723">
        <v>0.19041897684796422</v>
      </c>
      <c r="AD723">
        <v>0</v>
      </c>
      <c r="AE723">
        <v>0.470928652419697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1.5120640881518592</v>
      </c>
      <c r="AL723">
        <v>1.5120640881518592</v>
      </c>
      <c r="AM723">
        <v>0.71207430340557309</v>
      </c>
      <c r="BD723">
        <v>0</v>
      </c>
      <c r="BE723">
        <v>0</v>
      </c>
      <c r="BF723">
        <v>0</v>
      </c>
      <c r="BH723">
        <v>1.404347826086956</v>
      </c>
      <c r="BI723">
        <v>1.404347826086956</v>
      </c>
      <c r="BJ723">
        <v>2.1234639151002188</v>
      </c>
      <c r="BK723">
        <v>0.71911608901326285</v>
      </c>
      <c r="BL723">
        <v>0</v>
      </c>
      <c r="BM723">
        <v>0</v>
      </c>
      <c r="BN723">
        <v>0</v>
      </c>
      <c r="BO723">
        <v>0</v>
      </c>
      <c r="BP723">
        <v>9.5652173913044036E-2</v>
      </c>
      <c r="BQ723">
        <v>0.40434782608695596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</row>
    <row r="724" spans="1:82" hidden="1" x14ac:dyDescent="0.25">
      <c r="A724" t="s">
        <v>128</v>
      </c>
      <c r="B724" t="s">
        <v>421</v>
      </c>
      <c r="C724" s="14" t="s">
        <v>72</v>
      </c>
      <c r="D724" s="12">
        <v>46247</v>
      </c>
      <c r="E724" s="14" t="s">
        <v>134</v>
      </c>
      <c r="F724" s="14" t="s">
        <v>73</v>
      </c>
      <c r="G724">
        <v>2.5233188720173527</v>
      </c>
      <c r="H724">
        <v>2.8499999999999996</v>
      </c>
      <c r="I724">
        <v>20</v>
      </c>
      <c r="J724">
        <v>2.8499999999999996</v>
      </c>
      <c r="K724">
        <v>46247</v>
      </c>
      <c r="L724" t="s">
        <v>492</v>
      </c>
      <c r="M724">
        <v>0.23529411764705879</v>
      </c>
      <c r="N724">
        <v>1.1294648613797553</v>
      </c>
      <c r="O724">
        <v>1.1294648613797553</v>
      </c>
      <c r="P724">
        <v>9.3247872972528817E-2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0.12946486137975532</v>
      </c>
      <c r="Z724">
        <v>0</v>
      </c>
      <c r="AA724">
        <v>0</v>
      </c>
      <c r="AB724">
        <v>0</v>
      </c>
      <c r="AC724">
        <v>0.90675212702747121</v>
      </c>
      <c r="AD724">
        <v>0</v>
      </c>
      <c r="AE724">
        <v>9.3247872972528817E-2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0.88537504281310631</v>
      </c>
      <c r="AL724">
        <v>0.88537504281310631</v>
      </c>
      <c r="AM724">
        <v>8.2559339525283798E-2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0.11462495718689369</v>
      </c>
      <c r="AY724">
        <v>0</v>
      </c>
      <c r="AZ724">
        <v>0.80281570328782248</v>
      </c>
      <c r="BA724">
        <v>0</v>
      </c>
      <c r="BB724">
        <v>8.2559339525283798E-2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12.112500000000001</v>
      </c>
      <c r="BI724">
        <v>12.112500000000001</v>
      </c>
      <c r="BJ724">
        <v>10.72410520607375</v>
      </c>
      <c r="CA724">
        <v>0</v>
      </c>
      <c r="CB724">
        <v>0</v>
      </c>
      <c r="CC724">
        <v>0</v>
      </c>
    </row>
    <row r="725" spans="1:82" hidden="1" x14ac:dyDescent="0.25">
      <c r="A725" t="s">
        <v>128</v>
      </c>
      <c r="B725" t="s">
        <v>422</v>
      </c>
      <c r="C725" s="14" t="s">
        <v>72</v>
      </c>
      <c r="D725" s="12">
        <v>46247</v>
      </c>
      <c r="E725" s="14" t="s">
        <v>134</v>
      </c>
      <c r="F725" s="14" t="s">
        <v>74</v>
      </c>
      <c r="G725">
        <v>1.2735376146788988</v>
      </c>
      <c r="H725">
        <v>0</v>
      </c>
      <c r="I725">
        <v>20</v>
      </c>
      <c r="J725">
        <v>0</v>
      </c>
      <c r="K725">
        <v>46247</v>
      </c>
      <c r="L725" t="s">
        <v>493</v>
      </c>
      <c r="M725">
        <v>6.2745098039215685E-2</v>
      </c>
      <c r="N725">
        <v>0</v>
      </c>
      <c r="O725">
        <v>0</v>
      </c>
      <c r="P725">
        <v>4.9268350864560689E-2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4.9268350864560689E-2</v>
      </c>
      <c r="AA725">
        <v>0.95073164913543928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H725">
        <v>0</v>
      </c>
      <c r="BI725">
        <v>0</v>
      </c>
      <c r="BJ725">
        <v>20.29700573394495</v>
      </c>
      <c r="BK725">
        <v>19.29700573394495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</row>
    <row r="726" spans="1:82" hidden="1" x14ac:dyDescent="0.25">
      <c r="A726" t="s">
        <v>128</v>
      </c>
      <c r="B726" t="s">
        <v>291</v>
      </c>
      <c r="C726" s="14" t="s">
        <v>72</v>
      </c>
      <c r="D726" s="12">
        <v>46247</v>
      </c>
      <c r="E726" s="14" t="s">
        <v>134</v>
      </c>
      <c r="F726" s="14" t="s">
        <v>74</v>
      </c>
      <c r="G726">
        <v>1.2735376146788988</v>
      </c>
      <c r="H726">
        <v>12.35</v>
      </c>
      <c r="I726">
        <v>20</v>
      </c>
      <c r="J726">
        <v>12.35</v>
      </c>
      <c r="K726">
        <v>46247</v>
      </c>
      <c r="L726" t="s">
        <v>493</v>
      </c>
      <c r="M726">
        <v>1.8823529411764703</v>
      </c>
      <c r="N726">
        <v>9.6973971225136104</v>
      </c>
      <c r="O726">
        <v>9.6973971225136104</v>
      </c>
      <c r="P726">
        <v>1.4780505259368206</v>
      </c>
      <c r="Q726">
        <v>0</v>
      </c>
      <c r="R726">
        <v>0</v>
      </c>
      <c r="S726">
        <v>8.2193465965767896</v>
      </c>
      <c r="T726">
        <v>0</v>
      </c>
      <c r="U726">
        <v>0.22805052593682063</v>
      </c>
      <c r="V726">
        <v>0</v>
      </c>
      <c r="W726">
        <v>0.25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0.10312045462987035</v>
      </c>
      <c r="AL726">
        <v>0.10312045462987035</v>
      </c>
      <c r="AM726">
        <v>0.15241724220052391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0.84758275779947612</v>
      </c>
      <c r="AY726">
        <v>0</v>
      </c>
      <c r="AZ726">
        <v>0</v>
      </c>
      <c r="BA726">
        <v>0</v>
      </c>
      <c r="BB726">
        <v>0.10312045462987035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6.5609375000000005</v>
      </c>
      <c r="BI726">
        <v>6.5609375000000005</v>
      </c>
      <c r="BJ726">
        <v>0.67656685779816506</v>
      </c>
      <c r="CA726">
        <v>0</v>
      </c>
      <c r="CB726">
        <v>0</v>
      </c>
      <c r="CC726">
        <v>0</v>
      </c>
    </row>
    <row r="727" spans="1:82" hidden="1" x14ac:dyDescent="0.25">
      <c r="A727" t="s">
        <v>128</v>
      </c>
      <c r="B727" t="s">
        <v>421</v>
      </c>
      <c r="C727" s="14" t="s">
        <v>72</v>
      </c>
      <c r="D727" s="12">
        <v>46247</v>
      </c>
      <c r="E727" s="14" t="s">
        <v>134</v>
      </c>
      <c r="F727" s="14" t="s">
        <v>74</v>
      </c>
      <c r="G727">
        <v>2.7731019522776572</v>
      </c>
      <c r="H727">
        <v>0</v>
      </c>
      <c r="I727">
        <v>20</v>
      </c>
      <c r="J727">
        <v>0</v>
      </c>
      <c r="K727">
        <v>46247</v>
      </c>
      <c r="L727" t="s">
        <v>493</v>
      </c>
      <c r="M727">
        <v>2.0078431372549019</v>
      </c>
      <c r="N727">
        <v>0</v>
      </c>
      <c r="O727">
        <v>0</v>
      </c>
      <c r="P727">
        <v>0.72404230778669421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0.72404230778669421</v>
      </c>
      <c r="AA727">
        <v>0.27595769221330579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</v>
      </c>
      <c r="BH727">
        <v>0</v>
      </c>
      <c r="BI727">
        <v>0</v>
      </c>
      <c r="BJ727">
        <v>1.3811347613882863</v>
      </c>
      <c r="BK727">
        <v>0.38113476138828628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1</v>
      </c>
    </row>
    <row r="728" spans="1:82" hidden="1" x14ac:dyDescent="0.25">
      <c r="A728" t="s">
        <v>128</v>
      </c>
      <c r="B728" t="s">
        <v>422</v>
      </c>
      <c r="C728" s="14" t="s">
        <v>72</v>
      </c>
      <c r="D728" s="12">
        <v>46247</v>
      </c>
      <c r="E728" s="14" t="s">
        <v>134</v>
      </c>
      <c r="F728" s="14" t="s">
        <v>75</v>
      </c>
      <c r="G728">
        <v>3.3711289800323794</v>
      </c>
      <c r="H728">
        <v>1.9</v>
      </c>
      <c r="I728">
        <v>20</v>
      </c>
      <c r="J728">
        <v>1.9</v>
      </c>
      <c r="K728">
        <v>46247</v>
      </c>
      <c r="L728" t="s">
        <v>494</v>
      </c>
      <c r="M728">
        <v>3.0449826989619377</v>
      </c>
      <c r="N728">
        <v>0.56360940541104732</v>
      </c>
      <c r="O728">
        <v>0.56360940541104732</v>
      </c>
      <c r="P728">
        <v>0.90325309918361263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0.33964369377256531</v>
      </c>
      <c r="AA728">
        <v>9.6746900816387371E-2</v>
      </c>
      <c r="AB728">
        <v>0</v>
      </c>
      <c r="AC728">
        <v>0</v>
      </c>
      <c r="AD728">
        <v>0</v>
      </c>
      <c r="AE728">
        <v>0.56360940541104732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1.7742784105433576</v>
      </c>
      <c r="AL728">
        <v>1.7742784105433576</v>
      </c>
      <c r="AM728">
        <v>1.602622473137862</v>
      </c>
      <c r="BD728">
        <v>0</v>
      </c>
      <c r="BE728">
        <v>0</v>
      </c>
      <c r="BF728">
        <v>0</v>
      </c>
      <c r="BH728">
        <v>0.62397727272727266</v>
      </c>
      <c r="BI728">
        <v>0.62397727272727266</v>
      </c>
      <c r="BJ728">
        <v>1.1071094036697247</v>
      </c>
      <c r="BK728">
        <v>0.10710940366972466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0.43639059458895268</v>
      </c>
      <c r="BU728">
        <v>0</v>
      </c>
      <c r="BV728">
        <v>0</v>
      </c>
      <c r="BW728">
        <v>0</v>
      </c>
      <c r="BX728">
        <v>0</v>
      </c>
      <c r="BY728">
        <v>0.62397727272727266</v>
      </c>
      <c r="BZ728">
        <v>0</v>
      </c>
      <c r="CA728">
        <v>0</v>
      </c>
      <c r="CB728">
        <v>0</v>
      </c>
      <c r="CC728">
        <v>0</v>
      </c>
      <c r="CD728">
        <v>0</v>
      </c>
    </row>
    <row r="729" spans="1:82" hidden="1" x14ac:dyDescent="0.25">
      <c r="A729" t="s">
        <v>128</v>
      </c>
      <c r="B729" t="s">
        <v>421</v>
      </c>
      <c r="C729" s="14" t="s">
        <v>72</v>
      </c>
      <c r="D729" s="12">
        <v>46247</v>
      </c>
      <c r="E729" s="14" t="s">
        <v>134</v>
      </c>
      <c r="F729" s="14" t="s">
        <v>75</v>
      </c>
      <c r="G729">
        <v>2.4468546637744035</v>
      </c>
      <c r="H729">
        <v>1.9</v>
      </c>
      <c r="I729">
        <v>20</v>
      </c>
      <c r="J729">
        <v>1.9</v>
      </c>
      <c r="K729">
        <v>46247</v>
      </c>
      <c r="L729" t="s">
        <v>494</v>
      </c>
      <c r="M729">
        <v>1.7716262975778552</v>
      </c>
      <c r="N729">
        <v>0.77650709219858149</v>
      </c>
      <c r="O729">
        <v>0.77650709219858149</v>
      </c>
      <c r="P729">
        <v>0.72404230778669432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0.22349290780141851</v>
      </c>
      <c r="AB729">
        <v>0</v>
      </c>
      <c r="AC729">
        <v>5.2464784411887178E-2</v>
      </c>
      <c r="AD729">
        <v>0</v>
      </c>
      <c r="AE729">
        <v>0.72404230778669432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1.2878182440917914</v>
      </c>
      <c r="AL729">
        <v>1.2878182440917914</v>
      </c>
      <c r="AM729">
        <v>0.93243489346202912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0.28781824409179135</v>
      </c>
      <c r="AW729">
        <v>0</v>
      </c>
      <c r="AX729">
        <v>0</v>
      </c>
      <c r="AY729">
        <v>0</v>
      </c>
      <c r="AZ729">
        <v>6.7565106537970876E-2</v>
      </c>
      <c r="BA729">
        <v>0</v>
      </c>
      <c r="BB729">
        <v>0.93243489346202912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1.0724609374999996</v>
      </c>
      <c r="BI729">
        <v>1.0724609374999996</v>
      </c>
      <c r="BJ729">
        <v>1.3811347613882861</v>
      </c>
      <c r="BK729">
        <v>0.30867382388828646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7.24609374999996E-2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>
        <v>0</v>
      </c>
    </row>
    <row r="730" spans="1:82" hidden="1" x14ac:dyDescent="0.25">
      <c r="A730" t="s">
        <v>128</v>
      </c>
      <c r="B730" t="s">
        <v>291</v>
      </c>
      <c r="C730" s="14" t="s">
        <v>72</v>
      </c>
      <c r="D730" s="12">
        <v>46247</v>
      </c>
      <c r="E730" s="14" t="s">
        <v>134</v>
      </c>
      <c r="F730" s="14" t="s">
        <v>75</v>
      </c>
      <c r="G730">
        <v>3.3711289800323794</v>
      </c>
      <c r="H730">
        <v>0.95</v>
      </c>
      <c r="I730">
        <v>20</v>
      </c>
      <c r="J730">
        <v>0.95</v>
      </c>
      <c r="K730">
        <v>46247</v>
      </c>
      <c r="L730" t="s">
        <v>494</v>
      </c>
      <c r="M730">
        <v>3.986159169550171</v>
      </c>
      <c r="N730">
        <v>0.28180470270552366</v>
      </c>
      <c r="O730">
        <v>0.28180470270552366</v>
      </c>
      <c r="P730">
        <v>1.1824404207494559</v>
      </c>
      <c r="Q730">
        <v>0.18244042074945588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0.71819529729447629</v>
      </c>
      <c r="AA730">
        <v>0</v>
      </c>
      <c r="AB730">
        <v>0</v>
      </c>
      <c r="AC730">
        <v>0</v>
      </c>
      <c r="AD730">
        <v>0</v>
      </c>
      <c r="AE730">
        <v>0.28180470270552366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3.5485568210867151</v>
      </c>
      <c r="AL730">
        <v>3.5485568210867151</v>
      </c>
      <c r="AM730">
        <v>4.1959570205791277</v>
      </c>
      <c r="BD730">
        <v>0</v>
      </c>
      <c r="BE730">
        <v>0</v>
      </c>
      <c r="BF730">
        <v>0</v>
      </c>
      <c r="BH730">
        <v>0.2383246527777779</v>
      </c>
      <c r="BI730">
        <v>0.2383246527777779</v>
      </c>
      <c r="BJ730">
        <v>0.84570857224770668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0.15429142775229332</v>
      </c>
      <c r="BV730">
        <v>0</v>
      </c>
      <c r="BW730">
        <v>0</v>
      </c>
      <c r="BX730">
        <v>0</v>
      </c>
      <c r="BY730">
        <v>0.2383246527777779</v>
      </c>
      <c r="BZ730">
        <v>0</v>
      </c>
      <c r="CA730">
        <v>0</v>
      </c>
      <c r="CB730">
        <v>0</v>
      </c>
      <c r="CC730">
        <v>0</v>
      </c>
      <c r="CD730">
        <v>0</v>
      </c>
    </row>
    <row r="731" spans="1:82" hidden="1" x14ac:dyDescent="0.25">
      <c r="A731" t="s">
        <v>128</v>
      </c>
      <c r="B731" t="s">
        <v>422</v>
      </c>
      <c r="C731" s="14" t="s">
        <v>72</v>
      </c>
      <c r="D731" s="12">
        <v>46248</v>
      </c>
      <c r="E731" s="14" t="s">
        <v>134</v>
      </c>
      <c r="F731" s="14" t="s">
        <v>73</v>
      </c>
      <c r="G731">
        <v>4.5519020212155956</v>
      </c>
      <c r="H731">
        <v>3.8</v>
      </c>
      <c r="I731">
        <v>20</v>
      </c>
      <c r="J731">
        <v>3.8</v>
      </c>
      <c r="K731">
        <v>46248</v>
      </c>
      <c r="L731" t="s">
        <v>495</v>
      </c>
      <c r="M731">
        <v>3.3970588235294112</v>
      </c>
      <c r="N731">
        <v>0.83481585989524465</v>
      </c>
      <c r="O731">
        <v>0.83481585989524465</v>
      </c>
      <c r="P731">
        <v>0.74629436391564052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0.16518414010475535</v>
      </c>
      <c r="AB731">
        <v>0</v>
      </c>
      <c r="AC731">
        <v>8.8521495979604126E-2</v>
      </c>
      <c r="AD731">
        <v>0</v>
      </c>
      <c r="AE731">
        <v>0.74629436391564052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1.1978689529514726</v>
      </c>
      <c r="AL731">
        <v>1.1978689529514726</v>
      </c>
      <c r="AM731">
        <v>0.89396284829721351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0.19786895295147255</v>
      </c>
      <c r="AW731">
        <v>0</v>
      </c>
      <c r="AX731">
        <v>0</v>
      </c>
      <c r="AY731">
        <v>0</v>
      </c>
      <c r="AZ731">
        <v>0.10603715170278649</v>
      </c>
      <c r="BA731">
        <v>0</v>
      </c>
      <c r="BB731">
        <v>0.89396284829721351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1.1186147186147188</v>
      </c>
      <c r="BI731">
        <v>1.1186147186147188</v>
      </c>
      <c r="BJ731">
        <v>1.3399538417431192</v>
      </c>
      <c r="BK731">
        <v>0.22133912312840032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0.11861471861471884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0</v>
      </c>
      <c r="CB731">
        <v>0</v>
      </c>
      <c r="CC731">
        <v>0</v>
      </c>
      <c r="CD731">
        <v>0</v>
      </c>
    </row>
    <row r="732" spans="1:82" hidden="1" x14ac:dyDescent="0.25">
      <c r="A732" t="s">
        <v>128</v>
      </c>
      <c r="B732" t="s">
        <v>291</v>
      </c>
      <c r="C732" s="14" t="s">
        <v>72</v>
      </c>
      <c r="D732" s="12">
        <v>46248</v>
      </c>
      <c r="E732" s="14" t="s">
        <v>134</v>
      </c>
      <c r="F732" s="14" t="s">
        <v>73</v>
      </c>
      <c r="G732">
        <v>4.5519020212155956</v>
      </c>
      <c r="H732">
        <v>0</v>
      </c>
      <c r="I732">
        <v>20</v>
      </c>
      <c r="J732">
        <v>0</v>
      </c>
      <c r="K732">
        <v>46248</v>
      </c>
      <c r="L732" t="s">
        <v>495</v>
      </c>
      <c r="M732">
        <v>2.8235294117647065</v>
      </c>
      <c r="N732">
        <v>0</v>
      </c>
      <c r="O732">
        <v>0</v>
      </c>
      <c r="P732">
        <v>0.62029661416364945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0.62029661416364945</v>
      </c>
      <c r="AA732">
        <v>0.37970338583635055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1</v>
      </c>
      <c r="BH732">
        <v>0</v>
      </c>
      <c r="BI732">
        <v>0</v>
      </c>
      <c r="BJ732">
        <v>1.6121319658471898</v>
      </c>
      <c r="BK732">
        <v>0.61213196584718976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1</v>
      </c>
    </row>
    <row r="733" spans="1:82" hidden="1" x14ac:dyDescent="0.25">
      <c r="A733" t="s">
        <v>128</v>
      </c>
      <c r="B733" t="s">
        <v>421</v>
      </c>
      <c r="C733" s="14" t="s">
        <v>72</v>
      </c>
      <c r="D733" s="12">
        <v>46248</v>
      </c>
      <c r="E733" s="14" t="s">
        <v>134</v>
      </c>
      <c r="F733" s="14" t="s">
        <v>73</v>
      </c>
      <c r="G733">
        <v>3.7467462039045554</v>
      </c>
      <c r="H733">
        <v>4.75</v>
      </c>
      <c r="I733">
        <v>20</v>
      </c>
      <c r="J733">
        <v>4.75</v>
      </c>
      <c r="K733">
        <v>46248</v>
      </c>
      <c r="L733" t="s">
        <v>495</v>
      </c>
      <c r="M733">
        <v>0.23529411764705879</v>
      </c>
      <c r="N733">
        <v>1.2677666811405413</v>
      </c>
      <c r="O733">
        <v>1.2677666811405413</v>
      </c>
      <c r="P733">
        <v>6.2799587920274486E-2</v>
      </c>
      <c r="Q733">
        <v>0</v>
      </c>
      <c r="R733">
        <v>0</v>
      </c>
      <c r="S733">
        <v>1.7766681140541252E-2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0.25</v>
      </c>
      <c r="Z733">
        <v>0</v>
      </c>
      <c r="AA733">
        <v>0</v>
      </c>
      <c r="AB733">
        <v>0</v>
      </c>
      <c r="AC733">
        <v>0.93720041207972549</v>
      </c>
      <c r="AD733">
        <v>0</v>
      </c>
      <c r="AE733">
        <v>6.2799587920274486E-2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0.78878867450622214</v>
      </c>
      <c r="AL733">
        <v>0.78878867450622214</v>
      </c>
      <c r="AM733">
        <v>4.9535603715170275E-2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0.21121132549377786</v>
      </c>
      <c r="AY733">
        <v>0</v>
      </c>
      <c r="AZ733">
        <v>0.73925307079105185</v>
      </c>
      <c r="BA733">
        <v>0</v>
      </c>
      <c r="BB733">
        <v>4.9535603715170275E-2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20.187500000000004</v>
      </c>
      <c r="BI733">
        <v>20.187500000000004</v>
      </c>
      <c r="BJ733">
        <v>15.923671366594363</v>
      </c>
      <c r="CA733">
        <v>0</v>
      </c>
      <c r="CB733">
        <v>0</v>
      </c>
      <c r="CC733">
        <v>0</v>
      </c>
    </row>
    <row r="734" spans="1:82" hidden="1" x14ac:dyDescent="0.25">
      <c r="A734" t="s">
        <v>128</v>
      </c>
      <c r="B734" t="s">
        <v>422</v>
      </c>
      <c r="C734" s="14" t="s">
        <v>72</v>
      </c>
      <c r="D734" s="12">
        <v>46248</v>
      </c>
      <c r="E734" s="14" t="s">
        <v>134</v>
      </c>
      <c r="F734" s="14" t="s">
        <v>74</v>
      </c>
      <c r="G734">
        <v>1.2735376146788988</v>
      </c>
      <c r="H734">
        <v>0</v>
      </c>
      <c r="I734">
        <v>20</v>
      </c>
      <c r="J734">
        <v>0</v>
      </c>
      <c r="K734">
        <v>46248</v>
      </c>
      <c r="L734" t="s">
        <v>496</v>
      </c>
      <c r="M734">
        <v>6.2745098039215685E-2</v>
      </c>
      <c r="N734">
        <v>0</v>
      </c>
      <c r="O734">
        <v>0</v>
      </c>
      <c r="P734">
        <v>4.9268350864560689E-2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4.9268350864560689E-2</v>
      </c>
      <c r="AA734">
        <v>0.95073164913543928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H734">
        <v>0</v>
      </c>
      <c r="BI734">
        <v>0</v>
      </c>
      <c r="BJ734">
        <v>20.29700573394495</v>
      </c>
      <c r="BK734">
        <v>19.29700573394495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</row>
    <row r="735" spans="1:82" hidden="1" x14ac:dyDescent="0.25">
      <c r="A735" t="s">
        <v>128</v>
      </c>
      <c r="B735" t="s">
        <v>291</v>
      </c>
      <c r="C735" s="14" t="s">
        <v>72</v>
      </c>
      <c r="D735" s="12">
        <v>46248</v>
      </c>
      <c r="E735" s="14" t="s">
        <v>134</v>
      </c>
      <c r="F735" s="14" t="s">
        <v>74</v>
      </c>
      <c r="G735">
        <v>1.2735376146788988</v>
      </c>
      <c r="H735">
        <v>13.3</v>
      </c>
      <c r="I735">
        <v>20</v>
      </c>
      <c r="J735">
        <v>13.3</v>
      </c>
      <c r="K735">
        <v>46248</v>
      </c>
      <c r="L735" t="s">
        <v>496</v>
      </c>
      <c r="M735">
        <v>1.8823529411764703</v>
      </c>
      <c r="N735">
        <v>10.443350747322349</v>
      </c>
      <c r="O735">
        <v>10.443350747322349</v>
      </c>
      <c r="P735">
        <v>1.4780505259368206</v>
      </c>
      <c r="Q735">
        <v>0</v>
      </c>
      <c r="R735">
        <v>0</v>
      </c>
      <c r="S735">
        <v>8.9653002213855277</v>
      </c>
      <c r="T735">
        <v>0</v>
      </c>
      <c r="U735">
        <v>0.22805052593682063</v>
      </c>
      <c r="V735">
        <v>0</v>
      </c>
      <c r="W735">
        <v>0.25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9.5754707870593897E-2</v>
      </c>
      <c r="AL735">
        <v>9.5754707870593897E-2</v>
      </c>
      <c r="AM735">
        <v>0.14153029632905792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0.85846970367094211</v>
      </c>
      <c r="AY735">
        <v>0</v>
      </c>
      <c r="AZ735">
        <v>0</v>
      </c>
      <c r="BA735">
        <v>0</v>
      </c>
      <c r="BB735">
        <v>9.5754707870593897E-2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7.0656250000000007</v>
      </c>
      <c r="BI735">
        <v>7.0656250000000007</v>
      </c>
      <c r="BJ735">
        <v>0.67656685779816506</v>
      </c>
      <c r="CA735">
        <v>0</v>
      </c>
      <c r="CB735">
        <v>0</v>
      </c>
      <c r="CC735">
        <v>0</v>
      </c>
    </row>
    <row r="736" spans="1:82" hidden="1" x14ac:dyDescent="0.25">
      <c r="A736" t="s">
        <v>128</v>
      </c>
      <c r="B736" t="s">
        <v>421</v>
      </c>
      <c r="C736" s="14" t="s">
        <v>72</v>
      </c>
      <c r="D736" s="12">
        <v>46248</v>
      </c>
      <c r="E736" s="14" t="s">
        <v>134</v>
      </c>
      <c r="F736" s="14" t="s">
        <v>74</v>
      </c>
      <c r="G736">
        <v>2.7731019522776572</v>
      </c>
      <c r="H736">
        <v>0</v>
      </c>
      <c r="I736">
        <v>20</v>
      </c>
      <c r="J736">
        <v>0</v>
      </c>
      <c r="K736">
        <v>46248</v>
      </c>
      <c r="L736" t="s">
        <v>496</v>
      </c>
      <c r="M736">
        <v>2.0078431372549019</v>
      </c>
      <c r="N736">
        <v>0</v>
      </c>
      <c r="O736">
        <v>0</v>
      </c>
      <c r="P736">
        <v>0.72404230778669421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0.72404230778669421</v>
      </c>
      <c r="AA736">
        <v>0.27595769221330579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</v>
      </c>
      <c r="BH736">
        <v>0</v>
      </c>
      <c r="BI736">
        <v>0</v>
      </c>
      <c r="BJ736">
        <v>1.3811347613882863</v>
      </c>
      <c r="BK736">
        <v>0.38113476138828628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1</v>
      </c>
    </row>
    <row r="737" spans="1:82" hidden="1" x14ac:dyDescent="0.25">
      <c r="A737" t="s">
        <v>128</v>
      </c>
      <c r="B737" t="s">
        <v>422</v>
      </c>
      <c r="C737" s="14" t="s">
        <v>72</v>
      </c>
      <c r="D737" s="12">
        <v>46248</v>
      </c>
      <c r="E737" s="14" t="s">
        <v>134</v>
      </c>
      <c r="F737" s="14" t="s">
        <v>75</v>
      </c>
      <c r="G737">
        <v>2.2474193200215864</v>
      </c>
      <c r="H737">
        <v>2.8499999999999996</v>
      </c>
      <c r="I737">
        <v>20</v>
      </c>
      <c r="J737">
        <v>2.8499999999999996</v>
      </c>
      <c r="K737">
        <v>46248</v>
      </c>
      <c r="L737" t="s">
        <v>497</v>
      </c>
      <c r="M737">
        <v>3.1003460207612448</v>
      </c>
      <c r="N737">
        <v>1.2681211621748565</v>
      </c>
      <c r="O737">
        <v>1.2681211621748565</v>
      </c>
      <c r="P737">
        <v>1.3795138242076987</v>
      </c>
      <c r="Q737">
        <v>0.11139266203284226</v>
      </c>
      <c r="R737">
        <v>0</v>
      </c>
      <c r="S737">
        <v>0</v>
      </c>
      <c r="T737">
        <v>0</v>
      </c>
      <c r="U737">
        <v>1.8121162174856487E-2</v>
      </c>
      <c r="V737">
        <v>0</v>
      </c>
      <c r="W737">
        <v>0.25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0.78856818246371463</v>
      </c>
      <c r="AL737">
        <v>0.78856818246371463</v>
      </c>
      <c r="AM737">
        <v>1.0878407090390334</v>
      </c>
      <c r="AN737">
        <v>8.7840709039033404E-2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0.78856818246371463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0.91925223214285734</v>
      </c>
      <c r="BI737">
        <v>0.91925223214285734</v>
      </c>
      <c r="BJ737">
        <v>0.72489306192660563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8.074776785714266E-2</v>
      </c>
      <c r="BV737">
        <v>0</v>
      </c>
      <c r="BW737">
        <v>0.19435917021625171</v>
      </c>
      <c r="BX737">
        <v>0</v>
      </c>
      <c r="BY737">
        <v>0.72489306192660563</v>
      </c>
      <c r="BZ737">
        <v>0</v>
      </c>
      <c r="CA737">
        <v>0</v>
      </c>
      <c r="CB737">
        <v>0</v>
      </c>
      <c r="CC737">
        <v>0</v>
      </c>
      <c r="CD737">
        <v>0</v>
      </c>
    </row>
    <row r="738" spans="1:82" hidden="1" x14ac:dyDescent="0.25">
      <c r="A738" t="s">
        <v>128</v>
      </c>
      <c r="B738" t="s">
        <v>421</v>
      </c>
      <c r="C738" s="14" t="s">
        <v>72</v>
      </c>
      <c r="D738" s="12">
        <v>46248</v>
      </c>
      <c r="E738" s="14" t="s">
        <v>134</v>
      </c>
      <c r="F738" s="14" t="s">
        <v>75</v>
      </c>
      <c r="G738">
        <v>2.4468546637744035</v>
      </c>
      <c r="H738">
        <v>2.8499999999999996</v>
      </c>
      <c r="I738">
        <v>20</v>
      </c>
      <c r="J738">
        <v>2.8499999999999996</v>
      </c>
      <c r="K738">
        <v>46248</v>
      </c>
      <c r="L738" t="s">
        <v>497</v>
      </c>
      <c r="M738">
        <v>1.7716262975778552</v>
      </c>
      <c r="N738">
        <v>1.1647606382978721</v>
      </c>
      <c r="O738">
        <v>1.1647606382978721</v>
      </c>
      <c r="P738">
        <v>0.72404230778669432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0.16476063829787213</v>
      </c>
      <c r="Z738">
        <v>0</v>
      </c>
      <c r="AA738">
        <v>0</v>
      </c>
      <c r="AB738">
        <v>0</v>
      </c>
      <c r="AC738">
        <v>0.27595769221330568</v>
      </c>
      <c r="AD738">
        <v>0</v>
      </c>
      <c r="AE738">
        <v>0.72404230778669432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0.85854549606119435</v>
      </c>
      <c r="AL738">
        <v>0.85854549606119435</v>
      </c>
      <c r="AM738">
        <v>0.62162326230801945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0.14145450393880565</v>
      </c>
      <c r="AY738">
        <v>0</v>
      </c>
      <c r="AZ738">
        <v>0.23692223375317489</v>
      </c>
      <c r="BA738">
        <v>0</v>
      </c>
      <c r="BB738">
        <v>0.62162326230801945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1.6086914062499993</v>
      </c>
      <c r="BI738">
        <v>1.6086914062499993</v>
      </c>
      <c r="BJ738">
        <v>1.3811347613882861</v>
      </c>
      <c r="CA738">
        <v>0</v>
      </c>
      <c r="CB738">
        <v>0</v>
      </c>
      <c r="CC738">
        <v>0</v>
      </c>
    </row>
    <row r="739" spans="1:82" hidden="1" x14ac:dyDescent="0.25">
      <c r="A739" t="s">
        <v>128</v>
      </c>
      <c r="B739" t="s">
        <v>291</v>
      </c>
      <c r="C739" s="14" t="s">
        <v>72</v>
      </c>
      <c r="D739" s="12">
        <v>46248</v>
      </c>
      <c r="E739" s="14" t="s">
        <v>134</v>
      </c>
      <c r="F739" s="14" t="s">
        <v>75</v>
      </c>
      <c r="G739">
        <v>2.2474193200215864</v>
      </c>
      <c r="H739">
        <v>2.8499999999999996</v>
      </c>
      <c r="I739">
        <v>20</v>
      </c>
      <c r="J739">
        <v>2.8499999999999996</v>
      </c>
      <c r="K739">
        <v>46248</v>
      </c>
      <c r="L739" t="s">
        <v>497</v>
      </c>
      <c r="M739">
        <v>2.9896193771626298</v>
      </c>
      <c r="N739">
        <v>1.2681211621748565</v>
      </c>
      <c r="O739">
        <v>1.2681211621748565</v>
      </c>
      <c r="P739">
        <v>1.3302454733431386</v>
      </c>
      <c r="Q739">
        <v>6.2124311168282098E-2</v>
      </c>
      <c r="R739">
        <v>0</v>
      </c>
      <c r="S739">
        <v>0</v>
      </c>
      <c r="T739">
        <v>0</v>
      </c>
      <c r="U739">
        <v>1.8121162174856487E-2</v>
      </c>
      <c r="V739">
        <v>0</v>
      </c>
      <c r="W739">
        <v>0.25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0.78856818246371463</v>
      </c>
      <c r="AL739">
        <v>0.78856818246371463</v>
      </c>
      <c r="AM739">
        <v>1.0489892551447826</v>
      </c>
      <c r="AN739">
        <v>4.8989255144782584E-2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0.78856818246371463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0.95329861111111103</v>
      </c>
      <c r="BI739">
        <v>0.95329861111111103</v>
      </c>
      <c r="BJ739">
        <v>0.7517409531090723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4.6701388888888973E-2</v>
      </c>
      <c r="BV739">
        <v>0</v>
      </c>
      <c r="BW739">
        <v>0.20155765800203873</v>
      </c>
      <c r="BX739">
        <v>0</v>
      </c>
      <c r="BY739">
        <v>0.7517409531090723</v>
      </c>
      <c r="BZ739">
        <v>0</v>
      </c>
      <c r="CA739">
        <v>0</v>
      </c>
      <c r="CB739">
        <v>0</v>
      </c>
      <c r="CC739">
        <v>0</v>
      </c>
      <c r="CD739">
        <v>0</v>
      </c>
    </row>
    <row r="740" spans="1:82" hidden="1" x14ac:dyDescent="0.25">
      <c r="A740" t="s">
        <v>128</v>
      </c>
      <c r="B740" t="s">
        <v>422</v>
      </c>
      <c r="C740" s="14" t="s">
        <v>72</v>
      </c>
      <c r="D740" s="12">
        <v>46249</v>
      </c>
      <c r="E740" s="14" t="s">
        <v>134</v>
      </c>
      <c r="F740" s="14" t="s">
        <v>73</v>
      </c>
      <c r="G740">
        <v>5.3727368119266048</v>
      </c>
      <c r="H740">
        <v>0.95</v>
      </c>
      <c r="I740">
        <v>20</v>
      </c>
      <c r="J740">
        <v>0.95</v>
      </c>
      <c r="K740">
        <v>46249</v>
      </c>
      <c r="L740" t="s">
        <v>498</v>
      </c>
      <c r="M740">
        <v>1.6911764705882355</v>
      </c>
      <c r="N740">
        <v>0.17681863699170114</v>
      </c>
      <c r="O740">
        <v>0.17681863699170114</v>
      </c>
      <c r="P740">
        <v>0.31477001941247112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0.13795138242076999</v>
      </c>
      <c r="AA740">
        <v>0.68522998058752882</v>
      </c>
      <c r="AB740">
        <v>0</v>
      </c>
      <c r="AC740">
        <v>0</v>
      </c>
      <c r="AD740">
        <v>0</v>
      </c>
      <c r="AE740">
        <v>0.17681863699170114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5.6555124336069529</v>
      </c>
      <c r="AL740">
        <v>5.6555124336069529</v>
      </c>
      <c r="AM740">
        <v>1.7801857585139322</v>
      </c>
      <c r="BD740">
        <v>0</v>
      </c>
      <c r="BE740">
        <v>0</v>
      </c>
      <c r="BF740">
        <v>0</v>
      </c>
      <c r="BH740">
        <v>0.56173913043478252</v>
      </c>
      <c r="BI740">
        <v>0.56173913043478252</v>
      </c>
      <c r="BJ740">
        <v>3.1769226366174701</v>
      </c>
      <c r="BK740">
        <v>2.1769226366174701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0.82318136300829892</v>
      </c>
      <c r="BU740">
        <v>0</v>
      </c>
      <c r="BV740">
        <v>0</v>
      </c>
      <c r="BW740">
        <v>0</v>
      </c>
      <c r="BX740">
        <v>0</v>
      </c>
      <c r="BY740">
        <v>0.56173913043478252</v>
      </c>
      <c r="BZ740">
        <v>0</v>
      </c>
      <c r="CA740">
        <v>0</v>
      </c>
      <c r="CB740">
        <v>0</v>
      </c>
      <c r="CC740">
        <v>0</v>
      </c>
      <c r="CD740">
        <v>0</v>
      </c>
    </row>
    <row r="741" spans="1:82" hidden="1" x14ac:dyDescent="0.25">
      <c r="A741" t="s">
        <v>128</v>
      </c>
      <c r="B741" t="s">
        <v>291</v>
      </c>
      <c r="C741" s="14" t="s">
        <v>72</v>
      </c>
      <c r="D741" s="12">
        <v>46249</v>
      </c>
      <c r="E741" s="14" t="s">
        <v>134</v>
      </c>
      <c r="F741" s="14" t="s">
        <v>73</v>
      </c>
      <c r="G741">
        <v>5.3727368119266048</v>
      </c>
      <c r="H741">
        <v>13.3</v>
      </c>
      <c r="I741">
        <v>20</v>
      </c>
      <c r="J741">
        <v>13.3</v>
      </c>
      <c r="K741">
        <v>46249</v>
      </c>
      <c r="L741" t="s">
        <v>498</v>
      </c>
      <c r="M741">
        <v>5.8308823529411749</v>
      </c>
      <c r="N741">
        <v>2.4754609178838156</v>
      </c>
      <c r="O741">
        <v>2.4754609178838156</v>
      </c>
      <c r="P741">
        <v>1.0852722843221283</v>
      </c>
      <c r="Q741">
        <v>0</v>
      </c>
      <c r="R741">
        <v>0</v>
      </c>
      <c r="S741">
        <v>1.2254609178838156</v>
      </c>
      <c r="T741">
        <v>0</v>
      </c>
      <c r="U741">
        <v>0</v>
      </c>
      <c r="V741">
        <v>0</v>
      </c>
      <c r="W741">
        <v>8.52722843221283E-2</v>
      </c>
      <c r="X741">
        <v>0</v>
      </c>
      <c r="Y741">
        <v>0.1647277156778717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0.40396517382906805</v>
      </c>
      <c r="AL741">
        <v>0.40396517382906805</v>
      </c>
      <c r="AM741">
        <v>0.43841220698805827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0.56158779301194173</v>
      </c>
      <c r="AY741">
        <v>0</v>
      </c>
      <c r="AZ741">
        <v>0</v>
      </c>
      <c r="BA741">
        <v>0</v>
      </c>
      <c r="BB741">
        <v>0.40396517382906805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2.2809583858764193</v>
      </c>
      <c r="BI741">
        <v>2.2809583858764193</v>
      </c>
      <c r="BJ741">
        <v>0.92142775084743811</v>
      </c>
      <c r="CA741">
        <v>0</v>
      </c>
      <c r="CB741">
        <v>0</v>
      </c>
      <c r="CC741">
        <v>0</v>
      </c>
    </row>
    <row r="742" spans="1:82" hidden="1" x14ac:dyDescent="0.25">
      <c r="A742" t="s">
        <v>128</v>
      </c>
      <c r="B742" t="s">
        <v>421</v>
      </c>
      <c r="C742" s="14" t="s">
        <v>72</v>
      </c>
      <c r="D742" s="12">
        <v>46249</v>
      </c>
      <c r="E742" s="14" t="s">
        <v>134</v>
      </c>
      <c r="F742" s="14" t="s">
        <v>73</v>
      </c>
      <c r="G742">
        <v>0</v>
      </c>
      <c r="H742">
        <v>0.95</v>
      </c>
      <c r="I742">
        <v>20</v>
      </c>
      <c r="J742">
        <v>0.95</v>
      </c>
      <c r="K742">
        <v>46249</v>
      </c>
      <c r="L742" t="s">
        <v>498</v>
      </c>
      <c r="M742">
        <v>0.23529411764705879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0.24767801857585137</v>
      </c>
      <c r="AI742">
        <v>0</v>
      </c>
      <c r="AJ742">
        <v>0</v>
      </c>
      <c r="AK742">
        <v>0</v>
      </c>
      <c r="AL742">
        <v>0</v>
      </c>
      <c r="AM742">
        <v>0.24767801857585137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0.75232198142414863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G742">
        <v>0</v>
      </c>
      <c r="BH742">
        <v>4.0375000000000005</v>
      </c>
      <c r="BI742">
        <v>4.0375000000000005</v>
      </c>
      <c r="BJ742">
        <v>0</v>
      </c>
      <c r="CA742">
        <v>0.75232198142414863</v>
      </c>
      <c r="CB742">
        <v>0.24767801857585137</v>
      </c>
    </row>
    <row r="743" spans="1:82" hidden="1" x14ac:dyDescent="0.25">
      <c r="A743" t="s">
        <v>128</v>
      </c>
      <c r="B743" t="s">
        <v>422</v>
      </c>
      <c r="C743" s="14" t="s">
        <v>72</v>
      </c>
      <c r="D743" s="12">
        <v>46249</v>
      </c>
      <c r="E743" s="14" t="s">
        <v>134</v>
      </c>
      <c r="F743" s="14" t="s">
        <v>74</v>
      </c>
      <c r="G743">
        <v>1.2735376146788988</v>
      </c>
      <c r="H743">
        <v>0</v>
      </c>
      <c r="I743">
        <v>20</v>
      </c>
      <c r="J743">
        <v>0</v>
      </c>
      <c r="K743">
        <v>46249</v>
      </c>
      <c r="L743" t="s">
        <v>499</v>
      </c>
      <c r="M743">
        <v>6.2745098039215685E-2</v>
      </c>
      <c r="N743">
        <v>0</v>
      </c>
      <c r="O743">
        <v>0</v>
      </c>
      <c r="P743">
        <v>4.9268350864560689E-2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4.9268350864560689E-2</v>
      </c>
      <c r="AA743">
        <v>0.95073164913543928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H743">
        <v>0</v>
      </c>
      <c r="BI743">
        <v>0</v>
      </c>
      <c r="BJ743">
        <v>20.29700573394495</v>
      </c>
      <c r="BK743">
        <v>19.29700573394495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</row>
    <row r="744" spans="1:82" hidden="1" x14ac:dyDescent="0.25">
      <c r="A744" t="s">
        <v>128</v>
      </c>
      <c r="B744" t="s">
        <v>291</v>
      </c>
      <c r="C744" s="14" t="s">
        <v>72</v>
      </c>
      <c r="D744" s="12">
        <v>46249</v>
      </c>
      <c r="E744" s="14" t="s">
        <v>134</v>
      </c>
      <c r="F744" s="14" t="s">
        <v>74</v>
      </c>
      <c r="G744">
        <v>1.2735376146788988</v>
      </c>
      <c r="H744">
        <v>2.8499999999999996</v>
      </c>
      <c r="I744">
        <v>20</v>
      </c>
      <c r="J744">
        <v>2.8499999999999996</v>
      </c>
      <c r="K744">
        <v>46249</v>
      </c>
      <c r="L744" t="s">
        <v>499</v>
      </c>
      <c r="M744">
        <v>2.8823529411764706</v>
      </c>
      <c r="N744">
        <v>2.2378608744262176</v>
      </c>
      <c r="O744">
        <v>2.2378608744262176</v>
      </c>
      <c r="P744">
        <v>2.263264867840757</v>
      </c>
      <c r="Q744">
        <v>2.5403993414539361E-2</v>
      </c>
      <c r="R744">
        <v>0</v>
      </c>
      <c r="S744">
        <v>0</v>
      </c>
      <c r="T744">
        <v>0</v>
      </c>
      <c r="U744">
        <v>0.98786087442621762</v>
      </c>
      <c r="V744">
        <v>0</v>
      </c>
      <c r="W744">
        <v>0.25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0.44685530339610491</v>
      </c>
      <c r="AL744">
        <v>0.44685530339610491</v>
      </c>
      <c r="AM744">
        <v>1.0113519091847267</v>
      </c>
      <c r="AN744">
        <v>1.1351909184726727E-2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0.44685530339610491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0.9887755102040815</v>
      </c>
      <c r="BI744">
        <v>0.9887755102040815</v>
      </c>
      <c r="BJ744">
        <v>0.44183958060288325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1.1224489795918502E-2</v>
      </c>
      <c r="BV744">
        <v>0</v>
      </c>
      <c r="BW744">
        <v>0.54693592960119819</v>
      </c>
      <c r="BX744">
        <v>0</v>
      </c>
      <c r="BY744">
        <v>0.44183958060288325</v>
      </c>
      <c r="BZ744">
        <v>0</v>
      </c>
      <c r="CA744">
        <v>0</v>
      </c>
      <c r="CB744">
        <v>0</v>
      </c>
      <c r="CC744">
        <v>0</v>
      </c>
      <c r="CD744">
        <v>0</v>
      </c>
    </row>
    <row r="745" spans="1:82" hidden="1" x14ac:dyDescent="0.25">
      <c r="A745" t="s">
        <v>128</v>
      </c>
      <c r="B745" t="s">
        <v>421</v>
      </c>
      <c r="C745" s="14" t="s">
        <v>72</v>
      </c>
      <c r="D745" s="12">
        <v>46249</v>
      </c>
      <c r="E745" s="14" t="s">
        <v>134</v>
      </c>
      <c r="F745" s="14" t="s">
        <v>74</v>
      </c>
      <c r="G745">
        <v>2.6099783080260304</v>
      </c>
      <c r="H745">
        <v>0</v>
      </c>
      <c r="I745">
        <v>20</v>
      </c>
      <c r="J745">
        <v>0</v>
      </c>
      <c r="K745">
        <v>46249</v>
      </c>
      <c r="L745" t="s">
        <v>499</v>
      </c>
      <c r="M745">
        <v>2.0078431372549019</v>
      </c>
      <c r="N745">
        <v>0</v>
      </c>
      <c r="O745">
        <v>0</v>
      </c>
      <c r="P745">
        <v>0.76929495202336251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0.76929495202336251</v>
      </c>
      <c r="AA745">
        <v>0.23070504797663749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H745">
        <v>0</v>
      </c>
      <c r="BI745">
        <v>0</v>
      </c>
      <c r="BJ745">
        <v>1.2998915401301518</v>
      </c>
      <c r="BK745">
        <v>0.29989154013015185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1</v>
      </c>
      <c r="CD745">
        <v>1</v>
      </c>
    </row>
    <row r="746" spans="1:82" hidden="1" x14ac:dyDescent="0.25">
      <c r="A746" t="s">
        <v>128</v>
      </c>
      <c r="B746" t="s">
        <v>291</v>
      </c>
      <c r="C746" s="14" t="s">
        <v>72</v>
      </c>
      <c r="D746" s="12">
        <v>46249</v>
      </c>
      <c r="E746" s="14" t="s">
        <v>134</v>
      </c>
      <c r="F746" s="14" t="s">
        <v>75</v>
      </c>
      <c r="G746">
        <v>2.2474193200215868</v>
      </c>
      <c r="H746">
        <v>1.9</v>
      </c>
      <c r="I746">
        <v>20</v>
      </c>
      <c r="J746">
        <v>1.9</v>
      </c>
      <c r="K746">
        <v>46249</v>
      </c>
      <c r="L746" t="s">
        <v>500</v>
      </c>
      <c r="M746">
        <v>4.1003460207612443</v>
      </c>
      <c r="N746">
        <v>0.84541410811657081</v>
      </c>
      <c r="O746">
        <v>0.84541410811657081</v>
      </c>
      <c r="P746">
        <v>1.8244686179532619</v>
      </c>
      <c r="Q746">
        <v>0.82446861795326187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0.15458589188342919</v>
      </c>
      <c r="AA746">
        <v>0</v>
      </c>
      <c r="AB746">
        <v>0</v>
      </c>
      <c r="AC746">
        <v>0</v>
      </c>
      <c r="AD746">
        <v>0</v>
      </c>
      <c r="AE746">
        <v>0.84541410811657081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1.182852273695572</v>
      </c>
      <c r="AL746">
        <v>1.182852273695572</v>
      </c>
      <c r="AM746">
        <v>2.1580768530322341</v>
      </c>
      <c r="AN746">
        <v>0.97522457933666207</v>
      </c>
      <c r="AO746">
        <v>0</v>
      </c>
      <c r="AP746">
        <v>0</v>
      </c>
      <c r="AQ746">
        <v>0</v>
      </c>
      <c r="AR746">
        <v>0</v>
      </c>
      <c r="AS746">
        <v>0.317147726304428</v>
      </c>
      <c r="AT746">
        <v>0.182852273695572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0.46337552742616045</v>
      </c>
      <c r="BI746">
        <v>0.46337552742616045</v>
      </c>
      <c r="BJ746">
        <v>0.54810479619091879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0.45189520380908121</v>
      </c>
      <c r="BV746">
        <v>0</v>
      </c>
      <c r="BW746">
        <v>0</v>
      </c>
      <c r="BX746">
        <v>0</v>
      </c>
      <c r="BY746">
        <v>0.46337552742616045</v>
      </c>
      <c r="BZ746">
        <v>0</v>
      </c>
      <c r="CA746">
        <v>0</v>
      </c>
      <c r="CB746">
        <v>0</v>
      </c>
      <c r="CC746">
        <v>0</v>
      </c>
      <c r="CD746">
        <v>0</v>
      </c>
    </row>
    <row r="747" spans="1:82" hidden="1" x14ac:dyDescent="0.25">
      <c r="A747" t="s">
        <v>128</v>
      </c>
      <c r="B747" t="s">
        <v>421</v>
      </c>
      <c r="C747" s="14" t="s">
        <v>72</v>
      </c>
      <c r="D747" s="12">
        <v>46249</v>
      </c>
      <c r="E747" s="14" t="s">
        <v>134</v>
      </c>
      <c r="F747" s="14" t="s">
        <v>75</v>
      </c>
      <c r="G747">
        <v>2.4468546637744031</v>
      </c>
      <c r="H747">
        <v>5.6999999999999993</v>
      </c>
      <c r="I747">
        <v>20</v>
      </c>
      <c r="J747">
        <v>5.6999999999999993</v>
      </c>
      <c r="K747">
        <v>46249</v>
      </c>
      <c r="L747" t="s">
        <v>500</v>
      </c>
      <c r="M747">
        <v>1.7716262975778552</v>
      </c>
      <c r="N747">
        <v>2.3295212765957447</v>
      </c>
      <c r="O747">
        <v>2.3295212765957447</v>
      </c>
      <c r="P747">
        <v>0.72404230778669443</v>
      </c>
      <c r="Q747">
        <v>0</v>
      </c>
      <c r="R747">
        <v>0</v>
      </c>
      <c r="S747">
        <v>1.0795212765957447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0.25</v>
      </c>
      <c r="Z747">
        <v>0</v>
      </c>
      <c r="AA747">
        <v>0</v>
      </c>
      <c r="AB747">
        <v>0</v>
      </c>
      <c r="AC747">
        <v>0.27595769221330557</v>
      </c>
      <c r="AD747">
        <v>0</v>
      </c>
      <c r="AE747">
        <v>0.72404230778669443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0.42927274803059706</v>
      </c>
      <c r="AL747">
        <v>0.42927274803059706</v>
      </c>
      <c r="AM747">
        <v>0.31081163115400973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0.57072725196940288</v>
      </c>
      <c r="AY747">
        <v>0</v>
      </c>
      <c r="AZ747">
        <v>0.11846111687658734</v>
      </c>
      <c r="BA747">
        <v>0</v>
      </c>
      <c r="BB747">
        <v>0.31081163115400973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3.2173828124999986</v>
      </c>
      <c r="BI747">
        <v>3.2173828124999986</v>
      </c>
      <c r="BJ747">
        <v>1.3811347613882858</v>
      </c>
      <c r="CA747">
        <v>0</v>
      </c>
      <c r="CB747">
        <v>0</v>
      </c>
      <c r="CC747">
        <v>0</v>
      </c>
    </row>
    <row r="748" spans="1:82" hidden="1" x14ac:dyDescent="0.25">
      <c r="A748" t="s">
        <v>128</v>
      </c>
      <c r="B748" t="s">
        <v>422</v>
      </c>
      <c r="C748" s="14" t="s">
        <v>72</v>
      </c>
      <c r="D748" s="12">
        <v>46249</v>
      </c>
      <c r="E748" s="14" t="s">
        <v>134</v>
      </c>
      <c r="F748" s="14" t="s">
        <v>75</v>
      </c>
      <c r="G748">
        <v>2.2474193200215868</v>
      </c>
      <c r="H748">
        <v>4.75</v>
      </c>
      <c r="I748">
        <v>20</v>
      </c>
      <c r="J748">
        <v>4.75</v>
      </c>
      <c r="K748">
        <v>46249</v>
      </c>
      <c r="L748" t="s">
        <v>500</v>
      </c>
      <c r="M748">
        <v>1.882352941176471</v>
      </c>
      <c r="N748">
        <v>2.1135352702914272</v>
      </c>
      <c r="O748">
        <v>2.1135352702914272</v>
      </c>
      <c r="P748">
        <v>0.83756196469753175</v>
      </c>
      <c r="Q748">
        <v>0</v>
      </c>
      <c r="R748">
        <v>0</v>
      </c>
      <c r="S748">
        <v>0.86353527029142718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0.25</v>
      </c>
      <c r="Z748">
        <v>0</v>
      </c>
      <c r="AA748">
        <v>0</v>
      </c>
      <c r="AB748">
        <v>0</v>
      </c>
      <c r="AC748">
        <v>0.16243803530246825</v>
      </c>
      <c r="AD748">
        <v>0</v>
      </c>
      <c r="AE748">
        <v>0.83756196469753175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0.47314090947822879</v>
      </c>
      <c r="AL748">
        <v>0.47314090947822879</v>
      </c>
      <c r="AM748">
        <v>0.39628482972136231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0.52685909052177116</v>
      </c>
      <c r="AY748">
        <v>0</v>
      </c>
      <c r="AZ748">
        <v>7.685607975686648E-2</v>
      </c>
      <c r="BA748">
        <v>0</v>
      </c>
      <c r="BB748">
        <v>0.39628482972136231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2.5234374999999996</v>
      </c>
      <c r="BI748">
        <v>2.5234374999999996</v>
      </c>
      <c r="BJ748">
        <v>1.1939415137614677</v>
      </c>
      <c r="CA748">
        <v>0</v>
      </c>
      <c r="CB748">
        <v>0</v>
      </c>
      <c r="CC748">
        <v>0</v>
      </c>
    </row>
    <row r="749" spans="1:82" hidden="1" x14ac:dyDescent="0.25">
      <c r="A749" t="s">
        <v>128</v>
      </c>
      <c r="B749" t="s">
        <v>421</v>
      </c>
      <c r="C749" s="14" t="s">
        <v>72</v>
      </c>
      <c r="D749" s="12">
        <v>46250</v>
      </c>
      <c r="E749" s="14" t="s">
        <v>134</v>
      </c>
      <c r="F749" s="14" t="s">
        <v>73</v>
      </c>
      <c r="G749">
        <v>0</v>
      </c>
      <c r="H749">
        <v>0.95</v>
      </c>
      <c r="I749">
        <v>20</v>
      </c>
      <c r="J749">
        <v>0.95</v>
      </c>
      <c r="K749">
        <v>46250</v>
      </c>
      <c r="L749" t="s">
        <v>501</v>
      </c>
      <c r="M749">
        <v>0.23529411764705879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0.24767801857585137</v>
      </c>
      <c r="AI749">
        <v>0</v>
      </c>
      <c r="AJ749">
        <v>0</v>
      </c>
      <c r="AK749">
        <v>0</v>
      </c>
      <c r="AL749">
        <v>0</v>
      </c>
      <c r="AM749">
        <v>0.24767801857585137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0.75232198142414863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G749">
        <v>0</v>
      </c>
      <c r="BH749">
        <v>4.0375000000000005</v>
      </c>
      <c r="BI749">
        <v>4.0375000000000005</v>
      </c>
      <c r="BJ749">
        <v>0</v>
      </c>
      <c r="CA749">
        <v>0.75232198142414863</v>
      </c>
      <c r="CB749">
        <v>0.24767801857585137</v>
      </c>
    </row>
    <row r="750" spans="1:82" hidden="1" x14ac:dyDescent="0.25">
      <c r="A750" t="s">
        <v>128</v>
      </c>
      <c r="B750" t="s">
        <v>291</v>
      </c>
      <c r="C750" s="14" t="s">
        <v>72</v>
      </c>
      <c r="D750" s="12">
        <v>46250</v>
      </c>
      <c r="E750" s="14" t="s">
        <v>134</v>
      </c>
      <c r="F750" s="14" t="s">
        <v>73</v>
      </c>
      <c r="G750">
        <v>3.5818245412844032</v>
      </c>
      <c r="H750">
        <v>1.9</v>
      </c>
      <c r="I750">
        <v>20</v>
      </c>
      <c r="J750">
        <v>1.9</v>
      </c>
      <c r="K750">
        <v>46250</v>
      </c>
      <c r="L750" t="s">
        <v>501</v>
      </c>
      <c r="M750">
        <v>4.1323529411764692</v>
      </c>
      <c r="N750">
        <v>0.53045591097510336</v>
      </c>
      <c r="O750">
        <v>0.53045591097510336</v>
      </c>
      <c r="P750">
        <v>1.1537005494117958</v>
      </c>
      <c r="Q750">
        <v>0.15370054941179578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0.46954408902489664</v>
      </c>
      <c r="AA750">
        <v>0</v>
      </c>
      <c r="AB750">
        <v>0</v>
      </c>
      <c r="AC750">
        <v>0</v>
      </c>
      <c r="AD750">
        <v>0</v>
      </c>
      <c r="AE750">
        <v>0.53045591097510336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1.8851708112023176</v>
      </c>
      <c r="AL750">
        <v>1.8851708112023176</v>
      </c>
      <c r="AM750">
        <v>2.1749226006191944</v>
      </c>
      <c r="BD750">
        <v>0</v>
      </c>
      <c r="BE750">
        <v>0</v>
      </c>
      <c r="BF750">
        <v>0</v>
      </c>
      <c r="BH750">
        <v>0.45978647686832752</v>
      </c>
      <c r="BI750">
        <v>0.45978647686832752</v>
      </c>
      <c r="BJ750">
        <v>0.86677604557772059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0.13322395442227941</v>
      </c>
      <c r="BV750">
        <v>0</v>
      </c>
      <c r="BW750">
        <v>0</v>
      </c>
      <c r="BX750">
        <v>0</v>
      </c>
      <c r="BY750">
        <v>0.45978647686832752</v>
      </c>
      <c r="BZ750">
        <v>0</v>
      </c>
      <c r="CA750">
        <v>0</v>
      </c>
      <c r="CB750">
        <v>0</v>
      </c>
      <c r="CC750">
        <v>0</v>
      </c>
      <c r="CD750">
        <v>0</v>
      </c>
    </row>
    <row r="751" spans="1:82" hidden="1" x14ac:dyDescent="0.25">
      <c r="A751" t="s">
        <v>128</v>
      </c>
      <c r="B751" t="s">
        <v>422</v>
      </c>
      <c r="C751" s="14" t="s">
        <v>72</v>
      </c>
      <c r="D751" s="12">
        <v>46250</v>
      </c>
      <c r="E751" s="14" t="s">
        <v>134</v>
      </c>
      <c r="F751" s="14" t="s">
        <v>73</v>
      </c>
      <c r="G751">
        <v>3.5818245412844032</v>
      </c>
      <c r="H751">
        <v>1.9</v>
      </c>
      <c r="I751">
        <v>20</v>
      </c>
      <c r="J751">
        <v>1.9</v>
      </c>
      <c r="K751">
        <v>46250</v>
      </c>
      <c r="L751" t="s">
        <v>501</v>
      </c>
      <c r="M751">
        <v>1.7647058823529416</v>
      </c>
      <c r="N751">
        <v>0.53045591097510336</v>
      </c>
      <c r="O751">
        <v>0.53045591097510336</v>
      </c>
      <c r="P751">
        <v>0.492683508645607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0.46954408902489664</v>
      </c>
      <c r="AB751">
        <v>0</v>
      </c>
      <c r="AC751">
        <v>3.7772402329496357E-2</v>
      </c>
      <c r="AD751">
        <v>0</v>
      </c>
      <c r="AE751">
        <v>0.492683508645607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1.8851708112023176</v>
      </c>
      <c r="AL751">
        <v>1.8851708112023176</v>
      </c>
      <c r="AM751">
        <v>0.92879256965944301</v>
      </c>
      <c r="BD751">
        <v>0</v>
      </c>
      <c r="BE751">
        <v>0</v>
      </c>
      <c r="BF751">
        <v>0</v>
      </c>
      <c r="BH751">
        <v>1.0766666666666664</v>
      </c>
      <c r="BI751">
        <v>1.0766666666666664</v>
      </c>
      <c r="BJ751">
        <v>2.0297005733944946</v>
      </c>
      <c r="BK751">
        <v>0.95303390672782817</v>
      </c>
      <c r="BL751">
        <v>0</v>
      </c>
      <c r="BM751">
        <v>0</v>
      </c>
      <c r="BN751">
        <v>0</v>
      </c>
      <c r="BO751">
        <v>0</v>
      </c>
      <c r="BP751">
        <v>0.42333333333333356</v>
      </c>
      <c r="BQ751">
        <v>7.6666666666666439E-2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</row>
    <row r="752" spans="1:82" hidden="1" x14ac:dyDescent="0.25">
      <c r="A752" t="s">
        <v>128</v>
      </c>
      <c r="B752" t="s">
        <v>421</v>
      </c>
      <c r="C752" s="14" t="s">
        <v>72</v>
      </c>
      <c r="D752" s="12">
        <v>46250</v>
      </c>
      <c r="E752" s="14" t="s">
        <v>134</v>
      </c>
      <c r="F752" s="14" t="s">
        <v>74</v>
      </c>
      <c r="G752">
        <v>2.7731019522776572</v>
      </c>
      <c r="H752">
        <v>0</v>
      </c>
      <c r="I752">
        <v>20</v>
      </c>
      <c r="J752">
        <v>0</v>
      </c>
      <c r="K752">
        <v>46250</v>
      </c>
      <c r="L752" t="s">
        <v>502</v>
      </c>
      <c r="M752">
        <v>0.18823529411764703</v>
      </c>
      <c r="N752">
        <v>0</v>
      </c>
      <c r="O752">
        <v>0</v>
      </c>
      <c r="P752">
        <v>6.7878966355002568E-2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6.7878966355002568E-2</v>
      </c>
      <c r="AA752">
        <v>0.93212103364499743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H752">
        <v>0</v>
      </c>
      <c r="BI752">
        <v>0</v>
      </c>
      <c r="BJ752">
        <v>14.732104121475055</v>
      </c>
      <c r="BK752">
        <v>13.732104121475055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</row>
    <row r="753" spans="1:82" hidden="1" x14ac:dyDescent="0.25">
      <c r="A753" t="s">
        <v>128</v>
      </c>
      <c r="B753" t="s">
        <v>291</v>
      </c>
      <c r="C753" s="14" t="s">
        <v>72</v>
      </c>
      <c r="D753" s="12">
        <v>46250</v>
      </c>
      <c r="E753" s="14" t="s">
        <v>134</v>
      </c>
      <c r="F753" s="14" t="s">
        <v>74</v>
      </c>
      <c r="G753">
        <v>1.2735376146788988</v>
      </c>
      <c r="H753">
        <v>0.95</v>
      </c>
      <c r="I753">
        <v>20</v>
      </c>
      <c r="J753">
        <v>0.95</v>
      </c>
      <c r="K753">
        <v>46250</v>
      </c>
      <c r="L753" t="s">
        <v>502</v>
      </c>
      <c r="M753">
        <v>0</v>
      </c>
      <c r="N753">
        <v>0.74595362480873917</v>
      </c>
      <c r="O753">
        <v>0.74595362480873917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0.25404637519126083</v>
      </c>
      <c r="AB753">
        <v>0</v>
      </c>
      <c r="AC753">
        <v>0</v>
      </c>
      <c r="AD753">
        <v>0</v>
      </c>
      <c r="AE753">
        <v>0</v>
      </c>
      <c r="AF753">
        <v>0.74595362480873917</v>
      </c>
      <c r="AG753">
        <v>0</v>
      </c>
      <c r="AH753">
        <v>0</v>
      </c>
      <c r="AI753">
        <v>0</v>
      </c>
      <c r="AJ753">
        <v>0</v>
      </c>
      <c r="AK753">
        <v>1.3405659101883145</v>
      </c>
      <c r="AL753">
        <v>1.3405659101883145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0.3405659101883145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</row>
    <row r="754" spans="1:82" hidden="1" x14ac:dyDescent="0.25">
      <c r="A754" t="s">
        <v>128</v>
      </c>
      <c r="B754" t="s">
        <v>422</v>
      </c>
      <c r="C754" s="14" t="s">
        <v>72</v>
      </c>
      <c r="D754" s="12">
        <v>46250</v>
      </c>
      <c r="E754" s="14" t="s">
        <v>134</v>
      </c>
      <c r="F754" s="14" t="s">
        <v>74</v>
      </c>
      <c r="G754">
        <v>1.2735376146788988</v>
      </c>
      <c r="H754">
        <v>0</v>
      </c>
      <c r="I754">
        <v>20</v>
      </c>
      <c r="J754">
        <v>0</v>
      </c>
      <c r="K754">
        <v>46250</v>
      </c>
      <c r="L754" t="s">
        <v>502</v>
      </c>
      <c r="M754">
        <v>6.2745098039215685E-2</v>
      </c>
      <c r="N754">
        <v>0</v>
      </c>
      <c r="O754">
        <v>0</v>
      </c>
      <c r="P754">
        <v>4.9268350864560689E-2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4.9268350864560689E-2</v>
      </c>
      <c r="AA754">
        <v>0.95073164913543928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H754">
        <v>0</v>
      </c>
      <c r="BI754">
        <v>0</v>
      </c>
      <c r="BJ754">
        <v>20.29700573394495</v>
      </c>
      <c r="BK754">
        <v>19.29700573394495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</row>
    <row r="755" spans="1:82" hidden="1" x14ac:dyDescent="0.25">
      <c r="A755" t="s">
        <v>128</v>
      </c>
      <c r="B755" t="s">
        <v>421</v>
      </c>
      <c r="C755" s="14" t="s">
        <v>72</v>
      </c>
      <c r="D755" s="12">
        <v>46250</v>
      </c>
      <c r="E755" s="14" t="s">
        <v>134</v>
      </c>
      <c r="F755" s="14" t="s">
        <v>75</v>
      </c>
      <c r="G755">
        <v>2.4468546637744031</v>
      </c>
      <c r="H755">
        <v>6.6499999999999995</v>
      </c>
      <c r="I755">
        <v>20</v>
      </c>
      <c r="J755">
        <v>6.6499999999999995</v>
      </c>
      <c r="K755">
        <v>46250</v>
      </c>
      <c r="L755" t="s">
        <v>503</v>
      </c>
      <c r="M755">
        <v>1.7716262975778552</v>
      </c>
      <c r="N755">
        <v>2.7177748226950356</v>
      </c>
      <c r="O755">
        <v>2.7177748226950356</v>
      </c>
      <c r="P755">
        <v>0.72404230778669443</v>
      </c>
      <c r="Q755">
        <v>0</v>
      </c>
      <c r="R755">
        <v>0</v>
      </c>
      <c r="S755">
        <v>1.4677748226950356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0.25</v>
      </c>
      <c r="Z755">
        <v>0</v>
      </c>
      <c r="AA755">
        <v>0</v>
      </c>
      <c r="AB755">
        <v>0</v>
      </c>
      <c r="AC755">
        <v>0.27595769221330557</v>
      </c>
      <c r="AD755">
        <v>0</v>
      </c>
      <c r="AE755">
        <v>0.72404230778669443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0.36794806974051175</v>
      </c>
      <c r="AL755">
        <v>0.36794806974051175</v>
      </c>
      <c r="AM755">
        <v>0.26640996956057977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0.63205193025948825</v>
      </c>
      <c r="AY755">
        <v>0</v>
      </c>
      <c r="AZ755">
        <v>0.10153810017993198</v>
      </c>
      <c r="BA755">
        <v>0</v>
      </c>
      <c r="BB755">
        <v>0.26640996956057977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3.7536132812499985</v>
      </c>
      <c r="BI755">
        <v>3.7536132812499985</v>
      </c>
      <c r="BJ755">
        <v>1.3811347613882858</v>
      </c>
      <c r="CA755">
        <v>0</v>
      </c>
      <c r="CB755">
        <v>0</v>
      </c>
      <c r="CC755">
        <v>0</v>
      </c>
    </row>
    <row r="756" spans="1:82" hidden="1" x14ac:dyDescent="0.25">
      <c r="A756" t="s">
        <v>128</v>
      </c>
      <c r="B756" t="s">
        <v>291</v>
      </c>
      <c r="C756" s="14" t="s">
        <v>72</v>
      </c>
      <c r="D756" s="12">
        <v>46250</v>
      </c>
      <c r="E756" s="14" t="s">
        <v>134</v>
      </c>
      <c r="F756" s="14" t="s">
        <v>75</v>
      </c>
      <c r="G756">
        <v>2.2474193200215868</v>
      </c>
      <c r="H756">
        <v>13.3</v>
      </c>
      <c r="I756">
        <v>20</v>
      </c>
      <c r="J756">
        <v>13.3</v>
      </c>
      <c r="K756">
        <v>46250</v>
      </c>
      <c r="L756" t="s">
        <v>503</v>
      </c>
      <c r="M756">
        <v>3.0449826989619377</v>
      </c>
      <c r="N756">
        <v>5.9178987568159958</v>
      </c>
      <c r="O756">
        <v>5.9178987568159958</v>
      </c>
      <c r="P756">
        <v>1.3548796487754187</v>
      </c>
      <c r="Q756">
        <v>0</v>
      </c>
      <c r="R756">
        <v>0</v>
      </c>
      <c r="S756">
        <v>4.5630191080405771</v>
      </c>
      <c r="T756">
        <v>0</v>
      </c>
      <c r="U756">
        <v>0.10487964877541867</v>
      </c>
      <c r="V756">
        <v>0</v>
      </c>
      <c r="W756">
        <v>0.25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0.16897889624222459</v>
      </c>
      <c r="AL756">
        <v>0.16897889624222459</v>
      </c>
      <c r="AM756">
        <v>0.22894606759112315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0.77105393240887687</v>
      </c>
      <c r="AY756">
        <v>0</v>
      </c>
      <c r="AZ756">
        <v>0</v>
      </c>
      <c r="BA756">
        <v>0</v>
      </c>
      <c r="BB756">
        <v>0.16897889624222459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4.3678409090909085</v>
      </c>
      <c r="BI756">
        <v>4.3678409090909085</v>
      </c>
      <c r="BJ756">
        <v>0.73807293577981659</v>
      </c>
      <c r="CA756">
        <v>0</v>
      </c>
      <c r="CB756">
        <v>0</v>
      </c>
      <c r="CC756">
        <v>0</v>
      </c>
    </row>
    <row r="757" spans="1:82" hidden="1" x14ac:dyDescent="0.25">
      <c r="A757" t="s">
        <v>128</v>
      </c>
      <c r="B757" t="s">
        <v>422</v>
      </c>
      <c r="C757" s="14" t="s">
        <v>72</v>
      </c>
      <c r="D757" s="12">
        <v>46250</v>
      </c>
      <c r="E757" s="14" t="s">
        <v>134</v>
      </c>
      <c r="F757" s="14" t="s">
        <v>75</v>
      </c>
      <c r="G757">
        <v>2.2474193200215868</v>
      </c>
      <c r="H757">
        <v>4.75</v>
      </c>
      <c r="I757">
        <v>20</v>
      </c>
      <c r="J757">
        <v>4.75</v>
      </c>
      <c r="K757">
        <v>46250</v>
      </c>
      <c r="L757" t="s">
        <v>503</v>
      </c>
      <c r="M757">
        <v>2.0484429065743948</v>
      </c>
      <c r="N757">
        <v>2.1135352702914272</v>
      </c>
      <c r="O757">
        <v>2.1135352702914272</v>
      </c>
      <c r="P757">
        <v>0.91146449099437266</v>
      </c>
      <c r="Q757">
        <v>0</v>
      </c>
      <c r="R757">
        <v>0</v>
      </c>
      <c r="S757">
        <v>0.86353527029142718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0.25</v>
      </c>
      <c r="Z757">
        <v>0</v>
      </c>
      <c r="AA757">
        <v>0</v>
      </c>
      <c r="AB757">
        <v>0</v>
      </c>
      <c r="AC757">
        <v>8.8535509005627344E-2</v>
      </c>
      <c r="AD757">
        <v>0</v>
      </c>
      <c r="AE757">
        <v>0.91146449099437266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0.47314090947822879</v>
      </c>
      <c r="AL757">
        <v>0.47314090947822879</v>
      </c>
      <c r="AM757">
        <v>0.43125113822618838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0.52685909052177116</v>
      </c>
      <c r="AY757">
        <v>0</v>
      </c>
      <c r="AZ757">
        <v>4.1889771252040409E-2</v>
      </c>
      <c r="BA757">
        <v>0</v>
      </c>
      <c r="BB757">
        <v>0.43125113822618838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2.3188344594594592</v>
      </c>
      <c r="BI757">
        <v>2.3188344594594592</v>
      </c>
      <c r="BJ757">
        <v>1.0971354450781057</v>
      </c>
      <c r="CA757">
        <v>0</v>
      </c>
      <c r="CB757">
        <v>0</v>
      </c>
      <c r="CC757">
        <v>0</v>
      </c>
    </row>
    <row r="758" spans="1:82" hidden="1" x14ac:dyDescent="0.25">
      <c r="A758" t="s">
        <v>128</v>
      </c>
      <c r="B758" t="s">
        <v>291</v>
      </c>
      <c r="C758" s="14" t="s">
        <v>109</v>
      </c>
      <c r="D758" s="12">
        <v>46223</v>
      </c>
      <c r="E758" s="14" t="s">
        <v>133</v>
      </c>
      <c r="F758" s="14"/>
      <c r="G758">
        <v>27.064943963236065</v>
      </c>
      <c r="H758">
        <v>67.45</v>
      </c>
      <c r="J758">
        <v>67.45</v>
      </c>
      <c r="M758">
        <v>26.328125</v>
      </c>
      <c r="Q758">
        <v>0</v>
      </c>
      <c r="R758">
        <v>0</v>
      </c>
      <c r="S758">
        <v>1.2299964645769912</v>
      </c>
      <c r="T758">
        <v>0</v>
      </c>
      <c r="U758">
        <v>1.2157226619317001E-2</v>
      </c>
      <c r="V758">
        <v>0</v>
      </c>
      <c r="W758">
        <v>3.898128898128899E-2</v>
      </c>
      <c r="X758">
        <v>0</v>
      </c>
      <c r="Y758">
        <v>0.211018711018711</v>
      </c>
      <c r="Z758">
        <v>0</v>
      </c>
      <c r="AA758">
        <v>0</v>
      </c>
      <c r="AB758">
        <v>0</v>
      </c>
      <c r="AC758">
        <v>7.8362623813685237E-2</v>
      </c>
      <c r="AD758">
        <v>0</v>
      </c>
      <c r="AE758">
        <v>0.92163737618631469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82" hidden="1" x14ac:dyDescent="0.25">
      <c r="A759" t="s">
        <v>128</v>
      </c>
      <c r="B759" t="s">
        <v>421</v>
      </c>
      <c r="C759" s="14" t="s">
        <v>109</v>
      </c>
      <c r="D759" s="12">
        <v>46223</v>
      </c>
      <c r="E759" s="14" t="s">
        <v>133</v>
      </c>
      <c r="F759" s="14"/>
      <c r="G759">
        <v>22.497043787350957</v>
      </c>
      <c r="H759">
        <v>45.599999999999994</v>
      </c>
      <c r="J759">
        <v>45.599999999999994</v>
      </c>
      <c r="M759">
        <v>17.852471517453132</v>
      </c>
      <c r="Q759">
        <v>0.12455916337168897</v>
      </c>
      <c r="R759">
        <v>0</v>
      </c>
      <c r="S759">
        <v>0.96825168288240016</v>
      </c>
      <c r="T759">
        <v>0</v>
      </c>
      <c r="U759">
        <v>0</v>
      </c>
      <c r="V759">
        <v>3.5614394693461719E-2</v>
      </c>
      <c r="W759">
        <v>1.3736254657187627E-2</v>
      </c>
      <c r="X759">
        <v>0</v>
      </c>
      <c r="Y759">
        <v>0.1103896103896104</v>
      </c>
      <c r="Z759">
        <v>1.4480986985541162E-2</v>
      </c>
      <c r="AA759">
        <v>5.0963581169720759E-2</v>
      </c>
      <c r="AB759">
        <v>0</v>
      </c>
      <c r="AC759">
        <v>0.29378439630651093</v>
      </c>
      <c r="AD759">
        <v>0</v>
      </c>
      <c r="AE759">
        <v>0.44336843813562976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82" hidden="1" x14ac:dyDescent="0.25">
      <c r="A760" t="s">
        <v>128</v>
      </c>
      <c r="B760" t="s">
        <v>422</v>
      </c>
      <c r="C760" s="14" t="s">
        <v>109</v>
      </c>
      <c r="D760" s="12">
        <v>46223</v>
      </c>
      <c r="E760" s="14" t="s">
        <v>133</v>
      </c>
      <c r="F760" s="14"/>
      <c r="G760">
        <v>27.064943963236065</v>
      </c>
      <c r="H760">
        <v>38</v>
      </c>
      <c r="J760">
        <v>38</v>
      </c>
      <c r="M760">
        <v>21.349264705882341</v>
      </c>
      <c r="Q760">
        <v>0</v>
      </c>
      <c r="R760">
        <v>0</v>
      </c>
      <c r="S760">
        <v>0.43448437565611198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0.12924598481236627</v>
      </c>
      <c r="Z760">
        <v>6.3805443626569161E-2</v>
      </c>
      <c r="AA760">
        <v>9.5894668280608678E-2</v>
      </c>
      <c r="AB760">
        <v>0</v>
      </c>
      <c r="AC760">
        <v>0.11528918878252338</v>
      </c>
      <c r="AD760">
        <v>0</v>
      </c>
      <c r="AE760">
        <v>0.72501069931029871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82" hidden="1" x14ac:dyDescent="0.25">
      <c r="A761" t="s">
        <v>128</v>
      </c>
      <c r="B761" t="s">
        <v>291</v>
      </c>
      <c r="C761" s="14" t="s">
        <v>109</v>
      </c>
      <c r="D761" s="12">
        <v>46223</v>
      </c>
      <c r="E761" s="14" t="s">
        <v>420</v>
      </c>
      <c r="F761" s="14"/>
      <c r="G761">
        <v>6.7786480661254069</v>
      </c>
      <c r="H761">
        <v>16.149999999999999</v>
      </c>
      <c r="J761">
        <v>16.149999999999999</v>
      </c>
      <c r="M761">
        <v>5.6366782006920424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0.1591243645640317</v>
      </c>
      <c r="AB761">
        <v>0</v>
      </c>
      <c r="AC761">
        <v>9.3413610929871643E-3</v>
      </c>
      <c r="AD761">
        <v>0</v>
      </c>
      <c r="AE761">
        <v>0.83153427434298111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82" hidden="1" x14ac:dyDescent="0.25">
      <c r="A762" t="s">
        <v>128</v>
      </c>
      <c r="B762" t="s">
        <v>421</v>
      </c>
      <c r="C762" s="14" t="s">
        <v>109</v>
      </c>
      <c r="D762" s="12">
        <v>46223</v>
      </c>
      <c r="E762" s="14" t="s">
        <v>420</v>
      </c>
      <c r="F762" s="14"/>
      <c r="G762">
        <v>3.2997955746152665</v>
      </c>
      <c r="H762">
        <v>2.8499999999999996</v>
      </c>
      <c r="J762">
        <v>2.8499999999999996</v>
      </c>
      <c r="M762">
        <v>0.82352941176470595</v>
      </c>
      <c r="Q762">
        <v>0</v>
      </c>
      <c r="R762">
        <v>0</v>
      </c>
      <c r="S762">
        <v>3.412657780470555E-2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0.10833333333333332</v>
      </c>
      <c r="Z762">
        <v>0</v>
      </c>
      <c r="AA762">
        <v>0.27877004443098069</v>
      </c>
      <c r="AB762">
        <v>0</v>
      </c>
      <c r="AC762">
        <v>0.18376350600828031</v>
      </c>
      <c r="AD762">
        <v>0</v>
      </c>
      <c r="AE762">
        <v>0.24956982732505295</v>
      </c>
      <c r="AF762">
        <v>0.28789662223568602</v>
      </c>
      <c r="AG762">
        <v>0</v>
      </c>
      <c r="AH762">
        <v>0</v>
      </c>
      <c r="AI762">
        <v>0</v>
      </c>
      <c r="AJ762">
        <v>0</v>
      </c>
    </row>
    <row r="763" spans="1:82" hidden="1" x14ac:dyDescent="0.25">
      <c r="A763" t="s">
        <v>128</v>
      </c>
      <c r="B763" t="s">
        <v>422</v>
      </c>
      <c r="C763" s="14" t="s">
        <v>109</v>
      </c>
      <c r="D763" s="12">
        <v>46223</v>
      </c>
      <c r="E763" s="14" t="s">
        <v>420</v>
      </c>
      <c r="F763" s="14"/>
      <c r="G763">
        <v>6.7786480661254069</v>
      </c>
      <c r="H763">
        <v>2.8499999999999996</v>
      </c>
      <c r="J763">
        <v>2.8499999999999996</v>
      </c>
      <c r="M763">
        <v>0.98961937716262982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0.71970812152134389</v>
      </c>
      <c r="AB763">
        <v>0</v>
      </c>
      <c r="AC763">
        <v>0.13430120784508182</v>
      </c>
      <c r="AD763">
        <v>0</v>
      </c>
      <c r="AE763">
        <v>0.14599067063357432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82" hidden="1" x14ac:dyDescent="0.25">
      <c r="A764" t="s">
        <v>128</v>
      </c>
      <c r="B764" t="s">
        <v>291</v>
      </c>
      <c r="C764" s="14" t="s">
        <v>109</v>
      </c>
      <c r="D764" s="12">
        <v>46223</v>
      </c>
      <c r="E764" s="14" t="s">
        <v>134</v>
      </c>
      <c r="F764" s="14"/>
      <c r="G764">
        <v>10.465131474298435</v>
      </c>
      <c r="H764">
        <v>17.099999999999998</v>
      </c>
      <c r="J764">
        <v>17.099999999999998</v>
      </c>
      <c r="M764">
        <v>7.7508650519031104</v>
      </c>
      <c r="Q764">
        <v>1.7788517039404782E-2</v>
      </c>
      <c r="R764">
        <v>0</v>
      </c>
      <c r="S764">
        <v>0.93721497964352074</v>
      </c>
      <c r="T764">
        <v>0</v>
      </c>
      <c r="U764">
        <v>0</v>
      </c>
      <c r="V764">
        <v>0</v>
      </c>
      <c r="W764">
        <v>4.0980949070816231E-2</v>
      </c>
      <c r="X764">
        <v>0</v>
      </c>
      <c r="Y764">
        <v>3.0423354398523568E-2</v>
      </c>
      <c r="Z764">
        <v>8.8248237877643951E-2</v>
      </c>
      <c r="AA764">
        <v>0.28637341778100861</v>
      </c>
      <c r="AB764">
        <v>0</v>
      </c>
      <c r="AC764">
        <v>3.1758907655094176E-2</v>
      </c>
      <c r="AD764">
        <v>0</v>
      </c>
      <c r="AE764">
        <v>0.59361943668625317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82" hidden="1" x14ac:dyDescent="0.25">
      <c r="A765" t="s">
        <v>128</v>
      </c>
      <c r="B765" t="s">
        <v>421</v>
      </c>
      <c r="C765" s="14" t="s">
        <v>109</v>
      </c>
      <c r="D765" s="12">
        <v>46223</v>
      </c>
      <c r="E765" s="14" t="s">
        <v>134</v>
      </c>
      <c r="F765" s="14"/>
      <c r="G765">
        <v>7.7432754880694139</v>
      </c>
      <c r="H765">
        <v>9.4999999999999982</v>
      </c>
      <c r="J765">
        <v>9.4999999999999982</v>
      </c>
      <c r="M765">
        <v>3.7794694348327571</v>
      </c>
      <c r="Q765">
        <v>0</v>
      </c>
      <c r="R765">
        <v>0</v>
      </c>
      <c r="S765">
        <v>0.58650007703836515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7.8999341672152737E-2</v>
      </c>
      <c r="Z765">
        <v>0.13661442614108105</v>
      </c>
      <c r="AA765">
        <v>0.30201401082052581</v>
      </c>
      <c r="AB765">
        <v>0</v>
      </c>
      <c r="AC765">
        <v>8.7201904056870783E-2</v>
      </c>
      <c r="AD765">
        <v>0</v>
      </c>
      <c r="AE765">
        <v>0.35148256080663132</v>
      </c>
      <c r="AF765">
        <v>0.1226870981748911</v>
      </c>
      <c r="AG765">
        <v>0</v>
      </c>
      <c r="AH765">
        <v>0</v>
      </c>
      <c r="AI765">
        <v>0</v>
      </c>
      <c r="AJ765">
        <v>0</v>
      </c>
    </row>
    <row r="766" spans="1:82" hidden="1" x14ac:dyDescent="0.25">
      <c r="A766" t="s">
        <v>128</v>
      </c>
      <c r="B766" t="s">
        <v>422</v>
      </c>
      <c r="C766" s="14" t="s">
        <v>109</v>
      </c>
      <c r="D766" s="12">
        <v>46223</v>
      </c>
      <c r="E766" s="14" t="s">
        <v>134</v>
      </c>
      <c r="F766" s="14"/>
      <c r="G766">
        <v>10.465131474298435</v>
      </c>
      <c r="H766">
        <v>5.7</v>
      </c>
      <c r="J766">
        <v>5.7</v>
      </c>
      <c r="M766">
        <v>3.9759803921568619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4.0980949070816231E-2</v>
      </c>
      <c r="Z766">
        <v>5.9956339959333161E-3</v>
      </c>
      <c r="AA766">
        <v>0.49031943925681354</v>
      </c>
      <c r="AB766">
        <v>0</v>
      </c>
      <c r="AC766">
        <v>0.12975409714150427</v>
      </c>
      <c r="AD766">
        <v>0</v>
      </c>
      <c r="AE766">
        <v>0.3739308296057488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82" hidden="1" x14ac:dyDescent="0.25">
      <c r="A767" t="s">
        <v>128</v>
      </c>
      <c r="B767" t="s">
        <v>291</v>
      </c>
      <c r="C767" s="14" t="s">
        <v>109</v>
      </c>
      <c r="D767" s="12">
        <v>46224</v>
      </c>
      <c r="E767" s="14" t="s">
        <v>133</v>
      </c>
      <c r="F767" s="14"/>
      <c r="G767">
        <v>28.218439495972738</v>
      </c>
      <c r="H767">
        <v>45.599999999999994</v>
      </c>
      <c r="J767">
        <v>45.599999999999994</v>
      </c>
      <c r="M767">
        <v>31.749999999999993</v>
      </c>
      <c r="Q767">
        <v>7.5549609583500377E-2</v>
      </c>
      <c r="R767">
        <v>0</v>
      </c>
      <c r="S767">
        <v>0.81137843701814072</v>
      </c>
      <c r="T767">
        <v>0</v>
      </c>
      <c r="U767">
        <v>1.1660271194200352E-2</v>
      </c>
      <c r="V767">
        <v>0</v>
      </c>
      <c r="W767">
        <v>3.794092724381555E-2</v>
      </c>
      <c r="X767">
        <v>0</v>
      </c>
      <c r="Y767">
        <v>7.6486629731646438E-2</v>
      </c>
      <c r="Z767">
        <v>0.32150164012382992</v>
      </c>
      <c r="AA767">
        <v>0</v>
      </c>
      <c r="AB767">
        <v>0</v>
      </c>
      <c r="AC767">
        <v>0</v>
      </c>
      <c r="AD767">
        <v>0</v>
      </c>
      <c r="AE767">
        <v>0.67849835987617013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82" hidden="1" x14ac:dyDescent="0.25">
      <c r="A768" t="s">
        <v>128</v>
      </c>
      <c r="B768" t="s">
        <v>421</v>
      </c>
      <c r="C768" s="14" t="s">
        <v>109</v>
      </c>
      <c r="D768" s="12">
        <v>46224</v>
      </c>
      <c r="E768" s="14" t="s">
        <v>133</v>
      </c>
      <c r="F768" s="14"/>
      <c r="G768">
        <v>22.43860990738381</v>
      </c>
      <c r="H768">
        <v>46.55</v>
      </c>
      <c r="J768">
        <v>46.55</v>
      </c>
      <c r="M768">
        <v>28.680029223227745</v>
      </c>
      <c r="Q768">
        <v>0.35135709229854767</v>
      </c>
      <c r="R768">
        <v>0</v>
      </c>
      <c r="S768">
        <v>1.0554486487680497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0.11067708333333336</v>
      </c>
      <c r="Z768">
        <v>9.157654246188035E-2</v>
      </c>
      <c r="AA768">
        <v>0</v>
      </c>
      <c r="AB768">
        <v>0</v>
      </c>
      <c r="AC768">
        <v>7.3201745705972557E-2</v>
      </c>
      <c r="AD768">
        <v>0</v>
      </c>
      <c r="AE768">
        <v>0.83522171183214711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hidden="1" x14ac:dyDescent="0.25">
      <c r="A769" t="s">
        <v>128</v>
      </c>
      <c r="B769" t="s">
        <v>422</v>
      </c>
      <c r="C769" s="14" t="s">
        <v>109</v>
      </c>
      <c r="D769" s="12">
        <v>46224</v>
      </c>
      <c r="E769" s="14" t="s">
        <v>133</v>
      </c>
      <c r="F769" s="14"/>
      <c r="G769">
        <v>28.218439495972738</v>
      </c>
      <c r="H769">
        <v>37.049999999999997</v>
      </c>
      <c r="J769">
        <v>37.049999999999997</v>
      </c>
      <c r="M769">
        <v>20.272058823529402</v>
      </c>
      <c r="Q769">
        <v>0</v>
      </c>
      <c r="R769">
        <v>0</v>
      </c>
      <c r="S769">
        <v>0.33196115842799634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0.11540378863409771</v>
      </c>
      <c r="Z769">
        <v>2.1366921319535604E-3</v>
      </c>
      <c r="AA769">
        <v>0.13225699706566232</v>
      </c>
      <c r="AB769">
        <v>0</v>
      </c>
      <c r="AC769">
        <v>0.14934541661768203</v>
      </c>
      <c r="AD769">
        <v>0</v>
      </c>
      <c r="AE769">
        <v>0.71626089418470207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hidden="1" x14ac:dyDescent="0.25">
      <c r="A770" t="s">
        <v>128</v>
      </c>
      <c r="B770" t="s">
        <v>291</v>
      </c>
      <c r="C770" s="14" t="s">
        <v>109</v>
      </c>
      <c r="D770" s="12">
        <v>46224</v>
      </c>
      <c r="E770" s="14" t="s">
        <v>420</v>
      </c>
      <c r="F770" s="14"/>
      <c r="G770">
        <v>6.8316062541420131</v>
      </c>
      <c r="H770">
        <v>15.2</v>
      </c>
      <c r="J770">
        <v>15.2</v>
      </c>
      <c r="M770">
        <v>7.404751606524961</v>
      </c>
      <c r="Q770">
        <v>8.3896133802419934E-2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0.44376185356173692</v>
      </c>
      <c r="AA770">
        <v>0</v>
      </c>
      <c r="AB770">
        <v>0</v>
      </c>
      <c r="AC770">
        <v>0</v>
      </c>
      <c r="AD770">
        <v>0</v>
      </c>
      <c r="AE770">
        <v>0.55623814643826319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idden="1" x14ac:dyDescent="0.25">
      <c r="A771" t="s">
        <v>128</v>
      </c>
      <c r="B771" t="s">
        <v>421</v>
      </c>
      <c r="C771" s="14" t="s">
        <v>109</v>
      </c>
      <c r="D771" s="12">
        <v>46224</v>
      </c>
      <c r="E771" s="14" t="s">
        <v>420</v>
      </c>
      <c r="F771" s="14"/>
      <c r="G771">
        <v>3.2997955746152661</v>
      </c>
      <c r="H771">
        <v>3.8</v>
      </c>
      <c r="J771">
        <v>3.8</v>
      </c>
      <c r="M771">
        <v>0.82352941176470573</v>
      </c>
      <c r="Q771">
        <v>0</v>
      </c>
      <c r="R771">
        <v>0</v>
      </c>
      <c r="S771">
        <v>3.412657780470555E-2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0.10833333333333334</v>
      </c>
      <c r="Z771">
        <v>0</v>
      </c>
      <c r="AA771">
        <v>0.27877004443098063</v>
      </c>
      <c r="AB771">
        <v>0</v>
      </c>
      <c r="AC771">
        <v>0.1837635060082804</v>
      </c>
      <c r="AD771">
        <v>0</v>
      </c>
      <c r="AE771">
        <v>0.24956982732505292</v>
      </c>
      <c r="AF771">
        <v>0.28789662223568607</v>
      </c>
      <c r="AG771">
        <v>0</v>
      </c>
      <c r="AH771">
        <v>0</v>
      </c>
      <c r="AI771">
        <v>0</v>
      </c>
      <c r="AJ771">
        <v>0</v>
      </c>
    </row>
    <row r="772" spans="1:36" hidden="1" x14ac:dyDescent="0.25">
      <c r="A772" t="s">
        <v>128</v>
      </c>
      <c r="B772" t="s">
        <v>422</v>
      </c>
      <c r="C772" s="14" t="s">
        <v>109</v>
      </c>
      <c r="D772" s="12">
        <v>46224</v>
      </c>
      <c r="E772" s="14" t="s">
        <v>420</v>
      </c>
      <c r="F772" s="14"/>
      <c r="G772">
        <v>6.8316062541420131</v>
      </c>
      <c r="H772">
        <v>3.8</v>
      </c>
      <c r="J772">
        <v>3.8</v>
      </c>
      <c r="M772">
        <v>0.98961937716262982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0.44376185356173692</v>
      </c>
      <c r="AB772">
        <v>0</v>
      </c>
      <c r="AC772">
        <v>0.41137918642975529</v>
      </c>
      <c r="AD772">
        <v>0</v>
      </c>
      <c r="AE772">
        <v>0.14485896000850781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hidden="1" x14ac:dyDescent="0.25">
      <c r="A773" t="s">
        <v>128</v>
      </c>
      <c r="B773" t="s">
        <v>291</v>
      </c>
      <c r="C773" s="14" t="s">
        <v>109</v>
      </c>
      <c r="D773" s="12">
        <v>46224</v>
      </c>
      <c r="E773" s="14" t="s">
        <v>134</v>
      </c>
      <c r="F773" s="14"/>
      <c r="G773">
        <v>10.465131474298435</v>
      </c>
      <c r="H773">
        <v>15.2</v>
      </c>
      <c r="J773">
        <v>15.2</v>
      </c>
      <c r="M773">
        <v>9.6332179930795796</v>
      </c>
      <c r="Q773">
        <v>5.876946611022122E-2</v>
      </c>
      <c r="R773">
        <v>0</v>
      </c>
      <c r="S773">
        <v>0.90946273175813841</v>
      </c>
      <c r="T773">
        <v>0</v>
      </c>
      <c r="U773">
        <v>2.7752247885382338E-2</v>
      </c>
      <c r="V773">
        <v>0</v>
      </c>
      <c r="W773">
        <v>3.0423354398523568E-2</v>
      </c>
      <c r="X773">
        <v>0</v>
      </c>
      <c r="Y773">
        <v>0</v>
      </c>
      <c r="Z773">
        <v>0.31875709068518393</v>
      </c>
      <c r="AA773">
        <v>0.19643890784200899</v>
      </c>
      <c r="AB773">
        <v>0</v>
      </c>
      <c r="AC773">
        <v>0</v>
      </c>
      <c r="AD773">
        <v>0</v>
      </c>
      <c r="AE773">
        <v>0.48480400147280717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hidden="1" x14ac:dyDescent="0.25">
      <c r="A774" t="s">
        <v>128</v>
      </c>
      <c r="B774" t="s">
        <v>421</v>
      </c>
      <c r="C774" s="14" t="s">
        <v>109</v>
      </c>
      <c r="D774" s="12">
        <v>46224</v>
      </c>
      <c r="E774" s="14" t="s">
        <v>134</v>
      </c>
      <c r="F774" s="14"/>
      <c r="G774">
        <v>8.9667028199566161</v>
      </c>
      <c r="H774">
        <v>8.5499999999999989</v>
      </c>
      <c r="J774">
        <v>8.5499999999999989</v>
      </c>
      <c r="M774">
        <v>4.014763552479816</v>
      </c>
      <c r="Q774">
        <v>0</v>
      </c>
      <c r="R774">
        <v>0</v>
      </c>
      <c r="S774">
        <v>0.4005297981203052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6.8220579874928938E-2</v>
      </c>
      <c r="Z774">
        <v>0.11797459539983064</v>
      </c>
      <c r="AA774">
        <v>0.39724802867332504</v>
      </c>
      <c r="AB774">
        <v>0</v>
      </c>
      <c r="AC774">
        <v>0.15501062948757507</v>
      </c>
      <c r="AD774">
        <v>0</v>
      </c>
      <c r="AE774">
        <v>0.32976674643926929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 hidden="1" x14ac:dyDescent="0.25">
      <c r="A775" t="s">
        <v>128</v>
      </c>
      <c r="B775" t="s">
        <v>422</v>
      </c>
      <c r="C775" s="14" t="s">
        <v>109</v>
      </c>
      <c r="D775" s="12">
        <v>46224</v>
      </c>
      <c r="E775" s="14" t="s">
        <v>134</v>
      </c>
      <c r="F775" s="14"/>
      <c r="G775">
        <v>10.465131474298435</v>
      </c>
      <c r="H775">
        <v>5.6999999999999993</v>
      </c>
      <c r="J775">
        <v>5.6999999999999993</v>
      </c>
      <c r="M775">
        <v>3.1758596453287193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4.0980949070816231E-2</v>
      </c>
      <c r="Z775">
        <v>1.3340871152084096E-2</v>
      </c>
      <c r="AA775">
        <v>0.48297420210066289</v>
      </c>
      <c r="AB775">
        <v>0</v>
      </c>
      <c r="AC775">
        <v>0.21355520575929676</v>
      </c>
      <c r="AD775">
        <v>0</v>
      </c>
      <c r="AE775">
        <v>0.29012972098795625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idden="1" x14ac:dyDescent="0.25">
      <c r="A776" t="s">
        <v>128</v>
      </c>
      <c r="B776" t="s">
        <v>291</v>
      </c>
      <c r="C776" s="14" t="s">
        <v>109</v>
      </c>
      <c r="D776" s="12">
        <v>46225</v>
      </c>
      <c r="E776" s="14" t="s">
        <v>133</v>
      </c>
      <c r="F776" s="14"/>
      <c r="G776">
        <v>27.599490673528674</v>
      </c>
      <c r="H776">
        <v>33.25</v>
      </c>
      <c r="J776">
        <v>33.25</v>
      </c>
      <c r="M776">
        <v>30.977678571428569</v>
      </c>
      <c r="Q776">
        <v>8.3169803297876641E-2</v>
      </c>
      <c r="R776">
        <v>0</v>
      </c>
      <c r="S776">
        <v>0.44916503485936377</v>
      </c>
      <c r="T776">
        <v>0</v>
      </c>
      <c r="U776">
        <v>1.370104269424088E-2</v>
      </c>
      <c r="V776">
        <v>0</v>
      </c>
      <c r="W776">
        <v>3.8226299694189593E-2</v>
      </c>
      <c r="X776">
        <v>0</v>
      </c>
      <c r="Y776">
        <v>0</v>
      </c>
      <c r="Z776">
        <v>0.28366322567592689</v>
      </c>
      <c r="AA776">
        <v>1.2696774684533542E-2</v>
      </c>
      <c r="AB776">
        <v>0</v>
      </c>
      <c r="AC776">
        <v>0</v>
      </c>
      <c r="AD776">
        <v>0</v>
      </c>
      <c r="AE776">
        <v>0.70363999963953949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 hidden="1" x14ac:dyDescent="0.25">
      <c r="A777" t="s">
        <v>128</v>
      </c>
      <c r="B777" t="s">
        <v>421</v>
      </c>
      <c r="C777" s="14" t="s">
        <v>109</v>
      </c>
      <c r="D777" s="12">
        <v>46225</v>
      </c>
      <c r="E777" s="14" t="s">
        <v>133</v>
      </c>
      <c r="F777" s="14"/>
      <c r="G777">
        <v>22.438609907383807</v>
      </c>
      <c r="H777">
        <v>59.85</v>
      </c>
      <c r="J777">
        <v>59.85</v>
      </c>
      <c r="M777">
        <v>35.387360953996989</v>
      </c>
      <c r="Q777">
        <v>0.51366199295389547</v>
      </c>
      <c r="R777">
        <v>0</v>
      </c>
      <c r="S777">
        <v>1.5635015115369075</v>
      </c>
      <c r="T777">
        <v>0</v>
      </c>
      <c r="U777">
        <v>0</v>
      </c>
      <c r="V777">
        <v>3.5707140512975952E-2</v>
      </c>
      <c r="W777">
        <v>6.3412571827952721E-2</v>
      </c>
      <c r="X777">
        <v>0</v>
      </c>
      <c r="Y777">
        <v>6.1036537659071362E-2</v>
      </c>
      <c r="Z777">
        <v>2.0673091487428113E-2</v>
      </c>
      <c r="AA777">
        <v>0</v>
      </c>
      <c r="AB777">
        <v>0</v>
      </c>
      <c r="AC777">
        <v>0</v>
      </c>
      <c r="AD777">
        <v>0</v>
      </c>
      <c r="AE777">
        <v>0.78141024184590535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hidden="1" x14ac:dyDescent="0.25">
      <c r="A778" t="s">
        <v>128</v>
      </c>
      <c r="B778" t="s">
        <v>422</v>
      </c>
      <c r="C778" s="14" t="s">
        <v>109</v>
      </c>
      <c r="D778" s="12">
        <v>46225</v>
      </c>
      <c r="E778" s="14" t="s">
        <v>133</v>
      </c>
      <c r="F778" s="14"/>
      <c r="G778">
        <v>27.599490673528674</v>
      </c>
      <c r="H778">
        <v>49.4</v>
      </c>
      <c r="J778">
        <v>49.4</v>
      </c>
      <c r="M778">
        <v>17.312499999999993</v>
      </c>
      <c r="Q778">
        <v>0</v>
      </c>
      <c r="R778">
        <v>0</v>
      </c>
      <c r="S778">
        <v>0.80726513671352784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0.13311379958154573</v>
      </c>
      <c r="Z778">
        <v>0</v>
      </c>
      <c r="AA778">
        <v>0.15049083349103476</v>
      </c>
      <c r="AB778">
        <v>0</v>
      </c>
      <c r="AC778">
        <v>0.22223309809206426</v>
      </c>
      <c r="AD778">
        <v>0</v>
      </c>
      <c r="AE778">
        <v>0.62727606841690098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hidden="1" x14ac:dyDescent="0.25">
      <c r="A779" t="s">
        <v>128</v>
      </c>
      <c r="B779" t="s">
        <v>291</v>
      </c>
      <c r="C779" s="14" t="s">
        <v>109</v>
      </c>
      <c r="D779" s="12">
        <v>46225</v>
      </c>
      <c r="E779" s="14" t="s">
        <v>420</v>
      </c>
      <c r="F779" s="14"/>
      <c r="G779">
        <v>6.7786480661254069</v>
      </c>
      <c r="H779">
        <v>6.6499999999999995</v>
      </c>
      <c r="J779">
        <v>6.6499999999999995</v>
      </c>
      <c r="M779">
        <v>7.5155709342560542</v>
      </c>
      <c r="Q779">
        <v>0.10871236579064114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0.43941624304268773</v>
      </c>
      <c r="AA779">
        <v>0</v>
      </c>
      <c r="AB779">
        <v>0</v>
      </c>
      <c r="AC779">
        <v>0</v>
      </c>
      <c r="AD779">
        <v>0</v>
      </c>
      <c r="AE779">
        <v>0.56058375695731222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hidden="1" x14ac:dyDescent="0.25">
      <c r="A780" t="s">
        <v>128</v>
      </c>
      <c r="B780" t="s">
        <v>421</v>
      </c>
      <c r="C780" s="14" t="s">
        <v>109</v>
      </c>
      <c r="D780" s="12">
        <v>46225</v>
      </c>
      <c r="E780" s="14" t="s">
        <v>420</v>
      </c>
      <c r="F780" s="14"/>
      <c r="G780">
        <v>3.4647853533460293</v>
      </c>
      <c r="H780">
        <v>3.8</v>
      </c>
      <c r="J780">
        <v>3.8</v>
      </c>
      <c r="M780">
        <v>0.82352941176470573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9.674903708832798E-2</v>
      </c>
      <c r="Z780">
        <v>0</v>
      </c>
      <c r="AA780">
        <v>0</v>
      </c>
      <c r="AB780">
        <v>0</v>
      </c>
      <c r="AC780">
        <v>0.22263191048407652</v>
      </c>
      <c r="AD780">
        <v>0</v>
      </c>
      <c r="AE780">
        <v>0.23768554983338375</v>
      </c>
      <c r="AF780">
        <v>0.53968253968253976</v>
      </c>
      <c r="AG780">
        <v>0</v>
      </c>
      <c r="AH780">
        <v>0</v>
      </c>
      <c r="AI780">
        <v>0</v>
      </c>
      <c r="AJ780">
        <v>0</v>
      </c>
    </row>
    <row r="781" spans="1:36" hidden="1" x14ac:dyDescent="0.25">
      <c r="A781" t="s">
        <v>128</v>
      </c>
      <c r="B781" t="s">
        <v>422</v>
      </c>
      <c r="C781" s="14" t="s">
        <v>109</v>
      </c>
      <c r="D781" s="12">
        <v>46225</v>
      </c>
      <c r="E781" s="14" t="s">
        <v>420</v>
      </c>
      <c r="F781" s="14"/>
      <c r="G781">
        <v>6.7786480661254069</v>
      </c>
      <c r="H781">
        <v>3.8</v>
      </c>
      <c r="J781">
        <v>3.8</v>
      </c>
      <c r="M781">
        <v>3.7927062465853218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8.4973609240596409E-2</v>
      </c>
      <c r="AA781">
        <v>0.35444263380209134</v>
      </c>
      <c r="AB781">
        <v>0</v>
      </c>
      <c r="AC781">
        <v>8.6049598633101798E-2</v>
      </c>
      <c r="AD781">
        <v>0</v>
      </c>
      <c r="AE781">
        <v>0.47453415832421048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hidden="1" x14ac:dyDescent="0.25">
      <c r="A782" t="s">
        <v>128</v>
      </c>
      <c r="B782" t="s">
        <v>291</v>
      </c>
      <c r="C782" s="14" t="s">
        <v>109</v>
      </c>
      <c r="D782" s="12">
        <v>46225</v>
      </c>
      <c r="E782" s="14" t="s">
        <v>134</v>
      </c>
      <c r="F782" s="14"/>
      <c r="G782">
        <v>9.8330447905423632</v>
      </c>
      <c r="H782">
        <v>8.5499999999999989</v>
      </c>
      <c r="J782">
        <v>8.5499999999999989</v>
      </c>
      <c r="M782">
        <v>10.823961937716259</v>
      </c>
      <c r="Q782">
        <v>0.11379174284096359</v>
      </c>
      <c r="R782">
        <v>0</v>
      </c>
      <c r="S782">
        <v>9.2425443875318383E-2</v>
      </c>
      <c r="T782">
        <v>0</v>
      </c>
      <c r="U782">
        <v>3.5518444152266238E-2</v>
      </c>
      <c r="V782">
        <v>0</v>
      </c>
      <c r="W782">
        <v>3.2379025058032251E-2</v>
      </c>
      <c r="X782">
        <v>0</v>
      </c>
      <c r="Y782">
        <v>0</v>
      </c>
      <c r="Z782">
        <v>0.20989085343779001</v>
      </c>
      <c r="AA782">
        <v>8.0915019694589238E-2</v>
      </c>
      <c r="AB782">
        <v>0</v>
      </c>
      <c r="AC782">
        <v>0</v>
      </c>
      <c r="AD782">
        <v>0</v>
      </c>
      <c r="AE782">
        <v>0.70919412686762073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 hidden="1" x14ac:dyDescent="0.25">
      <c r="A783" t="s">
        <v>128</v>
      </c>
      <c r="B783" t="s">
        <v>421</v>
      </c>
      <c r="C783" s="14" t="s">
        <v>109</v>
      </c>
      <c r="D783" s="12">
        <v>46225</v>
      </c>
      <c r="E783" s="14" t="s">
        <v>134</v>
      </c>
      <c r="F783" s="14"/>
      <c r="G783">
        <v>7.7432754880694139</v>
      </c>
      <c r="H783">
        <v>9.5</v>
      </c>
      <c r="J783">
        <v>9.5</v>
      </c>
      <c r="M783">
        <v>4.014763552479816</v>
      </c>
      <c r="Q783">
        <v>0</v>
      </c>
      <c r="R783">
        <v>0</v>
      </c>
      <c r="S783">
        <v>0.57415642990209137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8.1468071099407499E-2</v>
      </c>
      <c r="Z783">
        <v>0.25930152431597209</v>
      </c>
      <c r="AA783">
        <v>0.16945199493661572</v>
      </c>
      <c r="AB783">
        <v>0</v>
      </c>
      <c r="AC783">
        <v>0.31206412073489403</v>
      </c>
      <c r="AD783">
        <v>0</v>
      </c>
      <c r="AE783">
        <v>0.25918236001251815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hidden="1" x14ac:dyDescent="0.25">
      <c r="A784" t="s">
        <v>128</v>
      </c>
      <c r="B784" t="s">
        <v>422</v>
      </c>
      <c r="C784" s="14" t="s">
        <v>109</v>
      </c>
      <c r="D784" s="12">
        <v>46225</v>
      </c>
      <c r="E784" s="14" t="s">
        <v>134</v>
      </c>
      <c r="F784" s="14"/>
      <c r="G784">
        <v>9.8330447905423632</v>
      </c>
      <c r="H784">
        <v>7.6</v>
      </c>
      <c r="J784">
        <v>7.6</v>
      </c>
      <c r="M784">
        <v>3.0347120098039211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0.10917031876096042</v>
      </c>
      <c r="Z784">
        <v>6.3810446688461432E-3</v>
      </c>
      <c r="AA784">
        <v>0.32988523857812524</v>
      </c>
      <c r="AB784">
        <v>0</v>
      </c>
      <c r="AC784">
        <v>0.36149092471131966</v>
      </c>
      <c r="AD784">
        <v>0</v>
      </c>
      <c r="AE784">
        <v>0.30224279204170901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hidden="1" x14ac:dyDescent="0.25">
      <c r="A785" t="s">
        <v>128</v>
      </c>
      <c r="B785" t="s">
        <v>291</v>
      </c>
      <c r="C785" s="14" t="s">
        <v>109</v>
      </c>
      <c r="D785" s="12">
        <v>46226</v>
      </c>
      <c r="E785" s="14" t="s">
        <v>133</v>
      </c>
      <c r="F785" s="14"/>
      <c r="G785">
        <v>26.924273776316955</v>
      </c>
      <c r="H785">
        <v>42.75</v>
      </c>
      <c r="J785">
        <v>42.75</v>
      </c>
      <c r="M785">
        <v>27.174665178571431</v>
      </c>
      <c r="Q785">
        <v>0</v>
      </c>
      <c r="R785">
        <v>0</v>
      </c>
      <c r="S785">
        <v>0.90196144108251952</v>
      </c>
      <c r="T785">
        <v>0</v>
      </c>
      <c r="U785">
        <v>0</v>
      </c>
      <c r="V785">
        <v>0</v>
      </c>
      <c r="W785">
        <v>4.6537405145483185E-2</v>
      </c>
      <c r="X785">
        <v>0</v>
      </c>
      <c r="Y785">
        <v>5.5343472597463535E-2</v>
      </c>
      <c r="Z785">
        <v>0.37881819382167814</v>
      </c>
      <c r="AA785">
        <v>3.7237566481878391E-2</v>
      </c>
      <c r="AB785">
        <v>0</v>
      </c>
      <c r="AC785">
        <v>0</v>
      </c>
      <c r="AD785">
        <v>0</v>
      </c>
      <c r="AE785">
        <v>0.58394423969644349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hidden="1" x14ac:dyDescent="0.25">
      <c r="A786" t="s">
        <v>128</v>
      </c>
      <c r="B786" t="s">
        <v>421</v>
      </c>
      <c r="C786" s="14" t="s">
        <v>109</v>
      </c>
      <c r="D786" s="12">
        <v>46226</v>
      </c>
      <c r="E786" s="14" t="s">
        <v>133</v>
      </c>
      <c r="F786" s="14"/>
      <c r="G786">
        <v>22.380176027416667</v>
      </c>
      <c r="H786">
        <v>33.25</v>
      </c>
      <c r="J786">
        <v>33.25</v>
      </c>
      <c r="M786">
        <v>35.271537133209939</v>
      </c>
      <c r="Q786">
        <v>0.52159239430699045</v>
      </c>
      <c r="R786">
        <v>0</v>
      </c>
      <c r="S786">
        <v>0.50637673685401097</v>
      </c>
      <c r="T786">
        <v>0</v>
      </c>
      <c r="U786">
        <v>0</v>
      </c>
      <c r="V786">
        <v>0</v>
      </c>
      <c r="W786">
        <v>5.4424572226284662E-2</v>
      </c>
      <c r="X786">
        <v>0</v>
      </c>
      <c r="Y786">
        <v>5.6541485214968594E-2</v>
      </c>
      <c r="Z786">
        <v>0.13165296061087606</v>
      </c>
      <c r="AA786">
        <v>0</v>
      </c>
      <c r="AB786">
        <v>0</v>
      </c>
      <c r="AC786">
        <v>0</v>
      </c>
      <c r="AD786">
        <v>0</v>
      </c>
      <c r="AE786">
        <v>0.86834703938912405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hidden="1" x14ac:dyDescent="0.25">
      <c r="A787" t="s">
        <v>128</v>
      </c>
      <c r="B787" t="s">
        <v>422</v>
      </c>
      <c r="C787" s="14" t="s">
        <v>109</v>
      </c>
      <c r="D787" s="12">
        <v>46226</v>
      </c>
      <c r="E787" s="14" t="s">
        <v>133</v>
      </c>
      <c r="F787" s="14"/>
      <c r="G787">
        <v>26.924273776316955</v>
      </c>
      <c r="H787">
        <v>23.75</v>
      </c>
      <c r="J787">
        <v>23.75</v>
      </c>
      <c r="M787">
        <v>17.522058823529402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9.3525509057982487E-2</v>
      </c>
      <c r="Z787">
        <v>0</v>
      </c>
      <c r="AA787">
        <v>0.2114218654346994</v>
      </c>
      <c r="AB787">
        <v>0</v>
      </c>
      <c r="AC787">
        <v>0.13778773742775183</v>
      </c>
      <c r="AD787">
        <v>0</v>
      </c>
      <c r="AE787">
        <v>0.65079039713754883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 hidden="1" x14ac:dyDescent="0.25">
      <c r="A788" t="s">
        <v>128</v>
      </c>
      <c r="B788" t="s">
        <v>291</v>
      </c>
      <c r="C788" s="14" t="s">
        <v>109</v>
      </c>
      <c r="D788" s="12">
        <v>46226</v>
      </c>
      <c r="E788" s="14" t="s">
        <v>420</v>
      </c>
      <c r="F788" s="14"/>
      <c r="G788">
        <v>6.7786480661254078</v>
      </c>
      <c r="H788">
        <v>15.2</v>
      </c>
      <c r="J788">
        <v>15.2</v>
      </c>
      <c r="M788">
        <v>7.5155709342560542</v>
      </c>
      <c r="Q788">
        <v>2.4127096675974891E-2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8.458526911466617E-2</v>
      </c>
      <c r="X788">
        <v>0</v>
      </c>
      <c r="Y788">
        <v>7.248487842645911E-3</v>
      </c>
      <c r="Z788">
        <v>0.39110406076067183</v>
      </c>
      <c r="AA788">
        <v>0</v>
      </c>
      <c r="AB788">
        <v>0</v>
      </c>
      <c r="AC788">
        <v>0</v>
      </c>
      <c r="AD788">
        <v>0</v>
      </c>
      <c r="AE788">
        <v>0.60889593923932817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 hidden="1" x14ac:dyDescent="0.25">
      <c r="A789" t="s">
        <v>128</v>
      </c>
      <c r="B789" t="s">
        <v>421</v>
      </c>
      <c r="C789" s="14" t="s">
        <v>109</v>
      </c>
      <c r="D789" s="12">
        <v>46226</v>
      </c>
      <c r="E789" s="14" t="s">
        <v>420</v>
      </c>
      <c r="F789" s="14"/>
      <c r="G789">
        <v>3.2997955746152661</v>
      </c>
      <c r="H789">
        <v>2.8499999999999996</v>
      </c>
      <c r="J789">
        <v>2.8499999999999996</v>
      </c>
      <c r="M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9.1265778047054501E-3</v>
      </c>
      <c r="Z789">
        <v>0</v>
      </c>
      <c r="AA789">
        <v>0.14543671109764722</v>
      </c>
      <c r="AB789">
        <v>0</v>
      </c>
      <c r="AC789">
        <v>0</v>
      </c>
      <c r="AD789">
        <v>0</v>
      </c>
      <c r="AE789">
        <v>0</v>
      </c>
      <c r="AF789">
        <v>0.85456328890235289</v>
      </c>
      <c r="AG789">
        <v>0</v>
      </c>
      <c r="AH789">
        <v>0</v>
      </c>
      <c r="AI789">
        <v>0</v>
      </c>
      <c r="AJ789">
        <v>0</v>
      </c>
    </row>
    <row r="790" spans="1:36" hidden="1" x14ac:dyDescent="0.25">
      <c r="A790" t="s">
        <v>128</v>
      </c>
      <c r="B790" t="s">
        <v>422</v>
      </c>
      <c r="C790" s="14" t="s">
        <v>109</v>
      </c>
      <c r="D790" s="12">
        <v>46226</v>
      </c>
      <c r="E790" s="14" t="s">
        <v>420</v>
      </c>
      <c r="F790" s="14"/>
      <c r="G790">
        <v>6.7786480661254078</v>
      </c>
      <c r="H790">
        <v>2.8499999999999996</v>
      </c>
      <c r="J790">
        <v>2.8499999999999996</v>
      </c>
      <c r="M790">
        <v>3.0868238936441452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8.4973609240596396E-2</v>
      </c>
      <c r="AA790">
        <v>0.49458857304141945</v>
      </c>
      <c r="AB790">
        <v>0</v>
      </c>
      <c r="AC790">
        <v>5.0036865020519017E-2</v>
      </c>
      <c r="AD790">
        <v>0</v>
      </c>
      <c r="AE790">
        <v>0.37040095269746509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hidden="1" x14ac:dyDescent="0.25">
      <c r="A791" t="s">
        <v>128</v>
      </c>
      <c r="B791" t="s">
        <v>291</v>
      </c>
      <c r="C791" s="14" t="s">
        <v>109</v>
      </c>
      <c r="D791" s="12">
        <v>46226</v>
      </c>
      <c r="E791" s="14" t="s">
        <v>134</v>
      </c>
      <c r="F791" s="14"/>
      <c r="G791">
        <v>10.754837871019967</v>
      </c>
      <c r="H791">
        <v>13.3</v>
      </c>
      <c r="J791">
        <v>13.3</v>
      </c>
      <c r="M791">
        <v>12.806273902749954</v>
      </c>
      <c r="Q791">
        <v>0.13413690866690861</v>
      </c>
      <c r="R791">
        <v>0</v>
      </c>
      <c r="S791">
        <v>0.70829957180015457</v>
      </c>
      <c r="T791">
        <v>0</v>
      </c>
      <c r="U791">
        <v>2.7004676993824639E-2</v>
      </c>
      <c r="V791">
        <v>0</v>
      </c>
      <c r="W791">
        <v>2.9603831084022633E-2</v>
      </c>
      <c r="X791">
        <v>0</v>
      </c>
      <c r="Y791">
        <v>0</v>
      </c>
      <c r="Z791">
        <v>0.52825531397827252</v>
      </c>
      <c r="AA791">
        <v>0</v>
      </c>
      <c r="AB791">
        <v>0</v>
      </c>
      <c r="AC791">
        <v>0</v>
      </c>
      <c r="AD791">
        <v>0</v>
      </c>
      <c r="AE791">
        <v>0.47174468602172753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hidden="1" x14ac:dyDescent="0.25">
      <c r="A792" t="s">
        <v>128</v>
      </c>
      <c r="B792" t="s">
        <v>421</v>
      </c>
      <c r="C792" s="14" t="s">
        <v>109</v>
      </c>
      <c r="D792" s="12">
        <v>46226</v>
      </c>
      <c r="E792" s="14" t="s">
        <v>134</v>
      </c>
      <c r="F792" s="14"/>
      <c r="G792">
        <v>9.1196312364425154</v>
      </c>
      <c r="H792">
        <v>7.6</v>
      </c>
      <c r="J792">
        <v>7.6</v>
      </c>
      <c r="M792">
        <v>4.014763552479816</v>
      </c>
      <c r="Q792">
        <v>0</v>
      </c>
      <c r="R792">
        <v>0</v>
      </c>
      <c r="S792">
        <v>0.39381325594947841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6.7076579094466196E-2</v>
      </c>
      <c r="Z792">
        <v>0.22016714110450622</v>
      </c>
      <c r="AA792">
        <v>0.40735566374308485</v>
      </c>
      <c r="AB792">
        <v>0</v>
      </c>
      <c r="AC792">
        <v>0.15241123380024851</v>
      </c>
      <c r="AD792">
        <v>0</v>
      </c>
      <c r="AE792">
        <v>0.22006596135216047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25">
      <c r="A793" t="s">
        <v>128</v>
      </c>
      <c r="B793" t="s">
        <v>422</v>
      </c>
      <c r="C793" s="14" t="s">
        <v>109</v>
      </c>
      <c r="D793" s="12">
        <v>46226</v>
      </c>
      <c r="E793" s="14" t="s">
        <v>134</v>
      </c>
      <c r="F793" s="14"/>
      <c r="G793">
        <v>10.754837871019967</v>
      </c>
      <c r="H793">
        <v>3.8</v>
      </c>
      <c r="J793">
        <v>3.8</v>
      </c>
      <c r="M793">
        <v>3.8758938869665513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8.1586630213788758E-2</v>
      </c>
      <c r="AA793">
        <v>0.56508400810057424</v>
      </c>
      <c r="AB793">
        <v>0</v>
      </c>
      <c r="AC793">
        <v>7.4529909519648302E-2</v>
      </c>
      <c r="AD793">
        <v>0</v>
      </c>
      <c r="AE793">
        <v>0.27879945216598861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hidden="1" x14ac:dyDescent="0.25">
      <c r="A794" t="s">
        <v>128</v>
      </c>
      <c r="B794" t="s">
        <v>291</v>
      </c>
      <c r="C794" s="14" t="s">
        <v>109</v>
      </c>
      <c r="D794" s="12">
        <v>46227</v>
      </c>
      <c r="E794" s="14" t="s">
        <v>133</v>
      </c>
      <c r="F794" s="14"/>
      <c r="G794">
        <v>26.220922841721425</v>
      </c>
      <c r="H794">
        <v>42.75</v>
      </c>
      <c r="J794">
        <v>42.75</v>
      </c>
      <c r="M794">
        <v>29.919642857142861</v>
      </c>
      <c r="Q794">
        <v>4.3064671964307896E-2</v>
      </c>
      <c r="R794">
        <v>0</v>
      </c>
      <c r="S794">
        <v>0.87400668706812656</v>
      </c>
      <c r="T794">
        <v>0</v>
      </c>
      <c r="U794">
        <v>4.7961930758995415E-2</v>
      </c>
      <c r="V794">
        <v>0</v>
      </c>
      <c r="W794">
        <v>5.0033269110658814E-2</v>
      </c>
      <c r="X794">
        <v>0</v>
      </c>
      <c r="Y794">
        <v>4.2745762233429775E-2</v>
      </c>
      <c r="Z794">
        <v>0.38437024948723247</v>
      </c>
      <c r="AA794">
        <v>0</v>
      </c>
      <c r="AB794">
        <v>0</v>
      </c>
      <c r="AC794">
        <v>0</v>
      </c>
      <c r="AD794">
        <v>0</v>
      </c>
      <c r="AE794">
        <v>0.61562975051276747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hidden="1" x14ac:dyDescent="0.25">
      <c r="A795" t="s">
        <v>128</v>
      </c>
      <c r="B795" t="s">
        <v>421</v>
      </c>
      <c r="C795" s="14" t="s">
        <v>109</v>
      </c>
      <c r="D795" s="12">
        <v>46227</v>
      </c>
      <c r="E795" s="14" t="s">
        <v>133</v>
      </c>
      <c r="F795" s="14"/>
      <c r="G795">
        <v>22.438609907383807</v>
      </c>
      <c r="H795">
        <v>18.999999999999996</v>
      </c>
      <c r="J795">
        <v>18.999999999999996</v>
      </c>
      <c r="M795">
        <v>43.336271805864847</v>
      </c>
      <c r="Q795">
        <v>0.93132604848236644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0.15324522871857033</v>
      </c>
      <c r="AA795">
        <v>0</v>
      </c>
      <c r="AB795">
        <v>0</v>
      </c>
      <c r="AC795">
        <v>0</v>
      </c>
      <c r="AD795">
        <v>0</v>
      </c>
      <c r="AE795">
        <v>0.84675477128142962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 hidden="1" x14ac:dyDescent="0.25">
      <c r="A796" t="s">
        <v>128</v>
      </c>
      <c r="B796" t="s">
        <v>422</v>
      </c>
      <c r="C796" s="14" t="s">
        <v>109</v>
      </c>
      <c r="D796" s="12">
        <v>46227</v>
      </c>
      <c r="E796" s="14" t="s">
        <v>133</v>
      </c>
      <c r="F796" s="14"/>
      <c r="G796">
        <v>26.220922841721425</v>
      </c>
      <c r="H796">
        <v>33.25</v>
      </c>
      <c r="J796">
        <v>33.25</v>
      </c>
      <c r="M796">
        <v>18.97794117647058</v>
      </c>
      <c r="Q796">
        <v>0</v>
      </c>
      <c r="R796">
        <v>0</v>
      </c>
      <c r="S796">
        <v>0.3464659436368912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0.1046137339055794</v>
      </c>
      <c r="Z796">
        <v>3.1799930705910237E-2</v>
      </c>
      <c r="AA796">
        <v>0.1512084359712442</v>
      </c>
      <c r="AB796">
        <v>0</v>
      </c>
      <c r="AC796">
        <v>0.12502065439952542</v>
      </c>
      <c r="AD796">
        <v>0</v>
      </c>
      <c r="AE796">
        <v>0.69197097892332016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hidden="1" x14ac:dyDescent="0.25">
      <c r="A797" t="s">
        <v>128</v>
      </c>
      <c r="B797" t="s">
        <v>291</v>
      </c>
      <c r="C797" s="14" t="s">
        <v>109</v>
      </c>
      <c r="D797" s="12">
        <v>46227</v>
      </c>
      <c r="E797" s="14" t="s">
        <v>420</v>
      </c>
      <c r="F797" s="14"/>
      <c r="G797">
        <v>6.7786480661254069</v>
      </c>
      <c r="H797">
        <v>4.75</v>
      </c>
      <c r="J797">
        <v>4.75</v>
      </c>
      <c r="M797">
        <v>6.6332179930795832</v>
      </c>
      <c r="Q797">
        <v>2.4127096675974773E-2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0.39383500512392244</v>
      </c>
      <c r="AA797">
        <v>4.5581237918765394E-2</v>
      </c>
      <c r="AB797">
        <v>0</v>
      </c>
      <c r="AC797">
        <v>0</v>
      </c>
      <c r="AD797">
        <v>0</v>
      </c>
      <c r="AE797">
        <v>0.56058375695731222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idden="1" x14ac:dyDescent="0.25">
      <c r="A798" t="s">
        <v>128</v>
      </c>
      <c r="B798" t="s">
        <v>421</v>
      </c>
      <c r="C798" s="14" t="s">
        <v>109</v>
      </c>
      <c r="D798" s="12">
        <v>46227</v>
      </c>
      <c r="E798" s="14" t="s">
        <v>420</v>
      </c>
      <c r="F798" s="14"/>
      <c r="G798">
        <v>3.2997955746152661</v>
      </c>
      <c r="H798">
        <v>1.9</v>
      </c>
      <c r="J798">
        <v>1.9</v>
      </c>
      <c r="M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0.71210337776431398</v>
      </c>
      <c r="AB798">
        <v>0</v>
      </c>
      <c r="AC798">
        <v>0</v>
      </c>
      <c r="AD798">
        <v>0</v>
      </c>
      <c r="AE798">
        <v>0</v>
      </c>
      <c r="AF798">
        <v>0.28789662223568607</v>
      </c>
      <c r="AG798">
        <v>0</v>
      </c>
      <c r="AH798">
        <v>0</v>
      </c>
      <c r="AI798">
        <v>0</v>
      </c>
      <c r="AJ798">
        <v>0</v>
      </c>
    </row>
    <row r="799" spans="1:36" hidden="1" x14ac:dyDescent="0.25">
      <c r="A799" t="s">
        <v>128</v>
      </c>
      <c r="B799" t="s">
        <v>422</v>
      </c>
      <c r="C799" s="14" t="s">
        <v>109</v>
      </c>
      <c r="D799" s="12">
        <v>46227</v>
      </c>
      <c r="E799" s="14" t="s">
        <v>420</v>
      </c>
      <c r="F799" s="14"/>
      <c r="G799">
        <v>6.7786480661254069</v>
      </c>
      <c r="H799">
        <v>1.9</v>
      </c>
      <c r="J799">
        <v>1.9</v>
      </c>
      <c r="M799">
        <v>0.98961937716262982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0.71970812152134389</v>
      </c>
      <c r="AB799">
        <v>0</v>
      </c>
      <c r="AC799">
        <v>0.13430120784508182</v>
      </c>
      <c r="AD799">
        <v>0</v>
      </c>
      <c r="AE799">
        <v>0.14599067063357432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hidden="1" x14ac:dyDescent="0.25">
      <c r="A800" t="s">
        <v>128</v>
      </c>
      <c r="B800" t="s">
        <v>291</v>
      </c>
      <c r="C800" s="14" t="s">
        <v>109</v>
      </c>
      <c r="D800" s="12">
        <v>46227</v>
      </c>
      <c r="E800" s="14" t="s">
        <v>134</v>
      </c>
      <c r="F800" s="14"/>
      <c r="G800">
        <v>8.2967229897463568</v>
      </c>
      <c r="H800">
        <v>9.5</v>
      </c>
      <c r="J800">
        <v>9.5</v>
      </c>
      <c r="M800">
        <v>10.460207612456742</v>
      </c>
      <c r="Q800">
        <v>0.30924612911346389</v>
      </c>
      <c r="R800">
        <v>0</v>
      </c>
      <c r="S800">
        <v>0.68914522828950397</v>
      </c>
      <c r="T800">
        <v>0</v>
      </c>
      <c r="U800">
        <v>3.5005498337931831E-2</v>
      </c>
      <c r="V800">
        <v>0</v>
      </c>
      <c r="W800">
        <v>3.8374717832957102E-2</v>
      </c>
      <c r="X800">
        <v>0</v>
      </c>
      <c r="Y800">
        <v>0</v>
      </c>
      <c r="Z800">
        <v>0.22475209605737917</v>
      </c>
      <c r="AA800">
        <v>0.12186259248892212</v>
      </c>
      <c r="AB800">
        <v>0</v>
      </c>
      <c r="AC800">
        <v>0</v>
      </c>
      <c r="AD800">
        <v>0</v>
      </c>
      <c r="AE800">
        <v>0.38250495027988374</v>
      </c>
      <c r="AF800">
        <v>0</v>
      </c>
      <c r="AG800">
        <v>0</v>
      </c>
      <c r="AH800">
        <v>0</v>
      </c>
      <c r="AI800">
        <v>0.27088036117381492</v>
      </c>
      <c r="AJ800">
        <v>0</v>
      </c>
    </row>
    <row r="801" spans="1:36" hidden="1" x14ac:dyDescent="0.25">
      <c r="A801" t="s">
        <v>128</v>
      </c>
      <c r="B801" t="s">
        <v>421</v>
      </c>
      <c r="C801" s="14" t="s">
        <v>109</v>
      </c>
      <c r="D801" s="12">
        <v>46227</v>
      </c>
      <c r="E801" s="14" t="s">
        <v>134</v>
      </c>
      <c r="F801" s="14"/>
      <c r="G801">
        <v>9.0431670281995657</v>
      </c>
      <c r="H801">
        <v>9.5</v>
      </c>
      <c r="J801">
        <v>9.5</v>
      </c>
      <c r="M801">
        <v>4.014763552479816</v>
      </c>
      <c r="Q801">
        <v>0</v>
      </c>
      <c r="R801">
        <v>0</v>
      </c>
      <c r="S801">
        <v>0.20689510422413582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0.10569334836527622</v>
      </c>
      <c r="Z801">
        <v>0.1169770649990429</v>
      </c>
      <c r="AA801">
        <v>0.1450944646610593</v>
      </c>
      <c r="AB801">
        <v>0</v>
      </c>
      <c r="AC801">
        <v>0.4109500560294837</v>
      </c>
      <c r="AD801">
        <v>0</v>
      </c>
      <c r="AE801">
        <v>0.32697841431041413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hidden="1" x14ac:dyDescent="0.25">
      <c r="A802" t="s">
        <v>128</v>
      </c>
      <c r="B802" t="s">
        <v>422</v>
      </c>
      <c r="C802" s="14" t="s">
        <v>109</v>
      </c>
      <c r="D802" s="12">
        <v>46227</v>
      </c>
      <c r="E802" s="14" t="s">
        <v>134</v>
      </c>
      <c r="F802" s="14"/>
      <c r="G802">
        <v>8.2967229897463568</v>
      </c>
      <c r="H802">
        <v>8.5499999999999989</v>
      </c>
      <c r="J802">
        <v>8.5499999999999989</v>
      </c>
      <c r="M802">
        <v>4.9655997693194927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0.11139746934980935</v>
      </c>
      <c r="Z802">
        <v>4.2293070095290576E-2</v>
      </c>
      <c r="AA802">
        <v>3.8577043988269791E-2</v>
      </c>
      <c r="AB802">
        <v>0</v>
      </c>
      <c r="AC802">
        <v>0.36292162296055902</v>
      </c>
      <c r="AD802">
        <v>0</v>
      </c>
      <c r="AE802">
        <v>0.55620826295588066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hidden="1" x14ac:dyDescent="0.25">
      <c r="A803" t="s">
        <v>128</v>
      </c>
      <c r="B803" t="s">
        <v>291</v>
      </c>
      <c r="C803" s="14" t="s">
        <v>109</v>
      </c>
      <c r="D803" s="12">
        <v>46228</v>
      </c>
      <c r="E803" s="14" t="s">
        <v>133</v>
      </c>
      <c r="F803" s="14"/>
      <c r="G803">
        <v>26.220922841721425</v>
      </c>
      <c r="H803">
        <v>62.699999999999989</v>
      </c>
      <c r="J803">
        <v>62.699999999999989</v>
      </c>
      <c r="M803">
        <v>30.217447916666664</v>
      </c>
      <c r="Q803">
        <v>1.7825245711150652E-2</v>
      </c>
      <c r="R803">
        <v>0</v>
      </c>
      <c r="S803">
        <v>1.2133181533682029</v>
      </c>
      <c r="T803">
        <v>0</v>
      </c>
      <c r="U803">
        <v>0</v>
      </c>
      <c r="V803">
        <v>0</v>
      </c>
      <c r="W803">
        <v>0.13459216152770395</v>
      </c>
      <c r="X803">
        <v>0</v>
      </c>
      <c r="Y803">
        <v>5.9331641788379554E-2</v>
      </c>
      <c r="Z803">
        <v>1.6021770481119031E-2</v>
      </c>
      <c r="AA803">
        <v>0</v>
      </c>
      <c r="AB803">
        <v>0</v>
      </c>
      <c r="AC803">
        <v>0</v>
      </c>
      <c r="AD803">
        <v>0</v>
      </c>
      <c r="AE803">
        <v>0.98397822951888103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idden="1" x14ac:dyDescent="0.25">
      <c r="A804" t="s">
        <v>128</v>
      </c>
      <c r="B804" t="s">
        <v>421</v>
      </c>
      <c r="C804" s="14" t="s">
        <v>109</v>
      </c>
      <c r="D804" s="12">
        <v>46228</v>
      </c>
      <c r="E804" s="14" t="s">
        <v>133</v>
      </c>
      <c r="F804" s="14"/>
      <c r="G804">
        <v>22.497043787350954</v>
      </c>
      <c r="H804">
        <v>17.099999999999998</v>
      </c>
      <c r="J804">
        <v>17.099999999999998</v>
      </c>
      <c r="M804">
        <v>41.450821903280534</v>
      </c>
      <c r="Q804">
        <v>0.84250083233542039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0.23990013258477377</v>
      </c>
      <c r="AA804">
        <v>0</v>
      </c>
      <c r="AB804">
        <v>0</v>
      </c>
      <c r="AC804">
        <v>0</v>
      </c>
      <c r="AD804">
        <v>0</v>
      </c>
      <c r="AE804">
        <v>0.76009986741522617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 hidden="1" x14ac:dyDescent="0.25">
      <c r="A805" t="s">
        <v>128</v>
      </c>
      <c r="B805" t="s">
        <v>422</v>
      </c>
      <c r="C805" s="14" t="s">
        <v>109</v>
      </c>
      <c r="D805" s="12">
        <v>46228</v>
      </c>
      <c r="E805" s="14" t="s">
        <v>133</v>
      </c>
      <c r="F805" s="14"/>
      <c r="G805">
        <v>26.220922841721425</v>
      </c>
      <c r="H805">
        <v>17.099999999999998</v>
      </c>
      <c r="J805">
        <v>17.099999999999998</v>
      </c>
      <c r="M805">
        <v>19.76838235294116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0.1158986892482603</v>
      </c>
      <c r="AA805">
        <v>0.23195035087814858</v>
      </c>
      <c r="AB805">
        <v>0</v>
      </c>
      <c r="AC805">
        <v>1.4133302535960202E-2</v>
      </c>
      <c r="AD805">
        <v>0</v>
      </c>
      <c r="AE805">
        <v>0.63801765733763094</v>
      </c>
      <c r="AF805">
        <v>0</v>
      </c>
      <c r="AG805">
        <v>0</v>
      </c>
      <c r="AH805">
        <v>0</v>
      </c>
      <c r="AI805">
        <v>0</v>
      </c>
      <c r="AJ805">
        <v>0</v>
      </c>
    </row>
    <row r="806" spans="1:36" hidden="1" x14ac:dyDescent="0.25">
      <c r="A806" t="s">
        <v>128</v>
      </c>
      <c r="B806" t="s">
        <v>291</v>
      </c>
      <c r="C806" s="14" t="s">
        <v>109</v>
      </c>
      <c r="D806" s="12">
        <v>46228</v>
      </c>
      <c r="E806" s="14" t="s">
        <v>420</v>
      </c>
      <c r="F806" s="14"/>
      <c r="G806">
        <v>6.7786480661254078</v>
      </c>
      <c r="H806">
        <v>11.399999999999999</v>
      </c>
      <c r="J806">
        <v>11.399999999999999</v>
      </c>
      <c r="M806">
        <v>6.5813148788927336</v>
      </c>
      <c r="Q806">
        <v>0</v>
      </c>
      <c r="R806">
        <v>0</v>
      </c>
      <c r="S806">
        <v>0.31695907467529633</v>
      </c>
      <c r="T806">
        <v>0</v>
      </c>
      <c r="U806">
        <v>0</v>
      </c>
      <c r="V806">
        <v>0</v>
      </c>
      <c r="W806">
        <v>7.692841575975827E-2</v>
      </c>
      <c r="X806">
        <v>0</v>
      </c>
      <c r="Y806">
        <v>0.14771784119755377</v>
      </c>
      <c r="Z806">
        <v>0</v>
      </c>
      <c r="AA806">
        <v>0</v>
      </c>
      <c r="AB806">
        <v>0</v>
      </c>
      <c r="AC806">
        <v>0.10603941035745648</v>
      </c>
      <c r="AD806">
        <v>0</v>
      </c>
      <c r="AE806">
        <v>0.89396058964254344</v>
      </c>
      <c r="AF806">
        <v>0</v>
      </c>
      <c r="AG806">
        <v>0</v>
      </c>
      <c r="AH806">
        <v>0</v>
      </c>
      <c r="AI806">
        <v>0</v>
      </c>
      <c r="AJ806">
        <v>0</v>
      </c>
    </row>
    <row r="807" spans="1:36" hidden="1" x14ac:dyDescent="0.25">
      <c r="A807" t="s">
        <v>128</v>
      </c>
      <c r="B807" t="s">
        <v>421</v>
      </c>
      <c r="C807" s="14" t="s">
        <v>109</v>
      </c>
      <c r="D807" s="12">
        <v>46228</v>
      </c>
      <c r="E807" s="14" t="s">
        <v>420</v>
      </c>
      <c r="F807" s="14"/>
      <c r="G807">
        <v>3.2997955746152661</v>
      </c>
      <c r="H807">
        <v>0.95</v>
      </c>
      <c r="J807">
        <v>0.95</v>
      </c>
      <c r="M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0.71210337776431398</v>
      </c>
      <c r="AB807">
        <v>0</v>
      </c>
      <c r="AC807">
        <v>0</v>
      </c>
      <c r="AD807">
        <v>0</v>
      </c>
      <c r="AE807">
        <v>0</v>
      </c>
      <c r="AF807">
        <v>0.28789662223568607</v>
      </c>
      <c r="AG807">
        <v>0</v>
      </c>
      <c r="AH807">
        <v>0</v>
      </c>
      <c r="AI807">
        <v>0</v>
      </c>
      <c r="AJ807">
        <v>0</v>
      </c>
    </row>
    <row r="808" spans="1:36" hidden="1" x14ac:dyDescent="0.25">
      <c r="A808" t="s">
        <v>128</v>
      </c>
      <c r="B808" t="s">
        <v>422</v>
      </c>
      <c r="C808" s="14" t="s">
        <v>109</v>
      </c>
      <c r="D808" s="12">
        <v>46228</v>
      </c>
      <c r="E808" s="14" t="s">
        <v>420</v>
      </c>
      <c r="F808" s="14"/>
      <c r="G808">
        <v>6.7786480661254078</v>
      </c>
      <c r="H808">
        <v>0.95</v>
      </c>
      <c r="J808">
        <v>0.95</v>
      </c>
      <c r="M808">
        <v>0.98961937716262982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2.4501930735704777E-2</v>
      </c>
      <c r="AA808">
        <v>0.83535213002496711</v>
      </c>
      <c r="AB808">
        <v>0</v>
      </c>
      <c r="AC808">
        <v>1.8657199341458517E-2</v>
      </c>
      <c r="AD808">
        <v>0</v>
      </c>
      <c r="AE808">
        <v>0.12148873989786953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hidden="1" x14ac:dyDescent="0.25">
      <c r="A809" t="s">
        <v>128</v>
      </c>
      <c r="B809" t="s">
        <v>291</v>
      </c>
      <c r="C809" s="14" t="s">
        <v>109</v>
      </c>
      <c r="D809" s="12">
        <v>46228</v>
      </c>
      <c r="E809" s="14" t="s">
        <v>134</v>
      </c>
      <c r="F809" s="14"/>
      <c r="G809">
        <v>7.0325496222342139</v>
      </c>
      <c r="H809">
        <v>16.149999999999999</v>
      </c>
      <c r="J809">
        <v>16.149999999999999</v>
      </c>
      <c r="M809">
        <v>12.512110726643595</v>
      </c>
      <c r="Q809">
        <v>0.31572977478650155</v>
      </c>
      <c r="R809">
        <v>0</v>
      </c>
      <c r="S809">
        <v>0.95313101741628248</v>
      </c>
      <c r="T809">
        <v>0</v>
      </c>
      <c r="U809">
        <v>0.37855474644770004</v>
      </c>
      <c r="V809">
        <v>0</v>
      </c>
      <c r="W809">
        <v>8.4886817576564577E-2</v>
      </c>
      <c r="X809">
        <v>0</v>
      </c>
      <c r="Y809">
        <v>0</v>
      </c>
      <c r="Z809">
        <v>0.12010815992549395</v>
      </c>
      <c r="AA809">
        <v>0</v>
      </c>
      <c r="AB809">
        <v>0</v>
      </c>
      <c r="AC809">
        <v>0</v>
      </c>
      <c r="AD809">
        <v>0</v>
      </c>
      <c r="AE809">
        <v>0.87989184007450616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hidden="1" x14ac:dyDescent="0.25">
      <c r="A810" t="s">
        <v>128</v>
      </c>
      <c r="B810" t="s">
        <v>421</v>
      </c>
      <c r="C810" s="14" t="s">
        <v>109</v>
      </c>
      <c r="D810" s="12">
        <v>46228</v>
      </c>
      <c r="E810" s="14" t="s">
        <v>134</v>
      </c>
      <c r="F810" s="14"/>
      <c r="G810">
        <v>5.2199566160520607</v>
      </c>
      <c r="H810">
        <v>6.65</v>
      </c>
      <c r="J810">
        <v>6.65</v>
      </c>
      <c r="M810">
        <v>4.014763552479816</v>
      </c>
      <c r="Q810">
        <v>0</v>
      </c>
      <c r="R810">
        <v>0</v>
      </c>
      <c r="S810">
        <v>0.32403174867021289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0.11718749999999999</v>
      </c>
      <c r="Z810">
        <v>0.20265362627763875</v>
      </c>
      <c r="AA810">
        <v>0.14660252398831872</v>
      </c>
      <c r="AB810">
        <v>0</v>
      </c>
      <c r="AC810">
        <v>0.12935516822498697</v>
      </c>
      <c r="AD810">
        <v>0</v>
      </c>
      <c r="AE810">
        <v>0.5213886815090556</v>
      </c>
      <c r="AF810">
        <v>0</v>
      </c>
      <c r="AG810">
        <v>0</v>
      </c>
      <c r="AH810">
        <v>0</v>
      </c>
      <c r="AI810">
        <v>0</v>
      </c>
      <c r="AJ810">
        <v>0</v>
      </c>
    </row>
    <row r="811" spans="1:36" hidden="1" x14ac:dyDescent="0.25">
      <c r="A811" t="s">
        <v>128</v>
      </c>
      <c r="B811" t="s">
        <v>422</v>
      </c>
      <c r="C811" s="14" t="s">
        <v>109</v>
      </c>
      <c r="D811" s="12">
        <v>46228</v>
      </c>
      <c r="E811" s="14" t="s">
        <v>134</v>
      </c>
      <c r="F811" s="14"/>
      <c r="G811">
        <v>7.0325496222342139</v>
      </c>
      <c r="H811">
        <v>4.75</v>
      </c>
      <c r="J811">
        <v>4.75</v>
      </c>
      <c r="M811">
        <v>4.8718227364475197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0.12914824215347415</v>
      </c>
      <c r="AA811">
        <v>0.19542104563621618</v>
      </c>
      <c r="AB811">
        <v>0</v>
      </c>
      <c r="AC811">
        <v>0.11182554370249367</v>
      </c>
      <c r="AD811">
        <v>0</v>
      </c>
      <c r="AE811">
        <v>0.56360516850781606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 hidden="1" x14ac:dyDescent="0.25">
      <c r="A812" t="s">
        <v>128</v>
      </c>
      <c r="B812" t="s">
        <v>291</v>
      </c>
      <c r="C812" s="14" t="s">
        <v>109</v>
      </c>
      <c r="D812" s="12">
        <v>46229</v>
      </c>
      <c r="E812" s="14" t="s">
        <v>133</v>
      </c>
      <c r="F812" s="14"/>
      <c r="G812">
        <v>27.008675888468424</v>
      </c>
      <c r="H812">
        <v>45.6</v>
      </c>
      <c r="J812">
        <v>45.6</v>
      </c>
      <c r="M812">
        <v>28.869791666666668</v>
      </c>
      <c r="Q812">
        <v>4.1319906613349222E-2</v>
      </c>
      <c r="R812">
        <v>0</v>
      </c>
      <c r="S812">
        <v>0.96542563205278742</v>
      </c>
      <c r="T812">
        <v>0</v>
      </c>
      <c r="U812">
        <v>0</v>
      </c>
      <c r="V812">
        <v>0</v>
      </c>
      <c r="W812">
        <v>2.7588165218223232E-2</v>
      </c>
      <c r="X812">
        <v>0</v>
      </c>
      <c r="Y812">
        <v>6.2484811044996008E-2</v>
      </c>
      <c r="Z812">
        <v>0.36715223442104317</v>
      </c>
      <c r="AA812">
        <v>0</v>
      </c>
      <c r="AB812">
        <v>0</v>
      </c>
      <c r="AC812">
        <v>0</v>
      </c>
      <c r="AD812">
        <v>0</v>
      </c>
      <c r="AE812">
        <v>0.63284776557895683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idden="1" x14ac:dyDescent="0.25">
      <c r="A813" t="s">
        <v>128</v>
      </c>
      <c r="B813" t="s">
        <v>421</v>
      </c>
      <c r="C813" s="14" t="s">
        <v>109</v>
      </c>
      <c r="D813" s="12">
        <v>46229</v>
      </c>
      <c r="E813" s="14" t="s">
        <v>133</v>
      </c>
      <c r="F813" s="14"/>
      <c r="G813">
        <v>22.497043787350954</v>
      </c>
      <c r="H813">
        <v>29.450000000000003</v>
      </c>
      <c r="J813">
        <v>29.450000000000003</v>
      </c>
      <c r="M813">
        <v>41.005590120663641</v>
      </c>
      <c r="Q813">
        <v>0.68784010644273075</v>
      </c>
      <c r="R813">
        <v>0</v>
      </c>
      <c r="S813">
        <v>0.22589914984600171</v>
      </c>
      <c r="T813">
        <v>0</v>
      </c>
      <c r="U813">
        <v>2.4480436033129549E-2</v>
      </c>
      <c r="V813">
        <v>0</v>
      </c>
      <c r="W813">
        <v>0.1103896103896104</v>
      </c>
      <c r="X813">
        <v>0</v>
      </c>
      <c r="Y813">
        <v>0</v>
      </c>
      <c r="Z813">
        <v>5.170831349807422E-2</v>
      </c>
      <c r="AA813">
        <v>0</v>
      </c>
      <c r="AB813">
        <v>0</v>
      </c>
      <c r="AC813">
        <v>0</v>
      </c>
      <c r="AD813">
        <v>0</v>
      </c>
      <c r="AE813">
        <v>0.94829168650192575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hidden="1" x14ac:dyDescent="0.25">
      <c r="A814" t="s">
        <v>128</v>
      </c>
      <c r="B814" t="s">
        <v>422</v>
      </c>
      <c r="C814" s="14" t="s">
        <v>109</v>
      </c>
      <c r="D814" s="12">
        <v>46229</v>
      </c>
      <c r="E814" s="14" t="s">
        <v>133</v>
      </c>
      <c r="F814" s="14"/>
      <c r="G814">
        <v>27.008675888468424</v>
      </c>
      <c r="H814">
        <v>25.65</v>
      </c>
      <c r="J814">
        <v>25.65</v>
      </c>
      <c r="M814">
        <v>20.161764705882344</v>
      </c>
      <c r="Q814">
        <v>0</v>
      </c>
      <c r="R814">
        <v>0</v>
      </c>
      <c r="S814">
        <v>1.9795741842176074E-2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0.1015625</v>
      </c>
      <c r="Z814">
        <v>3.7215710350786954E-2</v>
      </c>
      <c r="AA814">
        <v>0.1344476961754722</v>
      </c>
      <c r="AB814">
        <v>0</v>
      </c>
      <c r="AC814">
        <v>0.11906014741005608</v>
      </c>
      <c r="AD814">
        <v>0</v>
      </c>
      <c r="AE814">
        <v>0.7092764460636849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hidden="1" x14ac:dyDescent="0.25">
      <c r="A815" t="s">
        <v>128</v>
      </c>
      <c r="B815" t="s">
        <v>291</v>
      </c>
      <c r="C815" s="14" t="s">
        <v>109</v>
      </c>
      <c r="D815" s="12">
        <v>46229</v>
      </c>
      <c r="E815" s="14" t="s">
        <v>420</v>
      </c>
      <c r="F815" s="14"/>
      <c r="G815">
        <v>6.7786480661254069</v>
      </c>
      <c r="H815">
        <v>13.299999999999999</v>
      </c>
      <c r="J815">
        <v>13.299999999999999</v>
      </c>
      <c r="M815">
        <v>7.5778546712802743</v>
      </c>
      <c r="Q815">
        <v>0.1179005898165302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0.11081218228201582</v>
      </c>
      <c r="AA815">
        <v>0</v>
      </c>
      <c r="AB815">
        <v>0</v>
      </c>
      <c r="AC815">
        <v>0</v>
      </c>
      <c r="AD815">
        <v>0</v>
      </c>
      <c r="AE815">
        <v>0.42043781771798416</v>
      </c>
      <c r="AF815">
        <v>0</v>
      </c>
      <c r="AG815">
        <v>0</v>
      </c>
      <c r="AH815">
        <v>0</v>
      </c>
      <c r="AI815">
        <v>0.46875000000000006</v>
      </c>
      <c r="AJ815">
        <v>0</v>
      </c>
    </row>
    <row r="816" spans="1:36" hidden="1" x14ac:dyDescent="0.25">
      <c r="A816" t="s">
        <v>128</v>
      </c>
      <c r="B816" t="s">
        <v>421</v>
      </c>
      <c r="C816" s="14" t="s">
        <v>109</v>
      </c>
      <c r="D816" s="12">
        <v>46229</v>
      </c>
      <c r="E816" s="14" t="s">
        <v>420</v>
      </c>
      <c r="F816" s="14"/>
      <c r="G816">
        <v>3.2997955746152661</v>
      </c>
      <c r="H816">
        <v>2.8499999999999996</v>
      </c>
      <c r="J816">
        <v>2.8499999999999996</v>
      </c>
      <c r="M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0.56666666666666676</v>
      </c>
      <c r="AB816">
        <v>0</v>
      </c>
      <c r="AC816">
        <v>0</v>
      </c>
      <c r="AD816">
        <v>0</v>
      </c>
      <c r="AE816">
        <v>0</v>
      </c>
      <c r="AF816">
        <v>0.43333333333333335</v>
      </c>
      <c r="AG816">
        <v>0</v>
      </c>
      <c r="AH816">
        <v>0</v>
      </c>
      <c r="AI816">
        <v>0</v>
      </c>
      <c r="AJ816">
        <v>0</v>
      </c>
    </row>
    <row r="817" spans="1:36" hidden="1" x14ac:dyDescent="0.25">
      <c r="A817" t="s">
        <v>128</v>
      </c>
      <c r="B817" t="s">
        <v>422</v>
      </c>
      <c r="C817" s="14" t="s">
        <v>109</v>
      </c>
      <c r="D817" s="12">
        <v>46229</v>
      </c>
      <c r="E817" s="14" t="s">
        <v>420</v>
      </c>
      <c r="F817" s="14"/>
      <c r="G817">
        <v>6.7786480661254069</v>
      </c>
      <c r="H817">
        <v>2.8499999999999996</v>
      </c>
      <c r="J817">
        <v>2.8499999999999996</v>
      </c>
      <c r="M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0.57956218228201584</v>
      </c>
      <c r="AB817">
        <v>0</v>
      </c>
      <c r="AC817">
        <v>0</v>
      </c>
      <c r="AD817">
        <v>0</v>
      </c>
      <c r="AE817">
        <v>0</v>
      </c>
      <c r="AF817">
        <v>0.42043781771798416</v>
      </c>
      <c r="AG817">
        <v>0</v>
      </c>
      <c r="AH817">
        <v>0</v>
      </c>
      <c r="AI817">
        <v>0</v>
      </c>
      <c r="AJ817">
        <v>0</v>
      </c>
    </row>
    <row r="818" spans="1:36" hidden="1" x14ac:dyDescent="0.25">
      <c r="A818" t="s">
        <v>128</v>
      </c>
      <c r="B818" t="s">
        <v>291</v>
      </c>
      <c r="C818" s="14" t="s">
        <v>109</v>
      </c>
      <c r="D818" s="12">
        <v>46229</v>
      </c>
      <c r="E818" s="14" t="s">
        <v>134</v>
      </c>
      <c r="F818" s="14"/>
      <c r="G818">
        <v>8.1518697913855895</v>
      </c>
      <c r="H818">
        <v>10.45</v>
      </c>
      <c r="J818">
        <v>10.45</v>
      </c>
      <c r="M818">
        <v>12.456747404844284</v>
      </c>
      <c r="Q818">
        <v>0.33794526738934016</v>
      </c>
      <c r="R818">
        <v>0</v>
      </c>
      <c r="S818">
        <v>0.58593558416288538</v>
      </c>
      <c r="T818">
        <v>0</v>
      </c>
      <c r="U818">
        <v>0.15108280982573732</v>
      </c>
      <c r="V818">
        <v>0</v>
      </c>
      <c r="W818">
        <v>3.9056610546720751E-2</v>
      </c>
      <c r="X818">
        <v>0</v>
      </c>
      <c r="Y818">
        <v>0</v>
      </c>
      <c r="Z818">
        <v>0.49416051529228205</v>
      </c>
      <c r="AA818">
        <v>0</v>
      </c>
      <c r="AB818">
        <v>0</v>
      </c>
      <c r="AC818">
        <v>0</v>
      </c>
      <c r="AD818">
        <v>0</v>
      </c>
      <c r="AE818">
        <v>0.50583948470771789</v>
      </c>
      <c r="AF818">
        <v>0</v>
      </c>
      <c r="AG818">
        <v>0</v>
      </c>
      <c r="AH818">
        <v>0</v>
      </c>
      <c r="AI818">
        <v>0</v>
      </c>
      <c r="AJ818">
        <v>0</v>
      </c>
    </row>
    <row r="819" spans="1:36" hidden="1" x14ac:dyDescent="0.25">
      <c r="A819" t="s">
        <v>128</v>
      </c>
      <c r="B819" t="s">
        <v>421</v>
      </c>
      <c r="C819" s="14" t="s">
        <v>109</v>
      </c>
      <c r="D819" s="12">
        <v>46229</v>
      </c>
      <c r="E819" s="14" t="s">
        <v>134</v>
      </c>
      <c r="F819" s="14"/>
      <c r="G819">
        <v>5.2199566160520607</v>
      </c>
      <c r="H819">
        <v>7.6</v>
      </c>
      <c r="J819">
        <v>7.6</v>
      </c>
      <c r="M819">
        <v>4.014763552479816</v>
      </c>
      <c r="Q819">
        <v>0</v>
      </c>
      <c r="R819">
        <v>0</v>
      </c>
      <c r="S819">
        <v>0.68801944813829785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0.11718749999999999</v>
      </c>
      <c r="Z819">
        <v>0.38464747601168126</v>
      </c>
      <c r="AA819">
        <v>0.14660252398831872</v>
      </c>
      <c r="AB819">
        <v>0</v>
      </c>
      <c r="AC819">
        <v>0.12935516822498697</v>
      </c>
      <c r="AD819">
        <v>0</v>
      </c>
      <c r="AE819">
        <v>0.33939483177501301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hidden="1" x14ac:dyDescent="0.25">
      <c r="A820" t="s">
        <v>128</v>
      </c>
      <c r="B820" t="s">
        <v>422</v>
      </c>
      <c r="C820" s="14" t="s">
        <v>109</v>
      </c>
      <c r="D820" s="12">
        <v>46229</v>
      </c>
      <c r="E820" s="14" t="s">
        <v>134</v>
      </c>
      <c r="F820" s="14"/>
      <c r="G820">
        <v>8.1518697913855895</v>
      </c>
      <c r="H820">
        <v>6.6499999999999995</v>
      </c>
      <c r="J820">
        <v>6.6499999999999995</v>
      </c>
      <c r="M820">
        <v>4.0243313869665522</v>
      </c>
      <c r="Q820">
        <v>0</v>
      </c>
      <c r="R820">
        <v>0</v>
      </c>
      <c r="S820">
        <v>0.18230035721742457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0.10338514556484905</v>
      </c>
      <c r="Z820">
        <v>0.12584701505858878</v>
      </c>
      <c r="AA820">
        <v>0.34407472184173676</v>
      </c>
      <c r="AB820">
        <v>0</v>
      </c>
      <c r="AC820">
        <v>0.16225554471634479</v>
      </c>
      <c r="AD820">
        <v>0</v>
      </c>
      <c r="AE820">
        <v>0.36782271838332975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hidden="1" x14ac:dyDescent="0.25">
      <c r="A821" t="s">
        <v>128</v>
      </c>
      <c r="B821" t="s">
        <v>291</v>
      </c>
      <c r="C821" s="14" t="s">
        <v>109</v>
      </c>
      <c r="D821" s="12">
        <v>46230</v>
      </c>
      <c r="E821" s="14" t="s">
        <v>133</v>
      </c>
      <c r="F821" s="14"/>
      <c r="G821">
        <v>27.064943963236065</v>
      </c>
      <c r="H821">
        <v>36.099999999999994</v>
      </c>
      <c r="J821">
        <v>36.099999999999994</v>
      </c>
      <c r="M821">
        <v>27.182291666666664</v>
      </c>
      <c r="Q821">
        <v>0</v>
      </c>
      <c r="R821">
        <v>0</v>
      </c>
      <c r="S821">
        <v>0.56515296518295333</v>
      </c>
      <c r="T821">
        <v>0</v>
      </c>
      <c r="U821">
        <v>1.2157226619317001E-2</v>
      </c>
      <c r="V821">
        <v>0</v>
      </c>
      <c r="W821">
        <v>3.898128898128899E-2</v>
      </c>
      <c r="X821">
        <v>0</v>
      </c>
      <c r="Y821">
        <v>0</v>
      </c>
      <c r="Z821">
        <v>0.23939331540710765</v>
      </c>
      <c r="AA821">
        <v>4.3069429243216224E-2</v>
      </c>
      <c r="AB821">
        <v>0</v>
      </c>
      <c r="AC821">
        <v>3.7333041148696665E-3</v>
      </c>
      <c r="AD821">
        <v>0</v>
      </c>
      <c r="AE821">
        <v>0.71380395123480644</v>
      </c>
      <c r="AF821">
        <v>0</v>
      </c>
      <c r="AG821">
        <v>0</v>
      </c>
      <c r="AH821">
        <v>0</v>
      </c>
      <c r="AI821">
        <v>0</v>
      </c>
      <c r="AJ821">
        <v>0</v>
      </c>
    </row>
    <row r="822" spans="1:36" hidden="1" x14ac:dyDescent="0.25">
      <c r="A822" t="s">
        <v>128</v>
      </c>
      <c r="B822" t="s">
        <v>421</v>
      </c>
      <c r="C822" s="14" t="s">
        <v>109</v>
      </c>
      <c r="D822" s="12">
        <v>46230</v>
      </c>
      <c r="E822" s="14" t="s">
        <v>133</v>
      </c>
      <c r="F822" s="14"/>
      <c r="G822">
        <v>22.555477667318101</v>
      </c>
      <c r="H822">
        <v>55.1</v>
      </c>
      <c r="J822">
        <v>55.1</v>
      </c>
      <c r="M822">
        <v>38.536289239253399</v>
      </c>
      <c r="Q822">
        <v>0.55224850853764462</v>
      </c>
      <c r="R822">
        <v>0</v>
      </c>
      <c r="S822">
        <v>1.3544684492115242</v>
      </c>
      <c r="T822">
        <v>0</v>
      </c>
      <c r="U822">
        <v>3.245853005209913E-2</v>
      </c>
      <c r="V822">
        <v>3.5522129422235142E-2</v>
      </c>
      <c r="W822">
        <v>0.12380429544823118</v>
      </c>
      <c r="X822">
        <v>0</v>
      </c>
      <c r="Y822">
        <v>0</v>
      </c>
      <c r="Z822">
        <v>6.7865696217035851E-2</v>
      </c>
      <c r="AA822">
        <v>0</v>
      </c>
      <c r="AB822">
        <v>0</v>
      </c>
      <c r="AC822">
        <v>0</v>
      </c>
      <c r="AD822">
        <v>0</v>
      </c>
      <c r="AE822">
        <v>0.73524311207311954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 hidden="1" x14ac:dyDescent="0.25">
      <c r="A823" t="s">
        <v>128</v>
      </c>
      <c r="B823" t="s">
        <v>422</v>
      </c>
      <c r="C823" s="14" t="s">
        <v>109</v>
      </c>
      <c r="D823" s="12">
        <v>46230</v>
      </c>
      <c r="E823" s="14" t="s">
        <v>133</v>
      </c>
      <c r="F823" s="14"/>
      <c r="G823">
        <v>27.064943963236065</v>
      </c>
      <c r="H823">
        <v>47.5</v>
      </c>
      <c r="J823">
        <v>47.5</v>
      </c>
      <c r="M823">
        <v>18.455882352941167</v>
      </c>
      <c r="Q823">
        <v>0</v>
      </c>
      <c r="R823">
        <v>0</v>
      </c>
      <c r="S823">
        <v>0.78549193779643711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0.12924598481236627</v>
      </c>
      <c r="Z823">
        <v>1.0178857065163161E-2</v>
      </c>
      <c r="AA823">
        <v>0.14952125484201467</v>
      </c>
      <c r="AB823">
        <v>0</v>
      </c>
      <c r="AC823">
        <v>0.16856776917329824</v>
      </c>
      <c r="AD823">
        <v>0</v>
      </c>
      <c r="AE823">
        <v>0.67173211891952389</v>
      </c>
      <c r="AF823">
        <v>0</v>
      </c>
      <c r="AG823">
        <v>0</v>
      </c>
      <c r="AH823">
        <v>0</v>
      </c>
      <c r="AI823">
        <v>0</v>
      </c>
      <c r="AJ823">
        <v>0</v>
      </c>
    </row>
    <row r="824" spans="1:36" hidden="1" x14ac:dyDescent="0.25">
      <c r="A824" t="s">
        <v>128</v>
      </c>
      <c r="B824" t="s">
        <v>291</v>
      </c>
      <c r="C824" s="14" t="s">
        <v>109</v>
      </c>
      <c r="D824" s="12">
        <v>46230</v>
      </c>
      <c r="E824" s="14" t="s">
        <v>420</v>
      </c>
      <c r="F824" s="14"/>
      <c r="G824">
        <v>6.7786480661254069</v>
      </c>
      <c r="H824">
        <v>5.6999999999999993</v>
      </c>
      <c r="J824">
        <v>5.6999999999999993</v>
      </c>
      <c r="M824">
        <v>8.5121107266435967</v>
      </c>
      <c r="Q824">
        <v>0.25572395020486954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0.43941624304268773</v>
      </c>
      <c r="AA824">
        <v>0</v>
      </c>
      <c r="AB824">
        <v>0</v>
      </c>
      <c r="AC824">
        <v>0</v>
      </c>
      <c r="AD824">
        <v>0</v>
      </c>
      <c r="AE824">
        <v>0.56058375695731222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idden="1" x14ac:dyDescent="0.25">
      <c r="A825" t="s">
        <v>128</v>
      </c>
      <c r="B825" t="s">
        <v>421</v>
      </c>
      <c r="C825" s="14" t="s">
        <v>109</v>
      </c>
      <c r="D825" s="12">
        <v>46230</v>
      </c>
      <c r="E825" s="14" t="s">
        <v>420</v>
      </c>
      <c r="F825" s="14"/>
      <c r="G825">
        <v>3.2997955746152661</v>
      </c>
      <c r="H825">
        <v>0.95</v>
      </c>
      <c r="J825">
        <v>0.95</v>
      </c>
      <c r="M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0.71210337776431398</v>
      </c>
      <c r="AB825">
        <v>0</v>
      </c>
      <c r="AC825">
        <v>0</v>
      </c>
      <c r="AD825">
        <v>0</v>
      </c>
      <c r="AE825">
        <v>0</v>
      </c>
      <c r="AF825">
        <v>0.28789662223568613</v>
      </c>
      <c r="AG825">
        <v>0</v>
      </c>
      <c r="AH825">
        <v>0</v>
      </c>
      <c r="AI825">
        <v>0</v>
      </c>
      <c r="AJ825">
        <v>0</v>
      </c>
    </row>
    <row r="826" spans="1:36" hidden="1" x14ac:dyDescent="0.25">
      <c r="A826" t="s">
        <v>128</v>
      </c>
      <c r="B826" t="s">
        <v>422</v>
      </c>
      <c r="C826" s="14" t="s">
        <v>109</v>
      </c>
      <c r="D826" s="12">
        <v>46230</v>
      </c>
      <c r="E826" s="14" t="s">
        <v>420</v>
      </c>
      <c r="F826" s="14"/>
      <c r="G826">
        <v>6.7786480661254069</v>
      </c>
      <c r="H826">
        <v>0.95</v>
      </c>
      <c r="J826">
        <v>0.95</v>
      </c>
      <c r="M826">
        <v>0.98961937716262982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0.12148873989786954</v>
      </c>
      <c r="AA826">
        <v>0.73836532086280249</v>
      </c>
      <c r="AB826">
        <v>0</v>
      </c>
      <c r="AC826">
        <v>0.11564400850362329</v>
      </c>
      <c r="AD826">
        <v>0</v>
      </c>
      <c r="AE826">
        <v>2.450193073570478E-2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 hidden="1" x14ac:dyDescent="0.25">
      <c r="A827" t="s">
        <v>128</v>
      </c>
      <c r="B827" t="s">
        <v>291</v>
      </c>
      <c r="C827" s="14" t="s">
        <v>109</v>
      </c>
      <c r="D827" s="12">
        <v>46230</v>
      </c>
      <c r="E827" s="14" t="s">
        <v>134</v>
      </c>
      <c r="F827" s="14"/>
      <c r="G827">
        <v>8.1518697913855895</v>
      </c>
      <c r="H827">
        <v>6.6499999999999995</v>
      </c>
      <c r="J827">
        <v>6.6499999999999995</v>
      </c>
      <c r="M827">
        <v>12.346020761245672</v>
      </c>
      <c r="Q827">
        <v>0.32436229238701325</v>
      </c>
      <c r="R827">
        <v>0</v>
      </c>
      <c r="S827">
        <v>3.2471799614938617E-3</v>
      </c>
      <c r="T827">
        <v>0</v>
      </c>
      <c r="U827">
        <v>0.15108280982573732</v>
      </c>
      <c r="V827">
        <v>0</v>
      </c>
      <c r="W827">
        <v>3.9056610546720751E-2</v>
      </c>
      <c r="X827">
        <v>0</v>
      </c>
      <c r="Y827">
        <v>0</v>
      </c>
      <c r="Z827">
        <v>0.37762283445200379</v>
      </c>
      <c r="AA827">
        <v>0</v>
      </c>
      <c r="AB827">
        <v>0</v>
      </c>
      <c r="AC827">
        <v>0</v>
      </c>
      <c r="AD827">
        <v>0</v>
      </c>
      <c r="AE827">
        <v>0.62237716554799627</v>
      </c>
      <c r="AF827">
        <v>0</v>
      </c>
      <c r="AG827">
        <v>0</v>
      </c>
      <c r="AH827">
        <v>0</v>
      </c>
      <c r="AI827">
        <v>0</v>
      </c>
      <c r="AJ827">
        <v>0</v>
      </c>
    </row>
    <row r="828" spans="1:36" hidden="1" x14ac:dyDescent="0.25">
      <c r="A828" t="s">
        <v>128</v>
      </c>
      <c r="B828" t="s">
        <v>421</v>
      </c>
      <c r="C828" s="14" t="s">
        <v>109</v>
      </c>
      <c r="D828" s="12">
        <v>46230</v>
      </c>
      <c r="E828" s="14" t="s">
        <v>134</v>
      </c>
      <c r="F828" s="14"/>
      <c r="G828">
        <v>7.8152418017098375</v>
      </c>
      <c r="H828">
        <v>9.5</v>
      </c>
      <c r="J828">
        <v>9.5</v>
      </c>
      <c r="M828">
        <v>4.014763552479816</v>
      </c>
      <c r="Q828">
        <v>0</v>
      </c>
      <c r="R828">
        <v>0</v>
      </c>
      <c r="S828">
        <v>0.8127034248437297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8.057399378429192E-2</v>
      </c>
      <c r="Z828">
        <v>0.28702083848655863</v>
      </c>
      <c r="AA828">
        <v>0.39068318637627364</v>
      </c>
      <c r="AB828">
        <v>0</v>
      </c>
      <c r="AC828">
        <v>9.5607365555023388E-2</v>
      </c>
      <c r="AD828">
        <v>0</v>
      </c>
      <c r="AE828">
        <v>0.22668860958214426</v>
      </c>
      <c r="AF828">
        <v>0</v>
      </c>
      <c r="AG828">
        <v>0</v>
      </c>
      <c r="AH828">
        <v>0</v>
      </c>
      <c r="AI828">
        <v>0</v>
      </c>
      <c r="AJ828">
        <v>0</v>
      </c>
    </row>
    <row r="829" spans="1:36" hidden="1" x14ac:dyDescent="0.25">
      <c r="A829" t="s">
        <v>128</v>
      </c>
      <c r="B829" t="s">
        <v>422</v>
      </c>
      <c r="C829" s="14" t="s">
        <v>109</v>
      </c>
      <c r="D829" s="12">
        <v>46230</v>
      </c>
      <c r="E829" s="14" t="s">
        <v>134</v>
      </c>
      <c r="F829" s="14"/>
      <c r="G829">
        <v>8.1518697913855895</v>
      </c>
      <c r="H829">
        <v>7.6</v>
      </c>
      <c r="J829">
        <v>7.6</v>
      </c>
      <c r="M829">
        <v>1.8966551326412924</v>
      </c>
      <c r="Q829">
        <v>0</v>
      </c>
      <c r="R829">
        <v>0</v>
      </c>
      <c r="S829">
        <v>0.41537571889798108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0.10338514556484905</v>
      </c>
      <c r="Z829">
        <v>2.2128930107957901E-2</v>
      </c>
      <c r="AA829">
        <v>0.56433048763264593</v>
      </c>
      <c r="AB829">
        <v>0</v>
      </c>
      <c r="AC829">
        <v>0.20300446972332603</v>
      </c>
      <c r="AD829">
        <v>0</v>
      </c>
      <c r="AE829">
        <v>0.21053611253607019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hidden="1" x14ac:dyDescent="0.25">
      <c r="A830" t="s">
        <v>128</v>
      </c>
      <c r="B830" t="s">
        <v>291</v>
      </c>
      <c r="C830" s="14" t="s">
        <v>109</v>
      </c>
      <c r="D830" s="12">
        <v>46231</v>
      </c>
      <c r="E830" s="14" t="s">
        <v>133</v>
      </c>
      <c r="F830" s="14"/>
      <c r="G830">
        <v>26.924273776316959</v>
      </c>
      <c r="H830">
        <v>62.7</v>
      </c>
      <c r="J830">
        <v>62.7</v>
      </c>
      <c r="M830">
        <v>24.4921875</v>
      </c>
      <c r="Q830">
        <v>0</v>
      </c>
      <c r="R830">
        <v>0</v>
      </c>
      <c r="S830">
        <v>1.2705830081111382</v>
      </c>
      <c r="T830">
        <v>0</v>
      </c>
      <c r="U830">
        <v>0</v>
      </c>
      <c r="V830">
        <v>0</v>
      </c>
      <c r="W830">
        <v>2.7674648494769482E-2</v>
      </c>
      <c r="X830">
        <v>0</v>
      </c>
      <c r="Y830">
        <v>0.11339118222623365</v>
      </c>
      <c r="Z830">
        <v>0</v>
      </c>
      <c r="AA830">
        <v>8.2895219666674125E-2</v>
      </c>
      <c r="AB830">
        <v>0</v>
      </c>
      <c r="AC830">
        <v>3.5110046341584641E-2</v>
      </c>
      <c r="AD830">
        <v>0</v>
      </c>
      <c r="AE830">
        <v>0.88199473399174122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idden="1" x14ac:dyDescent="0.25">
      <c r="A831" t="s">
        <v>128</v>
      </c>
      <c r="B831" t="s">
        <v>421</v>
      </c>
      <c r="C831" s="14" t="s">
        <v>109</v>
      </c>
      <c r="D831" s="12">
        <v>46231</v>
      </c>
      <c r="E831" s="14" t="s">
        <v>133</v>
      </c>
      <c r="F831" s="14"/>
      <c r="G831">
        <v>22.555477667318101</v>
      </c>
      <c r="H831">
        <v>39.9</v>
      </c>
      <c r="J831">
        <v>39.9</v>
      </c>
      <c r="M831">
        <v>37.554562594268475</v>
      </c>
      <c r="Q831">
        <v>0.4748171941329829</v>
      </c>
      <c r="R831">
        <v>0</v>
      </c>
      <c r="S831">
        <v>0.64666815904286334</v>
      </c>
      <c r="T831">
        <v>0</v>
      </c>
      <c r="U831">
        <v>6.6364867532534358E-2</v>
      </c>
      <c r="V831">
        <v>3.5522129422235142E-2</v>
      </c>
      <c r="W831">
        <v>0.12380429544823118</v>
      </c>
      <c r="X831">
        <v>0</v>
      </c>
      <c r="Y831">
        <v>0</v>
      </c>
      <c r="Z831">
        <v>6.7865696217035767E-2</v>
      </c>
      <c r="AA831">
        <v>0</v>
      </c>
      <c r="AB831">
        <v>0</v>
      </c>
      <c r="AC831">
        <v>0</v>
      </c>
      <c r="AD831">
        <v>0</v>
      </c>
      <c r="AE831">
        <v>0.73524311207311954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 hidden="1" x14ac:dyDescent="0.25">
      <c r="A832" t="s">
        <v>128</v>
      </c>
      <c r="B832" t="s">
        <v>422</v>
      </c>
      <c r="C832" s="14" t="s">
        <v>109</v>
      </c>
      <c r="D832" s="12">
        <v>46231</v>
      </c>
      <c r="E832" s="14" t="s">
        <v>133</v>
      </c>
      <c r="F832" s="14"/>
      <c r="G832">
        <v>26.924273776316959</v>
      </c>
      <c r="H832">
        <v>24.7</v>
      </c>
      <c r="J832">
        <v>24.7</v>
      </c>
      <c r="M832">
        <v>19.249999999999989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9.3525509057982487E-2</v>
      </c>
      <c r="Z832">
        <v>5.6075938541995116E-3</v>
      </c>
      <c r="AA832">
        <v>0.17053012583556851</v>
      </c>
      <c r="AB832">
        <v>0</v>
      </c>
      <c r="AC832">
        <v>0.11450165775398136</v>
      </c>
      <c r="AD832">
        <v>0</v>
      </c>
      <c r="AE832">
        <v>0.70936062255625054</v>
      </c>
      <c r="AF832">
        <v>0</v>
      </c>
      <c r="AG832">
        <v>0</v>
      </c>
      <c r="AH832">
        <v>0</v>
      </c>
      <c r="AI832">
        <v>0</v>
      </c>
      <c r="AJ832">
        <v>0</v>
      </c>
    </row>
    <row r="833" spans="1:36" hidden="1" x14ac:dyDescent="0.25">
      <c r="A833" t="s">
        <v>128</v>
      </c>
      <c r="B833" t="s">
        <v>291</v>
      </c>
      <c r="C833" s="14" t="s">
        <v>109</v>
      </c>
      <c r="D833" s="12">
        <v>46231</v>
      </c>
      <c r="E833" s="14" t="s">
        <v>420</v>
      </c>
      <c r="F833" s="14"/>
      <c r="G833">
        <v>6.7786480661254069</v>
      </c>
      <c r="H833">
        <v>15.2</v>
      </c>
      <c r="J833">
        <v>15.2</v>
      </c>
      <c r="M833">
        <v>8.5121107266435949</v>
      </c>
      <c r="Q833">
        <v>0.25572395020486943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0.29927030380335973</v>
      </c>
      <c r="AA833">
        <v>0</v>
      </c>
      <c r="AB833">
        <v>0</v>
      </c>
      <c r="AC833">
        <v>0</v>
      </c>
      <c r="AD833">
        <v>0</v>
      </c>
      <c r="AE833">
        <v>0.70072969619664038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 hidden="1" x14ac:dyDescent="0.25">
      <c r="A834" t="s">
        <v>128</v>
      </c>
      <c r="B834" t="s">
        <v>421</v>
      </c>
      <c r="C834" s="14" t="s">
        <v>109</v>
      </c>
      <c r="D834" s="12">
        <v>46231</v>
      </c>
      <c r="E834" s="14" t="s">
        <v>420</v>
      </c>
      <c r="F834" s="14"/>
      <c r="G834">
        <v>3.2997955746152661</v>
      </c>
      <c r="H834">
        <v>3.8</v>
      </c>
      <c r="J834">
        <v>3.8</v>
      </c>
      <c r="M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9.1265778047054501E-3</v>
      </c>
      <c r="Z834">
        <v>0</v>
      </c>
      <c r="AA834">
        <v>0.43333333333333335</v>
      </c>
      <c r="AB834">
        <v>0</v>
      </c>
      <c r="AC834">
        <v>0</v>
      </c>
      <c r="AD834">
        <v>0</v>
      </c>
      <c r="AE834">
        <v>0</v>
      </c>
      <c r="AF834">
        <v>0.56666666666666676</v>
      </c>
      <c r="AG834">
        <v>0</v>
      </c>
      <c r="AH834">
        <v>0</v>
      </c>
      <c r="AI834">
        <v>0</v>
      </c>
      <c r="AJ834">
        <v>0</v>
      </c>
    </row>
    <row r="835" spans="1:36" hidden="1" x14ac:dyDescent="0.25">
      <c r="A835" t="s">
        <v>128</v>
      </c>
      <c r="B835" t="s">
        <v>422</v>
      </c>
      <c r="C835" s="14" t="s">
        <v>109</v>
      </c>
      <c r="D835" s="12">
        <v>46231</v>
      </c>
      <c r="E835" s="14" t="s">
        <v>420</v>
      </c>
      <c r="F835" s="14"/>
      <c r="G835">
        <v>6.7786480661254069</v>
      </c>
      <c r="H835">
        <v>3.8</v>
      </c>
      <c r="J835">
        <v>3.8</v>
      </c>
      <c r="M835">
        <v>1.9792387543252596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4.900386147140956E-2</v>
      </c>
      <c r="AA835">
        <v>0.67070426004993433</v>
      </c>
      <c r="AB835">
        <v>0</v>
      </c>
      <c r="AC835">
        <v>3.7314398682917034E-2</v>
      </c>
      <c r="AD835">
        <v>0</v>
      </c>
      <c r="AE835">
        <v>0.24297747979573908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hidden="1" x14ac:dyDescent="0.25">
      <c r="A836" t="s">
        <v>128</v>
      </c>
      <c r="B836" t="s">
        <v>291</v>
      </c>
      <c r="C836" s="14" t="s">
        <v>109</v>
      </c>
      <c r="D836" s="12">
        <v>46231</v>
      </c>
      <c r="E836" s="14" t="s">
        <v>134</v>
      </c>
      <c r="F836" s="14"/>
      <c r="G836">
        <v>11.659072988059902</v>
      </c>
      <c r="H836">
        <v>15.2</v>
      </c>
      <c r="J836">
        <v>15.2</v>
      </c>
      <c r="M836">
        <v>15.335640138408294</v>
      </c>
      <c r="Q836">
        <v>0.21894935001331969</v>
      </c>
      <c r="R836">
        <v>0</v>
      </c>
      <c r="S836">
        <v>0.49116002568126926</v>
      </c>
      <c r="T836">
        <v>0</v>
      </c>
      <c r="U836">
        <v>0.10563510449564691</v>
      </c>
      <c r="V836">
        <v>0</v>
      </c>
      <c r="W836">
        <v>2.7307866070980368E-2</v>
      </c>
      <c r="X836">
        <v>0</v>
      </c>
      <c r="Y836">
        <v>0</v>
      </c>
      <c r="Z836">
        <v>0.28384454557743599</v>
      </c>
      <c r="AA836">
        <v>3.6552743058339665E-2</v>
      </c>
      <c r="AB836">
        <v>0</v>
      </c>
      <c r="AC836">
        <v>0</v>
      </c>
      <c r="AD836">
        <v>0</v>
      </c>
      <c r="AE836">
        <v>0.67960271136422434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idden="1" x14ac:dyDescent="0.25">
      <c r="A837" t="s">
        <v>128</v>
      </c>
      <c r="B837" t="s">
        <v>421</v>
      </c>
      <c r="C837" s="14" t="s">
        <v>109</v>
      </c>
      <c r="D837" s="12">
        <v>46231</v>
      </c>
      <c r="E837" s="14" t="s">
        <v>134</v>
      </c>
      <c r="F837" s="14"/>
      <c r="G837">
        <v>9.0431670281995657</v>
      </c>
      <c r="H837">
        <v>12.35</v>
      </c>
      <c r="J837">
        <v>12.35</v>
      </c>
      <c r="M837">
        <v>4.014763552479816</v>
      </c>
      <c r="Q837">
        <v>0</v>
      </c>
      <c r="R837">
        <v>0</v>
      </c>
      <c r="S837">
        <v>0.71229820816042611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6.7643742953776773E-2</v>
      </c>
      <c r="Z837">
        <v>1.1925372706111895E-2</v>
      </c>
      <c r="AA837">
        <v>0.40234457859998807</v>
      </c>
      <c r="AB837">
        <v>0</v>
      </c>
      <c r="AC837">
        <v>0.15369994209055496</v>
      </c>
      <c r="AD837">
        <v>0</v>
      </c>
      <c r="AE837">
        <v>0.43203010660334512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 hidden="1" x14ac:dyDescent="0.25">
      <c r="A838" t="s">
        <v>128</v>
      </c>
      <c r="B838" t="s">
        <v>422</v>
      </c>
      <c r="C838" s="14" t="s">
        <v>109</v>
      </c>
      <c r="D838" s="12">
        <v>46231</v>
      </c>
      <c r="E838" s="14" t="s">
        <v>134</v>
      </c>
      <c r="F838" s="14"/>
      <c r="G838">
        <v>11.659072988059902</v>
      </c>
      <c r="H838">
        <v>9.4999999999999982</v>
      </c>
      <c r="J838">
        <v>9.4999999999999982</v>
      </c>
      <c r="M838">
        <v>4.3966551326412917</v>
      </c>
      <c r="Q838">
        <v>0</v>
      </c>
      <c r="R838">
        <v>0</v>
      </c>
      <c r="S838">
        <v>0.23536749100217597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9.9593393905928404E-2</v>
      </c>
      <c r="Z838">
        <v>0.14303427558360537</v>
      </c>
      <c r="AA838">
        <v>0.37711054206692346</v>
      </c>
      <c r="AB838">
        <v>0</v>
      </c>
      <c r="AC838">
        <v>0.24578785327343319</v>
      </c>
      <c r="AD838">
        <v>0</v>
      </c>
      <c r="AE838">
        <v>0.23406732907603792</v>
      </c>
      <c r="AF838">
        <v>0</v>
      </c>
      <c r="AG838">
        <v>0</v>
      </c>
      <c r="AH838">
        <v>0</v>
      </c>
      <c r="AI838">
        <v>0</v>
      </c>
      <c r="AJ838">
        <v>0</v>
      </c>
    </row>
    <row r="839" spans="1:36" hidden="1" x14ac:dyDescent="0.25">
      <c r="A839" t="s">
        <v>128</v>
      </c>
      <c r="B839" t="s">
        <v>291</v>
      </c>
      <c r="C839" s="14" t="s">
        <v>109</v>
      </c>
      <c r="D839" s="12">
        <v>46232</v>
      </c>
      <c r="E839" s="14" t="s">
        <v>133</v>
      </c>
      <c r="F839" s="14"/>
      <c r="G839">
        <v>27.59949067352867</v>
      </c>
      <c r="H839">
        <v>42.749999999999993</v>
      </c>
      <c r="J839">
        <v>42.749999999999993</v>
      </c>
      <c r="M839">
        <v>29.125</v>
      </c>
      <c r="Q839">
        <v>5.0280134934948144E-2</v>
      </c>
      <c r="R839">
        <v>0</v>
      </c>
      <c r="S839">
        <v>0.91033810325461439</v>
      </c>
      <c r="T839">
        <v>0</v>
      </c>
      <c r="U839">
        <v>0</v>
      </c>
      <c r="V839">
        <v>0</v>
      </c>
      <c r="W839">
        <v>1.6934891949839354E-2</v>
      </c>
      <c r="X839">
        <v>0</v>
      </c>
      <c r="Y839">
        <v>2.1291407744350253E-2</v>
      </c>
      <c r="Z839">
        <v>0.38768084568537214</v>
      </c>
      <c r="AA839">
        <v>1.1941929836859783E-2</v>
      </c>
      <c r="AB839">
        <v>0</v>
      </c>
      <c r="AC839">
        <v>0</v>
      </c>
      <c r="AD839">
        <v>0</v>
      </c>
      <c r="AE839">
        <v>0.60037722447776809</v>
      </c>
      <c r="AF839">
        <v>0</v>
      </c>
      <c r="AG839">
        <v>0</v>
      </c>
      <c r="AH839">
        <v>0</v>
      </c>
      <c r="AI839">
        <v>0</v>
      </c>
      <c r="AJ839">
        <v>0</v>
      </c>
    </row>
    <row r="840" spans="1:36" hidden="1" x14ac:dyDescent="0.25">
      <c r="A840" t="s">
        <v>128</v>
      </c>
      <c r="B840" t="s">
        <v>421</v>
      </c>
      <c r="C840" s="14" t="s">
        <v>109</v>
      </c>
      <c r="D840" s="12">
        <v>46232</v>
      </c>
      <c r="E840" s="14" t="s">
        <v>133</v>
      </c>
      <c r="F840" s="14"/>
      <c r="G840">
        <v>22.555477667318101</v>
      </c>
      <c r="H840">
        <v>17.100000000000001</v>
      </c>
      <c r="J840">
        <v>17.100000000000001</v>
      </c>
      <c r="M840">
        <v>39.935364819004526</v>
      </c>
      <c r="Q840">
        <v>0.77053952960034733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0.24186930322574582</v>
      </c>
      <c r="AA840">
        <v>0</v>
      </c>
      <c r="AB840">
        <v>0</v>
      </c>
      <c r="AC840">
        <v>0</v>
      </c>
      <c r="AD840">
        <v>0</v>
      </c>
      <c r="AE840">
        <v>0.75813069677425415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hidden="1" x14ac:dyDescent="0.25">
      <c r="A841" t="s">
        <v>128</v>
      </c>
      <c r="B841" t="s">
        <v>422</v>
      </c>
      <c r="C841" s="14" t="s">
        <v>109</v>
      </c>
      <c r="D841" s="12">
        <v>46232</v>
      </c>
      <c r="E841" s="14" t="s">
        <v>133</v>
      </c>
      <c r="F841" s="14"/>
      <c r="G841">
        <v>27.59949067352867</v>
      </c>
      <c r="H841">
        <v>16.149999999999999</v>
      </c>
      <c r="J841">
        <v>16.149999999999999</v>
      </c>
      <c r="M841">
        <v>17.022058823529402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3.1596917270861717E-2</v>
      </c>
      <c r="AA841">
        <v>0.38324735681243333</v>
      </c>
      <c r="AB841">
        <v>0</v>
      </c>
      <c r="AC841">
        <v>0</v>
      </c>
      <c r="AD841">
        <v>0</v>
      </c>
      <c r="AE841">
        <v>0.58515572591670495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25">
      <c r="A842" t="s">
        <v>128</v>
      </c>
      <c r="B842" t="s">
        <v>291</v>
      </c>
      <c r="C842" s="14" t="s">
        <v>109</v>
      </c>
      <c r="D842" s="12">
        <v>46232</v>
      </c>
      <c r="E842" s="14" t="s">
        <v>420</v>
      </c>
      <c r="F842" s="14"/>
      <c r="G842">
        <v>6.7786480661254078</v>
      </c>
      <c r="H842">
        <v>16.149999999999999</v>
      </c>
      <c r="J842">
        <v>16.149999999999999</v>
      </c>
      <c r="M842">
        <v>7.5155709342560542</v>
      </c>
      <c r="Q842">
        <v>0.10871236579064078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0.43941624304268795</v>
      </c>
      <c r="AA842">
        <v>0</v>
      </c>
      <c r="AB842">
        <v>0</v>
      </c>
      <c r="AC842">
        <v>0</v>
      </c>
      <c r="AD842">
        <v>0</v>
      </c>
      <c r="AE842">
        <v>0.56058375695731211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 hidden="1" x14ac:dyDescent="0.25">
      <c r="A843" t="s">
        <v>128</v>
      </c>
      <c r="B843" t="s">
        <v>421</v>
      </c>
      <c r="C843" s="14" t="s">
        <v>109</v>
      </c>
      <c r="D843" s="12">
        <v>46232</v>
      </c>
      <c r="E843" s="14" t="s">
        <v>420</v>
      </c>
      <c r="F843" s="14"/>
      <c r="G843">
        <v>3.2310498334774471</v>
      </c>
      <c r="H843">
        <v>3.8</v>
      </c>
      <c r="J843">
        <v>3.8</v>
      </c>
      <c r="M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0.21236089644015033</v>
      </c>
      <c r="AB843">
        <v>0</v>
      </c>
      <c r="AC843">
        <v>0</v>
      </c>
      <c r="AD843">
        <v>0</v>
      </c>
      <c r="AE843">
        <v>0</v>
      </c>
      <c r="AF843">
        <v>0.78763910355984967</v>
      </c>
      <c r="AG843">
        <v>0</v>
      </c>
      <c r="AH843">
        <v>0</v>
      </c>
      <c r="AI843">
        <v>0</v>
      </c>
      <c r="AJ843">
        <v>0</v>
      </c>
    </row>
    <row r="844" spans="1:36" hidden="1" x14ac:dyDescent="0.25">
      <c r="A844" t="s">
        <v>128</v>
      </c>
      <c r="B844" t="s">
        <v>422</v>
      </c>
      <c r="C844" s="14" t="s">
        <v>109</v>
      </c>
      <c r="D844" s="12">
        <v>46232</v>
      </c>
      <c r="E844" s="14" t="s">
        <v>420</v>
      </c>
      <c r="F844" s="14"/>
      <c r="G844">
        <v>6.7786480661254078</v>
      </c>
      <c r="H844">
        <v>3.8</v>
      </c>
      <c r="J844">
        <v>3.8</v>
      </c>
      <c r="M844">
        <v>3.9673025556972017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0.22041909128149501</v>
      </c>
      <c r="AA844">
        <v>0.21899715176119292</v>
      </c>
      <c r="AB844">
        <v>0</v>
      </c>
      <c r="AC844">
        <v>0.19573827674957459</v>
      </c>
      <c r="AD844">
        <v>0</v>
      </c>
      <c r="AE844">
        <v>0.36484548020773755</v>
      </c>
      <c r="AF844">
        <v>0</v>
      </c>
      <c r="AG844">
        <v>0</v>
      </c>
      <c r="AH844">
        <v>0</v>
      </c>
      <c r="AI844">
        <v>0</v>
      </c>
      <c r="AJ844">
        <v>0</v>
      </c>
    </row>
    <row r="845" spans="1:36" hidden="1" x14ac:dyDescent="0.25">
      <c r="A845" t="s">
        <v>128</v>
      </c>
      <c r="B845" t="s">
        <v>291</v>
      </c>
      <c r="C845" s="14" t="s">
        <v>109</v>
      </c>
      <c r="D845" s="12">
        <v>46232</v>
      </c>
      <c r="E845" s="14" t="s">
        <v>134</v>
      </c>
      <c r="F845" s="14"/>
      <c r="G845">
        <v>9.3414218142876422</v>
      </c>
      <c r="H845">
        <v>13.3</v>
      </c>
      <c r="J845">
        <v>13.3</v>
      </c>
      <c r="M845">
        <v>11.570934256055359</v>
      </c>
      <c r="Q845">
        <v>0.1920588971353186</v>
      </c>
      <c r="R845">
        <v>0</v>
      </c>
      <c r="S845">
        <v>0.81546976576653341</v>
      </c>
      <c r="T845">
        <v>0</v>
      </c>
      <c r="U845">
        <v>3.1090654998967581E-2</v>
      </c>
      <c r="V845">
        <v>0</v>
      </c>
      <c r="W845">
        <v>3.4083077501409674E-2</v>
      </c>
      <c r="X845">
        <v>0</v>
      </c>
      <c r="Y845">
        <v>0</v>
      </c>
      <c r="Z845">
        <v>0.43831423363074329</v>
      </c>
      <c r="AA845">
        <v>1.8563133054598221E-2</v>
      </c>
      <c r="AB845">
        <v>0</v>
      </c>
      <c r="AC845">
        <v>0</v>
      </c>
      <c r="AD845">
        <v>0</v>
      </c>
      <c r="AE845">
        <v>0.54312263331465849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hidden="1" x14ac:dyDescent="0.25">
      <c r="A846" t="s">
        <v>128</v>
      </c>
      <c r="B846" t="s">
        <v>421</v>
      </c>
      <c r="C846" s="14" t="s">
        <v>109</v>
      </c>
      <c r="D846" s="12">
        <v>46232</v>
      </c>
      <c r="E846" s="14" t="s">
        <v>134</v>
      </c>
      <c r="F846" s="14"/>
      <c r="G846">
        <v>9.1196312364425154</v>
      </c>
      <c r="H846">
        <v>7.6</v>
      </c>
      <c r="J846">
        <v>7.6</v>
      </c>
      <c r="M846">
        <v>4.014763552479816</v>
      </c>
      <c r="Q846">
        <v>0</v>
      </c>
      <c r="R846">
        <v>0</v>
      </c>
      <c r="S846">
        <v>9.0508782988237946E-2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0.10690329793180545</v>
      </c>
      <c r="Z846">
        <v>0.22016714110450622</v>
      </c>
      <c r="AA846">
        <v>0.14387790961918345</v>
      </c>
      <c r="AB846">
        <v>0</v>
      </c>
      <c r="AC846">
        <v>0.41588898792414974</v>
      </c>
      <c r="AD846">
        <v>0</v>
      </c>
      <c r="AE846">
        <v>0.22006596135216047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hidden="1" x14ac:dyDescent="0.25">
      <c r="A847" t="s">
        <v>128</v>
      </c>
      <c r="B847" t="s">
        <v>422</v>
      </c>
      <c r="C847" s="14" t="s">
        <v>109</v>
      </c>
      <c r="D847" s="12">
        <v>46232</v>
      </c>
      <c r="E847" s="14" t="s">
        <v>134</v>
      </c>
      <c r="F847" s="14"/>
      <c r="G847">
        <v>9.3414218142876422</v>
      </c>
      <c r="H847">
        <v>6.65</v>
      </c>
      <c r="J847">
        <v>6.65</v>
      </c>
      <c r="M847">
        <v>3.8758938869665513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2.2607693862041367E-2</v>
      </c>
      <c r="AA847">
        <v>0.26550924034717399</v>
      </c>
      <c r="AB847">
        <v>0</v>
      </c>
      <c r="AC847">
        <v>0.31957598928688469</v>
      </c>
      <c r="AD847">
        <v>0</v>
      </c>
      <c r="AE847">
        <v>0.3923070765038999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hidden="1" x14ac:dyDescent="0.25">
      <c r="A848" t="s">
        <v>128</v>
      </c>
      <c r="B848" t="s">
        <v>291</v>
      </c>
      <c r="C848" s="14" t="s">
        <v>109</v>
      </c>
      <c r="D848" s="12">
        <v>46233</v>
      </c>
      <c r="E848" s="14" t="s">
        <v>133</v>
      </c>
      <c r="F848" s="14"/>
      <c r="G848">
        <v>26.080252654802319</v>
      </c>
      <c r="H848">
        <v>35.15</v>
      </c>
      <c r="J848">
        <v>35.15</v>
      </c>
      <c r="M848">
        <v>28.125</v>
      </c>
      <c r="Q848">
        <v>6.0480738957888212E-2</v>
      </c>
      <c r="R848">
        <v>0</v>
      </c>
      <c r="S848">
        <v>0.56268120500095442</v>
      </c>
      <c r="T848">
        <v>0</v>
      </c>
      <c r="U848">
        <v>0</v>
      </c>
      <c r="V848">
        <v>0</v>
      </c>
      <c r="W848">
        <v>1.7921390510024175E-2</v>
      </c>
      <c r="X848">
        <v>0</v>
      </c>
      <c r="Y848">
        <v>2.2531683923632796E-2</v>
      </c>
      <c r="Z848">
        <v>0.25537126251738035</v>
      </c>
      <c r="AA848">
        <v>0</v>
      </c>
      <c r="AB848">
        <v>0</v>
      </c>
      <c r="AC848">
        <v>0</v>
      </c>
      <c r="AD848">
        <v>0</v>
      </c>
      <c r="AE848">
        <v>0.74462873748261971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 hidden="1" x14ac:dyDescent="0.25">
      <c r="A849" t="s">
        <v>128</v>
      </c>
      <c r="B849" t="s">
        <v>421</v>
      </c>
      <c r="C849" s="14" t="s">
        <v>109</v>
      </c>
      <c r="D849" s="12">
        <v>46233</v>
      </c>
      <c r="E849" s="14" t="s">
        <v>133</v>
      </c>
      <c r="F849" s="14"/>
      <c r="G849">
        <v>22.497043787350954</v>
      </c>
      <c r="H849">
        <v>42.749999999999993</v>
      </c>
      <c r="J849">
        <v>42.749999999999993</v>
      </c>
      <c r="M849">
        <v>41.810838518099537</v>
      </c>
      <c r="Q849">
        <v>0.68473826601966881</v>
      </c>
      <c r="R849">
        <v>0</v>
      </c>
      <c r="S849">
        <v>0.90487588595092527</v>
      </c>
      <c r="T849">
        <v>0</v>
      </c>
      <c r="U849">
        <v>6.3375796931474992E-2</v>
      </c>
      <c r="V849">
        <v>0</v>
      </c>
      <c r="W849">
        <v>0.11038961038961043</v>
      </c>
      <c r="X849">
        <v>0</v>
      </c>
      <c r="Y849">
        <v>0</v>
      </c>
      <c r="Z849">
        <v>0.17839162473394535</v>
      </c>
      <c r="AA849">
        <v>0</v>
      </c>
      <c r="AB849">
        <v>0</v>
      </c>
      <c r="AC849">
        <v>0</v>
      </c>
      <c r="AD849">
        <v>0</v>
      </c>
      <c r="AE849">
        <v>0.82160837526605468</v>
      </c>
      <c r="AF849">
        <v>0</v>
      </c>
      <c r="AG849">
        <v>0</v>
      </c>
      <c r="AH849">
        <v>0</v>
      </c>
      <c r="AI849">
        <v>0</v>
      </c>
      <c r="AJ849">
        <v>0</v>
      </c>
    </row>
    <row r="850" spans="1:36" hidden="1" x14ac:dyDescent="0.25">
      <c r="A850" t="s">
        <v>128</v>
      </c>
      <c r="B850" t="s">
        <v>422</v>
      </c>
      <c r="C850" s="14" t="s">
        <v>109</v>
      </c>
      <c r="D850" s="12">
        <v>46233</v>
      </c>
      <c r="E850" s="14" t="s">
        <v>133</v>
      </c>
      <c r="F850" s="14"/>
      <c r="G850">
        <v>26.080252654802319</v>
      </c>
      <c r="H850">
        <v>30.4</v>
      </c>
      <c r="J850">
        <v>30.4</v>
      </c>
      <c r="M850">
        <v>19.897058823529406</v>
      </c>
      <c r="Q850">
        <v>0</v>
      </c>
      <c r="R850">
        <v>0</v>
      </c>
      <c r="S850">
        <v>0.31595397194356334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0.10436893203883495</v>
      </c>
      <c r="Z850">
        <v>7.7513383562974575E-2</v>
      </c>
      <c r="AA850">
        <v>0.17717664092344029</v>
      </c>
      <c r="AB850">
        <v>0</v>
      </c>
      <c r="AC850">
        <v>5.9906715327495627E-2</v>
      </c>
      <c r="AD850">
        <v>0</v>
      </c>
      <c r="AE850">
        <v>0.68540326018608955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hidden="1" x14ac:dyDescent="0.25">
      <c r="A851" t="s">
        <v>128</v>
      </c>
      <c r="B851" t="s">
        <v>291</v>
      </c>
      <c r="C851" s="14" t="s">
        <v>109</v>
      </c>
      <c r="D851" s="12">
        <v>46233</v>
      </c>
      <c r="E851" s="14" t="s">
        <v>420</v>
      </c>
      <c r="F851" s="14"/>
      <c r="G851">
        <v>6.7786480661254069</v>
      </c>
      <c r="H851">
        <v>6.6499999999999995</v>
      </c>
      <c r="J851">
        <v>6.6499999999999995</v>
      </c>
      <c r="M851">
        <v>8.5121107266435967</v>
      </c>
      <c r="Q851">
        <v>0.25572395020486971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0.43941624304268773</v>
      </c>
      <c r="AA851">
        <v>0</v>
      </c>
      <c r="AB851">
        <v>0</v>
      </c>
      <c r="AC851">
        <v>0</v>
      </c>
      <c r="AD851">
        <v>0</v>
      </c>
      <c r="AE851">
        <v>0.56058375695731222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hidden="1" x14ac:dyDescent="0.25">
      <c r="A852" t="s">
        <v>128</v>
      </c>
      <c r="B852" t="s">
        <v>421</v>
      </c>
      <c r="C852" s="14" t="s">
        <v>109</v>
      </c>
      <c r="D852" s="12">
        <v>46233</v>
      </c>
      <c r="E852" s="14" t="s">
        <v>420</v>
      </c>
      <c r="F852" s="14"/>
      <c r="G852">
        <v>3.2997955746152661</v>
      </c>
      <c r="H852">
        <v>3.8</v>
      </c>
      <c r="J852">
        <v>3.8</v>
      </c>
      <c r="M852">
        <v>1.7918552036199091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9.1265778047054501E-3</v>
      </c>
      <c r="Z852">
        <v>0</v>
      </c>
      <c r="AA852">
        <v>0.14543671109764722</v>
      </c>
      <c r="AB852">
        <v>0</v>
      </c>
      <c r="AC852">
        <v>2.4614167035630283E-2</v>
      </c>
      <c r="AD852">
        <v>0</v>
      </c>
      <c r="AE852">
        <v>0.26328245520005583</v>
      </c>
      <c r="AF852">
        <v>0.56666666666666676</v>
      </c>
      <c r="AG852">
        <v>0</v>
      </c>
      <c r="AH852">
        <v>0</v>
      </c>
      <c r="AI852">
        <v>0</v>
      </c>
      <c r="AJ852">
        <v>0</v>
      </c>
    </row>
    <row r="853" spans="1:36" hidden="1" x14ac:dyDescent="0.25">
      <c r="A853" t="s">
        <v>128</v>
      </c>
      <c r="B853" t="s">
        <v>422</v>
      </c>
      <c r="C853" s="14" t="s">
        <v>109</v>
      </c>
      <c r="D853" s="12">
        <v>46233</v>
      </c>
      <c r="E853" s="14" t="s">
        <v>420</v>
      </c>
      <c r="F853" s="14"/>
      <c r="G853">
        <v>6.7786480661254069</v>
      </c>
      <c r="H853">
        <v>3.8</v>
      </c>
      <c r="J853">
        <v>3.8</v>
      </c>
      <c r="M853">
        <v>3.0868238936441452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8.4973609240596409E-2</v>
      </c>
      <c r="AA853">
        <v>0.49458857304141945</v>
      </c>
      <c r="AB853">
        <v>0</v>
      </c>
      <c r="AC853">
        <v>5.0036865020519017E-2</v>
      </c>
      <c r="AD853">
        <v>0</v>
      </c>
      <c r="AE853">
        <v>0.37040095269746515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 hidden="1" x14ac:dyDescent="0.25">
      <c r="A854" t="s">
        <v>128</v>
      </c>
      <c r="B854" t="s">
        <v>291</v>
      </c>
      <c r="C854" s="14" t="s">
        <v>109</v>
      </c>
      <c r="D854" s="12">
        <v>46233</v>
      </c>
      <c r="E854" s="14" t="s">
        <v>134</v>
      </c>
      <c r="F854" s="14"/>
      <c r="G854">
        <v>10.390510129688344</v>
      </c>
      <c r="H854">
        <v>7.6</v>
      </c>
      <c r="J854">
        <v>7.6</v>
      </c>
      <c r="M854">
        <v>12.456747404844284</v>
      </c>
      <c r="Q854">
        <v>0.14977192078948504</v>
      </c>
      <c r="R854">
        <v>0</v>
      </c>
      <c r="S854">
        <v>2.5475734978267521E-3</v>
      </c>
      <c r="T854">
        <v>0</v>
      </c>
      <c r="U854">
        <v>0.11853194675178313</v>
      </c>
      <c r="V854">
        <v>0</v>
      </c>
      <c r="W854">
        <v>3.064184526994676E-2</v>
      </c>
      <c r="X854">
        <v>0</v>
      </c>
      <c r="Y854">
        <v>0</v>
      </c>
      <c r="Z854">
        <v>0.32019711173443088</v>
      </c>
      <c r="AA854">
        <v>0.10008759618687588</v>
      </c>
      <c r="AB854">
        <v>0</v>
      </c>
      <c r="AC854">
        <v>0</v>
      </c>
      <c r="AD854">
        <v>0</v>
      </c>
      <c r="AE854">
        <v>0.57971529207869321</v>
      </c>
      <c r="AF854">
        <v>0</v>
      </c>
      <c r="AG854">
        <v>0</v>
      </c>
      <c r="AH854">
        <v>0</v>
      </c>
      <c r="AI854">
        <v>0</v>
      </c>
      <c r="AJ854">
        <v>0</v>
      </c>
    </row>
    <row r="855" spans="1:36" hidden="1" x14ac:dyDescent="0.25">
      <c r="A855" t="s">
        <v>128</v>
      </c>
      <c r="B855" t="s">
        <v>421</v>
      </c>
      <c r="C855" s="14" t="s">
        <v>109</v>
      </c>
      <c r="D855" s="12">
        <v>46233</v>
      </c>
      <c r="E855" s="14" t="s">
        <v>134</v>
      </c>
      <c r="F855" s="14"/>
      <c r="G855">
        <v>7.7432754880694139</v>
      </c>
      <c r="H855">
        <v>6.65</v>
      </c>
      <c r="J855">
        <v>6.65</v>
      </c>
      <c r="M855">
        <v>4.014763552479816</v>
      </c>
      <c r="Q855">
        <v>0</v>
      </c>
      <c r="R855">
        <v>0</v>
      </c>
      <c r="S855">
        <v>0.20609513537741803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8.1468071099407499E-2</v>
      </c>
      <c r="Z855">
        <v>0.25930152431597209</v>
      </c>
      <c r="AA855">
        <v>0.16945199493661572</v>
      </c>
      <c r="AB855">
        <v>0</v>
      </c>
      <c r="AC855">
        <v>0.31206412073489403</v>
      </c>
      <c r="AD855">
        <v>0</v>
      </c>
      <c r="AE855">
        <v>0.25918236001251815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hidden="1" x14ac:dyDescent="0.25">
      <c r="A856" t="s">
        <v>128</v>
      </c>
      <c r="B856" t="s">
        <v>422</v>
      </c>
      <c r="C856" s="14" t="s">
        <v>109</v>
      </c>
      <c r="D856" s="12">
        <v>46233</v>
      </c>
      <c r="E856" s="14" t="s">
        <v>134</v>
      </c>
      <c r="F856" s="14"/>
      <c r="G856">
        <v>10.390510129688344</v>
      </c>
      <c r="H856">
        <v>4.75</v>
      </c>
      <c r="J856">
        <v>4.75</v>
      </c>
      <c r="M856">
        <v>4.7233852364475197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0.1132116131196526</v>
      </c>
      <c r="AA856">
        <v>0.42964047588144116</v>
      </c>
      <c r="AB856">
        <v>0</v>
      </c>
      <c r="AC856">
        <v>0.11577306229012541</v>
      </c>
      <c r="AD856">
        <v>0</v>
      </c>
      <c r="AE856">
        <v>0.34137484870878065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hidden="1" x14ac:dyDescent="0.25">
      <c r="A857" t="s">
        <v>128</v>
      </c>
      <c r="B857" t="s">
        <v>291</v>
      </c>
      <c r="C857" s="14" t="s">
        <v>109</v>
      </c>
      <c r="D857" s="12">
        <v>46234</v>
      </c>
      <c r="E857" s="14" t="s">
        <v>133</v>
      </c>
      <c r="F857" s="14"/>
      <c r="G857">
        <v>26.220922841721425</v>
      </c>
      <c r="H857">
        <v>33.25</v>
      </c>
      <c r="J857">
        <v>33.25</v>
      </c>
      <c r="M857">
        <v>30.044642857142854</v>
      </c>
      <c r="Q857">
        <v>9.2588434399428265E-2</v>
      </c>
      <c r="R857">
        <v>0</v>
      </c>
      <c r="S857">
        <v>0.54665995769687936</v>
      </c>
      <c r="T857">
        <v>0</v>
      </c>
      <c r="U857">
        <v>1.3002571311580689E-2</v>
      </c>
      <c r="V857">
        <v>0</v>
      </c>
      <c r="W857">
        <v>4.0236051502145938E-2</v>
      </c>
      <c r="X857">
        <v>0</v>
      </c>
      <c r="Y857">
        <v>0</v>
      </c>
      <c r="Z857">
        <v>0.33182726964528986</v>
      </c>
      <c r="AA857">
        <v>0</v>
      </c>
      <c r="AB857">
        <v>0</v>
      </c>
      <c r="AC857">
        <v>0</v>
      </c>
      <c r="AD857">
        <v>0</v>
      </c>
      <c r="AE857">
        <v>0.66817273035471025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36" hidden="1" x14ac:dyDescent="0.25">
      <c r="A858" t="s">
        <v>128</v>
      </c>
      <c r="B858" t="s">
        <v>421</v>
      </c>
      <c r="C858" s="14" t="s">
        <v>109</v>
      </c>
      <c r="D858" s="12">
        <v>46234</v>
      </c>
      <c r="E858" s="14" t="s">
        <v>133</v>
      </c>
      <c r="F858" s="14"/>
      <c r="G858">
        <v>22.43860990738381</v>
      </c>
      <c r="H858">
        <v>41.8</v>
      </c>
      <c r="J858">
        <v>41.8</v>
      </c>
      <c r="M858">
        <v>37.478751885369526</v>
      </c>
      <c r="Q858">
        <v>0.55091410686772524</v>
      </c>
      <c r="R858">
        <v>0</v>
      </c>
      <c r="S858">
        <v>0.80142221738362052</v>
      </c>
      <c r="T858">
        <v>0</v>
      </c>
      <c r="U858">
        <v>0</v>
      </c>
      <c r="V858">
        <v>3.5707140512975945E-2</v>
      </c>
      <c r="W858">
        <v>0.11936547105909191</v>
      </c>
      <c r="X858">
        <v>0</v>
      </c>
      <c r="Y858">
        <v>5.0836384279321677E-3</v>
      </c>
      <c r="Z858">
        <v>6.30108300514996E-2</v>
      </c>
      <c r="AA858">
        <v>0</v>
      </c>
      <c r="AB858">
        <v>0</v>
      </c>
      <c r="AC858">
        <v>0</v>
      </c>
      <c r="AD858">
        <v>0</v>
      </c>
      <c r="AE858">
        <v>0.73907250328183371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idden="1" x14ac:dyDescent="0.25">
      <c r="A859" t="s">
        <v>128</v>
      </c>
      <c r="B859" t="s">
        <v>422</v>
      </c>
      <c r="C859" s="14" t="s">
        <v>109</v>
      </c>
      <c r="D859" s="12">
        <v>46234</v>
      </c>
      <c r="E859" s="14" t="s">
        <v>133</v>
      </c>
      <c r="F859" s="14"/>
      <c r="G859">
        <v>26.220922841721425</v>
      </c>
      <c r="H859">
        <v>34.199999999999996</v>
      </c>
      <c r="J859">
        <v>34.199999999999996</v>
      </c>
      <c r="M859">
        <v>21.602941176470576</v>
      </c>
      <c r="Q859">
        <v>0</v>
      </c>
      <c r="R859">
        <v>0</v>
      </c>
      <c r="S859">
        <v>0.34646594363689104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0.12482257230632657</v>
      </c>
      <c r="Z859">
        <v>7.2180795094367839E-2</v>
      </c>
      <c r="AA859">
        <v>9.4805801101667572E-2</v>
      </c>
      <c r="AB859">
        <v>0</v>
      </c>
      <c r="AC859">
        <v>8.1312396306050985E-2</v>
      </c>
      <c r="AD859">
        <v>0</v>
      </c>
      <c r="AE859">
        <v>0.75170100749791369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 hidden="1" x14ac:dyDescent="0.25">
      <c r="A860" t="s">
        <v>128</v>
      </c>
      <c r="B860" t="s">
        <v>291</v>
      </c>
      <c r="C860" s="14" t="s">
        <v>109</v>
      </c>
      <c r="D860" s="12">
        <v>46234</v>
      </c>
      <c r="E860" s="14" t="s">
        <v>420</v>
      </c>
      <c r="F860" s="14"/>
      <c r="G860">
        <v>6.7786480661254078</v>
      </c>
      <c r="H860">
        <v>6.6499999999999995</v>
      </c>
      <c r="J860">
        <v>6.6499999999999995</v>
      </c>
      <c r="M860">
        <v>7.5778546712802743</v>
      </c>
      <c r="Q860">
        <v>0.11790058981652997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0.43941624304268795</v>
      </c>
      <c r="AA860">
        <v>0</v>
      </c>
      <c r="AB860">
        <v>0</v>
      </c>
      <c r="AC860">
        <v>0</v>
      </c>
      <c r="AD860">
        <v>0</v>
      </c>
      <c r="AE860">
        <v>0.56058375695731211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hidden="1" x14ac:dyDescent="0.25">
      <c r="A861" t="s">
        <v>128</v>
      </c>
      <c r="B861" t="s">
        <v>421</v>
      </c>
      <c r="C861" s="14" t="s">
        <v>109</v>
      </c>
      <c r="D861" s="12">
        <v>46234</v>
      </c>
      <c r="E861" s="14" t="s">
        <v>420</v>
      </c>
      <c r="F861" s="14"/>
      <c r="G861">
        <v>3.2997955746152661</v>
      </c>
      <c r="H861">
        <v>1.9</v>
      </c>
      <c r="J861">
        <v>1.9</v>
      </c>
      <c r="M861">
        <v>2.8235294117647052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9.1265778047054501E-3</v>
      </c>
      <c r="Z861">
        <v>0.29619276210006279</v>
      </c>
      <c r="AA861">
        <v>0.13714057123327056</v>
      </c>
      <c r="AB861">
        <v>0</v>
      </c>
      <c r="AC861">
        <v>0.2869290580166074</v>
      </c>
      <c r="AD861">
        <v>0</v>
      </c>
      <c r="AE861">
        <v>0.27973760865005931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hidden="1" x14ac:dyDescent="0.25">
      <c r="A862" t="s">
        <v>128</v>
      </c>
      <c r="B862" t="s">
        <v>422</v>
      </c>
      <c r="C862" s="14" t="s">
        <v>109</v>
      </c>
      <c r="D862" s="12">
        <v>46234</v>
      </c>
      <c r="E862" s="14" t="s">
        <v>420</v>
      </c>
      <c r="F862" s="14"/>
      <c r="G862">
        <v>6.7786480661254078</v>
      </c>
      <c r="H862">
        <v>1.9</v>
      </c>
      <c r="J862">
        <v>1.9</v>
      </c>
      <c r="M862">
        <v>1.9792387543252596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4.9003861471409553E-2</v>
      </c>
      <c r="AA862">
        <v>0.67070426004993444</v>
      </c>
      <c r="AB862">
        <v>0</v>
      </c>
      <c r="AC862">
        <v>3.7314398682917013E-2</v>
      </c>
      <c r="AD862">
        <v>0</v>
      </c>
      <c r="AE862">
        <v>0.24297747979573905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 hidden="1" x14ac:dyDescent="0.25">
      <c r="A863" t="s">
        <v>128</v>
      </c>
      <c r="B863" t="s">
        <v>291</v>
      </c>
      <c r="C863" s="14" t="s">
        <v>109</v>
      </c>
      <c r="D863" s="12">
        <v>46234</v>
      </c>
      <c r="E863" s="14" t="s">
        <v>134</v>
      </c>
      <c r="F863" s="14"/>
      <c r="G863">
        <v>8.0728589559160824</v>
      </c>
      <c r="H863">
        <v>8.5499999999999989</v>
      </c>
      <c r="J863">
        <v>8.5499999999999989</v>
      </c>
      <c r="M863">
        <v>11.404844290657433</v>
      </c>
      <c r="Q863">
        <v>0.24360750104504009</v>
      </c>
      <c r="R863">
        <v>0</v>
      </c>
      <c r="S863">
        <v>0.12095722142150164</v>
      </c>
      <c r="T863">
        <v>0</v>
      </c>
      <c r="U863">
        <v>0.15760627682671047</v>
      </c>
      <c r="V863">
        <v>0</v>
      </c>
      <c r="W863">
        <v>0.10903686519012576</v>
      </c>
      <c r="X863">
        <v>0</v>
      </c>
      <c r="Y863">
        <v>0</v>
      </c>
      <c r="Z863">
        <v>0.23098457343744569</v>
      </c>
      <c r="AA863">
        <v>9.7511444602382341E-2</v>
      </c>
      <c r="AB863">
        <v>0</v>
      </c>
      <c r="AC863">
        <v>0</v>
      </c>
      <c r="AD863">
        <v>0</v>
      </c>
      <c r="AE863">
        <v>0.6715039819601718</v>
      </c>
      <c r="AF863">
        <v>0</v>
      </c>
      <c r="AG863">
        <v>0</v>
      </c>
      <c r="AH863">
        <v>0</v>
      </c>
      <c r="AI863">
        <v>0</v>
      </c>
      <c r="AJ863">
        <v>0</v>
      </c>
    </row>
    <row r="864" spans="1:36" hidden="1" x14ac:dyDescent="0.25">
      <c r="A864" t="s">
        <v>128</v>
      </c>
      <c r="B864" t="s">
        <v>421</v>
      </c>
      <c r="C864" s="14" t="s">
        <v>109</v>
      </c>
      <c r="D864" s="12">
        <v>46234</v>
      </c>
      <c r="E864" s="14" t="s">
        <v>134</v>
      </c>
      <c r="F864" s="14"/>
      <c r="G864">
        <v>8.9667028199566161</v>
      </c>
      <c r="H864">
        <v>8.5499999999999989</v>
      </c>
      <c r="J864">
        <v>8.5499999999999989</v>
      </c>
      <c r="M864">
        <v>4.014763552479816</v>
      </c>
      <c r="Q864">
        <v>0</v>
      </c>
      <c r="R864">
        <v>0</v>
      </c>
      <c r="S864">
        <v>0.11337135461396096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0.10446276293348493</v>
      </c>
      <c r="Z864">
        <v>0.11797459539983064</v>
      </c>
      <c r="AA864">
        <v>0.14633176822553681</v>
      </c>
      <c r="AB864">
        <v>0</v>
      </c>
      <c r="AC864">
        <v>0.4059268899353633</v>
      </c>
      <c r="AD864">
        <v>0</v>
      </c>
      <c r="AE864">
        <v>0.32976674643926929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 hidden="1" x14ac:dyDescent="0.25">
      <c r="A865" t="s">
        <v>128</v>
      </c>
      <c r="B865" t="s">
        <v>422</v>
      </c>
      <c r="C865" s="14" t="s">
        <v>109</v>
      </c>
      <c r="D865" s="12">
        <v>46234</v>
      </c>
      <c r="E865" s="14" t="s">
        <v>134</v>
      </c>
      <c r="F865" s="14"/>
      <c r="G865">
        <v>8.0728589559160824</v>
      </c>
      <c r="H865">
        <v>7.6</v>
      </c>
      <c r="J865">
        <v>7.6</v>
      </c>
      <c r="M865">
        <v>5.1140372693194927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2.4538763759675324E-2</v>
      </c>
      <c r="Z865">
        <v>4.3465876077198477E-2</v>
      </c>
      <c r="AA865">
        <v>3.9646802883801305E-2</v>
      </c>
      <c r="AB865">
        <v>0</v>
      </c>
      <c r="AC865">
        <v>0.32686792290962507</v>
      </c>
      <c r="AD865">
        <v>0</v>
      </c>
      <c r="AE865">
        <v>0.59001939812937498</v>
      </c>
      <c r="AF865">
        <v>0</v>
      </c>
      <c r="AG865">
        <v>0</v>
      </c>
      <c r="AH865">
        <v>0</v>
      </c>
      <c r="AI865">
        <v>0</v>
      </c>
      <c r="AJ865">
        <v>0</v>
      </c>
    </row>
    <row r="866" spans="1:36" hidden="1" x14ac:dyDescent="0.25">
      <c r="A866" t="s">
        <v>128</v>
      </c>
      <c r="B866" t="s">
        <v>291</v>
      </c>
      <c r="C866" s="14" t="s">
        <v>109</v>
      </c>
      <c r="D866" s="12">
        <v>46235</v>
      </c>
      <c r="E866" s="14" t="s">
        <v>133</v>
      </c>
      <c r="F866" s="14"/>
      <c r="G866">
        <v>26.220922841721425</v>
      </c>
      <c r="H866">
        <v>57.949999999999996</v>
      </c>
      <c r="J866">
        <v>57.949999999999996</v>
      </c>
      <c r="M866">
        <v>28.207589285714285</v>
      </c>
      <c r="Q866">
        <v>4.5106082229977564E-2</v>
      </c>
      <c r="R866">
        <v>0</v>
      </c>
      <c r="S866">
        <v>1.2684345614640131</v>
      </c>
      <c r="T866">
        <v>0</v>
      </c>
      <c r="U866">
        <v>0</v>
      </c>
      <c r="V866">
        <v>0</v>
      </c>
      <c r="W866">
        <v>3.0660375571109993E-2</v>
      </c>
      <c r="X866">
        <v>0</v>
      </c>
      <c r="Y866">
        <v>0.11418940983661534</v>
      </c>
      <c r="Z866">
        <v>0.20321720507790161</v>
      </c>
      <c r="AA866">
        <v>0</v>
      </c>
      <c r="AB866">
        <v>0</v>
      </c>
      <c r="AC866">
        <v>0</v>
      </c>
      <c r="AD866">
        <v>0</v>
      </c>
      <c r="AE866">
        <v>0.79678279492209836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hidden="1" x14ac:dyDescent="0.25">
      <c r="A867" t="s">
        <v>128</v>
      </c>
      <c r="B867" t="s">
        <v>421</v>
      </c>
      <c r="C867" s="14" t="s">
        <v>109</v>
      </c>
      <c r="D867" s="12">
        <v>46235</v>
      </c>
      <c r="E867" s="14" t="s">
        <v>133</v>
      </c>
      <c r="F867" s="14"/>
      <c r="G867">
        <v>22.380176027416663</v>
      </c>
      <c r="H867">
        <v>44.65</v>
      </c>
      <c r="J867">
        <v>44.65</v>
      </c>
      <c r="M867">
        <v>41.759801564856716</v>
      </c>
      <c r="Q867">
        <v>0.6922503091758303</v>
      </c>
      <c r="R867">
        <v>0</v>
      </c>
      <c r="S867">
        <v>0.95304427527310931</v>
      </c>
      <c r="T867">
        <v>0</v>
      </c>
      <c r="U867">
        <v>6.2711833129834874E-2</v>
      </c>
      <c r="V867">
        <v>0</v>
      </c>
      <c r="W867">
        <v>0.11096605744125329</v>
      </c>
      <c r="X867">
        <v>0</v>
      </c>
      <c r="Y867">
        <v>0</v>
      </c>
      <c r="Z867">
        <v>0.13165296061087592</v>
      </c>
      <c r="AA867">
        <v>0</v>
      </c>
      <c r="AB867">
        <v>0</v>
      </c>
      <c r="AC867">
        <v>0</v>
      </c>
      <c r="AD867">
        <v>0</v>
      </c>
      <c r="AE867">
        <v>0.86834703938912416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hidden="1" x14ac:dyDescent="0.25">
      <c r="A868" t="s">
        <v>128</v>
      </c>
      <c r="B868" t="s">
        <v>422</v>
      </c>
      <c r="C868" s="14" t="s">
        <v>109</v>
      </c>
      <c r="D868" s="12">
        <v>46235</v>
      </c>
      <c r="E868" s="14" t="s">
        <v>133</v>
      </c>
      <c r="F868" s="14"/>
      <c r="G868">
        <v>26.220922841721425</v>
      </c>
      <c r="H868">
        <v>34.199999999999996</v>
      </c>
      <c r="J868">
        <v>34.199999999999996</v>
      </c>
      <c r="M868">
        <v>21.272058823529406</v>
      </c>
      <c r="Q868">
        <v>0</v>
      </c>
      <c r="R868">
        <v>0</v>
      </c>
      <c r="S868">
        <v>0.41624475796714722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0.10515021459227467</v>
      </c>
      <c r="Z868">
        <v>5.5336740087886381E-2</v>
      </c>
      <c r="AA868">
        <v>0.16175631272435326</v>
      </c>
      <c r="AB868">
        <v>0</v>
      </c>
      <c r="AC868">
        <v>2.6980904804758121E-2</v>
      </c>
      <c r="AD868">
        <v>0</v>
      </c>
      <c r="AE868">
        <v>0.75592604238300221</v>
      </c>
      <c r="AF868">
        <v>0</v>
      </c>
      <c r="AG868">
        <v>0</v>
      </c>
      <c r="AH868">
        <v>0</v>
      </c>
      <c r="AI868">
        <v>0</v>
      </c>
      <c r="AJ868">
        <v>0</v>
      </c>
    </row>
    <row r="869" spans="1:36" hidden="1" x14ac:dyDescent="0.25">
      <c r="A869" t="s">
        <v>128</v>
      </c>
      <c r="B869" t="s">
        <v>291</v>
      </c>
      <c r="C869" s="14" t="s">
        <v>109</v>
      </c>
      <c r="D869" s="12">
        <v>46235</v>
      </c>
      <c r="E869" s="14" t="s">
        <v>420</v>
      </c>
      <c r="F869" s="14"/>
      <c r="G869">
        <v>6.8316062541420131</v>
      </c>
      <c r="H869">
        <v>15.200000000000001</v>
      </c>
      <c r="J869">
        <v>15.200000000000001</v>
      </c>
      <c r="M869">
        <v>7.5155709342560542</v>
      </c>
      <c r="Q869">
        <v>2.3940064918796671E-2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7.6177631369591145E-2</v>
      </c>
      <c r="X869">
        <v>0</v>
      </c>
      <c r="Y869">
        <v>7.1922980144084542E-3</v>
      </c>
      <c r="Z869">
        <v>0.24901270972660469</v>
      </c>
      <c r="AA869">
        <v>0</v>
      </c>
      <c r="AB869">
        <v>0</v>
      </c>
      <c r="AC869">
        <v>0</v>
      </c>
      <c r="AD869">
        <v>0</v>
      </c>
      <c r="AE869">
        <v>0.75098729027339528</v>
      </c>
      <c r="AF869">
        <v>0</v>
      </c>
      <c r="AG869">
        <v>0</v>
      </c>
      <c r="AH869">
        <v>0</v>
      </c>
      <c r="AI869">
        <v>0</v>
      </c>
      <c r="AJ869">
        <v>0</v>
      </c>
    </row>
    <row r="870" spans="1:36" hidden="1" x14ac:dyDescent="0.25">
      <c r="A870" t="s">
        <v>128</v>
      </c>
      <c r="B870" t="s">
        <v>421</v>
      </c>
      <c r="C870" s="14" t="s">
        <v>109</v>
      </c>
      <c r="D870" s="12">
        <v>46235</v>
      </c>
      <c r="E870" s="14" t="s">
        <v>420</v>
      </c>
      <c r="F870" s="14"/>
      <c r="G870">
        <v>3.2997955746152661</v>
      </c>
      <c r="H870">
        <v>1.9</v>
      </c>
      <c r="J870">
        <v>1.9</v>
      </c>
      <c r="M870">
        <v>2.7692307692307687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0.27973760865005931</v>
      </c>
      <c r="AA870">
        <v>0.43236576911425467</v>
      </c>
      <c r="AB870">
        <v>0</v>
      </c>
      <c r="AC870">
        <v>8.1590135856267881E-3</v>
      </c>
      <c r="AD870">
        <v>0</v>
      </c>
      <c r="AE870">
        <v>0.27973760865005931</v>
      </c>
      <c r="AF870">
        <v>0</v>
      </c>
      <c r="AG870">
        <v>0</v>
      </c>
      <c r="AH870">
        <v>0</v>
      </c>
      <c r="AI870">
        <v>0</v>
      </c>
      <c r="AJ870">
        <v>0</v>
      </c>
    </row>
    <row r="871" spans="1:36" hidden="1" x14ac:dyDescent="0.25">
      <c r="A871" t="s">
        <v>128</v>
      </c>
      <c r="B871" t="s">
        <v>422</v>
      </c>
      <c r="C871" s="14" t="s">
        <v>109</v>
      </c>
      <c r="D871" s="12">
        <v>46235</v>
      </c>
      <c r="E871" s="14" t="s">
        <v>420</v>
      </c>
      <c r="F871" s="14"/>
      <c r="G871">
        <v>6.8316062541420131</v>
      </c>
      <c r="H871">
        <v>1.9</v>
      </c>
      <c r="J871">
        <v>1.9</v>
      </c>
      <c r="M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0.86094046339043406</v>
      </c>
      <c r="AB871">
        <v>0</v>
      </c>
      <c r="AC871">
        <v>0</v>
      </c>
      <c r="AD871">
        <v>0</v>
      </c>
      <c r="AE871">
        <v>0</v>
      </c>
      <c r="AF871">
        <v>0.1390595366095658</v>
      </c>
      <c r="AG871">
        <v>0</v>
      </c>
      <c r="AH871">
        <v>0</v>
      </c>
      <c r="AI871">
        <v>0</v>
      </c>
      <c r="AJ871">
        <v>0</v>
      </c>
    </row>
    <row r="872" spans="1:36" hidden="1" x14ac:dyDescent="0.25">
      <c r="A872" t="s">
        <v>128</v>
      </c>
      <c r="B872" t="s">
        <v>291</v>
      </c>
      <c r="C872" s="14" t="s">
        <v>109</v>
      </c>
      <c r="D872" s="12">
        <v>46235</v>
      </c>
      <c r="E872" s="14" t="s">
        <v>134</v>
      </c>
      <c r="F872" s="14"/>
      <c r="G872">
        <v>8.8936937466270898</v>
      </c>
      <c r="H872">
        <v>14.25</v>
      </c>
      <c r="J872">
        <v>14.25</v>
      </c>
      <c r="M872">
        <v>14.695934256055359</v>
      </c>
      <c r="Q872">
        <v>0.47150546245434216</v>
      </c>
      <c r="R872">
        <v>0</v>
      </c>
      <c r="S872">
        <v>0.74408308261494327</v>
      </c>
      <c r="T872">
        <v>0</v>
      </c>
      <c r="U872">
        <v>0.1450950481983079</v>
      </c>
      <c r="V872">
        <v>0</v>
      </c>
      <c r="W872">
        <v>3.5798894445906816E-2</v>
      </c>
      <c r="X872">
        <v>0</v>
      </c>
      <c r="Y872">
        <v>0</v>
      </c>
      <c r="Z872">
        <v>0.32271812069498024</v>
      </c>
      <c r="AA872">
        <v>0</v>
      </c>
      <c r="AB872">
        <v>0</v>
      </c>
      <c r="AC872">
        <v>0</v>
      </c>
      <c r="AD872">
        <v>0</v>
      </c>
      <c r="AE872">
        <v>0.67728187930501993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hidden="1" x14ac:dyDescent="0.25">
      <c r="A873" t="s">
        <v>128</v>
      </c>
      <c r="B873" t="s">
        <v>421</v>
      </c>
      <c r="C873" s="14" t="s">
        <v>109</v>
      </c>
      <c r="D873" s="12">
        <v>46235</v>
      </c>
      <c r="E873" s="14" t="s">
        <v>134</v>
      </c>
      <c r="F873" s="14"/>
      <c r="G873">
        <v>5.0568329718004339</v>
      </c>
      <c r="H873">
        <v>5.6999999999999993</v>
      </c>
      <c r="J873">
        <v>5.6999999999999993</v>
      </c>
      <c r="M873">
        <v>4.014763552479816</v>
      </c>
      <c r="Q873">
        <v>0</v>
      </c>
      <c r="R873">
        <v>0</v>
      </c>
      <c r="S873">
        <v>0.14661976664378862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0.12096774193548385</v>
      </c>
      <c r="Z873">
        <v>0.20919084002853028</v>
      </c>
      <c r="AA873">
        <v>0.11907357314923224</v>
      </c>
      <c r="AB873">
        <v>0</v>
      </c>
      <c r="AC873">
        <v>0.13352791558708332</v>
      </c>
      <c r="AD873">
        <v>0</v>
      </c>
      <c r="AE873">
        <v>0.53820767123515412</v>
      </c>
      <c r="AF873">
        <v>0</v>
      </c>
      <c r="AG873">
        <v>0</v>
      </c>
      <c r="AH873">
        <v>0</v>
      </c>
      <c r="AI873">
        <v>0</v>
      </c>
      <c r="AJ873">
        <v>0</v>
      </c>
    </row>
    <row r="874" spans="1:36" hidden="1" x14ac:dyDescent="0.25">
      <c r="A874" t="s">
        <v>128</v>
      </c>
      <c r="B874" t="s">
        <v>422</v>
      </c>
      <c r="C874" s="14" t="s">
        <v>109</v>
      </c>
      <c r="D874" s="12">
        <v>46235</v>
      </c>
      <c r="E874" s="14" t="s">
        <v>134</v>
      </c>
      <c r="F874" s="14"/>
      <c r="G874">
        <v>8.8936937466270898</v>
      </c>
      <c r="H874">
        <v>3.8</v>
      </c>
      <c r="J874">
        <v>3.8</v>
      </c>
      <c r="M874">
        <v>5.1140372693194927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0.14774932741728805</v>
      </c>
      <c r="AA874">
        <v>0.42498163136559797</v>
      </c>
      <c r="AB874">
        <v>0</v>
      </c>
      <c r="AC874">
        <v>0</v>
      </c>
      <c r="AD874">
        <v>0</v>
      </c>
      <c r="AE874">
        <v>0.42726904121711407</v>
      </c>
      <c r="AF874">
        <v>0</v>
      </c>
      <c r="AG874">
        <v>0</v>
      </c>
      <c r="AH874">
        <v>0</v>
      </c>
      <c r="AI874">
        <v>0</v>
      </c>
      <c r="AJ874">
        <v>0</v>
      </c>
    </row>
    <row r="875" spans="1:36" hidden="1" x14ac:dyDescent="0.25">
      <c r="A875" t="s">
        <v>128</v>
      </c>
      <c r="B875" t="s">
        <v>291</v>
      </c>
      <c r="C875" s="14" t="s">
        <v>109</v>
      </c>
      <c r="D875" s="12">
        <v>46236</v>
      </c>
      <c r="E875" s="14" t="s">
        <v>133</v>
      </c>
      <c r="F875" s="14"/>
      <c r="G875">
        <v>26.164654766953785</v>
      </c>
      <c r="H875">
        <v>44.65</v>
      </c>
      <c r="J875">
        <v>44.65</v>
      </c>
      <c r="M875">
        <v>28.125</v>
      </c>
      <c r="Q875">
        <v>1.0614526458819336E-2</v>
      </c>
      <c r="R875">
        <v>0</v>
      </c>
      <c r="S875">
        <v>0.9443856601971683</v>
      </c>
      <c r="T875">
        <v>0</v>
      </c>
      <c r="U875">
        <v>0</v>
      </c>
      <c r="V875">
        <v>0</v>
      </c>
      <c r="W875">
        <v>6.4308886462422402E-2</v>
      </c>
      <c r="X875">
        <v>0</v>
      </c>
      <c r="Y875">
        <v>8.0852403860158253E-2</v>
      </c>
      <c r="Z875">
        <v>0.38304631453989324</v>
      </c>
      <c r="AA875">
        <v>0</v>
      </c>
      <c r="AB875">
        <v>0</v>
      </c>
      <c r="AC875">
        <v>0</v>
      </c>
      <c r="AD875">
        <v>0</v>
      </c>
      <c r="AE875">
        <v>0.61695368546010676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 hidden="1" x14ac:dyDescent="0.25">
      <c r="A876" t="s">
        <v>128</v>
      </c>
      <c r="B876" t="s">
        <v>421</v>
      </c>
      <c r="C876" s="14" t="s">
        <v>109</v>
      </c>
      <c r="D876" s="12">
        <v>46236</v>
      </c>
      <c r="E876" s="14" t="s">
        <v>133</v>
      </c>
      <c r="F876" s="14"/>
      <c r="G876">
        <v>22.497043787350954</v>
      </c>
      <c r="H876">
        <v>43.7</v>
      </c>
      <c r="J876">
        <v>43.7</v>
      </c>
      <c r="M876">
        <v>44.49381127450981</v>
      </c>
      <c r="Q876">
        <v>0.76367093859149715</v>
      </c>
      <c r="R876">
        <v>0</v>
      </c>
      <c r="S876">
        <v>0.82232188539581963</v>
      </c>
      <c r="T876">
        <v>0</v>
      </c>
      <c r="U876">
        <v>0.10370202707462377</v>
      </c>
      <c r="V876">
        <v>0</v>
      </c>
      <c r="W876">
        <v>0.11038961038961043</v>
      </c>
      <c r="X876">
        <v>0</v>
      </c>
      <c r="Y876">
        <v>0</v>
      </c>
      <c r="Z876">
        <v>9.3936083910031221E-2</v>
      </c>
      <c r="AA876">
        <v>0</v>
      </c>
      <c r="AB876">
        <v>0</v>
      </c>
      <c r="AC876">
        <v>0</v>
      </c>
      <c r="AD876">
        <v>0</v>
      </c>
      <c r="AE876">
        <v>0.90606391608996883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hidden="1" x14ac:dyDescent="0.25">
      <c r="A877" t="s">
        <v>128</v>
      </c>
      <c r="B877" t="s">
        <v>422</v>
      </c>
      <c r="C877" s="14" t="s">
        <v>109</v>
      </c>
      <c r="D877" s="12">
        <v>46236</v>
      </c>
      <c r="E877" s="14" t="s">
        <v>133</v>
      </c>
      <c r="F877" s="14"/>
      <c r="G877">
        <v>26.164654766953785</v>
      </c>
      <c r="H877">
        <v>37.049999999999997</v>
      </c>
      <c r="J877">
        <v>37.049999999999997</v>
      </c>
      <c r="M877">
        <v>21.65441176470587</v>
      </c>
      <c r="Q877">
        <v>0</v>
      </c>
      <c r="R877">
        <v>0</v>
      </c>
      <c r="S877">
        <v>0.49244512836685989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0.10483870967741934</v>
      </c>
      <c r="Z877">
        <v>7.4565493393054919E-2</v>
      </c>
      <c r="AA877">
        <v>0.10668590202964187</v>
      </c>
      <c r="AB877">
        <v>0</v>
      </c>
      <c r="AC877">
        <v>6.5693326453219597E-2</v>
      </c>
      <c r="AD877">
        <v>0</v>
      </c>
      <c r="AE877">
        <v>0.75305527812408357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hidden="1" x14ac:dyDescent="0.25">
      <c r="A878" t="s">
        <v>128</v>
      </c>
      <c r="B878" t="s">
        <v>291</v>
      </c>
      <c r="C878" s="14" t="s">
        <v>109</v>
      </c>
      <c r="D878" s="12">
        <v>46236</v>
      </c>
      <c r="E878" s="14" t="s">
        <v>420</v>
      </c>
      <c r="F878" s="14"/>
      <c r="G878">
        <v>6.7786480661254078</v>
      </c>
      <c r="H878">
        <v>5.6999999999999993</v>
      </c>
      <c r="J878">
        <v>5.6999999999999993</v>
      </c>
      <c r="M878">
        <v>7.5778546712802752</v>
      </c>
      <c r="Q878">
        <v>0.11790058981653022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0.11081218228201581</v>
      </c>
      <c r="AA878">
        <v>0</v>
      </c>
      <c r="AB878">
        <v>0</v>
      </c>
      <c r="AC878">
        <v>0</v>
      </c>
      <c r="AD878">
        <v>0</v>
      </c>
      <c r="AE878">
        <v>0.42043781771798411</v>
      </c>
      <c r="AF878">
        <v>0</v>
      </c>
      <c r="AG878">
        <v>0</v>
      </c>
      <c r="AH878">
        <v>0</v>
      </c>
      <c r="AI878">
        <v>0.46875000000000011</v>
      </c>
      <c r="AJ878">
        <v>0</v>
      </c>
    </row>
    <row r="879" spans="1:36" hidden="1" x14ac:dyDescent="0.25">
      <c r="A879" t="s">
        <v>128</v>
      </c>
      <c r="B879" t="s">
        <v>421</v>
      </c>
      <c r="C879" s="14" t="s">
        <v>109</v>
      </c>
      <c r="D879" s="12">
        <v>46236</v>
      </c>
      <c r="E879" s="14" t="s">
        <v>420</v>
      </c>
      <c r="F879" s="14"/>
      <c r="G879">
        <v>3.2997955746152661</v>
      </c>
      <c r="H879">
        <v>1.9</v>
      </c>
      <c r="J879">
        <v>1.9</v>
      </c>
      <c r="M879">
        <v>2.7692307692307687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0.27973760865005931</v>
      </c>
      <c r="AA879">
        <v>0.43236576911425467</v>
      </c>
      <c r="AB879">
        <v>0</v>
      </c>
      <c r="AC879">
        <v>8.1590135856267811E-3</v>
      </c>
      <c r="AD879">
        <v>0</v>
      </c>
      <c r="AE879">
        <v>0.27973760865005931</v>
      </c>
      <c r="AF879">
        <v>0</v>
      </c>
      <c r="AG879">
        <v>0</v>
      </c>
      <c r="AH879">
        <v>0</v>
      </c>
      <c r="AI879">
        <v>0</v>
      </c>
      <c r="AJ879">
        <v>0</v>
      </c>
    </row>
    <row r="880" spans="1:36" hidden="1" x14ac:dyDescent="0.25">
      <c r="A880" t="s">
        <v>128</v>
      </c>
      <c r="B880" t="s">
        <v>422</v>
      </c>
      <c r="C880" s="14" t="s">
        <v>109</v>
      </c>
      <c r="D880" s="12">
        <v>46236</v>
      </c>
      <c r="E880" s="14" t="s">
        <v>420</v>
      </c>
      <c r="F880" s="14"/>
      <c r="G880">
        <v>6.7786480661254078</v>
      </c>
      <c r="H880">
        <v>1.9</v>
      </c>
      <c r="J880">
        <v>1.9</v>
      </c>
      <c r="M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0.85985406076067195</v>
      </c>
      <c r="AB880">
        <v>0</v>
      </c>
      <c r="AC880">
        <v>0</v>
      </c>
      <c r="AD880">
        <v>0</v>
      </c>
      <c r="AE880">
        <v>0</v>
      </c>
      <c r="AF880">
        <v>0.14014593923932805</v>
      </c>
      <c r="AG880">
        <v>0</v>
      </c>
      <c r="AH880">
        <v>0</v>
      </c>
      <c r="AI880">
        <v>0</v>
      </c>
      <c r="AJ880">
        <v>0</v>
      </c>
    </row>
    <row r="881" spans="1:36" hidden="1" x14ac:dyDescent="0.25">
      <c r="A881" t="s">
        <v>128</v>
      </c>
      <c r="B881" t="s">
        <v>291</v>
      </c>
      <c r="C881" s="14" t="s">
        <v>109</v>
      </c>
      <c r="D881" s="12">
        <v>46236</v>
      </c>
      <c r="E881" s="14" t="s">
        <v>134</v>
      </c>
      <c r="F881" s="14"/>
      <c r="G881">
        <v>7.1027814759848873</v>
      </c>
      <c r="H881">
        <v>6.6499999999999995</v>
      </c>
      <c r="J881">
        <v>6.6499999999999995</v>
      </c>
      <c r="M881">
        <v>15.695501730103803</v>
      </c>
      <c r="Q881">
        <v>0.88587715608333018</v>
      </c>
      <c r="R881">
        <v>0</v>
      </c>
      <c r="S881">
        <v>0.10807696413285589</v>
      </c>
      <c r="T881">
        <v>0</v>
      </c>
      <c r="U881">
        <v>0.19782000464488947</v>
      </c>
      <c r="V881">
        <v>0</v>
      </c>
      <c r="W881">
        <v>0.12607119314436385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0.50428477257745541</v>
      </c>
      <c r="AF881">
        <v>0</v>
      </c>
      <c r="AG881">
        <v>0</v>
      </c>
      <c r="AH881">
        <v>0</v>
      </c>
      <c r="AI881">
        <v>0.49571522742254465</v>
      </c>
      <c r="AJ881">
        <v>0</v>
      </c>
    </row>
    <row r="882" spans="1:36" hidden="1" x14ac:dyDescent="0.25">
      <c r="A882" t="s">
        <v>128</v>
      </c>
      <c r="B882" t="s">
        <v>421</v>
      </c>
      <c r="C882" s="14" t="s">
        <v>109</v>
      </c>
      <c r="D882" s="12">
        <v>46236</v>
      </c>
      <c r="E882" s="14" t="s">
        <v>134</v>
      </c>
      <c r="F882" s="14"/>
      <c r="G882">
        <v>5.2199566160520607</v>
      </c>
      <c r="H882">
        <v>8.5499999999999989</v>
      </c>
      <c r="J882">
        <v>8.5499999999999989</v>
      </c>
      <c r="M882">
        <v>4.014763552479816</v>
      </c>
      <c r="Q882">
        <v>0</v>
      </c>
      <c r="R882">
        <v>0</v>
      </c>
      <c r="S882">
        <v>0.87001329787234039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0.11718749999999999</v>
      </c>
      <c r="Z882">
        <v>0.38464747601168126</v>
      </c>
      <c r="AA882">
        <v>0.14660252398831872</v>
      </c>
      <c r="AB882">
        <v>0</v>
      </c>
      <c r="AC882">
        <v>0.12935516822498697</v>
      </c>
      <c r="AD882">
        <v>0</v>
      </c>
      <c r="AE882">
        <v>0.33939483177501301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hidden="1" x14ac:dyDescent="0.25">
      <c r="A883" t="s">
        <v>128</v>
      </c>
      <c r="B883" t="s">
        <v>422</v>
      </c>
      <c r="C883" s="14" t="s">
        <v>109</v>
      </c>
      <c r="D883" s="12">
        <v>46236</v>
      </c>
      <c r="E883" s="14" t="s">
        <v>134</v>
      </c>
      <c r="F883" s="14"/>
      <c r="G883">
        <v>7.1027814759848873</v>
      </c>
      <c r="H883">
        <v>6.6499999999999995</v>
      </c>
      <c r="J883">
        <v>6.6499999999999995</v>
      </c>
      <c r="M883">
        <v>3.0347120098039211</v>
      </c>
      <c r="Q883">
        <v>0</v>
      </c>
      <c r="R883">
        <v>0</v>
      </c>
      <c r="S883">
        <v>0.40698504659714047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7.9103493737640113E-2</v>
      </c>
      <c r="Z883">
        <v>2.849011606391727E-2</v>
      </c>
      <c r="AA883">
        <v>0.5213454897712988</v>
      </c>
      <c r="AB883">
        <v>0</v>
      </c>
      <c r="AC883">
        <v>5.1397664433213544E-2</v>
      </c>
      <c r="AD883">
        <v>0</v>
      </c>
      <c r="AE883">
        <v>0.3987667297315704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36" hidden="1" x14ac:dyDescent="0.25">
      <c r="A884" t="s">
        <v>128</v>
      </c>
      <c r="B884" t="s">
        <v>291</v>
      </c>
      <c r="C884" s="14" t="s">
        <v>109</v>
      </c>
      <c r="D884" s="12">
        <v>46237</v>
      </c>
      <c r="E884" s="14" t="s">
        <v>133</v>
      </c>
      <c r="F884" s="14"/>
      <c r="G884">
        <v>27.064943963236065</v>
      </c>
      <c r="H884">
        <v>40.849999999999994</v>
      </c>
      <c r="J884">
        <v>40.849999999999994</v>
      </c>
      <c r="M884">
        <v>28.1875</v>
      </c>
      <c r="Q884">
        <v>1.1772154232000228E-2</v>
      </c>
      <c r="R884">
        <v>0</v>
      </c>
      <c r="S884">
        <v>0.63216553447003376</v>
      </c>
      <c r="T884">
        <v>0</v>
      </c>
      <c r="U884">
        <v>0</v>
      </c>
      <c r="V884">
        <v>0</v>
      </c>
      <c r="W884">
        <v>2.9704230802780156E-2</v>
      </c>
      <c r="X884">
        <v>0</v>
      </c>
      <c r="Y884">
        <v>0.11062840952986018</v>
      </c>
      <c r="Z884">
        <v>0.26316565759927607</v>
      </c>
      <c r="AA884">
        <v>0</v>
      </c>
      <c r="AB884">
        <v>0</v>
      </c>
      <c r="AC884">
        <v>0</v>
      </c>
      <c r="AD884">
        <v>0</v>
      </c>
      <c r="AE884">
        <v>0.73683434240072387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 hidden="1" x14ac:dyDescent="0.25">
      <c r="A885" t="s">
        <v>128</v>
      </c>
      <c r="B885" t="s">
        <v>421</v>
      </c>
      <c r="C885" s="14" t="s">
        <v>109</v>
      </c>
      <c r="D885" s="12">
        <v>46237</v>
      </c>
      <c r="E885" s="14" t="s">
        <v>133</v>
      </c>
      <c r="F885" s="14"/>
      <c r="G885">
        <v>22.497043787350954</v>
      </c>
      <c r="H885">
        <v>42.749999999999993</v>
      </c>
      <c r="J885">
        <v>42.749999999999993</v>
      </c>
      <c r="M885">
        <v>47.96908229638008</v>
      </c>
      <c r="Q885">
        <v>0.87912016110838176</v>
      </c>
      <c r="R885">
        <v>0</v>
      </c>
      <c r="S885">
        <v>0.82552209218690842</v>
      </c>
      <c r="T885">
        <v>0</v>
      </c>
      <c r="U885">
        <v>0.14272959069549199</v>
      </c>
      <c r="V885">
        <v>0</v>
      </c>
      <c r="W885">
        <v>0.1103896103896104</v>
      </c>
      <c r="X885">
        <v>0</v>
      </c>
      <c r="Y885">
        <v>0</v>
      </c>
      <c r="Z885">
        <v>0.17839162473394532</v>
      </c>
      <c r="AA885">
        <v>0</v>
      </c>
      <c r="AB885">
        <v>0</v>
      </c>
      <c r="AC885">
        <v>0</v>
      </c>
      <c r="AD885">
        <v>0</v>
      </c>
      <c r="AE885">
        <v>0.82160837526605468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 hidden="1" x14ac:dyDescent="0.25">
      <c r="A886" t="s">
        <v>128</v>
      </c>
      <c r="B886" t="s">
        <v>422</v>
      </c>
      <c r="C886" s="14" t="s">
        <v>109</v>
      </c>
      <c r="D886" s="12">
        <v>46237</v>
      </c>
      <c r="E886" s="14" t="s">
        <v>133</v>
      </c>
      <c r="F886" s="14"/>
      <c r="G886">
        <v>27.064943963236065</v>
      </c>
      <c r="H886">
        <v>34.199999999999996</v>
      </c>
      <c r="J886">
        <v>34.199999999999996</v>
      </c>
      <c r="M886">
        <v>20.45588235294117</v>
      </c>
      <c r="Q886">
        <v>0</v>
      </c>
      <c r="R886">
        <v>0</v>
      </c>
      <c r="S886">
        <v>0.39938361944207956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0.10966735966735966</v>
      </c>
      <c r="Z886">
        <v>0.10349108411092965</v>
      </c>
      <c r="AA886">
        <v>0.14193267129333911</v>
      </c>
      <c r="AB886">
        <v>0</v>
      </c>
      <c r="AC886">
        <v>0.10226002385032641</v>
      </c>
      <c r="AD886">
        <v>0</v>
      </c>
      <c r="AE886">
        <v>0.65231622074540485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hidden="1" x14ac:dyDescent="0.25">
      <c r="A887" t="s">
        <v>128</v>
      </c>
      <c r="B887" t="s">
        <v>291</v>
      </c>
      <c r="C887" s="14" t="s">
        <v>109</v>
      </c>
      <c r="D887" s="12">
        <v>46237</v>
      </c>
      <c r="E887" s="14" t="s">
        <v>420</v>
      </c>
      <c r="F887" s="14"/>
      <c r="G887">
        <v>6.7786480661254069</v>
      </c>
      <c r="H887">
        <v>6.6499999999999995</v>
      </c>
      <c r="J887">
        <v>6.6499999999999995</v>
      </c>
      <c r="M887">
        <v>7.5155709342560542</v>
      </c>
      <c r="Q887">
        <v>2.4127096675974773E-2</v>
      </c>
      <c r="R887">
        <v>0</v>
      </c>
      <c r="S887">
        <v>0.25493813543596827</v>
      </c>
      <c r="T887">
        <v>0</v>
      </c>
      <c r="U887">
        <v>0</v>
      </c>
      <c r="V887">
        <v>0</v>
      </c>
      <c r="W887">
        <v>8.4585269114666253E-2</v>
      </c>
      <c r="X887">
        <v>0</v>
      </c>
      <c r="Y887">
        <v>3.2602230885333747E-2</v>
      </c>
      <c r="Z887">
        <v>0.39110406076067189</v>
      </c>
      <c r="AA887">
        <v>0</v>
      </c>
      <c r="AB887">
        <v>0</v>
      </c>
      <c r="AC887">
        <v>0</v>
      </c>
      <c r="AD887">
        <v>0</v>
      </c>
      <c r="AE887">
        <v>0.60889593923932817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hidden="1" x14ac:dyDescent="0.25">
      <c r="A888" t="s">
        <v>128</v>
      </c>
      <c r="B888" t="s">
        <v>421</v>
      </c>
      <c r="C888" s="14" t="s">
        <v>109</v>
      </c>
      <c r="D888" s="12">
        <v>46237</v>
      </c>
      <c r="E888" s="14" t="s">
        <v>420</v>
      </c>
      <c r="F888" s="14"/>
      <c r="G888">
        <v>3.2997955746152661</v>
      </c>
      <c r="H888">
        <v>0.95</v>
      </c>
      <c r="J888">
        <v>0.95</v>
      </c>
      <c r="M888">
        <v>2.7692307692307687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0.27973760865005931</v>
      </c>
      <c r="AA888">
        <v>0.43236576911425467</v>
      </c>
      <c r="AB888">
        <v>0</v>
      </c>
      <c r="AC888">
        <v>8.159013585626821E-3</v>
      </c>
      <c r="AD888">
        <v>0</v>
      </c>
      <c r="AE888">
        <v>0.27973760865005926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 hidden="1" x14ac:dyDescent="0.25">
      <c r="A889" t="s">
        <v>128</v>
      </c>
      <c r="B889" t="s">
        <v>422</v>
      </c>
      <c r="C889" s="14" t="s">
        <v>109</v>
      </c>
      <c r="D889" s="12">
        <v>46237</v>
      </c>
      <c r="E889" s="14" t="s">
        <v>420</v>
      </c>
      <c r="F889" s="14"/>
      <c r="G889">
        <v>6.7786480661254069</v>
      </c>
      <c r="H889">
        <v>0.95</v>
      </c>
      <c r="J889">
        <v>0.95</v>
      </c>
      <c r="M889">
        <v>0.98961937716262982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2.450193073570478E-2</v>
      </c>
      <c r="AA889">
        <v>0.83535213002496711</v>
      </c>
      <c r="AB889">
        <v>0</v>
      </c>
      <c r="AC889">
        <v>1.8657199341458517E-2</v>
      </c>
      <c r="AD889">
        <v>0</v>
      </c>
      <c r="AE889">
        <v>0.12148873989786954</v>
      </c>
      <c r="AF889">
        <v>0</v>
      </c>
      <c r="AG889">
        <v>0</v>
      </c>
      <c r="AH889">
        <v>0</v>
      </c>
      <c r="AI889">
        <v>0</v>
      </c>
      <c r="AJ889">
        <v>0</v>
      </c>
    </row>
    <row r="890" spans="1:36" hidden="1" x14ac:dyDescent="0.25">
      <c r="A890" t="s">
        <v>128</v>
      </c>
      <c r="B890" t="s">
        <v>291</v>
      </c>
      <c r="C890" s="14" t="s">
        <v>109</v>
      </c>
      <c r="D890" s="12">
        <v>46237</v>
      </c>
      <c r="E890" s="14" t="s">
        <v>134</v>
      </c>
      <c r="F890" s="14"/>
      <c r="G890">
        <v>10.465131474298435</v>
      </c>
      <c r="H890">
        <v>8.5499999999999989</v>
      </c>
      <c r="J890">
        <v>8.5499999999999989</v>
      </c>
      <c r="M890">
        <v>11.750865051903112</v>
      </c>
      <c r="Q890">
        <v>0.14870397604922134</v>
      </c>
      <c r="R890">
        <v>0</v>
      </c>
      <c r="S890">
        <v>0.18324156400071268</v>
      </c>
      <c r="T890">
        <v>0</v>
      </c>
      <c r="U890">
        <v>2.7752247885382338E-2</v>
      </c>
      <c r="V890">
        <v>0</v>
      </c>
      <c r="W890">
        <v>3.0423354398523568E-2</v>
      </c>
      <c r="X890">
        <v>0</v>
      </c>
      <c r="Y890">
        <v>0</v>
      </c>
      <c r="Z890">
        <v>0.34039758213925597</v>
      </c>
      <c r="AA890">
        <v>8.4020770418258603E-2</v>
      </c>
      <c r="AB890">
        <v>0</v>
      </c>
      <c r="AC890">
        <v>0</v>
      </c>
      <c r="AD890">
        <v>0</v>
      </c>
      <c r="AE890">
        <v>0.5755816474424853</v>
      </c>
      <c r="AF890">
        <v>0</v>
      </c>
      <c r="AG890">
        <v>0</v>
      </c>
      <c r="AH890">
        <v>0</v>
      </c>
      <c r="AI890">
        <v>0</v>
      </c>
      <c r="AJ890">
        <v>0</v>
      </c>
    </row>
    <row r="891" spans="1:36" hidden="1" x14ac:dyDescent="0.25">
      <c r="A891" t="s">
        <v>128</v>
      </c>
      <c r="B891" t="s">
        <v>421</v>
      </c>
      <c r="C891" s="14" t="s">
        <v>109</v>
      </c>
      <c r="D891" s="12">
        <v>46237</v>
      </c>
      <c r="E891" s="14" t="s">
        <v>134</v>
      </c>
      <c r="F891" s="14"/>
      <c r="G891">
        <v>7.7432754880694139</v>
      </c>
      <c r="H891">
        <v>4.75</v>
      </c>
      <c r="J891">
        <v>4.75</v>
      </c>
      <c r="M891">
        <v>4.014763552479816</v>
      </c>
      <c r="Q891">
        <v>0</v>
      </c>
      <c r="R891">
        <v>0</v>
      </c>
      <c r="S891">
        <v>9.5751684338800686E-2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7.8999341672152737E-2</v>
      </c>
      <c r="Z891">
        <v>0.25930152431597209</v>
      </c>
      <c r="AA891">
        <v>0.30201401082052581</v>
      </c>
      <c r="AB891">
        <v>0</v>
      </c>
      <c r="AC891">
        <v>0.17950210485098392</v>
      </c>
      <c r="AD891">
        <v>0</v>
      </c>
      <c r="AE891">
        <v>0.25918236001251815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hidden="1" x14ac:dyDescent="0.25">
      <c r="A892" t="s">
        <v>128</v>
      </c>
      <c r="B892" t="s">
        <v>422</v>
      </c>
      <c r="C892" s="14" t="s">
        <v>109</v>
      </c>
      <c r="D892" s="12">
        <v>46237</v>
      </c>
      <c r="E892" s="14" t="s">
        <v>134</v>
      </c>
      <c r="F892" s="14"/>
      <c r="G892">
        <v>10.465131474298435</v>
      </c>
      <c r="H892">
        <v>2.8499999999999996</v>
      </c>
      <c r="J892">
        <v>2.8499999999999996</v>
      </c>
      <c r="M892">
        <v>4.8655132641291825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0.19259321004032576</v>
      </c>
      <c r="AA892">
        <v>0.53507385205063962</v>
      </c>
      <c r="AB892">
        <v>0</v>
      </c>
      <c r="AC892">
        <v>0</v>
      </c>
      <c r="AD892">
        <v>0</v>
      </c>
      <c r="AE892">
        <v>0.27233293790903462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hidden="1" x14ac:dyDescent="0.25">
      <c r="A893" t="s">
        <v>128</v>
      </c>
      <c r="B893" t="s">
        <v>291</v>
      </c>
      <c r="C893" s="14" t="s">
        <v>109</v>
      </c>
      <c r="D893" s="12">
        <v>46238</v>
      </c>
      <c r="E893" s="14" t="s">
        <v>133</v>
      </c>
      <c r="F893" s="14"/>
      <c r="G893">
        <v>28.218439495972738</v>
      </c>
      <c r="H893">
        <v>64.599999999999994</v>
      </c>
      <c r="J893">
        <v>64.599999999999994</v>
      </c>
      <c r="M893">
        <v>30</v>
      </c>
      <c r="Q893">
        <v>3.5062424803778175E-3</v>
      </c>
      <c r="R893">
        <v>0</v>
      </c>
      <c r="S893">
        <v>1.2796428651227896</v>
      </c>
      <c r="T893">
        <v>0</v>
      </c>
      <c r="U893">
        <v>0</v>
      </c>
      <c r="V893">
        <v>0</v>
      </c>
      <c r="W893">
        <v>5.9628379272236125E-2</v>
      </c>
      <c r="X893">
        <v>0</v>
      </c>
      <c r="Y893">
        <v>7.496783209366617E-2</v>
      </c>
      <c r="Z893">
        <v>0.12495585764806301</v>
      </c>
      <c r="AA893">
        <v>0</v>
      </c>
      <c r="AB893">
        <v>0</v>
      </c>
      <c r="AC893">
        <v>0</v>
      </c>
      <c r="AD893">
        <v>0</v>
      </c>
      <c r="AE893">
        <v>0.87504414235193695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hidden="1" x14ac:dyDescent="0.25">
      <c r="A894" t="s">
        <v>128</v>
      </c>
      <c r="B894" t="s">
        <v>421</v>
      </c>
      <c r="C894" s="14" t="s">
        <v>109</v>
      </c>
      <c r="D894" s="12">
        <v>46238</v>
      </c>
      <c r="E894" s="14" t="s">
        <v>133</v>
      </c>
      <c r="F894" s="14"/>
      <c r="G894">
        <v>22.438609907383807</v>
      </c>
      <c r="H894">
        <v>47.5</v>
      </c>
      <c r="J894">
        <v>47.5</v>
      </c>
      <c r="M894">
        <v>44.015613805618401</v>
      </c>
      <c r="Q894">
        <v>0.68173799630810838</v>
      </c>
      <c r="R894">
        <v>0</v>
      </c>
      <c r="S894">
        <v>0.94237186150682462</v>
      </c>
      <c r="T894">
        <v>0</v>
      </c>
      <c r="U894">
        <v>0.15541452582529655</v>
      </c>
      <c r="V894">
        <v>3.5707140512975952E-2</v>
      </c>
      <c r="W894">
        <v>0.12444910948702408</v>
      </c>
      <c r="X894">
        <v>0</v>
      </c>
      <c r="Y894">
        <v>0</v>
      </c>
      <c r="Z894">
        <v>0.1053485686155711</v>
      </c>
      <c r="AA894">
        <v>0</v>
      </c>
      <c r="AB894">
        <v>0</v>
      </c>
      <c r="AC894">
        <v>0</v>
      </c>
      <c r="AD894">
        <v>0</v>
      </c>
      <c r="AE894">
        <v>0.6967347647177623</v>
      </c>
      <c r="AF894">
        <v>0</v>
      </c>
      <c r="AG894">
        <v>0</v>
      </c>
      <c r="AH894">
        <v>0</v>
      </c>
      <c r="AI894">
        <v>0</v>
      </c>
      <c r="AJ894">
        <v>0</v>
      </c>
    </row>
    <row r="895" spans="1:36" hidden="1" x14ac:dyDescent="0.25">
      <c r="A895" t="s">
        <v>128</v>
      </c>
      <c r="B895" t="s">
        <v>422</v>
      </c>
      <c r="C895" s="14" t="s">
        <v>109</v>
      </c>
      <c r="D895" s="12">
        <v>46238</v>
      </c>
      <c r="E895" s="14" t="s">
        <v>133</v>
      </c>
      <c r="F895" s="14"/>
      <c r="G895">
        <v>28.218439495972738</v>
      </c>
      <c r="H895">
        <v>38</v>
      </c>
      <c r="J895">
        <v>38</v>
      </c>
      <c r="M895">
        <v>21.624999999999996</v>
      </c>
      <c r="Q895">
        <v>0</v>
      </c>
      <c r="R895">
        <v>0</v>
      </c>
      <c r="S895">
        <v>0.39929301780566184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0.13418209111614787</v>
      </c>
      <c r="Z895">
        <v>8.3018306492740918E-2</v>
      </c>
      <c r="AA895">
        <v>0.10381961487575793</v>
      </c>
      <c r="AB895">
        <v>0</v>
      </c>
      <c r="AC895">
        <v>0.1298375119442329</v>
      </c>
      <c r="AD895">
        <v>0</v>
      </c>
      <c r="AE895">
        <v>0.68332456668726815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 hidden="1" x14ac:dyDescent="0.25">
      <c r="A896" t="s">
        <v>128</v>
      </c>
      <c r="B896" t="s">
        <v>291</v>
      </c>
      <c r="C896" s="14" t="s">
        <v>109</v>
      </c>
      <c r="D896" s="12">
        <v>46238</v>
      </c>
      <c r="E896" s="14" t="s">
        <v>420</v>
      </c>
      <c r="F896" s="14"/>
      <c r="G896">
        <v>6.8316062541420122</v>
      </c>
      <c r="H896">
        <v>17.100000000000001</v>
      </c>
      <c r="J896">
        <v>17.100000000000001</v>
      </c>
      <c r="M896">
        <v>6.6332179930795832</v>
      </c>
      <c r="Q896">
        <v>2.3940064918796793E-2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0.25172248397851221</v>
      </c>
      <c r="AA896">
        <v>5.2979832973658714E-2</v>
      </c>
      <c r="AB896">
        <v>0</v>
      </c>
      <c r="AC896">
        <v>0</v>
      </c>
      <c r="AD896">
        <v>0</v>
      </c>
      <c r="AE896">
        <v>0.69529768304782913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hidden="1" x14ac:dyDescent="0.25">
      <c r="A897" t="s">
        <v>128</v>
      </c>
      <c r="B897" t="s">
        <v>421</v>
      </c>
      <c r="C897" s="14" t="s">
        <v>109</v>
      </c>
      <c r="D897" s="12">
        <v>46238</v>
      </c>
      <c r="E897" s="14" t="s">
        <v>420</v>
      </c>
      <c r="F897" s="14"/>
      <c r="G897">
        <v>3.2997955746152661</v>
      </c>
      <c r="H897">
        <v>3.8</v>
      </c>
      <c r="J897">
        <v>3.8</v>
      </c>
      <c r="M897">
        <v>1.9579451690178331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0.30545685216738094</v>
      </c>
      <c r="AA897">
        <v>0.40664652559693298</v>
      </c>
      <c r="AB897">
        <v>0</v>
      </c>
      <c r="AC897">
        <v>0</v>
      </c>
      <c r="AD897">
        <v>0</v>
      </c>
      <c r="AE897">
        <v>0.28789662223568607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 hidden="1" x14ac:dyDescent="0.25">
      <c r="A898" t="s">
        <v>128</v>
      </c>
      <c r="B898" t="s">
        <v>422</v>
      </c>
      <c r="C898" s="14" t="s">
        <v>109</v>
      </c>
      <c r="D898" s="12">
        <v>46238</v>
      </c>
      <c r="E898" s="14" t="s">
        <v>420</v>
      </c>
      <c r="F898" s="14"/>
      <c r="G898">
        <v>6.8316062541420122</v>
      </c>
      <c r="H898">
        <v>3.8</v>
      </c>
      <c r="J898">
        <v>3.8</v>
      </c>
      <c r="M898">
        <v>0.98961937716262982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2.4311993288141175E-2</v>
      </c>
      <c r="AA898">
        <v>0.83662847010229302</v>
      </c>
      <c r="AB898">
        <v>0</v>
      </c>
      <c r="AC898">
        <v>1.8512569889199148E-2</v>
      </c>
      <c r="AD898">
        <v>0</v>
      </c>
      <c r="AE898">
        <v>0.12054696672036667</v>
      </c>
      <c r="AF898">
        <v>0</v>
      </c>
      <c r="AG898">
        <v>0</v>
      </c>
      <c r="AH898">
        <v>0</v>
      </c>
      <c r="AI898">
        <v>0</v>
      </c>
      <c r="AJ898">
        <v>0</v>
      </c>
    </row>
    <row r="899" spans="1:36" hidden="1" x14ac:dyDescent="0.25">
      <c r="A899" t="s">
        <v>128</v>
      </c>
      <c r="B899" t="s">
        <v>291</v>
      </c>
      <c r="C899" s="14" t="s">
        <v>109</v>
      </c>
      <c r="D899" s="12">
        <v>46238</v>
      </c>
      <c r="E899" s="14" t="s">
        <v>134</v>
      </c>
      <c r="F899" s="14"/>
      <c r="G899">
        <v>10.465131474298435</v>
      </c>
      <c r="H899">
        <v>16.149999999999999</v>
      </c>
      <c r="J899">
        <v>16.149999999999999</v>
      </c>
      <c r="M899">
        <v>11.515570934256051</v>
      </c>
      <c r="Q899">
        <v>0.14870397604922134</v>
      </c>
      <c r="R899">
        <v>0</v>
      </c>
      <c r="S899">
        <v>0.81868508578846011</v>
      </c>
      <c r="T899">
        <v>0</v>
      </c>
      <c r="U899">
        <v>2.7752247885382338E-2</v>
      </c>
      <c r="V899">
        <v>0</v>
      </c>
      <c r="W899">
        <v>3.0423354398523568E-2</v>
      </c>
      <c r="X899">
        <v>0</v>
      </c>
      <c r="Y899">
        <v>0</v>
      </c>
      <c r="Z899">
        <v>0.22713630868482768</v>
      </c>
      <c r="AA899">
        <v>0.1065043979030087</v>
      </c>
      <c r="AB899">
        <v>0</v>
      </c>
      <c r="AC899">
        <v>0</v>
      </c>
      <c r="AD899">
        <v>0</v>
      </c>
      <c r="AE899">
        <v>0.6663592934121636</v>
      </c>
      <c r="AF899">
        <v>0</v>
      </c>
      <c r="AG899">
        <v>0</v>
      </c>
      <c r="AH899">
        <v>0</v>
      </c>
      <c r="AI899">
        <v>0</v>
      </c>
      <c r="AJ899">
        <v>0</v>
      </c>
    </row>
    <row r="900" spans="1:36" hidden="1" x14ac:dyDescent="0.25">
      <c r="A900" t="s">
        <v>128</v>
      </c>
      <c r="B900" t="s">
        <v>421</v>
      </c>
      <c r="C900" s="14" t="s">
        <v>109</v>
      </c>
      <c r="D900" s="12">
        <v>46238</v>
      </c>
      <c r="E900" s="14" t="s">
        <v>134</v>
      </c>
      <c r="F900" s="14"/>
      <c r="G900">
        <v>8.9667028199566161</v>
      </c>
      <c r="H900">
        <v>3.8</v>
      </c>
      <c r="J900">
        <v>3.8</v>
      </c>
      <c r="M900">
        <v>4.014763552479816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4.4960265140977042E-2</v>
      </c>
      <c r="Z900">
        <v>0.22392212361339489</v>
      </c>
      <c r="AA900">
        <v>0.39724802867332504</v>
      </c>
      <c r="AB900">
        <v>0</v>
      </c>
      <c r="AC900">
        <v>0.15501062948757507</v>
      </c>
      <c r="AD900">
        <v>0</v>
      </c>
      <c r="AE900">
        <v>0.22381921822570497</v>
      </c>
      <c r="AF900">
        <v>0</v>
      </c>
      <c r="AG900">
        <v>0</v>
      </c>
      <c r="AH900">
        <v>0</v>
      </c>
      <c r="AI900">
        <v>0</v>
      </c>
      <c r="AJ900">
        <v>0</v>
      </c>
    </row>
    <row r="901" spans="1:36" hidden="1" x14ac:dyDescent="0.25">
      <c r="A901" t="s">
        <v>128</v>
      </c>
      <c r="B901" t="s">
        <v>422</v>
      </c>
      <c r="C901" s="14" t="s">
        <v>109</v>
      </c>
      <c r="D901" s="12">
        <v>46238</v>
      </c>
      <c r="E901" s="14" t="s">
        <v>134</v>
      </c>
      <c r="F901" s="14"/>
      <c r="G901">
        <v>10.465131474298435</v>
      </c>
      <c r="H901">
        <v>3.8</v>
      </c>
      <c r="J901">
        <v>3.8</v>
      </c>
      <c r="M901">
        <v>4.9070357554786614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0.2299887728127554</v>
      </c>
      <c r="AA901">
        <v>0.40690064330853165</v>
      </c>
      <c r="AB901">
        <v>0</v>
      </c>
      <c r="AC901">
        <v>0.12420550977421092</v>
      </c>
      <c r="AD901">
        <v>0</v>
      </c>
      <c r="AE901">
        <v>0.23890507410450196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hidden="1" x14ac:dyDescent="0.25">
      <c r="A902" t="s">
        <v>128</v>
      </c>
      <c r="B902" t="s">
        <v>291</v>
      </c>
      <c r="C902" s="14" t="s">
        <v>109</v>
      </c>
      <c r="D902" s="12">
        <v>46239</v>
      </c>
      <c r="E902" s="14" t="s">
        <v>133</v>
      </c>
      <c r="F902" s="14"/>
      <c r="G902">
        <v>27.599490673528674</v>
      </c>
      <c r="H902">
        <v>36.1</v>
      </c>
      <c r="J902">
        <v>36.1</v>
      </c>
      <c r="M902">
        <v>30.375</v>
      </c>
      <c r="Q902">
        <v>5.0415722660868641E-2</v>
      </c>
      <c r="R902">
        <v>0</v>
      </c>
      <c r="S902">
        <v>0.48536523705423285</v>
      </c>
      <c r="T902">
        <v>0</v>
      </c>
      <c r="U902">
        <v>1.1921765553295568E-2</v>
      </c>
      <c r="V902">
        <v>0</v>
      </c>
      <c r="W902">
        <v>3.8226299694189607E-2</v>
      </c>
      <c r="X902">
        <v>0</v>
      </c>
      <c r="Y902">
        <v>0</v>
      </c>
      <c r="Z902">
        <v>0.22751815025261274</v>
      </c>
      <c r="AA902">
        <v>0</v>
      </c>
      <c r="AB902">
        <v>0</v>
      </c>
      <c r="AC902">
        <v>0</v>
      </c>
      <c r="AD902">
        <v>0</v>
      </c>
      <c r="AE902">
        <v>0.77248184974738709</v>
      </c>
      <c r="AF902">
        <v>0</v>
      </c>
      <c r="AG902">
        <v>0</v>
      </c>
      <c r="AH902">
        <v>0</v>
      </c>
      <c r="AI902">
        <v>0</v>
      </c>
      <c r="AJ902">
        <v>0</v>
      </c>
    </row>
    <row r="903" spans="1:36" hidden="1" x14ac:dyDescent="0.25">
      <c r="A903" t="s">
        <v>128</v>
      </c>
      <c r="B903" t="s">
        <v>421</v>
      </c>
      <c r="C903" s="14" t="s">
        <v>109</v>
      </c>
      <c r="D903" s="12">
        <v>46239</v>
      </c>
      <c r="E903" s="14" t="s">
        <v>133</v>
      </c>
      <c r="F903" s="14"/>
      <c r="G903">
        <v>22.43860990738381</v>
      </c>
      <c r="H903">
        <v>17.099999999999998</v>
      </c>
      <c r="J903">
        <v>17.099999999999998</v>
      </c>
      <c r="M903">
        <v>45.781011972096522</v>
      </c>
      <c r="Q903">
        <v>1.0402784379718415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0.23792070584671335</v>
      </c>
      <c r="AA903">
        <v>0</v>
      </c>
      <c r="AB903">
        <v>0</v>
      </c>
      <c r="AC903">
        <v>0</v>
      </c>
      <c r="AD903">
        <v>0</v>
      </c>
      <c r="AE903">
        <v>0.76207929415328657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 hidden="1" x14ac:dyDescent="0.25">
      <c r="A904" t="s">
        <v>128</v>
      </c>
      <c r="B904" t="s">
        <v>422</v>
      </c>
      <c r="C904" s="14" t="s">
        <v>109</v>
      </c>
      <c r="D904" s="12">
        <v>46239</v>
      </c>
      <c r="E904" s="14" t="s">
        <v>133</v>
      </c>
      <c r="F904" s="14"/>
      <c r="G904">
        <v>27.599490673528674</v>
      </c>
      <c r="H904">
        <v>17.099999999999998</v>
      </c>
      <c r="J904">
        <v>17.099999999999998</v>
      </c>
      <c r="M904">
        <v>19.169117647058812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8.8716470920716703E-2</v>
      </c>
      <c r="AA904">
        <v>0.29170687810865453</v>
      </c>
      <c r="AB904">
        <v>0</v>
      </c>
      <c r="AC904">
        <v>1.374705675528225E-2</v>
      </c>
      <c r="AD904">
        <v>0</v>
      </c>
      <c r="AE904">
        <v>0.60582959421534643</v>
      </c>
      <c r="AF904">
        <v>0</v>
      </c>
      <c r="AG904">
        <v>0</v>
      </c>
      <c r="AH904">
        <v>0</v>
      </c>
      <c r="AI904">
        <v>0</v>
      </c>
      <c r="AJ904">
        <v>0</v>
      </c>
    </row>
    <row r="905" spans="1:36" hidden="1" x14ac:dyDescent="0.25">
      <c r="A905" t="s">
        <v>128</v>
      </c>
      <c r="B905" t="s">
        <v>291</v>
      </c>
      <c r="C905" s="14" t="s">
        <v>109</v>
      </c>
      <c r="D905" s="12">
        <v>46239</v>
      </c>
      <c r="E905" s="14" t="s">
        <v>420</v>
      </c>
      <c r="F905" s="14"/>
      <c r="G905">
        <v>6.7786480661254069</v>
      </c>
      <c r="H905">
        <v>9.4999999999999982</v>
      </c>
      <c r="J905">
        <v>9.4999999999999982</v>
      </c>
      <c r="M905">
        <v>7.5155709342560542</v>
      </c>
      <c r="Q905">
        <v>0.10871236579064103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0.43941624304268784</v>
      </c>
      <c r="AA905">
        <v>0</v>
      </c>
      <c r="AB905">
        <v>0</v>
      </c>
      <c r="AC905">
        <v>0</v>
      </c>
      <c r="AD905">
        <v>0</v>
      </c>
      <c r="AE905">
        <v>0.56058375695731222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hidden="1" x14ac:dyDescent="0.25">
      <c r="A906" t="s">
        <v>128</v>
      </c>
      <c r="B906" t="s">
        <v>421</v>
      </c>
      <c r="C906" s="14" t="s">
        <v>109</v>
      </c>
      <c r="D906" s="12">
        <v>46239</v>
      </c>
      <c r="E906" s="14" t="s">
        <v>420</v>
      </c>
      <c r="F906" s="14"/>
      <c r="G906">
        <v>3.4647853533460293</v>
      </c>
      <c r="H906">
        <v>2.8499999999999996</v>
      </c>
      <c r="J906">
        <v>2.8499999999999996</v>
      </c>
      <c r="M906">
        <v>0.82352941176470573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8.8057058226703733E-2</v>
      </c>
      <c r="Z906">
        <v>0</v>
      </c>
      <c r="AA906">
        <v>0.26549528041045778</v>
      </c>
      <c r="AB906">
        <v>0</v>
      </c>
      <c r="AC906">
        <v>0.22263191048407652</v>
      </c>
      <c r="AD906">
        <v>0</v>
      </c>
      <c r="AE906">
        <v>0.23768554983338375</v>
      </c>
      <c r="AF906">
        <v>0.27418725927208198</v>
      </c>
      <c r="AG906">
        <v>0</v>
      </c>
      <c r="AH906">
        <v>0</v>
      </c>
      <c r="AI906">
        <v>0</v>
      </c>
      <c r="AJ906">
        <v>0</v>
      </c>
    </row>
    <row r="907" spans="1:36" hidden="1" x14ac:dyDescent="0.25">
      <c r="A907" t="s">
        <v>128</v>
      </c>
      <c r="B907" t="s">
        <v>422</v>
      </c>
      <c r="C907" s="14" t="s">
        <v>109</v>
      </c>
      <c r="D907" s="12">
        <v>46239</v>
      </c>
      <c r="E907" s="14" t="s">
        <v>420</v>
      </c>
      <c r="F907" s="14"/>
      <c r="G907">
        <v>6.7786480661254069</v>
      </c>
      <c r="H907">
        <v>2.8499999999999996</v>
      </c>
      <c r="J907">
        <v>2.8499999999999996</v>
      </c>
      <c r="M907">
        <v>2.803086869422692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0.10363080858205491</v>
      </c>
      <c r="AA907">
        <v>0.47593137369996097</v>
      </c>
      <c r="AB907">
        <v>0</v>
      </c>
      <c r="AC907">
        <v>0.11055152936880652</v>
      </c>
      <c r="AD907">
        <v>0</v>
      </c>
      <c r="AE907">
        <v>0.30988628834917759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hidden="1" x14ac:dyDescent="0.25">
      <c r="A908" t="s">
        <v>128</v>
      </c>
      <c r="B908" t="s">
        <v>291</v>
      </c>
      <c r="C908" s="14" t="s">
        <v>109</v>
      </c>
      <c r="D908" s="12">
        <v>46239</v>
      </c>
      <c r="E908" s="14" t="s">
        <v>134</v>
      </c>
      <c r="F908" s="14"/>
      <c r="G908">
        <v>9.8330447905423632</v>
      </c>
      <c r="H908">
        <v>7.6000000000000005</v>
      </c>
      <c r="J908">
        <v>7.6000000000000005</v>
      </c>
      <c r="M908">
        <v>11.522491349480966</v>
      </c>
      <c r="Q908">
        <v>0.19156072474252578</v>
      </c>
      <c r="R908">
        <v>0</v>
      </c>
      <c r="S908">
        <v>0.18993578272112346</v>
      </c>
      <c r="T908">
        <v>0</v>
      </c>
      <c r="U908">
        <v>0.13123411418495845</v>
      </c>
      <c r="V908">
        <v>0</v>
      </c>
      <c r="W908">
        <v>3.2379025058032251E-2</v>
      </c>
      <c r="X908">
        <v>0</v>
      </c>
      <c r="Y908">
        <v>0</v>
      </c>
      <c r="Z908">
        <v>0.39728418867367021</v>
      </c>
      <c r="AA908">
        <v>0.18336069777645475</v>
      </c>
      <c r="AB908">
        <v>0</v>
      </c>
      <c r="AC908">
        <v>0</v>
      </c>
      <c r="AD908">
        <v>0</v>
      </c>
      <c r="AE908">
        <v>0.41935511354987492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 hidden="1" x14ac:dyDescent="0.25">
      <c r="A909" t="s">
        <v>128</v>
      </c>
      <c r="B909" t="s">
        <v>421</v>
      </c>
      <c r="C909" s="14" t="s">
        <v>109</v>
      </c>
      <c r="D909" s="12">
        <v>46239</v>
      </c>
      <c r="E909" s="14" t="s">
        <v>134</v>
      </c>
      <c r="F909" s="14"/>
      <c r="G909">
        <v>7.743275488069413</v>
      </c>
      <c r="H909">
        <v>10.45</v>
      </c>
      <c r="J909">
        <v>10.45</v>
      </c>
      <c r="M909">
        <v>4.014763552479816</v>
      </c>
      <c r="Q909">
        <v>0</v>
      </c>
      <c r="R909">
        <v>0</v>
      </c>
      <c r="S909">
        <v>0.45146933172720027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0.1335319989354698</v>
      </c>
      <c r="Z909">
        <v>0.13661442614108105</v>
      </c>
      <c r="AA909">
        <v>9.8828824597786954E-2</v>
      </c>
      <c r="AB909">
        <v>0</v>
      </c>
      <c r="AC909">
        <v>0.38268729107372279</v>
      </c>
      <c r="AD909">
        <v>0</v>
      </c>
      <c r="AE909">
        <v>0.38186945818740931</v>
      </c>
      <c r="AF909">
        <v>0</v>
      </c>
      <c r="AG909">
        <v>0</v>
      </c>
      <c r="AH909">
        <v>0</v>
      </c>
      <c r="AI909">
        <v>0</v>
      </c>
      <c r="AJ909">
        <v>0</v>
      </c>
    </row>
    <row r="910" spans="1:36" hidden="1" x14ac:dyDescent="0.25">
      <c r="A910" t="s">
        <v>128</v>
      </c>
      <c r="B910" t="s">
        <v>422</v>
      </c>
      <c r="C910" s="14" t="s">
        <v>109</v>
      </c>
      <c r="D910" s="12">
        <v>46239</v>
      </c>
      <c r="E910" s="14" t="s">
        <v>134</v>
      </c>
      <c r="F910" s="14"/>
      <c r="G910">
        <v>9.8330447905423632</v>
      </c>
      <c r="H910">
        <v>8.5500000000000007</v>
      </c>
      <c r="J910">
        <v>8.5500000000000007</v>
      </c>
      <c r="M910">
        <v>4.6157128914914392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1.2557314321711867E-2</v>
      </c>
      <c r="Z910">
        <v>0</v>
      </c>
      <c r="AA910">
        <v>0.14304027436847416</v>
      </c>
      <c r="AB910">
        <v>0</v>
      </c>
      <c r="AC910">
        <v>0.38755142028841044</v>
      </c>
      <c r="AD910">
        <v>0</v>
      </c>
      <c r="AE910">
        <v>0.46940830534311534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hidden="1" x14ac:dyDescent="0.25">
      <c r="A911" t="s">
        <v>128</v>
      </c>
      <c r="B911" t="s">
        <v>291</v>
      </c>
      <c r="C911" s="14" t="s">
        <v>109</v>
      </c>
      <c r="D911" s="12">
        <v>46240</v>
      </c>
      <c r="E911" s="14" t="s">
        <v>133</v>
      </c>
      <c r="F911" s="14"/>
      <c r="G911">
        <v>26.924273776316959</v>
      </c>
      <c r="H911">
        <v>42.749999999999993</v>
      </c>
      <c r="J911">
        <v>42.749999999999993</v>
      </c>
      <c r="M911">
        <v>30.875</v>
      </c>
      <c r="Q911">
        <v>7.9181043272989526E-2</v>
      </c>
      <c r="R911">
        <v>0</v>
      </c>
      <c r="S911">
        <v>0.76440191174700722</v>
      </c>
      <c r="T911">
        <v>0</v>
      </c>
      <c r="U911">
        <v>1.2220743999773203E-2</v>
      </c>
      <c r="V911">
        <v>0</v>
      </c>
      <c r="W911">
        <v>5.5332949437505261E-2</v>
      </c>
      <c r="X911">
        <v>0</v>
      </c>
      <c r="Y911">
        <v>9.2786172819548013E-2</v>
      </c>
      <c r="Z911">
        <v>0.33695521948192414</v>
      </c>
      <c r="AA911">
        <v>0</v>
      </c>
      <c r="AB911">
        <v>0</v>
      </c>
      <c r="AC911">
        <v>0</v>
      </c>
      <c r="AD911">
        <v>0</v>
      </c>
      <c r="AE911">
        <v>0.6630447805180758</v>
      </c>
      <c r="AF911">
        <v>0</v>
      </c>
      <c r="AG911">
        <v>0</v>
      </c>
      <c r="AH911">
        <v>0</v>
      </c>
      <c r="AI911">
        <v>0</v>
      </c>
      <c r="AJ911">
        <v>0</v>
      </c>
    </row>
    <row r="912" spans="1:36" hidden="1" x14ac:dyDescent="0.25">
      <c r="A912" t="s">
        <v>128</v>
      </c>
      <c r="B912" t="s">
        <v>421</v>
      </c>
      <c r="C912" s="14" t="s">
        <v>109</v>
      </c>
      <c r="D912" s="12">
        <v>46240</v>
      </c>
      <c r="E912" s="14" t="s">
        <v>133</v>
      </c>
      <c r="F912" s="14"/>
      <c r="G912">
        <v>22.380176027416667</v>
      </c>
      <c r="H912">
        <v>32.299999999999997</v>
      </c>
      <c r="J912">
        <v>32.299999999999997</v>
      </c>
      <c r="M912">
        <v>44.325416745223734</v>
      </c>
      <c r="Q912">
        <v>0.78044659284338924</v>
      </c>
      <c r="R912">
        <v>0</v>
      </c>
      <c r="S912">
        <v>0.45967162201978201</v>
      </c>
      <c r="T912">
        <v>0</v>
      </c>
      <c r="U912">
        <v>8.915339579664007E-2</v>
      </c>
      <c r="V912">
        <v>0</v>
      </c>
      <c r="W912">
        <v>0.11096605744125326</v>
      </c>
      <c r="X912">
        <v>0</v>
      </c>
      <c r="Y912">
        <v>0</v>
      </c>
      <c r="Z912">
        <v>0.21654952253569826</v>
      </c>
      <c r="AA912">
        <v>0</v>
      </c>
      <c r="AB912">
        <v>0</v>
      </c>
      <c r="AC912">
        <v>0</v>
      </c>
      <c r="AD912">
        <v>0</v>
      </c>
      <c r="AE912">
        <v>0.78345047746430174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hidden="1" x14ac:dyDescent="0.25">
      <c r="A913" t="s">
        <v>128</v>
      </c>
      <c r="B913" t="s">
        <v>422</v>
      </c>
      <c r="C913" s="14" t="s">
        <v>109</v>
      </c>
      <c r="D913" s="12">
        <v>46240</v>
      </c>
      <c r="E913" s="14" t="s">
        <v>133</v>
      </c>
      <c r="F913" s="14"/>
      <c r="G913">
        <v>26.924273776316959</v>
      </c>
      <c r="H913">
        <v>22.799999999999997</v>
      </c>
      <c r="J913">
        <v>22.799999999999997</v>
      </c>
      <c r="M913">
        <v>18.60294117647058</v>
      </c>
      <c r="Q913">
        <v>0</v>
      </c>
      <c r="R913">
        <v>0</v>
      </c>
      <c r="S913">
        <v>1.9875485523916936E-2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0.10893416927899684</v>
      </c>
      <c r="Z913">
        <v>3.9908590027290677E-2</v>
      </c>
      <c r="AA913">
        <v>0.24208156689727134</v>
      </c>
      <c r="AB913">
        <v>0</v>
      </c>
      <c r="AC913">
        <v>6.6982761781705258E-2</v>
      </c>
      <c r="AD913">
        <v>0</v>
      </c>
      <c r="AE913">
        <v>0.65102708129373266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 hidden="1" x14ac:dyDescent="0.25">
      <c r="A914" t="s">
        <v>128</v>
      </c>
      <c r="B914" t="s">
        <v>291</v>
      </c>
      <c r="C914" s="14" t="s">
        <v>109</v>
      </c>
      <c r="D914" s="12">
        <v>46240</v>
      </c>
      <c r="E914" s="14" t="s">
        <v>420</v>
      </c>
      <c r="F914" s="14"/>
      <c r="G914">
        <v>6.7786480661254069</v>
      </c>
      <c r="H914">
        <v>6.6499999999999995</v>
      </c>
      <c r="J914">
        <v>6.6499999999999995</v>
      </c>
      <c r="M914">
        <v>7.5155709342560542</v>
      </c>
      <c r="Q914">
        <v>0.10871236579064103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0.57956218228201584</v>
      </c>
      <c r="AA914">
        <v>0</v>
      </c>
      <c r="AB914">
        <v>0</v>
      </c>
      <c r="AC914">
        <v>0</v>
      </c>
      <c r="AD914">
        <v>0</v>
      </c>
      <c r="AE914">
        <v>0.42043781771798416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hidden="1" x14ac:dyDescent="0.25">
      <c r="A915" t="s">
        <v>128</v>
      </c>
      <c r="B915" t="s">
        <v>421</v>
      </c>
      <c r="C915" s="14" t="s">
        <v>109</v>
      </c>
      <c r="D915" s="12">
        <v>46240</v>
      </c>
      <c r="E915" s="14" t="s">
        <v>420</v>
      </c>
      <c r="F915" s="14"/>
      <c r="G915">
        <v>3.2997955746152661</v>
      </c>
      <c r="H915">
        <v>2.8499999999999996</v>
      </c>
      <c r="J915">
        <v>2.8499999999999996</v>
      </c>
      <c r="M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0.42420675552862791</v>
      </c>
      <c r="AB915">
        <v>0</v>
      </c>
      <c r="AC915">
        <v>0</v>
      </c>
      <c r="AD915">
        <v>0</v>
      </c>
      <c r="AE915">
        <v>0</v>
      </c>
      <c r="AF915">
        <v>0.57579324447137215</v>
      </c>
      <c r="AG915">
        <v>0</v>
      </c>
      <c r="AH915">
        <v>0</v>
      </c>
      <c r="AI915">
        <v>0</v>
      </c>
      <c r="AJ915">
        <v>0</v>
      </c>
    </row>
    <row r="916" spans="1:36" hidden="1" x14ac:dyDescent="0.25">
      <c r="A916" t="s">
        <v>128</v>
      </c>
      <c r="B916" t="s">
        <v>422</v>
      </c>
      <c r="C916" s="14" t="s">
        <v>109</v>
      </c>
      <c r="D916" s="12">
        <v>46240</v>
      </c>
      <c r="E916" s="14" t="s">
        <v>420</v>
      </c>
      <c r="F916" s="14"/>
      <c r="G916">
        <v>6.7786480661254069</v>
      </c>
      <c r="H916">
        <v>2.8499999999999996</v>
      </c>
      <c r="J916">
        <v>2.8499999999999996</v>
      </c>
      <c r="M916">
        <v>2.097204516481515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0.10363080858205488</v>
      </c>
      <c r="AA916">
        <v>0.61607731293928902</v>
      </c>
      <c r="AB916">
        <v>0</v>
      </c>
      <c r="AC916">
        <v>7.4538795756223825E-2</v>
      </c>
      <c r="AD916">
        <v>0</v>
      </c>
      <c r="AE916">
        <v>0.20575308272243231</v>
      </c>
      <c r="AF916">
        <v>0</v>
      </c>
      <c r="AG916">
        <v>0</v>
      </c>
      <c r="AH916">
        <v>0</v>
      </c>
      <c r="AI916">
        <v>0</v>
      </c>
      <c r="AJ916">
        <v>0</v>
      </c>
    </row>
    <row r="917" spans="1:36" hidden="1" x14ac:dyDescent="0.25">
      <c r="A917" t="s">
        <v>128</v>
      </c>
      <c r="B917" t="s">
        <v>291</v>
      </c>
      <c r="C917" s="14" t="s">
        <v>109</v>
      </c>
      <c r="D917" s="12">
        <v>46240</v>
      </c>
      <c r="E917" s="14" t="s">
        <v>134</v>
      </c>
      <c r="F917" s="14"/>
      <c r="G917">
        <v>10.754837871019967</v>
      </c>
      <c r="H917">
        <v>5.7</v>
      </c>
      <c r="J917">
        <v>5.7</v>
      </c>
      <c r="M917">
        <v>13.692087051538881</v>
      </c>
      <c r="Q917">
        <v>0.2165010650969969</v>
      </c>
      <c r="R917">
        <v>0</v>
      </c>
      <c r="S917">
        <v>1.6408484288806689E-3</v>
      </c>
      <c r="T917">
        <v>0</v>
      </c>
      <c r="U917">
        <v>2.7004676993824639E-2</v>
      </c>
      <c r="V917">
        <v>0</v>
      </c>
      <c r="W917">
        <v>2.9603831084022633E-2</v>
      </c>
      <c r="X917">
        <v>0</v>
      </c>
      <c r="Y917">
        <v>0</v>
      </c>
      <c r="Z917">
        <v>0.52825531397827241</v>
      </c>
      <c r="AA917">
        <v>0</v>
      </c>
      <c r="AB917">
        <v>0</v>
      </c>
      <c r="AC917">
        <v>0</v>
      </c>
      <c r="AD917">
        <v>0</v>
      </c>
      <c r="AE917">
        <v>0.47174468602172753</v>
      </c>
      <c r="AF917">
        <v>0</v>
      </c>
      <c r="AG917">
        <v>0</v>
      </c>
      <c r="AH917">
        <v>0</v>
      </c>
      <c r="AI917">
        <v>0</v>
      </c>
      <c r="AJ917">
        <v>0</v>
      </c>
    </row>
    <row r="918" spans="1:36" hidden="1" x14ac:dyDescent="0.25">
      <c r="A918" t="s">
        <v>128</v>
      </c>
      <c r="B918" t="s">
        <v>421</v>
      </c>
      <c r="C918" s="14" t="s">
        <v>109</v>
      </c>
      <c r="D918" s="12">
        <v>46240</v>
      </c>
      <c r="E918" s="14" t="s">
        <v>134</v>
      </c>
      <c r="F918" s="14"/>
      <c r="G918">
        <v>9.1196312364425154</v>
      </c>
      <c r="H918">
        <v>4.75</v>
      </c>
      <c r="J918">
        <v>4.75</v>
      </c>
      <c r="M918">
        <v>3.0735870818915809</v>
      </c>
      <c r="Q918">
        <v>0</v>
      </c>
      <c r="R918">
        <v>0</v>
      </c>
      <c r="S918">
        <v>8.1300619625845866E-2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6.7076579094466196E-2</v>
      </c>
      <c r="Z918">
        <v>0.11696379371176896</v>
      </c>
      <c r="AA918">
        <v>0.51055901113582203</v>
      </c>
      <c r="AB918">
        <v>0</v>
      </c>
      <c r="AC918">
        <v>0.15241123380024851</v>
      </c>
      <c r="AD918">
        <v>0</v>
      </c>
      <c r="AE918">
        <v>0.22006596135216047</v>
      </c>
      <c r="AF918">
        <v>0</v>
      </c>
      <c r="AG918">
        <v>0</v>
      </c>
      <c r="AH918">
        <v>0</v>
      </c>
      <c r="AI918">
        <v>0</v>
      </c>
      <c r="AJ918">
        <v>0</v>
      </c>
    </row>
    <row r="919" spans="1:36" hidden="1" x14ac:dyDescent="0.25">
      <c r="A919" t="s">
        <v>128</v>
      </c>
      <c r="B919" t="s">
        <v>422</v>
      </c>
      <c r="C919" s="14" t="s">
        <v>109</v>
      </c>
      <c r="D919" s="12">
        <v>46240</v>
      </c>
      <c r="E919" s="14" t="s">
        <v>134</v>
      </c>
      <c r="F919" s="14"/>
      <c r="G919">
        <v>10.754837871019967</v>
      </c>
      <c r="H919">
        <v>3.8</v>
      </c>
      <c r="J919">
        <v>3.8</v>
      </c>
      <c r="M919">
        <v>4.6258938869665513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0.15132268844121716</v>
      </c>
      <c r="AA919">
        <v>0.49534794987314584</v>
      </c>
      <c r="AB919">
        <v>0</v>
      </c>
      <c r="AC919">
        <v>7.4529909519648302E-2</v>
      </c>
      <c r="AD919">
        <v>0</v>
      </c>
      <c r="AE919">
        <v>0.27879945216598861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hidden="1" x14ac:dyDescent="0.25">
      <c r="A920" t="s">
        <v>128</v>
      </c>
      <c r="B920" t="s">
        <v>291</v>
      </c>
      <c r="C920" s="14" t="s">
        <v>109</v>
      </c>
      <c r="D920" s="12">
        <v>46241</v>
      </c>
      <c r="E920" s="14" t="s">
        <v>133</v>
      </c>
      <c r="F920" s="14"/>
      <c r="G920">
        <v>26.220922841721425</v>
      </c>
      <c r="H920">
        <v>66.5</v>
      </c>
      <c r="J920">
        <v>66.5</v>
      </c>
      <c r="M920">
        <v>31.875</v>
      </c>
      <c r="Q920">
        <v>6.7236008691244534E-2</v>
      </c>
      <c r="R920">
        <v>0</v>
      </c>
      <c r="S920">
        <v>1.3618954310197158</v>
      </c>
      <c r="T920">
        <v>0</v>
      </c>
      <c r="U920">
        <v>1.254855365641948E-2</v>
      </c>
      <c r="V920">
        <v>0</v>
      </c>
      <c r="W920">
        <v>0.13584770934653023</v>
      </c>
      <c r="X920">
        <v>0</v>
      </c>
      <c r="Y920">
        <v>2.5850927707966841E-2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</row>
    <row r="921" spans="1:36" hidden="1" x14ac:dyDescent="0.25">
      <c r="A921" t="s">
        <v>128</v>
      </c>
      <c r="B921" t="s">
        <v>421</v>
      </c>
      <c r="C921" s="14" t="s">
        <v>109</v>
      </c>
      <c r="D921" s="12">
        <v>46241</v>
      </c>
      <c r="E921" s="14" t="s">
        <v>133</v>
      </c>
      <c r="F921" s="14"/>
      <c r="G921">
        <v>22.438609907383807</v>
      </c>
      <c r="H921">
        <v>18.049999999999997</v>
      </c>
      <c r="J921">
        <v>18.049999999999997</v>
      </c>
      <c r="M921">
        <v>39.506510416666671</v>
      </c>
      <c r="Q921">
        <v>0.76064874694694795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0.19558296728264191</v>
      </c>
      <c r="AA921">
        <v>0</v>
      </c>
      <c r="AB921">
        <v>0</v>
      </c>
      <c r="AC921">
        <v>0</v>
      </c>
      <c r="AD921">
        <v>0</v>
      </c>
      <c r="AE921">
        <v>0.8044170327173582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 hidden="1" x14ac:dyDescent="0.25">
      <c r="A922" t="s">
        <v>128</v>
      </c>
      <c r="B922" t="s">
        <v>422</v>
      </c>
      <c r="C922" s="14" t="s">
        <v>109</v>
      </c>
      <c r="D922" s="12">
        <v>46241</v>
      </c>
      <c r="E922" s="14" t="s">
        <v>133</v>
      </c>
      <c r="F922" s="14"/>
      <c r="G922">
        <v>26.220922841721425</v>
      </c>
      <c r="H922">
        <v>18.049999999999997</v>
      </c>
      <c r="J922">
        <v>18.049999999999997</v>
      </c>
      <c r="M922">
        <v>18.624999999999993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4.9073967138750584E-2</v>
      </c>
      <c r="AA922">
        <v>0.26254446410579213</v>
      </c>
      <c r="AB922">
        <v>0</v>
      </c>
      <c r="AC922">
        <v>2.7144914394463218E-2</v>
      </c>
      <c r="AD922">
        <v>0</v>
      </c>
      <c r="AE922">
        <v>0.6612366543609941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hidden="1" x14ac:dyDescent="0.25">
      <c r="A923" t="s">
        <v>128</v>
      </c>
      <c r="B923" t="s">
        <v>291</v>
      </c>
      <c r="C923" s="14" t="s">
        <v>109</v>
      </c>
      <c r="D923" s="12">
        <v>46241</v>
      </c>
      <c r="E923" s="14" t="s">
        <v>420</v>
      </c>
      <c r="F923" s="14"/>
      <c r="G923">
        <v>6.7786480661254078</v>
      </c>
      <c r="H923">
        <v>19</v>
      </c>
      <c r="J923">
        <v>19</v>
      </c>
      <c r="M923">
        <v>7.5155709342560542</v>
      </c>
      <c r="Q923">
        <v>8.458526911466617E-2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2.4127096675974891E-2</v>
      </c>
      <c r="X923">
        <v>0</v>
      </c>
      <c r="Y923">
        <v>5.2066602813373702E-3</v>
      </c>
      <c r="Z923">
        <v>4.8312182282015989E-2</v>
      </c>
      <c r="AA923">
        <v>0</v>
      </c>
      <c r="AB923">
        <v>0</v>
      </c>
      <c r="AC923">
        <v>0</v>
      </c>
      <c r="AD923">
        <v>0</v>
      </c>
      <c r="AE923">
        <v>0.95168781771798394</v>
      </c>
      <c r="AF923">
        <v>0</v>
      </c>
      <c r="AG923">
        <v>0</v>
      </c>
      <c r="AH923">
        <v>0</v>
      </c>
      <c r="AI923">
        <v>0</v>
      </c>
      <c r="AJ923">
        <v>0</v>
      </c>
    </row>
    <row r="924" spans="1:36" hidden="1" x14ac:dyDescent="0.25">
      <c r="A924" t="s">
        <v>128</v>
      </c>
      <c r="B924" t="s">
        <v>421</v>
      </c>
      <c r="C924" s="14" t="s">
        <v>109</v>
      </c>
      <c r="D924" s="12">
        <v>46241</v>
      </c>
      <c r="E924" s="14" t="s">
        <v>420</v>
      </c>
      <c r="F924" s="14"/>
      <c r="G924">
        <v>3.2997955746152661</v>
      </c>
      <c r="H924">
        <v>1.9</v>
      </c>
      <c r="J924">
        <v>1.9</v>
      </c>
      <c r="M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0.71210337776431398</v>
      </c>
      <c r="AB924">
        <v>0</v>
      </c>
      <c r="AC924">
        <v>0</v>
      </c>
      <c r="AD924">
        <v>0</v>
      </c>
      <c r="AE924">
        <v>0</v>
      </c>
      <c r="AF924">
        <v>0.28789662223568613</v>
      </c>
      <c r="AG924">
        <v>0</v>
      </c>
      <c r="AH924">
        <v>0</v>
      </c>
      <c r="AI924">
        <v>0</v>
      </c>
      <c r="AJ924">
        <v>0</v>
      </c>
    </row>
    <row r="925" spans="1:36" hidden="1" x14ac:dyDescent="0.25">
      <c r="A925" t="s">
        <v>128</v>
      </c>
      <c r="B925" t="s">
        <v>422</v>
      </c>
      <c r="C925" s="14" t="s">
        <v>109</v>
      </c>
      <c r="D925" s="12">
        <v>46241</v>
      </c>
      <c r="E925" s="14" t="s">
        <v>420</v>
      </c>
      <c r="F925" s="14"/>
      <c r="G925">
        <v>6.7786480661254078</v>
      </c>
      <c r="H925">
        <v>1.9</v>
      </c>
      <c r="J925">
        <v>1.9</v>
      </c>
      <c r="M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0.85985406076067195</v>
      </c>
      <c r="AB925">
        <v>0</v>
      </c>
      <c r="AC925">
        <v>0</v>
      </c>
      <c r="AD925">
        <v>0</v>
      </c>
      <c r="AE925">
        <v>0</v>
      </c>
      <c r="AF925">
        <v>0.14014593923932805</v>
      </c>
      <c r="AG925">
        <v>0</v>
      </c>
      <c r="AH925">
        <v>0</v>
      </c>
      <c r="AI925">
        <v>0</v>
      </c>
      <c r="AJ925">
        <v>0</v>
      </c>
    </row>
    <row r="926" spans="1:36" hidden="1" x14ac:dyDescent="0.25">
      <c r="A926" t="s">
        <v>128</v>
      </c>
      <c r="B926" t="s">
        <v>291</v>
      </c>
      <c r="C926" s="14" t="s">
        <v>109</v>
      </c>
      <c r="D926" s="12">
        <v>46241</v>
      </c>
      <c r="E926" s="14" t="s">
        <v>134</v>
      </c>
      <c r="F926" s="14"/>
      <c r="G926">
        <v>8.2967229897463568</v>
      </c>
      <c r="H926">
        <v>17.100000000000001</v>
      </c>
      <c r="J926">
        <v>17.100000000000001</v>
      </c>
      <c r="M926">
        <v>10.574394463667815</v>
      </c>
      <c r="Q926">
        <v>2.2437674462584739E-2</v>
      </c>
      <c r="R926">
        <v>0</v>
      </c>
      <c r="S926">
        <v>0.91815130723755933</v>
      </c>
      <c r="T926">
        <v>0</v>
      </c>
      <c r="U926">
        <v>0.15441720476677381</v>
      </c>
      <c r="V926">
        <v>0</v>
      </c>
      <c r="W926">
        <v>0.10609480812641085</v>
      </c>
      <c r="X926">
        <v>0</v>
      </c>
      <c r="Y926">
        <v>0</v>
      </c>
      <c r="Z926">
        <v>0.10918556086068244</v>
      </c>
      <c r="AA926">
        <v>8.4230487375634884E-3</v>
      </c>
      <c r="AB926">
        <v>0</v>
      </c>
      <c r="AC926">
        <v>0</v>
      </c>
      <c r="AD926">
        <v>0</v>
      </c>
      <c r="AE926">
        <v>0.88239139040175407</v>
      </c>
      <c r="AF926">
        <v>0</v>
      </c>
      <c r="AG926">
        <v>0</v>
      </c>
      <c r="AH926">
        <v>0</v>
      </c>
      <c r="AI926">
        <v>0</v>
      </c>
      <c r="AJ926">
        <v>0</v>
      </c>
    </row>
    <row r="927" spans="1:36" hidden="1" x14ac:dyDescent="0.25">
      <c r="A927" t="s">
        <v>128</v>
      </c>
      <c r="B927" t="s">
        <v>421</v>
      </c>
      <c r="C927" s="14" t="s">
        <v>109</v>
      </c>
      <c r="D927" s="12">
        <v>46241</v>
      </c>
      <c r="E927" s="14" t="s">
        <v>134</v>
      </c>
      <c r="F927" s="14"/>
      <c r="G927">
        <v>9.0431670281995657</v>
      </c>
      <c r="H927">
        <v>8.5499999999999989</v>
      </c>
      <c r="J927">
        <v>8.5499999999999989</v>
      </c>
      <c r="M927">
        <v>3.8971164936562865</v>
      </c>
      <c r="Q927">
        <v>0</v>
      </c>
      <c r="R927">
        <v>0</v>
      </c>
      <c r="S927">
        <v>0.20689510422413582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0.10569334836527622</v>
      </c>
      <c r="Z927">
        <v>0.22202875729197386</v>
      </c>
      <c r="AA927">
        <v>0.14509446466105935</v>
      </c>
      <c r="AB927">
        <v>0</v>
      </c>
      <c r="AC927">
        <v>0.42395955352706033</v>
      </c>
      <c r="AD927">
        <v>0</v>
      </c>
      <c r="AE927">
        <v>0.20891722451990652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hidden="1" x14ac:dyDescent="0.25">
      <c r="A928" t="s">
        <v>128</v>
      </c>
      <c r="B928" t="s">
        <v>422</v>
      </c>
      <c r="C928" s="14" t="s">
        <v>109</v>
      </c>
      <c r="D928" s="12">
        <v>46241</v>
      </c>
      <c r="E928" s="14" t="s">
        <v>134</v>
      </c>
      <c r="F928" s="14"/>
      <c r="G928">
        <v>8.2967229897463568</v>
      </c>
      <c r="H928">
        <v>6.65</v>
      </c>
      <c r="J928">
        <v>6.65</v>
      </c>
      <c r="M928">
        <v>6.3620530565167224</v>
      </c>
      <c r="Q928">
        <v>2.7091266971089188E-3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4.9436918475850189E-2</v>
      </c>
      <c r="AA928">
        <v>0.14904180520595606</v>
      </c>
      <c r="AB928">
        <v>0</v>
      </c>
      <c r="AC928">
        <v>8.6852150684634227E-2</v>
      </c>
      <c r="AD928">
        <v>0</v>
      </c>
      <c r="AE928">
        <v>0.71466912563355955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hidden="1" x14ac:dyDescent="0.25">
      <c r="A929" t="s">
        <v>128</v>
      </c>
      <c r="B929" t="s">
        <v>291</v>
      </c>
      <c r="C929" s="14" t="s">
        <v>109</v>
      </c>
      <c r="D929" s="12">
        <v>46242</v>
      </c>
      <c r="E929" s="14" t="s">
        <v>133</v>
      </c>
      <c r="F929" s="14"/>
      <c r="G929">
        <v>26.220922841721425</v>
      </c>
      <c r="H929">
        <v>63.65</v>
      </c>
      <c r="J929">
        <v>63.65</v>
      </c>
      <c r="M929">
        <v>31.874999999999996</v>
      </c>
      <c r="Q929">
        <v>9.9811775449062806E-2</v>
      </c>
      <c r="R929">
        <v>0</v>
      </c>
      <c r="S929">
        <v>1.2857793711319354</v>
      </c>
      <c r="T929">
        <v>0</v>
      </c>
      <c r="U929">
        <v>0</v>
      </c>
      <c r="V929">
        <v>2.0027213101398787E-2</v>
      </c>
      <c r="W929">
        <v>0.11582049624513126</v>
      </c>
      <c r="X929">
        <v>0</v>
      </c>
      <c r="Y929">
        <v>2.5850927707967031E-2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0.83905579399141628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 hidden="1" x14ac:dyDescent="0.25">
      <c r="A930" t="s">
        <v>128</v>
      </c>
      <c r="B930" t="s">
        <v>421</v>
      </c>
      <c r="C930" s="14" t="s">
        <v>109</v>
      </c>
      <c r="D930" s="12">
        <v>46242</v>
      </c>
      <c r="E930" s="14" t="s">
        <v>133</v>
      </c>
      <c r="F930" s="14"/>
      <c r="G930">
        <v>22.497043787350957</v>
      </c>
      <c r="H930">
        <v>40.849999999999994</v>
      </c>
      <c r="J930">
        <v>40.849999999999994</v>
      </c>
      <c r="M930">
        <v>39.421104439371895</v>
      </c>
      <c r="Q930">
        <v>0.60568011509592945</v>
      </c>
      <c r="R930">
        <v>0</v>
      </c>
      <c r="S930">
        <v>0.76313101340266398</v>
      </c>
      <c r="T930">
        <v>0</v>
      </c>
      <c r="U930">
        <v>3.6209587831908099E-2</v>
      </c>
      <c r="V930">
        <v>0</v>
      </c>
      <c r="W930">
        <v>0.1103896103896104</v>
      </c>
      <c r="X930">
        <v>0</v>
      </c>
      <c r="Y930">
        <v>0</v>
      </c>
      <c r="Z930">
        <v>9.3936083910031304E-2</v>
      </c>
      <c r="AA930">
        <v>0</v>
      </c>
      <c r="AB930">
        <v>0</v>
      </c>
      <c r="AC930">
        <v>0</v>
      </c>
      <c r="AD930">
        <v>0</v>
      </c>
      <c r="AE930">
        <v>0.90606391608996872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 hidden="1" x14ac:dyDescent="0.25">
      <c r="A931" t="s">
        <v>128</v>
      </c>
      <c r="B931" t="s">
        <v>422</v>
      </c>
      <c r="C931" s="14" t="s">
        <v>109</v>
      </c>
      <c r="D931" s="12">
        <v>46242</v>
      </c>
      <c r="E931" s="14" t="s">
        <v>133</v>
      </c>
      <c r="F931" s="14"/>
      <c r="G931">
        <v>26.220922841721425</v>
      </c>
      <c r="H931">
        <v>34.200000000000003</v>
      </c>
      <c r="J931">
        <v>34.200000000000003</v>
      </c>
      <c r="M931">
        <v>20.727941176470587</v>
      </c>
      <c r="Q931">
        <v>0</v>
      </c>
      <c r="R931">
        <v>0</v>
      </c>
      <c r="S931">
        <v>0.38001414908528108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0.10515021459227467</v>
      </c>
      <c r="Z931">
        <v>3.8866581973890514E-2</v>
      </c>
      <c r="AA931">
        <v>0.14199586195648292</v>
      </c>
      <c r="AB931">
        <v>0</v>
      </c>
      <c r="AC931">
        <v>6.7492633105585662E-2</v>
      </c>
      <c r="AD931">
        <v>0</v>
      </c>
      <c r="AE931">
        <v>0.75164492296404084</v>
      </c>
      <c r="AF931">
        <v>0</v>
      </c>
      <c r="AG931">
        <v>0</v>
      </c>
      <c r="AH931">
        <v>0</v>
      </c>
      <c r="AI931">
        <v>0</v>
      </c>
      <c r="AJ931">
        <v>0</v>
      </c>
    </row>
    <row r="932" spans="1:36" hidden="1" x14ac:dyDescent="0.25">
      <c r="A932" t="s">
        <v>128</v>
      </c>
      <c r="B932" t="s">
        <v>291</v>
      </c>
      <c r="C932" s="14" t="s">
        <v>109</v>
      </c>
      <c r="D932" s="12">
        <v>46242</v>
      </c>
      <c r="E932" s="14" t="s">
        <v>420</v>
      </c>
      <c r="F932" s="14"/>
      <c r="G932">
        <v>6.7786480661254078</v>
      </c>
      <c r="H932">
        <v>17.100000000000001</v>
      </c>
      <c r="J932">
        <v>17.100000000000001</v>
      </c>
      <c r="M932">
        <v>7.5155709342560542</v>
      </c>
      <c r="Q932">
        <v>0</v>
      </c>
      <c r="R932">
        <v>0</v>
      </c>
      <c r="S932">
        <v>1.2979806493505925</v>
      </c>
      <c r="T932">
        <v>0</v>
      </c>
      <c r="U932">
        <v>0</v>
      </c>
      <c r="V932">
        <v>0</v>
      </c>
      <c r="W932">
        <v>0.10871236579064107</v>
      </c>
      <c r="X932">
        <v>0</v>
      </c>
      <c r="Y932">
        <v>0.11593389116667099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 hidden="1" x14ac:dyDescent="0.25">
      <c r="A933" t="s">
        <v>128</v>
      </c>
      <c r="B933" t="s">
        <v>421</v>
      </c>
      <c r="C933" s="14" t="s">
        <v>109</v>
      </c>
      <c r="D933" s="12">
        <v>46242</v>
      </c>
      <c r="E933" s="14" t="s">
        <v>420</v>
      </c>
      <c r="F933" s="14"/>
      <c r="G933">
        <v>3.2997955746152661</v>
      </c>
      <c r="H933">
        <v>1.9</v>
      </c>
      <c r="J933">
        <v>1.9</v>
      </c>
      <c r="M933">
        <v>0.82352941176470573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0.24956982732505292</v>
      </c>
      <c r="AA933">
        <v>0.75043017267494716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36" hidden="1" x14ac:dyDescent="0.25">
      <c r="A934" t="s">
        <v>128</v>
      </c>
      <c r="B934" t="s">
        <v>422</v>
      </c>
      <c r="C934" s="14" t="s">
        <v>109</v>
      </c>
      <c r="D934" s="12">
        <v>46242</v>
      </c>
      <c r="E934" s="14" t="s">
        <v>420</v>
      </c>
      <c r="F934" s="14"/>
      <c r="G934">
        <v>6.7786480661254078</v>
      </c>
      <c r="H934">
        <v>1.9</v>
      </c>
      <c r="J934">
        <v>1.9</v>
      </c>
      <c r="M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hidden="1" x14ac:dyDescent="0.25">
      <c r="A935" t="s">
        <v>128</v>
      </c>
      <c r="B935" t="s">
        <v>291</v>
      </c>
      <c r="C935" s="14" t="s">
        <v>109</v>
      </c>
      <c r="D935" s="12">
        <v>46242</v>
      </c>
      <c r="E935" s="14" t="s">
        <v>134</v>
      </c>
      <c r="F935" s="14"/>
      <c r="G935">
        <v>7.0325496222342139</v>
      </c>
      <c r="H935">
        <v>17.100000000000001</v>
      </c>
      <c r="J935">
        <v>17.100000000000001</v>
      </c>
      <c r="M935">
        <v>11.515570934256051</v>
      </c>
      <c r="Q935">
        <v>0.22128626795407177</v>
      </c>
      <c r="R935">
        <v>0</v>
      </c>
      <c r="S935">
        <v>1.0894718299119861</v>
      </c>
      <c r="T935">
        <v>0</v>
      </c>
      <c r="U935">
        <v>0.2860213719652816</v>
      </c>
      <c r="V935">
        <v>0</v>
      </c>
      <c r="W935">
        <v>0.13015978695073235</v>
      </c>
      <c r="X935">
        <v>0</v>
      </c>
      <c r="Y935">
        <v>0</v>
      </c>
      <c r="Z935">
        <v>7.4102424870884795E-2</v>
      </c>
      <c r="AA935">
        <v>0</v>
      </c>
      <c r="AB935">
        <v>0</v>
      </c>
      <c r="AC935">
        <v>0</v>
      </c>
      <c r="AD935">
        <v>0</v>
      </c>
      <c r="AE935">
        <v>0.9258975751291153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hidden="1" x14ac:dyDescent="0.25">
      <c r="A936" t="s">
        <v>128</v>
      </c>
      <c r="B936" t="s">
        <v>421</v>
      </c>
      <c r="C936" s="14" t="s">
        <v>109</v>
      </c>
      <c r="D936" s="12">
        <v>46242</v>
      </c>
      <c r="E936" s="14" t="s">
        <v>134</v>
      </c>
      <c r="F936" s="14"/>
      <c r="G936">
        <v>5.2199566160520607</v>
      </c>
      <c r="H936">
        <v>7.6</v>
      </c>
      <c r="J936">
        <v>7.6</v>
      </c>
      <c r="M936">
        <v>4.014763552479816</v>
      </c>
      <c r="Q936">
        <v>0</v>
      </c>
      <c r="R936">
        <v>0</v>
      </c>
      <c r="S936">
        <v>0.68801944813829785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0.11718749999999999</v>
      </c>
      <c r="Z936">
        <v>0.38464747601168126</v>
      </c>
      <c r="AA936">
        <v>0.14660252398831872</v>
      </c>
      <c r="AB936">
        <v>0</v>
      </c>
      <c r="AC936">
        <v>0.12935516822498697</v>
      </c>
      <c r="AD936">
        <v>0</v>
      </c>
      <c r="AE936">
        <v>0.33939483177501301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 hidden="1" x14ac:dyDescent="0.25">
      <c r="A937" t="s">
        <v>128</v>
      </c>
      <c r="B937" t="s">
        <v>422</v>
      </c>
      <c r="C937" s="14" t="s">
        <v>109</v>
      </c>
      <c r="D937" s="12">
        <v>46242</v>
      </c>
      <c r="E937" s="14" t="s">
        <v>134</v>
      </c>
      <c r="F937" s="14"/>
      <c r="G937">
        <v>7.0325496222342139</v>
      </c>
      <c r="H937">
        <v>3.8</v>
      </c>
      <c r="J937">
        <v>3.8</v>
      </c>
      <c r="M937">
        <v>3.6336793540945793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0.10804103239690201</v>
      </c>
      <c r="AA937">
        <v>0.35161439783485021</v>
      </c>
      <c r="AB937">
        <v>0</v>
      </c>
      <c r="AC937">
        <v>0.13169115288514979</v>
      </c>
      <c r="AD937">
        <v>0</v>
      </c>
      <c r="AE937">
        <v>0.40865341688309798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hidden="1" x14ac:dyDescent="0.25">
      <c r="A938" t="s">
        <v>128</v>
      </c>
      <c r="B938" t="s">
        <v>291</v>
      </c>
      <c r="C938" s="14" t="s">
        <v>109</v>
      </c>
      <c r="D938" s="12">
        <v>46243</v>
      </c>
      <c r="E938" s="14" t="s">
        <v>133</v>
      </c>
      <c r="F938" s="14"/>
      <c r="G938">
        <v>27.008675888468424</v>
      </c>
      <c r="H938">
        <v>72.2</v>
      </c>
      <c r="J938">
        <v>72.2</v>
      </c>
      <c r="M938">
        <v>30.975260416666664</v>
      </c>
      <c r="Q938">
        <v>0</v>
      </c>
      <c r="R938">
        <v>0</v>
      </c>
      <c r="S938">
        <v>1.423215092000359</v>
      </c>
      <c r="T938">
        <v>0</v>
      </c>
      <c r="U938">
        <v>0</v>
      </c>
      <c r="V938">
        <v>0</v>
      </c>
      <c r="W938">
        <v>0.14686334659937209</v>
      </c>
      <c r="X938">
        <v>0</v>
      </c>
      <c r="Y938">
        <v>0.10313665340062796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1:36" hidden="1" x14ac:dyDescent="0.25">
      <c r="A939" t="s">
        <v>128</v>
      </c>
      <c r="B939" t="s">
        <v>421</v>
      </c>
      <c r="C939" s="14" t="s">
        <v>109</v>
      </c>
      <c r="D939" s="12">
        <v>46243</v>
      </c>
      <c r="E939" s="14" t="s">
        <v>133</v>
      </c>
      <c r="F939" s="14"/>
      <c r="G939">
        <v>22.497043787350954</v>
      </c>
      <c r="H939">
        <v>38.949999999999996</v>
      </c>
      <c r="J939">
        <v>38.949999999999996</v>
      </c>
      <c r="M939">
        <v>40.147276566876748</v>
      </c>
      <c r="Q939">
        <v>0.59097149549693428</v>
      </c>
      <c r="R939">
        <v>0</v>
      </c>
      <c r="S939">
        <v>0.60319677945673567</v>
      </c>
      <c r="T939">
        <v>0</v>
      </c>
      <c r="U939">
        <v>6.9460510541965684E-2</v>
      </c>
      <c r="V939">
        <v>3.5614394693461726E-2</v>
      </c>
      <c r="W939">
        <v>0.12412586504679803</v>
      </c>
      <c r="X939">
        <v>0</v>
      </c>
      <c r="Y939">
        <v>0</v>
      </c>
      <c r="Z939">
        <v>6.544456815526184E-2</v>
      </c>
      <c r="AA939">
        <v>0</v>
      </c>
      <c r="AB939">
        <v>0</v>
      </c>
      <c r="AC939">
        <v>0</v>
      </c>
      <c r="AD939">
        <v>0</v>
      </c>
      <c r="AE939">
        <v>0.73715283444214075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 hidden="1" x14ac:dyDescent="0.25">
      <c r="A940" t="s">
        <v>128</v>
      </c>
      <c r="B940" t="s">
        <v>422</v>
      </c>
      <c r="C940" s="14" t="s">
        <v>109</v>
      </c>
      <c r="D940" s="12">
        <v>46243</v>
      </c>
      <c r="E940" s="14" t="s">
        <v>133</v>
      </c>
      <c r="F940" s="14"/>
      <c r="G940">
        <v>27.008675888468424</v>
      </c>
      <c r="H940">
        <v>31.349999999999998</v>
      </c>
      <c r="J940">
        <v>31.349999999999998</v>
      </c>
      <c r="M940">
        <v>19.624999999999993</v>
      </c>
      <c r="Q940">
        <v>0</v>
      </c>
      <c r="R940">
        <v>0</v>
      </c>
      <c r="S940">
        <v>0.23083903857904661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0.12118191394739201</v>
      </c>
      <c r="Z940">
        <v>1.2359862837788851E-2</v>
      </c>
      <c r="AA940">
        <v>0.17892295763586236</v>
      </c>
      <c r="AB940">
        <v>0</v>
      </c>
      <c r="AC940">
        <v>9.4458674213070831E-2</v>
      </c>
      <c r="AD940">
        <v>0</v>
      </c>
      <c r="AE940">
        <v>0.71425850531327795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 hidden="1" x14ac:dyDescent="0.25">
      <c r="A941" t="s">
        <v>128</v>
      </c>
      <c r="B941" t="s">
        <v>291</v>
      </c>
      <c r="C941" s="14" t="s">
        <v>109</v>
      </c>
      <c r="D941" s="12">
        <v>46243</v>
      </c>
      <c r="E941" s="14" t="s">
        <v>420</v>
      </c>
      <c r="F941" s="14"/>
      <c r="G941">
        <v>6.7786480661254078</v>
      </c>
      <c r="H941">
        <v>19</v>
      </c>
      <c r="J941">
        <v>19</v>
      </c>
      <c r="M941">
        <v>7.5155709342560542</v>
      </c>
      <c r="Q941">
        <v>2.412709667597477E-2</v>
      </c>
      <c r="R941">
        <v>0</v>
      </c>
      <c r="S941">
        <v>1.0958137708719362</v>
      </c>
      <c r="T941">
        <v>0</v>
      </c>
      <c r="U941">
        <v>0</v>
      </c>
      <c r="V941">
        <v>0</v>
      </c>
      <c r="W941">
        <v>8.458526911466617E-2</v>
      </c>
      <c r="X941">
        <v>0</v>
      </c>
      <c r="Y941">
        <v>3.2602230885333858E-2</v>
      </c>
      <c r="Z941">
        <v>0.11081218228201581</v>
      </c>
      <c r="AA941">
        <v>0</v>
      </c>
      <c r="AB941">
        <v>0</v>
      </c>
      <c r="AC941">
        <v>0</v>
      </c>
      <c r="AD941">
        <v>0</v>
      </c>
      <c r="AE941">
        <v>0.88918781771798416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 hidden="1" x14ac:dyDescent="0.25">
      <c r="A942" t="s">
        <v>128</v>
      </c>
      <c r="B942" t="s">
        <v>421</v>
      </c>
      <c r="C942" s="14" t="s">
        <v>109</v>
      </c>
      <c r="D942" s="12">
        <v>46243</v>
      </c>
      <c r="E942" s="14" t="s">
        <v>420</v>
      </c>
      <c r="F942" s="14"/>
      <c r="G942">
        <v>3.2997955746152661</v>
      </c>
      <c r="H942">
        <v>0.95</v>
      </c>
      <c r="J942">
        <v>0.95</v>
      </c>
      <c r="M942">
        <v>0.82352941176470573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0.24956982732505292</v>
      </c>
      <c r="AA942">
        <v>0.46253355043926109</v>
      </c>
      <c r="AB942">
        <v>0</v>
      </c>
      <c r="AC942">
        <v>0</v>
      </c>
      <c r="AD942">
        <v>0</v>
      </c>
      <c r="AE942">
        <v>0</v>
      </c>
      <c r="AF942">
        <v>0.28789662223568607</v>
      </c>
      <c r="AG942">
        <v>0</v>
      </c>
      <c r="AH942">
        <v>0</v>
      </c>
      <c r="AI942">
        <v>0</v>
      </c>
      <c r="AJ942">
        <v>0</v>
      </c>
    </row>
    <row r="943" spans="1:36" hidden="1" x14ac:dyDescent="0.25">
      <c r="A943" t="s">
        <v>128</v>
      </c>
      <c r="B943" t="s">
        <v>422</v>
      </c>
      <c r="C943" s="14" t="s">
        <v>109</v>
      </c>
      <c r="D943" s="12">
        <v>46243</v>
      </c>
      <c r="E943" s="14" t="s">
        <v>420</v>
      </c>
      <c r="F943" s="14"/>
      <c r="G943">
        <v>6.7786480661254078</v>
      </c>
      <c r="H943">
        <v>0.95</v>
      </c>
      <c r="J943">
        <v>0.95</v>
      </c>
      <c r="M943">
        <v>0.98961937716262982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2.4501930735704777E-2</v>
      </c>
      <c r="AA943">
        <v>0.83535213002496711</v>
      </c>
      <c r="AB943">
        <v>0</v>
      </c>
      <c r="AC943">
        <v>1.8657199341458517E-2</v>
      </c>
      <c r="AD943">
        <v>0</v>
      </c>
      <c r="AE943">
        <v>0.12148873989786953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 hidden="1" x14ac:dyDescent="0.25">
      <c r="A944" t="s">
        <v>128</v>
      </c>
      <c r="B944" t="s">
        <v>291</v>
      </c>
      <c r="C944" s="14" t="s">
        <v>109</v>
      </c>
      <c r="D944" s="12">
        <v>46243</v>
      </c>
      <c r="E944" s="14" t="s">
        <v>134</v>
      </c>
      <c r="F944" s="14"/>
      <c r="G944">
        <v>8.1518697913855913</v>
      </c>
      <c r="H944">
        <v>17.100000000000001</v>
      </c>
      <c r="J944">
        <v>17.100000000000001</v>
      </c>
      <c r="M944">
        <v>12.456747404844286</v>
      </c>
      <c r="Q944">
        <v>0.11112571423778832</v>
      </c>
      <c r="R944">
        <v>0</v>
      </c>
      <c r="S944">
        <v>0.68071928160099926</v>
      </c>
      <c r="T944">
        <v>0</v>
      </c>
      <c r="U944">
        <v>0.2385994696050478</v>
      </c>
      <c r="V944">
        <v>7.1640496081037827E-2</v>
      </c>
      <c r="W944">
        <v>0.17835950391896213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0.56976702444627914</v>
      </c>
      <c r="AF944">
        <v>0</v>
      </c>
      <c r="AG944">
        <v>0</v>
      </c>
      <c r="AH944">
        <v>0</v>
      </c>
      <c r="AI944">
        <v>0</v>
      </c>
      <c r="AJ944">
        <v>0</v>
      </c>
    </row>
    <row r="945" spans="1:36" hidden="1" x14ac:dyDescent="0.25">
      <c r="A945" t="s">
        <v>128</v>
      </c>
      <c r="B945" t="s">
        <v>421</v>
      </c>
      <c r="C945" s="14" t="s">
        <v>109</v>
      </c>
      <c r="D945" s="12">
        <v>46243</v>
      </c>
      <c r="E945" s="14" t="s">
        <v>134</v>
      </c>
      <c r="F945" s="14"/>
      <c r="G945">
        <v>5.2199566160520607</v>
      </c>
      <c r="H945">
        <v>6.6499999999999995</v>
      </c>
      <c r="J945">
        <v>6.6499999999999995</v>
      </c>
      <c r="M945">
        <v>4.014763552479816</v>
      </c>
      <c r="Q945">
        <v>0</v>
      </c>
      <c r="R945">
        <v>0</v>
      </c>
      <c r="S945">
        <v>0.50602559840425521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0.11718749999999999</v>
      </c>
      <c r="Z945">
        <v>0.38464747601168126</v>
      </c>
      <c r="AA945">
        <v>0.14660252398831872</v>
      </c>
      <c r="AB945">
        <v>0</v>
      </c>
      <c r="AC945">
        <v>0.12935516822498697</v>
      </c>
      <c r="AD945">
        <v>0</v>
      </c>
      <c r="AE945">
        <v>0.33939483177501301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36" hidden="1" x14ac:dyDescent="0.25">
      <c r="A946" t="s">
        <v>128</v>
      </c>
      <c r="B946" t="s">
        <v>422</v>
      </c>
      <c r="C946" s="14" t="s">
        <v>109</v>
      </c>
      <c r="D946" s="12">
        <v>46243</v>
      </c>
      <c r="E946" s="14" t="s">
        <v>134</v>
      </c>
      <c r="F946" s="14"/>
      <c r="G946">
        <v>8.1518697913855913</v>
      </c>
      <c r="H946">
        <v>3.8</v>
      </c>
      <c r="J946">
        <v>3.8</v>
      </c>
      <c r="M946">
        <v>3.636274509803922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9.861805808981243E-2</v>
      </c>
      <c r="AA946">
        <v>0.43523121854907437</v>
      </c>
      <c r="AB946">
        <v>0</v>
      </c>
      <c r="AC946">
        <v>0.11870246748127412</v>
      </c>
      <c r="AD946">
        <v>0</v>
      </c>
      <c r="AE946">
        <v>0.34744825587983902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 hidden="1" x14ac:dyDescent="0.25">
      <c r="A947" t="s">
        <v>128</v>
      </c>
      <c r="B947" t="s">
        <v>291</v>
      </c>
      <c r="C947" s="14" t="s">
        <v>109</v>
      </c>
      <c r="D947" s="12">
        <v>46244</v>
      </c>
      <c r="E947" s="14" t="s">
        <v>133</v>
      </c>
      <c r="F947" s="14"/>
      <c r="G947">
        <v>27.064943963236065</v>
      </c>
      <c r="H947">
        <v>76</v>
      </c>
      <c r="J947">
        <v>76</v>
      </c>
      <c r="M947">
        <v>29.125</v>
      </c>
      <c r="Q947">
        <v>0</v>
      </c>
      <c r="R947">
        <v>0</v>
      </c>
      <c r="S947">
        <v>1.5580604971226009</v>
      </c>
      <c r="T947">
        <v>0</v>
      </c>
      <c r="U947">
        <v>0</v>
      </c>
      <c r="V947">
        <v>0</v>
      </c>
      <c r="W947">
        <v>7.6115289193365118E-2</v>
      </c>
      <c r="X947">
        <v>0</v>
      </c>
      <c r="Y947">
        <v>0.1738847108066349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 hidden="1" x14ac:dyDescent="0.25">
      <c r="A948" t="s">
        <v>128</v>
      </c>
      <c r="B948" t="s">
        <v>421</v>
      </c>
      <c r="C948" s="14" t="s">
        <v>109</v>
      </c>
      <c r="D948" s="12">
        <v>46244</v>
      </c>
      <c r="E948" s="14" t="s">
        <v>133</v>
      </c>
      <c r="F948" s="14"/>
      <c r="G948">
        <v>22.555477667318101</v>
      </c>
      <c r="H948">
        <v>44.65</v>
      </c>
      <c r="J948">
        <v>44.65</v>
      </c>
      <c r="M948">
        <v>44.579147812971343</v>
      </c>
      <c r="Q948">
        <v>0.78581062254860334</v>
      </c>
      <c r="R948">
        <v>0</v>
      </c>
      <c r="S948">
        <v>0.85681755957967531</v>
      </c>
      <c r="T948">
        <v>0</v>
      </c>
      <c r="U948">
        <v>6.6807327210793035E-2</v>
      </c>
      <c r="V948">
        <v>3.5522129422235142E-2</v>
      </c>
      <c r="W948">
        <v>0.12380429544823118</v>
      </c>
      <c r="X948">
        <v>0</v>
      </c>
      <c r="Y948">
        <v>0</v>
      </c>
      <c r="Z948">
        <v>6.7865696217035948E-2</v>
      </c>
      <c r="AA948">
        <v>0</v>
      </c>
      <c r="AB948">
        <v>0</v>
      </c>
      <c r="AC948">
        <v>0</v>
      </c>
      <c r="AD948">
        <v>0</v>
      </c>
      <c r="AE948">
        <v>0.73524311207311954</v>
      </c>
      <c r="AF948">
        <v>0</v>
      </c>
      <c r="AG948">
        <v>0</v>
      </c>
      <c r="AH948">
        <v>0</v>
      </c>
      <c r="AI948">
        <v>0</v>
      </c>
      <c r="AJ948">
        <v>0</v>
      </c>
    </row>
    <row r="949" spans="1:36" hidden="1" x14ac:dyDescent="0.25">
      <c r="A949" t="s">
        <v>128</v>
      </c>
      <c r="B949" t="s">
        <v>422</v>
      </c>
      <c r="C949" s="14" t="s">
        <v>109</v>
      </c>
      <c r="D949" s="12">
        <v>46244</v>
      </c>
      <c r="E949" s="14" t="s">
        <v>133</v>
      </c>
      <c r="F949" s="14"/>
      <c r="G949">
        <v>27.064943963236065</v>
      </c>
      <c r="H949">
        <v>36.099999999999994</v>
      </c>
      <c r="J949">
        <v>36.099999999999994</v>
      </c>
      <c r="M949">
        <v>20.75</v>
      </c>
      <c r="Q949">
        <v>0</v>
      </c>
      <c r="R949">
        <v>0</v>
      </c>
      <c r="S949">
        <v>0.36428286322804693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0.12924598481236627</v>
      </c>
      <c r="Z949">
        <v>4.9300442938388346E-2</v>
      </c>
      <c r="AA949">
        <v>0.1103996689687895</v>
      </c>
      <c r="AB949">
        <v>0</v>
      </c>
      <c r="AC949">
        <v>0.12292591898786882</v>
      </c>
      <c r="AD949">
        <v>0</v>
      </c>
      <c r="AE949">
        <v>0.71737396910495332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36" hidden="1" x14ac:dyDescent="0.25">
      <c r="A950" t="s">
        <v>128</v>
      </c>
      <c r="B950" t="s">
        <v>291</v>
      </c>
      <c r="C950" s="14" t="s">
        <v>109</v>
      </c>
      <c r="D950" s="12">
        <v>46244</v>
      </c>
      <c r="E950" s="14" t="s">
        <v>420</v>
      </c>
      <c r="F950" s="14"/>
      <c r="G950">
        <v>6.7786480661254069</v>
      </c>
      <c r="H950">
        <v>18.05</v>
      </c>
      <c r="J950">
        <v>18.05</v>
      </c>
      <c r="M950">
        <v>7.5155709342560542</v>
      </c>
      <c r="Q950">
        <v>0</v>
      </c>
      <c r="R950">
        <v>0</v>
      </c>
      <c r="S950">
        <v>1.438126588589921</v>
      </c>
      <c r="T950">
        <v>0</v>
      </c>
      <c r="U950">
        <v>0</v>
      </c>
      <c r="V950">
        <v>0</v>
      </c>
      <c r="W950">
        <v>0.10871236579064114</v>
      </c>
      <c r="X950">
        <v>0</v>
      </c>
      <c r="Y950">
        <v>0.11593389116667101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hidden="1" x14ac:dyDescent="0.25">
      <c r="A951" t="s">
        <v>128</v>
      </c>
      <c r="B951" t="s">
        <v>421</v>
      </c>
      <c r="C951" s="14" t="s">
        <v>109</v>
      </c>
      <c r="D951" s="12">
        <v>46244</v>
      </c>
      <c r="E951" s="14" t="s">
        <v>420</v>
      </c>
      <c r="F951" s="14"/>
      <c r="G951">
        <v>3.2997955746152665</v>
      </c>
      <c r="H951">
        <v>0.95</v>
      </c>
      <c r="J951">
        <v>0.95</v>
      </c>
      <c r="M951">
        <v>0.82352941176470573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0.24956982732505284</v>
      </c>
      <c r="AA951">
        <v>0.75043017267494716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 hidden="1" x14ac:dyDescent="0.25">
      <c r="A952" t="s">
        <v>128</v>
      </c>
      <c r="B952" t="s">
        <v>422</v>
      </c>
      <c r="C952" s="14" t="s">
        <v>109</v>
      </c>
      <c r="D952" s="12">
        <v>46244</v>
      </c>
      <c r="E952" s="14" t="s">
        <v>420</v>
      </c>
      <c r="F952" s="14"/>
      <c r="G952">
        <v>6.7786480661254069</v>
      </c>
      <c r="H952">
        <v>0.95</v>
      </c>
      <c r="J952">
        <v>0.95</v>
      </c>
      <c r="M952">
        <v>0.98961937716262982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0.14599067063357432</v>
      </c>
      <c r="AA952">
        <v>0.85400932936642571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 hidden="1" x14ac:dyDescent="0.25">
      <c r="A953" t="s">
        <v>128</v>
      </c>
      <c r="B953" t="s">
        <v>291</v>
      </c>
      <c r="C953" s="14" t="s">
        <v>109</v>
      </c>
      <c r="D953" s="12">
        <v>46244</v>
      </c>
      <c r="E953" s="14" t="s">
        <v>134</v>
      </c>
      <c r="F953" s="14"/>
      <c r="G953">
        <v>8.1518697913855895</v>
      </c>
      <c r="H953">
        <v>18.05</v>
      </c>
      <c r="J953">
        <v>18.05</v>
      </c>
      <c r="M953">
        <v>13.342560553633213</v>
      </c>
      <c r="Q953">
        <v>0.3205572037932391</v>
      </c>
      <c r="R953">
        <v>0</v>
      </c>
      <c r="S953">
        <v>1.0542510941649947</v>
      </c>
      <c r="T953">
        <v>0</v>
      </c>
      <c r="U953">
        <v>0.10524789453389694</v>
      </c>
      <c r="V953">
        <v>0</v>
      </c>
      <c r="W953">
        <v>0.21094338945327926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0.84377355781311703</v>
      </c>
      <c r="AF953">
        <v>0</v>
      </c>
      <c r="AG953">
        <v>0</v>
      </c>
      <c r="AH953">
        <v>0</v>
      </c>
      <c r="AI953">
        <v>0.156226442186883</v>
      </c>
      <c r="AJ953">
        <v>0</v>
      </c>
    </row>
    <row r="954" spans="1:36" hidden="1" x14ac:dyDescent="0.25">
      <c r="A954" t="s">
        <v>128</v>
      </c>
      <c r="B954" t="s">
        <v>421</v>
      </c>
      <c r="C954" s="14" t="s">
        <v>109</v>
      </c>
      <c r="D954" s="12">
        <v>46244</v>
      </c>
      <c r="E954" s="14" t="s">
        <v>134</v>
      </c>
      <c r="F954" s="14"/>
      <c r="G954">
        <v>7.8152418017098384</v>
      </c>
      <c r="H954">
        <v>3.8</v>
      </c>
      <c r="J954">
        <v>3.8</v>
      </c>
      <c r="M954">
        <v>4.014763552479816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4.2376042992389042E-2</v>
      </c>
      <c r="Z954">
        <v>0.25691375752643009</v>
      </c>
      <c r="AA954">
        <v>0.29923292795988321</v>
      </c>
      <c r="AB954">
        <v>0</v>
      </c>
      <c r="AC954">
        <v>0.18705762397141384</v>
      </c>
      <c r="AD954">
        <v>0</v>
      </c>
      <c r="AE954">
        <v>0.2567956905422728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hidden="1" x14ac:dyDescent="0.25">
      <c r="A955" t="s">
        <v>128</v>
      </c>
      <c r="B955" t="s">
        <v>422</v>
      </c>
      <c r="C955" s="14" t="s">
        <v>109</v>
      </c>
      <c r="D955" s="12">
        <v>46244</v>
      </c>
      <c r="E955" s="14" t="s">
        <v>134</v>
      </c>
      <c r="F955" s="14"/>
      <c r="G955">
        <v>8.1518697913855895</v>
      </c>
      <c r="H955">
        <v>3.8</v>
      </c>
      <c r="J955">
        <v>3.8</v>
      </c>
      <c r="M955">
        <v>4.6674163783160312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0.28623290030945547</v>
      </c>
      <c r="AA955">
        <v>0.2476163763294314</v>
      </c>
      <c r="AB955">
        <v>0</v>
      </c>
      <c r="AC955">
        <v>0.17982585499174619</v>
      </c>
      <c r="AD955">
        <v>0</v>
      </c>
      <c r="AE955">
        <v>0.28632486836936705</v>
      </c>
      <c r="AF955">
        <v>0</v>
      </c>
      <c r="AG955">
        <v>0</v>
      </c>
      <c r="AH955">
        <v>0</v>
      </c>
      <c r="AI955">
        <v>0</v>
      </c>
      <c r="AJ955">
        <v>0</v>
      </c>
    </row>
    <row r="956" spans="1:36" hidden="1" x14ac:dyDescent="0.25">
      <c r="A956" t="s">
        <v>128</v>
      </c>
      <c r="B956" t="s">
        <v>291</v>
      </c>
      <c r="C956" s="14" t="s">
        <v>109</v>
      </c>
      <c r="D956" s="12">
        <v>46245</v>
      </c>
      <c r="E956" s="14" t="s">
        <v>133</v>
      </c>
      <c r="F956" s="14"/>
      <c r="G956">
        <v>26.924273776316959</v>
      </c>
      <c r="H956">
        <v>47.5</v>
      </c>
      <c r="J956">
        <v>47.5</v>
      </c>
      <c r="M956">
        <v>28.125</v>
      </c>
      <c r="Q956">
        <v>4.5134937729634714E-2</v>
      </c>
      <c r="R956">
        <v>0</v>
      </c>
      <c r="S956">
        <v>0.96845204469245139</v>
      </c>
      <c r="T956">
        <v>0</v>
      </c>
      <c r="U956">
        <v>0</v>
      </c>
      <c r="V956">
        <v>0</v>
      </c>
      <c r="W956">
        <v>1.7359591434474825E-2</v>
      </c>
      <c r="X956">
        <v>0</v>
      </c>
      <c r="Y956">
        <v>2.1825361543581612E-2</v>
      </c>
      <c r="Z956">
        <v>0.22553160134003591</v>
      </c>
      <c r="AA956">
        <v>1.7898109083905898E-2</v>
      </c>
      <c r="AB956">
        <v>0</v>
      </c>
      <c r="AC956">
        <v>0</v>
      </c>
      <c r="AD956">
        <v>0</v>
      </c>
      <c r="AE956">
        <v>0.75657028957605821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36" hidden="1" x14ac:dyDescent="0.25">
      <c r="A957" t="s">
        <v>128</v>
      </c>
      <c r="B957" t="s">
        <v>421</v>
      </c>
      <c r="C957" s="14" t="s">
        <v>109</v>
      </c>
      <c r="D957" s="12">
        <v>46245</v>
      </c>
      <c r="E957" s="14" t="s">
        <v>133</v>
      </c>
      <c r="F957" s="14"/>
      <c r="G957">
        <v>22.555477667318101</v>
      </c>
      <c r="H957">
        <v>41.8</v>
      </c>
      <c r="J957">
        <v>41.8</v>
      </c>
      <c r="M957">
        <v>46.711302004776272</v>
      </c>
      <c r="Q957">
        <v>0.83549107072372153</v>
      </c>
      <c r="R957">
        <v>0</v>
      </c>
      <c r="S957">
        <v>0.72773193366506839</v>
      </c>
      <c r="T957">
        <v>0</v>
      </c>
      <c r="U957">
        <v>0.11165620903937157</v>
      </c>
      <c r="V957">
        <v>3.5522129422235142E-2</v>
      </c>
      <c r="W957">
        <v>0.12380429544823118</v>
      </c>
      <c r="X957">
        <v>0</v>
      </c>
      <c r="Y957">
        <v>0</v>
      </c>
      <c r="Z957">
        <v>0.10998406826005006</v>
      </c>
      <c r="AA957">
        <v>0</v>
      </c>
      <c r="AB957">
        <v>0</v>
      </c>
      <c r="AC957">
        <v>0</v>
      </c>
      <c r="AD957">
        <v>0</v>
      </c>
      <c r="AE957">
        <v>0.69312474003010538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36" hidden="1" x14ac:dyDescent="0.25">
      <c r="A958" t="s">
        <v>128</v>
      </c>
      <c r="B958" t="s">
        <v>422</v>
      </c>
      <c r="C958" s="14" t="s">
        <v>109</v>
      </c>
      <c r="D958" s="12">
        <v>46245</v>
      </c>
      <c r="E958" s="14" t="s">
        <v>133</v>
      </c>
      <c r="F958" s="14"/>
      <c r="G958">
        <v>26.924273776316959</v>
      </c>
      <c r="H958">
        <v>35.15</v>
      </c>
      <c r="J958">
        <v>35.15</v>
      </c>
      <c r="M958">
        <v>19.874999999999996</v>
      </c>
      <c r="Q958">
        <v>0</v>
      </c>
      <c r="R958">
        <v>0</v>
      </c>
      <c r="S958">
        <v>0.37271694297323005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0.12861508609142772</v>
      </c>
      <c r="Z958">
        <v>2.6381180177711766E-2</v>
      </c>
      <c r="AA958">
        <v>0.16943745632448715</v>
      </c>
      <c r="AB958">
        <v>0</v>
      </c>
      <c r="AC958">
        <v>9.2381073485502341E-2</v>
      </c>
      <c r="AD958">
        <v>0</v>
      </c>
      <c r="AE958">
        <v>0.71180029001229872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idden="1" x14ac:dyDescent="0.25">
      <c r="A959" t="s">
        <v>128</v>
      </c>
      <c r="B959" t="s">
        <v>291</v>
      </c>
      <c r="C959" s="14" t="s">
        <v>109</v>
      </c>
      <c r="D959" s="12">
        <v>46245</v>
      </c>
      <c r="E959" s="14" t="s">
        <v>420</v>
      </c>
      <c r="F959" s="14"/>
      <c r="G959">
        <v>6.7786480661254069</v>
      </c>
      <c r="H959">
        <v>16.149999999999999</v>
      </c>
      <c r="J959">
        <v>16.149999999999999</v>
      </c>
      <c r="M959">
        <v>7.5155709342560542</v>
      </c>
      <c r="Q959">
        <v>0.10871236579064114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0.29927030380335973</v>
      </c>
      <c r="AA959">
        <v>0</v>
      </c>
      <c r="AB959">
        <v>0</v>
      </c>
      <c r="AC959">
        <v>0</v>
      </c>
      <c r="AD959">
        <v>0</v>
      </c>
      <c r="AE959">
        <v>0.70072969619664038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hidden="1" x14ac:dyDescent="0.25">
      <c r="A960" t="s">
        <v>128</v>
      </c>
      <c r="B960" t="s">
        <v>421</v>
      </c>
      <c r="C960" s="14" t="s">
        <v>109</v>
      </c>
      <c r="D960" s="12">
        <v>46245</v>
      </c>
      <c r="E960" s="14" t="s">
        <v>420</v>
      </c>
      <c r="F960" s="14"/>
      <c r="G960">
        <v>3.2997955746152665</v>
      </c>
      <c r="H960">
        <v>1.9</v>
      </c>
      <c r="J960">
        <v>1.9</v>
      </c>
      <c r="M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0.71210337776431398</v>
      </c>
      <c r="AB960">
        <v>0</v>
      </c>
      <c r="AC960">
        <v>0</v>
      </c>
      <c r="AD960">
        <v>0</v>
      </c>
      <c r="AE960">
        <v>0</v>
      </c>
      <c r="AF960">
        <v>0.28789662223568607</v>
      </c>
      <c r="AG960">
        <v>0</v>
      </c>
      <c r="AH960">
        <v>0</v>
      </c>
      <c r="AI960">
        <v>0</v>
      </c>
      <c r="AJ960">
        <v>0</v>
      </c>
    </row>
    <row r="961" spans="1:36" hidden="1" x14ac:dyDescent="0.25">
      <c r="A961" t="s">
        <v>128</v>
      </c>
      <c r="B961" t="s">
        <v>422</v>
      </c>
      <c r="C961" s="14" t="s">
        <v>109</v>
      </c>
      <c r="D961" s="12">
        <v>46245</v>
      </c>
      <c r="E961" s="14" t="s">
        <v>420</v>
      </c>
      <c r="F961" s="14"/>
      <c r="G961">
        <v>6.7786480661254069</v>
      </c>
      <c r="H961">
        <v>1.9</v>
      </c>
      <c r="J961">
        <v>1.9</v>
      </c>
      <c r="M961">
        <v>0.98961937716262982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2.450193073570478E-2</v>
      </c>
      <c r="AA961">
        <v>0.83535213002496711</v>
      </c>
      <c r="AB961">
        <v>0</v>
      </c>
      <c r="AC961">
        <v>1.8657199341458517E-2</v>
      </c>
      <c r="AD961">
        <v>0</v>
      </c>
      <c r="AE961">
        <v>0.12148873989786954</v>
      </c>
      <c r="AF961">
        <v>0</v>
      </c>
      <c r="AG961">
        <v>0</v>
      </c>
      <c r="AH961">
        <v>0</v>
      </c>
      <c r="AI961">
        <v>0</v>
      </c>
      <c r="AJ961">
        <v>0</v>
      </c>
    </row>
    <row r="962" spans="1:36" hidden="1" x14ac:dyDescent="0.25">
      <c r="A962" t="s">
        <v>128</v>
      </c>
      <c r="B962" t="s">
        <v>291</v>
      </c>
      <c r="C962" s="14" t="s">
        <v>109</v>
      </c>
      <c r="D962" s="12">
        <v>46245</v>
      </c>
      <c r="E962" s="14" t="s">
        <v>134</v>
      </c>
      <c r="F962" s="14"/>
      <c r="G962">
        <v>11.659072988059902</v>
      </c>
      <c r="H962">
        <v>15.2</v>
      </c>
      <c r="J962">
        <v>15.2</v>
      </c>
      <c r="M962">
        <v>15.335640138408301</v>
      </c>
      <c r="Q962">
        <v>0.21894935001331975</v>
      </c>
      <c r="R962">
        <v>0</v>
      </c>
      <c r="S962">
        <v>0.49116002568126926</v>
      </c>
      <c r="T962">
        <v>0</v>
      </c>
      <c r="U962">
        <v>0.10563510449564691</v>
      </c>
      <c r="V962">
        <v>0</v>
      </c>
      <c r="W962">
        <v>2.7307866070980368E-2</v>
      </c>
      <c r="X962">
        <v>0</v>
      </c>
      <c r="Y962">
        <v>0</v>
      </c>
      <c r="Z962">
        <v>0.28384454557743638</v>
      </c>
      <c r="AA962">
        <v>3.6552743058339263E-2</v>
      </c>
      <c r="AB962">
        <v>0</v>
      </c>
      <c r="AC962">
        <v>0</v>
      </c>
      <c r="AD962">
        <v>0</v>
      </c>
      <c r="AE962">
        <v>0.67960271136422434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hidden="1" x14ac:dyDescent="0.25">
      <c r="A963" t="s">
        <v>128</v>
      </c>
      <c r="B963" t="s">
        <v>421</v>
      </c>
      <c r="C963" s="14" t="s">
        <v>109</v>
      </c>
      <c r="D963" s="12">
        <v>46245</v>
      </c>
      <c r="E963" s="14" t="s">
        <v>134</v>
      </c>
      <c r="F963" s="14"/>
      <c r="G963">
        <v>9.0431670281995657</v>
      </c>
      <c r="H963">
        <v>3.8</v>
      </c>
      <c r="J963">
        <v>3.8</v>
      </c>
      <c r="M963">
        <v>4.0147635524798151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4.458010506368576E-2</v>
      </c>
      <c r="Z963">
        <v>0.22202875729197386</v>
      </c>
      <c r="AA963">
        <v>0.40234457859998807</v>
      </c>
      <c r="AB963">
        <v>0</v>
      </c>
      <c r="AC963">
        <v>0.1536999420905551</v>
      </c>
      <c r="AD963">
        <v>0</v>
      </c>
      <c r="AE963">
        <v>0.22192672201748309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 hidden="1" x14ac:dyDescent="0.25">
      <c r="A964" t="s">
        <v>128</v>
      </c>
      <c r="B964" t="s">
        <v>422</v>
      </c>
      <c r="C964" s="14" t="s">
        <v>109</v>
      </c>
      <c r="D964" s="12">
        <v>46245</v>
      </c>
      <c r="E964" s="14" t="s">
        <v>134</v>
      </c>
      <c r="F964" s="14"/>
      <c r="G964">
        <v>11.659072988059902</v>
      </c>
      <c r="H964">
        <v>2.8499999999999996</v>
      </c>
      <c r="J964">
        <v>2.8499999999999996</v>
      </c>
      <c r="M964">
        <v>4.4277970011534018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0.19382363622587315</v>
      </c>
      <c r="AA964">
        <v>0.56173154359685418</v>
      </c>
      <c r="AB964">
        <v>0</v>
      </c>
      <c r="AC964">
        <v>5.8495810182650924E-2</v>
      </c>
      <c r="AD964">
        <v>0</v>
      </c>
      <c r="AE964">
        <v>0.18594900999462172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1:36" hidden="1" x14ac:dyDescent="0.25">
      <c r="A965" t="s">
        <v>128</v>
      </c>
      <c r="B965" t="s">
        <v>291</v>
      </c>
      <c r="C965" s="14" t="s">
        <v>109</v>
      </c>
      <c r="D965" s="12">
        <v>46246</v>
      </c>
      <c r="E965" s="14" t="s">
        <v>133</v>
      </c>
      <c r="F965" s="14"/>
      <c r="G965">
        <v>27.59949067352867</v>
      </c>
      <c r="H965">
        <v>50.349999999999994</v>
      </c>
      <c r="J965">
        <v>50.349999999999994</v>
      </c>
      <c r="M965">
        <v>28.96875</v>
      </c>
      <c r="Q965">
        <v>4.5373643425068604E-2</v>
      </c>
      <c r="R965">
        <v>0</v>
      </c>
      <c r="S965">
        <v>0.8984163377013189</v>
      </c>
      <c r="T965">
        <v>0</v>
      </c>
      <c r="U965">
        <v>1.192176555329557E-2</v>
      </c>
      <c r="V965">
        <v>0</v>
      </c>
      <c r="W965">
        <v>3.8226299694189607E-2</v>
      </c>
      <c r="X965">
        <v>0</v>
      </c>
      <c r="Y965">
        <v>0</v>
      </c>
      <c r="Z965">
        <v>7.8345427108661922E-2</v>
      </c>
      <c r="AA965">
        <v>4.5909947982179324E-2</v>
      </c>
      <c r="AB965">
        <v>0</v>
      </c>
      <c r="AC965">
        <v>0</v>
      </c>
      <c r="AD965">
        <v>0</v>
      </c>
      <c r="AE965">
        <v>0.87574462490915872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 hidden="1" x14ac:dyDescent="0.25">
      <c r="A966" t="s">
        <v>128</v>
      </c>
      <c r="B966" t="s">
        <v>421</v>
      </c>
      <c r="C966" s="14" t="s">
        <v>109</v>
      </c>
      <c r="D966" s="12">
        <v>46246</v>
      </c>
      <c r="E966" s="14" t="s">
        <v>133</v>
      </c>
      <c r="F966" s="14"/>
      <c r="G966">
        <v>22.555477667318101</v>
      </c>
      <c r="H966">
        <v>57</v>
      </c>
      <c r="J966">
        <v>57</v>
      </c>
      <c r="M966">
        <v>44.783880090497746</v>
      </c>
      <c r="Q966">
        <v>0.80886006283255474</v>
      </c>
      <c r="R966">
        <v>0</v>
      </c>
      <c r="S966">
        <v>1.5731018242643031</v>
      </c>
      <c r="T966">
        <v>0</v>
      </c>
      <c r="U966">
        <v>6.6535387257405057E-2</v>
      </c>
      <c r="V966">
        <v>0</v>
      </c>
      <c r="W966">
        <v>0.11010362694300518</v>
      </c>
      <c r="X966">
        <v>0</v>
      </c>
      <c r="Y966">
        <v>0</v>
      </c>
      <c r="Z966">
        <v>0.22263851588386632</v>
      </c>
      <c r="AA966">
        <v>0</v>
      </c>
      <c r="AB966">
        <v>0</v>
      </c>
      <c r="AC966">
        <v>0</v>
      </c>
      <c r="AD966">
        <v>0</v>
      </c>
      <c r="AE966">
        <v>0.77736148411613371</v>
      </c>
      <c r="AF966">
        <v>0</v>
      </c>
      <c r="AG966">
        <v>0</v>
      </c>
      <c r="AH966">
        <v>0</v>
      </c>
      <c r="AI966">
        <v>0</v>
      </c>
      <c r="AJ966">
        <v>0</v>
      </c>
    </row>
    <row r="967" spans="1:36" hidden="1" x14ac:dyDescent="0.25">
      <c r="A967" t="s">
        <v>128</v>
      </c>
      <c r="B967" t="s">
        <v>422</v>
      </c>
      <c r="C967" s="14" t="s">
        <v>109</v>
      </c>
      <c r="D967" s="12">
        <v>46246</v>
      </c>
      <c r="E967" s="14" t="s">
        <v>133</v>
      </c>
      <c r="F967" s="14"/>
      <c r="G967">
        <v>27.59949067352867</v>
      </c>
      <c r="H967">
        <v>48.45</v>
      </c>
      <c r="J967">
        <v>48.45</v>
      </c>
      <c r="M967">
        <v>16.397058823529409</v>
      </c>
      <c r="Q967">
        <v>0</v>
      </c>
      <c r="R967">
        <v>0</v>
      </c>
      <c r="S967">
        <v>0.91052791187529958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0.113914373088685</v>
      </c>
      <c r="Z967">
        <v>3.4705101937753939E-2</v>
      </c>
      <c r="AA967">
        <v>0.23427000527611547</v>
      </c>
      <c r="AB967">
        <v>0</v>
      </c>
      <c r="AC967">
        <v>0.17162269696653062</v>
      </c>
      <c r="AD967">
        <v>0</v>
      </c>
      <c r="AE967">
        <v>0.55940219581959993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36" hidden="1" x14ac:dyDescent="0.25">
      <c r="A968" t="s">
        <v>128</v>
      </c>
      <c r="B968" t="s">
        <v>291</v>
      </c>
      <c r="C968" s="14" t="s">
        <v>109</v>
      </c>
      <c r="D968" s="12">
        <v>46246</v>
      </c>
      <c r="E968" s="14" t="s">
        <v>420</v>
      </c>
      <c r="F968" s="14"/>
      <c r="G968">
        <v>6.7786480661254069</v>
      </c>
      <c r="H968">
        <v>16.149999999999999</v>
      </c>
      <c r="J968">
        <v>16.149999999999999</v>
      </c>
      <c r="M968">
        <v>7.5155709342560542</v>
      </c>
      <c r="Q968">
        <v>0.10871236579064114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0.29927030380335973</v>
      </c>
      <c r="AA968">
        <v>0</v>
      </c>
      <c r="AB968">
        <v>0</v>
      </c>
      <c r="AC968">
        <v>0</v>
      </c>
      <c r="AD968">
        <v>0</v>
      </c>
      <c r="AE968">
        <v>0.70072969619664038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hidden="1" x14ac:dyDescent="0.25">
      <c r="A969" t="s">
        <v>128</v>
      </c>
      <c r="B969" t="s">
        <v>421</v>
      </c>
      <c r="C969" s="14" t="s">
        <v>109</v>
      </c>
      <c r="D969" s="12">
        <v>46246</v>
      </c>
      <c r="E969" s="14" t="s">
        <v>420</v>
      </c>
      <c r="F969" s="14"/>
      <c r="G969">
        <v>3.2310498334774476</v>
      </c>
      <c r="H969">
        <v>2.8499999999999996</v>
      </c>
      <c r="J969">
        <v>2.8499999999999996</v>
      </c>
      <c r="M969">
        <v>0.82352941176470573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8.1661185843103654E-2</v>
      </c>
      <c r="Z969">
        <v>0</v>
      </c>
      <c r="AA969">
        <v>0.1995949389933418</v>
      </c>
      <c r="AB969">
        <v>0</v>
      </c>
      <c r="AC969">
        <v>3.9142258632135989E-2</v>
      </c>
      <c r="AD969">
        <v>0</v>
      </c>
      <c r="AE969">
        <v>0.25487982365111789</v>
      </c>
      <c r="AF969">
        <v>0.50638297872340421</v>
      </c>
      <c r="AG969">
        <v>0</v>
      </c>
      <c r="AH969">
        <v>0</v>
      </c>
      <c r="AI969">
        <v>0</v>
      </c>
      <c r="AJ969">
        <v>0</v>
      </c>
    </row>
    <row r="970" spans="1:36" hidden="1" x14ac:dyDescent="0.25">
      <c r="A970" t="s">
        <v>128</v>
      </c>
      <c r="B970" t="s">
        <v>422</v>
      </c>
      <c r="C970" s="14" t="s">
        <v>109</v>
      </c>
      <c r="D970" s="12">
        <v>46246</v>
      </c>
      <c r="E970" s="14" t="s">
        <v>420</v>
      </c>
      <c r="F970" s="14"/>
      <c r="G970">
        <v>6.7786480661254069</v>
      </c>
      <c r="H970">
        <v>2.8499999999999996</v>
      </c>
      <c r="J970">
        <v>2.8499999999999996</v>
      </c>
      <c r="M970">
        <v>2.6851211072664358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1.2991127858826784E-2</v>
      </c>
      <c r="AA970">
        <v>0.566571054423189</v>
      </c>
      <c r="AB970">
        <v>0</v>
      </c>
      <c r="AC970">
        <v>3.7314398682917034E-2</v>
      </c>
      <c r="AD970">
        <v>0</v>
      </c>
      <c r="AE970">
        <v>0.38312341903506714</v>
      </c>
      <c r="AF970">
        <v>0</v>
      </c>
      <c r="AG970">
        <v>0</v>
      </c>
      <c r="AH970">
        <v>0</v>
      </c>
      <c r="AI970">
        <v>0</v>
      </c>
      <c r="AJ970">
        <v>0</v>
      </c>
    </row>
    <row r="971" spans="1:36" hidden="1" x14ac:dyDescent="0.25">
      <c r="A971" t="s">
        <v>128</v>
      </c>
      <c r="B971" t="s">
        <v>291</v>
      </c>
      <c r="C971" s="14" t="s">
        <v>109</v>
      </c>
      <c r="D971" s="12">
        <v>46246</v>
      </c>
      <c r="E971" s="14" t="s">
        <v>134</v>
      </c>
      <c r="F971" s="14"/>
      <c r="G971">
        <v>9.3414218142876404</v>
      </c>
      <c r="H971">
        <v>15.2</v>
      </c>
      <c r="J971">
        <v>15.2</v>
      </c>
      <c r="M971">
        <v>10.629757785467126</v>
      </c>
      <c r="Q971">
        <v>0.19205889713531873</v>
      </c>
      <c r="R971">
        <v>0</v>
      </c>
      <c r="S971">
        <v>0.94825800159275597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3.4083077501409681E-2</v>
      </c>
      <c r="Z971">
        <v>0.33661665280348874</v>
      </c>
      <c r="AA971">
        <v>1.8563133054597804E-2</v>
      </c>
      <c r="AB971">
        <v>0</v>
      </c>
      <c r="AC971">
        <v>3.5579288752630729E-2</v>
      </c>
      <c r="AD971">
        <v>0</v>
      </c>
      <c r="AE971">
        <v>0.60924092538928276</v>
      </c>
      <c r="AF971">
        <v>0</v>
      </c>
      <c r="AG971">
        <v>0</v>
      </c>
      <c r="AH971">
        <v>0</v>
      </c>
      <c r="AI971">
        <v>0</v>
      </c>
      <c r="AJ971">
        <v>0</v>
      </c>
    </row>
    <row r="972" spans="1:36" hidden="1" x14ac:dyDescent="0.25">
      <c r="A972" t="s">
        <v>128</v>
      </c>
      <c r="B972" t="s">
        <v>421</v>
      </c>
      <c r="C972" s="14" t="s">
        <v>109</v>
      </c>
      <c r="D972" s="12">
        <v>46246</v>
      </c>
      <c r="E972" s="14" t="s">
        <v>134</v>
      </c>
      <c r="F972" s="14"/>
      <c r="G972">
        <v>9.1196312364425154</v>
      </c>
      <c r="H972">
        <v>3.8</v>
      </c>
      <c r="J972">
        <v>3.8</v>
      </c>
      <c r="M972">
        <v>4.014763552479816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0.31026138683393817</v>
      </c>
      <c r="AA972">
        <v>0.27305509806788492</v>
      </c>
      <c r="AB972">
        <v>0</v>
      </c>
      <c r="AC972">
        <v>0.28671179947544834</v>
      </c>
      <c r="AD972">
        <v>0</v>
      </c>
      <c r="AE972">
        <v>0.12997171562272852</v>
      </c>
      <c r="AF972">
        <v>0</v>
      </c>
      <c r="AG972">
        <v>0</v>
      </c>
      <c r="AH972">
        <v>0</v>
      </c>
      <c r="AI972">
        <v>0</v>
      </c>
      <c r="AJ972">
        <v>0</v>
      </c>
    </row>
    <row r="973" spans="1:36" hidden="1" x14ac:dyDescent="0.25">
      <c r="A973" t="s">
        <v>128</v>
      </c>
      <c r="B973" t="s">
        <v>422</v>
      </c>
      <c r="C973" s="14" t="s">
        <v>109</v>
      </c>
      <c r="D973" s="12">
        <v>46246</v>
      </c>
      <c r="E973" s="14" t="s">
        <v>134</v>
      </c>
      <c r="F973" s="14"/>
      <c r="G973">
        <v>9.3414218142876404</v>
      </c>
      <c r="H973">
        <v>3.8</v>
      </c>
      <c r="J973">
        <v>3.8</v>
      </c>
      <c r="M973">
        <v>4.6674163783160312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9.2856997099662539E-2</v>
      </c>
      <c r="AA973">
        <v>0.50035267959131768</v>
      </c>
      <c r="AB973">
        <v>0</v>
      </c>
      <c r="AC973">
        <v>0</v>
      </c>
      <c r="AD973">
        <v>0</v>
      </c>
      <c r="AE973">
        <v>0.40679032330901982</v>
      </c>
      <c r="AF973">
        <v>0</v>
      </c>
      <c r="AG973">
        <v>0</v>
      </c>
      <c r="AH973">
        <v>0</v>
      </c>
      <c r="AI973">
        <v>0</v>
      </c>
      <c r="AJ973">
        <v>0</v>
      </c>
    </row>
    <row r="974" spans="1:36" hidden="1" x14ac:dyDescent="0.25">
      <c r="A974" t="s">
        <v>128</v>
      </c>
      <c r="B974" t="s">
        <v>291</v>
      </c>
      <c r="C974" s="14" t="s">
        <v>109</v>
      </c>
      <c r="D974" s="12">
        <v>46247</v>
      </c>
      <c r="E974" s="14" t="s">
        <v>133</v>
      </c>
      <c r="F974" s="14"/>
      <c r="G974">
        <v>26.080252654802319</v>
      </c>
      <c r="H974">
        <v>47.5</v>
      </c>
      <c r="J974">
        <v>47.5</v>
      </c>
      <c r="M974">
        <v>29.100260416666668</v>
      </c>
      <c r="Q974">
        <v>4.8842286429121237E-2</v>
      </c>
      <c r="R974">
        <v>0</v>
      </c>
      <c r="S974">
        <v>1.0243392868815158</v>
      </c>
      <c r="T974">
        <v>0</v>
      </c>
      <c r="U974">
        <v>0</v>
      </c>
      <c r="V974">
        <v>0</v>
      </c>
      <c r="W974">
        <v>6.6954435398581411E-2</v>
      </c>
      <c r="X974">
        <v>0</v>
      </c>
      <c r="Y974">
        <v>7.7867571073910513E-2</v>
      </c>
      <c r="Z974">
        <v>0.34785991914153336</v>
      </c>
      <c r="AA974">
        <v>0</v>
      </c>
      <c r="AB974">
        <v>0</v>
      </c>
      <c r="AC974">
        <v>0</v>
      </c>
      <c r="AD974">
        <v>0</v>
      </c>
      <c r="AE974">
        <v>0.65214008085846664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 hidden="1" x14ac:dyDescent="0.25">
      <c r="A975" t="s">
        <v>128</v>
      </c>
      <c r="B975" t="s">
        <v>421</v>
      </c>
      <c r="C975" s="14" t="s">
        <v>109</v>
      </c>
      <c r="D975" s="12">
        <v>46247</v>
      </c>
      <c r="E975" s="14" t="s">
        <v>133</v>
      </c>
      <c r="F975" s="14"/>
      <c r="G975">
        <v>22.497043787350954</v>
      </c>
      <c r="H975">
        <v>38</v>
      </c>
      <c r="J975">
        <v>38</v>
      </c>
      <c r="M975">
        <v>40.018060661764714</v>
      </c>
      <c r="Q975">
        <v>0.57645349454259387</v>
      </c>
      <c r="R975">
        <v>0</v>
      </c>
      <c r="S975">
        <v>0.59442246226517859</v>
      </c>
      <c r="T975">
        <v>0</v>
      </c>
      <c r="U975">
        <v>7.8234827733522708E-2</v>
      </c>
      <c r="V975">
        <v>3.5614394693461726E-2</v>
      </c>
      <c r="W975">
        <v>0.12412586504679803</v>
      </c>
      <c r="X975">
        <v>0</v>
      </c>
      <c r="Y975">
        <v>0</v>
      </c>
      <c r="Z975">
        <v>0.10767233856721894</v>
      </c>
      <c r="AA975">
        <v>0</v>
      </c>
      <c r="AB975">
        <v>0</v>
      </c>
      <c r="AC975">
        <v>0</v>
      </c>
      <c r="AD975">
        <v>0</v>
      </c>
      <c r="AE975">
        <v>0.69492506403018361</v>
      </c>
      <c r="AF975">
        <v>0</v>
      </c>
      <c r="AG975">
        <v>0</v>
      </c>
      <c r="AH975">
        <v>0</v>
      </c>
      <c r="AI975">
        <v>0</v>
      </c>
      <c r="AJ975">
        <v>0</v>
      </c>
    </row>
    <row r="976" spans="1:36" hidden="1" x14ac:dyDescent="0.25">
      <c r="A976" t="s">
        <v>128</v>
      </c>
      <c r="B976" t="s">
        <v>422</v>
      </c>
      <c r="C976" s="14" t="s">
        <v>109</v>
      </c>
      <c r="D976" s="12">
        <v>46247</v>
      </c>
      <c r="E976" s="14" t="s">
        <v>133</v>
      </c>
      <c r="F976" s="14"/>
      <c r="G976">
        <v>26.080252654802319</v>
      </c>
      <c r="H976">
        <v>36.099999999999994</v>
      </c>
      <c r="J976">
        <v>36.099999999999994</v>
      </c>
      <c r="M976">
        <v>19.749999999999993</v>
      </c>
      <c r="Q976">
        <v>0</v>
      </c>
      <c r="R976">
        <v>0</v>
      </c>
      <c r="S976">
        <v>0.49808410936481079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0.10436893203883495</v>
      </c>
      <c r="Z976">
        <v>2.947162595216881E-2</v>
      </c>
      <c r="AA976">
        <v>0.18879237104999658</v>
      </c>
      <c r="AB976">
        <v>0</v>
      </c>
      <c r="AC976">
        <v>5.3929689145869562E-2</v>
      </c>
      <c r="AD976">
        <v>0</v>
      </c>
      <c r="AE976">
        <v>0.72780631385196515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 hidden="1" x14ac:dyDescent="0.25">
      <c r="A977" t="s">
        <v>128</v>
      </c>
      <c r="B977" t="s">
        <v>291</v>
      </c>
      <c r="C977" s="14" t="s">
        <v>109</v>
      </c>
      <c r="D977" s="12">
        <v>46247</v>
      </c>
      <c r="E977" s="14" t="s">
        <v>420</v>
      </c>
      <c r="F977" s="14"/>
      <c r="G977">
        <v>6.7786480661254069</v>
      </c>
      <c r="H977">
        <v>15.2</v>
      </c>
      <c r="J977">
        <v>15.2</v>
      </c>
      <c r="M977">
        <v>7.5155709342560542</v>
      </c>
      <c r="Q977">
        <v>0.10871236579064103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0.43941624304268784</v>
      </c>
      <c r="AA977">
        <v>0</v>
      </c>
      <c r="AB977">
        <v>0</v>
      </c>
      <c r="AC977">
        <v>0</v>
      </c>
      <c r="AD977">
        <v>0</v>
      </c>
      <c r="AE977">
        <v>0.56058375695731222</v>
      </c>
      <c r="AF977">
        <v>0</v>
      </c>
      <c r="AG977">
        <v>0</v>
      </c>
      <c r="AH977">
        <v>0</v>
      </c>
      <c r="AI977">
        <v>0</v>
      </c>
      <c r="AJ977">
        <v>0</v>
      </c>
    </row>
    <row r="978" spans="1:36" hidden="1" x14ac:dyDescent="0.25">
      <c r="A978" t="s">
        <v>128</v>
      </c>
      <c r="B978" t="s">
        <v>421</v>
      </c>
      <c r="C978" s="14" t="s">
        <v>109</v>
      </c>
      <c r="D978" s="12">
        <v>46247</v>
      </c>
      <c r="E978" s="14" t="s">
        <v>420</v>
      </c>
      <c r="F978" s="14"/>
      <c r="G978">
        <v>3.2997955746152661</v>
      </c>
      <c r="H978">
        <v>2.8499999999999996</v>
      </c>
      <c r="J978">
        <v>2.8499999999999996</v>
      </c>
      <c r="M978">
        <v>1.7918552036199091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9.1265778047054501E-3</v>
      </c>
      <c r="Z978">
        <v>0.26328245520005583</v>
      </c>
      <c r="AA978">
        <v>0.17005087813327752</v>
      </c>
      <c r="AB978">
        <v>0</v>
      </c>
      <c r="AC978">
        <v>0</v>
      </c>
      <c r="AD978">
        <v>0</v>
      </c>
      <c r="AE978">
        <v>0</v>
      </c>
      <c r="AF978">
        <v>0.56666666666666676</v>
      </c>
      <c r="AG978">
        <v>0</v>
      </c>
      <c r="AH978">
        <v>0</v>
      </c>
      <c r="AI978">
        <v>0</v>
      </c>
      <c r="AJ978">
        <v>0</v>
      </c>
    </row>
    <row r="979" spans="1:36" hidden="1" x14ac:dyDescent="0.25">
      <c r="A979" t="s">
        <v>128</v>
      </c>
      <c r="B979" t="s">
        <v>422</v>
      </c>
      <c r="C979" s="14" t="s">
        <v>109</v>
      </c>
      <c r="D979" s="12">
        <v>46247</v>
      </c>
      <c r="E979" s="14" t="s">
        <v>420</v>
      </c>
      <c r="F979" s="14"/>
      <c r="G979">
        <v>6.7786480661254069</v>
      </c>
      <c r="H979">
        <v>2.8499999999999996</v>
      </c>
      <c r="J979">
        <v>2.8499999999999996</v>
      </c>
      <c r="M979">
        <v>1.9792387543252596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4.900386147140956E-2</v>
      </c>
      <c r="AA979">
        <v>0.67070426004993433</v>
      </c>
      <c r="AB979">
        <v>0</v>
      </c>
      <c r="AC979">
        <v>3.7314398682917034E-2</v>
      </c>
      <c r="AD979">
        <v>0</v>
      </c>
      <c r="AE979">
        <v>0.24297747979573908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 hidden="1" x14ac:dyDescent="0.25">
      <c r="A980" t="s">
        <v>128</v>
      </c>
      <c r="B980" t="s">
        <v>291</v>
      </c>
      <c r="C980" s="14" t="s">
        <v>109</v>
      </c>
      <c r="D980" s="12">
        <v>46247</v>
      </c>
      <c r="E980" s="14" t="s">
        <v>134</v>
      </c>
      <c r="F980" s="14"/>
      <c r="G980">
        <v>10.390510129688344</v>
      </c>
      <c r="H980">
        <v>15.2</v>
      </c>
      <c r="J980">
        <v>15.2</v>
      </c>
      <c r="M980">
        <v>9.6332179930795796</v>
      </c>
      <c r="Q980">
        <v>5.919152975564624E-2</v>
      </c>
      <c r="R980">
        <v>0</v>
      </c>
      <c r="S980">
        <v>1.0074237865294782</v>
      </c>
      <c r="T980">
        <v>0</v>
      </c>
      <c r="U980">
        <v>2.7951555717944152E-2</v>
      </c>
      <c r="V980">
        <v>0</v>
      </c>
      <c r="W980">
        <v>3.064184526994676E-2</v>
      </c>
      <c r="X980">
        <v>0</v>
      </c>
      <c r="Y980">
        <v>0</v>
      </c>
      <c r="Z980">
        <v>0.4124758851001542</v>
      </c>
      <c r="AA980">
        <v>0.19066798722071487</v>
      </c>
      <c r="AB980">
        <v>0</v>
      </c>
      <c r="AC980">
        <v>0</v>
      </c>
      <c r="AD980">
        <v>0</v>
      </c>
      <c r="AE980">
        <v>0.3968561276791307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hidden="1" x14ac:dyDescent="0.25">
      <c r="A981" t="s">
        <v>128</v>
      </c>
      <c r="B981" t="s">
        <v>421</v>
      </c>
      <c r="C981" s="14" t="s">
        <v>109</v>
      </c>
      <c r="D981" s="12">
        <v>46247</v>
      </c>
      <c r="E981" s="14" t="s">
        <v>134</v>
      </c>
      <c r="F981" s="14"/>
      <c r="G981">
        <v>7.743275488069413</v>
      </c>
      <c r="H981">
        <v>4.75</v>
      </c>
      <c r="J981">
        <v>4.75</v>
      </c>
      <c r="M981">
        <v>4.014763552479816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4.2189010127043368E-2</v>
      </c>
      <c r="Z981">
        <v>0.25930152431597214</v>
      </c>
      <c r="AA981">
        <v>0.16945199493661572</v>
      </c>
      <c r="AB981">
        <v>0</v>
      </c>
      <c r="AC981">
        <v>0.31206412073489398</v>
      </c>
      <c r="AD981">
        <v>0</v>
      </c>
      <c r="AE981">
        <v>0.25918236001251821</v>
      </c>
      <c r="AF981">
        <v>0</v>
      </c>
      <c r="AG981">
        <v>0</v>
      </c>
      <c r="AH981">
        <v>0</v>
      </c>
      <c r="AI981">
        <v>0</v>
      </c>
      <c r="AJ981">
        <v>0</v>
      </c>
    </row>
    <row r="982" spans="1:36" hidden="1" x14ac:dyDescent="0.25">
      <c r="A982" t="s">
        <v>128</v>
      </c>
      <c r="B982" t="s">
        <v>422</v>
      </c>
      <c r="C982" s="14" t="s">
        <v>109</v>
      </c>
      <c r="D982" s="12">
        <v>46247</v>
      </c>
      <c r="E982" s="14" t="s">
        <v>134</v>
      </c>
      <c r="F982" s="14"/>
      <c r="G982">
        <v>10.390510129688344</v>
      </c>
      <c r="H982">
        <v>5.6999999999999993</v>
      </c>
      <c r="J982">
        <v>5.6999999999999993</v>
      </c>
      <c r="M982">
        <v>5.8136101499423312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0.11623373462197649</v>
      </c>
      <c r="AA982">
        <v>0.33518877217933607</v>
      </c>
      <c r="AB982">
        <v>0</v>
      </c>
      <c r="AC982">
        <v>0.10529970457683772</v>
      </c>
      <c r="AD982">
        <v>0</v>
      </c>
      <c r="AE982">
        <v>0.44327778862184958</v>
      </c>
      <c r="AF982">
        <v>0</v>
      </c>
      <c r="AG982">
        <v>0</v>
      </c>
      <c r="AH982">
        <v>0</v>
      </c>
      <c r="AI982">
        <v>0</v>
      </c>
      <c r="AJ982">
        <v>0</v>
      </c>
    </row>
    <row r="983" spans="1:36" hidden="1" x14ac:dyDescent="0.25">
      <c r="A983" t="s">
        <v>128</v>
      </c>
      <c r="B983" t="s">
        <v>291</v>
      </c>
      <c r="C983" s="14" t="s">
        <v>109</v>
      </c>
      <c r="D983" s="12">
        <v>46248</v>
      </c>
      <c r="E983" s="14" t="s">
        <v>133</v>
      </c>
      <c r="F983" s="14"/>
      <c r="G983">
        <v>26.220922841721425</v>
      </c>
      <c r="H983">
        <v>57.949999999999996</v>
      </c>
      <c r="J983">
        <v>57.949999999999996</v>
      </c>
      <c r="M983">
        <v>26.3125</v>
      </c>
      <c r="Q983">
        <v>4.4339927436893044E-2</v>
      </c>
      <c r="R983">
        <v>0</v>
      </c>
      <c r="S983">
        <v>1.3046651703458791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0.14484978540772533</v>
      </c>
      <c r="Z983">
        <v>0.23944781395976772</v>
      </c>
      <c r="AA983">
        <v>0</v>
      </c>
      <c r="AB983">
        <v>0</v>
      </c>
      <c r="AC983">
        <v>4.0847405116783808E-2</v>
      </c>
      <c r="AD983">
        <v>0</v>
      </c>
      <c r="AE983">
        <v>0.71970478092344847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 hidden="1" x14ac:dyDescent="0.25">
      <c r="A984" t="s">
        <v>128</v>
      </c>
      <c r="B984" t="s">
        <v>421</v>
      </c>
      <c r="C984" s="14" t="s">
        <v>109</v>
      </c>
      <c r="D984" s="12">
        <v>46248</v>
      </c>
      <c r="E984" s="14" t="s">
        <v>133</v>
      </c>
      <c r="F984" s="14"/>
      <c r="G984">
        <v>22.438609907383807</v>
      </c>
      <c r="H984">
        <v>42.75</v>
      </c>
      <c r="J984">
        <v>42.75</v>
      </c>
      <c r="M984">
        <v>27.73759191176471</v>
      </c>
      <c r="Q984">
        <v>0.21043620928614151</v>
      </c>
      <c r="R984">
        <v>0</v>
      </c>
      <c r="S984">
        <v>0.88609769451176379</v>
      </c>
      <c r="T984">
        <v>0</v>
      </c>
      <c r="U984">
        <v>0</v>
      </c>
      <c r="V984">
        <v>0</v>
      </c>
      <c r="W984">
        <v>2.5718437826698332E-2</v>
      </c>
      <c r="X984">
        <v>0</v>
      </c>
      <c r="Y984">
        <v>8.4958645506635025E-2</v>
      </c>
      <c r="Z984">
        <v>9.1576542461880364E-2</v>
      </c>
      <c r="AA984">
        <v>0</v>
      </c>
      <c r="AB984">
        <v>0</v>
      </c>
      <c r="AC984">
        <v>0</v>
      </c>
      <c r="AD984">
        <v>0</v>
      </c>
      <c r="AE984">
        <v>0.90842345753811971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 hidden="1" x14ac:dyDescent="0.25">
      <c r="A985" t="s">
        <v>128</v>
      </c>
      <c r="B985" t="s">
        <v>422</v>
      </c>
      <c r="C985" s="14" t="s">
        <v>109</v>
      </c>
      <c r="D985" s="12">
        <v>46248</v>
      </c>
      <c r="E985" s="14" t="s">
        <v>133</v>
      </c>
      <c r="F985" s="14"/>
      <c r="G985">
        <v>26.220922841721425</v>
      </c>
      <c r="H985">
        <v>34.200000000000003</v>
      </c>
      <c r="J985">
        <v>34.200000000000003</v>
      </c>
      <c r="M985">
        <v>19.625</v>
      </c>
      <c r="Q985">
        <v>0</v>
      </c>
      <c r="R985">
        <v>0</v>
      </c>
      <c r="S985">
        <v>0.38269655251875734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0.1046137339055794</v>
      </c>
      <c r="Z985">
        <v>1.9461333253881764E-2</v>
      </c>
      <c r="AA985">
        <v>0.1635470334232727</v>
      </c>
      <c r="AB985">
        <v>0</v>
      </c>
      <c r="AC985">
        <v>8.8004862043439241E-2</v>
      </c>
      <c r="AD985">
        <v>0</v>
      </c>
      <c r="AE985">
        <v>0.72898677127940625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 hidden="1" x14ac:dyDescent="0.25">
      <c r="A986" t="s">
        <v>128</v>
      </c>
      <c r="B986" t="s">
        <v>291</v>
      </c>
      <c r="C986" s="14" t="s">
        <v>109</v>
      </c>
      <c r="D986" s="12">
        <v>46248</v>
      </c>
      <c r="E986" s="14" t="s">
        <v>420</v>
      </c>
      <c r="F986" s="14"/>
      <c r="G986">
        <v>6.7786480661254069</v>
      </c>
      <c r="H986">
        <v>16.149999999999999</v>
      </c>
      <c r="J986">
        <v>16.149999999999999</v>
      </c>
      <c r="M986">
        <v>7.5155709342560542</v>
      </c>
      <c r="Q986">
        <v>0.10871236579064114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0.29927030380335978</v>
      </c>
      <c r="AA986">
        <v>0</v>
      </c>
      <c r="AB986">
        <v>0</v>
      </c>
      <c r="AC986">
        <v>0</v>
      </c>
      <c r="AD986">
        <v>0</v>
      </c>
      <c r="AE986">
        <v>0.70072969619664016</v>
      </c>
      <c r="AF986">
        <v>0</v>
      </c>
      <c r="AG986">
        <v>0</v>
      </c>
      <c r="AH986">
        <v>0</v>
      </c>
      <c r="AI986">
        <v>0</v>
      </c>
      <c r="AJ986">
        <v>0</v>
      </c>
    </row>
    <row r="987" spans="1:36" hidden="1" x14ac:dyDescent="0.25">
      <c r="A987" t="s">
        <v>128</v>
      </c>
      <c r="B987" t="s">
        <v>421</v>
      </c>
      <c r="C987" s="14" t="s">
        <v>109</v>
      </c>
      <c r="D987" s="12">
        <v>46248</v>
      </c>
      <c r="E987" s="14" t="s">
        <v>420</v>
      </c>
      <c r="F987" s="14"/>
      <c r="G987">
        <v>3.2997955746152661</v>
      </c>
      <c r="H987">
        <v>0.95</v>
      </c>
      <c r="J987">
        <v>0.95</v>
      </c>
      <c r="M987">
        <v>1.0859728506787327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4.9365460350010472E-2</v>
      </c>
      <c r="AA987">
        <v>0.66273791741430355</v>
      </c>
      <c r="AB987">
        <v>0</v>
      </c>
      <c r="AC987">
        <v>8.1590135856267881E-3</v>
      </c>
      <c r="AD987">
        <v>0</v>
      </c>
      <c r="AE987">
        <v>0.27973760865005931</v>
      </c>
      <c r="AF987">
        <v>0</v>
      </c>
      <c r="AG987">
        <v>0</v>
      </c>
      <c r="AH987">
        <v>0</v>
      </c>
      <c r="AI987">
        <v>0</v>
      </c>
      <c r="AJ987">
        <v>0</v>
      </c>
    </row>
    <row r="988" spans="1:36" hidden="1" x14ac:dyDescent="0.25">
      <c r="A988" t="s">
        <v>128</v>
      </c>
      <c r="B988" t="s">
        <v>422</v>
      </c>
      <c r="C988" s="14" t="s">
        <v>109</v>
      </c>
      <c r="D988" s="12">
        <v>46248</v>
      </c>
      <c r="E988" s="14" t="s">
        <v>420</v>
      </c>
      <c r="F988" s="14"/>
      <c r="G988">
        <v>6.7786480661254069</v>
      </c>
      <c r="H988">
        <v>0.95</v>
      </c>
      <c r="J988">
        <v>0.95</v>
      </c>
      <c r="M988">
        <v>0.98961937716262982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2.450193073570478E-2</v>
      </c>
      <c r="AA988">
        <v>0.83535213002496711</v>
      </c>
      <c r="AB988">
        <v>0</v>
      </c>
      <c r="AC988">
        <v>1.8657199341458517E-2</v>
      </c>
      <c r="AD988">
        <v>0</v>
      </c>
      <c r="AE988">
        <v>0.12148873989786954</v>
      </c>
      <c r="AF988">
        <v>0</v>
      </c>
      <c r="AG988">
        <v>0</v>
      </c>
      <c r="AH988">
        <v>0</v>
      </c>
      <c r="AI988">
        <v>0</v>
      </c>
      <c r="AJ988">
        <v>0</v>
      </c>
    </row>
    <row r="989" spans="1:36" hidden="1" x14ac:dyDescent="0.25">
      <c r="A989" t="s">
        <v>128</v>
      </c>
      <c r="B989" t="s">
        <v>291</v>
      </c>
      <c r="C989" s="14" t="s">
        <v>109</v>
      </c>
      <c r="D989" s="12">
        <v>46248</v>
      </c>
      <c r="E989" s="14" t="s">
        <v>134</v>
      </c>
      <c r="F989" s="14"/>
      <c r="G989">
        <v>8.0728589559160806</v>
      </c>
      <c r="H989">
        <v>16.149999999999999</v>
      </c>
      <c r="J989">
        <v>16.149999999999999</v>
      </c>
      <c r="M989">
        <v>7.6955017301038069</v>
      </c>
      <c r="Q989">
        <v>1.7294911000558473E-2</v>
      </c>
      <c r="R989">
        <v>0</v>
      </c>
      <c r="S989">
        <v>1.4143251010791247</v>
      </c>
      <c r="T989">
        <v>0</v>
      </c>
      <c r="U989">
        <v>4.1021003167431805E-2</v>
      </c>
      <c r="V989">
        <v>0</v>
      </c>
      <c r="W989">
        <v>0.10903686519012579</v>
      </c>
      <c r="X989">
        <v>0</v>
      </c>
      <c r="Y989">
        <v>0</v>
      </c>
      <c r="Z989">
        <v>0.3497558209778362</v>
      </c>
      <c r="AA989">
        <v>0.21409671826166068</v>
      </c>
      <c r="AB989">
        <v>0</v>
      </c>
      <c r="AC989">
        <v>0</v>
      </c>
      <c r="AD989">
        <v>0</v>
      </c>
      <c r="AE989">
        <v>0.43614746076050315</v>
      </c>
      <c r="AF989">
        <v>0</v>
      </c>
      <c r="AG989">
        <v>0</v>
      </c>
      <c r="AH989">
        <v>0</v>
      </c>
      <c r="AI989">
        <v>0</v>
      </c>
      <c r="AJ989">
        <v>0</v>
      </c>
    </row>
    <row r="990" spans="1:36" hidden="1" x14ac:dyDescent="0.25">
      <c r="A990" t="s">
        <v>128</v>
      </c>
      <c r="B990" t="s">
        <v>421</v>
      </c>
      <c r="C990" s="14" t="s">
        <v>109</v>
      </c>
      <c r="D990" s="12">
        <v>46248</v>
      </c>
      <c r="E990" s="14" t="s">
        <v>134</v>
      </c>
      <c r="F990" s="14"/>
      <c r="G990">
        <v>8.9667028199566161</v>
      </c>
      <c r="H990">
        <v>7.6</v>
      </c>
      <c r="J990">
        <v>7.6</v>
      </c>
      <c r="M990">
        <v>4.014763552479816</v>
      </c>
      <c r="Q990">
        <v>0</v>
      </c>
      <c r="R990">
        <v>0</v>
      </c>
      <c r="S990">
        <v>7.4238264003967137E-3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0.14942302807446201</v>
      </c>
      <c r="Z990">
        <v>0.22392212361339489</v>
      </c>
      <c r="AA990">
        <v>8.5344505152949598E-2</v>
      </c>
      <c r="AB990">
        <v>0</v>
      </c>
      <c r="AC990">
        <v>0.46691415300795053</v>
      </c>
      <c r="AD990">
        <v>0</v>
      </c>
      <c r="AE990">
        <v>0.22381921822570497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 hidden="1" x14ac:dyDescent="0.25">
      <c r="A991" t="s">
        <v>128</v>
      </c>
      <c r="B991" t="s">
        <v>422</v>
      </c>
      <c r="C991" s="14" t="s">
        <v>109</v>
      </c>
      <c r="D991" s="12">
        <v>46248</v>
      </c>
      <c r="E991" s="14" t="s">
        <v>134</v>
      </c>
      <c r="F991" s="14"/>
      <c r="G991">
        <v>8.0728589559160806</v>
      </c>
      <c r="H991">
        <v>6.6499999999999995</v>
      </c>
      <c r="J991">
        <v>6.6499999999999995</v>
      </c>
      <c r="M991">
        <v>6.5601499423298719</v>
      </c>
      <c r="Q991">
        <v>3.1010825548708761E-2</v>
      </c>
      <c r="R991">
        <v>0</v>
      </c>
      <c r="S991">
        <v>0</v>
      </c>
      <c r="T991">
        <v>0</v>
      </c>
      <c r="U991">
        <v>5.0447865118678301E-3</v>
      </c>
      <c r="V991">
        <v>0</v>
      </c>
      <c r="W991">
        <v>6.9597999057527102E-2</v>
      </c>
      <c r="X991">
        <v>0</v>
      </c>
      <c r="Y991">
        <v>0</v>
      </c>
      <c r="Z991">
        <v>7.7723515772852476E-3</v>
      </c>
      <c r="AA991">
        <v>0.24312260979326861</v>
      </c>
      <c r="AB991">
        <v>0</v>
      </c>
      <c r="AC991">
        <v>4.9913070285378704E-2</v>
      </c>
      <c r="AD991">
        <v>0</v>
      </c>
      <c r="AE991">
        <v>0.69919196834406749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 hidden="1" x14ac:dyDescent="0.25">
      <c r="A992" t="s">
        <v>128</v>
      </c>
      <c r="B992" t="s">
        <v>291</v>
      </c>
      <c r="C992" s="14" t="s">
        <v>109</v>
      </c>
      <c r="D992" s="12">
        <v>46249</v>
      </c>
      <c r="E992" s="14" t="s">
        <v>133</v>
      </c>
      <c r="F992" s="14"/>
      <c r="G992">
        <v>26.220922841721425</v>
      </c>
      <c r="H992">
        <v>70.299999999999983</v>
      </c>
      <c r="J992">
        <v>70.299999999999983</v>
      </c>
      <c r="M992">
        <v>29.18359375</v>
      </c>
      <c r="Q992">
        <v>0</v>
      </c>
      <c r="R992">
        <v>0</v>
      </c>
      <c r="S992">
        <v>1.4310650572580967</v>
      </c>
      <c r="T992">
        <v>0</v>
      </c>
      <c r="U992">
        <v>0</v>
      </c>
      <c r="V992">
        <v>0</v>
      </c>
      <c r="W992">
        <v>0.11298881149844664</v>
      </c>
      <c r="X992">
        <v>0</v>
      </c>
      <c r="Y992">
        <v>0.13701118850155336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36" hidden="1" x14ac:dyDescent="0.25">
      <c r="A993" t="s">
        <v>128</v>
      </c>
      <c r="B993" t="s">
        <v>421</v>
      </c>
      <c r="C993" s="14" t="s">
        <v>109</v>
      </c>
      <c r="D993" s="12">
        <v>46249</v>
      </c>
      <c r="E993" s="14" t="s">
        <v>133</v>
      </c>
      <c r="F993" s="14"/>
      <c r="G993">
        <v>22.38017602741666</v>
      </c>
      <c r="H993">
        <v>46.55</v>
      </c>
      <c r="J993">
        <v>46.55</v>
      </c>
      <c r="M993">
        <v>26.582154977375566</v>
      </c>
      <c r="Q993">
        <v>0.21584379483375229</v>
      </c>
      <c r="R993">
        <v>0</v>
      </c>
      <c r="S993">
        <v>1.1006526703277666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0.11096605744125329</v>
      </c>
      <c r="Z993">
        <v>0.13165296061087595</v>
      </c>
      <c r="AA993">
        <v>0</v>
      </c>
      <c r="AB993">
        <v>0</v>
      </c>
      <c r="AC993">
        <v>2.8089286343233696E-2</v>
      </c>
      <c r="AD993">
        <v>0</v>
      </c>
      <c r="AE993">
        <v>0.84025775304589057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hidden="1" x14ac:dyDescent="0.25">
      <c r="A994" t="s">
        <v>128</v>
      </c>
      <c r="B994" t="s">
        <v>422</v>
      </c>
      <c r="C994" s="14" t="s">
        <v>109</v>
      </c>
      <c r="D994" s="12">
        <v>46249</v>
      </c>
      <c r="E994" s="14" t="s">
        <v>133</v>
      </c>
      <c r="F994" s="14"/>
      <c r="G994">
        <v>26.220922841721425</v>
      </c>
      <c r="H994">
        <v>37.049999999999997</v>
      </c>
      <c r="J994">
        <v>37.049999999999997</v>
      </c>
      <c r="M994">
        <v>19.624999999999993</v>
      </c>
      <c r="Q994">
        <v>0</v>
      </c>
      <c r="R994">
        <v>0</v>
      </c>
      <c r="S994">
        <v>0.52493658461274584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0.10515021459227467</v>
      </c>
      <c r="Z994">
        <v>3.3033790451113189E-2</v>
      </c>
      <c r="AA994">
        <v>0.18405926236112644</v>
      </c>
      <c r="AB994">
        <v>0</v>
      </c>
      <c r="AC994">
        <v>6.7492633105585703E-2</v>
      </c>
      <c r="AD994">
        <v>0</v>
      </c>
      <c r="AE994">
        <v>0.71541431408217471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hidden="1" x14ac:dyDescent="0.25">
      <c r="A995" t="s">
        <v>128</v>
      </c>
      <c r="B995" t="s">
        <v>291</v>
      </c>
      <c r="C995" s="14" t="s">
        <v>109</v>
      </c>
      <c r="D995" s="12">
        <v>46249</v>
      </c>
      <c r="E995" s="14" t="s">
        <v>420</v>
      </c>
      <c r="F995" s="14"/>
      <c r="G995">
        <v>6.8316062541420131</v>
      </c>
      <c r="H995">
        <v>18.05</v>
      </c>
      <c r="J995">
        <v>18.05</v>
      </c>
      <c r="M995">
        <v>7.5778546712802752</v>
      </c>
      <c r="Q995">
        <v>0</v>
      </c>
      <c r="R995">
        <v>0</v>
      </c>
      <c r="S995">
        <v>1.2879187838517505</v>
      </c>
      <c r="T995">
        <v>0</v>
      </c>
      <c r="U995">
        <v>0</v>
      </c>
      <c r="V995">
        <v>0</v>
      </c>
      <c r="W995">
        <v>0.10923469377144081</v>
      </c>
      <c r="X995">
        <v>0</v>
      </c>
      <c r="Y995">
        <v>0.10591818134899288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</row>
    <row r="996" spans="1:36" hidden="1" x14ac:dyDescent="0.25">
      <c r="A996" t="s">
        <v>128</v>
      </c>
      <c r="B996" t="s">
        <v>421</v>
      </c>
      <c r="C996" s="14" t="s">
        <v>109</v>
      </c>
      <c r="D996" s="12">
        <v>46249</v>
      </c>
      <c r="E996" s="14" t="s">
        <v>420</v>
      </c>
      <c r="F996" s="14"/>
      <c r="G996">
        <v>3.2997955746152661</v>
      </c>
      <c r="H996">
        <v>2.8499999999999996</v>
      </c>
      <c r="J996">
        <v>2.8499999999999996</v>
      </c>
      <c r="M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0.43333333333333335</v>
      </c>
      <c r="AB996">
        <v>0</v>
      </c>
      <c r="AC996">
        <v>0</v>
      </c>
      <c r="AD996">
        <v>0</v>
      </c>
      <c r="AE996">
        <v>0</v>
      </c>
      <c r="AF996">
        <v>0.56666666666666676</v>
      </c>
      <c r="AG996">
        <v>0</v>
      </c>
      <c r="AH996">
        <v>0</v>
      </c>
      <c r="AI996">
        <v>0</v>
      </c>
      <c r="AJ996">
        <v>0</v>
      </c>
    </row>
    <row r="997" spans="1:36" hidden="1" x14ac:dyDescent="0.25">
      <c r="A997" t="s">
        <v>128</v>
      </c>
      <c r="B997" t="s">
        <v>422</v>
      </c>
      <c r="C997" s="14" t="s">
        <v>109</v>
      </c>
      <c r="D997" s="12">
        <v>46249</v>
      </c>
      <c r="E997" s="14" t="s">
        <v>420</v>
      </c>
      <c r="F997" s="14"/>
      <c r="G997">
        <v>6.8316062541420131</v>
      </c>
      <c r="H997">
        <v>2.8499999999999996</v>
      </c>
      <c r="J997">
        <v>2.8499999999999996</v>
      </c>
      <c r="M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0.58282139017130252</v>
      </c>
      <c r="AB997">
        <v>0</v>
      </c>
      <c r="AC997">
        <v>0</v>
      </c>
      <c r="AD997">
        <v>0</v>
      </c>
      <c r="AE997">
        <v>0</v>
      </c>
      <c r="AF997">
        <v>0.41717860982869737</v>
      </c>
      <c r="AG997">
        <v>0</v>
      </c>
      <c r="AH997">
        <v>0</v>
      </c>
      <c r="AI997">
        <v>0</v>
      </c>
      <c r="AJ997">
        <v>0</v>
      </c>
    </row>
    <row r="998" spans="1:36" hidden="1" x14ac:dyDescent="0.25">
      <c r="A998" t="s">
        <v>128</v>
      </c>
      <c r="B998" t="s">
        <v>291</v>
      </c>
      <c r="C998" s="14" t="s">
        <v>109</v>
      </c>
      <c r="D998" s="12">
        <v>46249</v>
      </c>
      <c r="E998" s="14" t="s">
        <v>134</v>
      </c>
      <c r="F998" s="14"/>
      <c r="G998">
        <v>8.8936937466270898</v>
      </c>
      <c r="H998">
        <v>18.05</v>
      </c>
      <c r="J998">
        <v>18.05</v>
      </c>
      <c r="M998">
        <v>12.81358131487889</v>
      </c>
      <c r="Q998">
        <v>0.21197937500727587</v>
      </c>
      <c r="R998">
        <v>0</v>
      </c>
      <c r="S998">
        <v>0.74030871454155223</v>
      </c>
      <c r="T998">
        <v>0</v>
      </c>
      <c r="U998">
        <v>0.14145730868330147</v>
      </c>
      <c r="V998">
        <v>0</v>
      </c>
      <c r="W998">
        <v>8.7312422353062497E-2</v>
      </c>
      <c r="X998">
        <v>0</v>
      </c>
      <c r="Y998">
        <v>9.951305803651371E-2</v>
      </c>
      <c r="Z998">
        <v>3.906355783313821E-2</v>
      </c>
      <c r="AA998">
        <v>0</v>
      </c>
      <c r="AB998">
        <v>0</v>
      </c>
      <c r="AC998">
        <v>0</v>
      </c>
      <c r="AD998">
        <v>0</v>
      </c>
      <c r="AE998">
        <v>0.9609364421668618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 hidden="1" x14ac:dyDescent="0.25">
      <c r="A999" t="s">
        <v>128</v>
      </c>
      <c r="B999" t="s">
        <v>421</v>
      </c>
      <c r="C999" s="14" t="s">
        <v>109</v>
      </c>
      <c r="D999" s="12">
        <v>46249</v>
      </c>
      <c r="E999" s="14" t="s">
        <v>134</v>
      </c>
      <c r="F999" s="14"/>
      <c r="G999">
        <v>5.0568329718004339</v>
      </c>
      <c r="H999">
        <v>6.6499999999999995</v>
      </c>
      <c r="J999">
        <v>6.6499999999999995</v>
      </c>
      <c r="M999">
        <v>4.014763552479816</v>
      </c>
      <c r="Q999">
        <v>0</v>
      </c>
      <c r="R999">
        <v>0</v>
      </c>
      <c r="S999">
        <v>0.5223490048043925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0.12096774193548385</v>
      </c>
      <c r="Z999">
        <v>0.39705545910883228</v>
      </c>
      <c r="AA999">
        <v>0.11907357314923224</v>
      </c>
      <c r="AB999">
        <v>0</v>
      </c>
      <c r="AC999">
        <v>0.13352791558708332</v>
      </c>
      <c r="AD999">
        <v>0</v>
      </c>
      <c r="AE999">
        <v>0.35034305215485212</v>
      </c>
      <c r="AF999">
        <v>0</v>
      </c>
      <c r="AG999">
        <v>0</v>
      </c>
      <c r="AH999">
        <v>0</v>
      </c>
      <c r="AI999">
        <v>0</v>
      </c>
      <c r="AJ999">
        <v>0</v>
      </c>
    </row>
    <row r="1000" spans="1:36" hidden="1" x14ac:dyDescent="0.25">
      <c r="A1000" t="s">
        <v>128</v>
      </c>
      <c r="B1000" t="s">
        <v>422</v>
      </c>
      <c r="C1000" s="14" t="s">
        <v>109</v>
      </c>
      <c r="D1000" s="12">
        <v>46249</v>
      </c>
      <c r="E1000" s="14" t="s">
        <v>134</v>
      </c>
      <c r="F1000" s="14"/>
      <c r="G1000">
        <v>8.8936937466270898</v>
      </c>
      <c r="H1000">
        <v>5.7</v>
      </c>
      <c r="J1000">
        <v>5.7</v>
      </c>
      <c r="M1000">
        <v>3.636274509803922</v>
      </c>
      <c r="Q1000">
        <v>0</v>
      </c>
      <c r="R1000">
        <v>0</v>
      </c>
      <c r="S1000">
        <v>0.21821370346927357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6.3174519610423807E-2</v>
      </c>
      <c r="Z1000">
        <v>9.0392315221370936E-2</v>
      </c>
      <c r="AA1000">
        <v>0.55009234603265533</v>
      </c>
      <c r="AB1000">
        <v>0</v>
      </c>
      <c r="AC1000">
        <v>4.1047779386777984E-2</v>
      </c>
      <c r="AD1000">
        <v>0</v>
      </c>
      <c r="AE1000">
        <v>0.3184675593591958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36" hidden="1" x14ac:dyDescent="0.25">
      <c r="A1001" t="s">
        <v>128</v>
      </c>
      <c r="B1001" t="s">
        <v>291</v>
      </c>
      <c r="C1001" s="14" t="s">
        <v>109</v>
      </c>
      <c r="D1001" s="12">
        <v>46250</v>
      </c>
      <c r="E1001" s="14" t="s">
        <v>133</v>
      </c>
      <c r="F1001" s="14"/>
      <c r="G1001">
        <v>26.164654766953785</v>
      </c>
      <c r="H1001">
        <v>63.649999999999991</v>
      </c>
      <c r="J1001">
        <v>63.649999999999991</v>
      </c>
      <c r="M1001">
        <v>29.12109375</v>
      </c>
      <c r="Q1001">
        <v>4.6445306889527332E-2</v>
      </c>
      <c r="R1001">
        <v>0</v>
      </c>
      <c r="S1001">
        <v>1.3437794260647942</v>
      </c>
      <c r="T1001">
        <v>0</v>
      </c>
      <c r="U1001">
        <v>0</v>
      </c>
      <c r="V1001">
        <v>0</v>
      </c>
      <c r="W1001">
        <v>6.6548310239341657E-2</v>
      </c>
      <c r="X1001">
        <v>0</v>
      </c>
      <c r="Y1001">
        <v>7.8612980083238998E-2</v>
      </c>
      <c r="Z1001">
        <v>5.6269597011835745E-2</v>
      </c>
      <c r="AA1001">
        <v>0</v>
      </c>
      <c r="AB1001">
        <v>0</v>
      </c>
      <c r="AC1001">
        <v>0</v>
      </c>
      <c r="AD1001">
        <v>0</v>
      </c>
      <c r="AE1001">
        <v>0.94373040298816424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hidden="1" x14ac:dyDescent="0.25">
      <c r="A1002" t="s">
        <v>128</v>
      </c>
      <c r="B1002" t="s">
        <v>421</v>
      </c>
      <c r="C1002" s="14" t="s">
        <v>109</v>
      </c>
      <c r="D1002" s="12">
        <v>46250</v>
      </c>
      <c r="E1002" s="14" t="s">
        <v>133</v>
      </c>
      <c r="F1002" s="14"/>
      <c r="G1002">
        <v>22.497043787350954</v>
      </c>
      <c r="H1002">
        <v>56.050000000000004</v>
      </c>
      <c r="J1002">
        <v>56.050000000000004</v>
      </c>
      <c r="M1002">
        <v>16.30206919306184</v>
      </c>
      <c r="Q1002">
        <v>0</v>
      </c>
      <c r="R1002">
        <v>0</v>
      </c>
      <c r="S1002">
        <v>1.3905293870019704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0.12412586504679803</v>
      </c>
      <c r="Z1002">
        <v>0</v>
      </c>
      <c r="AA1002">
        <v>2.3216797743304835E-2</v>
      </c>
      <c r="AB1002">
        <v>0</v>
      </c>
      <c r="AC1002">
        <v>0.25215158633621854</v>
      </c>
      <c r="AD1002">
        <v>0</v>
      </c>
      <c r="AE1002">
        <v>0.72463161592047654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25">
      <c r="A1003" t="s">
        <v>128</v>
      </c>
      <c r="B1003" t="s">
        <v>422</v>
      </c>
      <c r="C1003" s="14" t="s">
        <v>109</v>
      </c>
      <c r="D1003" s="12">
        <v>46250</v>
      </c>
      <c r="E1003" s="14" t="s">
        <v>133</v>
      </c>
      <c r="F1003" s="14"/>
      <c r="G1003">
        <v>26.164654766953785</v>
      </c>
      <c r="H1003">
        <v>45.599999999999994</v>
      </c>
      <c r="J1003">
        <v>45.599999999999994</v>
      </c>
      <c r="M1003">
        <v>19.749999999999996</v>
      </c>
      <c r="Q1003">
        <v>0</v>
      </c>
      <c r="R1003">
        <v>0</v>
      </c>
      <c r="S1003">
        <v>0.78291332172513295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0.125091007945695</v>
      </c>
      <c r="Z1003">
        <v>5.0996802265300636E-2</v>
      </c>
      <c r="AA1003">
        <v>0.11419836725588763</v>
      </c>
      <c r="AB1003">
        <v>0</v>
      </c>
      <c r="AC1003">
        <v>0.13096652500386272</v>
      </c>
      <c r="AD1003">
        <v>0</v>
      </c>
      <c r="AE1003">
        <v>0.70383830547494897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hidden="1" x14ac:dyDescent="0.25">
      <c r="A1004" t="s">
        <v>128</v>
      </c>
      <c r="B1004" t="s">
        <v>291</v>
      </c>
      <c r="C1004" s="14" t="s">
        <v>109</v>
      </c>
      <c r="D1004" s="12">
        <v>46250</v>
      </c>
      <c r="E1004" s="14" t="s">
        <v>420</v>
      </c>
      <c r="F1004" s="14"/>
      <c r="G1004">
        <v>6.7786480661254078</v>
      </c>
      <c r="H1004">
        <v>18.049999999999997</v>
      </c>
      <c r="J1004">
        <v>18.049999999999997</v>
      </c>
      <c r="M1004">
        <v>7.5155709342560542</v>
      </c>
      <c r="Q1004">
        <v>2.412709667597477E-2</v>
      </c>
      <c r="R1004">
        <v>0</v>
      </c>
      <c r="S1004">
        <v>1.5162515885899206</v>
      </c>
      <c r="T1004">
        <v>0</v>
      </c>
      <c r="U1004">
        <v>0</v>
      </c>
      <c r="V1004">
        <v>0</v>
      </c>
      <c r="W1004">
        <v>8.458526911466617E-2</v>
      </c>
      <c r="X1004">
        <v>0</v>
      </c>
      <c r="Y1004">
        <v>3.2602230885333858E-2</v>
      </c>
      <c r="Z1004">
        <v>0.11081218228201581</v>
      </c>
      <c r="AA1004">
        <v>0</v>
      </c>
      <c r="AB1004">
        <v>0</v>
      </c>
      <c r="AC1004">
        <v>0</v>
      </c>
      <c r="AD1004">
        <v>0</v>
      </c>
      <c r="AE1004">
        <v>0.88918781771798416</v>
      </c>
      <c r="AF1004">
        <v>0</v>
      </c>
      <c r="AG1004">
        <v>0</v>
      </c>
      <c r="AH1004">
        <v>0</v>
      </c>
      <c r="AI1004">
        <v>0</v>
      </c>
      <c r="AJ1004">
        <v>0</v>
      </c>
    </row>
    <row r="1005" spans="1:36" hidden="1" x14ac:dyDescent="0.25">
      <c r="A1005" t="s">
        <v>128</v>
      </c>
      <c r="B1005" t="s">
        <v>421</v>
      </c>
      <c r="C1005" s="14" t="s">
        <v>109</v>
      </c>
      <c r="D1005" s="12">
        <v>46250</v>
      </c>
      <c r="E1005" s="14" t="s">
        <v>420</v>
      </c>
      <c r="F1005" s="14"/>
      <c r="G1005">
        <v>3.2997955746152661</v>
      </c>
      <c r="H1005">
        <v>2.8499999999999996</v>
      </c>
      <c r="J1005">
        <v>2.8499999999999996</v>
      </c>
      <c r="M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0.56666666666666676</v>
      </c>
      <c r="AB1005">
        <v>0</v>
      </c>
      <c r="AC1005">
        <v>0</v>
      </c>
      <c r="AD1005">
        <v>0</v>
      </c>
      <c r="AE1005">
        <v>0</v>
      </c>
      <c r="AF1005">
        <v>0.43333333333333335</v>
      </c>
      <c r="AG1005">
        <v>0</v>
      </c>
      <c r="AH1005">
        <v>0</v>
      </c>
      <c r="AI1005">
        <v>0</v>
      </c>
      <c r="AJ1005">
        <v>0</v>
      </c>
    </row>
    <row r="1006" spans="1:36" hidden="1" x14ac:dyDescent="0.25">
      <c r="A1006" t="s">
        <v>128</v>
      </c>
      <c r="B1006" t="s">
        <v>422</v>
      </c>
      <c r="C1006" s="14" t="s">
        <v>109</v>
      </c>
      <c r="D1006" s="12">
        <v>46250</v>
      </c>
      <c r="E1006" s="14" t="s">
        <v>420</v>
      </c>
      <c r="F1006" s="14"/>
      <c r="G1006">
        <v>6.7786480661254078</v>
      </c>
      <c r="H1006">
        <v>2.8499999999999996</v>
      </c>
      <c r="J1006">
        <v>2.8499999999999996</v>
      </c>
      <c r="M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0.85985406076067195</v>
      </c>
      <c r="AB1006">
        <v>0</v>
      </c>
      <c r="AC1006">
        <v>0</v>
      </c>
      <c r="AD1006">
        <v>0</v>
      </c>
      <c r="AE1006">
        <v>0</v>
      </c>
      <c r="AF1006">
        <v>0.14014593923932805</v>
      </c>
      <c r="AG1006">
        <v>0</v>
      </c>
      <c r="AH1006">
        <v>0</v>
      </c>
      <c r="AI1006">
        <v>0</v>
      </c>
      <c r="AJ1006">
        <v>0</v>
      </c>
    </row>
    <row r="1007" spans="1:36" hidden="1" x14ac:dyDescent="0.25">
      <c r="A1007" t="s">
        <v>128</v>
      </c>
      <c r="B1007" t="s">
        <v>291</v>
      </c>
      <c r="C1007" s="14" t="s">
        <v>109</v>
      </c>
      <c r="D1007" s="12">
        <v>46250</v>
      </c>
      <c r="E1007" s="14" t="s">
        <v>134</v>
      </c>
      <c r="F1007" s="14"/>
      <c r="G1007">
        <v>7.1027814759848891</v>
      </c>
      <c r="H1007">
        <v>16.149999999999999</v>
      </c>
      <c r="J1007">
        <v>16.149999999999999</v>
      </c>
      <c r="M1007">
        <v>7.1773356401384074</v>
      </c>
      <c r="Q1007">
        <v>7.7508846605157389E-2</v>
      </c>
      <c r="R1007">
        <v>0</v>
      </c>
      <c r="S1007">
        <v>1.4438030137504794</v>
      </c>
      <c r="T1007">
        <v>0</v>
      </c>
      <c r="U1007">
        <v>3.3185386560448893E-2</v>
      </c>
      <c r="V1007">
        <v>0</v>
      </c>
      <c r="W1007">
        <v>7.9103493737640085E-2</v>
      </c>
      <c r="X1007">
        <v>0</v>
      </c>
      <c r="Y1007">
        <v>0</v>
      </c>
      <c r="Z1007">
        <v>0.2367839341490085</v>
      </c>
      <c r="AA1007">
        <v>4.5550833257760673E-2</v>
      </c>
      <c r="AB1007">
        <v>0</v>
      </c>
      <c r="AC1007">
        <v>0</v>
      </c>
      <c r="AD1007">
        <v>0</v>
      </c>
      <c r="AE1007">
        <v>0.58391481337900741</v>
      </c>
      <c r="AF1007">
        <v>0.13375041921422348</v>
      </c>
      <c r="AG1007">
        <v>0</v>
      </c>
      <c r="AH1007">
        <v>0</v>
      </c>
      <c r="AI1007">
        <v>0</v>
      </c>
      <c r="AJ1007">
        <v>0</v>
      </c>
    </row>
    <row r="1008" spans="1:36" hidden="1" x14ac:dyDescent="0.25">
      <c r="A1008" t="s">
        <v>128</v>
      </c>
      <c r="B1008" t="s">
        <v>421</v>
      </c>
      <c r="C1008" s="14" t="s">
        <v>109</v>
      </c>
      <c r="D1008" s="12">
        <v>46250</v>
      </c>
      <c r="E1008" s="14" t="s">
        <v>134</v>
      </c>
      <c r="F1008" s="14"/>
      <c r="G1008">
        <v>5.2199566160520607</v>
      </c>
      <c r="H1008">
        <v>7.6</v>
      </c>
      <c r="J1008">
        <v>7.6</v>
      </c>
      <c r="M1008">
        <v>2.1951557093425609</v>
      </c>
      <c r="Q1008">
        <v>0</v>
      </c>
      <c r="R1008">
        <v>0</v>
      </c>
      <c r="S1008">
        <v>0.68801944813829785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0.11718749999999999</v>
      </c>
      <c r="Z1008">
        <v>3.6060700876095114E-2</v>
      </c>
      <c r="AA1008">
        <v>0.49518929912390491</v>
      </c>
      <c r="AB1008">
        <v>0</v>
      </c>
      <c r="AC1008">
        <v>0.12935516822498697</v>
      </c>
      <c r="AD1008">
        <v>0</v>
      </c>
      <c r="AE1008">
        <v>0.33939483177501301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hidden="1" x14ac:dyDescent="0.25">
      <c r="A1009" t="s">
        <v>128</v>
      </c>
      <c r="B1009" t="s">
        <v>422</v>
      </c>
      <c r="C1009" s="14" t="s">
        <v>109</v>
      </c>
      <c r="D1009" s="12">
        <v>46250</v>
      </c>
      <c r="E1009" s="14" t="s">
        <v>134</v>
      </c>
      <c r="F1009" s="14"/>
      <c r="G1009">
        <v>7.1027814759848891</v>
      </c>
      <c r="H1009">
        <v>6.65</v>
      </c>
      <c r="J1009">
        <v>6.65</v>
      </c>
      <c r="M1009">
        <v>3.8758938869665522</v>
      </c>
      <c r="Q1009">
        <v>0</v>
      </c>
      <c r="R1009">
        <v>0</v>
      </c>
      <c r="S1009">
        <v>0.27323462738291698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7.9103493737640085E-2</v>
      </c>
      <c r="Z1009">
        <v>8.8338770172448951E-3</v>
      </c>
      <c r="AA1009">
        <v>0.40725130960374772</v>
      </c>
      <c r="AB1009">
        <v>0</v>
      </c>
      <c r="AC1009">
        <v>4.7061919647175904E-2</v>
      </c>
      <c r="AD1009">
        <v>0</v>
      </c>
      <c r="AE1009">
        <v>0.53685289373183143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 hidden="1" x14ac:dyDescent="0.25">
      <c r="A1010" t="s">
        <v>128</v>
      </c>
      <c r="C1010" s="14" t="s">
        <v>110</v>
      </c>
      <c r="D1010" s="12">
        <v>46223</v>
      </c>
      <c r="E1010" s="14"/>
      <c r="F1010" s="14"/>
      <c r="G1010">
        <v>122.15756185735542</v>
      </c>
      <c r="H1010">
        <v>205.19999999999993</v>
      </c>
      <c r="J1010">
        <v>205.19999999999993</v>
      </c>
      <c r="M1010">
        <v>88.486003091847579</v>
      </c>
      <c r="Q1010">
        <v>2.4463259388955459E-2</v>
      </c>
      <c r="R1010">
        <v>0</v>
      </c>
      <c r="S1010">
        <v>0.66548480767034734</v>
      </c>
      <c r="T1010">
        <v>0</v>
      </c>
      <c r="U1010">
        <v>2.6935267223521819E-3</v>
      </c>
      <c r="V1010">
        <v>6.5588947969868515E-3</v>
      </c>
      <c r="W1010">
        <v>1.4677131051874502E-2</v>
      </c>
      <c r="X1010">
        <v>0</v>
      </c>
      <c r="Y1010">
        <v>0.10976915029701495</v>
      </c>
      <c r="Z1010">
        <v>3.3536915270484649E-2</v>
      </c>
      <c r="AA1010">
        <v>0.17261202877832682</v>
      </c>
      <c r="AB1010">
        <v>0</v>
      </c>
      <c r="AC1010">
        <v>0.12930860166264513</v>
      </c>
      <c r="AD1010">
        <v>0</v>
      </c>
      <c r="AE1010">
        <v>0.61263428928351948</v>
      </c>
      <c r="AF1010">
        <v>1.5553683055811547E-2</v>
      </c>
      <c r="AG1010">
        <v>0</v>
      </c>
      <c r="AH1010">
        <v>0</v>
      </c>
      <c r="AI1010">
        <v>0</v>
      </c>
      <c r="AJ1010">
        <v>0</v>
      </c>
    </row>
    <row r="1011" spans="1:36" hidden="1" x14ac:dyDescent="0.25">
      <c r="A1011" t="s">
        <v>128</v>
      </c>
      <c r="C1011" s="14" t="s">
        <v>110</v>
      </c>
      <c r="D1011" s="12">
        <v>46224</v>
      </c>
      <c r="E1011" s="14"/>
      <c r="F1011" s="14"/>
      <c r="G1011">
        <v>125.73546275078208</v>
      </c>
      <c r="H1011">
        <v>181.4499999999999</v>
      </c>
      <c r="J1011">
        <v>181.4499999999999</v>
      </c>
      <c r="M1011">
        <v>106.74382963309756</v>
      </c>
      <c r="Q1011">
        <v>8.9107974123133177E-2</v>
      </c>
      <c r="R1011">
        <v>0</v>
      </c>
      <c r="S1011">
        <v>0.55010533743409173</v>
      </c>
      <c r="T1011">
        <v>0</v>
      </c>
      <c r="U1011">
        <v>4.926737186754182E-3</v>
      </c>
      <c r="V1011">
        <v>0</v>
      </c>
      <c r="W1011">
        <v>1.1047147186101225E-2</v>
      </c>
      <c r="X1011">
        <v>0</v>
      </c>
      <c r="Y1011">
        <v>7.3935788643561304E-2</v>
      </c>
      <c r="Z1011">
        <v>0.14914103646196891</v>
      </c>
      <c r="AA1011">
        <v>0.14598688882967728</v>
      </c>
      <c r="AB1011">
        <v>0</v>
      </c>
      <c r="AC1011">
        <v>0.10258378915269997</v>
      </c>
      <c r="AD1011">
        <v>0</v>
      </c>
      <c r="AE1011">
        <v>0.59473274013341304</v>
      </c>
      <c r="AF1011">
        <v>7.5555454222407982E-3</v>
      </c>
      <c r="AG1011">
        <v>0</v>
      </c>
      <c r="AH1011">
        <v>0</v>
      </c>
      <c r="AI1011">
        <v>0</v>
      </c>
      <c r="AJ1011">
        <v>0</v>
      </c>
    </row>
    <row r="1012" spans="1:36" hidden="1" x14ac:dyDescent="0.25">
      <c r="A1012" t="s">
        <v>128</v>
      </c>
      <c r="C1012" s="14" t="s">
        <v>110</v>
      </c>
      <c r="D1012" s="12">
        <v>46225</v>
      </c>
      <c r="E1012" s="14"/>
      <c r="F1012" s="14"/>
      <c r="G1012">
        <v>122.06903780919214</v>
      </c>
      <c r="H1012">
        <v>182.4</v>
      </c>
      <c r="J1012">
        <v>182.4</v>
      </c>
      <c r="M1012">
        <v>113.68278361803162</v>
      </c>
      <c r="Q1012">
        <v>0.12842853313356697</v>
      </c>
      <c r="R1012">
        <v>0</v>
      </c>
      <c r="S1012">
        <v>0.61534283874711937</v>
      </c>
      <c r="T1012">
        <v>0</v>
      </c>
      <c r="U1012">
        <v>5.9588923231617035E-3</v>
      </c>
      <c r="V1012">
        <v>6.5636512850310511E-3</v>
      </c>
      <c r="W1012">
        <v>2.2907535098337938E-2</v>
      </c>
      <c r="X1012">
        <v>0</v>
      </c>
      <c r="Y1012">
        <v>5.8024288997855389E-2</v>
      </c>
      <c r="Z1012">
        <v>0.1309254576763553</v>
      </c>
      <c r="AA1012">
        <v>0.10041913807473345</v>
      </c>
      <c r="AB1012">
        <v>0</v>
      </c>
      <c r="AC1012">
        <v>0.11025848322021456</v>
      </c>
      <c r="AD1012">
        <v>0</v>
      </c>
      <c r="AE1012">
        <v>0.60669782394630389</v>
      </c>
      <c r="AF1012">
        <v>1.5318250987375633E-2</v>
      </c>
      <c r="AG1012">
        <v>0</v>
      </c>
      <c r="AH1012">
        <v>0</v>
      </c>
      <c r="AI1012">
        <v>0</v>
      </c>
      <c r="AJ1012">
        <v>0</v>
      </c>
    </row>
    <row r="1013" spans="1:36" hidden="1" x14ac:dyDescent="0.25">
      <c r="A1013" t="s">
        <v>128</v>
      </c>
      <c r="C1013" s="14" t="s">
        <v>110</v>
      </c>
      <c r="D1013" s="12">
        <v>46226</v>
      </c>
      <c r="E1013" s="14"/>
      <c r="F1013" s="14"/>
      <c r="G1013">
        <v>123.7151222653991</v>
      </c>
      <c r="H1013">
        <v>145.35000000000002</v>
      </c>
      <c r="J1013">
        <v>145.35000000000002</v>
      </c>
      <c r="M1013">
        <v>111.2675873054073</v>
      </c>
      <c r="Q1013">
        <v>0.10733933862281313</v>
      </c>
      <c r="R1013">
        <v>0</v>
      </c>
      <c r="S1013">
        <v>0.37850292796882123</v>
      </c>
      <c r="T1013">
        <v>0</v>
      </c>
      <c r="U1013">
        <v>2.3475781901973287E-3</v>
      </c>
      <c r="V1013">
        <v>0</v>
      </c>
      <c r="W1013">
        <v>2.71816044523648E-2</v>
      </c>
      <c r="X1013">
        <v>0</v>
      </c>
      <c r="Y1013">
        <v>4.8212069444119404E-2</v>
      </c>
      <c r="Z1013">
        <v>0.20158876367977846</v>
      </c>
      <c r="AA1013">
        <v>0.16424708528579823</v>
      </c>
      <c r="AB1013">
        <v>0</v>
      </c>
      <c r="AC1013">
        <v>5.0442567501312138E-2</v>
      </c>
      <c r="AD1013">
        <v>0</v>
      </c>
      <c r="AE1013">
        <v>0.56092821674566773</v>
      </c>
      <c r="AF1013">
        <v>2.2793366787443432E-2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25">
      <c r="A1014" t="s">
        <v>128</v>
      </c>
      <c r="C1014" s="14" t="s">
        <v>110</v>
      </c>
      <c r="D1014" s="12">
        <v>46227</v>
      </c>
      <c r="E1014" s="14"/>
      <c r="F1014" s="14"/>
      <c r="G1014">
        <v>117.37416030538499</v>
      </c>
      <c r="H1014">
        <v>131.1</v>
      </c>
      <c r="J1014">
        <v>131.1</v>
      </c>
      <c r="M1014">
        <v>119.29726414397656</v>
      </c>
      <c r="Q1014">
        <v>0.21091640477750861</v>
      </c>
      <c r="R1014">
        <v>0</v>
      </c>
      <c r="S1014">
        <v>0.33730211675875826</v>
      </c>
      <c r="T1014">
        <v>0</v>
      </c>
      <c r="U1014">
        <v>1.318890805754654E-2</v>
      </c>
      <c r="V1014">
        <v>0</v>
      </c>
      <c r="W1014">
        <v>1.3889793871987317E-2</v>
      </c>
      <c r="X1014">
        <v>0</v>
      </c>
      <c r="Y1014">
        <v>4.8936993553796576E-2</v>
      </c>
      <c r="Z1014">
        <v>0.17290081429236517</v>
      </c>
      <c r="AA1014">
        <v>0.12051616987972377</v>
      </c>
      <c r="AB1014">
        <v>0</v>
      </c>
      <c r="AC1014">
        <v>9.3000773736598638E-2</v>
      </c>
      <c r="AD1014">
        <v>0</v>
      </c>
      <c r="AE1014">
        <v>0.58634098803929224</v>
      </c>
      <c r="AF1014">
        <v>8.0937746223554031E-3</v>
      </c>
      <c r="AG1014">
        <v>0</v>
      </c>
      <c r="AH1014">
        <v>0</v>
      </c>
      <c r="AI1014">
        <v>1.9147479429665219E-2</v>
      </c>
      <c r="AJ1014">
        <v>0</v>
      </c>
    </row>
    <row r="1015" spans="1:36" hidden="1" x14ac:dyDescent="0.25">
      <c r="A1015" t="s">
        <v>128</v>
      </c>
      <c r="C1015" s="14" t="s">
        <v>110</v>
      </c>
      <c r="D1015" s="12">
        <v>46228</v>
      </c>
      <c r="E1015" s="14"/>
      <c r="F1015" s="14"/>
      <c r="G1015">
        <v>111.08103703818034</v>
      </c>
      <c r="H1015">
        <v>137.74999999999997</v>
      </c>
      <c r="J1015">
        <v>137.74999999999997</v>
      </c>
      <c r="M1015">
        <v>120.40628344451463</v>
      </c>
      <c r="Q1015">
        <v>0.19482675345676451</v>
      </c>
      <c r="R1015">
        <v>0</v>
      </c>
      <c r="S1015">
        <v>0.38131844711451413</v>
      </c>
      <c r="T1015">
        <v>0</v>
      </c>
      <c r="U1015">
        <v>2.3966332239144461E-2</v>
      </c>
      <c r="V1015">
        <v>0</v>
      </c>
      <c r="W1015">
        <v>4.1839473415446221E-2</v>
      </c>
      <c r="X1015">
        <v>0</v>
      </c>
      <c r="Y1015">
        <v>2.8526663149770703E-2</v>
      </c>
      <c r="Z1015">
        <v>0.10652548281508196</v>
      </c>
      <c r="AA1015">
        <v>0.14614441292024843</v>
      </c>
      <c r="AB1015">
        <v>0</v>
      </c>
      <c r="AC1015">
        <v>2.4104111648502308E-2</v>
      </c>
      <c r="AD1015">
        <v>0</v>
      </c>
      <c r="AE1015">
        <v>0.71467367778970925</v>
      </c>
      <c r="AF1015">
        <v>8.5523148264583602E-3</v>
      </c>
      <c r="AG1015">
        <v>0</v>
      </c>
      <c r="AH1015">
        <v>0</v>
      </c>
      <c r="AI1015">
        <v>0</v>
      </c>
      <c r="AJ1015">
        <v>0</v>
      </c>
    </row>
    <row r="1016" spans="1:36" hidden="1" x14ac:dyDescent="0.25">
      <c r="A1016" t="s">
        <v>128</v>
      </c>
      <c r="C1016" s="14" t="s">
        <v>110</v>
      </c>
      <c r="D1016" s="12">
        <v>46229</v>
      </c>
      <c r="E1016" s="14"/>
      <c r="F1016" s="14"/>
      <c r="G1016">
        <v>114.89518346997711</v>
      </c>
      <c r="H1016">
        <v>144.39999999999995</v>
      </c>
      <c r="J1016">
        <v>144.39999999999995</v>
      </c>
      <c r="M1016">
        <v>118.11084350878359</v>
      </c>
      <c r="Q1016">
        <v>0.17532899789129652</v>
      </c>
      <c r="R1016">
        <v>0</v>
      </c>
      <c r="S1016">
        <v>0.3615954786813535</v>
      </c>
      <c r="T1016">
        <v>0</v>
      </c>
      <c r="U1016">
        <v>1.5512789839902908E-2</v>
      </c>
      <c r="V1016">
        <v>0</v>
      </c>
      <c r="W1016">
        <v>3.0871129736580745E-2</v>
      </c>
      <c r="X1016">
        <v>0</v>
      </c>
      <c r="Y1016">
        <v>5.122230878267061E-2</v>
      </c>
      <c r="Z1016">
        <v>0.1731834784671113</v>
      </c>
      <c r="AA1016">
        <v>0.11314571445381288</v>
      </c>
      <c r="AB1016">
        <v>0</v>
      </c>
      <c r="AC1016">
        <v>4.5376761800013592E-2</v>
      </c>
      <c r="AD1016">
        <v>0</v>
      </c>
      <c r="AE1016">
        <v>0.60338790673225751</v>
      </c>
      <c r="AF1016">
        <v>3.7250572969274948E-2</v>
      </c>
      <c r="AG1016">
        <v>0</v>
      </c>
      <c r="AH1016">
        <v>0</v>
      </c>
      <c r="AI1016">
        <v>2.765556557752993E-2</v>
      </c>
      <c r="AJ1016">
        <v>0</v>
      </c>
    </row>
    <row r="1017" spans="1:36" hidden="1" x14ac:dyDescent="0.25">
      <c r="A1017" t="s">
        <v>128</v>
      </c>
      <c r="C1017" s="14" t="s">
        <v>110</v>
      </c>
      <c r="D1017" s="12">
        <v>46230</v>
      </c>
      <c r="E1017" s="14"/>
      <c r="F1017" s="14"/>
      <c r="G1017">
        <v>117.66143868513733</v>
      </c>
      <c r="H1017">
        <v>170.04999999999993</v>
      </c>
      <c r="J1017">
        <v>170.04999999999993</v>
      </c>
      <c r="M1017">
        <v>111.93363280903428</v>
      </c>
      <c r="Q1017">
        <v>0.14307024393497783</v>
      </c>
      <c r="R1017">
        <v>0</v>
      </c>
      <c r="S1017">
        <v>0.65331382542224015</v>
      </c>
      <c r="T1017">
        <v>0</v>
      </c>
      <c r="U1017">
        <v>1.9486075692613208E-2</v>
      </c>
      <c r="V1017">
        <v>6.8095257531473278E-3</v>
      </c>
      <c r="W1017">
        <v>3.5405616939731294E-2</v>
      </c>
      <c r="X1017">
        <v>0</v>
      </c>
      <c r="Y1017">
        <v>4.2244280550426554E-2</v>
      </c>
      <c r="Z1017">
        <v>0.14949196033185003</v>
      </c>
      <c r="AA1017">
        <v>0.17185751552451323</v>
      </c>
      <c r="AB1017">
        <v>0</v>
      </c>
      <c r="AC1017">
        <v>6.6710807718808524E-2</v>
      </c>
      <c r="AD1017">
        <v>0</v>
      </c>
      <c r="AE1017">
        <v>0.56612203020794183</v>
      </c>
      <c r="AF1017">
        <v>8.0740131228737178E-3</v>
      </c>
      <c r="AG1017">
        <v>0</v>
      </c>
      <c r="AH1017">
        <v>0</v>
      </c>
      <c r="AI1017">
        <v>0</v>
      </c>
      <c r="AJ1017">
        <v>0</v>
      </c>
    </row>
    <row r="1018" spans="1:36" hidden="1" x14ac:dyDescent="0.25">
      <c r="A1018" t="s">
        <v>128</v>
      </c>
      <c r="C1018" s="14" t="s">
        <v>110</v>
      </c>
      <c r="D1018" s="12">
        <v>46231</v>
      </c>
      <c r="E1018" s="14"/>
      <c r="F1018" s="14"/>
      <c r="G1018">
        <v>125.62242993113745</v>
      </c>
      <c r="H1018">
        <v>187.15000000000003</v>
      </c>
      <c r="J1018">
        <v>187.15000000000003</v>
      </c>
      <c r="M1018">
        <v>115.53515839876673</v>
      </c>
      <c r="Q1018">
        <v>0.11937309077333745</v>
      </c>
      <c r="R1018">
        <v>0</v>
      </c>
      <c r="S1018">
        <v>0.50713477708899946</v>
      </c>
      <c r="T1018">
        <v>0</v>
      </c>
      <c r="U1018">
        <v>2.1719836835160475E-2</v>
      </c>
      <c r="V1018">
        <v>6.3779899602165995E-3</v>
      </c>
      <c r="W1018">
        <v>3.0694910452063354E-2</v>
      </c>
      <c r="X1018">
        <v>0</v>
      </c>
      <c r="Y1018">
        <v>5.8700327678273018E-2</v>
      </c>
      <c r="Z1018">
        <v>7.265745503975915E-2</v>
      </c>
      <c r="AA1018">
        <v>0.16924583139919602</v>
      </c>
      <c r="AB1018">
        <v>0</v>
      </c>
      <c r="AC1018">
        <v>6.7955383698623847E-2</v>
      </c>
      <c r="AD1018">
        <v>0</v>
      </c>
      <c r="AE1018">
        <v>0.6399046082840284</v>
      </c>
      <c r="AF1018">
        <v>1.4884954541745984E-2</v>
      </c>
      <c r="AG1018">
        <v>0</v>
      </c>
      <c r="AH1018">
        <v>0</v>
      </c>
      <c r="AI1018">
        <v>0</v>
      </c>
      <c r="AJ1018">
        <v>0</v>
      </c>
    </row>
    <row r="1019" spans="1:36" hidden="1" x14ac:dyDescent="0.25">
      <c r="A1019" t="s">
        <v>128</v>
      </c>
      <c r="C1019" s="14" t="s">
        <v>110</v>
      </c>
      <c r="D1019" s="12">
        <v>46232</v>
      </c>
      <c r="E1019" s="14"/>
      <c r="F1019" s="14"/>
      <c r="G1019">
        <v>122.34527984512151</v>
      </c>
      <c r="H1019">
        <v>127.3</v>
      </c>
      <c r="J1019">
        <v>127.3</v>
      </c>
      <c r="M1019">
        <v>117.02688882798891</v>
      </c>
      <c r="Q1019">
        <v>0.17408615463798871</v>
      </c>
      <c r="R1019">
        <v>0</v>
      </c>
      <c r="S1019">
        <v>0.27437038696027372</v>
      </c>
      <c r="T1019">
        <v>0</v>
      </c>
      <c r="U1019">
        <v>2.3738629164566641E-3</v>
      </c>
      <c r="V1019">
        <v>0</v>
      </c>
      <c r="W1019">
        <v>6.4226327087670183E-3</v>
      </c>
      <c r="X1019">
        <v>0</v>
      </c>
      <c r="Y1019">
        <v>1.2771646495411657E-2</v>
      </c>
      <c r="Z1019">
        <v>0.22733718218842305</v>
      </c>
      <c r="AA1019">
        <v>0.13930598430616289</v>
      </c>
      <c r="AB1019">
        <v>0</v>
      </c>
      <c r="AC1019">
        <v>6.6246031103348701E-2</v>
      </c>
      <c r="AD1019">
        <v>0</v>
      </c>
      <c r="AE1019">
        <v>0.54630982669120021</v>
      </c>
      <c r="AF1019">
        <v>2.0800975710865199E-2</v>
      </c>
      <c r="AG1019">
        <v>0</v>
      </c>
      <c r="AH1019">
        <v>0</v>
      </c>
      <c r="AI1019">
        <v>0</v>
      </c>
      <c r="AJ1019">
        <v>0</v>
      </c>
    </row>
    <row r="1020" spans="1:36" hidden="1" x14ac:dyDescent="0.25">
      <c r="A1020" t="s">
        <v>128</v>
      </c>
      <c r="C1020" s="14" t="s">
        <v>110</v>
      </c>
      <c r="D1020" s="12">
        <v>46233</v>
      </c>
      <c r="E1020" s="14"/>
      <c r="F1020" s="14"/>
      <c r="G1020">
        <v>120.03893655126777</v>
      </c>
      <c r="H1020">
        <v>141.55000000000004</v>
      </c>
      <c r="J1020">
        <v>141.55000000000004</v>
      </c>
      <c r="M1020">
        <v>124.41858335930822</v>
      </c>
      <c r="Q1020">
        <v>0.16887528004929037</v>
      </c>
      <c r="R1020">
        <v>0</v>
      </c>
      <c r="S1020">
        <v>0.37399849684194308</v>
      </c>
      <c r="T1020">
        <v>0</v>
      </c>
      <c r="U1020">
        <v>2.2137612581287668E-2</v>
      </c>
      <c r="V1020">
        <v>0</v>
      </c>
      <c r="W1020">
        <v>2.7234652260551721E-2</v>
      </c>
      <c r="X1020">
        <v>0</v>
      </c>
      <c r="Y1020">
        <v>3.3077148127775145E-2</v>
      </c>
      <c r="Z1020">
        <v>0.1896121013960983</v>
      </c>
      <c r="AA1020">
        <v>0.12720558567041126</v>
      </c>
      <c r="AB1020">
        <v>0</v>
      </c>
      <c r="AC1020">
        <v>4.6669239860302636E-2</v>
      </c>
      <c r="AD1020">
        <v>0</v>
      </c>
      <c r="AE1020">
        <v>0.62093575947252933</v>
      </c>
      <c r="AF1020">
        <v>1.5577313600658541E-2</v>
      </c>
      <c r="AG1020">
        <v>0</v>
      </c>
      <c r="AH1020">
        <v>0</v>
      </c>
      <c r="AI1020">
        <v>0</v>
      </c>
      <c r="AJ1020">
        <v>0</v>
      </c>
    </row>
    <row r="1021" spans="1:36" hidden="1" x14ac:dyDescent="0.25">
      <c r="A1021" t="s">
        <v>128</v>
      </c>
      <c r="C1021" s="14" t="s">
        <v>110</v>
      </c>
      <c r="D1021" s="12">
        <v>46234</v>
      </c>
      <c r="E1021" s="14"/>
      <c r="F1021" s="14"/>
      <c r="G1021">
        <v>116.84996802948152</v>
      </c>
      <c r="H1021">
        <v>144.4</v>
      </c>
      <c r="J1021">
        <v>144.4</v>
      </c>
      <c r="M1021">
        <v>122.04060386880992</v>
      </c>
      <c r="Q1021">
        <v>0.1502380944440502</v>
      </c>
      <c r="R1021">
        <v>0</v>
      </c>
      <c r="S1021">
        <v>0.37136872537443388</v>
      </c>
      <c r="T1021">
        <v>0</v>
      </c>
      <c r="U1021">
        <v>1.3806359468468183E-2</v>
      </c>
      <c r="V1021">
        <v>6.8568148574645622E-3</v>
      </c>
      <c r="W1021">
        <v>3.9483629776522124E-2</v>
      </c>
      <c r="X1021">
        <v>0</v>
      </c>
      <c r="Y1021">
        <v>3.8955365281806216E-2</v>
      </c>
      <c r="Z1021">
        <v>0.16747104451587891</v>
      </c>
      <c r="AA1021">
        <v>8.476059012626011E-2</v>
      </c>
      <c r="AB1021">
        <v>0</v>
      </c>
      <c r="AC1021">
        <v>8.2245798364928249E-2</v>
      </c>
      <c r="AD1021">
        <v>0</v>
      </c>
      <c r="AE1021">
        <v>0.62751678100604613</v>
      </c>
      <c r="AF1021">
        <v>0</v>
      </c>
      <c r="AG1021">
        <v>0</v>
      </c>
      <c r="AH1021">
        <v>0</v>
      </c>
      <c r="AI1021">
        <v>0</v>
      </c>
      <c r="AJ1021">
        <v>0</v>
      </c>
    </row>
    <row r="1022" spans="1:36" hidden="1" x14ac:dyDescent="0.25">
      <c r="A1022" t="s">
        <v>128</v>
      </c>
      <c r="C1022" s="14" t="s">
        <v>110</v>
      </c>
      <c r="D1022" s="12">
        <v>46235</v>
      </c>
      <c r="E1022" s="14"/>
      <c r="F1022" s="14"/>
      <c r="G1022">
        <v>114.62925025881343</v>
      </c>
      <c r="H1022">
        <v>179.54999999999993</v>
      </c>
      <c r="J1022">
        <v>179.54999999999993</v>
      </c>
      <c r="M1022">
        <v>125.34898645544189</v>
      </c>
      <c r="Q1022">
        <v>0.18348179988005012</v>
      </c>
      <c r="R1022">
        <v>0</v>
      </c>
      <c r="S1022">
        <v>0.63563378156078931</v>
      </c>
      <c r="T1022">
        <v>0</v>
      </c>
      <c r="U1022">
        <v>2.35012684911843E-2</v>
      </c>
      <c r="V1022">
        <v>0</v>
      </c>
      <c r="W1022">
        <v>3.5995901726615834E-2</v>
      </c>
      <c r="X1022">
        <v>0</v>
      </c>
      <c r="Y1022">
        <v>5.5938043456142734E-2</v>
      </c>
      <c r="Z1022">
        <v>0.15347051199083267</v>
      </c>
      <c r="AA1022">
        <v>0.13898299354567045</v>
      </c>
      <c r="AB1022">
        <v>0</v>
      </c>
      <c r="AC1022">
        <v>1.2297172519425411E-2</v>
      </c>
      <c r="AD1022">
        <v>0</v>
      </c>
      <c r="AE1022">
        <v>0.6869617339344225</v>
      </c>
      <c r="AF1022">
        <v>8.2875880096490284E-3</v>
      </c>
      <c r="AG1022">
        <v>0</v>
      </c>
      <c r="AH1022">
        <v>0</v>
      </c>
      <c r="AI1022">
        <v>0</v>
      </c>
      <c r="AJ1022">
        <v>0</v>
      </c>
    </row>
    <row r="1023" spans="1:36" hidden="1" x14ac:dyDescent="0.25">
      <c r="A1023" t="s">
        <v>128</v>
      </c>
      <c r="C1023" s="14" t="s">
        <v>110</v>
      </c>
      <c r="D1023" s="12">
        <v>46236</v>
      </c>
      <c r="E1023" s="14"/>
      <c r="F1023" s="14"/>
      <c r="G1023">
        <v>111.10896459614645</v>
      </c>
      <c r="H1023">
        <v>156.74999999999991</v>
      </c>
      <c r="J1023">
        <v>156.74999999999991</v>
      </c>
      <c r="M1023">
        <v>127.36528577211423</v>
      </c>
      <c r="Q1023">
        <v>0.220949430260132</v>
      </c>
      <c r="R1023">
        <v>0</v>
      </c>
      <c r="S1023">
        <v>0.57865535708234783</v>
      </c>
      <c r="T1023">
        <v>0</v>
      </c>
      <c r="U1023">
        <v>3.3643201717275979E-2</v>
      </c>
      <c r="V1023">
        <v>0</v>
      </c>
      <c r="W1023">
        <v>4.5554522671133184E-2</v>
      </c>
      <c r="X1023">
        <v>0</v>
      </c>
      <c r="Y1023">
        <v>5.429006018439797E-2</v>
      </c>
      <c r="Z1023">
        <v>0.16174190034253164</v>
      </c>
      <c r="AA1023">
        <v>0.13063777947969835</v>
      </c>
      <c r="AB1023">
        <v>0</v>
      </c>
      <c r="AC1023">
        <v>2.5075033677369473E-2</v>
      </c>
      <c r="AD1023">
        <v>0</v>
      </c>
      <c r="AE1023">
        <v>0.6137079227152461</v>
      </c>
      <c r="AF1023">
        <v>8.5501651775175339E-3</v>
      </c>
      <c r="AG1023">
        <v>0</v>
      </c>
      <c r="AH1023">
        <v>0</v>
      </c>
      <c r="AI1023">
        <v>6.0287198607636844E-2</v>
      </c>
      <c r="AJ1023">
        <v>0</v>
      </c>
    </row>
    <row r="1024" spans="1:36" hidden="1" x14ac:dyDescent="0.25">
      <c r="A1024" t="s">
        <v>128</v>
      </c>
      <c r="C1024" s="14" t="s">
        <v>110</v>
      </c>
      <c r="D1024" s="12">
        <v>46237</v>
      </c>
      <c r="E1024" s="14"/>
      <c r="F1024" s="14"/>
      <c r="G1024">
        <v>122.1575618573554</v>
      </c>
      <c r="H1024">
        <v>142.49999999999997</v>
      </c>
      <c r="J1024">
        <v>142.49999999999997</v>
      </c>
      <c r="M1024">
        <v>128.5180275984828</v>
      </c>
      <c r="Q1024">
        <v>0.17858880677578129</v>
      </c>
      <c r="R1024">
        <v>0</v>
      </c>
      <c r="S1024">
        <v>0.41649358873566988</v>
      </c>
      <c r="T1024">
        <v>0</v>
      </c>
      <c r="U1024">
        <v>2.866318483454719E-2</v>
      </c>
      <c r="V1024">
        <v>0</v>
      </c>
      <c r="W1024">
        <v>3.4211074220755422E-2</v>
      </c>
      <c r="X1024">
        <v>0</v>
      </c>
      <c r="Y1024">
        <v>5.5624926207033978E-2</v>
      </c>
      <c r="Z1024">
        <v>0.20680515804804608</v>
      </c>
      <c r="AA1024">
        <v>0.16166138676409453</v>
      </c>
      <c r="AB1024">
        <v>0</v>
      </c>
      <c r="AC1024">
        <v>3.5290404157952288E-2</v>
      </c>
      <c r="AD1024">
        <v>0</v>
      </c>
      <c r="AE1024">
        <v>0.59624305102990738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 hidden="1" x14ac:dyDescent="0.25">
      <c r="A1025" t="s">
        <v>128</v>
      </c>
      <c r="C1025" s="14" t="s">
        <v>110</v>
      </c>
      <c r="D1025" s="12">
        <v>46238</v>
      </c>
      <c r="E1025" s="14"/>
      <c r="F1025" s="14"/>
      <c r="G1025">
        <v>125.73546275078205</v>
      </c>
      <c r="H1025">
        <v>198.5499999999999</v>
      </c>
      <c r="J1025">
        <v>198.5499999999999</v>
      </c>
      <c r="M1025">
        <v>125.65876658709298</v>
      </c>
      <c r="Q1025">
        <v>0.13612666651368605</v>
      </c>
      <c r="R1025">
        <v>0</v>
      </c>
      <c r="S1025">
        <v>0.61311352096188843</v>
      </c>
      <c r="T1025">
        <v>0</v>
      </c>
      <c r="U1025">
        <v>3.0044959147686488E-2</v>
      </c>
      <c r="V1025">
        <v>6.3722563177493413E-3</v>
      </c>
      <c r="W1025">
        <v>3.8123446899049569E-2</v>
      </c>
      <c r="X1025">
        <v>0</v>
      </c>
      <c r="Y1025">
        <v>5.0145198911830967E-2</v>
      </c>
      <c r="Z1025">
        <v>0.14250556411528703</v>
      </c>
      <c r="AA1025">
        <v>0.15336793157941656</v>
      </c>
      <c r="AB1025">
        <v>0</v>
      </c>
      <c r="AC1025">
        <v>5.1537121347810272E-2</v>
      </c>
      <c r="AD1025">
        <v>0</v>
      </c>
      <c r="AE1025">
        <v>0.61726939621432353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hidden="1" x14ac:dyDescent="0.25">
      <c r="A1026" t="s">
        <v>128</v>
      </c>
      <c r="C1026" s="14" t="s">
        <v>110</v>
      </c>
      <c r="D1026" s="12">
        <v>46239</v>
      </c>
      <c r="E1026" s="14"/>
      <c r="F1026" s="14"/>
      <c r="G1026">
        <v>122.06903780919215</v>
      </c>
      <c r="H1026">
        <v>112.10000000000004</v>
      </c>
      <c r="J1026">
        <v>112.10000000000004</v>
      </c>
      <c r="M1026">
        <v>126.62028462805102</v>
      </c>
      <c r="Q1026">
        <v>0.22408957158719706</v>
      </c>
      <c r="R1026">
        <v>0</v>
      </c>
      <c r="S1026">
        <v>0.15367805087034561</v>
      </c>
      <c r="T1026">
        <v>0</v>
      </c>
      <c r="U1026">
        <v>1.3266800567064627E-2</v>
      </c>
      <c r="V1026">
        <v>0</v>
      </c>
      <c r="W1026">
        <v>1.1251098806151161E-2</v>
      </c>
      <c r="X1026">
        <v>0</v>
      </c>
      <c r="Y1026">
        <v>1.1981338759243775E-2</v>
      </c>
      <c r="Z1026">
        <v>0.18605869267171585</v>
      </c>
      <c r="AA1026">
        <v>0.13248069445530525</v>
      </c>
      <c r="AB1026">
        <v>0</v>
      </c>
      <c r="AC1026">
        <v>7.1060091966658509E-2</v>
      </c>
      <c r="AD1026">
        <v>0</v>
      </c>
      <c r="AE1026">
        <v>0.60261803963957228</v>
      </c>
      <c r="AF1026">
        <v>7.7824812667480715E-3</v>
      </c>
      <c r="AG1026">
        <v>0</v>
      </c>
      <c r="AH1026">
        <v>0</v>
      </c>
      <c r="AI1026">
        <v>0</v>
      </c>
      <c r="AJ1026">
        <v>0</v>
      </c>
    </row>
    <row r="1027" spans="1:36" hidden="1" x14ac:dyDescent="0.25">
      <c r="A1027" t="s">
        <v>128</v>
      </c>
      <c r="C1027" s="14" t="s">
        <v>110</v>
      </c>
      <c r="D1027" s="12">
        <v>46240</v>
      </c>
      <c r="E1027" s="14"/>
      <c r="F1027" s="14"/>
      <c r="G1027">
        <v>123.7151222653991</v>
      </c>
      <c r="H1027">
        <v>124.45</v>
      </c>
      <c r="J1027">
        <v>124.45</v>
      </c>
      <c r="M1027">
        <v>124.8077013928289</v>
      </c>
      <c r="Q1027">
        <v>0.18319329538665177</v>
      </c>
      <c r="R1027">
        <v>0</v>
      </c>
      <c r="S1027">
        <v>0.25997395723716937</v>
      </c>
      <c r="T1027">
        <v>0</v>
      </c>
      <c r="U1027">
        <v>2.1135122558336356E-2</v>
      </c>
      <c r="V1027">
        <v>0</v>
      </c>
      <c r="W1027">
        <v>3.4689565052308781E-2</v>
      </c>
      <c r="X1027">
        <v>0</v>
      </c>
      <c r="Y1027">
        <v>4.8845179733918637E-2</v>
      </c>
      <c r="Z1027">
        <v>0.22632434138696969</v>
      </c>
      <c r="AA1027">
        <v>0.17845299455926519</v>
      </c>
      <c r="AB1027">
        <v>0</v>
      </c>
      <c r="AC1027">
        <v>3.6375713330579824E-2</v>
      </c>
      <c r="AD1027">
        <v>0</v>
      </c>
      <c r="AE1027">
        <v>0.54348908690501752</v>
      </c>
      <c r="AF1027">
        <v>1.5357863818167974E-2</v>
      </c>
      <c r="AG1027">
        <v>0</v>
      </c>
      <c r="AH1027">
        <v>0</v>
      </c>
      <c r="AI1027">
        <v>0</v>
      </c>
      <c r="AJ1027">
        <v>0</v>
      </c>
    </row>
    <row r="1028" spans="1:36" hidden="1" x14ac:dyDescent="0.25">
      <c r="A1028" t="s">
        <v>128</v>
      </c>
      <c r="C1028" s="14" t="s">
        <v>110</v>
      </c>
      <c r="D1028" s="12">
        <v>46241</v>
      </c>
      <c r="E1028" s="14"/>
      <c r="F1028" s="14"/>
      <c r="G1028">
        <v>117.374160305385</v>
      </c>
      <c r="H1028">
        <v>157.70000000000002</v>
      </c>
      <c r="J1028">
        <v>157.70000000000002</v>
      </c>
      <c r="M1028">
        <v>118.35564536476356</v>
      </c>
      <c r="Q1028">
        <v>0.16709725946954035</v>
      </c>
      <c r="R1028">
        <v>0</v>
      </c>
      <c r="S1028">
        <v>0.38508295983802138</v>
      </c>
      <c r="T1028">
        <v>0</v>
      </c>
      <c r="U1028">
        <v>1.3718448982396389E-2</v>
      </c>
      <c r="V1028">
        <v>0</v>
      </c>
      <c r="W1028">
        <v>3.9240669529949306E-2</v>
      </c>
      <c r="X1028">
        <v>0</v>
      </c>
      <c r="Y1028">
        <v>1.4218903864012427E-2</v>
      </c>
      <c r="Z1028">
        <v>7.9461746761407298E-2</v>
      </c>
      <c r="AA1028">
        <v>0.15063926747730663</v>
      </c>
      <c r="AB1028">
        <v>0</v>
      </c>
      <c r="AC1028">
        <v>4.4867541401111793E-2</v>
      </c>
      <c r="AD1028">
        <v>0</v>
      </c>
      <c r="AE1028">
        <v>0.70884389511546375</v>
      </c>
      <c r="AF1028">
        <v>1.6187549244710806E-2</v>
      </c>
      <c r="AG1028">
        <v>0</v>
      </c>
      <c r="AH1028">
        <v>0</v>
      </c>
      <c r="AI1028">
        <v>0</v>
      </c>
      <c r="AJ1028">
        <v>0</v>
      </c>
    </row>
    <row r="1029" spans="1:36" hidden="1" x14ac:dyDescent="0.25">
      <c r="A1029" t="s">
        <v>128</v>
      </c>
      <c r="C1029" s="14" t="s">
        <v>110</v>
      </c>
      <c r="D1029" s="12">
        <v>46242</v>
      </c>
      <c r="E1029" s="14"/>
      <c r="F1029" s="14"/>
      <c r="G1029">
        <v>111.08103703818034</v>
      </c>
      <c r="H1029">
        <v>188.1</v>
      </c>
      <c r="J1029">
        <v>188.1</v>
      </c>
      <c r="M1029">
        <v>119.52715980269367</v>
      </c>
      <c r="Q1029">
        <v>0.16023775135601306</v>
      </c>
      <c r="R1029">
        <v>0</v>
      </c>
      <c r="S1029">
        <v>0.72828439254494159</v>
      </c>
      <c r="T1029">
        <v>0</v>
      </c>
      <c r="U1029">
        <v>2.5441499734741892E-2</v>
      </c>
      <c r="V1029">
        <v>4.7274676530611945E-3</v>
      </c>
      <c r="W1029">
        <v>6.4571221281926855E-2</v>
      </c>
      <c r="X1029">
        <v>0</v>
      </c>
      <c r="Y1029">
        <v>4.3504811319594772E-2</v>
      </c>
      <c r="Z1029">
        <v>6.522001849987738E-2</v>
      </c>
      <c r="AA1029">
        <v>0.14598514487486475</v>
      </c>
      <c r="AB1029">
        <v>0</v>
      </c>
      <c r="AC1029">
        <v>3.0347862682971523E-2</v>
      </c>
      <c r="AD1029">
        <v>0</v>
      </c>
      <c r="AE1029">
        <v>0.72045574051400418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 hidden="1" x14ac:dyDescent="0.25">
      <c r="A1030" t="s">
        <v>128</v>
      </c>
      <c r="C1030" s="14" t="s">
        <v>110</v>
      </c>
      <c r="D1030" s="12">
        <v>46243</v>
      </c>
      <c r="E1030" s="14"/>
      <c r="F1030" s="14"/>
      <c r="G1030">
        <v>114.8951834699771</v>
      </c>
      <c r="H1030">
        <v>190.94999999999993</v>
      </c>
      <c r="J1030">
        <v>190.94999999999993</v>
      </c>
      <c r="M1030">
        <v>120.18404217385483</v>
      </c>
      <c r="Q1030">
        <v>0.12502302209377952</v>
      </c>
      <c r="R1030">
        <v>0</v>
      </c>
      <c r="S1030">
        <v>0.64286993206345511</v>
      </c>
      <c r="T1030">
        <v>0</v>
      </c>
      <c r="U1030">
        <v>3.0529460415413764E-2</v>
      </c>
      <c r="V1030">
        <v>1.2056402634873431E-2</v>
      </c>
      <c r="W1030">
        <v>7.6473064464927312E-2</v>
      </c>
      <c r="X1030">
        <v>0</v>
      </c>
      <c r="Y1030">
        <v>5.9978669152435132E-2</v>
      </c>
      <c r="Z1030">
        <v>5.5343257401913926E-2</v>
      </c>
      <c r="AA1030">
        <v>0.14216874006228841</v>
      </c>
      <c r="AB1030">
        <v>0</v>
      </c>
      <c r="AC1030">
        <v>3.7604271993347926E-2</v>
      </c>
      <c r="AD1030">
        <v>0</v>
      </c>
      <c r="AE1030">
        <v>0.6874376809741275</v>
      </c>
      <c r="AF1030">
        <v>8.268405787856559E-3</v>
      </c>
      <c r="AG1030">
        <v>0</v>
      </c>
      <c r="AH1030">
        <v>0</v>
      </c>
      <c r="AI1030">
        <v>0</v>
      </c>
      <c r="AJ1030">
        <v>0</v>
      </c>
    </row>
    <row r="1031" spans="1:36" hidden="1" x14ac:dyDescent="0.25">
      <c r="A1031" t="s">
        <v>128</v>
      </c>
      <c r="C1031" s="14" t="s">
        <v>110</v>
      </c>
      <c r="D1031" s="12">
        <v>46244</v>
      </c>
      <c r="E1031" s="14"/>
      <c r="F1031" s="14"/>
      <c r="G1031">
        <v>117.66143868513733</v>
      </c>
      <c r="H1031">
        <v>202.34999999999997</v>
      </c>
      <c r="J1031">
        <v>202.34999999999997</v>
      </c>
      <c r="M1031">
        <v>125.80760802058381</v>
      </c>
      <c r="Q1031">
        <v>0.17284740660083794</v>
      </c>
      <c r="R1031">
        <v>0</v>
      </c>
      <c r="S1031">
        <v>0.76232891016852933</v>
      </c>
      <c r="T1031">
        <v>0</v>
      </c>
      <c r="U1031">
        <v>2.0098668989611681E-2</v>
      </c>
      <c r="V1031">
        <v>6.8095257531473278E-3</v>
      </c>
      <c r="W1031">
        <v>6.2119136497479709E-2</v>
      </c>
      <c r="X1031">
        <v>0</v>
      </c>
      <c r="Y1031">
        <v>7.9221106459095067E-2</v>
      </c>
      <c r="Z1031">
        <v>7.6655379036644572E-2</v>
      </c>
      <c r="AA1031">
        <v>0.13267192740077946</v>
      </c>
      <c r="AB1031">
        <v>0</v>
      </c>
      <c r="AC1031">
        <v>5.3159307723417024E-2</v>
      </c>
      <c r="AD1031">
        <v>0</v>
      </c>
      <c r="AE1031">
        <v>0.68894596599420854</v>
      </c>
      <c r="AF1031">
        <v>0</v>
      </c>
      <c r="AG1031">
        <v>0</v>
      </c>
      <c r="AH1031">
        <v>0</v>
      </c>
      <c r="AI1031">
        <v>1.0823746750937601E-2</v>
      </c>
      <c r="AJ1031">
        <v>0</v>
      </c>
    </row>
    <row r="1032" spans="1:36" hidden="1" x14ac:dyDescent="0.25">
      <c r="A1032" t="s">
        <v>128</v>
      </c>
      <c r="C1032" s="14" t="s">
        <v>110</v>
      </c>
      <c r="D1032" s="12">
        <v>46245</v>
      </c>
      <c r="E1032" s="14"/>
      <c r="F1032" s="14"/>
      <c r="G1032">
        <v>125.62242993113745</v>
      </c>
      <c r="H1032">
        <v>166.24999999999997</v>
      </c>
      <c r="J1032">
        <v>166.24999999999997</v>
      </c>
      <c r="M1032">
        <v>126.99469300823648</v>
      </c>
      <c r="Q1032">
        <v>0.18587281698567834</v>
      </c>
      <c r="R1032">
        <v>0</v>
      </c>
      <c r="S1032">
        <v>0.46369754988786666</v>
      </c>
      <c r="T1032">
        <v>0</v>
      </c>
      <c r="U1032">
        <v>2.985188652119455E-2</v>
      </c>
      <c r="V1032">
        <v>6.3779899602165995E-3</v>
      </c>
      <c r="W1032">
        <v>2.8484115608642911E-2</v>
      </c>
      <c r="X1032">
        <v>0</v>
      </c>
      <c r="Y1032">
        <v>3.5452626874226366E-2</v>
      </c>
      <c r="Z1032">
        <v>0.15152597563722542</v>
      </c>
      <c r="AA1032">
        <v>0.18842285674864945</v>
      </c>
      <c r="AB1032">
        <v>0</v>
      </c>
      <c r="AC1032">
        <v>3.729990793875184E-2</v>
      </c>
      <c r="AD1032">
        <v>0</v>
      </c>
      <c r="AE1032">
        <v>0.5798371488716082</v>
      </c>
      <c r="AF1032">
        <v>7.5623437671183584E-3</v>
      </c>
      <c r="AG1032">
        <v>0</v>
      </c>
      <c r="AH1032">
        <v>0</v>
      </c>
      <c r="AI1032">
        <v>0</v>
      </c>
      <c r="AJ1032">
        <v>0</v>
      </c>
    </row>
    <row r="1033" spans="1:36" hidden="1" x14ac:dyDescent="0.25">
      <c r="A1033" t="s">
        <v>128</v>
      </c>
      <c r="C1033" s="14" t="s">
        <v>110</v>
      </c>
      <c r="D1033" s="12">
        <v>46246</v>
      </c>
      <c r="E1033" s="14"/>
      <c r="F1033" s="14"/>
      <c r="G1033">
        <v>122.34527984512148</v>
      </c>
      <c r="H1033">
        <v>200.44999999999993</v>
      </c>
      <c r="J1033">
        <v>200.44999999999993</v>
      </c>
      <c r="M1033">
        <v>120.48584808357734</v>
      </c>
      <c r="Q1033">
        <v>0.18004405727039816</v>
      </c>
      <c r="R1033">
        <v>0</v>
      </c>
      <c r="S1033">
        <v>0.77049217682707594</v>
      </c>
      <c r="T1033">
        <v>0</v>
      </c>
      <c r="U1033">
        <v>1.495580459570872E-2</v>
      </c>
      <c r="V1033">
        <v>0</v>
      </c>
      <c r="W1033">
        <v>2.8921968260454074E-2</v>
      </c>
      <c r="X1033">
        <v>0</v>
      </c>
      <c r="Y1033">
        <v>3.0456544355031492E-2</v>
      </c>
      <c r="Z1033">
        <v>0.13976779016866592</v>
      </c>
      <c r="AA1033">
        <v>0.15984175525237201</v>
      </c>
      <c r="AB1033">
        <v>0</v>
      </c>
      <c r="AC1033">
        <v>6.5905099286628563E-2</v>
      </c>
      <c r="AD1033">
        <v>0</v>
      </c>
      <c r="AE1033">
        <v>0.62111214922217461</v>
      </c>
      <c r="AF1033">
        <v>1.3373206070158909E-2</v>
      </c>
      <c r="AG1033">
        <v>0</v>
      </c>
      <c r="AH1033">
        <v>0</v>
      </c>
      <c r="AI1033">
        <v>0</v>
      </c>
      <c r="AJ1033">
        <v>0</v>
      </c>
    </row>
    <row r="1034" spans="1:36" hidden="1" x14ac:dyDescent="0.25">
      <c r="A1034" t="s">
        <v>128</v>
      </c>
      <c r="C1034" s="14" t="s">
        <v>110</v>
      </c>
      <c r="D1034" s="12">
        <v>46247</v>
      </c>
      <c r="E1034" s="14"/>
      <c r="F1034" s="14"/>
      <c r="G1034">
        <v>120.03893655126777</v>
      </c>
      <c r="H1034">
        <v>168.15</v>
      </c>
      <c r="J1034">
        <v>168.15</v>
      </c>
      <c r="M1034">
        <v>119.61657766613432</v>
      </c>
      <c r="Q1034">
        <v>0.12991011236919903</v>
      </c>
      <c r="R1034">
        <v>0</v>
      </c>
      <c r="S1034">
        <v>0.52937475012647073</v>
      </c>
      <c r="T1034">
        <v>0</v>
      </c>
      <c r="U1034">
        <v>1.7081818008017915E-2</v>
      </c>
      <c r="V1034">
        <v>6.674655906640869E-3</v>
      </c>
      <c r="W1034">
        <v>4.0462187985567437E-2</v>
      </c>
      <c r="X1034">
        <v>0</v>
      </c>
      <c r="Y1034">
        <v>4.2565947016365027E-2</v>
      </c>
      <c r="Z1034">
        <v>0.19947047273267951</v>
      </c>
      <c r="AA1034">
        <v>0.1400161310464996</v>
      </c>
      <c r="AB1034">
        <v>0</v>
      </c>
      <c r="AC1034">
        <v>4.3069002003637592E-2</v>
      </c>
      <c r="AD1034">
        <v>0</v>
      </c>
      <c r="AE1034">
        <v>0.56487096081496091</v>
      </c>
      <c r="AF1034">
        <v>1.5577313600658541E-2</v>
      </c>
      <c r="AG1034">
        <v>0</v>
      </c>
      <c r="AH1034">
        <v>0</v>
      </c>
      <c r="AI1034">
        <v>0</v>
      </c>
      <c r="AJ1034">
        <v>0</v>
      </c>
    </row>
    <row r="1035" spans="1:36" hidden="1" x14ac:dyDescent="0.25">
      <c r="A1035" t="s">
        <v>128</v>
      </c>
      <c r="C1035" s="14" t="s">
        <v>110</v>
      </c>
      <c r="D1035" s="12">
        <v>46248</v>
      </c>
      <c r="E1035" s="14"/>
      <c r="F1035" s="14"/>
      <c r="G1035">
        <v>116.8499680294815</v>
      </c>
      <c r="H1035">
        <v>183.34999999999997</v>
      </c>
      <c r="J1035">
        <v>183.34999999999997</v>
      </c>
      <c r="M1035">
        <v>101.5366702987756</v>
      </c>
      <c r="Q1035">
        <v>6.0003594446650869E-2</v>
      </c>
      <c r="R1035">
        <v>0</v>
      </c>
      <c r="S1035">
        <v>0.64707930714328765</v>
      </c>
      <c r="T1035">
        <v>0</v>
      </c>
      <c r="U1035">
        <v>3.1825650365608473E-3</v>
      </c>
      <c r="V1035">
        <v>0</v>
      </c>
      <c r="W1035">
        <v>1.7280107915747672E-2</v>
      </c>
      <c r="X1035">
        <v>0</v>
      </c>
      <c r="Y1035">
        <v>8.3759967150816003E-2</v>
      </c>
      <c r="Z1035">
        <v>0.13774448519487104</v>
      </c>
      <c r="AA1035">
        <v>0.14201234398512796</v>
      </c>
      <c r="AB1035">
        <v>0</v>
      </c>
      <c r="AC1035">
        <v>6.9504859832079546E-2</v>
      </c>
      <c r="AD1035">
        <v>0</v>
      </c>
      <c r="AE1035">
        <v>0.65073831098792179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 hidden="1" x14ac:dyDescent="0.25">
      <c r="A1036" t="s">
        <v>128</v>
      </c>
      <c r="C1036" s="14" t="s">
        <v>110</v>
      </c>
      <c r="D1036" s="12">
        <v>46249</v>
      </c>
      <c r="E1036" s="14"/>
      <c r="F1036" s="14"/>
      <c r="G1036">
        <v>114.62925025881343</v>
      </c>
      <c r="H1036">
        <v>208.04999999999995</v>
      </c>
      <c r="J1036">
        <v>208.04999999999995</v>
      </c>
      <c r="M1036">
        <v>103.43322277581845</v>
      </c>
      <c r="Q1036">
        <v>5.8588028357140456E-2</v>
      </c>
      <c r="R1036">
        <v>0</v>
      </c>
      <c r="S1036">
        <v>0.83648596622763338</v>
      </c>
      <c r="T1036">
        <v>0</v>
      </c>
      <c r="U1036">
        <v>1.0975191574670945E-2</v>
      </c>
      <c r="V1036">
        <v>0</v>
      </c>
      <c r="W1036">
        <v>3.9130058514504365E-2</v>
      </c>
      <c r="X1036">
        <v>0</v>
      </c>
      <c r="Y1036">
        <v>0.10132958041853794</v>
      </c>
      <c r="Z1036">
        <v>6.0820226196656064E-2</v>
      </c>
      <c r="AA1036">
        <v>0.13724428433155064</v>
      </c>
      <c r="AB1036">
        <v>0</v>
      </c>
      <c r="AC1036">
        <v>2.9998076714015099E-2</v>
      </c>
      <c r="AD1036">
        <v>0</v>
      </c>
      <c r="AE1036">
        <v>0.73076219658658326</v>
      </c>
      <c r="AF1036">
        <v>4.1175216171194975E-2</v>
      </c>
      <c r="AG1036">
        <v>0</v>
      </c>
      <c r="AH1036">
        <v>0</v>
      </c>
      <c r="AI1036">
        <v>0</v>
      </c>
      <c r="AJ1036">
        <v>0</v>
      </c>
    </row>
    <row r="1037" spans="1:36" hidden="1" x14ac:dyDescent="0.25">
      <c r="A1037" t="s">
        <v>128</v>
      </c>
      <c r="C1037" s="14" t="s">
        <v>110</v>
      </c>
      <c r="D1037" s="12">
        <v>46250</v>
      </c>
      <c r="E1037" s="14"/>
      <c r="F1037" s="14"/>
      <c r="G1037">
        <v>111.10896459614642</v>
      </c>
      <c r="H1037">
        <v>219.44999999999996</v>
      </c>
      <c r="J1037">
        <v>219.44999999999996</v>
      </c>
      <c r="M1037">
        <v>85.937119113765405</v>
      </c>
      <c r="Q1037">
        <v>1.7364061706794987E-2</v>
      </c>
      <c r="R1037">
        <v>0</v>
      </c>
      <c r="S1037">
        <v>1.0169502810060025</v>
      </c>
      <c r="T1037">
        <v>0</v>
      </c>
      <c r="U1037">
        <v>2.1214179233124573E-3</v>
      </c>
      <c r="V1037">
        <v>0</v>
      </c>
      <c r="W1037">
        <v>2.5888479602918547E-2</v>
      </c>
      <c r="X1037">
        <v>0</v>
      </c>
      <c r="Y1037">
        <v>8.5653548499998233E-2</v>
      </c>
      <c r="Z1037">
        <v>4.9415904861571457E-2</v>
      </c>
      <c r="AA1037">
        <v>0.15309137104550341</v>
      </c>
      <c r="AB1037">
        <v>0</v>
      </c>
      <c r="AC1037">
        <v>9.0981480438087015E-2</v>
      </c>
      <c r="AD1037">
        <v>0</v>
      </c>
      <c r="AE1037">
        <v>0.67654146193857445</v>
      </c>
      <c r="AF1037">
        <v>2.9969781716264018E-2</v>
      </c>
      <c r="AG1037">
        <v>0</v>
      </c>
      <c r="AH1037">
        <v>0</v>
      </c>
      <c r="AI1037">
        <v>0</v>
      </c>
      <c r="AJ1037">
        <v>0</v>
      </c>
    </row>
    <row r="1038" spans="1:36" hidden="1" x14ac:dyDescent="0.25">
      <c r="A1038" t="s">
        <v>128</v>
      </c>
      <c r="C1038" s="14" t="s">
        <v>115</v>
      </c>
      <c r="D1038" s="12"/>
      <c r="E1038" s="14"/>
      <c r="F1038" s="14"/>
      <c r="G1038">
        <v>3330.5676667867492</v>
      </c>
      <c r="H1038">
        <v>4696.7999999999811</v>
      </c>
      <c r="J1038">
        <v>4696.7999999999811</v>
      </c>
      <c r="M1038">
        <v>3269.1471007517903</v>
      </c>
      <c r="Q1038">
        <v>0.1452968543024856</v>
      </c>
      <c r="R1038">
        <v>0</v>
      </c>
      <c r="S1038">
        <v>0.52981494967926235</v>
      </c>
      <c r="T1038">
        <v>0</v>
      </c>
      <c r="U1038">
        <v>1.6601183263765192E-2</v>
      </c>
      <c r="V1038">
        <v>2.7386688656884399E-3</v>
      </c>
      <c r="W1038">
        <v>3.2700250217528502E-2</v>
      </c>
      <c r="X1038">
        <v>0</v>
      </c>
      <c r="Y1038">
        <v>5.1929070610035301E-2</v>
      </c>
      <c r="Z1038">
        <v>0.13892471740926021</v>
      </c>
      <c r="AA1038">
        <v>0.14473135605621124</v>
      </c>
      <c r="AB1038">
        <v>0</v>
      </c>
      <c r="AC1038">
        <v>5.8208213357468022E-2</v>
      </c>
      <c r="AD1038">
        <v>0</v>
      </c>
      <c r="AE1038">
        <v>0.62613091931199238</v>
      </c>
      <c r="AF1038">
        <v>1.2328282060732446E-2</v>
      </c>
      <c r="AG1038">
        <v>0</v>
      </c>
      <c r="AH1038">
        <v>0</v>
      </c>
      <c r="AI1038">
        <v>4.0224063197966918E-3</v>
      </c>
      <c r="AJ1038">
        <v>0</v>
      </c>
    </row>
    <row r="1039" spans="1:36" hidden="1" x14ac:dyDescent="0.25">
      <c r="A1039" t="s">
        <v>128</v>
      </c>
      <c r="B1039" t="s">
        <v>291</v>
      </c>
      <c r="C1039" s="14" t="s">
        <v>116</v>
      </c>
      <c r="D1039" s="12"/>
      <c r="E1039" s="14"/>
      <c r="F1039" s="14"/>
      <c r="G1039">
        <v>1198.3032344330186</v>
      </c>
      <c r="H1039">
        <v>2185</v>
      </c>
      <c r="J1039">
        <v>2185</v>
      </c>
      <c r="M1039">
        <v>1353.228417131173</v>
      </c>
      <c r="Q1039">
        <v>8.0317325823589511E-2</v>
      </c>
      <c r="R1039">
        <v>0</v>
      </c>
      <c r="S1039">
        <v>0.80766480199997148</v>
      </c>
      <c r="T1039">
        <v>0</v>
      </c>
      <c r="U1039">
        <v>2.4160578705141562E-2</v>
      </c>
      <c r="V1039">
        <v>9.2558876037263788E-4</v>
      </c>
      <c r="W1039">
        <v>5.2347633949716879E-2</v>
      </c>
      <c r="X1039">
        <v>0</v>
      </c>
      <c r="Y1039">
        <v>4.7732460035575595E-2</v>
      </c>
      <c r="Z1039">
        <v>0.22277120374401846</v>
      </c>
      <c r="AA1039">
        <v>2.2001299643038714E-2</v>
      </c>
      <c r="AB1039">
        <v>0</v>
      </c>
      <c r="AC1039">
        <v>4.7443239865573826E-3</v>
      </c>
      <c r="AD1039">
        <v>0</v>
      </c>
      <c r="AE1039">
        <v>0.73206195452286893</v>
      </c>
      <c r="AF1039">
        <v>7.9278764564922146E-4</v>
      </c>
      <c r="AG1039">
        <v>0</v>
      </c>
      <c r="AH1039">
        <v>0</v>
      </c>
      <c r="AI1039">
        <v>1.117988840089573E-2</v>
      </c>
      <c r="AJ1039">
        <v>0</v>
      </c>
    </row>
    <row r="1040" spans="1:36" hidden="1" x14ac:dyDescent="0.25">
      <c r="A1040" t="s">
        <v>128</v>
      </c>
      <c r="B1040" t="s">
        <v>421</v>
      </c>
      <c r="C1040" s="14" t="s">
        <v>116</v>
      </c>
      <c r="D1040" s="12"/>
      <c r="E1040" s="14"/>
      <c r="F1040" s="14"/>
      <c r="G1040">
        <v>933.96119792071556</v>
      </c>
      <c r="H1040">
        <v>1369.9000000000037</v>
      </c>
      <c r="J1040">
        <v>1369.9000000000037</v>
      </c>
      <c r="M1040">
        <v>1206.0804648672517</v>
      </c>
      <c r="Q1040">
        <v>0.41479632310018211</v>
      </c>
      <c r="R1040">
        <v>0</v>
      </c>
      <c r="S1040">
        <v>0.56303225671262469</v>
      </c>
      <c r="T1040">
        <v>0</v>
      </c>
      <c r="U1040">
        <v>2.8158491818642519E-2</v>
      </c>
      <c r="V1040">
        <v>8.5787139622349046E-3</v>
      </c>
      <c r="W1040">
        <v>4.8845928787014416E-2</v>
      </c>
      <c r="X1040">
        <v>0</v>
      </c>
      <c r="Y1040">
        <v>3.7243962421307737E-2</v>
      </c>
      <c r="Z1040">
        <v>0.13920215515472242</v>
      </c>
      <c r="AA1040">
        <v>0.10217878000364229</v>
      </c>
      <c r="AB1040">
        <v>0</v>
      </c>
      <c r="AC1040">
        <v>7.3432564460714042E-2</v>
      </c>
      <c r="AD1040">
        <v>0</v>
      </c>
      <c r="AE1040">
        <v>0.60486204304741309</v>
      </c>
      <c r="AF1040">
        <v>3.2774571027843806E-2</v>
      </c>
      <c r="AG1040">
        <v>0</v>
      </c>
      <c r="AH1040">
        <v>0</v>
      </c>
      <c r="AI1040">
        <v>0</v>
      </c>
      <c r="AJ1040">
        <v>0</v>
      </c>
    </row>
    <row r="1041" spans="1:36" hidden="1" x14ac:dyDescent="0.25">
      <c r="A1041" t="s">
        <v>128</v>
      </c>
      <c r="B1041" t="s">
        <v>422</v>
      </c>
      <c r="C1041" s="14" t="s">
        <v>116</v>
      </c>
      <c r="D1041" s="12"/>
      <c r="E1041" s="14"/>
      <c r="F1041" s="14"/>
      <c r="G1041">
        <v>1198.3032344330186</v>
      </c>
      <c r="H1041">
        <v>1141.9000000000026</v>
      </c>
      <c r="J1041">
        <v>1141.9000000000026</v>
      </c>
      <c r="M1041">
        <v>709.83821875335786</v>
      </c>
      <c r="Q1041">
        <v>2.2767433707242813E-4</v>
      </c>
      <c r="R1041">
        <v>0</v>
      </c>
      <c r="S1041">
        <v>0.22607542688356769</v>
      </c>
      <c r="T1041">
        <v>0</v>
      </c>
      <c r="U1041">
        <v>3.3986263912812051E-5</v>
      </c>
      <c r="V1041">
        <v>0</v>
      </c>
      <c r="W1041">
        <v>4.6887533460697049E-4</v>
      </c>
      <c r="X1041">
        <v>0</v>
      </c>
      <c r="Y1041">
        <v>6.7571299323069475E-2</v>
      </c>
      <c r="Z1041">
        <v>5.4861995248998957E-2</v>
      </c>
      <c r="AA1041">
        <v>0.30062702010748121</v>
      </c>
      <c r="AB1041">
        <v>0</v>
      </c>
      <c r="AC1041">
        <v>9.9806197016556811E-2</v>
      </c>
      <c r="AD1041">
        <v>0</v>
      </c>
      <c r="AE1041">
        <v>0.53677691117047344</v>
      </c>
      <c r="AF1041">
        <v>7.9278764564922159E-3</v>
      </c>
      <c r="AG1041">
        <v>0</v>
      </c>
      <c r="AH1041">
        <v>0</v>
      </c>
      <c r="AI1041">
        <v>0</v>
      </c>
      <c r="AJ1041">
        <v>0</v>
      </c>
    </row>
    <row r="1042" spans="1:36" hidden="1" x14ac:dyDescent="0.25">
      <c r="A1042" t="s">
        <v>128</v>
      </c>
      <c r="B1042" t="s">
        <v>291</v>
      </c>
      <c r="C1042" s="14" t="s">
        <v>117</v>
      </c>
      <c r="D1042" s="12">
        <v>46223</v>
      </c>
      <c r="E1042" s="14"/>
      <c r="F1042" s="14"/>
      <c r="G1042">
        <v>44.308723503659913</v>
      </c>
      <c r="H1042">
        <v>100.7</v>
      </c>
      <c r="J1042">
        <v>100.7</v>
      </c>
      <c r="M1042">
        <v>39.715668252595158</v>
      </c>
      <c r="Q1042">
        <v>4.2014112533571906E-3</v>
      </c>
      <c r="R1042">
        <v>0</v>
      </c>
      <c r="S1042">
        <v>0.97267219550674311</v>
      </c>
      <c r="T1042">
        <v>0</v>
      </c>
      <c r="U1042">
        <v>7.4259565878262799E-3</v>
      </c>
      <c r="V1042">
        <v>0</v>
      </c>
      <c r="W1042">
        <v>3.3489960994663899E-2</v>
      </c>
      <c r="X1042">
        <v>0</v>
      </c>
      <c r="Y1042">
        <v>0.1360814195445598</v>
      </c>
      <c r="Z1042">
        <v>2.0843060660242746E-2</v>
      </c>
      <c r="AA1042">
        <v>9.1981515414480672E-2</v>
      </c>
      <c r="AB1042">
        <v>0</v>
      </c>
      <c r="AC1042">
        <v>5.6796106200628638E-2</v>
      </c>
      <c r="AD1042">
        <v>0</v>
      </c>
      <c r="AE1042">
        <v>0.83037931772464779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hidden="1" x14ac:dyDescent="0.25">
      <c r="A1043" t="s">
        <v>128</v>
      </c>
      <c r="B1043" t="s">
        <v>421</v>
      </c>
      <c r="C1043" s="14" t="s">
        <v>117</v>
      </c>
      <c r="D1043" s="12">
        <v>46223</v>
      </c>
      <c r="E1043" s="14"/>
      <c r="F1043" s="14"/>
      <c r="G1043">
        <v>33.540114850035636</v>
      </c>
      <c r="H1043">
        <v>57.95</v>
      </c>
      <c r="J1043">
        <v>57.95</v>
      </c>
      <c r="M1043">
        <v>22.455470364050598</v>
      </c>
      <c r="Q1043">
        <v>8.3548102474243949E-2</v>
      </c>
      <c r="R1043">
        <v>0</v>
      </c>
      <c r="S1043">
        <v>0.78821563449870669</v>
      </c>
      <c r="T1043">
        <v>0</v>
      </c>
      <c r="U1043">
        <v>0</v>
      </c>
      <c r="V1043">
        <v>2.3888367719109245E-2</v>
      </c>
      <c r="W1043">
        <v>9.2135976241782373E-3</v>
      </c>
      <c r="X1043">
        <v>0</v>
      </c>
      <c r="Y1043">
        <v>0.10294035765534248</v>
      </c>
      <c r="Z1043">
        <v>4.125276677611648E-2</v>
      </c>
      <c r="AA1043">
        <v>0.13133502323470733</v>
      </c>
      <c r="AB1043">
        <v>0</v>
      </c>
      <c r="AC1043">
        <v>0.23526725633255</v>
      </c>
      <c r="AD1043">
        <v>0</v>
      </c>
      <c r="AE1043">
        <v>0.40308850868454504</v>
      </c>
      <c r="AF1043">
        <v>5.6648583598931275E-2</v>
      </c>
      <c r="AG1043">
        <v>0</v>
      </c>
      <c r="AH1043">
        <v>0</v>
      </c>
      <c r="AI1043">
        <v>0</v>
      </c>
      <c r="AJ1043">
        <v>0</v>
      </c>
    </row>
    <row r="1044" spans="1:36" hidden="1" x14ac:dyDescent="0.25">
      <c r="A1044" t="s">
        <v>128</v>
      </c>
      <c r="B1044" t="s">
        <v>422</v>
      </c>
      <c r="C1044" s="14" t="s">
        <v>117</v>
      </c>
      <c r="D1044" s="12">
        <v>46223</v>
      </c>
      <c r="E1044" s="14"/>
      <c r="F1044" s="14"/>
      <c r="G1044">
        <v>44.308723503659913</v>
      </c>
      <c r="H1044">
        <v>46.550000000000011</v>
      </c>
      <c r="J1044">
        <v>46.550000000000011</v>
      </c>
      <c r="M1044">
        <v>26.314864475201833</v>
      </c>
      <c r="Q1044">
        <v>0</v>
      </c>
      <c r="R1044">
        <v>0</v>
      </c>
      <c r="S1044">
        <v>0.26539458486234563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8.8626032209282862E-2</v>
      </c>
      <c r="Z1044">
        <v>4.0390146969454067E-2</v>
      </c>
      <c r="AA1044">
        <v>0.28448775520917069</v>
      </c>
      <c r="AB1044">
        <v>0</v>
      </c>
      <c r="AC1044">
        <v>0.12161419505287586</v>
      </c>
      <c r="AD1044">
        <v>0</v>
      </c>
      <c r="AE1044">
        <v>0.55350790276849915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36" hidden="1" x14ac:dyDescent="0.25">
      <c r="A1045" t="s">
        <v>128</v>
      </c>
      <c r="B1045" t="s">
        <v>291</v>
      </c>
      <c r="C1045" s="14" t="s">
        <v>117</v>
      </c>
      <c r="D1045" s="12">
        <v>46224</v>
      </c>
      <c r="E1045" s="14"/>
      <c r="F1045" s="14"/>
      <c r="G1045">
        <v>45.515177224413193</v>
      </c>
      <c r="H1045">
        <v>76</v>
      </c>
      <c r="J1045">
        <v>76</v>
      </c>
      <c r="M1045">
        <v>48.787969599604537</v>
      </c>
      <c r="Q1045">
        <v>7.2944187660908544E-2</v>
      </c>
      <c r="R1045">
        <v>0</v>
      </c>
      <c r="S1045">
        <v>0.71214663698532388</v>
      </c>
      <c r="T1045">
        <v>0</v>
      </c>
      <c r="U1045">
        <v>1.3610088278328346E-2</v>
      </c>
      <c r="V1045">
        <v>0</v>
      </c>
      <c r="W1045">
        <v>3.0517692080421103E-2</v>
      </c>
      <c r="X1045">
        <v>0</v>
      </c>
      <c r="Y1045">
        <v>4.7420079739372276E-2</v>
      </c>
      <c r="Z1045">
        <v>0.33922125844071532</v>
      </c>
      <c r="AA1045">
        <v>4.5166450458893538E-2</v>
      </c>
      <c r="AB1045">
        <v>0</v>
      </c>
      <c r="AC1045">
        <v>0</v>
      </c>
      <c r="AD1045">
        <v>0</v>
      </c>
      <c r="AE1045">
        <v>0.61561229110039106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 hidden="1" x14ac:dyDescent="0.25">
      <c r="A1046" t="s">
        <v>128</v>
      </c>
      <c r="B1046" t="s">
        <v>421</v>
      </c>
      <c r="C1046" s="14" t="s">
        <v>117</v>
      </c>
      <c r="D1046" s="12">
        <v>46224</v>
      </c>
      <c r="E1046" s="14"/>
      <c r="F1046" s="14"/>
      <c r="G1046">
        <v>34.70510830195569</v>
      </c>
      <c r="H1046">
        <v>58.900000000000006</v>
      </c>
      <c r="J1046">
        <v>58.900000000000006</v>
      </c>
      <c r="M1046">
        <v>33.518322187472265</v>
      </c>
      <c r="Q1046">
        <v>0.22717015211952199</v>
      </c>
      <c r="R1046">
        <v>0</v>
      </c>
      <c r="S1046">
        <v>0.78913002285997902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9.9484819019261511E-2</v>
      </c>
      <c r="Z1046">
        <v>8.9689777745156879E-2</v>
      </c>
      <c r="AA1046">
        <v>0.12914205997805228</v>
      </c>
      <c r="AB1046">
        <v>0</v>
      </c>
      <c r="AC1046">
        <v>0.10485089506786438</v>
      </c>
      <c r="AD1046">
        <v>0</v>
      </c>
      <c r="AE1046">
        <v>0.64894377533751613</v>
      </c>
      <c r="AF1046">
        <v>2.737349187141035E-2</v>
      </c>
      <c r="AG1046">
        <v>0</v>
      </c>
      <c r="AH1046">
        <v>0</v>
      </c>
      <c r="AI1046">
        <v>0</v>
      </c>
      <c r="AJ1046">
        <v>0</v>
      </c>
    </row>
    <row r="1047" spans="1:36" hidden="1" x14ac:dyDescent="0.25">
      <c r="A1047" t="s">
        <v>128</v>
      </c>
      <c r="B1047" t="s">
        <v>422</v>
      </c>
      <c r="C1047" s="14" t="s">
        <v>117</v>
      </c>
      <c r="D1047" s="12">
        <v>46224</v>
      </c>
      <c r="E1047" s="14"/>
      <c r="F1047" s="14"/>
      <c r="G1047">
        <v>45.515177224413193</v>
      </c>
      <c r="H1047">
        <v>46.550000000000004</v>
      </c>
      <c r="J1047">
        <v>46.550000000000004</v>
      </c>
      <c r="M1047">
        <v>24.437537846020749</v>
      </c>
      <c r="Q1047">
        <v>0</v>
      </c>
      <c r="R1047">
        <v>0</v>
      </c>
      <c r="S1047">
        <v>0.2058088408164867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8.0970482197050192E-2</v>
      </c>
      <c r="Z1047">
        <v>4.3921192979132721E-3</v>
      </c>
      <c r="AA1047">
        <v>0.25965142987727069</v>
      </c>
      <c r="AB1047">
        <v>0</v>
      </c>
      <c r="AC1047">
        <v>0.20343892072092323</v>
      </c>
      <c r="AD1047">
        <v>0</v>
      </c>
      <c r="AE1047">
        <v>0.53251753010389258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hidden="1" x14ac:dyDescent="0.25">
      <c r="A1048" t="s">
        <v>128</v>
      </c>
      <c r="B1048" t="s">
        <v>291</v>
      </c>
      <c r="C1048" s="14" t="s">
        <v>117</v>
      </c>
      <c r="D1048" s="12">
        <v>46225</v>
      </c>
      <c r="E1048" s="14"/>
      <c r="F1048" s="14"/>
      <c r="G1048">
        <v>44.21118353019645</v>
      </c>
      <c r="H1048">
        <v>48.45</v>
      </c>
      <c r="J1048">
        <v>48.45</v>
      </c>
      <c r="M1048">
        <v>49.317211443400879</v>
      </c>
      <c r="Q1048">
        <v>9.3896748542896008E-2</v>
      </c>
      <c r="R1048">
        <v>0</v>
      </c>
      <c r="S1048">
        <v>0.30095438885503262</v>
      </c>
      <c r="T1048">
        <v>0</v>
      </c>
      <c r="U1048">
        <v>1.6452765888977289E-2</v>
      </c>
      <c r="V1048">
        <v>0</v>
      </c>
      <c r="W1048">
        <v>3.1064782616031447E-2</v>
      </c>
      <c r="X1048">
        <v>0</v>
      </c>
      <c r="Y1048">
        <v>0</v>
      </c>
      <c r="Z1048">
        <v>0.29113617308568279</v>
      </c>
      <c r="AA1048">
        <v>2.5922525385266463E-2</v>
      </c>
      <c r="AB1048">
        <v>0</v>
      </c>
      <c r="AC1048">
        <v>0</v>
      </c>
      <c r="AD1048">
        <v>0</v>
      </c>
      <c r="AE1048">
        <v>0.68294130152905053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1:36" hidden="1" x14ac:dyDescent="0.25">
      <c r="A1049" t="s">
        <v>128</v>
      </c>
      <c r="B1049" t="s">
        <v>421</v>
      </c>
      <c r="C1049" s="14" t="s">
        <v>117</v>
      </c>
      <c r="D1049" s="12">
        <v>46225</v>
      </c>
      <c r="E1049" s="14"/>
      <c r="F1049" s="14"/>
      <c r="G1049">
        <v>33.646670748799252</v>
      </c>
      <c r="H1049">
        <v>73.149999999999991</v>
      </c>
      <c r="J1049">
        <v>73.149999999999991</v>
      </c>
      <c r="M1049">
        <v>40.225653918241505</v>
      </c>
      <c r="Q1049">
        <v>0.34255576636963747</v>
      </c>
      <c r="R1049">
        <v>0</v>
      </c>
      <c r="S1049">
        <v>1.1748161419022589</v>
      </c>
      <c r="T1049">
        <v>0</v>
      </c>
      <c r="U1049">
        <v>0</v>
      </c>
      <c r="V1049">
        <v>2.3812715464795308E-2</v>
      </c>
      <c r="W1049">
        <v>4.2289175446048127E-2</v>
      </c>
      <c r="X1049">
        <v>0</v>
      </c>
      <c r="Y1049">
        <v>6.9416063203546027E-2</v>
      </c>
      <c r="Z1049">
        <v>7.3461014647613135E-2</v>
      </c>
      <c r="AA1049">
        <v>3.8996829391923844E-2</v>
      </c>
      <c r="AB1049">
        <v>0</v>
      </c>
      <c r="AC1049">
        <v>9.4742515930461665E-2</v>
      </c>
      <c r="AD1049">
        <v>0</v>
      </c>
      <c r="AE1049">
        <v>0.60523698090192368</v>
      </c>
      <c r="AF1049">
        <v>5.5574121223134133E-2</v>
      </c>
      <c r="AG1049">
        <v>0</v>
      </c>
      <c r="AH1049">
        <v>0</v>
      </c>
      <c r="AI1049">
        <v>0</v>
      </c>
      <c r="AJ1049">
        <v>0</v>
      </c>
    </row>
    <row r="1050" spans="1:36" hidden="1" x14ac:dyDescent="0.25">
      <c r="A1050" t="s">
        <v>128</v>
      </c>
      <c r="B1050" t="s">
        <v>422</v>
      </c>
      <c r="C1050" s="14" t="s">
        <v>117</v>
      </c>
      <c r="D1050" s="12">
        <v>46225</v>
      </c>
      <c r="E1050" s="14"/>
      <c r="F1050" s="14"/>
      <c r="G1050">
        <v>44.21118353019645</v>
      </c>
      <c r="H1050">
        <v>60.8</v>
      </c>
      <c r="J1050">
        <v>60.8</v>
      </c>
      <c r="M1050">
        <v>24.139918256389237</v>
      </c>
      <c r="Q1050">
        <v>0</v>
      </c>
      <c r="R1050">
        <v>0</v>
      </c>
      <c r="S1050">
        <v>0.50394730094869411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0.10737893277615344</v>
      </c>
      <c r="Z1050">
        <v>1.4447731071334256E-2</v>
      </c>
      <c r="AA1050">
        <v>0.22166085080139059</v>
      </c>
      <c r="AB1050">
        <v>0</v>
      </c>
      <c r="AC1050">
        <v>0.2323253054411456</v>
      </c>
      <c r="AD1050">
        <v>0</v>
      </c>
      <c r="AE1050">
        <v>0.53156611268612941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36" hidden="1" x14ac:dyDescent="0.25">
      <c r="A1051" t="s">
        <v>128</v>
      </c>
      <c r="B1051" t="s">
        <v>291</v>
      </c>
      <c r="C1051" s="14" t="s">
        <v>117</v>
      </c>
      <c r="D1051" s="12">
        <v>46226</v>
      </c>
      <c r="E1051" s="14"/>
      <c r="F1051" s="14"/>
      <c r="G1051">
        <v>44.45775971346233</v>
      </c>
      <c r="H1051">
        <v>71.25</v>
      </c>
      <c r="J1051">
        <v>71.25</v>
      </c>
      <c r="M1051">
        <v>47.496510015577435</v>
      </c>
      <c r="Q1051">
        <v>3.6127996840332598E-2</v>
      </c>
      <c r="R1051">
        <v>0</v>
      </c>
      <c r="S1051">
        <v>0.71758685187527049</v>
      </c>
      <c r="T1051">
        <v>0</v>
      </c>
      <c r="U1051">
        <v>6.532738597260019E-3</v>
      </c>
      <c r="V1051">
        <v>0</v>
      </c>
      <c r="W1051">
        <v>4.8242287181723895E-2</v>
      </c>
      <c r="X1051">
        <v>0</v>
      </c>
      <c r="Y1051">
        <v>3.4622026974899398E-2</v>
      </c>
      <c r="Z1051">
        <v>0.41684200739794108</v>
      </c>
      <c r="AA1051">
        <v>2.2551618461744041E-2</v>
      </c>
      <c r="AB1051">
        <v>0</v>
      </c>
      <c r="AC1051">
        <v>0</v>
      </c>
      <c r="AD1051">
        <v>0</v>
      </c>
      <c r="AE1051">
        <v>0.56060637414031478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 hidden="1" x14ac:dyDescent="0.25">
      <c r="A1052" t="s">
        <v>128</v>
      </c>
      <c r="B1052" t="s">
        <v>421</v>
      </c>
      <c r="C1052" s="14" t="s">
        <v>117</v>
      </c>
      <c r="D1052" s="12">
        <v>46226</v>
      </c>
      <c r="E1052" s="14"/>
      <c r="F1052" s="14"/>
      <c r="G1052">
        <v>34.799602838474449</v>
      </c>
      <c r="H1052">
        <v>43.7</v>
      </c>
      <c r="J1052">
        <v>43.7</v>
      </c>
      <c r="M1052">
        <v>39.286300685689753</v>
      </c>
      <c r="Q1052">
        <v>0.33544433404412688</v>
      </c>
      <c r="R1052">
        <v>0</v>
      </c>
      <c r="S1052">
        <v>0.4288621409426942</v>
      </c>
      <c r="T1052">
        <v>0</v>
      </c>
      <c r="U1052">
        <v>0</v>
      </c>
      <c r="V1052">
        <v>0</v>
      </c>
      <c r="W1052">
        <v>3.5001304822204669E-2</v>
      </c>
      <c r="X1052">
        <v>0</v>
      </c>
      <c r="Y1052">
        <v>5.4806312238968459E-2</v>
      </c>
      <c r="Z1052">
        <v>0.14236540552639382</v>
      </c>
      <c r="AA1052">
        <v>0.12054289442757674</v>
      </c>
      <c r="AB1052">
        <v>0</v>
      </c>
      <c r="AC1052">
        <v>3.9941095161372876E-2</v>
      </c>
      <c r="AD1052">
        <v>0</v>
      </c>
      <c r="AE1052">
        <v>0.61611852609808526</v>
      </c>
      <c r="AF1052">
        <v>8.1032078786571288E-2</v>
      </c>
      <c r="AG1052">
        <v>0</v>
      </c>
      <c r="AH1052">
        <v>0</v>
      </c>
      <c r="AI1052">
        <v>0</v>
      </c>
      <c r="AJ1052">
        <v>0</v>
      </c>
    </row>
    <row r="1053" spans="1:36" hidden="1" x14ac:dyDescent="0.25">
      <c r="A1053" t="s">
        <v>128</v>
      </c>
      <c r="B1053" t="s">
        <v>422</v>
      </c>
      <c r="C1053" s="14" t="s">
        <v>117</v>
      </c>
      <c r="D1053" s="12">
        <v>46226</v>
      </c>
      <c r="E1053" s="14"/>
      <c r="F1053" s="14"/>
      <c r="G1053">
        <v>44.45775971346233</v>
      </c>
      <c r="H1053">
        <v>30.399999999999995</v>
      </c>
      <c r="J1053">
        <v>30.399999999999995</v>
      </c>
      <c r="M1053">
        <v>24.484776604140098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5.6640425140091342E-2</v>
      </c>
      <c r="Z1053">
        <v>3.2692991768150166E-2</v>
      </c>
      <c r="AA1053">
        <v>0.34015229398720692</v>
      </c>
      <c r="AB1053">
        <v>0</v>
      </c>
      <c r="AC1053">
        <v>0.10910523131437003</v>
      </c>
      <c r="AD1053">
        <v>0</v>
      </c>
      <c r="AE1053">
        <v>0.51804948293027286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 hidden="1" x14ac:dyDescent="0.25">
      <c r="A1054" t="s">
        <v>128</v>
      </c>
      <c r="B1054" t="s">
        <v>291</v>
      </c>
      <c r="C1054" s="14" t="s">
        <v>117</v>
      </c>
      <c r="D1054" s="12">
        <v>46227</v>
      </c>
      <c r="E1054" s="14"/>
      <c r="F1054" s="14"/>
      <c r="G1054">
        <v>41.296293897593188</v>
      </c>
      <c r="H1054">
        <v>57.000000000000007</v>
      </c>
      <c r="J1054">
        <v>57.000000000000007</v>
      </c>
      <c r="M1054">
        <v>47.013068462679193</v>
      </c>
      <c r="Q1054">
        <v>9.3433905146016072E-2</v>
      </c>
      <c r="R1054">
        <v>0</v>
      </c>
      <c r="S1054">
        <v>0.69340142325106624</v>
      </c>
      <c r="T1054">
        <v>0</v>
      </c>
      <c r="U1054">
        <v>3.748610014347252E-2</v>
      </c>
      <c r="V1054">
        <v>0</v>
      </c>
      <c r="W1054">
        <v>3.9478188928581071E-2</v>
      </c>
      <c r="X1054">
        <v>0</v>
      </c>
      <c r="Y1054">
        <v>2.7141257181886137E-2</v>
      </c>
      <c r="Z1054">
        <v>0.35385542026855604</v>
      </c>
      <c r="AA1054">
        <v>3.1965080116777914E-2</v>
      </c>
      <c r="AB1054">
        <v>0</v>
      </c>
      <c r="AC1054">
        <v>0</v>
      </c>
      <c r="AD1054">
        <v>0</v>
      </c>
      <c r="AE1054">
        <v>0.55975768332299702</v>
      </c>
      <c r="AF1054">
        <v>0</v>
      </c>
      <c r="AG1054">
        <v>0</v>
      </c>
      <c r="AH1054">
        <v>0</v>
      </c>
      <c r="AI1054">
        <v>5.4421816291668972E-2</v>
      </c>
      <c r="AJ1054">
        <v>0</v>
      </c>
    </row>
    <row r="1055" spans="1:36" hidden="1" x14ac:dyDescent="0.25">
      <c r="A1055" t="s">
        <v>128</v>
      </c>
      <c r="B1055" t="s">
        <v>421</v>
      </c>
      <c r="C1055" s="14" t="s">
        <v>117</v>
      </c>
      <c r="D1055" s="12">
        <v>46227</v>
      </c>
      <c r="E1055" s="14"/>
      <c r="F1055" s="14"/>
      <c r="G1055">
        <v>34.781572510198643</v>
      </c>
      <c r="H1055">
        <v>30.399999999999991</v>
      </c>
      <c r="J1055">
        <v>30.399999999999991</v>
      </c>
      <c r="M1055">
        <v>47.35103535834466</v>
      </c>
      <c r="Q1055">
        <v>0.60082567837763612</v>
      </c>
      <c r="R1055">
        <v>0</v>
      </c>
      <c r="S1055">
        <v>5.3792478309225594E-2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2.7480143479902071E-2</v>
      </c>
      <c r="Z1055">
        <v>0.12927687623439862</v>
      </c>
      <c r="AA1055">
        <v>0.10528302170175546</v>
      </c>
      <c r="AB1055">
        <v>0</v>
      </c>
      <c r="AC1055">
        <v>0.10684652040481786</v>
      </c>
      <c r="AD1055">
        <v>0</v>
      </c>
      <c r="AE1055">
        <v>0.63128026798635128</v>
      </c>
      <c r="AF1055">
        <v>2.7313313672676566E-2</v>
      </c>
      <c r="AG1055">
        <v>0</v>
      </c>
      <c r="AH1055">
        <v>0</v>
      </c>
      <c r="AI1055">
        <v>0</v>
      </c>
      <c r="AJ1055">
        <v>0</v>
      </c>
    </row>
    <row r="1056" spans="1:36" hidden="1" x14ac:dyDescent="0.25">
      <c r="A1056" t="s">
        <v>128</v>
      </c>
      <c r="B1056" t="s">
        <v>422</v>
      </c>
      <c r="C1056" s="14" t="s">
        <v>117</v>
      </c>
      <c r="D1056" s="12">
        <v>46227</v>
      </c>
      <c r="E1056" s="14"/>
      <c r="F1056" s="14"/>
      <c r="G1056">
        <v>41.296293897593188</v>
      </c>
      <c r="H1056">
        <v>43.70000000000001</v>
      </c>
      <c r="J1056">
        <v>43.70000000000001</v>
      </c>
      <c r="M1056">
        <v>24.933160322952702</v>
      </c>
      <c r="Q1056">
        <v>0</v>
      </c>
      <c r="R1056">
        <v>0</v>
      </c>
      <c r="S1056">
        <v>0.21998721720441347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8.8804641863768768E-2</v>
      </c>
      <c r="Z1056">
        <v>2.8688226098840287E-2</v>
      </c>
      <c r="AA1056">
        <v>0.22189729347632275</v>
      </c>
      <c r="AB1056">
        <v>0</v>
      </c>
      <c r="AC1056">
        <v>0.1743400447995499</v>
      </c>
      <c r="AD1056">
        <v>0</v>
      </c>
      <c r="AE1056">
        <v>0.57507443562528704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hidden="1" x14ac:dyDescent="0.25">
      <c r="A1057" t="s">
        <v>128</v>
      </c>
      <c r="B1057" t="s">
        <v>291</v>
      </c>
      <c r="C1057" s="14" t="s">
        <v>117</v>
      </c>
      <c r="D1057" s="12">
        <v>46228</v>
      </c>
      <c r="E1057" s="14"/>
      <c r="F1057" s="14"/>
      <c r="G1057">
        <v>40.032120530081045</v>
      </c>
      <c r="H1057">
        <v>90.249999999999986</v>
      </c>
      <c r="J1057">
        <v>90.249999999999986</v>
      </c>
      <c r="M1057">
        <v>49.310873522202996</v>
      </c>
      <c r="Q1057">
        <v>6.714057774706321E-2</v>
      </c>
      <c r="R1057">
        <v>0</v>
      </c>
      <c r="S1057">
        <v>1.0158296972160028</v>
      </c>
      <c r="T1057">
        <v>0</v>
      </c>
      <c r="U1057">
        <v>6.6501724212318453E-2</v>
      </c>
      <c r="V1057">
        <v>0</v>
      </c>
      <c r="W1057">
        <v>0.11609607571567067</v>
      </c>
      <c r="X1057">
        <v>0</v>
      </c>
      <c r="Y1057">
        <v>6.387514890824586E-2</v>
      </c>
      <c r="Z1057">
        <v>3.1593934708856915E-2</v>
      </c>
      <c r="AA1057">
        <v>0</v>
      </c>
      <c r="AB1057">
        <v>0</v>
      </c>
      <c r="AC1057">
        <v>1.7955677451873313E-2</v>
      </c>
      <c r="AD1057">
        <v>0</v>
      </c>
      <c r="AE1057">
        <v>0.95045038783926983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 hidden="1" x14ac:dyDescent="0.25">
      <c r="A1058" t="s">
        <v>128</v>
      </c>
      <c r="B1058" t="s">
        <v>421</v>
      </c>
      <c r="C1058" s="14" t="s">
        <v>117</v>
      </c>
      <c r="D1058" s="12">
        <v>46228</v>
      </c>
      <c r="E1058" s="14"/>
      <c r="F1058" s="14"/>
      <c r="G1058">
        <v>31.01679597801828</v>
      </c>
      <c r="H1058">
        <v>24.699999999999996</v>
      </c>
      <c r="J1058">
        <v>24.699999999999996</v>
      </c>
      <c r="M1058">
        <v>45.465585455760348</v>
      </c>
      <c r="Q1058">
        <v>0.61108111003348609</v>
      </c>
      <c r="R1058">
        <v>0</v>
      </c>
      <c r="S1058">
        <v>5.4532765778925726E-2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1.97220134012915E-2</v>
      </c>
      <c r="Z1058">
        <v>0.20810940398809921</v>
      </c>
      <c r="AA1058">
        <v>0.10043121126520201</v>
      </c>
      <c r="AB1058">
        <v>0</v>
      </c>
      <c r="AC1058">
        <v>2.1769765216081149E-2</v>
      </c>
      <c r="AD1058">
        <v>0</v>
      </c>
      <c r="AE1058">
        <v>0.63906105297354099</v>
      </c>
      <c r="AF1058">
        <v>3.0628566557076641E-2</v>
      </c>
      <c r="AG1058">
        <v>0</v>
      </c>
      <c r="AH1058">
        <v>0</v>
      </c>
      <c r="AI1058">
        <v>0</v>
      </c>
      <c r="AJ1058">
        <v>0</v>
      </c>
    </row>
    <row r="1059" spans="1:36" hidden="1" x14ac:dyDescent="0.25">
      <c r="A1059" t="s">
        <v>128</v>
      </c>
      <c r="B1059" t="s">
        <v>422</v>
      </c>
      <c r="C1059" s="14" t="s">
        <v>117</v>
      </c>
      <c r="D1059" s="12">
        <v>46228</v>
      </c>
      <c r="E1059" s="14"/>
      <c r="F1059" s="14"/>
      <c r="G1059">
        <v>40.032120530081045</v>
      </c>
      <c r="H1059">
        <v>22.799999999999997</v>
      </c>
      <c r="J1059">
        <v>22.799999999999997</v>
      </c>
      <c r="M1059">
        <v>25.629824466551309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0.10275003973649122</v>
      </c>
      <c r="AA1059">
        <v>0.32770731055881591</v>
      </c>
      <c r="AB1059">
        <v>0</v>
      </c>
      <c r="AC1059">
        <v>3.2061192154087502E-2</v>
      </c>
      <c r="AD1059">
        <v>0</v>
      </c>
      <c r="AE1059">
        <v>0.5374814575506055</v>
      </c>
      <c r="AF1059">
        <v>0</v>
      </c>
      <c r="AG1059">
        <v>0</v>
      </c>
      <c r="AH1059">
        <v>0</v>
      </c>
      <c r="AI1059">
        <v>0</v>
      </c>
      <c r="AJ1059">
        <v>0</v>
      </c>
    </row>
    <row r="1060" spans="1:36" hidden="1" x14ac:dyDescent="0.25">
      <c r="A1060" t="s">
        <v>128</v>
      </c>
      <c r="B1060" t="s">
        <v>291</v>
      </c>
      <c r="C1060" s="14" t="s">
        <v>117</v>
      </c>
      <c r="D1060" s="12">
        <v>46229</v>
      </c>
      <c r="E1060" s="14"/>
      <c r="F1060" s="14"/>
      <c r="G1060">
        <v>41.939193745979424</v>
      </c>
      <c r="H1060">
        <v>69.349999999999994</v>
      </c>
      <c r="J1060">
        <v>69.349999999999994</v>
      </c>
      <c r="M1060">
        <v>48.904393742791221</v>
      </c>
      <c r="Q1060">
        <v>0.11135379509858112</v>
      </c>
      <c r="R1060">
        <v>0</v>
      </c>
      <c r="S1060">
        <v>0.73562068850516282</v>
      </c>
      <c r="T1060">
        <v>0</v>
      </c>
      <c r="U1060">
        <v>2.9366501437194471E-2</v>
      </c>
      <c r="V1060">
        <v>0</v>
      </c>
      <c r="W1060">
        <v>2.535824181188959E-2</v>
      </c>
      <c r="X1060">
        <v>0</v>
      </c>
      <c r="Y1060">
        <v>4.0239972653939658E-2</v>
      </c>
      <c r="Z1060">
        <v>0.3504069427765189</v>
      </c>
      <c r="AA1060">
        <v>0</v>
      </c>
      <c r="AB1060">
        <v>0</v>
      </c>
      <c r="AC1060">
        <v>0</v>
      </c>
      <c r="AD1060">
        <v>0</v>
      </c>
      <c r="AE1060">
        <v>0.57382881387054574</v>
      </c>
      <c r="AF1060">
        <v>0</v>
      </c>
      <c r="AG1060">
        <v>0</v>
      </c>
      <c r="AH1060">
        <v>0</v>
      </c>
      <c r="AI1060">
        <v>7.5764243352935245E-2</v>
      </c>
      <c r="AJ1060">
        <v>0</v>
      </c>
    </row>
    <row r="1061" spans="1:36" hidden="1" x14ac:dyDescent="0.25">
      <c r="A1061" t="s">
        <v>128</v>
      </c>
      <c r="B1061" t="s">
        <v>421</v>
      </c>
      <c r="C1061" s="14" t="s">
        <v>117</v>
      </c>
      <c r="D1061" s="12">
        <v>46229</v>
      </c>
      <c r="E1061" s="14"/>
      <c r="F1061" s="14"/>
      <c r="G1061">
        <v>31.01679597801828</v>
      </c>
      <c r="H1061">
        <v>39.900000000000006</v>
      </c>
      <c r="J1061">
        <v>39.900000000000006</v>
      </c>
      <c r="M1061">
        <v>45.020353673143454</v>
      </c>
      <c r="Q1061">
        <v>0.49890288488549878</v>
      </c>
      <c r="R1061">
        <v>0</v>
      </c>
      <c r="S1061">
        <v>0.27963864294815588</v>
      </c>
      <c r="T1061">
        <v>0</v>
      </c>
      <c r="U1061">
        <v>1.7756103556314108E-2</v>
      </c>
      <c r="V1061">
        <v>0</v>
      </c>
      <c r="W1061">
        <v>8.0067583394613034E-2</v>
      </c>
      <c r="X1061">
        <v>0</v>
      </c>
      <c r="Y1061">
        <v>1.97220134012915E-2</v>
      </c>
      <c r="Z1061">
        <v>0.10223903630918352</v>
      </c>
      <c r="AA1061">
        <v>8.4958581016522206E-2</v>
      </c>
      <c r="AB1061">
        <v>0</v>
      </c>
      <c r="AC1061">
        <v>2.1769765216081149E-2</v>
      </c>
      <c r="AD1061">
        <v>0</v>
      </c>
      <c r="AE1061">
        <v>0.74493142065245666</v>
      </c>
      <c r="AF1061">
        <v>4.6101196805756431E-2</v>
      </c>
      <c r="AG1061">
        <v>0</v>
      </c>
      <c r="AH1061">
        <v>0</v>
      </c>
      <c r="AI1061">
        <v>0</v>
      </c>
      <c r="AJ1061">
        <v>0</v>
      </c>
    </row>
    <row r="1062" spans="1:36" hidden="1" x14ac:dyDescent="0.25">
      <c r="A1062" t="s">
        <v>128</v>
      </c>
      <c r="B1062" t="s">
        <v>422</v>
      </c>
      <c r="C1062" s="14" t="s">
        <v>117</v>
      </c>
      <c r="D1062" s="12">
        <v>46229</v>
      </c>
      <c r="E1062" s="14"/>
      <c r="F1062" s="14"/>
      <c r="G1062">
        <v>41.939193745979424</v>
      </c>
      <c r="H1062">
        <v>35.15</v>
      </c>
      <c r="J1062">
        <v>35.15</v>
      </c>
      <c r="M1062">
        <v>24.186096092848896</v>
      </c>
      <c r="Q1062">
        <v>0</v>
      </c>
      <c r="R1062">
        <v>0</v>
      </c>
      <c r="S1062">
        <v>4.8182746730565704E-2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8.5501188021155833E-2</v>
      </c>
      <c r="Z1062">
        <v>4.842810168257921E-2</v>
      </c>
      <c r="AA1062">
        <v>0.24713767054796329</v>
      </c>
      <c r="AB1062">
        <v>0</v>
      </c>
      <c r="AC1062">
        <v>0.10821245237993014</v>
      </c>
      <c r="AD1062">
        <v>0</v>
      </c>
      <c r="AE1062">
        <v>0.52826624869862093</v>
      </c>
      <c r="AF1062">
        <v>6.7955526690906404E-2</v>
      </c>
      <c r="AG1062">
        <v>0</v>
      </c>
      <c r="AH1062">
        <v>0</v>
      </c>
      <c r="AI1062">
        <v>0</v>
      </c>
      <c r="AJ1062">
        <v>0</v>
      </c>
    </row>
    <row r="1063" spans="1:36" hidden="1" x14ac:dyDescent="0.25">
      <c r="A1063" t="s">
        <v>128</v>
      </c>
      <c r="B1063" t="s">
        <v>291</v>
      </c>
      <c r="C1063" s="14" t="s">
        <v>117</v>
      </c>
      <c r="D1063" s="12">
        <v>46230</v>
      </c>
      <c r="E1063" s="14"/>
      <c r="F1063" s="14"/>
      <c r="G1063">
        <v>41.995461820747067</v>
      </c>
      <c r="H1063">
        <v>48.45</v>
      </c>
      <c r="J1063">
        <v>48.45</v>
      </c>
      <c r="M1063">
        <v>48.040423154555931</v>
      </c>
      <c r="Q1063">
        <v>0.10424035463588545</v>
      </c>
      <c r="R1063">
        <v>0</v>
      </c>
      <c r="S1063">
        <v>0.36485618343644299</v>
      </c>
      <c r="T1063">
        <v>0</v>
      </c>
      <c r="U1063">
        <v>3.7162159503750299E-2</v>
      </c>
      <c r="V1063">
        <v>0</v>
      </c>
      <c r="W1063">
        <v>3.2703790981636852E-2</v>
      </c>
      <c r="X1063">
        <v>0</v>
      </c>
      <c r="Y1063">
        <v>0</v>
      </c>
      <c r="Z1063">
        <v>0.29851194310013557</v>
      </c>
      <c r="AA1063">
        <v>2.7757087038874511E-2</v>
      </c>
      <c r="AB1063">
        <v>0</v>
      </c>
      <c r="AC1063">
        <v>2.4060139426005408E-3</v>
      </c>
      <c r="AD1063">
        <v>0</v>
      </c>
      <c r="AE1063">
        <v>0.67132495591838914</v>
      </c>
      <c r="AF1063">
        <v>0</v>
      </c>
      <c r="AG1063">
        <v>0</v>
      </c>
      <c r="AH1063">
        <v>0</v>
      </c>
      <c r="AI1063">
        <v>0</v>
      </c>
      <c r="AJ1063">
        <v>0</v>
      </c>
    </row>
    <row r="1064" spans="1:36" hidden="1" x14ac:dyDescent="0.25">
      <c r="A1064" t="s">
        <v>128</v>
      </c>
      <c r="B1064" t="s">
        <v>421</v>
      </c>
      <c r="C1064" s="14" t="s">
        <v>117</v>
      </c>
      <c r="D1064" s="12">
        <v>46230</v>
      </c>
      <c r="E1064" s="14"/>
      <c r="F1064" s="14"/>
      <c r="G1064">
        <v>33.670515043643206</v>
      </c>
      <c r="H1064">
        <v>65.550000000000011</v>
      </c>
      <c r="J1064">
        <v>65.550000000000011</v>
      </c>
      <c r="M1064">
        <v>42.551052791733213</v>
      </c>
      <c r="Q1064">
        <v>0.36994470933946211</v>
      </c>
      <c r="R1064">
        <v>0</v>
      </c>
      <c r="S1064">
        <v>1.0959783830950305</v>
      </c>
      <c r="T1064">
        <v>0</v>
      </c>
      <c r="U1064">
        <v>2.1743583332631995E-2</v>
      </c>
      <c r="V1064">
        <v>2.3795852122852311E-2</v>
      </c>
      <c r="W1064">
        <v>8.2935025421532166E-2</v>
      </c>
      <c r="X1064">
        <v>0</v>
      </c>
      <c r="Y1064">
        <v>1.8701978378931609E-2</v>
      </c>
      <c r="Z1064">
        <v>0.11208264695121715</v>
      </c>
      <c r="AA1064">
        <v>0.16046915638222126</v>
      </c>
      <c r="AB1064">
        <v>0</v>
      </c>
      <c r="AC1064">
        <v>2.2191364725739116E-2</v>
      </c>
      <c r="AD1064">
        <v>0</v>
      </c>
      <c r="AE1064">
        <v>0.54514716713422984</v>
      </c>
      <c r="AF1064">
        <v>2.8214596621662147E-2</v>
      </c>
      <c r="AG1064">
        <v>0</v>
      </c>
      <c r="AH1064">
        <v>0</v>
      </c>
      <c r="AI1064">
        <v>0</v>
      </c>
      <c r="AJ1064">
        <v>0</v>
      </c>
    </row>
    <row r="1065" spans="1:36" hidden="1" x14ac:dyDescent="0.25">
      <c r="A1065" t="s">
        <v>128</v>
      </c>
      <c r="B1065" t="s">
        <v>422</v>
      </c>
      <c r="C1065" s="14" t="s">
        <v>117</v>
      </c>
      <c r="D1065" s="12">
        <v>46230</v>
      </c>
      <c r="E1065" s="14"/>
      <c r="F1065" s="14"/>
      <c r="G1065">
        <v>41.995461820747067</v>
      </c>
      <c r="H1065">
        <v>56.050000000000004</v>
      </c>
      <c r="J1065">
        <v>56.050000000000004</v>
      </c>
      <c r="M1065">
        <v>21.342156862745089</v>
      </c>
      <c r="Q1065">
        <v>0</v>
      </c>
      <c r="R1065">
        <v>0</v>
      </c>
      <c r="S1065">
        <v>0.58685826959564991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0.10336396822962303</v>
      </c>
      <c r="Z1065">
        <v>3.0465476726197406E-2</v>
      </c>
      <c r="AA1065">
        <v>0.32508873817690453</v>
      </c>
      <c r="AB1065">
        <v>0</v>
      </c>
      <c r="AC1065">
        <v>0.16670975772149263</v>
      </c>
      <c r="AD1065">
        <v>0</v>
      </c>
      <c r="AE1065">
        <v>0.47773602737540527</v>
      </c>
      <c r="AF1065">
        <v>0</v>
      </c>
      <c r="AG1065">
        <v>0</v>
      </c>
      <c r="AH1065">
        <v>0</v>
      </c>
      <c r="AI1065">
        <v>0</v>
      </c>
      <c r="AJ1065">
        <v>0</v>
      </c>
    </row>
    <row r="1066" spans="1:36" hidden="1" x14ac:dyDescent="0.25">
      <c r="A1066" t="s">
        <v>128</v>
      </c>
      <c r="B1066" t="s">
        <v>291</v>
      </c>
      <c r="C1066" s="14" t="s">
        <v>117</v>
      </c>
      <c r="D1066" s="12">
        <v>46231</v>
      </c>
      <c r="E1066" s="14"/>
      <c r="F1066" s="14"/>
      <c r="G1066">
        <v>45.361994830502269</v>
      </c>
      <c r="H1066">
        <v>93.1</v>
      </c>
      <c r="J1066">
        <v>93.1</v>
      </c>
      <c r="M1066">
        <v>48.339938365051886</v>
      </c>
      <c r="Q1066">
        <v>9.4488990817697197E-2</v>
      </c>
      <c r="R1066">
        <v>0</v>
      </c>
      <c r="S1066">
        <v>0.88038446067857234</v>
      </c>
      <c r="T1066">
        <v>0</v>
      </c>
      <c r="U1066">
        <v>2.7150644455078633E-2</v>
      </c>
      <c r="V1066">
        <v>0</v>
      </c>
      <c r="W1066">
        <v>2.3444829099339252E-2</v>
      </c>
      <c r="X1066">
        <v>0</v>
      </c>
      <c r="Y1066">
        <v>6.7302490675001839E-2</v>
      </c>
      <c r="Z1066">
        <v>0.11767587294653206</v>
      </c>
      <c r="AA1066">
        <v>5.8596732754290538E-2</v>
      </c>
      <c r="AB1066">
        <v>0</v>
      </c>
      <c r="AC1066">
        <v>2.0839306197450433E-2</v>
      </c>
      <c r="AD1066">
        <v>0</v>
      </c>
      <c r="AE1066">
        <v>0.80288808810172696</v>
      </c>
      <c r="AF1066">
        <v>0</v>
      </c>
      <c r="AG1066">
        <v>0</v>
      </c>
      <c r="AH1066">
        <v>0</v>
      </c>
      <c r="AI1066">
        <v>0</v>
      </c>
      <c r="AJ1066">
        <v>0</v>
      </c>
    </row>
    <row r="1067" spans="1:36" hidden="1" x14ac:dyDescent="0.25">
      <c r="A1067" t="s">
        <v>128</v>
      </c>
      <c r="B1067" t="s">
        <v>421</v>
      </c>
      <c r="C1067" s="14" t="s">
        <v>117</v>
      </c>
      <c r="D1067" s="12">
        <v>46231</v>
      </c>
      <c r="E1067" s="14"/>
      <c r="F1067" s="14"/>
      <c r="G1067">
        <v>34.89844027013293</v>
      </c>
      <c r="H1067">
        <v>56.05</v>
      </c>
      <c r="J1067">
        <v>56.05</v>
      </c>
      <c r="M1067">
        <v>41.569326146748288</v>
      </c>
      <c r="Q1067">
        <v>0.3068827298706191</v>
      </c>
      <c r="R1067">
        <v>0</v>
      </c>
      <c r="S1067">
        <v>0.60252953217897243</v>
      </c>
      <c r="T1067">
        <v>0</v>
      </c>
      <c r="U1067">
        <v>4.2892784775991392E-2</v>
      </c>
      <c r="V1067">
        <v>2.2958578970204389E-2</v>
      </c>
      <c r="W1067">
        <v>8.0016900454158713E-2</v>
      </c>
      <c r="X1067">
        <v>0</v>
      </c>
      <c r="Y1067">
        <v>1.8391352221670647E-2</v>
      </c>
      <c r="Z1067">
        <v>4.6952996178960905E-2</v>
      </c>
      <c r="AA1067">
        <v>0.14523229701971921</v>
      </c>
      <c r="AB1067">
        <v>0</v>
      </c>
      <c r="AC1067">
        <v>3.9827976201533402E-2</v>
      </c>
      <c r="AD1067">
        <v>0</v>
      </c>
      <c r="AE1067">
        <v>0.58715174234236822</v>
      </c>
      <c r="AF1067">
        <v>5.3580737261457227E-2</v>
      </c>
      <c r="AG1067">
        <v>0</v>
      </c>
      <c r="AH1067">
        <v>0</v>
      </c>
      <c r="AI1067">
        <v>0</v>
      </c>
      <c r="AJ1067">
        <v>0</v>
      </c>
    </row>
    <row r="1068" spans="1:36" hidden="1" x14ac:dyDescent="0.25">
      <c r="A1068" t="s">
        <v>128</v>
      </c>
      <c r="B1068" t="s">
        <v>422</v>
      </c>
      <c r="C1068" s="14" t="s">
        <v>117</v>
      </c>
      <c r="D1068" s="12">
        <v>46231</v>
      </c>
      <c r="E1068" s="14"/>
      <c r="F1068" s="14"/>
      <c r="G1068">
        <v>45.361994830502269</v>
      </c>
      <c r="H1068">
        <v>38</v>
      </c>
      <c r="J1068">
        <v>38</v>
      </c>
      <c r="M1068">
        <v>25.625893886966544</v>
      </c>
      <c r="Q1068">
        <v>0</v>
      </c>
      <c r="R1068">
        <v>0</v>
      </c>
      <c r="S1068">
        <v>6.0494843025855463E-2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8.1109154775317299E-2</v>
      </c>
      <c r="Z1068">
        <v>4.7414303313001421E-2</v>
      </c>
      <c r="AA1068">
        <v>0.29836931368503972</v>
      </c>
      <c r="AB1068">
        <v>0</v>
      </c>
      <c r="AC1068">
        <v>0.1367107796239255</v>
      </c>
      <c r="AD1068">
        <v>0</v>
      </c>
      <c r="AE1068">
        <v>0.51750560337803331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 hidden="1" x14ac:dyDescent="0.25">
      <c r="A1069" t="s">
        <v>128</v>
      </c>
      <c r="B1069" t="s">
        <v>291</v>
      </c>
      <c r="C1069" s="14" t="s">
        <v>117</v>
      </c>
      <c r="D1069" s="12">
        <v>46232</v>
      </c>
      <c r="E1069" s="14"/>
      <c r="F1069" s="14"/>
      <c r="G1069">
        <v>43.719560553941719</v>
      </c>
      <c r="H1069">
        <v>72.199999999999989</v>
      </c>
      <c r="J1069">
        <v>72.199999999999989</v>
      </c>
      <c r="M1069">
        <v>48.211505190311406</v>
      </c>
      <c r="Q1069">
        <v>8.963338389059107E-2</v>
      </c>
      <c r="R1069">
        <v>0</v>
      </c>
      <c r="S1069">
        <v>0.74892141262396561</v>
      </c>
      <c r="T1069">
        <v>0</v>
      </c>
      <c r="U1069">
        <v>6.6430430486488935E-3</v>
      </c>
      <c r="V1069">
        <v>0</v>
      </c>
      <c r="W1069">
        <v>1.7973163182347828E-2</v>
      </c>
      <c r="X1069">
        <v>0</v>
      </c>
      <c r="Y1069">
        <v>1.3440940439953955E-2</v>
      </c>
      <c r="Z1069">
        <v>0.40652101414759417</v>
      </c>
      <c r="AA1069">
        <v>1.1505084471137104E-2</v>
      </c>
      <c r="AB1069">
        <v>0</v>
      </c>
      <c r="AC1069">
        <v>0</v>
      </c>
      <c r="AD1069">
        <v>0</v>
      </c>
      <c r="AE1069">
        <v>0.5819739013812687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hidden="1" x14ac:dyDescent="0.25">
      <c r="A1070" t="s">
        <v>128</v>
      </c>
      <c r="B1070" t="s">
        <v>421</v>
      </c>
      <c r="C1070" s="14" t="s">
        <v>117</v>
      </c>
      <c r="D1070" s="12">
        <v>46232</v>
      </c>
      <c r="E1070" s="14"/>
      <c r="F1070" s="14"/>
      <c r="G1070">
        <v>34.906158737238059</v>
      </c>
      <c r="H1070">
        <v>28.5</v>
      </c>
      <c r="J1070">
        <v>28.5</v>
      </c>
      <c r="M1070">
        <v>43.95012837148434</v>
      </c>
      <c r="Q1070">
        <v>0.49790317183040483</v>
      </c>
      <c r="R1070">
        <v>0</v>
      </c>
      <c r="S1070">
        <v>2.3646449634441839E-2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2.7929703249116485E-2</v>
      </c>
      <c r="Z1070">
        <v>0.21381100283060064</v>
      </c>
      <c r="AA1070">
        <v>5.7246691992650332E-2</v>
      </c>
      <c r="AB1070">
        <v>0</v>
      </c>
      <c r="AC1070">
        <v>0.10865573131996938</v>
      </c>
      <c r="AD1070">
        <v>0</v>
      </c>
      <c r="AE1070">
        <v>0.54737963460991079</v>
      </c>
      <c r="AF1070">
        <v>7.2906939246868918E-2</v>
      </c>
      <c r="AG1070">
        <v>0</v>
      </c>
      <c r="AH1070">
        <v>0</v>
      </c>
      <c r="AI1070">
        <v>0</v>
      </c>
      <c r="AJ1070">
        <v>0</v>
      </c>
    </row>
    <row r="1071" spans="1:36" hidden="1" x14ac:dyDescent="0.25">
      <c r="A1071" t="s">
        <v>128</v>
      </c>
      <c r="B1071" t="s">
        <v>422</v>
      </c>
      <c r="C1071" s="14" t="s">
        <v>117</v>
      </c>
      <c r="D1071" s="12">
        <v>46232</v>
      </c>
      <c r="E1071" s="14"/>
      <c r="F1071" s="14"/>
      <c r="G1071">
        <v>43.719560553941719</v>
      </c>
      <c r="H1071">
        <v>26.599999999999998</v>
      </c>
      <c r="J1071">
        <v>26.599999999999998</v>
      </c>
      <c r="M1071">
        <v>24.865255266193156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5.8952794637892707E-2</v>
      </c>
      <c r="AA1071">
        <v>0.33262388950602506</v>
      </c>
      <c r="AB1071">
        <v>0</v>
      </c>
      <c r="AC1071">
        <v>9.8631709792277492E-2</v>
      </c>
      <c r="AD1071">
        <v>0</v>
      </c>
      <c r="AE1071">
        <v>0.5097916060638048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 hidden="1" x14ac:dyDescent="0.25">
      <c r="A1072" t="s">
        <v>128</v>
      </c>
      <c r="B1072" t="s">
        <v>291</v>
      </c>
      <c r="C1072" s="14" t="s">
        <v>117</v>
      </c>
      <c r="D1072" s="12">
        <v>46233</v>
      </c>
      <c r="E1072" s="14"/>
      <c r="F1072" s="14"/>
      <c r="G1072">
        <v>43.249410850616073</v>
      </c>
      <c r="H1072">
        <v>49.400000000000006</v>
      </c>
      <c r="J1072">
        <v>49.400000000000006</v>
      </c>
      <c r="M1072">
        <v>49.093858131487877</v>
      </c>
      <c r="Q1072">
        <v>0.11253383982976858</v>
      </c>
      <c r="R1072">
        <v>0</v>
      </c>
      <c r="S1072">
        <v>0.33991997323495071</v>
      </c>
      <c r="T1072">
        <v>0</v>
      </c>
      <c r="U1072">
        <v>2.8476859434457203E-2</v>
      </c>
      <c r="V1072">
        <v>0</v>
      </c>
      <c r="W1072">
        <v>1.8168543354512273E-2</v>
      </c>
      <c r="X1072">
        <v>0</v>
      </c>
      <c r="Y1072">
        <v>1.3587052353063912E-2</v>
      </c>
      <c r="Z1072">
        <v>0.29979151603040616</v>
      </c>
      <c r="AA1072">
        <v>2.4045672798363133E-2</v>
      </c>
      <c r="AB1072">
        <v>0</v>
      </c>
      <c r="AC1072">
        <v>0</v>
      </c>
      <c r="AD1072">
        <v>0</v>
      </c>
      <c r="AE1072">
        <v>0.67616281117123056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 hidden="1" x14ac:dyDescent="0.25">
      <c r="A1073" t="s">
        <v>128</v>
      </c>
      <c r="B1073" t="s">
        <v>421</v>
      </c>
      <c r="C1073" s="14" t="s">
        <v>117</v>
      </c>
      <c r="D1073" s="12">
        <v>46233</v>
      </c>
      <c r="E1073" s="14"/>
      <c r="F1073" s="14"/>
      <c r="G1073">
        <v>33.540114850035636</v>
      </c>
      <c r="H1073">
        <v>53.199999999999996</v>
      </c>
      <c r="J1073">
        <v>53.199999999999996</v>
      </c>
      <c r="M1073">
        <v>47.617457274199253</v>
      </c>
      <c r="Q1073">
        <v>0.45928843184932883</v>
      </c>
      <c r="R1073">
        <v>0</v>
      </c>
      <c r="S1073">
        <v>0.65452619755447672</v>
      </c>
      <c r="T1073">
        <v>0</v>
      </c>
      <c r="U1073">
        <v>4.2509337997217386E-2</v>
      </c>
      <c r="V1073">
        <v>0</v>
      </c>
      <c r="W1073">
        <v>7.4043869846827273E-2</v>
      </c>
      <c r="X1073">
        <v>0</v>
      </c>
      <c r="Y1073">
        <v>1.970612092447814E-2</v>
      </c>
      <c r="Z1073">
        <v>0.17952017627586486</v>
      </c>
      <c r="AA1073">
        <v>5.3429301076524792E-2</v>
      </c>
      <c r="AB1073">
        <v>0</v>
      </c>
      <c r="AC1073">
        <v>7.4466655448760313E-2</v>
      </c>
      <c r="AD1073">
        <v>0</v>
      </c>
      <c r="AE1073">
        <v>0.63683318872594485</v>
      </c>
      <c r="AF1073">
        <v>5.5750678472905241E-2</v>
      </c>
      <c r="AG1073">
        <v>0</v>
      </c>
      <c r="AH1073">
        <v>0</v>
      </c>
      <c r="AI1073">
        <v>0</v>
      </c>
      <c r="AJ1073">
        <v>0</v>
      </c>
    </row>
    <row r="1074" spans="1:36" hidden="1" x14ac:dyDescent="0.25">
      <c r="A1074" t="s">
        <v>128</v>
      </c>
      <c r="B1074" t="s">
        <v>422</v>
      </c>
      <c r="C1074" s="14" t="s">
        <v>117</v>
      </c>
      <c r="D1074" s="12">
        <v>46233</v>
      </c>
      <c r="E1074" s="14"/>
      <c r="F1074" s="14"/>
      <c r="G1074">
        <v>43.249410850616073</v>
      </c>
      <c r="H1074">
        <v>38.950000000000003</v>
      </c>
      <c r="J1074">
        <v>38.950000000000003</v>
      </c>
      <c r="M1074">
        <v>27.70726795362107</v>
      </c>
      <c r="Q1074">
        <v>0</v>
      </c>
      <c r="R1074">
        <v>0</v>
      </c>
      <c r="S1074">
        <v>0.19052651246598604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6.2936536321533149E-2</v>
      </c>
      <c r="Z1074">
        <v>8.7259020599255027E-2</v>
      </c>
      <c r="AA1074">
        <v>0.2875793428427828</v>
      </c>
      <c r="AB1074">
        <v>0</v>
      </c>
      <c r="AC1074">
        <v>7.1781457485289399E-2</v>
      </c>
      <c r="AD1074">
        <v>0</v>
      </c>
      <c r="AE1074">
        <v>0.55338017907267278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36" hidden="1" x14ac:dyDescent="0.25">
      <c r="A1075" t="s">
        <v>128</v>
      </c>
      <c r="B1075" t="s">
        <v>291</v>
      </c>
      <c r="C1075" s="14" t="s">
        <v>117</v>
      </c>
      <c r="D1075" s="12">
        <v>46234</v>
      </c>
      <c r="E1075" s="14"/>
      <c r="F1075" s="14"/>
      <c r="G1075">
        <v>41.072429863762913</v>
      </c>
      <c r="H1075">
        <v>48.45</v>
      </c>
      <c r="J1075">
        <v>48.45</v>
      </c>
      <c r="M1075">
        <v>49.027341819080561</v>
      </c>
      <c r="Q1075">
        <v>0.12644905142804794</v>
      </c>
      <c r="R1075">
        <v>0</v>
      </c>
      <c r="S1075">
        <v>0.37276584829405995</v>
      </c>
      <c r="T1075">
        <v>0</v>
      </c>
      <c r="U1075">
        <v>3.9278724629763943E-2</v>
      </c>
      <c r="V1075">
        <v>0</v>
      </c>
      <c r="W1075">
        <v>4.7118362414585356E-2</v>
      </c>
      <c r="X1075">
        <v>0</v>
      </c>
      <c r="Y1075">
        <v>0</v>
      </c>
      <c r="Z1075">
        <v>0.32976308505614466</v>
      </c>
      <c r="AA1075">
        <v>1.9166047430692161E-2</v>
      </c>
      <c r="AB1075">
        <v>0</v>
      </c>
      <c r="AC1075">
        <v>0</v>
      </c>
      <c r="AD1075">
        <v>0</v>
      </c>
      <c r="AE1075">
        <v>0.65107086751316323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 hidden="1" x14ac:dyDescent="0.25">
      <c r="A1076" t="s">
        <v>128</v>
      </c>
      <c r="B1076" t="s">
        <v>421</v>
      </c>
      <c r="C1076" s="14" t="s">
        <v>117</v>
      </c>
      <c r="D1076" s="12">
        <v>46234</v>
      </c>
      <c r="E1076" s="14"/>
      <c r="F1076" s="14"/>
      <c r="G1076">
        <v>34.70510830195569</v>
      </c>
      <c r="H1076">
        <v>52.249999999999993</v>
      </c>
      <c r="J1076">
        <v>52.249999999999993</v>
      </c>
      <c r="M1076">
        <v>44.317044849614035</v>
      </c>
      <c r="Q1076">
        <v>0.35619386716574625</v>
      </c>
      <c r="R1076">
        <v>0</v>
      </c>
      <c r="S1076">
        <v>0.5474516197095477</v>
      </c>
      <c r="T1076">
        <v>0</v>
      </c>
      <c r="U1076">
        <v>0</v>
      </c>
      <c r="V1076">
        <v>2.3086474472510374E-2</v>
      </c>
      <c r="W1076">
        <v>7.7175821443990225E-2</v>
      </c>
      <c r="X1076">
        <v>0</v>
      </c>
      <c r="Y1076">
        <v>3.1144469056768067E-2</v>
      </c>
      <c r="Z1076">
        <v>9.9382895115110642E-2</v>
      </c>
      <c r="AA1076">
        <v>5.0846962167626304E-2</v>
      </c>
      <c r="AB1076">
        <v>0</v>
      </c>
      <c r="AC1076">
        <v>0.13216017033126232</v>
      </c>
      <c r="AD1076">
        <v>0</v>
      </c>
      <c r="AE1076">
        <v>0.58964682532235102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36" hidden="1" x14ac:dyDescent="0.25">
      <c r="A1077" t="s">
        <v>128</v>
      </c>
      <c r="B1077" t="s">
        <v>422</v>
      </c>
      <c r="C1077" s="14" t="s">
        <v>117</v>
      </c>
      <c r="D1077" s="12">
        <v>46234</v>
      </c>
      <c r="E1077" s="14"/>
      <c r="F1077" s="14"/>
      <c r="G1077">
        <v>41.072429863762913</v>
      </c>
      <c r="H1077">
        <v>43.699999999999996</v>
      </c>
      <c r="J1077">
        <v>43.699999999999996</v>
      </c>
      <c r="M1077">
        <v>28.696217200115331</v>
      </c>
      <c r="Q1077">
        <v>0</v>
      </c>
      <c r="R1077">
        <v>0</v>
      </c>
      <c r="S1077">
        <v>0.2211862508627051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8.4510729646317062E-2</v>
      </c>
      <c r="Z1077">
        <v>6.2711675085442412E-2</v>
      </c>
      <c r="AA1077">
        <v>0.17901124435748944</v>
      </c>
      <c r="AB1077">
        <v>0</v>
      </c>
      <c r="AC1077">
        <v>0.12231528306490651</v>
      </c>
      <c r="AD1077">
        <v>0</v>
      </c>
      <c r="AE1077">
        <v>0.63596179749216175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36" hidden="1" x14ac:dyDescent="0.25">
      <c r="A1078" t="s">
        <v>128</v>
      </c>
      <c r="B1078" t="s">
        <v>291</v>
      </c>
      <c r="C1078" s="14" t="s">
        <v>117</v>
      </c>
      <c r="D1078" s="12">
        <v>46235</v>
      </c>
      <c r="E1078" s="14"/>
      <c r="F1078" s="14"/>
      <c r="G1078">
        <v>41.946222842490528</v>
      </c>
      <c r="H1078">
        <v>87.4</v>
      </c>
      <c r="J1078">
        <v>87.4</v>
      </c>
      <c r="M1078">
        <v>50.419094476025698</v>
      </c>
      <c r="Q1078">
        <v>0.1320666559847557</v>
      </c>
      <c r="R1078">
        <v>0</v>
      </c>
      <c r="S1078">
        <v>0.95067372274457906</v>
      </c>
      <c r="T1078">
        <v>0</v>
      </c>
      <c r="U1078">
        <v>3.076393618737636E-2</v>
      </c>
      <c r="V1078">
        <v>0</v>
      </c>
      <c r="W1078">
        <v>3.9163081140268105E-2</v>
      </c>
      <c r="X1078">
        <v>0</v>
      </c>
      <c r="Y1078">
        <v>7.25521023476208E-2</v>
      </c>
      <c r="Z1078">
        <v>0.23601304004676515</v>
      </c>
      <c r="AA1078">
        <v>0</v>
      </c>
      <c r="AB1078">
        <v>0</v>
      </c>
      <c r="AC1078">
        <v>0</v>
      </c>
      <c r="AD1078">
        <v>0</v>
      </c>
      <c r="AE1078">
        <v>0.76398695995323473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36" hidden="1" x14ac:dyDescent="0.25">
      <c r="A1079" t="s">
        <v>128</v>
      </c>
      <c r="B1079" t="s">
        <v>421</v>
      </c>
      <c r="C1079" s="14" t="s">
        <v>117</v>
      </c>
      <c r="D1079" s="12">
        <v>46235</v>
      </c>
      <c r="E1079" s="14"/>
      <c r="F1079" s="14"/>
      <c r="G1079">
        <v>30.736804573832362</v>
      </c>
      <c r="H1079">
        <v>52.250000000000007</v>
      </c>
      <c r="J1079">
        <v>52.250000000000007</v>
      </c>
      <c r="M1079">
        <v>48.543795886567288</v>
      </c>
      <c r="Q1079">
        <v>0.50404340949541371</v>
      </c>
      <c r="R1079">
        <v>0</v>
      </c>
      <c r="S1079">
        <v>0.71805545888155664</v>
      </c>
      <c r="T1079">
        <v>0</v>
      </c>
      <c r="U1079">
        <v>4.566193148270687E-2</v>
      </c>
      <c r="V1079">
        <v>0</v>
      </c>
      <c r="W1079">
        <v>8.0796944673876173E-2</v>
      </c>
      <c r="X1079">
        <v>0</v>
      </c>
      <c r="Y1079">
        <v>1.9901667542382737E-2</v>
      </c>
      <c r="Z1079">
        <v>0.16030737617822008</v>
      </c>
      <c r="AA1079">
        <v>6.6007311119020071E-2</v>
      </c>
      <c r="AB1079">
        <v>0</v>
      </c>
      <c r="AC1079">
        <v>2.2843996077503731E-2</v>
      </c>
      <c r="AD1079">
        <v>0</v>
      </c>
      <c r="AE1079">
        <v>0.75084131662525611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 hidden="1" x14ac:dyDescent="0.25">
      <c r="A1080" t="s">
        <v>128</v>
      </c>
      <c r="B1080" t="s">
        <v>422</v>
      </c>
      <c r="C1080" s="14" t="s">
        <v>117</v>
      </c>
      <c r="D1080" s="12">
        <v>46235</v>
      </c>
      <c r="E1080" s="14"/>
      <c r="F1080" s="14"/>
      <c r="G1080">
        <v>41.946222842490528</v>
      </c>
      <c r="H1080">
        <v>39.900000000000006</v>
      </c>
      <c r="J1080">
        <v>39.900000000000006</v>
      </c>
      <c r="M1080">
        <v>26.386096092848899</v>
      </c>
      <c r="Q1080">
        <v>0</v>
      </c>
      <c r="R1080">
        <v>0</v>
      </c>
      <c r="S1080">
        <v>0.26019796163557374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6.5730248798982954E-2</v>
      </c>
      <c r="Z1080">
        <v>6.5918156012737747E-2</v>
      </c>
      <c r="AA1080">
        <v>0.33144015323527942</v>
      </c>
      <c r="AB1080">
        <v>0</v>
      </c>
      <c r="AC1080">
        <v>1.6865981610357277E-2</v>
      </c>
      <c r="AD1080">
        <v>0</v>
      </c>
      <c r="AE1080">
        <v>0.56312766277122206</v>
      </c>
      <c r="AF1080">
        <v>2.2648046370403404E-2</v>
      </c>
      <c r="AG1080">
        <v>0</v>
      </c>
      <c r="AH1080">
        <v>0</v>
      </c>
      <c r="AI1080">
        <v>0</v>
      </c>
      <c r="AJ1080">
        <v>0</v>
      </c>
    </row>
    <row r="1081" spans="1:36" hidden="1" x14ac:dyDescent="0.25">
      <c r="A1081" t="s">
        <v>128</v>
      </c>
      <c r="B1081" t="s">
        <v>291</v>
      </c>
      <c r="C1081" s="14" t="s">
        <v>117</v>
      </c>
      <c r="D1081" s="12">
        <v>46236</v>
      </c>
      <c r="E1081" s="14"/>
      <c r="F1081" s="14"/>
      <c r="G1081">
        <v>40.046084309064085</v>
      </c>
      <c r="H1081">
        <v>57</v>
      </c>
      <c r="J1081">
        <v>57</v>
      </c>
      <c r="M1081">
        <v>51.398356401384078</v>
      </c>
      <c r="Q1081">
        <v>0.18401609063244878</v>
      </c>
      <c r="R1081">
        <v>0</v>
      </c>
      <c r="S1081">
        <v>0.63619632891242828</v>
      </c>
      <c r="T1081">
        <v>0</v>
      </c>
      <c r="U1081">
        <v>3.5086383320951542E-2</v>
      </c>
      <c r="V1081">
        <v>0</v>
      </c>
      <c r="W1081">
        <v>6.4377728622872749E-2</v>
      </c>
      <c r="X1081">
        <v>0</v>
      </c>
      <c r="Y1081">
        <v>5.2826019586652638E-2</v>
      </c>
      <c r="Z1081">
        <v>0.26902583737459063</v>
      </c>
      <c r="AA1081">
        <v>0</v>
      </c>
      <c r="AB1081">
        <v>0</v>
      </c>
      <c r="AC1081">
        <v>0</v>
      </c>
      <c r="AD1081">
        <v>0</v>
      </c>
      <c r="AE1081">
        <v>0.56370566855742277</v>
      </c>
      <c r="AF1081">
        <v>0</v>
      </c>
      <c r="AG1081">
        <v>0</v>
      </c>
      <c r="AH1081">
        <v>0</v>
      </c>
      <c r="AI1081">
        <v>0.16726849406798647</v>
      </c>
      <c r="AJ1081">
        <v>0</v>
      </c>
    </row>
    <row r="1082" spans="1:36" hidden="1" x14ac:dyDescent="0.25">
      <c r="A1082" t="s">
        <v>128</v>
      </c>
      <c r="B1082" t="s">
        <v>421</v>
      </c>
      <c r="C1082" s="14" t="s">
        <v>117</v>
      </c>
      <c r="D1082" s="12">
        <v>46236</v>
      </c>
      <c r="E1082" s="14"/>
      <c r="F1082" s="14"/>
      <c r="G1082">
        <v>31.01679597801828</v>
      </c>
      <c r="H1082">
        <v>54.150000000000013</v>
      </c>
      <c r="J1082">
        <v>54.150000000000013</v>
      </c>
      <c r="M1082">
        <v>51.277805596220382</v>
      </c>
      <c r="Q1082">
        <v>0.55390436061790793</v>
      </c>
      <c r="R1082">
        <v>0</v>
      </c>
      <c r="S1082">
        <v>0.74286341985994164</v>
      </c>
      <c r="T1082">
        <v>0</v>
      </c>
      <c r="U1082">
        <v>7.5216958114831173E-2</v>
      </c>
      <c r="V1082">
        <v>0</v>
      </c>
      <c r="W1082">
        <v>8.0067583394613062E-2</v>
      </c>
      <c r="X1082">
        <v>0</v>
      </c>
      <c r="Y1082">
        <v>1.97220134012915E-2</v>
      </c>
      <c r="Z1082">
        <v>0.16262815336706335</v>
      </c>
      <c r="AA1082">
        <v>7.0670660764398791E-2</v>
      </c>
      <c r="AB1082">
        <v>0</v>
      </c>
      <c r="AC1082">
        <v>2.2637781272354579E-2</v>
      </c>
      <c r="AD1082">
        <v>0</v>
      </c>
      <c r="AE1082">
        <v>0.74406340459618325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 hidden="1" x14ac:dyDescent="0.25">
      <c r="A1083" t="s">
        <v>128</v>
      </c>
      <c r="B1083" t="s">
        <v>422</v>
      </c>
      <c r="C1083" s="14" t="s">
        <v>117</v>
      </c>
      <c r="D1083" s="12">
        <v>46236</v>
      </c>
      <c r="E1083" s="14"/>
      <c r="F1083" s="14"/>
      <c r="G1083">
        <v>40.046084309064085</v>
      </c>
      <c r="H1083">
        <v>45.600000000000009</v>
      </c>
      <c r="J1083">
        <v>45.600000000000009</v>
      </c>
      <c r="M1083">
        <v>24.689123774509792</v>
      </c>
      <c r="Q1083">
        <v>0</v>
      </c>
      <c r="R1083">
        <v>0</v>
      </c>
      <c r="S1083">
        <v>0.3939307150134907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8.2528005720148026E-2</v>
      </c>
      <c r="Z1083">
        <v>5.377153591760573E-2</v>
      </c>
      <c r="AA1083">
        <v>0.30772174511400796</v>
      </c>
      <c r="AB1083">
        <v>0</v>
      </c>
      <c r="AC1083">
        <v>5.2037786513742239E-2</v>
      </c>
      <c r="AD1083">
        <v>0</v>
      </c>
      <c r="AE1083">
        <v>0.56274626352481361</v>
      </c>
      <c r="AF1083">
        <v>2.3722668929830316E-2</v>
      </c>
      <c r="AG1083">
        <v>0</v>
      </c>
      <c r="AH1083">
        <v>0</v>
      </c>
      <c r="AI1083">
        <v>0</v>
      </c>
      <c r="AJ1083">
        <v>0</v>
      </c>
    </row>
    <row r="1084" spans="1:36" hidden="1" x14ac:dyDescent="0.25">
      <c r="A1084" t="s">
        <v>128</v>
      </c>
      <c r="B1084" t="s">
        <v>291</v>
      </c>
      <c r="C1084" s="14" t="s">
        <v>117</v>
      </c>
      <c r="D1084" s="12">
        <v>46237</v>
      </c>
      <c r="E1084" s="14"/>
      <c r="F1084" s="14"/>
      <c r="G1084">
        <v>44.308723503659913</v>
      </c>
      <c r="H1084">
        <v>56.05</v>
      </c>
      <c r="J1084">
        <v>56.05</v>
      </c>
      <c r="M1084">
        <v>47.453935986159166</v>
      </c>
      <c r="Q1084">
        <v>4.6003772863759722E-2</v>
      </c>
      <c r="R1084">
        <v>0</v>
      </c>
      <c r="S1084">
        <v>0.4684248626973968</v>
      </c>
      <c r="T1084">
        <v>0</v>
      </c>
      <c r="U1084">
        <v>6.5547120264897096E-3</v>
      </c>
      <c r="V1084">
        <v>0</v>
      </c>
      <c r="W1084">
        <v>3.8270150494964371E-2</v>
      </c>
      <c r="X1084">
        <v>0</v>
      </c>
      <c r="Y1084">
        <v>7.2562477538859041E-2</v>
      </c>
      <c r="Z1084">
        <v>0.30097969332428981</v>
      </c>
      <c r="AA1084">
        <v>1.9844589044103054E-2</v>
      </c>
      <c r="AB1084">
        <v>0</v>
      </c>
      <c r="AC1084">
        <v>0</v>
      </c>
      <c r="AD1084">
        <v>0</v>
      </c>
      <c r="AE1084">
        <v>0.67917571763160689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 hidden="1" x14ac:dyDescent="0.25">
      <c r="A1085" t="s">
        <v>128</v>
      </c>
      <c r="B1085" t="s">
        <v>421</v>
      </c>
      <c r="C1085" s="14" t="s">
        <v>117</v>
      </c>
      <c r="D1085" s="12">
        <v>46237</v>
      </c>
      <c r="E1085" s="14"/>
      <c r="F1085" s="14"/>
      <c r="G1085">
        <v>33.540114850035636</v>
      </c>
      <c r="H1085">
        <v>48.449999999999996</v>
      </c>
      <c r="J1085">
        <v>48.449999999999996</v>
      </c>
      <c r="M1085">
        <v>54.753076618090653</v>
      </c>
      <c r="Q1085">
        <v>0.58967015608705575</v>
      </c>
      <c r="R1085">
        <v>0</v>
      </c>
      <c r="S1085">
        <v>0.5758250504504735</v>
      </c>
      <c r="T1085">
        <v>0</v>
      </c>
      <c r="U1085">
        <v>9.5735922968187184E-2</v>
      </c>
      <c r="V1085">
        <v>0</v>
      </c>
      <c r="W1085">
        <v>7.4043869846827259E-2</v>
      </c>
      <c r="X1085">
        <v>0</v>
      </c>
      <c r="Y1085">
        <v>1.823826986516568E-2</v>
      </c>
      <c r="Z1085">
        <v>0.20704175535226871</v>
      </c>
      <c r="AA1085">
        <v>0.1122624760056375</v>
      </c>
      <c r="AB1085">
        <v>0</v>
      </c>
      <c r="AC1085">
        <v>4.2243663499889936E-2</v>
      </c>
      <c r="AD1085">
        <v>0</v>
      </c>
      <c r="AE1085">
        <v>0.63845210514220385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 hidden="1" x14ac:dyDescent="0.25">
      <c r="A1086" t="s">
        <v>128</v>
      </c>
      <c r="B1086" t="s">
        <v>422</v>
      </c>
      <c r="C1086" s="14" t="s">
        <v>117</v>
      </c>
      <c r="D1086" s="12">
        <v>46237</v>
      </c>
      <c r="E1086" s="14"/>
      <c r="F1086" s="14"/>
      <c r="G1086">
        <v>44.308723503659913</v>
      </c>
      <c r="H1086">
        <v>38</v>
      </c>
      <c r="J1086">
        <v>38</v>
      </c>
      <c r="M1086">
        <v>26.311014994232984</v>
      </c>
      <c r="Q1086">
        <v>0</v>
      </c>
      <c r="R1086">
        <v>0</v>
      </c>
      <c r="S1086">
        <v>0.24395411163540809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6.6987733098381283E-2</v>
      </c>
      <c r="Z1086">
        <v>0.11245152709651869</v>
      </c>
      <c r="AA1086">
        <v>0.34087138855976756</v>
      </c>
      <c r="AB1086">
        <v>0</v>
      </c>
      <c r="AC1086">
        <v>6.5317440327174084E-2</v>
      </c>
      <c r="AD1086">
        <v>0</v>
      </c>
      <c r="AE1086">
        <v>0.48135964401653952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 hidden="1" x14ac:dyDescent="0.25">
      <c r="A1087" t="s">
        <v>128</v>
      </c>
      <c r="B1087" t="s">
        <v>291</v>
      </c>
      <c r="C1087" s="14" t="s">
        <v>117</v>
      </c>
      <c r="D1087" s="12">
        <v>46238</v>
      </c>
      <c r="E1087" s="14"/>
      <c r="F1087" s="14"/>
      <c r="G1087">
        <v>45.515177224413186</v>
      </c>
      <c r="H1087">
        <v>97.84999999999998</v>
      </c>
      <c r="J1087">
        <v>97.84999999999998</v>
      </c>
      <c r="M1087">
        <v>48.148788927335637</v>
      </c>
      <c r="Q1087">
        <v>3.9958021906703528E-2</v>
      </c>
      <c r="R1087">
        <v>0</v>
      </c>
      <c r="S1087">
        <v>0.98158844036710602</v>
      </c>
      <c r="T1087">
        <v>0</v>
      </c>
      <c r="U1087">
        <v>6.3809687347996767E-3</v>
      </c>
      <c r="V1087">
        <v>0</v>
      </c>
      <c r="W1087">
        <v>4.3963449961762352E-2</v>
      </c>
      <c r="X1087">
        <v>0</v>
      </c>
      <c r="Y1087">
        <v>4.6478457584576312E-2</v>
      </c>
      <c r="Z1087">
        <v>0.16747687260349556</v>
      </c>
      <c r="AA1087">
        <v>3.2440165566141287E-2</v>
      </c>
      <c r="AB1087">
        <v>0</v>
      </c>
      <c r="AC1087">
        <v>0</v>
      </c>
      <c r="AD1087">
        <v>0</v>
      </c>
      <c r="AE1087">
        <v>0.8000829618303632</v>
      </c>
      <c r="AF1087">
        <v>0</v>
      </c>
      <c r="AG1087">
        <v>0</v>
      </c>
      <c r="AH1087">
        <v>0</v>
      </c>
      <c r="AI1087">
        <v>0</v>
      </c>
      <c r="AJ1087">
        <v>0</v>
      </c>
    </row>
    <row r="1088" spans="1:36" hidden="1" x14ac:dyDescent="0.25">
      <c r="A1088" t="s">
        <v>128</v>
      </c>
      <c r="B1088" t="s">
        <v>421</v>
      </c>
      <c r="C1088" s="14" t="s">
        <v>117</v>
      </c>
      <c r="D1088" s="12">
        <v>46238</v>
      </c>
      <c r="E1088" s="14"/>
      <c r="F1088" s="14"/>
      <c r="G1088">
        <v>34.70510830195569</v>
      </c>
      <c r="H1088">
        <v>55.100000000000009</v>
      </c>
      <c r="J1088">
        <v>55.100000000000009</v>
      </c>
      <c r="M1088">
        <v>49.988322527116047</v>
      </c>
      <c r="Q1088">
        <v>0.44077813632228546</v>
      </c>
      <c r="R1088">
        <v>0</v>
      </c>
      <c r="S1088">
        <v>0.60929112809756514</v>
      </c>
      <c r="T1088">
        <v>0</v>
      </c>
      <c r="U1088">
        <v>0.1004833607949969</v>
      </c>
      <c r="V1088">
        <v>2.3086474472510374E-2</v>
      </c>
      <c r="W1088">
        <v>8.0462651111890368E-2</v>
      </c>
      <c r="X1088">
        <v>0</v>
      </c>
      <c r="Y1088">
        <v>1.1616311141229838E-2</v>
      </c>
      <c r="Z1088">
        <v>0.1550107175846398</v>
      </c>
      <c r="AA1088">
        <v>0.14130068063347329</v>
      </c>
      <c r="AB1088">
        <v>0</v>
      </c>
      <c r="AC1088">
        <v>4.0049846162594015E-2</v>
      </c>
      <c r="AD1088">
        <v>0</v>
      </c>
      <c r="AE1088">
        <v>0.53567560855564322</v>
      </c>
      <c r="AF1088">
        <v>0</v>
      </c>
      <c r="AG1088">
        <v>0</v>
      </c>
      <c r="AH1088">
        <v>0</v>
      </c>
      <c r="AI1088">
        <v>0</v>
      </c>
      <c r="AJ1088">
        <v>0</v>
      </c>
    </row>
    <row r="1089" spans="1:36" hidden="1" x14ac:dyDescent="0.25">
      <c r="A1089" t="s">
        <v>128</v>
      </c>
      <c r="B1089" t="s">
        <v>422</v>
      </c>
      <c r="C1089" s="14" t="s">
        <v>117</v>
      </c>
      <c r="D1089" s="12">
        <v>46238</v>
      </c>
      <c r="E1089" s="14"/>
      <c r="F1089" s="14"/>
      <c r="G1089">
        <v>45.515177224413186</v>
      </c>
      <c r="H1089">
        <v>45.600000000000009</v>
      </c>
      <c r="J1089">
        <v>45.600000000000009</v>
      </c>
      <c r="M1089">
        <v>27.521655132641285</v>
      </c>
      <c r="Q1089">
        <v>0</v>
      </c>
      <c r="R1089">
        <v>0</v>
      </c>
      <c r="S1089">
        <v>0.24755315811601131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8.3190035731052506E-2</v>
      </c>
      <c r="Z1089">
        <v>0.10799913499365414</v>
      </c>
      <c r="AA1089">
        <v>0.28349691961410589</v>
      </c>
      <c r="AB1089">
        <v>0</v>
      </c>
      <c r="AC1089">
        <v>0.11183323593059501</v>
      </c>
      <c r="AD1089">
        <v>0</v>
      </c>
      <c r="AE1089">
        <v>0.49667070946164477</v>
      </c>
      <c r="AF1089">
        <v>0</v>
      </c>
      <c r="AG1089">
        <v>0</v>
      </c>
      <c r="AH1089">
        <v>0</v>
      </c>
      <c r="AI1089">
        <v>0</v>
      </c>
      <c r="AJ1089">
        <v>0</v>
      </c>
    </row>
    <row r="1090" spans="1:36" hidden="1" x14ac:dyDescent="0.25">
      <c r="A1090" t="s">
        <v>128</v>
      </c>
      <c r="B1090" t="s">
        <v>291</v>
      </c>
      <c r="C1090" s="14" t="s">
        <v>117</v>
      </c>
      <c r="D1090" s="12">
        <v>46239</v>
      </c>
      <c r="E1090" s="14"/>
      <c r="F1090" s="14"/>
      <c r="G1090">
        <v>44.21118353019645</v>
      </c>
      <c r="H1090">
        <v>53.2</v>
      </c>
      <c r="J1090">
        <v>53.2</v>
      </c>
      <c r="M1090">
        <v>49.41306228373702</v>
      </c>
      <c r="Q1090">
        <v>9.0746186861754105E-2</v>
      </c>
      <c r="R1090">
        <v>0</v>
      </c>
      <c r="S1090">
        <v>0.34524025763146177</v>
      </c>
      <c r="T1090">
        <v>0</v>
      </c>
      <c r="U1090">
        <v>3.663022454311636E-2</v>
      </c>
      <c r="V1090">
        <v>0</v>
      </c>
      <c r="W1090">
        <v>3.1064782616031454E-2</v>
      </c>
      <c r="X1090">
        <v>0</v>
      </c>
      <c r="Y1090">
        <v>0</v>
      </c>
      <c r="Z1090">
        <v>0.29776507441588668</v>
      </c>
      <c r="AA1090">
        <v>4.0781399865251915E-2</v>
      </c>
      <c r="AB1090">
        <v>0</v>
      </c>
      <c r="AC1090">
        <v>0</v>
      </c>
      <c r="AD1090">
        <v>0</v>
      </c>
      <c r="AE1090">
        <v>0.66145352571886107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 hidden="1" x14ac:dyDescent="0.25">
      <c r="A1091" t="s">
        <v>128</v>
      </c>
      <c r="B1091" t="s">
        <v>421</v>
      </c>
      <c r="C1091" s="14" t="s">
        <v>117</v>
      </c>
      <c r="D1091" s="12">
        <v>46239</v>
      </c>
      <c r="E1091" s="14"/>
      <c r="F1091" s="14"/>
      <c r="G1091">
        <v>33.646670748799252</v>
      </c>
      <c r="H1091">
        <v>30.399999999999991</v>
      </c>
      <c r="J1091">
        <v>30.399999999999991</v>
      </c>
      <c r="M1091">
        <v>50.619304936341038</v>
      </c>
      <c r="Q1091">
        <v>0.69375072021191675</v>
      </c>
      <c r="R1091">
        <v>0</v>
      </c>
      <c r="S1091">
        <v>0.10389888010251548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3.9798108699367923E-2</v>
      </c>
      <c r="Z1091">
        <v>0.19010656633441164</v>
      </c>
      <c r="AA1091">
        <v>5.0083498202613222E-2</v>
      </c>
      <c r="AB1091">
        <v>0</v>
      </c>
      <c r="AC1091">
        <v>0.11099537695962958</v>
      </c>
      <c r="AD1091">
        <v>0</v>
      </c>
      <c r="AE1091">
        <v>0.62057996712006869</v>
      </c>
      <c r="AF1091">
        <v>2.823459138327683E-2</v>
      </c>
      <c r="AG1091">
        <v>0</v>
      </c>
      <c r="AH1091">
        <v>0</v>
      </c>
      <c r="AI1091">
        <v>0</v>
      </c>
      <c r="AJ1091">
        <v>0</v>
      </c>
    </row>
    <row r="1092" spans="1:36" hidden="1" x14ac:dyDescent="0.25">
      <c r="A1092" t="s">
        <v>128</v>
      </c>
      <c r="B1092" t="s">
        <v>422</v>
      </c>
      <c r="C1092" s="14" t="s">
        <v>117</v>
      </c>
      <c r="D1092" s="12">
        <v>46239</v>
      </c>
      <c r="E1092" s="14"/>
      <c r="F1092" s="14"/>
      <c r="G1092">
        <v>44.21118353019645</v>
      </c>
      <c r="H1092">
        <v>28.499999999999993</v>
      </c>
      <c r="J1092">
        <v>28.499999999999993</v>
      </c>
      <c r="M1092">
        <v>26.587917407972942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2.7928823504572492E-3</v>
      </c>
      <c r="Z1092">
        <v>7.1271699609631686E-2</v>
      </c>
      <c r="AA1092">
        <v>0.286887908435143</v>
      </c>
      <c r="AB1092">
        <v>0</v>
      </c>
      <c r="AC1092">
        <v>0.1117276615413251</v>
      </c>
      <c r="AD1092">
        <v>0</v>
      </c>
      <c r="AE1092">
        <v>0.53011273041390006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hidden="1" x14ac:dyDescent="0.25">
      <c r="A1093" t="s">
        <v>128</v>
      </c>
      <c r="B1093" t="s">
        <v>291</v>
      </c>
      <c r="C1093" s="14" t="s">
        <v>117</v>
      </c>
      <c r="D1093" s="12">
        <v>46240</v>
      </c>
      <c r="E1093" s="14"/>
      <c r="F1093" s="14"/>
      <c r="G1093">
        <v>44.45775971346233</v>
      </c>
      <c r="H1093">
        <v>55.099999999999994</v>
      </c>
      <c r="J1093">
        <v>55.099999999999994</v>
      </c>
      <c r="M1093">
        <v>52.082657985794938</v>
      </c>
      <c r="Q1093">
        <v>0.11690307479786415</v>
      </c>
      <c r="R1093">
        <v>0</v>
      </c>
      <c r="S1093">
        <v>0.46332999095324467</v>
      </c>
      <c r="T1093">
        <v>0</v>
      </c>
      <c r="U1093">
        <v>1.393380107366143E-2</v>
      </c>
      <c r="V1093">
        <v>0</v>
      </c>
      <c r="W1093">
        <v>4.0671952316766888E-2</v>
      </c>
      <c r="X1093">
        <v>0</v>
      </c>
      <c r="Y1093">
        <v>5.6192672229808414E-2</v>
      </c>
      <c r="Z1093">
        <v>0.42022411886174227</v>
      </c>
      <c r="AA1093">
        <v>0</v>
      </c>
      <c r="AB1093">
        <v>0</v>
      </c>
      <c r="AC1093">
        <v>0</v>
      </c>
      <c r="AD1093">
        <v>0</v>
      </c>
      <c r="AE1093">
        <v>0.57977588113825762</v>
      </c>
      <c r="AF1093">
        <v>0</v>
      </c>
      <c r="AG1093">
        <v>0</v>
      </c>
      <c r="AH1093">
        <v>0</v>
      </c>
      <c r="AI1093">
        <v>0</v>
      </c>
      <c r="AJ1093">
        <v>0</v>
      </c>
    </row>
    <row r="1094" spans="1:36" hidden="1" x14ac:dyDescent="0.25">
      <c r="A1094" t="s">
        <v>128</v>
      </c>
      <c r="B1094" t="s">
        <v>421</v>
      </c>
      <c r="C1094" s="14" t="s">
        <v>117</v>
      </c>
      <c r="D1094" s="12">
        <v>46240</v>
      </c>
      <c r="E1094" s="14"/>
      <c r="F1094" s="14"/>
      <c r="G1094">
        <v>34.799602838474449</v>
      </c>
      <c r="H1094">
        <v>39.900000000000006</v>
      </c>
      <c r="J1094">
        <v>39.900000000000006</v>
      </c>
      <c r="M1094">
        <v>47.399003827115315</v>
      </c>
      <c r="Q1094">
        <v>0.50191757098220768</v>
      </c>
      <c r="R1094">
        <v>0</v>
      </c>
      <c r="S1094">
        <v>0.31692785509894472</v>
      </c>
      <c r="T1094">
        <v>0</v>
      </c>
      <c r="U1094">
        <v>5.7335961580710471E-2</v>
      </c>
      <c r="V1094">
        <v>0</v>
      </c>
      <c r="W1094">
        <v>7.136402993249065E-2</v>
      </c>
      <c r="X1094">
        <v>0</v>
      </c>
      <c r="Y1094">
        <v>1.7578179520695278E-2</v>
      </c>
      <c r="Z1094">
        <v>0.16991812024737016</v>
      </c>
      <c r="AA1094">
        <v>0.17402225849317163</v>
      </c>
      <c r="AB1094">
        <v>0</v>
      </c>
      <c r="AC1094">
        <v>3.9941095161372876E-2</v>
      </c>
      <c r="AD1094">
        <v>0</v>
      </c>
      <c r="AE1094">
        <v>0.56152020183504625</v>
      </c>
      <c r="AF1094">
        <v>5.459832426303899E-2</v>
      </c>
      <c r="AG1094">
        <v>0</v>
      </c>
      <c r="AH1094">
        <v>0</v>
      </c>
      <c r="AI1094">
        <v>0</v>
      </c>
      <c r="AJ1094">
        <v>0</v>
      </c>
    </row>
    <row r="1095" spans="1:36" hidden="1" x14ac:dyDescent="0.25">
      <c r="A1095" t="s">
        <v>128</v>
      </c>
      <c r="B1095" t="s">
        <v>422</v>
      </c>
      <c r="C1095" s="14" t="s">
        <v>117</v>
      </c>
      <c r="D1095" s="12">
        <v>46240</v>
      </c>
      <c r="E1095" s="14"/>
      <c r="F1095" s="14"/>
      <c r="G1095">
        <v>44.45775971346233</v>
      </c>
      <c r="H1095">
        <v>29.449999999999996</v>
      </c>
      <c r="J1095">
        <v>29.449999999999996</v>
      </c>
      <c r="M1095">
        <v>25.326039579918646</v>
      </c>
      <c r="Q1095">
        <v>0</v>
      </c>
      <c r="R1095">
        <v>0</v>
      </c>
      <c r="S1095">
        <v>1.2036886634238558E-2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6.5972136611625723E-2</v>
      </c>
      <c r="Z1095">
        <v>7.6576903254722023E-2</v>
      </c>
      <c r="AA1095">
        <v>0.36037417681795392</v>
      </c>
      <c r="AB1095">
        <v>0</v>
      </c>
      <c r="AC1095">
        <v>6.9960600661856318E-2</v>
      </c>
      <c r="AD1095">
        <v>0</v>
      </c>
      <c r="AE1095">
        <v>0.49308831926546776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 hidden="1" x14ac:dyDescent="0.25">
      <c r="A1096" t="s">
        <v>128</v>
      </c>
      <c r="B1096" t="s">
        <v>291</v>
      </c>
      <c r="C1096" s="14" t="s">
        <v>117</v>
      </c>
      <c r="D1096" s="12">
        <v>46241</v>
      </c>
      <c r="E1096" s="14"/>
      <c r="F1096" s="14"/>
      <c r="G1096">
        <v>41.296293897593188</v>
      </c>
      <c r="H1096">
        <v>102.59999999999998</v>
      </c>
      <c r="J1096">
        <v>102.59999999999998</v>
      </c>
      <c r="M1096">
        <v>49.964965397923869</v>
      </c>
      <c r="Q1096">
        <v>6.1083523446215378E-2</v>
      </c>
      <c r="R1096">
        <v>0</v>
      </c>
      <c r="S1096">
        <v>1.0491934743957654</v>
      </c>
      <c r="T1096">
        <v>0</v>
      </c>
      <c r="U1096">
        <v>3.8991184874700928E-2</v>
      </c>
      <c r="V1096">
        <v>0</v>
      </c>
      <c r="W1096">
        <v>0.11153157344628793</v>
      </c>
      <c r="X1096">
        <v>0</v>
      </c>
      <c r="Y1096">
        <v>1.7268602849277448E-2</v>
      </c>
      <c r="Z1096">
        <v>2.9866448475884728E-2</v>
      </c>
      <c r="AA1096">
        <v>1.6922511806506189E-3</v>
      </c>
      <c r="AB1096">
        <v>0</v>
      </c>
      <c r="AC1096">
        <v>0</v>
      </c>
      <c r="AD1096">
        <v>0</v>
      </c>
      <c r="AE1096">
        <v>0.96844130034346465</v>
      </c>
      <c r="AF1096">
        <v>0</v>
      </c>
      <c r="AG1096">
        <v>0</v>
      </c>
      <c r="AH1096">
        <v>0</v>
      </c>
      <c r="AI1096">
        <v>0</v>
      </c>
      <c r="AJ1096">
        <v>0</v>
      </c>
    </row>
    <row r="1097" spans="1:36" hidden="1" x14ac:dyDescent="0.25">
      <c r="A1097" t="s">
        <v>128</v>
      </c>
      <c r="B1097" t="s">
        <v>421</v>
      </c>
      <c r="C1097" s="14" t="s">
        <v>117</v>
      </c>
      <c r="D1097" s="12">
        <v>46241</v>
      </c>
      <c r="E1097" s="14"/>
      <c r="F1097" s="14"/>
      <c r="G1097">
        <v>34.781572510198636</v>
      </c>
      <c r="H1097">
        <v>28.499999999999993</v>
      </c>
      <c r="J1097">
        <v>28.499999999999993</v>
      </c>
      <c r="M1097">
        <v>43.403626910322956</v>
      </c>
      <c r="Q1097">
        <v>0.49071675825692535</v>
      </c>
      <c r="R1097">
        <v>0</v>
      </c>
      <c r="S1097">
        <v>5.3792478309225608E-2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2.7480143479902078E-2</v>
      </c>
      <c r="Z1097">
        <v>0.18390350357975185</v>
      </c>
      <c r="AA1097">
        <v>0.10528302170175549</v>
      </c>
      <c r="AB1097">
        <v>0</v>
      </c>
      <c r="AC1097">
        <v>0.11022897411041251</v>
      </c>
      <c r="AD1097">
        <v>0</v>
      </c>
      <c r="AE1097">
        <v>0.57327118693540369</v>
      </c>
      <c r="AF1097">
        <v>2.7313313672676573E-2</v>
      </c>
      <c r="AG1097">
        <v>0</v>
      </c>
      <c r="AH1097">
        <v>0</v>
      </c>
      <c r="AI1097">
        <v>0</v>
      </c>
      <c r="AJ1097">
        <v>0</v>
      </c>
    </row>
    <row r="1098" spans="1:36" hidden="1" x14ac:dyDescent="0.25">
      <c r="A1098" t="s">
        <v>128</v>
      </c>
      <c r="B1098" t="s">
        <v>422</v>
      </c>
      <c r="C1098" s="14" t="s">
        <v>117</v>
      </c>
      <c r="D1098" s="12">
        <v>46241</v>
      </c>
      <c r="E1098" s="14"/>
      <c r="F1098" s="14"/>
      <c r="G1098">
        <v>41.296293897593188</v>
      </c>
      <c r="H1098">
        <v>26.599999999999994</v>
      </c>
      <c r="J1098">
        <v>26.599999999999994</v>
      </c>
      <c r="M1098">
        <v>24.987053056516714</v>
      </c>
      <c r="Q1098">
        <v>5.442830730955537E-4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4.1091559648214676E-2</v>
      </c>
      <c r="AA1098">
        <v>0.33778732804066536</v>
      </c>
      <c r="AB1098">
        <v>0</v>
      </c>
      <c r="AC1098">
        <v>3.4684781756165114E-2</v>
      </c>
      <c r="AD1098">
        <v>0</v>
      </c>
      <c r="AE1098">
        <v>0.56343184491380227</v>
      </c>
      <c r="AF1098">
        <v>2.3004485641152594E-2</v>
      </c>
      <c r="AG1098">
        <v>0</v>
      </c>
      <c r="AH1098">
        <v>0</v>
      </c>
      <c r="AI1098">
        <v>0</v>
      </c>
      <c r="AJ1098">
        <v>0</v>
      </c>
    </row>
    <row r="1099" spans="1:36" hidden="1" x14ac:dyDescent="0.25">
      <c r="A1099" t="s">
        <v>128</v>
      </c>
      <c r="B1099" t="s">
        <v>291</v>
      </c>
      <c r="C1099" s="14" t="s">
        <v>117</v>
      </c>
      <c r="D1099" s="12">
        <v>46242</v>
      </c>
      <c r="E1099" s="14"/>
      <c r="F1099" s="14"/>
      <c r="G1099">
        <v>40.032120530081045</v>
      </c>
      <c r="H1099">
        <v>97.85</v>
      </c>
      <c r="J1099">
        <v>97.85</v>
      </c>
      <c r="M1099">
        <v>50.906141868512108</v>
      </c>
      <c r="Q1099">
        <v>0.10425037363971681</v>
      </c>
      <c r="R1099">
        <v>0</v>
      </c>
      <c r="S1099">
        <v>1.2533595458351041</v>
      </c>
      <c r="T1099">
        <v>0</v>
      </c>
      <c r="U1099">
        <v>5.024613896867882E-2</v>
      </c>
      <c r="V1099">
        <v>1.3117766496328715E-2</v>
      </c>
      <c r="W1099">
        <v>0.11713589642824461</v>
      </c>
      <c r="X1099">
        <v>0</v>
      </c>
      <c r="Y1099">
        <v>3.6563394808751253E-2</v>
      </c>
      <c r="Z1099">
        <v>1.3017771058137974E-2</v>
      </c>
      <c r="AA1099">
        <v>0</v>
      </c>
      <c r="AB1099">
        <v>0</v>
      </c>
      <c r="AC1099">
        <v>0</v>
      </c>
      <c r="AD1099">
        <v>0</v>
      </c>
      <c r="AE1099">
        <v>0.88156424079401718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1:36" hidden="1" x14ac:dyDescent="0.25">
      <c r="A1100" t="s">
        <v>128</v>
      </c>
      <c r="B1100" t="s">
        <v>421</v>
      </c>
      <c r="C1100" s="14" t="s">
        <v>117</v>
      </c>
      <c r="D1100" s="12">
        <v>46242</v>
      </c>
      <c r="E1100" s="14"/>
      <c r="F1100" s="14"/>
      <c r="G1100">
        <v>31.016795978018283</v>
      </c>
      <c r="H1100">
        <v>50.349999999999994</v>
      </c>
      <c r="J1100">
        <v>50.349999999999994</v>
      </c>
      <c r="M1100">
        <v>44.259397403616411</v>
      </c>
      <c r="Q1100">
        <v>0.43931075537581954</v>
      </c>
      <c r="R1100">
        <v>0</v>
      </c>
      <c r="S1100">
        <v>0.66930264199434586</v>
      </c>
      <c r="T1100">
        <v>0</v>
      </c>
      <c r="U1100">
        <v>2.6263469752120207E-2</v>
      </c>
      <c r="V1100">
        <v>0</v>
      </c>
      <c r="W1100">
        <v>8.0067583394613048E-2</v>
      </c>
      <c r="X1100">
        <v>0</v>
      </c>
      <c r="Y1100">
        <v>1.9722013401291497E-2</v>
      </c>
      <c r="Z1100">
        <v>0.15941868223462383</v>
      </c>
      <c r="AA1100">
        <v>0.10450869845391499</v>
      </c>
      <c r="AB1100">
        <v>0</v>
      </c>
      <c r="AC1100">
        <v>2.1769765216081146E-2</v>
      </c>
      <c r="AD1100">
        <v>0</v>
      </c>
      <c r="AE1100">
        <v>0.71430285409538008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hidden="1" x14ac:dyDescent="0.25">
      <c r="A1101" t="s">
        <v>128</v>
      </c>
      <c r="B1101" t="s">
        <v>422</v>
      </c>
      <c r="C1101" s="14" t="s">
        <v>117</v>
      </c>
      <c r="D1101" s="12">
        <v>46242</v>
      </c>
      <c r="E1101" s="14"/>
      <c r="F1101" s="14"/>
      <c r="G1101">
        <v>40.032120530081045</v>
      </c>
      <c r="H1101">
        <v>39.900000000000006</v>
      </c>
      <c r="J1101">
        <v>39.900000000000006</v>
      </c>
      <c r="M1101">
        <v>24.361620530565165</v>
      </c>
      <c r="Q1101">
        <v>0</v>
      </c>
      <c r="R1101">
        <v>0</v>
      </c>
      <c r="S1101">
        <v>0.24890816549276124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6.887308558992547E-2</v>
      </c>
      <c r="Z1101">
        <v>4.4437355430390693E-2</v>
      </c>
      <c r="AA1101">
        <v>0.32410614614447436</v>
      </c>
      <c r="AB1101">
        <v>0</v>
      </c>
      <c r="AC1101">
        <v>6.7342015781914538E-2</v>
      </c>
      <c r="AD1101">
        <v>0</v>
      </c>
      <c r="AE1101">
        <v>0.56411448264322039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hidden="1" x14ac:dyDescent="0.25">
      <c r="A1102" t="s">
        <v>128</v>
      </c>
      <c r="B1102" t="s">
        <v>291</v>
      </c>
      <c r="C1102" s="14" t="s">
        <v>117</v>
      </c>
      <c r="D1102" s="12">
        <v>46243</v>
      </c>
      <c r="E1102" s="14"/>
      <c r="F1102" s="14"/>
      <c r="G1102">
        <v>41.939193745979424</v>
      </c>
      <c r="H1102">
        <v>108.3</v>
      </c>
      <c r="J1102">
        <v>108.3</v>
      </c>
      <c r="M1102">
        <v>50.947578755767005</v>
      </c>
      <c r="Q1102">
        <v>2.5499571037116427E-2</v>
      </c>
      <c r="R1102">
        <v>0</v>
      </c>
      <c r="S1102">
        <v>1.2259755468283202</v>
      </c>
      <c r="T1102">
        <v>0</v>
      </c>
      <c r="U1102">
        <v>4.6377424904609131E-2</v>
      </c>
      <c r="V1102">
        <v>1.3925017237578075E-2</v>
      </c>
      <c r="W1102">
        <v>0.14291933668093457</v>
      </c>
      <c r="X1102">
        <v>0</v>
      </c>
      <c r="Y1102">
        <v>7.1689110464822403E-2</v>
      </c>
      <c r="Z1102">
        <v>1.7910615775753525E-2</v>
      </c>
      <c r="AA1102">
        <v>0</v>
      </c>
      <c r="AB1102">
        <v>0</v>
      </c>
      <c r="AC1102">
        <v>0</v>
      </c>
      <c r="AD1102">
        <v>0</v>
      </c>
      <c r="AE1102">
        <v>0.89846347529721726</v>
      </c>
      <c r="AF1102">
        <v>0</v>
      </c>
      <c r="AG1102">
        <v>0</v>
      </c>
      <c r="AH1102">
        <v>0</v>
      </c>
      <c r="AI1102">
        <v>0</v>
      </c>
      <c r="AJ1102">
        <v>0</v>
      </c>
    </row>
    <row r="1103" spans="1:36" hidden="1" x14ac:dyDescent="0.25">
      <c r="A1103" t="s">
        <v>128</v>
      </c>
      <c r="B1103" t="s">
        <v>421</v>
      </c>
      <c r="C1103" s="14" t="s">
        <v>117</v>
      </c>
      <c r="D1103" s="12">
        <v>46243</v>
      </c>
      <c r="E1103" s="14"/>
      <c r="F1103" s="14"/>
      <c r="G1103">
        <v>31.01679597801828</v>
      </c>
      <c r="H1103">
        <v>46.55</v>
      </c>
      <c r="J1103">
        <v>46.55</v>
      </c>
      <c r="M1103">
        <v>44.985569531121264</v>
      </c>
      <c r="Q1103">
        <v>0.42864232723112672</v>
      </c>
      <c r="R1103">
        <v>0</v>
      </c>
      <c r="S1103">
        <v>0.52267087940348378</v>
      </c>
      <c r="T1103">
        <v>0</v>
      </c>
      <c r="U1103">
        <v>5.0380966114675893E-2</v>
      </c>
      <c r="V1103">
        <v>2.5831765390810661E-2</v>
      </c>
      <c r="W1103">
        <v>9.0030737639041153E-2</v>
      </c>
      <c r="X1103">
        <v>0</v>
      </c>
      <c r="Y1103">
        <v>1.97220134012915E-2</v>
      </c>
      <c r="Z1103">
        <v>0.13875326992197526</v>
      </c>
      <c r="AA1103">
        <v>7.3880131896838355E-2</v>
      </c>
      <c r="AB1103">
        <v>0</v>
      </c>
      <c r="AC1103">
        <v>2.1769765216081149E-2</v>
      </c>
      <c r="AD1103">
        <v>0</v>
      </c>
      <c r="AE1103">
        <v>0.59178858786707345</v>
      </c>
      <c r="AF1103">
        <v>3.0628566557076641E-2</v>
      </c>
      <c r="AG1103">
        <v>0</v>
      </c>
      <c r="AH1103">
        <v>0</v>
      </c>
      <c r="AI1103">
        <v>0</v>
      </c>
      <c r="AJ1103">
        <v>0</v>
      </c>
    </row>
    <row r="1104" spans="1:36" hidden="1" x14ac:dyDescent="0.25">
      <c r="A1104" t="s">
        <v>128</v>
      </c>
      <c r="B1104" t="s">
        <v>422</v>
      </c>
      <c r="C1104" s="14" t="s">
        <v>117</v>
      </c>
      <c r="D1104" s="12">
        <v>46243</v>
      </c>
      <c r="E1104" s="14"/>
      <c r="F1104" s="14"/>
      <c r="G1104">
        <v>41.939193745979424</v>
      </c>
      <c r="H1104">
        <v>36.1</v>
      </c>
      <c r="J1104">
        <v>36.1</v>
      </c>
      <c r="M1104">
        <v>24.250893886966544</v>
      </c>
      <c r="Q1104">
        <v>0</v>
      </c>
      <c r="R1104">
        <v>0</v>
      </c>
      <c r="S1104">
        <v>0.14865943330121423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7.8040676155419667E-2</v>
      </c>
      <c r="Z1104">
        <v>3.1088701211909549E-2</v>
      </c>
      <c r="AA1104">
        <v>0.33484140349324321</v>
      </c>
      <c r="AB1104">
        <v>0</v>
      </c>
      <c r="AC1104">
        <v>8.6919204642162406E-2</v>
      </c>
      <c r="AD1104">
        <v>0</v>
      </c>
      <c r="AE1104">
        <v>0.54715069065268485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 hidden="1" x14ac:dyDescent="0.25">
      <c r="A1105" t="s">
        <v>128</v>
      </c>
      <c r="B1105" t="s">
        <v>291</v>
      </c>
      <c r="C1105" s="14" t="s">
        <v>117</v>
      </c>
      <c r="D1105" s="12">
        <v>46244</v>
      </c>
      <c r="E1105" s="14"/>
      <c r="F1105" s="14"/>
      <c r="G1105">
        <v>41.995461820747067</v>
      </c>
      <c r="H1105">
        <v>112.1</v>
      </c>
      <c r="J1105">
        <v>112.1</v>
      </c>
      <c r="M1105">
        <v>49.983131487889267</v>
      </c>
      <c r="Q1105">
        <v>6.2224356459444075E-2</v>
      </c>
      <c r="R1105">
        <v>0</v>
      </c>
      <c r="S1105">
        <v>1.4409054952149085</v>
      </c>
      <c r="T1105">
        <v>0</v>
      </c>
      <c r="U1105">
        <v>2.0429996358176692E-2</v>
      </c>
      <c r="V1105">
        <v>0</v>
      </c>
      <c r="W1105">
        <v>0.10754881011547615</v>
      </c>
      <c r="X1105">
        <v>0</v>
      </c>
      <c r="Y1105">
        <v>0.13077734505320246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0.96967439910257791</v>
      </c>
      <c r="AF1105">
        <v>0</v>
      </c>
      <c r="AG1105">
        <v>0</v>
      </c>
      <c r="AH1105">
        <v>0</v>
      </c>
      <c r="AI1105">
        <v>3.0325600897422006E-2</v>
      </c>
      <c r="AJ1105">
        <v>0</v>
      </c>
    </row>
    <row r="1106" spans="1:36" hidden="1" x14ac:dyDescent="0.25">
      <c r="A1106" t="s">
        <v>128</v>
      </c>
      <c r="B1106" t="s">
        <v>421</v>
      </c>
      <c r="C1106" s="14" t="s">
        <v>117</v>
      </c>
      <c r="D1106" s="12">
        <v>46244</v>
      </c>
      <c r="E1106" s="14"/>
      <c r="F1106" s="14"/>
      <c r="G1106">
        <v>33.670515043643206</v>
      </c>
      <c r="H1106">
        <v>49.400000000000006</v>
      </c>
      <c r="J1106">
        <v>49.400000000000006</v>
      </c>
      <c r="M1106">
        <v>49.417440777215859</v>
      </c>
      <c r="Q1106">
        <v>0.52640519233704464</v>
      </c>
      <c r="R1106">
        <v>0</v>
      </c>
      <c r="S1106">
        <v>0.57397189514373004</v>
      </c>
      <c r="T1106">
        <v>0</v>
      </c>
      <c r="U1106">
        <v>4.4753434123685716E-2</v>
      </c>
      <c r="V1106">
        <v>2.3795852122852311E-2</v>
      </c>
      <c r="W1106">
        <v>8.2935025421532166E-2</v>
      </c>
      <c r="X1106">
        <v>0</v>
      </c>
      <c r="Y1106">
        <v>9.8358763492599668E-3</v>
      </c>
      <c r="Z1106">
        <v>0.12955298541664267</v>
      </c>
      <c r="AA1106">
        <v>0.14299881791679581</v>
      </c>
      <c r="AB1106">
        <v>0</v>
      </c>
      <c r="AC1106">
        <v>4.3417825961231081E-2</v>
      </c>
      <c r="AD1106">
        <v>0</v>
      </c>
      <c r="AE1106">
        <v>0.5521353025204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 hidden="1" x14ac:dyDescent="0.25">
      <c r="A1107" t="s">
        <v>128</v>
      </c>
      <c r="B1107" t="s">
        <v>422</v>
      </c>
      <c r="C1107" s="14" t="s">
        <v>117</v>
      </c>
      <c r="D1107" s="12">
        <v>46244</v>
      </c>
      <c r="E1107" s="14"/>
      <c r="F1107" s="14"/>
      <c r="G1107">
        <v>41.995461820747067</v>
      </c>
      <c r="H1107">
        <v>40.85</v>
      </c>
      <c r="J1107">
        <v>40.85</v>
      </c>
      <c r="M1107">
        <v>26.40703575547866</v>
      </c>
      <c r="Q1107">
        <v>0</v>
      </c>
      <c r="R1107">
        <v>0</v>
      </c>
      <c r="S1107">
        <v>0.23477049310988835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8.3295555871034946E-2</v>
      </c>
      <c r="Z1107">
        <v>0.11089927897126553</v>
      </c>
      <c r="AA1107">
        <v>0.25706410962438347</v>
      </c>
      <c r="AB1107">
        <v>0</v>
      </c>
      <c r="AC1107">
        <v>0.1141290000455579</v>
      </c>
      <c r="AD1107">
        <v>0</v>
      </c>
      <c r="AE1107">
        <v>0.51790761135879293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36" hidden="1" x14ac:dyDescent="0.25">
      <c r="A1108" t="s">
        <v>128</v>
      </c>
      <c r="B1108" t="s">
        <v>291</v>
      </c>
      <c r="C1108" s="14" t="s">
        <v>117</v>
      </c>
      <c r="D1108" s="12">
        <v>46245</v>
      </c>
      <c r="E1108" s="14"/>
      <c r="F1108" s="14"/>
      <c r="G1108">
        <v>45.361994830502269</v>
      </c>
      <c r="H1108">
        <v>78.849999999999994</v>
      </c>
      <c r="J1108">
        <v>78.849999999999994</v>
      </c>
      <c r="M1108">
        <v>50.976211072664348</v>
      </c>
      <c r="Q1108">
        <v>9.9309890532079129E-2</v>
      </c>
      <c r="R1108">
        <v>0</v>
      </c>
      <c r="S1108">
        <v>0.70105688027160962</v>
      </c>
      <c r="T1108">
        <v>0</v>
      </c>
      <c r="U1108">
        <v>2.7150644455078633E-2</v>
      </c>
      <c r="V1108">
        <v>0</v>
      </c>
      <c r="W1108">
        <v>1.7322403898519891E-2</v>
      </c>
      <c r="X1108">
        <v>0</v>
      </c>
      <c r="Y1108">
        <v>1.2954280596834688E-2</v>
      </c>
      <c r="Z1108">
        <v>0.25153847317784273</v>
      </c>
      <c r="AA1108">
        <v>2.0018182438349151E-2</v>
      </c>
      <c r="AB1108">
        <v>0</v>
      </c>
      <c r="AC1108">
        <v>0</v>
      </c>
      <c r="AD1108">
        <v>0</v>
      </c>
      <c r="AE1108">
        <v>0.72844334438380809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 hidden="1" x14ac:dyDescent="0.25">
      <c r="A1109" t="s">
        <v>128</v>
      </c>
      <c r="B1109" t="s">
        <v>421</v>
      </c>
      <c r="C1109" s="14" t="s">
        <v>117</v>
      </c>
      <c r="D1109" s="12">
        <v>46245</v>
      </c>
      <c r="E1109" s="14"/>
      <c r="F1109" s="14"/>
      <c r="G1109">
        <v>34.89844027013293</v>
      </c>
      <c r="H1109">
        <v>47.500000000000007</v>
      </c>
      <c r="J1109">
        <v>47.500000000000007</v>
      </c>
      <c r="M1109">
        <v>50.726065557256085</v>
      </c>
      <c r="Q1109">
        <v>0.53999261975844193</v>
      </c>
      <c r="R1109">
        <v>0</v>
      </c>
      <c r="S1109">
        <v>0.470345988259668</v>
      </c>
      <c r="T1109">
        <v>0</v>
      </c>
      <c r="U1109">
        <v>7.2165377876796263E-2</v>
      </c>
      <c r="V1109">
        <v>2.2958578970204389E-2</v>
      </c>
      <c r="W1109">
        <v>8.0016900454158713E-2</v>
      </c>
      <c r="X1109">
        <v>0</v>
      </c>
      <c r="Y1109">
        <v>1.1551958571931328E-2</v>
      </c>
      <c r="Z1109">
        <v>0.12861853704380907</v>
      </c>
      <c r="AA1109">
        <v>0.17159118732622711</v>
      </c>
      <c r="AB1109">
        <v>0</v>
      </c>
      <c r="AC1109">
        <v>3.9827976201533437E-2</v>
      </c>
      <c r="AD1109">
        <v>0</v>
      </c>
      <c r="AE1109">
        <v>0.50548620147752021</v>
      </c>
      <c r="AF1109">
        <v>2.7221846954949353E-2</v>
      </c>
      <c r="AG1109">
        <v>0</v>
      </c>
      <c r="AH1109">
        <v>0</v>
      </c>
      <c r="AI1109">
        <v>0</v>
      </c>
      <c r="AJ1109">
        <v>0</v>
      </c>
    </row>
    <row r="1110" spans="1:36" hidden="1" x14ac:dyDescent="0.25">
      <c r="A1110" t="s">
        <v>128</v>
      </c>
      <c r="B1110" t="s">
        <v>422</v>
      </c>
      <c r="C1110" s="14" t="s">
        <v>117</v>
      </c>
      <c r="D1110" s="12">
        <v>46245</v>
      </c>
      <c r="E1110" s="14"/>
      <c r="F1110" s="14"/>
      <c r="G1110">
        <v>45.361994830502269</v>
      </c>
      <c r="H1110">
        <v>39.900000000000006</v>
      </c>
      <c r="J1110">
        <v>39.900000000000006</v>
      </c>
      <c r="M1110">
        <v>25.292416378316027</v>
      </c>
      <c r="Q1110">
        <v>0</v>
      </c>
      <c r="R1110">
        <v>0</v>
      </c>
      <c r="S1110">
        <v>0.22122336222602246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7.6338525292579881E-2</v>
      </c>
      <c r="Z1110">
        <v>6.9136906706421475E-2</v>
      </c>
      <c r="AA1110">
        <v>0.36977667520880203</v>
      </c>
      <c r="AB1110">
        <v>0</v>
      </c>
      <c r="AC1110">
        <v>7.2654891726853701E-2</v>
      </c>
      <c r="AD1110">
        <v>0</v>
      </c>
      <c r="AE1110">
        <v>0.4884315263579227</v>
      </c>
      <c r="AF1110">
        <v>0</v>
      </c>
      <c r="AG1110">
        <v>0</v>
      </c>
      <c r="AH1110">
        <v>0</v>
      </c>
      <c r="AI1110">
        <v>0</v>
      </c>
      <c r="AJ1110">
        <v>0</v>
      </c>
    </row>
    <row r="1111" spans="1:36" hidden="1" x14ac:dyDescent="0.25">
      <c r="A1111" t="s">
        <v>128</v>
      </c>
      <c r="B1111" t="s">
        <v>291</v>
      </c>
      <c r="C1111" s="14" t="s">
        <v>117</v>
      </c>
      <c r="D1111" s="12">
        <v>46246</v>
      </c>
      <c r="E1111" s="14"/>
      <c r="F1111" s="14"/>
      <c r="G1111">
        <v>43.719560553941719</v>
      </c>
      <c r="H1111">
        <v>81.699999999999989</v>
      </c>
      <c r="J1111">
        <v>81.699999999999989</v>
      </c>
      <c r="M1111">
        <v>47.114078719723182</v>
      </c>
      <c r="Q1111">
        <v>8.6535990756925293E-2</v>
      </c>
      <c r="R1111">
        <v>0</v>
      </c>
      <c r="S1111">
        <v>0.76976783134547089</v>
      </c>
      <c r="T1111">
        <v>0</v>
      </c>
      <c r="U1111">
        <v>7.5260284648609298E-3</v>
      </c>
      <c r="V1111">
        <v>0</v>
      </c>
      <c r="W1111">
        <v>2.4131679013369628E-2</v>
      </c>
      <c r="X1111">
        <v>0</v>
      </c>
      <c r="Y1111">
        <v>7.2824246089321556E-3</v>
      </c>
      <c r="Z1111">
        <v>0.16778348184504308</v>
      </c>
      <c r="AA1111">
        <v>3.2948575396515842E-2</v>
      </c>
      <c r="AB1111">
        <v>0</v>
      </c>
      <c r="AC1111">
        <v>7.6021153890737858E-3</v>
      </c>
      <c r="AD1111">
        <v>0</v>
      </c>
      <c r="AE1111">
        <v>0.7916658273693673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hidden="1" x14ac:dyDescent="0.25">
      <c r="A1112" t="s">
        <v>128</v>
      </c>
      <c r="B1112" t="s">
        <v>421</v>
      </c>
      <c r="C1112" s="14" t="s">
        <v>117</v>
      </c>
      <c r="D1112" s="12">
        <v>46246</v>
      </c>
      <c r="E1112" s="14"/>
      <c r="F1112" s="14"/>
      <c r="G1112">
        <v>34.906158737238066</v>
      </c>
      <c r="H1112">
        <v>63.650000000000006</v>
      </c>
      <c r="J1112">
        <v>63.650000000000006</v>
      </c>
      <c r="M1112">
        <v>49.622173054742262</v>
      </c>
      <c r="Q1112">
        <v>0.52266493201218878</v>
      </c>
      <c r="R1112">
        <v>0</v>
      </c>
      <c r="S1112">
        <v>1.0164986452020688</v>
      </c>
      <c r="T1112">
        <v>0</v>
      </c>
      <c r="U1112">
        <v>4.2993485839212864E-2</v>
      </c>
      <c r="V1112">
        <v>0</v>
      </c>
      <c r="W1112">
        <v>7.1146181317119001E-2</v>
      </c>
      <c r="X1112">
        <v>0</v>
      </c>
      <c r="Y1112">
        <v>7.5588770138277344E-3</v>
      </c>
      <c r="Z1112">
        <v>0.2249227010865697</v>
      </c>
      <c r="AA1112">
        <v>8.981403595872138E-2</v>
      </c>
      <c r="AB1112">
        <v>0</v>
      </c>
      <c r="AC1112">
        <v>7.8529880392251075E-2</v>
      </c>
      <c r="AD1112">
        <v>0</v>
      </c>
      <c r="AE1112">
        <v>0.55986060428294404</v>
      </c>
      <c r="AF1112">
        <v>4.687277827951368E-2</v>
      </c>
      <c r="AG1112">
        <v>0</v>
      </c>
      <c r="AH1112">
        <v>0</v>
      </c>
      <c r="AI1112">
        <v>0</v>
      </c>
      <c r="AJ1112">
        <v>0</v>
      </c>
    </row>
    <row r="1113" spans="1:36" hidden="1" x14ac:dyDescent="0.25">
      <c r="A1113" t="s">
        <v>128</v>
      </c>
      <c r="B1113" t="s">
        <v>422</v>
      </c>
      <c r="C1113" s="14" t="s">
        <v>117</v>
      </c>
      <c r="D1113" s="12">
        <v>46246</v>
      </c>
      <c r="E1113" s="14"/>
      <c r="F1113" s="14"/>
      <c r="G1113">
        <v>43.719560553941719</v>
      </c>
      <c r="H1113">
        <v>55.100000000000009</v>
      </c>
      <c r="J1113">
        <v>55.100000000000009</v>
      </c>
      <c r="M1113">
        <v>23.749596309111876</v>
      </c>
      <c r="Q1113">
        <v>0</v>
      </c>
      <c r="R1113">
        <v>0</v>
      </c>
      <c r="S1113">
        <v>0.57480236062263346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7.191240345984147E-2</v>
      </c>
      <c r="Z1113">
        <v>4.3763518550175684E-2</v>
      </c>
      <c r="AA1113">
        <v>0.34264580554470009</v>
      </c>
      <c r="AB1113">
        <v>0</v>
      </c>
      <c r="AC1113">
        <v>0.11412832465705847</v>
      </c>
      <c r="AD1113">
        <v>0</v>
      </c>
      <c r="AE1113">
        <v>0.49946235124806571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1:36" hidden="1" x14ac:dyDescent="0.25">
      <c r="A1114" t="s">
        <v>128</v>
      </c>
      <c r="B1114" t="s">
        <v>291</v>
      </c>
      <c r="C1114" s="14" t="s">
        <v>117</v>
      </c>
      <c r="D1114" s="12">
        <v>46247</v>
      </c>
      <c r="E1114" s="14"/>
      <c r="F1114" s="14"/>
      <c r="G1114">
        <v>43.249410850616073</v>
      </c>
      <c r="H1114">
        <v>77.900000000000006</v>
      </c>
      <c r="J1114">
        <v>77.900000000000006</v>
      </c>
      <c r="M1114">
        <v>46.249049344002309</v>
      </c>
      <c r="Q1114">
        <v>6.0712323620490172E-2</v>
      </c>
      <c r="R1114">
        <v>0</v>
      </c>
      <c r="S1114">
        <v>0.85972672768567537</v>
      </c>
      <c r="T1114">
        <v>0</v>
      </c>
      <c r="U1114">
        <v>6.7152573206372308E-3</v>
      </c>
      <c r="V1114">
        <v>0</v>
      </c>
      <c r="W1114">
        <v>4.7736442060573384E-2</v>
      </c>
      <c r="X1114">
        <v>0</v>
      </c>
      <c r="Y1114">
        <v>4.6955689968535948E-2</v>
      </c>
      <c r="Z1114">
        <v>0.37773364276864618</v>
      </c>
      <c r="AA1114">
        <v>4.5807274912183116E-2</v>
      </c>
      <c r="AB1114">
        <v>0</v>
      </c>
      <c r="AC1114">
        <v>0</v>
      </c>
      <c r="AD1114">
        <v>0</v>
      </c>
      <c r="AE1114">
        <v>0.57645908231917065</v>
      </c>
      <c r="AF1114">
        <v>0</v>
      </c>
      <c r="AG1114">
        <v>0</v>
      </c>
      <c r="AH1114">
        <v>0</v>
      </c>
      <c r="AI1114">
        <v>0</v>
      </c>
      <c r="AJ1114">
        <v>0</v>
      </c>
    </row>
    <row r="1115" spans="1:36" hidden="1" x14ac:dyDescent="0.25">
      <c r="A1115" t="s">
        <v>128</v>
      </c>
      <c r="B1115" t="s">
        <v>421</v>
      </c>
      <c r="C1115" s="14" t="s">
        <v>117</v>
      </c>
      <c r="D1115" s="12">
        <v>46247</v>
      </c>
      <c r="E1115" s="14"/>
      <c r="F1115" s="14"/>
      <c r="G1115">
        <v>33.540114850035636</v>
      </c>
      <c r="H1115">
        <v>45.6</v>
      </c>
      <c r="J1115">
        <v>45.6</v>
      </c>
      <c r="M1115">
        <v>45.824679417864431</v>
      </c>
      <c r="Q1115">
        <v>0.38665638344057218</v>
      </c>
      <c r="R1115">
        <v>0</v>
      </c>
      <c r="S1115">
        <v>0.39870907483641144</v>
      </c>
      <c r="T1115">
        <v>0</v>
      </c>
      <c r="U1115">
        <v>5.2476038113955625E-2</v>
      </c>
      <c r="V1115">
        <v>2.3888367719109245E-2</v>
      </c>
      <c r="W1115">
        <v>8.32574674710055E-2</v>
      </c>
      <c r="X1115">
        <v>0</v>
      </c>
      <c r="Y1115">
        <v>1.0637917330614538E-2</v>
      </c>
      <c r="Z1115">
        <v>0.15798785296125661</v>
      </c>
      <c r="AA1115">
        <v>5.5850930215845626E-2</v>
      </c>
      <c r="AB1115">
        <v>0</v>
      </c>
      <c r="AC1115">
        <v>7.2045026309439458E-2</v>
      </c>
      <c r="AD1115">
        <v>0</v>
      </c>
      <c r="AE1115">
        <v>0.52595765066740308</v>
      </c>
      <c r="AF1115">
        <v>5.5750678472905241E-2</v>
      </c>
      <c r="AG1115">
        <v>0</v>
      </c>
      <c r="AH1115">
        <v>0</v>
      </c>
      <c r="AI1115">
        <v>0</v>
      </c>
      <c r="AJ1115">
        <v>0</v>
      </c>
    </row>
    <row r="1116" spans="1:36" hidden="1" x14ac:dyDescent="0.25">
      <c r="A1116" t="s">
        <v>128</v>
      </c>
      <c r="B1116" t="s">
        <v>422</v>
      </c>
      <c r="C1116" s="14" t="s">
        <v>117</v>
      </c>
      <c r="D1116" s="12">
        <v>46247</v>
      </c>
      <c r="E1116" s="14"/>
      <c r="F1116" s="14"/>
      <c r="G1116">
        <v>43.249410850616073</v>
      </c>
      <c r="H1116">
        <v>44.649999999999991</v>
      </c>
      <c r="J1116">
        <v>44.649999999999991</v>
      </c>
      <c r="M1116">
        <v>27.542848904267586</v>
      </c>
      <c r="Q1116">
        <v>0</v>
      </c>
      <c r="R1116">
        <v>0</v>
      </c>
      <c r="S1116">
        <v>0.30035459813417126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6.2936536321533149E-2</v>
      </c>
      <c r="Z1116">
        <v>5.3377263027954258E-2</v>
      </c>
      <c r="AA1116">
        <v>0.29949548328044651</v>
      </c>
      <c r="AB1116">
        <v>0</v>
      </c>
      <c r="AC1116">
        <v>6.3666965350336446E-2</v>
      </c>
      <c r="AD1116">
        <v>0</v>
      </c>
      <c r="AE1116">
        <v>0.58346028834126273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 hidden="1" x14ac:dyDescent="0.25">
      <c r="A1117" t="s">
        <v>128</v>
      </c>
      <c r="B1117" t="s">
        <v>291</v>
      </c>
      <c r="C1117" s="14" t="s">
        <v>117</v>
      </c>
      <c r="D1117" s="12">
        <v>46248</v>
      </c>
      <c r="E1117" s="14"/>
      <c r="F1117" s="14"/>
      <c r="G1117">
        <v>41.072429863762913</v>
      </c>
      <c r="H1117">
        <v>90.249999999999986</v>
      </c>
      <c r="J1117">
        <v>90.249999999999986</v>
      </c>
      <c r="M1117">
        <v>41.523572664359861</v>
      </c>
      <c r="Q1117">
        <v>4.9648293713995401E-2</v>
      </c>
      <c r="R1117">
        <v>0</v>
      </c>
      <c r="S1117">
        <v>1.1108953615865753</v>
      </c>
      <c r="T1117">
        <v>0</v>
      </c>
      <c r="U1117">
        <v>8.0627509475166056E-3</v>
      </c>
      <c r="V1117">
        <v>0</v>
      </c>
      <c r="W1117">
        <v>2.1431389294348333E-2</v>
      </c>
      <c r="X1117">
        <v>0</v>
      </c>
      <c r="Y1117">
        <v>9.2473103232853238E-2</v>
      </c>
      <c r="Z1117">
        <v>0.27100223116257316</v>
      </c>
      <c r="AA1117">
        <v>4.208108980120958E-2</v>
      </c>
      <c r="AB1117">
        <v>0</v>
      </c>
      <c r="AC1117">
        <v>2.6077265489390714E-2</v>
      </c>
      <c r="AD1117">
        <v>0</v>
      </c>
      <c r="AE1117">
        <v>0.6608394135468264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 hidden="1" x14ac:dyDescent="0.25">
      <c r="A1118" t="s">
        <v>128</v>
      </c>
      <c r="B1118" t="s">
        <v>421</v>
      </c>
      <c r="C1118" s="14" t="s">
        <v>117</v>
      </c>
      <c r="D1118" s="12">
        <v>46248</v>
      </c>
      <c r="E1118" s="14"/>
      <c r="F1118" s="14"/>
      <c r="G1118">
        <v>34.70510830195569</v>
      </c>
      <c r="H1118">
        <v>51.300000000000004</v>
      </c>
      <c r="J1118">
        <v>51.300000000000004</v>
      </c>
      <c r="M1118">
        <v>32.83832831492326</v>
      </c>
      <c r="Q1118">
        <v>0.13605766532917637</v>
      </c>
      <c r="R1118">
        <v>0</v>
      </c>
      <c r="S1118">
        <v>0.57482511158095817</v>
      </c>
      <c r="T1118">
        <v>0</v>
      </c>
      <c r="U1118">
        <v>0</v>
      </c>
      <c r="V1118">
        <v>0</v>
      </c>
      <c r="W1118">
        <v>1.6628272379950126E-2</v>
      </c>
      <c r="X1118">
        <v>0</v>
      </c>
      <c r="Y1118">
        <v>9.3536253042088791E-2</v>
      </c>
      <c r="Z1118">
        <v>0.1217569857745609</v>
      </c>
      <c r="AA1118">
        <v>8.5064090172277396E-2</v>
      </c>
      <c r="AB1118">
        <v>0</v>
      </c>
      <c r="AC1118">
        <v>0.12141162311657959</v>
      </c>
      <c r="AD1118">
        <v>0</v>
      </c>
      <c r="AE1118">
        <v>0.67176730093658221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36" hidden="1" x14ac:dyDescent="0.25">
      <c r="A1119" t="s">
        <v>128</v>
      </c>
      <c r="B1119" t="s">
        <v>422</v>
      </c>
      <c r="C1119" s="14" t="s">
        <v>117</v>
      </c>
      <c r="D1119" s="12">
        <v>46248</v>
      </c>
      <c r="E1119" s="14"/>
      <c r="F1119" s="14"/>
      <c r="G1119">
        <v>41.072429863762913</v>
      </c>
      <c r="H1119">
        <v>41.800000000000004</v>
      </c>
      <c r="J1119">
        <v>41.800000000000004</v>
      </c>
      <c r="M1119">
        <v>27.174769319492498</v>
      </c>
      <c r="Q1119">
        <v>6.0952327775990241E-3</v>
      </c>
      <c r="R1119">
        <v>0</v>
      </c>
      <c r="S1119">
        <v>0.24431612175544626</v>
      </c>
      <c r="T1119">
        <v>0</v>
      </c>
      <c r="U1119">
        <v>9.9156173881370874E-4</v>
      </c>
      <c r="V1119">
        <v>0</v>
      </c>
      <c r="W1119">
        <v>1.3679610187881917E-2</v>
      </c>
      <c r="X1119">
        <v>0</v>
      </c>
      <c r="Y1119">
        <v>6.6786130112616221E-2</v>
      </c>
      <c r="Z1119">
        <v>1.7995750033194754E-2</v>
      </c>
      <c r="AA1119">
        <v>0.29006335448095516</v>
      </c>
      <c r="AB1119">
        <v>0</v>
      </c>
      <c r="AC1119">
        <v>6.9072622960304364E-2</v>
      </c>
      <c r="AD1119">
        <v>0</v>
      </c>
      <c r="AE1119">
        <v>0.62286827252554566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36" hidden="1" x14ac:dyDescent="0.25">
      <c r="A1120" t="s">
        <v>128</v>
      </c>
      <c r="B1120" t="s">
        <v>291</v>
      </c>
      <c r="C1120" s="14" t="s">
        <v>117</v>
      </c>
      <c r="D1120" s="12">
        <v>46249</v>
      </c>
      <c r="E1120" s="14"/>
      <c r="F1120" s="14"/>
      <c r="G1120">
        <v>41.946222842490528</v>
      </c>
      <c r="H1120">
        <v>106.39999999999998</v>
      </c>
      <c r="J1120">
        <v>106.39999999999998</v>
      </c>
      <c r="M1120">
        <v>49.575029736159159</v>
      </c>
      <c r="Q1120">
        <v>4.4945158685572632E-2</v>
      </c>
      <c r="R1120">
        <v>0</v>
      </c>
      <c r="S1120">
        <v>1.2612930525400141</v>
      </c>
      <c r="T1120">
        <v>0</v>
      </c>
      <c r="U1120">
        <v>2.9992640490551468E-2</v>
      </c>
      <c r="V1120">
        <v>0</v>
      </c>
      <c r="W1120">
        <v>0.10693332953825536</v>
      </c>
      <c r="X1120">
        <v>0</v>
      </c>
      <c r="Y1120">
        <v>0.12399661809313871</v>
      </c>
      <c r="Z1120">
        <v>8.2824935471820238E-3</v>
      </c>
      <c r="AA1120">
        <v>0</v>
      </c>
      <c r="AB1120">
        <v>0</v>
      </c>
      <c r="AC1120">
        <v>0</v>
      </c>
      <c r="AD1120">
        <v>0</v>
      </c>
      <c r="AE1120">
        <v>0.99171750645281798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36" hidden="1" x14ac:dyDescent="0.25">
      <c r="A1121" t="s">
        <v>128</v>
      </c>
      <c r="B1121" t="s">
        <v>421</v>
      </c>
      <c r="C1121" s="14" t="s">
        <v>117</v>
      </c>
      <c r="D1121" s="12">
        <v>46249</v>
      </c>
      <c r="E1121" s="14"/>
      <c r="F1121" s="14"/>
      <c r="G1121">
        <v>30.736804573832359</v>
      </c>
      <c r="H1121">
        <v>56.05</v>
      </c>
      <c r="J1121">
        <v>56.05</v>
      </c>
      <c r="M1121">
        <v>30.59691852985538</v>
      </c>
      <c r="Q1121">
        <v>0.15716084315796156</v>
      </c>
      <c r="R1121">
        <v>0</v>
      </c>
      <c r="S1121">
        <v>0.88734767831017169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0.10069861221625891</v>
      </c>
      <c r="Z1121">
        <v>0.16118329927095429</v>
      </c>
      <c r="AA1121">
        <v>6.6111185421262611E-2</v>
      </c>
      <c r="AB1121">
        <v>0</v>
      </c>
      <c r="AC1121">
        <v>4.2420529951661734E-2</v>
      </c>
      <c r="AD1121">
        <v>0</v>
      </c>
      <c r="AE1121">
        <v>0.66944963877814412</v>
      </c>
      <c r="AF1121">
        <v>6.0835346577977352E-2</v>
      </c>
      <c r="AG1121">
        <v>0</v>
      </c>
      <c r="AH1121">
        <v>0</v>
      </c>
      <c r="AI1121">
        <v>0</v>
      </c>
      <c r="AJ1121">
        <v>0</v>
      </c>
    </row>
    <row r="1122" spans="1:36" hidden="1" x14ac:dyDescent="0.25">
      <c r="A1122" t="s">
        <v>128</v>
      </c>
      <c r="B1122" t="s">
        <v>422</v>
      </c>
      <c r="C1122" s="14" t="s">
        <v>117</v>
      </c>
      <c r="D1122" s="12">
        <v>46249</v>
      </c>
      <c r="E1122" s="14"/>
      <c r="F1122" s="14"/>
      <c r="G1122">
        <v>41.946222842490528</v>
      </c>
      <c r="H1122">
        <v>45.6</v>
      </c>
      <c r="J1122">
        <v>45.6</v>
      </c>
      <c r="M1122">
        <v>23.261274509803915</v>
      </c>
      <c r="Q1122">
        <v>0</v>
      </c>
      <c r="R1122">
        <v>0</v>
      </c>
      <c r="S1122">
        <v>0.37440909973881498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7.912489537098015E-2</v>
      </c>
      <c r="Z1122">
        <v>3.981521877397539E-2</v>
      </c>
      <c r="AA1122">
        <v>0.32661255055645633</v>
      </c>
      <c r="AB1122">
        <v>0</v>
      </c>
      <c r="AC1122">
        <v>5.089339061367891E-2</v>
      </c>
      <c r="AD1122">
        <v>0</v>
      </c>
      <c r="AE1122">
        <v>0.5147347009446791</v>
      </c>
      <c r="AF1122">
        <v>6.7944139111210208E-2</v>
      </c>
      <c r="AG1122">
        <v>0</v>
      </c>
      <c r="AH1122">
        <v>0</v>
      </c>
      <c r="AI1122">
        <v>0</v>
      </c>
      <c r="AJ1122">
        <v>0</v>
      </c>
    </row>
    <row r="1123" spans="1:36" hidden="1" x14ac:dyDescent="0.25">
      <c r="A1123" t="s">
        <v>128</v>
      </c>
      <c r="B1123" t="s">
        <v>291</v>
      </c>
      <c r="C1123" s="14" t="s">
        <v>117</v>
      </c>
      <c r="D1123" s="12">
        <v>46250</v>
      </c>
      <c r="E1123" s="14"/>
      <c r="F1123" s="14"/>
      <c r="G1123">
        <v>40.046084309064085</v>
      </c>
      <c r="H1123">
        <v>97.85</v>
      </c>
      <c r="J1123">
        <v>97.85</v>
      </c>
      <c r="M1123">
        <v>43.814000324394463</v>
      </c>
      <c r="Q1123">
        <v>4.8177067763624147E-2</v>
      </c>
      <c r="R1123">
        <v>0</v>
      </c>
      <c r="S1123">
        <v>1.3907146959960772</v>
      </c>
      <c r="T1123">
        <v>0</v>
      </c>
      <c r="U1123">
        <v>5.8859324950680299E-3</v>
      </c>
      <c r="V1123">
        <v>0</v>
      </c>
      <c r="W1123">
        <v>7.1828300151625016E-2</v>
      </c>
      <c r="X1123">
        <v>0</v>
      </c>
      <c r="Y1123">
        <v>5.6881479743227374E-2</v>
      </c>
      <c r="Z1123">
        <v>9.7519045207121582E-2</v>
      </c>
      <c r="AA1123">
        <v>8.0791323361837138E-3</v>
      </c>
      <c r="AB1123">
        <v>0</v>
      </c>
      <c r="AC1123">
        <v>0</v>
      </c>
      <c r="AD1123">
        <v>0</v>
      </c>
      <c r="AE1123">
        <v>0.87067915352686431</v>
      </c>
      <c r="AF1123">
        <v>2.3722668929830316E-2</v>
      </c>
      <c r="AG1123">
        <v>0</v>
      </c>
      <c r="AH1123">
        <v>0</v>
      </c>
      <c r="AI1123">
        <v>0</v>
      </c>
      <c r="AJ1123">
        <v>0</v>
      </c>
    </row>
    <row r="1124" spans="1:36" hidden="1" x14ac:dyDescent="0.25">
      <c r="A1124" t="s">
        <v>128</v>
      </c>
      <c r="B1124" t="s">
        <v>421</v>
      </c>
      <c r="C1124" s="14" t="s">
        <v>117</v>
      </c>
      <c r="D1124" s="12">
        <v>46250</v>
      </c>
      <c r="E1124" s="14"/>
      <c r="F1124" s="14"/>
      <c r="G1124">
        <v>31.01679597801828</v>
      </c>
      <c r="H1124">
        <v>66.500000000000014</v>
      </c>
      <c r="J1124">
        <v>66.500000000000014</v>
      </c>
      <c r="M1124">
        <v>18.497224902404398</v>
      </c>
      <c r="Q1124">
        <v>0</v>
      </c>
      <c r="R1124">
        <v>0</v>
      </c>
      <c r="S1124">
        <v>1.1243660435455392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0.10975275104033265</v>
      </c>
      <c r="Z1124">
        <v>6.0688181413402625E-3</v>
      </c>
      <c r="AA1124">
        <v>0.16046338687171696</v>
      </c>
      <c r="AB1124">
        <v>0</v>
      </c>
      <c r="AC1124">
        <v>0.20465987684708753</v>
      </c>
      <c r="AD1124">
        <v>0</v>
      </c>
      <c r="AE1124">
        <v>0.58270672133409873</v>
      </c>
      <c r="AF1124">
        <v>4.6101196805756431E-2</v>
      </c>
      <c r="AG1124">
        <v>0</v>
      </c>
      <c r="AH1124">
        <v>0</v>
      </c>
      <c r="AI1124">
        <v>0</v>
      </c>
      <c r="AJ1124">
        <v>0</v>
      </c>
    </row>
    <row r="1125" spans="1:36" hidden="1" x14ac:dyDescent="0.25">
      <c r="A1125" t="s">
        <v>128</v>
      </c>
      <c r="B1125" t="s">
        <v>422</v>
      </c>
      <c r="C1125" s="14" t="s">
        <v>117</v>
      </c>
      <c r="D1125" s="12">
        <v>46250</v>
      </c>
      <c r="E1125" s="14"/>
      <c r="F1125" s="14"/>
      <c r="G1125">
        <v>40.046084309064085</v>
      </c>
      <c r="H1125">
        <v>55.099999999999994</v>
      </c>
      <c r="J1125">
        <v>55.099999999999994</v>
      </c>
      <c r="M1125">
        <v>23.625893886966548</v>
      </c>
      <c r="Q1125">
        <v>0</v>
      </c>
      <c r="R1125">
        <v>0</v>
      </c>
      <c r="S1125">
        <v>0.55998939752230281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9.5760120708900387E-2</v>
      </c>
      <c r="Z1125">
        <v>3.4886277837985806E-2</v>
      </c>
      <c r="AA1125">
        <v>0.29239378032271962</v>
      </c>
      <c r="AB1125">
        <v>0</v>
      </c>
      <c r="AC1125">
        <v>9.3915909850808485E-2</v>
      </c>
      <c r="AD1125">
        <v>0</v>
      </c>
      <c r="AE1125">
        <v>0.55508136305865563</v>
      </c>
      <c r="AF1125">
        <v>2.3722668929830316E-2</v>
      </c>
      <c r="AG1125">
        <v>0</v>
      </c>
      <c r="AH1125">
        <v>0</v>
      </c>
      <c r="AI1125">
        <v>0</v>
      </c>
      <c r="AJ112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5AE2428-9785-4577-8B6E-315F42DC8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0DA8C-6012-47E1-B59D-5757DA4D5C55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6ef9c2c-1ad1-4c09-9d1c-8c71a768c11f"/>
    <ds:schemaRef ds:uri="f574b478-68e4-495d-9b17-0f93d51a8ef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430B266-53C0-41AB-B031-A9D00437F96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DFC47C-1447-4337-BA3D-135A6AAD4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Unit1Path</vt:lpstr>
      <vt:lpstr>FILEPATH</vt:lpstr>
      <vt:lpstr>DateAlignment!!</vt:lpstr>
      <vt:lpstr>Masterlist</vt:lpstr>
      <vt:lpstr>IMPORT Table_Masterlist</vt:lpstr>
      <vt:lpstr>InefficienciesAGL2Day32</vt:lpstr>
      <vt:lpstr>IMPORT InefficienciesAGL2Day321</vt:lpstr>
      <vt:lpstr>FILEPATH!Client</vt:lpstr>
      <vt:lpstr>Unit1Path!Client</vt:lpstr>
      <vt:lpstr>FILEPATH!Location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2023-01-07T08:03:22Z</dcterms:created>
  <dcterms:modified xsi:type="dcterms:W3CDTF">2026-10-01T23:41:07Z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