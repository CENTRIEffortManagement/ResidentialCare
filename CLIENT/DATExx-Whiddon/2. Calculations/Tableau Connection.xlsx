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entri001.sharepoint.com/sites/4.Production/Shared Documents/WFEffectiveness/4.1.1 AGED CARE/01 Christadelphian Aged Care/240715/2. Calculations/"/>
    </mc:Choice>
  </mc:AlternateContent>
  <xr:revisionPtr revIDLastSave="528" documentId="14_{EBF229AC-7771-4B14-AC78-8EC2BA7F80D2}" xr6:coauthVersionLast="47" xr6:coauthVersionMax="47" xr10:uidLastSave="{80BE2BDA-6801-4718-998A-FE01D3534BE3}"/>
  <bookViews>
    <workbookView xWindow="-120" yWindow="-120" windowWidth="38640" windowHeight="21120" activeTab="2" xr2:uid="{16B7FE64-7578-4206-945C-2BD2DFE73CF2}"/>
  </bookViews>
  <sheets>
    <sheet name="FILEPATH" sheetId="7" r:id="rId1"/>
    <sheet name="DateAlignment!!" sheetId="8" r:id="rId2"/>
    <sheet name="InefficienciesAGL2Day32" sheetId="3" r:id="rId3"/>
    <sheet name="IMPORT InefficienciesAGL2Day321" sheetId="9" r:id="rId4"/>
  </sheets>
  <externalReferences>
    <externalReference r:id="rId5"/>
    <externalReference r:id="rId6"/>
  </externalReferences>
  <definedNames>
    <definedName name="ABCap" localSheetId="0">#REF!</definedName>
    <definedName name="ABCap">[1]Factors!$B$6</definedName>
    <definedName name="ABGoal" localSheetId="0">#REF!</definedName>
    <definedName name="ABGoal">[1]Factors!$B$10</definedName>
    <definedName name="Client" localSheetId="0">FILEPATH!$B$14</definedName>
    <definedName name="Client">#REF!</definedName>
    <definedName name="Contractor_Margin" localSheetId="0">#REF!</definedName>
    <definedName name="Contractor_Margin">[1]Factors!$B$35</definedName>
    <definedName name="Date" localSheetId="0">#REF!</definedName>
    <definedName name="Date">#REF!</definedName>
    <definedName name="Directory" localSheetId="0">#REF!</definedName>
    <definedName name="Directory">#REF!</definedName>
    <definedName name="EFCap" localSheetId="0">#REF!</definedName>
    <definedName name="EFCap">[1]Factors!$B$7</definedName>
    <definedName name="EFGoal" localSheetId="0">#REF!</definedName>
    <definedName name="EFGoal">[1]Factors!$B$11</definedName>
    <definedName name="ExternalData_1" localSheetId="1" hidden="1">'DateAlignment!!'!$A$1:$A$2</definedName>
    <definedName name="ExternalData_2" localSheetId="3" hidden="1">'IMPORT InefficienciesAGL2Day321'!$A$1:$CE$382</definedName>
    <definedName name="ExternalData_2" localSheetId="2" hidden="1">InefficienciesAGL2Day32!$A$1:$CG$382</definedName>
    <definedName name="FTE">#REF!</definedName>
    <definedName name="HRS">#REF!</definedName>
    <definedName name="INCap" localSheetId="0">#REF!</definedName>
    <definedName name="INCap">[1]Factors!$B$8</definedName>
    <definedName name="INGoal" localSheetId="0">#REF!</definedName>
    <definedName name="INGoal">[1]Factors!$B$12</definedName>
    <definedName name="LabourCost" localSheetId="0">#REF!</definedName>
    <definedName name="LabourCost">[1]Factors!$B$21</definedName>
    <definedName name="LabourStretchCost" localSheetId="0">#REF!</definedName>
    <definedName name="LabourStretchCost">[1]Factors!$B$22</definedName>
    <definedName name="Location" localSheetId="0">FILEPATH!$B$18</definedName>
    <definedName name="Location">#REF!</definedName>
    <definedName name="MAIT_date_adjusted_for_example">#REF!</definedName>
    <definedName name="Max_HRS">#REF!</definedName>
    <definedName name="Overtime" localSheetId="0">#REF!</definedName>
    <definedName name="Overtime">[1]Factors!$B$4</definedName>
    <definedName name="Revenue_per_labour_factor" localSheetId="0">#REF!</definedName>
    <definedName name="Revenue_per_labour_factor">[1]Factors!$B$19</definedName>
    <definedName name="RevenueRate" localSheetId="0">#REF!</definedName>
    <definedName name="RevenueRate">[1]Factors!$B$23</definedName>
    <definedName name="RevPerWorker" localSheetId="0">#REF!</definedName>
    <definedName name="RevPerWorker">[1]Factors!$E$23</definedName>
    <definedName name="ROLE_TITLE" localSheetId="0">#REF!</definedName>
    <definedName name="ROLE_TITLE">#REF!</definedName>
    <definedName name="Type" localSheetId="0">#REF!</definedName>
    <definedName name="Typ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7" l="1"/>
  <c r="B18" i="7" s="1"/>
  <c r="B26" i="7" s="1"/>
  <c r="B40" i="7"/>
  <c r="C19" i="7"/>
  <c r="B9" i="7" a="1"/>
  <c r="B9" i="7" s="1"/>
  <c r="C18" i="7" l="1"/>
  <c r="B15" i="7" a="1"/>
  <c r="B15" i="7" s="1"/>
  <c r="C15" i="7" s="1"/>
  <c r="C20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2E4F41-0ECA-4834-A623-288FF75C5B6A}" keepAlive="1" name="Query - DateAlignment" description="Connection to the 'DateAlignment' query in the workbook." type="5" refreshedVersion="8" background="1" saveData="1">
    <dbPr connection="Provider=Microsoft.Mashup.OleDb.1;Data Source=$Workbook$;Location=DateAlignment;Extended Properties=&quot;&quot;" command="SELECT * FROM [DateAlignment]"/>
  </connection>
  <connection id="2" xr16:uid="{CFE265C2-2C0C-4570-A44D-0BF226DB4377}" keepAlive="1" name="Query - IMPORT InefficienciesAGL2Day3210" description="Connection to the 'IMPORT InefficienciesAGL2Day3210' query in the workbook." type="5" refreshedVersion="8" background="1" saveData="1">
    <dbPr connection="Provider=Microsoft.Mashup.OleDb.1;Data Source=$Workbook$;Location=&quot;IMPORT InefficienciesAGL2Day3210&quot;;Extended Properties=&quot;&quot;" command="SELECT * FROM [IMPORT InefficienciesAGL2Day3210]"/>
  </connection>
  <connection id="3" xr16:uid="{4A7BF6AE-12DB-4FF8-8902-CC2088078247}" keepAlive="1" name="Query - InefficienciesAGL2Day3210" description="Connection to the 'InefficienciesAGL2Day3210' query in the workbook." type="5" refreshedVersion="8" background="1" saveData="1">
    <dbPr connection="Provider=Microsoft.Mashup.OleDb.1;Data Source=$Workbook$;Location=InefficienciesAGL2Day3210;Extended Properties=&quot;&quot;" command="SELECT * FROM [InefficienciesAGL2Day3210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<sst xmlns="http://schemas.openxmlformats.org/spreadsheetml/2006/main" count="4791" uniqueCount="182">
  <si>
    <t>Level</t>
  </si>
  <si>
    <t>Date</t>
  </si>
  <si>
    <t>D</t>
  </si>
  <si>
    <t>Cs</t>
  </si>
  <si>
    <t>CX</t>
  </si>
  <si>
    <t>A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</si>
  <si>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</si>
  <si>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</si>
  <si>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</si>
  <si>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</si>
  <si>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</si>
  <si>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</si>
  <si>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</si>
  <si>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</si>
  <si>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</si>
  <si>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</si>
  <si>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</si>
  <si>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</si>
  <si>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</si>
  <si>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</si>
  <si>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</si>
  <si>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</si>
  <si>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</si>
  <si>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</si>
  <si>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</si>
  <si>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AB Potential</t>
  </si>
  <si>
    <t>Epn</t>
  </si>
  <si>
    <t>EpX</t>
  </si>
  <si>
    <t>Ein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</si>
  <si>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</si>
  <si>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</si>
  <si>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</si>
  <si>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</si>
  <si>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</si>
  <si>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</si>
  <si>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</si>
  <si>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</si>
  <si>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</si>
  <si>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</si>
  <si>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</si>
  <si>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</si>
  <si>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</si>
  <si>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</si>
  <si>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</si>
  <si>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</si>
  <si>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</si>
  <si>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</si>
  <si>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</si>
  <si>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</si>
  <si>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Ipn</t>
  </si>
  <si>
    <t>Ipx</t>
  </si>
  <si>
    <t>Iin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</si>
  <si>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</si>
  <si>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</si>
  <si>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</si>
  <si>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</si>
  <si>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</si>
  <si>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</si>
  <si>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</si>
  <si>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</si>
  <si>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</si>
  <si>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</si>
  <si>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</si>
  <si>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</si>
  <si>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</si>
  <si>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</si>
  <si>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</si>
  <si>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</si>
  <si>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</si>
  <si>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</si>
  <si>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</si>
  <si>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</si>
  <si>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3-Pool</t>
  </si>
  <si>
    <t>AM</t>
  </si>
  <si>
    <t>NIGHT</t>
  </si>
  <si>
    <t>PM</t>
  </si>
  <si>
    <t>Ability PoN AG</t>
  </si>
  <si>
    <t>Ability PoX AG</t>
  </si>
  <si>
    <t>Ability Pl AG</t>
  </si>
  <si>
    <t>Role</t>
  </si>
  <si>
    <t>Role ID</t>
  </si>
  <si>
    <t>WL EXCESS OVER-ALLOCATION</t>
  </si>
  <si>
    <t>WL SPARE STRETCH</t>
  </si>
  <si>
    <t>WL SPARE SLACK</t>
  </si>
  <si>
    <t>WL SPARE STRETCH ALLOCATED</t>
  </si>
  <si>
    <t>WL SPARE SLACK ALLOCATED</t>
  </si>
  <si>
    <t>WL EXCESS STRETCH (ALLOCATED)</t>
  </si>
  <si>
    <t>WL EXCESS ALLOCATED SLACK</t>
  </si>
  <si>
    <t>WL EXCESS STRETCH</t>
  </si>
  <si>
    <t>WL EXCESS SLACK</t>
  </si>
  <si>
    <t>WL POTENTIAL SHORTFALL (OVER-ALLOCATED)</t>
  </si>
  <si>
    <t>WL POTENTIAL SHORTFALL</t>
  </si>
  <si>
    <t>WL WASTED STRETCH</t>
  </si>
  <si>
    <t>WL WASTED SLACK</t>
  </si>
  <si>
    <t>WL ALLOCATED STRETCH</t>
  </si>
  <si>
    <t>WL ALLOCATED SLACK</t>
  </si>
  <si>
    <t>WL UNALLOCATED SLACK</t>
  </si>
  <si>
    <t>WL LATENT.ALLOCATED</t>
  </si>
  <si>
    <t>WL LATENT.OVERALLOCATED</t>
  </si>
  <si>
    <t>WL Potential</t>
  </si>
  <si>
    <t>Role Abvrev</t>
  </si>
  <si>
    <t>Shift</t>
  </si>
  <si>
    <t>WL  LATENT</t>
  </si>
  <si>
    <t>Efficiency PoN  AG</t>
  </si>
  <si>
    <t>Efficiency PoX  AG</t>
  </si>
  <si>
    <t>Efficiency Pl AG</t>
  </si>
  <si>
    <t>Workload PoN  AG</t>
  </si>
  <si>
    <t>Workload PoX AG</t>
  </si>
  <si>
    <t>Workload Pl AG</t>
  </si>
  <si>
    <t>2-Pond</t>
  </si>
  <si>
    <t>1-Lake</t>
  </si>
  <si>
    <t>Folder</t>
  </si>
  <si>
    <t>CapacityMaxHC</t>
  </si>
  <si>
    <t>DATESHIFT</t>
  </si>
  <si>
    <t>Facility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</si>
  <si>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</si>
  <si>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</si>
  <si>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</si>
  <si>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</si>
  <si>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</si>
  <si>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</si>
  <si>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</si>
  <si>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</si>
  <si>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From Computerpath</t>
  </si>
  <si>
    <t>CommonSharedPath</t>
  </si>
  <si>
    <t>Manual Entry</t>
  </si>
  <si>
    <t>Calcualted</t>
  </si>
  <si>
    <t>Version</t>
  </si>
  <si>
    <t>X</t>
  </si>
  <si>
    <t>ShiftDurations.ShiftDuration</t>
  </si>
  <si>
    <t>DateAlignment</t>
  </si>
  <si>
    <t>Apn</t>
  </si>
  <si>
    <t>Apx</t>
  </si>
  <si>
    <t>Ai</t>
  </si>
  <si>
    <t>ASHB</t>
  </si>
  <si>
    <t>AIN</t>
  </si>
  <si>
    <t>7/10/2024AM</t>
  </si>
  <si>
    <t>7/10/2024NIGHT</t>
  </si>
  <si>
    <t>7/10/2024PM</t>
  </si>
  <si>
    <t>8/10/2024AM</t>
  </si>
  <si>
    <t>8/10/2024NIGHT</t>
  </si>
  <si>
    <t>8/10/2024PM</t>
  </si>
  <si>
    <t>9/10/2024AM</t>
  </si>
  <si>
    <t>9/10/2024NIGHT</t>
  </si>
  <si>
    <t>9/10/2024PM</t>
  </si>
  <si>
    <t>10/10/2024AM</t>
  </si>
  <si>
    <t>10/10/2024NIGHT</t>
  </si>
  <si>
    <t>10/10/2024PM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</si>
  <si>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</si>
  <si>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</si>
  <si>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</si>
  <si>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</si>
  <si>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</si>
  <si>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</si>
  <si>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</si>
  <si>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</si>
  <si>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</si>
  <si>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</si>
  <si>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14/10/2024NIGHT</t>
  </si>
  <si>
    <t>14/10/2024PM</t>
  </si>
  <si>
    <t>15/10/2024AM</t>
  </si>
  <si>
    <t>15/10/2024NIGHT</t>
  </si>
  <si>
    <t>15/10/2024PM</t>
  </si>
  <si>
    <t>16/10/2024AM</t>
  </si>
  <si>
    <t>16/10/2024NIGHT</t>
  </si>
  <si>
    <t>16/10/2024PM</t>
  </si>
  <si>
    <t>17/10/2024AM</t>
  </si>
  <si>
    <t>17/10/2024NIGHT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</si>
  <si>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</si>
  <si>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</si>
  <si>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</si>
  <si>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</si>
  <si>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</si>
  <si>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</si>
  <si>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</si>
  <si>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</si>
  <si>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</si>
  <si>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</si>
  <si>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RN</t>
  </si>
  <si>
    <t>AINC4</t>
  </si>
  <si>
    <t>DateX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</si>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</sst>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2" xfId="1" applyBorder="1" applyAlignment="1">
      <alignment horizontal="right" vertical="top"/>
    </xf>
    <xf numFmtId="0" fontId="1" fillId="2" borderId="0" xfId="1" applyFill="1" applyAlignment="1">
      <alignment horizontal="left" vertical="top"/>
    </xf>
    <xf numFmtId="164" fontId="0" fillId="3" borderId="1" xfId="0" applyNumberFormat="1" applyFill="1" applyBorder="1"/>
    <xf numFmtId="164" fontId="0" fillId="3" borderId="3" xfId="0" applyNumberFormat="1" applyFill="1" applyBorder="1"/>
    <xf numFmtId="164" fontId="0" fillId="0" borderId="0" xfId="0" applyNumberFormat="1"/>
  </cellXfs>
  <cellStyles count="2">
    <cellStyle name="Normal" xfId="0" builtinId="0"/>
    <cellStyle name="Normal 2" xfId="1" xr:uid="{83C5B7E5-09E6-4BFC-9C44-EB85DD0E2394}"/>
  </cellStyles>
  <dxfs count="14">
    <dxf>
      <numFmt numFmtId="164" formatCode="m/d/yyyy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9" tint="0.39997558519241921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sites/2.0Accounts/Shared%20Documents/IndoChinese%20Aged%20Care/4.%20Analysis/221223/2.%20Calculations/P6%20AEM-Inefficiency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NSITY"/>
      <sheetName val="Months Days"/>
      <sheetName val="Input"/>
      <sheetName val="Factors"/>
      <sheetName val="Role Consol"/>
      <sheetName val="Names"/>
      <sheetName val="Transpose"/>
      <sheetName val="Demand"/>
      <sheetName val="NamesXPeriod"/>
      <sheetName val="NamesByDate+Leave"/>
      <sheetName val="Capacity"/>
      <sheetName val="Allocation"/>
      <sheetName val="Effort+Outcomes"/>
      <sheetName val="Pivot Check"/>
      <sheetName val="1Pool-AB-Op"/>
      <sheetName val="1Pool-EF-Op"/>
      <sheetName val="1Pool-IN-Op"/>
      <sheetName val="2Pond-Unit-AB"/>
      <sheetName val="2Pond-Unit-EF"/>
      <sheetName val="2Pond-Unit-IN"/>
      <sheetName val="2Pond-Role-AB"/>
      <sheetName val="2Pond-Role-EF"/>
      <sheetName val="2Pond-Role-IN"/>
      <sheetName val="3LakeAB"/>
      <sheetName val="3LakeEF"/>
      <sheetName val="3LakeIN"/>
      <sheetName val="SDTX PoolREG.ROLE"/>
      <sheetName val="SD PondROLE+IMP"/>
      <sheetName val="SD PondROLEBase"/>
      <sheetName val="SD PondROLES1"/>
      <sheetName val="IMP PondROLE"/>
      <sheetName val="WGT PondROLESBaseLake"/>
      <sheetName val="WGT PondROLES1Lake"/>
      <sheetName val="SD LakeBase"/>
      <sheetName val="SD LakeS1"/>
      <sheetName val="IMP Lake"/>
      <sheetName val="INTERVENTIONS"/>
      <sheetName val="Value"/>
      <sheetName val="$PoolMPACT"/>
      <sheetName val="$PoolIMPACTTranspose"/>
      <sheetName val="Sheet1"/>
      <sheetName val="Check"/>
    </sheetNames>
    <sheetDataSet>
      <sheetData sheetId="0" refreshError="1"/>
      <sheetData sheetId="1" refreshError="1"/>
      <sheetData sheetId="2" refreshError="1"/>
      <sheetData sheetId="3" refreshError="1">
        <row r="4">
          <cell r="B4">
            <v>1.25</v>
          </cell>
        </row>
        <row r="6">
          <cell r="B6">
            <v>1.25</v>
          </cell>
        </row>
        <row r="7">
          <cell r="B7">
            <v>1.5</v>
          </cell>
        </row>
        <row r="8">
          <cell r="B8">
            <v>1.5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9">
          <cell r="B19">
            <v>2.5</v>
          </cell>
        </row>
        <row r="21">
          <cell r="B21">
            <v>12500</v>
          </cell>
        </row>
        <row r="22">
          <cell r="B22">
            <v>18750</v>
          </cell>
        </row>
        <row r="23">
          <cell r="B23">
            <v>31250</v>
          </cell>
          <cell r="E23">
            <v>3000000</v>
          </cell>
        </row>
        <row r="35">
          <cell r="B35">
            <v>0.02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sheetDataSet>
      <sheetData sheetId="0">
        <row r="20">
          <cell r="B20" t="str">
            <v>C:\Users\Alex\Centri\4. Production - Documents\WFEffectiveness\4.1.1 AGED CARE\01 Christadelphian Aged Care\240715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9300F8-297B-4BCB-B6B3-844C385F2B6C}" autoFormatId="16" applyNumberFormats="0" applyBorderFormats="0" applyFontFormats="0" applyPatternFormats="0" applyAlignmentFormats="0" applyWidthHeightFormats="0">
  <queryTableRefresh nextId="2">
    <queryTableFields count="1">
      <queryTableField id="1" name="DateAlignment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45BC247A-79FC-4DB0-82F9-112F895E3E20}" autoFormatId="16" applyNumberFormats="0" applyBorderFormats="0" applyFontFormats="0" applyPatternFormats="0" applyAlignmentFormats="0" applyWidthHeightFormats="0">
  <queryTableRefresh nextId="109">
    <queryTableFields count="85">
      <queryTableField id="96" name="Version" tableColumnId="83"/>
      <queryTableField id="91" name="Facility" tableColumnId="78"/>
      <queryTableField id="1" name="Level" tableColumnId="1"/>
      <queryTableField id="2" name="Date" tableColumnId="2"/>
      <queryTableField id="3" name="Role" tableColumnId="3"/>
      <queryTableField id="4" name="Role ID" tableColumnId="4"/>
      <queryTableField id="5" name="Role Abvrev" tableColumnId="5"/>
      <queryTableField id="6" name="Shift" tableColumnId="6"/>
      <queryTableField id="86" name="CapacityMaxHC" tableColumnId="79"/>
      <queryTableField id="98" name="ShiftDurations.ShiftDuration" tableColumnId="84"/>
      <queryTableField id="7" name="D" tableColumnId="7"/>
      <queryTableField id="107" name="DateX" tableColumnId="85"/>
      <queryTableField id="89" name="DATESHIFT" tableColumnId="82"/>
      <queryTableField id="8" name="Cs" tableColumnId="8"/>
      <queryTableField id="9" name="CX" tableColumnId="9"/>
      <queryTableField id="10" name="A" tableColumnId="10"/>
      <queryTableField id="11" name="Ability PoN AG" tableColumnId="11"/>
      <queryTableField id="12" name="Ability PoX AG" tableColumnId="12"/>
      <queryTableField id="13" name="Ability Pl AG" tableColumnId="13"/>
      <queryTableField id="14" name="AB EXCESS OVER-ALLOCATION" tableColumnId="14"/>
      <queryTableField id="15" name="AB SPARE STRETCH" tableColumnId="15"/>
      <queryTableField id="16" name="AB SPARE SLACK" tableColumnId="16"/>
      <queryTableField id="17" name="AB SPARE STRETCH ALLOCATED" tableColumnId="17"/>
      <queryTableField id="18" name="AB SPARE SLACK ALLOCATED" tableColumnId="18"/>
      <queryTableField id="19" name="AB EXCESS STRETCH (ALLOCATED)" tableColumnId="19"/>
      <queryTableField id="20" name="AB EXCESS ALLOCATED SLACK" tableColumnId="20"/>
      <queryTableField id="21" name="AB EXCESS STRETCH" tableColumnId="21"/>
      <queryTableField id="22" name="AB EXCESS SLACK" tableColumnId="22"/>
      <queryTableField id="23" name="AB POTENTIAL SHORTFALL (OVER-ALLOCATED)" tableColumnId="23"/>
      <queryTableField id="24" name="AB POTENTIAL SHORTFALL" tableColumnId="24"/>
      <queryTableField id="25" name="AB WASTED STRETCH" tableColumnId="25"/>
      <queryTableField id="26" name="AB WASTED SLACK" tableColumnId="26"/>
      <queryTableField id="27" name="AB ALLOCATED STRETCH" tableColumnId="27"/>
      <queryTableField id="28" name="AB ALLOCATED SLACK" tableColumnId="28"/>
      <queryTableField id="29" name="AB UNALLOCATED SLACK" tableColumnId="29"/>
      <queryTableField id="30" name="AB LATENT" tableColumnId="30"/>
      <queryTableField id="31" name="AB LATENT.ALLOCATED" tableColumnId="31"/>
      <queryTableField id="32" name="AB  LATENT.OVERALLOCATED" tableColumnId="32"/>
      <queryTableField id="33" name="AB Potential" tableColumnId="33"/>
      <queryTableField id="34" name="Efficiency PoN  AG" tableColumnId="34"/>
      <queryTableField id="35" name="Efficiency PoX  AG" tableColumnId="35"/>
      <queryTableField id="36" name="Efficiency Pl AG" tableColumnId="36"/>
      <queryTableField id="37" name="EF EXCESS OVER-ALLOCATION" tableColumnId="37"/>
      <queryTableField id="38" name="EF SPARE STRETCH" tableColumnId="38"/>
      <queryTableField id="39" name="EF SPARE SLACK" tableColumnId="39"/>
      <queryTableField id="40" name="EF SPARE STRETCH ALLOCATED" tableColumnId="40"/>
      <queryTableField id="41" name="EF SPARE SLACK ALLOCATED" tableColumnId="41"/>
      <queryTableField id="42" name="EF EXCESS STRETCH (ALLOCATED)" tableColumnId="42"/>
      <queryTableField id="43" name="EF EXCESS ALLOCATED SLACK" tableColumnId="43"/>
      <queryTableField id="44" name="EF EXCESS STRETCH" tableColumnId="44"/>
      <queryTableField id="45" name="EF EXCESS SLACK" tableColumnId="45"/>
      <queryTableField id="46" name="EF POTENTIAL SHORTFALL (OVER-ALLOCATED)" tableColumnId="46"/>
      <queryTableField id="47" name="EF POTENTIAL SHORTFALL" tableColumnId="47"/>
      <queryTableField id="48" name="EF WASTED STRETCH" tableColumnId="48"/>
      <queryTableField id="49" name="EF WASTED SLACK" tableColumnId="49"/>
      <queryTableField id="50" name="EF ALLOCATED STRETCH" tableColumnId="50"/>
      <queryTableField id="51" name="EF ALLOCATED SLACK" tableColumnId="51"/>
      <queryTableField id="52" name="EF UNALLOCATED SLACK" tableColumnId="52"/>
      <queryTableField id="53" name="EF LATENT" tableColumnId="53"/>
      <queryTableField id="54" name="EF LATENT.ALLOCATED" tableColumnId="54"/>
      <queryTableField id="55" name="EF LATENT.OVERALLOCATED" tableColumnId="55"/>
      <queryTableField id="56" name="EF Potential" tableColumnId="56"/>
      <queryTableField id="57" name="Workload PoN  AG" tableColumnId="57"/>
      <queryTableField id="58" name="Workload PoX AG" tableColumnId="58"/>
      <queryTableField id="59" name="Workload Pl AG" tableColumnId="59"/>
      <queryTableField id="60" name="WL EXCESS OVER-ALLOCATION" tableColumnId="60"/>
      <queryTableField id="61" name="WL SPARE STRETCH" tableColumnId="61"/>
      <queryTableField id="62" name="WL SPARE SLACK" tableColumnId="62"/>
      <queryTableField id="63" name="WL SPARE STRETCH ALLOCATED" tableColumnId="63"/>
      <queryTableField id="64" name="WL SPARE SLACK ALLOCATED" tableColumnId="64"/>
      <queryTableField id="65" name="WL EXCESS STRETCH (ALLOCATED)" tableColumnId="65"/>
      <queryTableField id="66" name="WL EXCESS ALLOCATED SLACK" tableColumnId="66"/>
      <queryTableField id="67" name="WL EXCESS STRETCH" tableColumnId="67"/>
      <queryTableField id="68" name="WL EXCESS SLACK" tableColumnId="68"/>
      <queryTableField id="69" name="WL POTENTIAL SHORTFALL (OVER-ALLOCATED)" tableColumnId="69"/>
      <queryTableField id="70" name="WL POTENTIAL SHORTFALL" tableColumnId="70"/>
      <queryTableField id="71" name="WL WASTED STRETCH" tableColumnId="71"/>
      <queryTableField id="72" name="WL WASTED SLACK" tableColumnId="72"/>
      <queryTableField id="73" name="WL ALLOCATED STRETCH" tableColumnId="73"/>
      <queryTableField id="74" name="WL ALLOCATED SLACK" tableColumnId="74"/>
      <queryTableField id="75" name="WL UNALLOCATED SLACK" tableColumnId="75"/>
      <queryTableField id="76" name="WL  LATENT" tableColumnId="76"/>
      <queryTableField id="77" name="WL LATENT.ALLOCATED" tableColumnId="77"/>
      <queryTableField id="80" name="WL LATENT.OVERALLOCATED" tableColumnId="80"/>
      <queryTableField id="81" name="WL Potential" tableColumnId="8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83C29C30-634A-4548-88F6-4438B4AD8EAF}" autoFormatId="16" applyNumberFormats="0" applyBorderFormats="0" applyFontFormats="0" applyPatternFormats="0" applyAlignmentFormats="0" applyWidthHeightFormats="0">
  <queryTableRefresh nextId="89">
    <queryTableFields count="83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Role" tableColumnId="5"/>
      <queryTableField id="6" name="Shift" tableColumnId="6"/>
      <queryTableField id="7" name="D" tableColumnId="7"/>
      <queryTableField id="8" name="Cs" tableColumnId="8"/>
      <queryTableField id="9" name="CapacityMaxHC" tableColumnId="9"/>
      <queryTableField id="11" name="ShiftDurations.ShiftDuration" tableColumnId="11"/>
      <queryTableField id="10" name="CX" tableColumnId="10"/>
      <queryTableField id="87" name="DateX" tableColumnId="83"/>
      <queryTableField id="12" name="DATESHIFT" tableColumnId="12"/>
      <queryTableField id="13" name="A" tableColumnId="13"/>
      <queryTableField id="14" name="Apn" tableColumnId="14"/>
      <queryTableField id="15" name="Apx" tableColumnId="15"/>
      <queryTableField id="16" name="Ai" tableColumnId="16"/>
      <queryTableField id="17" name="AB EXCESS OVER-ALLOCATION" tableColumnId="17"/>
      <queryTableField id="18" name="AB SPARE STRETCH" tableColumnId="18"/>
      <queryTableField id="19" name="AB SPARE SLACK" tableColumnId="19"/>
      <queryTableField id="20" name="AB SPARE STRETCH ALLOCATED" tableColumnId="20"/>
      <queryTableField id="21" name="AB SPARE SLACK ALLOCATED" tableColumnId="21"/>
      <queryTableField id="22" name="AB EXCESS STRETCH (ALLOCATED)" tableColumnId="22"/>
      <queryTableField id="23" name="AB EXCESS ALLOCATED SLACK" tableColumnId="23"/>
      <queryTableField id="24" name="AB EXCESS STRETCH" tableColumnId="24"/>
      <queryTableField id="25" name="AB EXCESS SLACK" tableColumnId="25"/>
      <queryTableField id="26" name="AB POTENTIAL SHORTFALL (OVER-ALLOCATED)" tableColumnId="26"/>
      <queryTableField id="27" name="AB POTENTIAL SHORTFALL" tableColumnId="27"/>
      <queryTableField id="28" name="AB WASTED STRETCH" tableColumnId="28"/>
      <queryTableField id="29" name="AB WASTED SLACK" tableColumnId="29"/>
      <queryTableField id="30" name="AB ALLOCATED STRETCH" tableColumnId="30"/>
      <queryTableField id="31" name="AB ALLOCATED SLACK" tableColumnId="31"/>
      <queryTableField id="32" name="AB UNALLOCATED SLACK" tableColumnId="32"/>
      <queryTableField id="33" name="AB LATENT" tableColumnId="33"/>
      <queryTableField id="34" name="AB LATENT.ALLOCATED" tableColumnId="34"/>
      <queryTableField id="35" name="AB  LATENT.OVERALLOCATED" tableColumnId="35"/>
      <queryTableField id="36" name="AB Potential" tableColumnId="36"/>
      <queryTableField id="37" name="Epn" tableColumnId="37"/>
      <queryTableField id="38" name="EpX" tableColumnId="38"/>
      <queryTableField id="39" name="Ein" tableColumnId="39"/>
      <queryTableField id="40" name="EF EXCESS OVER-ALLOCATION" tableColumnId="40"/>
      <queryTableField id="41" name="EF SPARE STRETCH" tableColumnId="41"/>
      <queryTableField id="42" name="EF SPARE SLACK" tableColumnId="42"/>
      <queryTableField id="43" name="EF SPARE STRETCH ALLOCATED" tableColumnId="43"/>
      <queryTableField id="44" name="EF SPARE SLACK ALLOCATED" tableColumnId="44"/>
      <queryTableField id="45" name="EF EXCESS STRETCH (ALLOCATED)" tableColumnId="45"/>
      <queryTableField id="46" name="EF EXCESS ALLOCATED SLACK" tableColumnId="46"/>
      <queryTableField id="47" name="EF EXCESS STRETCH" tableColumnId="47"/>
      <queryTableField id="48" name="EF EXCESS SLACK" tableColumnId="48"/>
      <queryTableField id="49" name="EF POTENTIAL SHORTFALL (OVER-ALLOCATED)" tableColumnId="49"/>
      <queryTableField id="50" name="EF POTENTIAL SHORTFALL" tableColumnId="50"/>
      <queryTableField id="51" name="EF WASTED STRETCH" tableColumnId="51"/>
      <queryTableField id="52" name="EF WASTED SLACK" tableColumnId="52"/>
      <queryTableField id="53" name="EF ALLOCATED STRETCH" tableColumnId="53"/>
      <queryTableField id="54" name="EF ALLOCATED SLACK" tableColumnId="54"/>
      <queryTableField id="55" name="EF UNALLOCATED SLACK" tableColumnId="55"/>
      <queryTableField id="56" name="EF LATENT" tableColumnId="56"/>
      <queryTableField id="57" name="EF LATENT.ALLOCATED" tableColumnId="57"/>
      <queryTableField id="58" name="EF LATENT.OVERALLOCATED" tableColumnId="58"/>
      <queryTableField id="59" name="EF Potential" tableColumnId="59"/>
      <queryTableField id="60" name="Ipn" tableColumnId="60"/>
      <queryTableField id="61" name="Ipx" tableColumnId="61"/>
      <queryTableField id="62" name="Iin" tableColumnId="62"/>
      <queryTableField id="63" name="IN EXCESS OVER-ALLOCATION" tableColumnId="63"/>
      <queryTableField id="64" name="IN SPARE STRETCH" tableColumnId="64"/>
      <queryTableField id="65" name="IN SPARE SLACK" tableColumnId="65"/>
      <queryTableField id="66" name="IN SPARE STRETCH ALLOCATED" tableColumnId="66"/>
      <queryTableField id="67" name="IN SPARE SLACK ALLOCATED" tableColumnId="67"/>
      <queryTableField id="68" name="IN EXCESS STRETCH (ALLOCATED)" tableColumnId="68"/>
      <queryTableField id="69" name="IN EXCESS ALLOCATED SLACK" tableColumnId="69"/>
      <queryTableField id="70" name="IN EXCESS STRETCH" tableColumnId="70"/>
      <queryTableField id="71" name="IN EXCESS SLACK" tableColumnId="71"/>
      <queryTableField id="72" name="IN POTENTIAL SHORTFALL (OVER-ALLOCATED)" tableColumnId="72"/>
      <queryTableField id="73" name="IN POTENTIAL SHORTFALL" tableColumnId="73"/>
      <queryTableField id="74" name="IN WASTED STRETCH" tableColumnId="74"/>
      <queryTableField id="75" name="IN WASTED SLACK" tableColumnId="75"/>
      <queryTableField id="76" name="IN ALLOCATED STRETCH" tableColumnId="76"/>
      <queryTableField id="77" name="IN ALLOCATED SLACK" tableColumnId="77"/>
      <queryTableField id="78" name="IN UNALLOCATED SLACK" tableColumnId="78"/>
      <queryTableField id="79" name="IN LATENT" tableColumnId="79"/>
      <queryTableField id="80" name="IN LATENT.ALLOCATED" tableColumnId="80"/>
      <queryTableField id="81" name="IN LATENT.OVERALLOCATED" tableColumnId="81"/>
      <queryTableField id="82" name="IN Potential" tableColumnId="8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87FDCB-9122-462D-BCEE-ACAF4D8AC1CA}" name="Folder" displayName="Folder" ref="B25:B26" totalsRowShown="0" dataDxfId="13">
  <autoFilter ref="B25:B26" xr:uid="{336E7093-3530-42C5-AF8A-E29B36BB2C09}"/>
  <tableColumns count="1">
    <tableColumn id="1" xr3:uid="{75F30B5E-891B-42C3-9DC3-539A214C413A}" name="Folder" dataDxfId="12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E1E0D-191E-4395-B952-3E4B78792422}" name="Table1" displayName="Table1" ref="B39:B42" totalsRowShown="0" headerRowDxfId="11" tableBorderDxfId="10" headerRowCellStyle="Normal 2">
  <autoFilter ref="B39:B42" xr:uid="{A44E1E0D-191E-4395-B952-3E4B78792422}"/>
  <tableColumns count="1">
    <tableColumn id="1" xr3:uid="{082B569F-D13D-469E-8CDA-4EA267864220}" name="DateAlign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52E80-328A-40C8-AA3F-1D0E1237DE32}" name="DateAlignment" displayName="DateAlignment" ref="A1:A2" tableType="queryTable" totalsRowShown="0">
  <autoFilter ref="A1:A2" xr:uid="{D0952E80-328A-40C8-AA3F-1D0E1237DE32}"/>
  <tableColumns count="1">
    <tableColumn id="1" xr3:uid="{8846D437-78CF-46B8-A134-2E5E96C35701}" uniqueName="1" name="DateAlignment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0BBA9-3FD7-4B48-A21D-9C1A7A742037}" name="InefficienciesAGL2Day3210" displayName="InefficienciesAGL2Day3210" ref="A1:CG382" tableType="queryTable" totalsRowShown="0">
  <autoFilter ref="A1:CG382" xr:uid="{F920BBA9-3FD7-4B48-A21D-9C1A7A742037}">
    <filterColumn colId="2">
      <filters>
        <filter val="1.1-Pond(Facility)"/>
      </filters>
    </filterColumn>
  </autoFilter>
  <sortState xmlns:xlrd2="http://schemas.microsoft.com/office/spreadsheetml/2017/richdata2" ref="A2:CG382">
    <sortCondition ref="B2:B382"/>
    <sortCondition ref="E2:E382"/>
    <sortCondition ref="D2:D382"/>
    <sortCondition ref="H2:H382"/>
  </sortState>
  <tableColumns count="85">
    <tableColumn id="83" xr3:uid="{54310CFA-1854-4943-8BFA-EEB4C69B2872}" uniqueName="83" name="Version" queryTableFieldId="96"/>
    <tableColumn id="78" xr3:uid="{CB928C26-C9B9-43C8-955C-08BB78648114}" uniqueName="78" name="Facility" queryTableFieldId="91"/>
    <tableColumn id="1" xr3:uid="{049645FA-D809-4AE6-B47A-AEF820BB9073}" uniqueName="1" name="Level" queryTableFieldId="1" dataDxfId="9"/>
    <tableColumn id="2" xr3:uid="{10A68B55-0964-428C-AF8A-B46CE57C592B}" uniqueName="2" name="Date" queryTableFieldId="2" dataDxfId="1"/>
    <tableColumn id="3" xr3:uid="{DA455563-069B-4788-8F36-1A15C6E941EA}" uniqueName="3" name="Role" queryTableFieldId="3" dataDxfId="8"/>
    <tableColumn id="4" xr3:uid="{C7A5102E-30B2-4843-B59C-C935311B8C60}" uniqueName="4" name="Role ID" queryTableFieldId="4" dataDxfId="7"/>
    <tableColumn id="5" xr3:uid="{DD2A1E21-54F0-4DED-9682-2A0BA8705790}" uniqueName="5" name="Role Abvrev" queryTableFieldId="5" dataDxfId="6"/>
    <tableColumn id="6" xr3:uid="{ED67227D-FE65-4A40-B04E-1C6DCC8E65A4}" uniqueName="6" name="Shift" queryTableFieldId="6" dataDxfId="5"/>
    <tableColumn id="79" xr3:uid="{1205560D-6B9C-4DC8-BD46-8C1E20039EFA}" uniqueName="79" name="CapacityMaxHC" queryTableFieldId="86"/>
    <tableColumn id="84" xr3:uid="{8428148A-9F5B-49E6-944F-E3C946E02BB3}" uniqueName="84" name="ShiftDurations.ShiftDuration" queryTableFieldId="98"/>
    <tableColumn id="7" xr3:uid="{D9E3B1D5-F3CE-4DE4-942F-714BCC8332F4}" uniqueName="7" name="D" queryTableFieldId="7"/>
    <tableColumn id="85" xr3:uid="{5D799388-9837-4094-8A5D-886E2EC95801}" uniqueName="85" name="DateX" queryTableFieldId="107"/>
    <tableColumn id="82" xr3:uid="{53F2EB7D-0F67-464C-9287-67D241447E3F}" uniqueName="82" name="DATESHIFT" queryTableFieldId="89"/>
    <tableColumn id="8" xr3:uid="{A306FFDA-6233-4F9C-B034-1D9849B637C0}" uniqueName="8" name="Cs" queryTableFieldId="8"/>
    <tableColumn id="9" xr3:uid="{52224AC6-90D6-4CE0-99C3-D4EF45C1F31E}" uniqueName="9" name="CX" queryTableFieldId="9"/>
    <tableColumn id="10" xr3:uid="{7681CE8D-A36C-414D-B276-8B36AE4C7632}" uniqueName="10" name="A" queryTableFieldId="10"/>
    <tableColumn id="11" xr3:uid="{972D776A-404A-4F13-BF69-5B3461464ACF}" uniqueName="11" name="Ability PoN AG" queryTableFieldId="11"/>
    <tableColumn id="12" xr3:uid="{04325ACF-E594-44C5-AC61-1A09286A177E}" uniqueName="12" name="Ability PoX AG" queryTableFieldId="12"/>
    <tableColumn id="13" xr3:uid="{34F142C4-A439-4F24-9587-648FEA51D9F6}" uniqueName="13" name="Ability Pl AG" queryTableFieldId="13"/>
    <tableColumn id="14" xr3:uid="{78D41C17-8545-4812-9980-BD96DB2F6E10}" uniqueName="14" name="AB EXCESS OVER-ALLOCATION" queryTableFieldId="14"/>
    <tableColumn id="15" xr3:uid="{56E12FA5-E0F7-418A-B960-3A89DD9186CA}" uniqueName="15" name="AB SPARE STRETCH" queryTableFieldId="15"/>
    <tableColumn id="16" xr3:uid="{181DDAFA-982E-4A03-BB1D-405916373C89}" uniqueName="16" name="AB SPARE SLACK" queryTableFieldId="16"/>
    <tableColumn id="17" xr3:uid="{3A3E5FB7-4F59-4FA1-BBF8-4C092816171A}" uniqueName="17" name="AB SPARE STRETCH ALLOCATED" queryTableFieldId="17"/>
    <tableColumn id="18" xr3:uid="{BD2C67A9-A677-45C8-A827-AF5DF1E7AA63}" uniqueName="18" name="AB SPARE SLACK ALLOCATED" queryTableFieldId="18"/>
    <tableColumn id="19" xr3:uid="{CB331616-7909-467A-A3B3-1B67C5EB0D54}" uniqueName="19" name="AB EXCESS STRETCH (ALLOCATED)" queryTableFieldId="19"/>
    <tableColumn id="20" xr3:uid="{5EEAC05D-9301-49F1-9985-112F1A46EFED}" uniqueName="20" name="AB EXCESS ALLOCATED SLACK" queryTableFieldId="20"/>
    <tableColumn id="21" xr3:uid="{A485733F-9DB3-4DBE-B017-8033D770F7FD}" uniqueName="21" name="AB EXCESS STRETCH" queryTableFieldId="21"/>
    <tableColumn id="22" xr3:uid="{DD0FA0BE-97D0-4A60-9E7D-E80BAF0A59BD}" uniqueName="22" name="AB EXCESS SLACK" queryTableFieldId="22"/>
    <tableColumn id="23" xr3:uid="{8695A2E7-FCF7-43AA-942A-5FA3A021458B}" uniqueName="23" name="AB POTENTIAL SHORTFALL (OVER-ALLOCATED)" queryTableFieldId="23"/>
    <tableColumn id="24" xr3:uid="{9DAFAE42-924B-4289-9286-F06B36C7EEA1}" uniqueName="24" name="AB POTENTIAL SHORTFALL" queryTableFieldId="24"/>
    <tableColumn id="25" xr3:uid="{A7C497F8-80B7-43F3-8BC8-2938D0C9F9F1}" uniqueName="25" name="AB WASTED STRETCH" queryTableFieldId="25"/>
    <tableColumn id="26" xr3:uid="{509762EE-107B-4C92-A9F7-4EB1BFCB898E}" uniqueName="26" name="AB WASTED SLACK" queryTableFieldId="26"/>
    <tableColumn id="27" xr3:uid="{68497E17-03EB-4D5D-87AF-ECB4CB5358AE}" uniqueName="27" name="AB ALLOCATED STRETCH" queryTableFieldId="27"/>
    <tableColumn id="28" xr3:uid="{F6FDEBC0-16B2-43F3-B194-B11ED438F8FA}" uniqueName="28" name="AB ALLOCATED SLACK" queryTableFieldId="28"/>
    <tableColumn id="29" xr3:uid="{717C2AB6-C3F2-4064-83D4-1E8E872F2C5A}" uniqueName="29" name="AB UNALLOCATED SLACK" queryTableFieldId="29"/>
    <tableColumn id="30" xr3:uid="{432DD3EE-62B4-47DB-9434-F5A93CFE5941}" uniqueName="30" name="AB LATENT" queryTableFieldId="30"/>
    <tableColumn id="31" xr3:uid="{CAC6E41A-94DF-4DF6-AC43-E8FBB1AC826A}" uniqueName="31" name="AB LATENT.ALLOCATED" queryTableFieldId="31"/>
    <tableColumn id="32" xr3:uid="{73E8E3C0-4FA3-4179-8219-CD677BBBF748}" uniqueName="32" name="AB  LATENT.OVERALLOCATED" queryTableFieldId="32"/>
    <tableColumn id="33" xr3:uid="{89BD200C-68D3-420A-85B1-F530B38C6E8D}" uniqueName="33" name="AB Potential" queryTableFieldId="33"/>
    <tableColumn id="34" xr3:uid="{CF0372A9-6406-45E5-8174-A0245FA1F8B0}" uniqueName="34" name="Efficiency PoN  AG" queryTableFieldId="34"/>
    <tableColumn id="35" xr3:uid="{26F403D1-AC80-4D02-A504-A37351A59026}" uniqueName="35" name="Efficiency PoX  AG" queryTableFieldId="35"/>
    <tableColumn id="36" xr3:uid="{CE526E1C-CA71-48C0-BCB2-6B206994A62B}" uniqueName="36" name="Efficiency Pl AG" queryTableFieldId="36"/>
    <tableColumn id="37" xr3:uid="{428F1239-1A5C-419C-AEB5-29BBD8F4C867}" uniqueName="37" name="EF EXCESS OVER-ALLOCATION" queryTableFieldId="37"/>
    <tableColumn id="38" xr3:uid="{FB7AEF3A-3101-457C-A65F-92096320C379}" uniqueName="38" name="EF SPARE STRETCH" queryTableFieldId="38"/>
    <tableColumn id="39" xr3:uid="{BC3188DA-42BB-4EF8-9594-DD8A21EBA110}" uniqueName="39" name="EF SPARE SLACK" queryTableFieldId="39"/>
    <tableColumn id="40" xr3:uid="{FCAB23A0-1984-4020-AC11-F5EC2A3747EB}" uniqueName="40" name="EF SPARE STRETCH ALLOCATED" queryTableFieldId="40"/>
    <tableColumn id="41" xr3:uid="{2F555755-7AD8-4AE3-A5E7-D374C8AA2912}" uniqueName="41" name="EF SPARE SLACK ALLOCATED" queryTableFieldId="41"/>
    <tableColumn id="42" xr3:uid="{62E05BCB-D2DA-4CC2-BF7A-2BCF4C9681BD}" uniqueName="42" name="EF EXCESS STRETCH (ALLOCATED)" queryTableFieldId="42"/>
    <tableColumn id="43" xr3:uid="{1A292E61-9694-4C46-9636-8EEEABC2C541}" uniqueName="43" name="EF EXCESS ALLOCATED SLACK" queryTableFieldId="43"/>
    <tableColumn id="44" xr3:uid="{172E2B9A-EAB5-41CD-831C-C7AA239AD1EE}" uniqueName="44" name="EF EXCESS STRETCH" queryTableFieldId="44"/>
    <tableColumn id="45" xr3:uid="{148987C5-A3CA-4A38-80C6-29F9CC7635E5}" uniqueName="45" name="EF EXCESS SLACK" queryTableFieldId="45"/>
    <tableColumn id="46" xr3:uid="{82E726C3-819D-415B-972C-B1C6B2E7DBFE}" uniqueName="46" name="EF POTENTIAL SHORTFALL (OVER-ALLOCATED)" queryTableFieldId="46"/>
    <tableColumn id="47" xr3:uid="{B8C072E0-B1B4-4261-ADC8-81C93B89D213}" uniqueName="47" name="EF POTENTIAL SHORTFALL" queryTableFieldId="47"/>
    <tableColumn id="48" xr3:uid="{D87E5A3C-6FF0-4E15-92F4-B7D808E27214}" uniqueName="48" name="EF WASTED STRETCH" queryTableFieldId="48"/>
    <tableColumn id="49" xr3:uid="{18F2F47C-1347-49DF-8580-F43A96055EB1}" uniqueName="49" name="EF WASTED SLACK" queryTableFieldId="49"/>
    <tableColumn id="50" xr3:uid="{E03ADD95-2B3F-4E47-A875-A1A956E0D0CE}" uniqueName="50" name="EF ALLOCATED STRETCH" queryTableFieldId="50"/>
    <tableColumn id="51" xr3:uid="{704F58D5-6914-483D-886F-06E4655D0654}" uniqueName="51" name="EF ALLOCATED SLACK" queryTableFieldId="51"/>
    <tableColumn id="52" xr3:uid="{4C6E6405-9B7C-48F8-889F-3FBCFC8C006F}" uniqueName="52" name="EF UNALLOCATED SLACK" queryTableFieldId="52"/>
    <tableColumn id="53" xr3:uid="{DB30C10E-4673-40E3-9088-B724564419FB}" uniqueName="53" name="EF LATENT" queryTableFieldId="53"/>
    <tableColumn id="54" xr3:uid="{1AC02DA3-8A28-44EC-8A4A-29AF5E79B315}" uniqueName="54" name="EF LATENT.ALLOCATED" queryTableFieldId="54"/>
    <tableColumn id="55" xr3:uid="{D81BDF5A-9039-4911-BAC0-203792DF575C}" uniqueName="55" name="EF LATENT.OVERALLOCATED" queryTableFieldId="55"/>
    <tableColumn id="56" xr3:uid="{E5381729-BD37-42C2-9184-E4DB4619F576}" uniqueName="56" name="EF Potential" queryTableFieldId="56"/>
    <tableColumn id="57" xr3:uid="{51F722AB-83EE-47F9-93B6-56DE27FE485C}" uniqueName="57" name="Workload PoN  AG" queryTableFieldId="57"/>
    <tableColumn id="58" xr3:uid="{53E4E011-C58B-47ED-A559-94B64C9B470E}" uniqueName="58" name="Workload PoX AG" queryTableFieldId="58"/>
    <tableColumn id="59" xr3:uid="{9320B868-66B7-42BB-8135-59095DADF38B}" uniqueName="59" name="Workload Pl AG" queryTableFieldId="59"/>
    <tableColumn id="60" xr3:uid="{63E4AA46-E147-487B-95D3-8B725949A6BE}" uniqueName="60" name="WL EXCESS OVER-ALLOCATION" queryTableFieldId="60"/>
    <tableColumn id="61" xr3:uid="{EF3F515C-B2A1-4736-926D-7E8B0C0DAAA9}" uniqueName="61" name="WL SPARE STRETCH" queryTableFieldId="61"/>
    <tableColumn id="62" xr3:uid="{4C8EF0BE-4944-4415-B1EE-8FA252E0CABE}" uniqueName="62" name="WL SPARE SLACK" queryTableFieldId="62"/>
    <tableColumn id="63" xr3:uid="{725A57D1-9767-4506-BE6E-FDEF25B5C542}" uniqueName="63" name="WL SPARE STRETCH ALLOCATED" queryTableFieldId="63"/>
    <tableColumn id="64" xr3:uid="{9E9E0EF1-4DD0-43DE-B5C2-F47425AE1F80}" uniqueName="64" name="WL SPARE SLACK ALLOCATED" queryTableFieldId="64"/>
    <tableColumn id="65" xr3:uid="{B80842EB-4223-4ECD-B818-0DE46DD813D4}" uniqueName="65" name="WL EXCESS STRETCH (ALLOCATED)" queryTableFieldId="65"/>
    <tableColumn id="66" xr3:uid="{64E3AE9D-1F8F-4E34-9158-3C590106AC3F}" uniqueName="66" name="WL EXCESS ALLOCATED SLACK" queryTableFieldId="66"/>
    <tableColumn id="67" xr3:uid="{AF98C6CD-506E-43C6-B394-F20349FBDC11}" uniqueName="67" name="WL EXCESS STRETCH" queryTableFieldId="67"/>
    <tableColumn id="68" xr3:uid="{513CAF0E-E380-4494-9BAC-D08E26B2E09F}" uniqueName="68" name="WL EXCESS SLACK" queryTableFieldId="68"/>
    <tableColumn id="69" xr3:uid="{FA921A5F-A554-4529-81F4-377BE28D0C8E}" uniqueName="69" name="WL POTENTIAL SHORTFALL (OVER-ALLOCATED)" queryTableFieldId="69"/>
    <tableColumn id="70" xr3:uid="{557A88FE-0077-42A0-9C74-9F5BE83FB09D}" uniqueName="70" name="WL POTENTIAL SHORTFALL" queryTableFieldId="70"/>
    <tableColumn id="71" xr3:uid="{3C48FB70-EC2A-4E43-8720-B4A9D002D966}" uniqueName="71" name="WL WASTED STRETCH" queryTableFieldId="71"/>
    <tableColumn id="72" xr3:uid="{01A204B4-AF46-404F-9E82-8C29014957DF}" uniqueName="72" name="WL WASTED SLACK" queryTableFieldId="72"/>
    <tableColumn id="73" xr3:uid="{FBFA3448-ADB0-4A4F-BBF8-247189DE2E2B}" uniqueName="73" name="WL ALLOCATED STRETCH" queryTableFieldId="73"/>
    <tableColumn id="74" xr3:uid="{0D51CD15-23FF-408F-B7AB-5A30DA8B21C0}" uniqueName="74" name="WL ALLOCATED SLACK" queryTableFieldId="74"/>
    <tableColumn id="75" xr3:uid="{859A20DF-0684-4952-BE47-2702D16DF3F6}" uniqueName="75" name="WL UNALLOCATED SLACK" queryTableFieldId="75"/>
    <tableColumn id="76" xr3:uid="{BB72C4D6-B9AA-4A06-B46F-78FC2EB94925}" uniqueName="76" name="WL  LATENT" queryTableFieldId="76"/>
    <tableColumn id="77" xr3:uid="{3FB03E1F-D82A-4D24-AD41-894D0FB9D410}" uniqueName="77" name="WL LATENT.ALLOCATED" queryTableFieldId="77"/>
    <tableColumn id="80" xr3:uid="{88300AE4-C6FA-4327-A452-185E9E77A079}" uniqueName="80" name="WL LATENT.OVERALLOCATED" queryTableFieldId="80"/>
    <tableColumn id="81" xr3:uid="{C89F5DCC-95FA-4B35-BABC-5DAA5B90FDAE}" uniqueName="81" name="WL Potential" queryTableFieldId="8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DF3B8-B15E-49EB-9C3C-A129936E86AE}" name="IMPORT_InefficienciesAGL2Day3210" displayName="IMPORT_InefficienciesAGL2Day3210" ref="A1:CE382" tableType="queryTable" totalsRowShown="0">
  <autoFilter ref="A1:CE382" xr:uid="{A9BDF3B8-B15E-49EB-9C3C-A129936E86AE}"/>
  <tableColumns count="83">
    <tableColumn id="1" xr3:uid="{D19464A7-AEDA-4444-9CFA-24791C18AD28}" uniqueName="1" name="Version" queryTableFieldId="1"/>
    <tableColumn id="2" xr3:uid="{83A4FAA0-10AE-4306-A66C-0D583B753912}" uniqueName="2" name="Facility" queryTableFieldId="2"/>
    <tableColumn id="3" xr3:uid="{28D23393-26BC-4464-A29E-575F31B48AAF}" uniqueName="3" name="Level" queryTableFieldId="3" dataDxfId="4"/>
    <tableColumn id="4" xr3:uid="{82F15C90-4A6C-45A6-A89B-CE17CEFBFF0B}" uniqueName="4" name="Date" queryTableFieldId="4" dataDxfId="0"/>
    <tableColumn id="5" xr3:uid="{1AE32F02-99C2-474B-A773-FA7E57105791}" uniqueName="5" name="Role" queryTableFieldId="5" dataDxfId="3"/>
    <tableColumn id="6" xr3:uid="{F88A35DC-CF93-4CC6-972F-B785F7DC87A7}" uniqueName="6" name="Shift" queryTableFieldId="6" dataDxfId="2"/>
    <tableColumn id="7" xr3:uid="{B32B3313-D9FA-468C-824F-373CB80F1D96}" uniqueName="7" name="D" queryTableFieldId="7"/>
    <tableColumn id="8" xr3:uid="{3498C20C-1E03-425B-9E93-0ABBE89F8F4A}" uniqueName="8" name="Cs" queryTableFieldId="8"/>
    <tableColumn id="9" xr3:uid="{5367F9F7-E68F-4218-9334-03052B1F9E65}" uniqueName="9" name="CapacityMaxHC" queryTableFieldId="9"/>
    <tableColumn id="11" xr3:uid="{F0A6F75E-0A79-480A-9476-A28FAE52411D}" uniqueName="11" name="ShiftDurations.ShiftDuration" queryTableFieldId="11"/>
    <tableColumn id="10" xr3:uid="{7575DD2B-02A8-4033-A8B2-3C9C717F4F8D}" uniqueName="10" name="CX" queryTableFieldId="10"/>
    <tableColumn id="83" xr3:uid="{B27EBF3F-8260-4F19-A072-AA0695CF3CBA}" uniqueName="83" name="DateX" queryTableFieldId="87"/>
    <tableColumn id="12" xr3:uid="{DAAE081B-D4A5-462E-B307-E57FB2E45FA9}" uniqueName="12" name="DATESHIFT" queryTableFieldId="12"/>
    <tableColumn id="13" xr3:uid="{AEE0BA10-51CA-45F7-B8B4-CD66971B691E}" uniqueName="13" name="A" queryTableFieldId="13"/>
    <tableColumn id="14" xr3:uid="{A070BE14-4654-478E-BB19-13AEA3754873}" uniqueName="14" name="Apn" queryTableFieldId="14"/>
    <tableColumn id="15" xr3:uid="{CEC56192-7D85-4C90-BC1A-5B36D9EF021B}" uniqueName="15" name="Apx" queryTableFieldId="15"/>
    <tableColumn id="16" xr3:uid="{047366BF-4FD6-4130-90D8-BFE00A1DBE9D}" uniqueName="16" name="Ai" queryTableFieldId="16"/>
    <tableColumn id="17" xr3:uid="{DBDA5360-1ECF-40EC-91FA-E56C77205F37}" uniqueName="17" name="AB EXCESS OVER-ALLOCATION" queryTableFieldId="17"/>
    <tableColumn id="18" xr3:uid="{33A10272-44DA-4F6A-BAB2-A9F737ACA50F}" uniqueName="18" name="AB SPARE STRETCH" queryTableFieldId="18"/>
    <tableColumn id="19" xr3:uid="{ED1C37E1-5F15-422D-994C-5F021AFA15CC}" uniqueName="19" name="AB SPARE SLACK" queryTableFieldId="19"/>
    <tableColumn id="20" xr3:uid="{FCEE4271-678A-46D6-A127-3FCC3682C9B0}" uniqueName="20" name="AB SPARE STRETCH ALLOCATED" queryTableFieldId="20"/>
    <tableColumn id="21" xr3:uid="{B24ACDD6-EB9F-4FB5-8A9B-D33CB97581B7}" uniqueName="21" name="AB SPARE SLACK ALLOCATED" queryTableFieldId="21"/>
    <tableColumn id="22" xr3:uid="{69E6BE32-83C6-4EE5-AF5C-F7B6E2EC361B}" uniqueName="22" name="AB EXCESS STRETCH (ALLOCATED)" queryTableFieldId="22"/>
    <tableColumn id="23" xr3:uid="{748AF03A-A57D-4433-9CEA-EF952FABD906}" uniqueName="23" name="AB EXCESS ALLOCATED SLACK" queryTableFieldId="23"/>
    <tableColumn id="24" xr3:uid="{3C065404-1DB4-4892-99F6-6E2DD9D7727E}" uniqueName="24" name="AB EXCESS STRETCH" queryTableFieldId="24"/>
    <tableColumn id="25" xr3:uid="{EAE4BFC1-55C7-459F-AC74-E7BD3CB18F20}" uniqueName="25" name="AB EXCESS SLACK" queryTableFieldId="25"/>
    <tableColumn id="26" xr3:uid="{3C53AF78-26F7-48BC-8572-DBCBE19DEF33}" uniqueName="26" name="AB POTENTIAL SHORTFALL (OVER-ALLOCATED)" queryTableFieldId="26"/>
    <tableColumn id="27" xr3:uid="{2621335D-57D8-4680-97C7-DB0135987D3A}" uniqueName="27" name="AB POTENTIAL SHORTFALL" queryTableFieldId="27"/>
    <tableColumn id="28" xr3:uid="{5E963A65-E6EA-4356-B07A-28ACB8B1127F}" uniqueName="28" name="AB WASTED STRETCH" queryTableFieldId="28"/>
    <tableColumn id="29" xr3:uid="{5CD6EDFC-9865-45C5-9DC7-7CA4F2A11EFA}" uniqueName="29" name="AB WASTED SLACK" queryTableFieldId="29"/>
    <tableColumn id="30" xr3:uid="{934A603E-D476-497B-AE2A-4B2E5C5E812D}" uniqueName="30" name="AB ALLOCATED STRETCH" queryTableFieldId="30"/>
    <tableColumn id="31" xr3:uid="{547171A0-333D-4D5E-BDF7-380AB89D28CE}" uniqueName="31" name="AB ALLOCATED SLACK" queryTableFieldId="31"/>
    <tableColumn id="32" xr3:uid="{5CE63C77-2BCA-4AA1-BF2C-29F6DE01F5CF}" uniqueName="32" name="AB UNALLOCATED SLACK" queryTableFieldId="32"/>
    <tableColumn id="33" xr3:uid="{49277E72-2ABA-4AA5-82F1-ECD8D7C3474C}" uniqueName="33" name="AB LATENT" queryTableFieldId="33"/>
    <tableColumn id="34" xr3:uid="{1B956CB4-95D7-4EF0-89D3-4533BDCCC536}" uniqueName="34" name="AB LATENT.ALLOCATED" queryTableFieldId="34"/>
    <tableColumn id="35" xr3:uid="{22F92320-45DF-484E-A4C6-5DA0E21EC3BB}" uniqueName="35" name="AB  LATENT.OVERALLOCATED" queryTableFieldId="35"/>
    <tableColumn id="36" xr3:uid="{6BC23BFF-AA01-466D-8E41-EBC6CC03FF97}" uniqueName="36" name="AB Potential" queryTableFieldId="36"/>
    <tableColumn id="37" xr3:uid="{9DDF8AAA-E40D-4C4E-B14F-A7F61C9A79C6}" uniqueName="37" name="Epn" queryTableFieldId="37"/>
    <tableColumn id="38" xr3:uid="{D92F6933-762E-4E61-A663-D9729E3A2087}" uniqueName="38" name="EpX" queryTableFieldId="38"/>
    <tableColumn id="39" xr3:uid="{B383A118-78AD-4D12-ACE0-98AE4C0C50E6}" uniqueName="39" name="Ein" queryTableFieldId="39"/>
    <tableColumn id="40" xr3:uid="{F63E0A2F-E4C0-43B8-B41B-D331E4A0A2D8}" uniqueName="40" name="EF EXCESS OVER-ALLOCATION" queryTableFieldId="40"/>
    <tableColumn id="41" xr3:uid="{7B5A3A1E-E239-4E7F-989B-B51CDA2C2667}" uniqueName="41" name="EF SPARE STRETCH" queryTableFieldId="41"/>
    <tableColumn id="42" xr3:uid="{1BA0B331-0705-410B-B7A2-77F34A059C3F}" uniqueName="42" name="EF SPARE SLACK" queryTableFieldId="42"/>
    <tableColumn id="43" xr3:uid="{BAFE5A08-ECC2-4F6B-80CB-497593BB9BB4}" uniqueName="43" name="EF SPARE STRETCH ALLOCATED" queryTableFieldId="43"/>
    <tableColumn id="44" xr3:uid="{9A5262E8-D251-4B32-A84B-0F2E297E3D2A}" uniqueName="44" name="EF SPARE SLACK ALLOCATED" queryTableFieldId="44"/>
    <tableColumn id="45" xr3:uid="{C50860CF-0267-4F4F-A896-873DD8ABD9D3}" uniqueName="45" name="EF EXCESS STRETCH (ALLOCATED)" queryTableFieldId="45"/>
    <tableColumn id="46" xr3:uid="{DAD69095-CEF5-40E4-AAA6-2B6F337A8212}" uniqueName="46" name="EF EXCESS ALLOCATED SLACK" queryTableFieldId="46"/>
    <tableColumn id="47" xr3:uid="{A16536EA-4DC5-47B6-B02E-0963CE65931F}" uniqueName="47" name="EF EXCESS STRETCH" queryTableFieldId="47"/>
    <tableColumn id="48" xr3:uid="{296252C5-9764-4CA3-8780-950322D2B5C3}" uniqueName="48" name="EF EXCESS SLACK" queryTableFieldId="48"/>
    <tableColumn id="49" xr3:uid="{BA36F8B7-99E7-48AD-825F-1C5FD7F6C6B6}" uniqueName="49" name="EF POTENTIAL SHORTFALL (OVER-ALLOCATED)" queryTableFieldId="49"/>
    <tableColumn id="50" xr3:uid="{DBE20F44-1846-42E1-9888-9DF3923EE819}" uniqueName="50" name="EF POTENTIAL SHORTFALL" queryTableFieldId="50"/>
    <tableColumn id="51" xr3:uid="{2814D582-0BC8-4A1D-B9E7-F565DB3856EB}" uniqueName="51" name="EF WASTED STRETCH" queryTableFieldId="51"/>
    <tableColumn id="52" xr3:uid="{F94A9029-59F1-4359-8828-EC484AD2B797}" uniqueName="52" name="EF WASTED SLACK" queryTableFieldId="52"/>
    <tableColumn id="53" xr3:uid="{A263EA35-2A05-4F4C-AFC7-904C28112DE3}" uniqueName="53" name="EF ALLOCATED STRETCH" queryTableFieldId="53"/>
    <tableColumn id="54" xr3:uid="{CD7F1DFA-42F7-4118-BF41-F3948FCF43A2}" uniqueName="54" name="EF ALLOCATED SLACK" queryTableFieldId="54"/>
    <tableColumn id="55" xr3:uid="{EB11B797-BCE8-4A22-B144-08A0CC98767B}" uniqueName="55" name="EF UNALLOCATED SLACK" queryTableFieldId="55"/>
    <tableColumn id="56" xr3:uid="{7A16EB7C-53B3-4B0E-8D33-10AE424BF06C}" uniqueName="56" name="EF LATENT" queryTableFieldId="56"/>
    <tableColumn id="57" xr3:uid="{E73F6347-B1AC-4503-A429-3ACE5959E89F}" uniqueName="57" name="EF LATENT.ALLOCATED" queryTableFieldId="57"/>
    <tableColumn id="58" xr3:uid="{5A279DB7-7435-462F-A8ED-5C5F390A85CD}" uniqueName="58" name="EF LATENT.OVERALLOCATED" queryTableFieldId="58"/>
    <tableColumn id="59" xr3:uid="{2B8492B9-1869-4B93-9701-034FDE96091E}" uniqueName="59" name="EF Potential" queryTableFieldId="59"/>
    <tableColumn id="60" xr3:uid="{C4C47431-2E55-4D6F-85A9-519AA1426957}" uniqueName="60" name="Ipn" queryTableFieldId="60"/>
    <tableColumn id="61" xr3:uid="{220F05E2-2B74-4BF0-83E3-E2260337BEAD}" uniqueName="61" name="Ipx" queryTableFieldId="61"/>
    <tableColumn id="62" xr3:uid="{271E1474-003E-4659-B4D6-DF8B25D6E885}" uniqueName="62" name="Iin" queryTableFieldId="62"/>
    <tableColumn id="63" xr3:uid="{50D0DB3A-F22D-4C86-AF49-6FAB4422FF90}" uniqueName="63" name="IN EXCESS OVER-ALLOCATION" queryTableFieldId="63"/>
    <tableColumn id="64" xr3:uid="{E428E516-2B56-4E05-B528-434AB2C427C3}" uniqueName="64" name="IN SPARE STRETCH" queryTableFieldId="64"/>
    <tableColumn id="65" xr3:uid="{F0376208-F892-4D23-BBB3-699746FF6875}" uniqueName="65" name="IN SPARE SLACK" queryTableFieldId="65"/>
    <tableColumn id="66" xr3:uid="{D67D7A43-961B-48E2-B05C-7AF6AF376512}" uniqueName="66" name="IN SPARE STRETCH ALLOCATED" queryTableFieldId="66"/>
    <tableColumn id="67" xr3:uid="{5CC4EAFF-F908-4478-9A8D-4C41469DA494}" uniqueName="67" name="IN SPARE SLACK ALLOCATED" queryTableFieldId="67"/>
    <tableColumn id="68" xr3:uid="{81E0DAB2-3D88-43D0-9E2F-2AAFC7C84367}" uniqueName="68" name="IN EXCESS STRETCH (ALLOCATED)" queryTableFieldId="68"/>
    <tableColumn id="69" xr3:uid="{86D71F9D-3608-4D3C-A864-42B5F0560169}" uniqueName="69" name="IN EXCESS ALLOCATED SLACK" queryTableFieldId="69"/>
    <tableColumn id="70" xr3:uid="{DFB2D968-B641-4C6C-9307-82A1D5D0B5F6}" uniqueName="70" name="IN EXCESS STRETCH" queryTableFieldId="70"/>
    <tableColumn id="71" xr3:uid="{7253B572-874F-47A7-A8BD-29DBC56E846D}" uniqueName="71" name="IN EXCESS SLACK" queryTableFieldId="71"/>
    <tableColumn id="72" xr3:uid="{A9A1DFA9-6FA3-4107-92DC-FC5AF635C904}" uniqueName="72" name="IN POTENTIAL SHORTFALL (OVER-ALLOCATED)" queryTableFieldId="72"/>
    <tableColumn id="73" xr3:uid="{FC1CA099-6664-4011-AC5F-AF7812D5C6F4}" uniqueName="73" name="IN POTENTIAL SHORTFALL" queryTableFieldId="73"/>
    <tableColumn id="74" xr3:uid="{9BB1AAB2-C39E-4A85-9680-95B3B89ED497}" uniqueName="74" name="IN WASTED STRETCH" queryTableFieldId="74"/>
    <tableColumn id="75" xr3:uid="{E726BB19-ACAD-4B5D-AAF1-BB2715C7C6D5}" uniqueName="75" name="IN WASTED SLACK" queryTableFieldId="75"/>
    <tableColumn id="76" xr3:uid="{CB023A27-4521-42AA-83C2-89E8A8EBF9ED}" uniqueName="76" name="IN ALLOCATED STRETCH" queryTableFieldId="76"/>
    <tableColumn id="77" xr3:uid="{B310E5FD-3F0B-4E00-B822-BE45B5B7693D}" uniqueName="77" name="IN ALLOCATED SLACK" queryTableFieldId="77"/>
    <tableColumn id="78" xr3:uid="{CF9D96CE-C2B2-4360-92FC-7AC95152A5AC}" uniqueName="78" name="IN UNALLOCATED SLACK" queryTableFieldId="78"/>
    <tableColumn id="79" xr3:uid="{0641B3F0-0B18-4C5B-AD41-310D49AB597F}" uniqueName="79" name="IN LATENT" queryTableFieldId="79"/>
    <tableColumn id="80" xr3:uid="{2DAB38D8-E538-492A-83B1-92872D559224}" uniqueName="80" name="IN LATENT.ALLOCATED" queryTableFieldId="80"/>
    <tableColumn id="81" xr3:uid="{DD081863-3067-4A52-A275-5D6277C1F77B}" uniqueName="81" name="IN LATENT.OVERALLOCATED" queryTableFieldId="81"/>
    <tableColumn id="82" xr3:uid="{626EC8BA-3A2D-4A83-AF52-E33B566E740B}" uniqueName="82" name="IN Potential" queryTableFieldId="8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E76-4232-416E-A92B-276F741697A3}">
  <dimension ref="A7:D42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118</v>
      </c>
      <c r="B9" s="3" t="str" cm="1">
        <f t="array" aca="1" ref="B9" ca="1">CELL("filename",E16)</f>
        <v>https://centri001.sharepoint.com/sites/4.Production/Shared Documents/WFEffectiveness/4.1.1 AGED CARE/01 Christadelphian Aged Care/240715/2. Calculations/[Tableau Connection.xlsx]FILEPATH</v>
      </c>
    </row>
    <row r="10" spans="1:4" x14ac:dyDescent="0.25">
      <c r="A10" s="3"/>
      <c r="B10" s="3"/>
    </row>
    <row r="11" spans="1:4" x14ac:dyDescent="0.25">
      <c r="A11" s="6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119</v>
      </c>
      <c r="B14" s="4" t="str">
        <f>[2]Computerpath!$B$20</f>
        <v>C:\Users\Alex\Centri\4. Production - Documents\WFEffectiveness\4.1.1 AGED CARE\01 Christadelphian Aged Care\240715</v>
      </c>
      <c r="D14" s="2" t="s">
        <v>123</v>
      </c>
    </row>
    <row r="15" spans="1:4" x14ac:dyDescent="0.25">
      <c r="A15" s="3" t="s">
        <v>124</v>
      </c>
      <c r="B15" s="3" t="e" cm="1">
        <f t="array" aca="1" ref="B15" ca="1">LEFT(CELL("filename",B9),FIND(Client,CELL("filename",B9),1)-1)</f>
        <v>#VALUE!</v>
      </c>
      <c r="C15" s="7" t="e">
        <f ca="1">LEN(B15)</f>
        <v>#VALUE!</v>
      </c>
    </row>
    <row r="16" spans="1:4" x14ac:dyDescent="0.25">
      <c r="C16" s="7"/>
    </row>
    <row r="17" spans="1:4" x14ac:dyDescent="0.25">
      <c r="C17" s="7"/>
    </row>
    <row r="18" spans="1:4" x14ac:dyDescent="0.25">
      <c r="A18" s="4" t="s">
        <v>122</v>
      </c>
      <c r="B18" s="4" t="str">
        <f>Client</f>
        <v>C:\Users\Alex\Centri\4. Production - Documents\WFEffectiveness\4.1.1 AGED CARE\01 Christadelphian Aged Care\240715</v>
      </c>
      <c r="C18" s="7">
        <f>LEN(B14)</f>
        <v>114</v>
      </c>
      <c r="D18" s="2" t="s">
        <v>123</v>
      </c>
    </row>
    <row r="19" spans="1:4" x14ac:dyDescent="0.25">
      <c r="A19" s="1" t="s">
        <v>120</v>
      </c>
      <c r="B19" s="1" t="s">
        <v>121</v>
      </c>
      <c r="C19" s="8">
        <f>LEN(B19)</f>
        <v>11</v>
      </c>
      <c r="D19" s="2" t="s">
        <v>125</v>
      </c>
    </row>
    <row r="20" spans="1:4" x14ac:dyDescent="0.25">
      <c r="C20" s="7" t="e">
        <f ca="1">SUM(C15:C19)</f>
        <v>#VALUE!</v>
      </c>
    </row>
    <row r="21" spans="1:4" x14ac:dyDescent="0.25">
      <c r="A21" s="2" t="s">
        <v>114</v>
      </c>
      <c r="C21" s="7"/>
    </row>
    <row r="22" spans="1:4" x14ac:dyDescent="0.25">
      <c r="A22" s="2" t="s">
        <v>1</v>
      </c>
      <c r="B22" s="5"/>
      <c r="C22" s="7"/>
    </row>
    <row r="23" spans="1:4" x14ac:dyDescent="0.25">
      <c r="D23" s="2" t="s">
        <v>126</v>
      </c>
    </row>
    <row r="25" spans="1:4" x14ac:dyDescent="0.25">
      <c r="B25" s="2" t="s">
        <v>111</v>
      </c>
    </row>
    <row r="26" spans="1:4" x14ac:dyDescent="0.25">
      <c r="B26" s="5" t="str">
        <f>$B$18&amp;"\"&amp;B21</f>
        <v>C:\Users\Alex\Centri\4. Production - Documents\WFEffectiveness\4.1.1 AGED CARE\01 Christadelphian Aged Care\240715\</v>
      </c>
    </row>
    <row r="28" spans="1:4" x14ac:dyDescent="0.25">
      <c r="B28" s="9"/>
    </row>
    <row r="39" spans="2:2" x14ac:dyDescent="0.25">
      <c r="B39" s="2" t="s">
        <v>130</v>
      </c>
    </row>
    <row r="40" spans="2:2" x14ac:dyDescent="0.25">
      <c r="B40" s="2">
        <f>B42-B41</f>
        <v>27</v>
      </c>
    </row>
    <row r="41" spans="2:2" ht="15" x14ac:dyDescent="0.25">
      <c r="B41" s="10">
        <v>45096</v>
      </c>
    </row>
    <row r="42" spans="2:2" ht="15" x14ac:dyDescent="0.25">
      <c r="B42" s="11">
        <v>45123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45C9-80F4-46CD-B6AA-8FDE3F47F68F}">
  <dimension ref="A1:A2"/>
  <sheetViews>
    <sheetView workbookViewId="0">
      <selection activeCell="E45" sqref="E45"/>
    </sheetView>
  </sheetViews>
  <sheetFormatPr defaultRowHeight="15" x14ac:dyDescent="0.25"/>
  <cols>
    <col min="1" max="1" width="16.85546875" bestFit="1" customWidth="1"/>
  </cols>
  <sheetData>
    <row r="1" spans="1:1" x14ac:dyDescent="0.25">
      <c r="A1" t="s">
        <v>130</v>
      </c>
    </row>
    <row r="2" spans="1:1" x14ac:dyDescent="0.25">
      <c r="A2">
        <v>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D8B63-2485-468A-A445-A9E65D88FADD}">
  <dimension ref="A1:CG382"/>
  <sheetViews>
    <sheetView tabSelected="1" workbookViewId="0">
      <selection activeCell="I336" sqref="I336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10.7109375" bestFit="1" customWidth="1"/>
    <col min="5" max="5" width="7.28515625" bestFit="1" customWidth="1"/>
    <col min="6" max="6" width="9.5703125" bestFit="1" customWidth="1"/>
    <col min="7" max="7" width="14" bestFit="1" customWidth="1"/>
    <col min="8" max="8" width="7.42578125" bestFit="1" customWidth="1"/>
    <col min="9" max="9" width="17.140625" bestFit="1" customWidth="1"/>
    <col min="10" max="10" width="29" bestFit="1" customWidth="1"/>
    <col min="11" max="11" width="12" bestFit="1" customWidth="1"/>
    <col min="12" max="12" width="8.5703125" bestFit="1" customWidth="1"/>
    <col min="13" max="13" width="16.42578125" bestFit="1" customWidth="1"/>
    <col min="14" max="15" width="8" bestFit="1" customWidth="1"/>
    <col min="16" max="16" width="12" bestFit="1" customWidth="1"/>
    <col min="17" max="17" width="16.5703125" bestFit="1" customWidth="1"/>
    <col min="18" max="18" width="16.28515625" bestFit="1" customWidth="1"/>
    <col min="19" max="19" width="14.42578125" bestFit="1" customWidth="1"/>
    <col min="20" max="20" width="30.28515625" bestFit="1" customWidth="1"/>
    <col min="21" max="21" width="20" bestFit="1" customWidth="1"/>
    <col min="22" max="22" width="17.7109375" bestFit="1" customWidth="1"/>
    <col min="23" max="23" width="30.85546875" bestFit="1" customWidth="1"/>
    <col min="24" max="24" width="28.7109375" bestFit="1" customWidth="1"/>
    <col min="25" max="25" width="33.140625" bestFit="1" customWidth="1"/>
    <col min="26" max="26" width="29.42578125" bestFit="1" customWidth="1"/>
    <col min="27" max="27" width="20.7109375" bestFit="1" customWidth="1"/>
    <col min="28" max="28" width="18.42578125" bestFit="1" customWidth="1"/>
    <col min="29" max="29" width="44.85546875" bestFit="1" customWidth="1"/>
    <col min="30" max="30" width="26.5703125" bestFit="1" customWidth="1"/>
    <col min="31" max="31" width="22" bestFit="1" customWidth="1"/>
    <col min="32" max="32" width="19.85546875" bestFit="1" customWidth="1"/>
    <col min="33" max="33" width="24.7109375" bestFit="1" customWidth="1"/>
    <col min="34" max="34" width="22.42578125" bestFit="1" customWidth="1"/>
    <col min="35" max="35" width="25.42578125" bestFit="1" customWidth="1"/>
    <col min="36" max="36" width="12.7109375" bestFit="1" customWidth="1"/>
    <col min="37" max="37" width="23.85546875" bestFit="1" customWidth="1"/>
    <col min="38" max="38" width="29.28515625" bestFit="1" customWidth="1"/>
    <col min="39" max="39" width="14.28515625" bestFit="1" customWidth="1"/>
    <col min="40" max="40" width="19.85546875" bestFit="1" customWidth="1"/>
    <col min="41" max="41" width="19.5703125" bestFit="1" customWidth="1"/>
    <col min="42" max="42" width="17.28515625" bestFit="1" customWidth="1"/>
    <col min="43" max="43" width="29.85546875" bestFit="1" customWidth="1"/>
    <col min="44" max="44" width="19.5703125" bestFit="1" customWidth="1"/>
    <col min="45" max="45" width="17.28515625" bestFit="1" customWidth="1"/>
    <col min="46" max="46" width="30.42578125" bestFit="1" customWidth="1"/>
    <col min="47" max="47" width="28.28515625" bestFit="1" customWidth="1"/>
    <col min="48" max="48" width="32.7109375" bestFit="1" customWidth="1"/>
    <col min="49" max="49" width="29" bestFit="1" customWidth="1"/>
    <col min="50" max="50" width="20.28515625" bestFit="1" customWidth="1"/>
    <col min="51" max="51" width="18" bestFit="1" customWidth="1"/>
    <col min="52" max="52" width="44.42578125" bestFit="1" customWidth="1"/>
    <col min="53" max="53" width="26.140625" bestFit="1" customWidth="1"/>
    <col min="54" max="54" width="21.5703125" bestFit="1" customWidth="1"/>
    <col min="55" max="55" width="19.28515625" bestFit="1" customWidth="1"/>
    <col min="56" max="56" width="24.28515625" bestFit="1" customWidth="1"/>
    <col min="57" max="57" width="22" bestFit="1" customWidth="1"/>
    <col min="58" max="58" width="25" bestFit="1" customWidth="1"/>
    <col min="59" max="59" width="12.28515625" bestFit="1" customWidth="1"/>
    <col min="60" max="60" width="23.28515625" bestFit="1" customWidth="1"/>
    <col min="61" max="61" width="28.42578125" bestFit="1" customWidth="1"/>
    <col min="62" max="62" width="13.85546875" bestFit="1" customWidth="1"/>
    <col min="63" max="63" width="20" bestFit="1" customWidth="1"/>
    <col min="64" max="64" width="19.140625" bestFit="1" customWidth="1"/>
    <col min="65" max="65" width="17.42578125" bestFit="1" customWidth="1"/>
    <col min="66" max="66" width="30.7109375" bestFit="1" customWidth="1"/>
    <col min="67" max="67" width="20.42578125" bestFit="1" customWidth="1"/>
    <col min="68" max="68" width="18.140625" bestFit="1" customWidth="1"/>
    <col min="69" max="69" width="31.28515625" bestFit="1" customWidth="1"/>
    <col min="70" max="70" width="29.140625" bestFit="1" customWidth="1"/>
    <col min="71" max="71" width="33.5703125" bestFit="1" customWidth="1"/>
    <col min="72" max="72" width="29.85546875" bestFit="1" customWidth="1"/>
    <col min="73" max="73" width="21.140625" bestFit="1" customWidth="1"/>
    <col min="74" max="74" width="18.85546875" bestFit="1" customWidth="1"/>
    <col min="75" max="75" width="45.28515625" bestFit="1" customWidth="1"/>
    <col min="76" max="76" width="27" bestFit="1" customWidth="1"/>
    <col min="77" max="77" width="22.42578125" bestFit="1" customWidth="1"/>
    <col min="78" max="78" width="20.28515625" bestFit="1" customWidth="1"/>
    <col min="79" max="79" width="25.140625" bestFit="1" customWidth="1"/>
    <col min="80" max="80" width="22.85546875" bestFit="1" customWidth="1"/>
    <col min="81" max="81" width="25.85546875" bestFit="1" customWidth="1"/>
    <col min="82" max="82" width="13.5703125" bestFit="1" customWidth="1"/>
    <col min="83" max="83" width="24.28515625" bestFit="1" customWidth="1"/>
    <col min="84" max="84" width="29.28515625" bestFit="1" customWidth="1"/>
    <col min="85" max="91" width="14.7109375" customWidth="1"/>
    <col min="92" max="92" width="29.28515625" bestFit="1" customWidth="1"/>
    <col min="93" max="93" width="14.7109375" bestFit="1" customWidth="1"/>
  </cols>
  <sheetData>
    <row r="1" spans="1:85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80</v>
      </c>
      <c r="G1" t="s">
        <v>100</v>
      </c>
      <c r="H1" t="s">
        <v>101</v>
      </c>
      <c r="I1" t="s">
        <v>112</v>
      </c>
      <c r="J1" t="s">
        <v>129</v>
      </c>
      <c r="K1" t="s">
        <v>2</v>
      </c>
      <c r="L1" t="s">
        <v>180</v>
      </c>
      <c r="M1" t="s">
        <v>113</v>
      </c>
      <c r="N1" t="s">
        <v>3</v>
      </c>
      <c r="O1" t="s">
        <v>4</v>
      </c>
      <c r="P1" t="s">
        <v>5</v>
      </c>
      <c r="Q1" t="s">
        <v>76</v>
      </c>
      <c r="R1" t="s">
        <v>77</v>
      </c>
      <c r="S1" t="s">
        <v>78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103</v>
      </c>
      <c r="AO1" t="s">
        <v>104</v>
      </c>
      <c r="AP1" t="s">
        <v>105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  <c r="AY1" t="s">
        <v>37</v>
      </c>
      <c r="AZ1" t="s">
        <v>38</v>
      </c>
      <c r="BA1" t="s">
        <v>39</v>
      </c>
      <c r="BB1" t="s">
        <v>40</v>
      </c>
      <c r="BC1" t="s">
        <v>41</v>
      </c>
      <c r="BD1" t="s">
        <v>42</v>
      </c>
      <c r="BE1" t="s">
        <v>43</v>
      </c>
      <c r="BF1" t="s">
        <v>44</v>
      </c>
      <c r="BG1" t="s">
        <v>45</v>
      </c>
      <c r="BH1" t="s">
        <v>46</v>
      </c>
      <c r="BI1" t="s">
        <v>47</v>
      </c>
      <c r="BJ1" t="s">
        <v>48</v>
      </c>
      <c r="BK1" t="s">
        <v>106</v>
      </c>
      <c r="BL1" t="s">
        <v>107</v>
      </c>
      <c r="BM1" t="s">
        <v>108</v>
      </c>
      <c r="BN1" t="s">
        <v>81</v>
      </c>
      <c r="BO1" t="s">
        <v>82</v>
      </c>
      <c r="BP1" t="s">
        <v>83</v>
      </c>
      <c r="BQ1" t="s">
        <v>84</v>
      </c>
      <c r="BR1" t="s">
        <v>85</v>
      </c>
      <c r="BS1" t="s">
        <v>86</v>
      </c>
      <c r="BT1" t="s">
        <v>87</v>
      </c>
      <c r="BU1" t="s">
        <v>88</v>
      </c>
      <c r="BV1" t="s">
        <v>89</v>
      </c>
      <c r="BW1" t="s">
        <v>90</v>
      </c>
      <c r="BX1" t="s">
        <v>91</v>
      </c>
      <c r="BY1" t="s">
        <v>92</v>
      </c>
      <c r="BZ1" t="s">
        <v>93</v>
      </c>
      <c r="CA1" t="s">
        <v>94</v>
      </c>
      <c r="CB1" t="s">
        <v>95</v>
      </c>
      <c r="CC1" t="s">
        <v>96</v>
      </c>
      <c r="CD1" t="s">
        <v>102</v>
      </c>
      <c r="CE1" t="s">
        <v>97</v>
      </c>
      <c r="CF1" t="s">
        <v>98</v>
      </c>
      <c r="CG1" t="s">
        <v>99</v>
      </c>
    </row>
    <row r="2" spans="1:85" hidden="1" x14ac:dyDescent="0.25">
      <c r="A2" t="s">
        <v>128</v>
      </c>
      <c r="B2" t="s">
        <v>134</v>
      </c>
      <c r="C2" t="s">
        <v>72</v>
      </c>
      <c r="D2" s="12">
        <v>45572</v>
      </c>
      <c r="E2" t="s">
        <v>135</v>
      </c>
      <c r="F2" t="s">
        <v>135</v>
      </c>
      <c r="G2" t="s">
        <v>135</v>
      </c>
      <c r="H2" t="s">
        <v>73</v>
      </c>
      <c r="I2">
        <v>10</v>
      </c>
      <c r="J2">
        <v>1</v>
      </c>
      <c r="K2">
        <v>14.310060866451844</v>
      </c>
      <c r="L2">
        <v>45572</v>
      </c>
      <c r="M2" t="s">
        <v>136</v>
      </c>
      <c r="N2">
        <v>13.3</v>
      </c>
      <c r="O2">
        <v>13.3</v>
      </c>
      <c r="P2">
        <v>13.775401069518708</v>
      </c>
      <c r="Q2">
        <v>0.92941603282626095</v>
      </c>
      <c r="R2">
        <v>0.92941603282626095</v>
      </c>
      <c r="S2">
        <v>0.96263748967088048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3.3221456844619524E-2</v>
      </c>
      <c r="AD2">
        <v>3.7362510329119525E-2</v>
      </c>
      <c r="AE2">
        <v>0</v>
      </c>
      <c r="AF2">
        <v>0</v>
      </c>
      <c r="AG2">
        <v>0</v>
      </c>
      <c r="AH2">
        <v>0.92941603282626095</v>
      </c>
      <c r="AI2">
        <v>0</v>
      </c>
      <c r="AJ2">
        <v>0</v>
      </c>
      <c r="AK2">
        <v>0</v>
      </c>
      <c r="AL2">
        <v>0</v>
      </c>
      <c r="AM2">
        <v>0</v>
      </c>
      <c r="AN2">
        <v>1.075944426049011</v>
      </c>
      <c r="AO2">
        <v>1.075944426049011</v>
      </c>
      <c r="AP2">
        <v>1.0357444413171961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3.5744441317196118E-2</v>
      </c>
      <c r="AX2">
        <v>0</v>
      </c>
      <c r="AY2">
        <v>4.0199984731814853E-2</v>
      </c>
      <c r="AZ2">
        <v>0</v>
      </c>
      <c r="BA2">
        <v>0</v>
      </c>
      <c r="BB2">
        <v>0</v>
      </c>
      <c r="BC2">
        <v>0</v>
      </c>
      <c r="BD2">
        <v>0</v>
      </c>
      <c r="BE2">
        <v>1</v>
      </c>
      <c r="BF2">
        <v>0</v>
      </c>
      <c r="BG2">
        <v>0</v>
      </c>
      <c r="BH2">
        <v>0</v>
      </c>
      <c r="BI2">
        <v>0</v>
      </c>
      <c r="BJ2">
        <v>0</v>
      </c>
      <c r="BK2">
        <v>0.96548913043478313</v>
      </c>
      <c r="BL2">
        <v>0.96548913043478313</v>
      </c>
      <c r="BM2">
        <v>1.0388126483022113</v>
      </c>
      <c r="BN2">
        <v>3.8812648302211317E-2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7.0583967173739048E-2</v>
      </c>
      <c r="BX2">
        <v>0</v>
      </c>
      <c r="BY2">
        <v>0</v>
      </c>
      <c r="BZ2">
        <v>0</v>
      </c>
      <c r="CA2">
        <v>0</v>
      </c>
      <c r="CB2">
        <v>0.96548913043478313</v>
      </c>
      <c r="CC2">
        <v>0</v>
      </c>
      <c r="CD2">
        <v>0</v>
      </c>
      <c r="CE2">
        <v>0</v>
      </c>
      <c r="CF2">
        <v>0</v>
      </c>
      <c r="CG2">
        <v>0</v>
      </c>
    </row>
    <row r="3" spans="1:85" hidden="1" x14ac:dyDescent="0.25">
      <c r="A3" t="s">
        <v>128</v>
      </c>
      <c r="B3" t="s">
        <v>134</v>
      </c>
      <c r="C3" t="s">
        <v>72</v>
      </c>
      <c r="D3" s="12">
        <v>45572</v>
      </c>
      <c r="E3" t="s">
        <v>135</v>
      </c>
      <c r="F3" t="s">
        <v>135</v>
      </c>
      <c r="G3" t="s">
        <v>135</v>
      </c>
      <c r="H3" t="s">
        <v>74</v>
      </c>
      <c r="I3">
        <v>10</v>
      </c>
      <c r="J3">
        <v>1</v>
      </c>
      <c r="K3">
        <v>5.3662728249194425</v>
      </c>
      <c r="L3">
        <v>45572</v>
      </c>
      <c r="M3" t="s">
        <v>137</v>
      </c>
      <c r="N3">
        <v>5.6999999999999993</v>
      </c>
      <c r="O3">
        <v>5.6999999999999993</v>
      </c>
      <c r="P3">
        <v>5.7943977591036422</v>
      </c>
      <c r="Q3">
        <v>1.0621897518014409</v>
      </c>
      <c r="R3">
        <v>1.0621897518014409</v>
      </c>
      <c r="S3">
        <v>1.0797806872949338</v>
      </c>
      <c r="T3">
        <v>1.7590935493492887E-2</v>
      </c>
      <c r="U3">
        <v>0</v>
      </c>
      <c r="V3">
        <v>0</v>
      </c>
      <c r="W3">
        <v>0</v>
      </c>
      <c r="X3">
        <v>0</v>
      </c>
      <c r="Y3">
        <v>0</v>
      </c>
      <c r="Z3">
        <v>6.2189751801440929E-2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0</v>
      </c>
      <c r="AJ3">
        <v>0</v>
      </c>
      <c r="AK3">
        <v>0</v>
      </c>
      <c r="AL3">
        <v>0</v>
      </c>
      <c r="AM3">
        <v>0</v>
      </c>
      <c r="AN3">
        <v>0.94145137279288471</v>
      </c>
      <c r="AO3">
        <v>0.94145137279288471</v>
      </c>
      <c r="AP3">
        <v>1.0165610103690601</v>
      </c>
      <c r="AQ3">
        <v>1.6561010369060103E-2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0.94145137279288471</v>
      </c>
      <c r="BF3">
        <v>0</v>
      </c>
      <c r="BG3">
        <v>0</v>
      </c>
      <c r="BH3">
        <v>0</v>
      </c>
      <c r="BI3">
        <v>0</v>
      </c>
      <c r="BJ3">
        <v>0</v>
      </c>
      <c r="BK3">
        <v>0.9837087885526441</v>
      </c>
      <c r="BL3">
        <v>0.9837087885526441</v>
      </c>
      <c r="BM3">
        <v>0.9261139894113124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1.6291211447355902E-2</v>
      </c>
      <c r="BY3">
        <v>0</v>
      </c>
      <c r="BZ3">
        <v>5.7594799141331698E-2</v>
      </c>
      <c r="CA3">
        <v>0</v>
      </c>
      <c r="CB3">
        <v>0.9261139894113124</v>
      </c>
      <c r="CC3">
        <v>0</v>
      </c>
      <c r="CD3">
        <v>0</v>
      </c>
      <c r="CE3">
        <v>0</v>
      </c>
      <c r="CF3">
        <v>0</v>
      </c>
      <c r="CG3">
        <v>0</v>
      </c>
    </row>
    <row r="4" spans="1:85" hidden="1" x14ac:dyDescent="0.25">
      <c r="A4" t="s">
        <v>128</v>
      </c>
      <c r="B4" t="s">
        <v>134</v>
      </c>
      <c r="C4" t="s">
        <v>72</v>
      </c>
      <c r="D4" s="12">
        <v>45572</v>
      </c>
      <c r="E4" t="s">
        <v>135</v>
      </c>
      <c r="F4" t="s">
        <v>135</v>
      </c>
      <c r="G4" t="s">
        <v>135</v>
      </c>
      <c r="H4" t="s">
        <v>75</v>
      </c>
      <c r="I4">
        <v>10</v>
      </c>
      <c r="J4">
        <v>1</v>
      </c>
      <c r="K4">
        <v>11.626924453992126</v>
      </c>
      <c r="L4">
        <v>45572</v>
      </c>
      <c r="M4" t="s">
        <v>138</v>
      </c>
      <c r="N4">
        <v>16.149999999999999</v>
      </c>
      <c r="O4">
        <v>16.149999999999999</v>
      </c>
      <c r="P4">
        <v>10.301555104800538</v>
      </c>
      <c r="Q4">
        <v>1.3890173677403457</v>
      </c>
      <c r="R4">
        <v>1.3890173677403457</v>
      </c>
      <c r="S4">
        <v>0.8860086040434777</v>
      </c>
      <c r="T4">
        <v>0</v>
      </c>
      <c r="U4">
        <v>0</v>
      </c>
      <c r="V4">
        <v>0.13901736774034568</v>
      </c>
      <c r="W4">
        <v>0</v>
      </c>
      <c r="X4">
        <v>0</v>
      </c>
      <c r="Y4">
        <v>0</v>
      </c>
      <c r="Z4">
        <v>0</v>
      </c>
      <c r="AA4">
        <v>0</v>
      </c>
      <c r="AB4">
        <v>0.25</v>
      </c>
      <c r="AC4">
        <v>0</v>
      </c>
      <c r="AD4">
        <v>0</v>
      </c>
      <c r="AE4">
        <v>0</v>
      </c>
      <c r="AF4">
        <v>0.1139913959565223</v>
      </c>
      <c r="AG4">
        <v>0</v>
      </c>
      <c r="AH4">
        <v>0.8860086040434777</v>
      </c>
      <c r="AI4">
        <v>0</v>
      </c>
      <c r="AJ4">
        <v>0</v>
      </c>
      <c r="AK4">
        <v>0</v>
      </c>
      <c r="AL4">
        <v>0</v>
      </c>
      <c r="AM4">
        <v>0</v>
      </c>
      <c r="AN4">
        <v>0.71993340272397077</v>
      </c>
      <c r="AO4">
        <v>0.71993340272397077</v>
      </c>
      <c r="AP4">
        <v>0.63786718915173624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0.28006659727602923</v>
      </c>
      <c r="BB4">
        <v>0</v>
      </c>
      <c r="BC4">
        <v>8.2066213572234536E-2</v>
      </c>
      <c r="BD4">
        <v>0</v>
      </c>
      <c r="BE4">
        <v>0.63786718915173624</v>
      </c>
      <c r="BF4">
        <v>0</v>
      </c>
      <c r="BG4">
        <v>0</v>
      </c>
      <c r="BH4">
        <v>0</v>
      </c>
      <c r="BI4">
        <v>0</v>
      </c>
      <c r="BJ4">
        <v>0</v>
      </c>
      <c r="BK4">
        <v>1.5677244683644003</v>
      </c>
      <c r="BL4">
        <v>1.5677244683644003</v>
      </c>
      <c r="BM4">
        <v>1.1286572110432107</v>
      </c>
      <c r="CD4">
        <v>0</v>
      </c>
      <c r="CE4">
        <v>0</v>
      </c>
      <c r="CF4">
        <v>0</v>
      </c>
    </row>
    <row r="5" spans="1:85" hidden="1" x14ac:dyDescent="0.25">
      <c r="A5" t="s">
        <v>128</v>
      </c>
      <c r="B5" t="s">
        <v>134</v>
      </c>
      <c r="C5" t="s">
        <v>109</v>
      </c>
      <c r="D5" s="12">
        <v>45572</v>
      </c>
      <c r="E5" t="s">
        <v>135</v>
      </c>
      <c r="F5" t="s">
        <v>135</v>
      </c>
      <c r="G5" t="s">
        <v>135</v>
      </c>
      <c r="K5">
        <v>31.303258145363415</v>
      </c>
      <c r="N5">
        <v>35.15</v>
      </c>
      <c r="O5">
        <v>35.15</v>
      </c>
      <c r="P5">
        <v>29.871353933422888</v>
      </c>
      <c r="T5">
        <v>3.0155889417416378E-3</v>
      </c>
      <c r="U5">
        <v>0</v>
      </c>
      <c r="V5">
        <v>5.1635022303556967E-2</v>
      </c>
      <c r="W5">
        <v>0</v>
      </c>
      <c r="X5">
        <v>0</v>
      </c>
      <c r="Y5">
        <v>0</v>
      </c>
      <c r="Z5">
        <v>1.0661100308818445E-2</v>
      </c>
      <c r="AA5">
        <v>0</v>
      </c>
      <c r="AB5">
        <v>9.285714285714286E-2</v>
      </c>
      <c r="AC5">
        <v>1.5186951700397492E-2</v>
      </c>
      <c r="AD5">
        <v>1.7080004721883209E-2</v>
      </c>
      <c r="AE5">
        <v>0</v>
      </c>
      <c r="AF5">
        <v>4.2339661355279716E-2</v>
      </c>
      <c r="AG5">
        <v>0</v>
      </c>
      <c r="AH5">
        <v>0.9253933822224395</v>
      </c>
      <c r="AI5">
        <v>0</v>
      </c>
      <c r="AJ5">
        <v>0</v>
      </c>
      <c r="AK5">
        <v>0</v>
      </c>
      <c r="AL5">
        <v>0</v>
      </c>
      <c r="AM5">
        <v>0</v>
      </c>
    </row>
    <row r="6" spans="1:85" hidden="1" x14ac:dyDescent="0.25">
      <c r="A6" t="s">
        <v>128</v>
      </c>
      <c r="B6" t="s">
        <v>134</v>
      </c>
      <c r="C6" t="s">
        <v>72</v>
      </c>
      <c r="D6" s="12">
        <v>45573</v>
      </c>
      <c r="E6" t="s">
        <v>135</v>
      </c>
      <c r="F6" t="s">
        <v>135</v>
      </c>
      <c r="G6" t="s">
        <v>135</v>
      </c>
      <c r="H6" t="s">
        <v>73</v>
      </c>
      <c r="I6">
        <v>10</v>
      </c>
      <c r="J6">
        <v>1</v>
      </c>
      <c r="K6">
        <v>14.310060866451844</v>
      </c>
      <c r="L6">
        <v>45573</v>
      </c>
      <c r="M6" t="s">
        <v>139</v>
      </c>
      <c r="N6">
        <v>19.95</v>
      </c>
      <c r="O6">
        <v>19.95</v>
      </c>
      <c r="P6">
        <v>12.278380443086323</v>
      </c>
      <c r="Q6">
        <v>1.3941240492393916</v>
      </c>
      <c r="R6">
        <v>1.3941240492393916</v>
      </c>
      <c r="S6">
        <v>0.85802433390562705</v>
      </c>
      <c r="T6">
        <v>0</v>
      </c>
      <c r="U6">
        <v>0</v>
      </c>
      <c r="V6">
        <v>0.14412404923939159</v>
      </c>
      <c r="W6">
        <v>0</v>
      </c>
      <c r="X6">
        <v>0</v>
      </c>
      <c r="Y6">
        <v>0</v>
      </c>
      <c r="Z6">
        <v>0</v>
      </c>
      <c r="AA6">
        <v>0</v>
      </c>
      <c r="AB6">
        <v>0.25</v>
      </c>
      <c r="AC6">
        <v>0</v>
      </c>
      <c r="AD6">
        <v>0</v>
      </c>
      <c r="AE6">
        <v>0</v>
      </c>
      <c r="AF6">
        <v>0.14197566609437295</v>
      </c>
      <c r="AG6">
        <v>0</v>
      </c>
      <c r="AH6">
        <v>0.85802433390562705</v>
      </c>
      <c r="AI6">
        <v>0</v>
      </c>
      <c r="AJ6">
        <v>0</v>
      </c>
      <c r="AK6">
        <v>0</v>
      </c>
      <c r="AL6">
        <v>0</v>
      </c>
      <c r="AM6">
        <v>0</v>
      </c>
      <c r="AN6">
        <v>0.71729628403267387</v>
      </c>
      <c r="AO6">
        <v>0.71729628403267387</v>
      </c>
      <c r="AP6">
        <v>0.61545766632011645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0.28270371596732613</v>
      </c>
      <c r="BB6">
        <v>0</v>
      </c>
      <c r="BC6">
        <v>0.10183861771255742</v>
      </c>
      <c r="BD6">
        <v>0</v>
      </c>
      <c r="BE6">
        <v>0.61545766632011645</v>
      </c>
      <c r="BF6">
        <v>0</v>
      </c>
      <c r="BG6">
        <v>0</v>
      </c>
      <c r="BH6">
        <v>0</v>
      </c>
      <c r="BI6">
        <v>0</v>
      </c>
      <c r="BJ6">
        <v>0</v>
      </c>
      <c r="BK6">
        <v>1.6248071227694683</v>
      </c>
      <c r="BL6">
        <v>1.6248071227694683</v>
      </c>
      <c r="BM6">
        <v>1.1654681114323602</v>
      </c>
      <c r="CD6">
        <v>0</v>
      </c>
      <c r="CE6">
        <v>0</v>
      </c>
      <c r="CF6">
        <v>0</v>
      </c>
    </row>
    <row r="7" spans="1:85" hidden="1" x14ac:dyDescent="0.25">
      <c r="A7" t="s">
        <v>128</v>
      </c>
      <c r="B7" t="s">
        <v>134</v>
      </c>
      <c r="C7" t="s">
        <v>72</v>
      </c>
      <c r="D7" s="12">
        <v>45573</v>
      </c>
      <c r="E7" t="s">
        <v>135</v>
      </c>
      <c r="F7" t="s">
        <v>135</v>
      </c>
      <c r="G7" t="s">
        <v>135</v>
      </c>
      <c r="H7" t="s">
        <v>74</v>
      </c>
      <c r="I7">
        <v>10</v>
      </c>
      <c r="J7">
        <v>1</v>
      </c>
      <c r="K7">
        <v>5.3662728249194425</v>
      </c>
      <c r="L7">
        <v>45573</v>
      </c>
      <c r="M7" t="s">
        <v>140</v>
      </c>
      <c r="N7">
        <v>7.6</v>
      </c>
      <c r="O7">
        <v>7.6</v>
      </c>
      <c r="P7">
        <v>5.8218487394957998</v>
      </c>
      <c r="Q7">
        <v>1.4162530024019213</v>
      </c>
      <c r="R7">
        <v>1.4162530024019213</v>
      </c>
      <c r="S7">
        <v>1.0848961522158904</v>
      </c>
      <c r="T7">
        <v>0</v>
      </c>
      <c r="U7">
        <v>0</v>
      </c>
      <c r="V7">
        <v>0.16625300240192131</v>
      </c>
      <c r="W7">
        <v>0</v>
      </c>
      <c r="X7">
        <v>0</v>
      </c>
      <c r="Y7">
        <v>0</v>
      </c>
      <c r="Z7">
        <v>8.4896152215890419E-2</v>
      </c>
      <c r="AA7">
        <v>0</v>
      </c>
      <c r="AB7">
        <v>0.16510384778410958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0.70608852959466351</v>
      </c>
      <c r="AO7">
        <v>0.70608852959466351</v>
      </c>
      <c r="AP7">
        <v>0.76603272888102636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0.23396727111897364</v>
      </c>
      <c r="BB7">
        <v>0</v>
      </c>
      <c r="BC7">
        <v>0</v>
      </c>
      <c r="BD7">
        <v>0</v>
      </c>
      <c r="BE7">
        <v>0.70608852959466351</v>
      </c>
      <c r="BF7">
        <v>0</v>
      </c>
      <c r="BG7">
        <v>0</v>
      </c>
      <c r="BH7">
        <v>0</v>
      </c>
      <c r="BI7">
        <v>0</v>
      </c>
      <c r="BJ7">
        <v>0</v>
      </c>
      <c r="BK7">
        <v>1.3054272517321013</v>
      </c>
      <c r="BL7">
        <v>1.3054272517321013</v>
      </c>
      <c r="BM7">
        <v>0.92174720866832205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0.30542725173210128</v>
      </c>
      <c r="BW7">
        <v>0</v>
      </c>
      <c r="BX7">
        <v>0</v>
      </c>
      <c r="BY7">
        <v>0</v>
      </c>
      <c r="BZ7">
        <v>7.8252791331677951E-2</v>
      </c>
      <c r="CA7">
        <v>0</v>
      </c>
      <c r="CB7">
        <v>0.92174720866832205</v>
      </c>
      <c r="CC7">
        <v>0</v>
      </c>
      <c r="CD7">
        <v>0</v>
      </c>
      <c r="CE7">
        <v>0</v>
      </c>
      <c r="CF7">
        <v>0</v>
      </c>
      <c r="CG7">
        <v>0</v>
      </c>
    </row>
    <row r="8" spans="1:85" hidden="1" x14ac:dyDescent="0.25">
      <c r="A8" t="s">
        <v>128</v>
      </c>
      <c r="B8" t="s">
        <v>134</v>
      </c>
      <c r="C8" t="s">
        <v>72</v>
      </c>
      <c r="D8" s="12">
        <v>45573</v>
      </c>
      <c r="E8" t="s">
        <v>135</v>
      </c>
      <c r="F8" t="s">
        <v>135</v>
      </c>
      <c r="G8" t="s">
        <v>135</v>
      </c>
      <c r="H8" t="s">
        <v>75</v>
      </c>
      <c r="I8">
        <v>10</v>
      </c>
      <c r="J8">
        <v>1</v>
      </c>
      <c r="K8">
        <v>11.626924453992125</v>
      </c>
      <c r="L8">
        <v>45573</v>
      </c>
      <c r="M8" t="s">
        <v>141</v>
      </c>
      <c r="N8">
        <v>14.25</v>
      </c>
      <c r="O8">
        <v>14.25</v>
      </c>
      <c r="P8">
        <v>10.443813387423935</v>
      </c>
      <c r="Q8">
        <v>1.2256035597708934</v>
      </c>
      <c r="R8">
        <v>1.2256035597708934</v>
      </c>
      <c r="S8">
        <v>0.89824385019015363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0.22560355977089341</v>
      </c>
      <c r="AC8">
        <v>0</v>
      </c>
      <c r="AD8">
        <v>0</v>
      </c>
      <c r="AE8">
        <v>0</v>
      </c>
      <c r="AF8">
        <v>0.10175614980984637</v>
      </c>
      <c r="AG8">
        <v>0</v>
      </c>
      <c r="AH8">
        <v>0.89824385019015363</v>
      </c>
      <c r="AI8">
        <v>0</v>
      </c>
      <c r="AJ8">
        <v>0</v>
      </c>
      <c r="AK8">
        <v>0</v>
      </c>
      <c r="AL8">
        <v>0</v>
      </c>
      <c r="AM8">
        <v>0</v>
      </c>
      <c r="AN8">
        <v>0.81592452308716668</v>
      </c>
      <c r="AO8">
        <v>0.81592452308716668</v>
      </c>
      <c r="AP8">
        <v>0.73289918508238139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0.18407547691283332</v>
      </c>
      <c r="BB8">
        <v>0</v>
      </c>
      <c r="BC8">
        <v>8.3025338004785287E-2</v>
      </c>
      <c r="BD8">
        <v>0</v>
      </c>
      <c r="BE8">
        <v>0.73289918508238139</v>
      </c>
      <c r="BF8">
        <v>0</v>
      </c>
      <c r="BG8">
        <v>0</v>
      </c>
      <c r="BH8">
        <v>0</v>
      </c>
      <c r="BI8">
        <v>0</v>
      </c>
      <c r="BJ8">
        <v>0</v>
      </c>
      <c r="BK8">
        <v>1.3644441423244251</v>
      </c>
      <c r="BL8">
        <v>1.3644441423244251</v>
      </c>
      <c r="BM8">
        <v>1.1132834361051347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0.11328343610513469</v>
      </c>
      <c r="BU8">
        <v>0</v>
      </c>
      <c r="BV8">
        <v>0.25116070621929043</v>
      </c>
      <c r="BW8">
        <v>0</v>
      </c>
      <c r="BX8">
        <v>0</v>
      </c>
      <c r="BY8">
        <v>0</v>
      </c>
      <c r="BZ8">
        <v>0</v>
      </c>
      <c r="CA8">
        <v>0</v>
      </c>
      <c r="CB8">
        <v>1</v>
      </c>
      <c r="CC8">
        <v>0</v>
      </c>
      <c r="CD8">
        <v>0</v>
      </c>
      <c r="CE8">
        <v>0</v>
      </c>
      <c r="CF8">
        <v>0</v>
      </c>
      <c r="CG8">
        <v>0</v>
      </c>
    </row>
    <row r="9" spans="1:85" hidden="1" x14ac:dyDescent="0.25">
      <c r="A9" t="s">
        <v>128</v>
      </c>
      <c r="B9" t="s">
        <v>134</v>
      </c>
      <c r="C9" t="s">
        <v>109</v>
      </c>
      <c r="D9" s="12">
        <v>45573</v>
      </c>
      <c r="E9" t="s">
        <v>135</v>
      </c>
      <c r="F9" t="s">
        <v>135</v>
      </c>
      <c r="G9" t="s">
        <v>135</v>
      </c>
      <c r="K9">
        <v>31.303258145363408</v>
      </c>
      <c r="N9">
        <v>41.8</v>
      </c>
      <c r="O9">
        <v>41.8</v>
      </c>
      <c r="P9">
        <v>28.544042570006059</v>
      </c>
      <c r="T9">
        <v>0</v>
      </c>
      <c r="U9">
        <v>0</v>
      </c>
      <c r="V9">
        <v>9.4385794349765531E-2</v>
      </c>
      <c r="W9">
        <v>0</v>
      </c>
      <c r="X9">
        <v>0</v>
      </c>
      <c r="Y9">
        <v>0</v>
      </c>
      <c r="Z9">
        <v>1.4553626094152646E-2</v>
      </c>
      <c r="AA9">
        <v>0</v>
      </c>
      <c r="AB9">
        <v>0.22638483896360778</v>
      </c>
      <c r="AC9">
        <v>0</v>
      </c>
      <c r="AD9">
        <v>0</v>
      </c>
      <c r="AE9">
        <v>0</v>
      </c>
      <c r="AF9">
        <v>0.10269830300108486</v>
      </c>
      <c r="AG9">
        <v>0</v>
      </c>
      <c r="AH9">
        <v>0.89730169699891527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85" hidden="1" x14ac:dyDescent="0.25">
      <c r="A10" t="s">
        <v>128</v>
      </c>
      <c r="B10" t="s">
        <v>134</v>
      </c>
      <c r="C10" t="s">
        <v>72</v>
      </c>
      <c r="D10" s="12">
        <v>45574</v>
      </c>
      <c r="E10" t="s">
        <v>135</v>
      </c>
      <c r="F10" t="s">
        <v>135</v>
      </c>
      <c r="G10" t="s">
        <v>135</v>
      </c>
      <c r="H10" t="s">
        <v>73</v>
      </c>
      <c r="I10">
        <v>10</v>
      </c>
      <c r="J10">
        <v>1</v>
      </c>
      <c r="K10">
        <v>14.310060866451844</v>
      </c>
      <c r="L10">
        <v>45574</v>
      </c>
      <c r="M10" t="s">
        <v>142</v>
      </c>
      <c r="N10">
        <v>16.149999999999999</v>
      </c>
      <c r="O10">
        <v>16.149999999999999</v>
      </c>
      <c r="P10">
        <v>12.4558696205755</v>
      </c>
      <c r="Q10">
        <v>1.1285766112890312</v>
      </c>
      <c r="R10">
        <v>1.1285766112890312</v>
      </c>
      <c r="S10">
        <v>0.8704274382072501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0.1285766112890312</v>
      </c>
      <c r="AC10">
        <v>0</v>
      </c>
      <c r="AD10">
        <v>0</v>
      </c>
      <c r="AE10">
        <v>0</v>
      </c>
      <c r="AF10">
        <v>0.1295725617927499</v>
      </c>
      <c r="AG10">
        <v>0</v>
      </c>
      <c r="AH10">
        <v>0.8704274382072501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0.88607188027565598</v>
      </c>
      <c r="AO10">
        <v>0.88607188027565598</v>
      </c>
      <c r="AP10">
        <v>0.77126127681582046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0.11392811972434402</v>
      </c>
      <c r="BB10">
        <v>0</v>
      </c>
      <c r="BC10">
        <v>0.11481060345983551</v>
      </c>
      <c r="BD10">
        <v>0</v>
      </c>
      <c r="BE10">
        <v>0.77126127681582046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1.2965774764792231</v>
      </c>
      <c r="BL10">
        <v>1.2965774764792231</v>
      </c>
      <c r="BM10">
        <v>1.1488608425070104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0.14886084250701037</v>
      </c>
      <c r="BU10">
        <v>0</v>
      </c>
      <c r="BV10">
        <v>0.14771663397221269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1</v>
      </c>
      <c r="CC10">
        <v>0</v>
      </c>
      <c r="CD10">
        <v>0</v>
      </c>
      <c r="CE10">
        <v>0</v>
      </c>
      <c r="CF10">
        <v>0</v>
      </c>
      <c r="CG10">
        <v>0</v>
      </c>
    </row>
    <row r="11" spans="1:85" hidden="1" x14ac:dyDescent="0.25">
      <c r="A11" t="s">
        <v>128</v>
      </c>
      <c r="B11" t="s">
        <v>134</v>
      </c>
      <c r="C11" t="s">
        <v>72</v>
      </c>
      <c r="D11" s="12">
        <v>45574</v>
      </c>
      <c r="E11" t="s">
        <v>135</v>
      </c>
      <c r="F11" t="s">
        <v>135</v>
      </c>
      <c r="G11" t="s">
        <v>135</v>
      </c>
      <c r="H11" t="s">
        <v>74</v>
      </c>
      <c r="I11">
        <v>10</v>
      </c>
      <c r="J11">
        <v>1</v>
      </c>
      <c r="K11">
        <v>5.3662728249194425</v>
      </c>
      <c r="L11">
        <v>45574</v>
      </c>
      <c r="M11" t="s">
        <v>143</v>
      </c>
      <c r="N11">
        <v>6.6499999999999995</v>
      </c>
      <c r="O11">
        <v>6.6499999999999995</v>
      </c>
      <c r="P11">
        <v>5.8218487394957998</v>
      </c>
      <c r="Q11">
        <v>1.2392213771016811</v>
      </c>
      <c r="R11">
        <v>1.2392213771016811</v>
      </c>
      <c r="S11">
        <v>1.0848961522158904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8.4896152215890419E-2</v>
      </c>
      <c r="AA11">
        <v>0</v>
      </c>
      <c r="AB11">
        <v>0.1543252248857907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0.80695831953675834</v>
      </c>
      <c r="AO11">
        <v>0.80695831953675834</v>
      </c>
      <c r="AP11">
        <v>0.87546597586403008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0.12453402413596992</v>
      </c>
      <c r="BB11">
        <v>0</v>
      </c>
      <c r="BC11">
        <v>0</v>
      </c>
      <c r="BD11">
        <v>0</v>
      </c>
      <c r="BE11">
        <v>0.80695831953675834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1.1422488452655886</v>
      </c>
      <c r="BL11">
        <v>1.1422488452655886</v>
      </c>
      <c r="BM11">
        <v>0.92174720866832205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0.14224884526558856</v>
      </c>
      <c r="BW11">
        <v>0</v>
      </c>
      <c r="BX11">
        <v>0</v>
      </c>
      <c r="BY11">
        <v>0</v>
      </c>
      <c r="BZ11">
        <v>7.8252791331677951E-2</v>
      </c>
      <c r="CA11">
        <v>0</v>
      </c>
      <c r="CB11">
        <v>0.92174720866832205</v>
      </c>
      <c r="CC11">
        <v>0</v>
      </c>
      <c r="CD11">
        <v>0</v>
      </c>
      <c r="CE11">
        <v>0</v>
      </c>
      <c r="CF11">
        <v>0</v>
      </c>
      <c r="CG11">
        <v>0</v>
      </c>
    </row>
    <row r="12" spans="1:85" hidden="1" x14ac:dyDescent="0.25">
      <c r="A12" t="s">
        <v>128</v>
      </c>
      <c r="B12" t="s">
        <v>134</v>
      </c>
      <c r="C12" t="s">
        <v>72</v>
      </c>
      <c r="D12" s="12">
        <v>45574</v>
      </c>
      <c r="E12" t="s">
        <v>135</v>
      </c>
      <c r="F12" t="s">
        <v>135</v>
      </c>
      <c r="G12" t="s">
        <v>135</v>
      </c>
      <c r="H12" t="s">
        <v>75</v>
      </c>
      <c r="I12">
        <v>10</v>
      </c>
      <c r="J12">
        <v>1</v>
      </c>
      <c r="K12">
        <v>11.626924453992125</v>
      </c>
      <c r="L12">
        <v>45574</v>
      </c>
      <c r="M12" t="s">
        <v>144</v>
      </c>
      <c r="N12">
        <v>16.149999999999999</v>
      </c>
      <c r="O12">
        <v>16.149999999999999</v>
      </c>
      <c r="P12">
        <v>11.483222254419006</v>
      </c>
      <c r="Q12">
        <v>1.3890173677403459</v>
      </c>
      <c r="R12">
        <v>1.3890173677403459</v>
      </c>
      <c r="S12">
        <v>0.98764056650219501</v>
      </c>
      <c r="T12">
        <v>0</v>
      </c>
      <c r="U12">
        <v>0</v>
      </c>
      <c r="V12">
        <v>0.1390173677403459</v>
      </c>
      <c r="W12">
        <v>0</v>
      </c>
      <c r="X12">
        <v>0</v>
      </c>
      <c r="Y12">
        <v>0</v>
      </c>
      <c r="Z12">
        <v>0</v>
      </c>
      <c r="AA12">
        <v>0</v>
      </c>
      <c r="AB12">
        <v>0.25</v>
      </c>
      <c r="AC12">
        <v>0</v>
      </c>
      <c r="AD12">
        <v>0</v>
      </c>
      <c r="AE12">
        <v>0</v>
      </c>
      <c r="AF12">
        <v>1.2359433497804995E-2</v>
      </c>
      <c r="AG12">
        <v>0</v>
      </c>
      <c r="AH12">
        <v>0.98764056650219501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0.71993340272397066</v>
      </c>
      <c r="AO12">
        <v>0.71993340272397066</v>
      </c>
      <c r="AP12">
        <v>0.71103543371015521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0.28006659727602934</v>
      </c>
      <c r="BB12">
        <v>0</v>
      </c>
      <c r="BC12">
        <v>8.8979690138154544E-3</v>
      </c>
      <c r="BD12">
        <v>0</v>
      </c>
      <c r="BE12">
        <v>0.71103543371015521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1.406399670944722</v>
      </c>
      <c r="BL12">
        <v>1.406399670944722</v>
      </c>
      <c r="BM12">
        <v>1.0125141006931062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1.2514100693106212E-2</v>
      </c>
      <c r="BU12">
        <v>0</v>
      </c>
      <c r="BV12">
        <v>0.39388557025161575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1</v>
      </c>
      <c r="CC12">
        <v>0</v>
      </c>
      <c r="CD12">
        <v>0</v>
      </c>
      <c r="CE12">
        <v>0</v>
      </c>
      <c r="CF12">
        <v>0</v>
      </c>
      <c r="CG12">
        <v>0</v>
      </c>
    </row>
    <row r="13" spans="1:85" hidden="1" x14ac:dyDescent="0.25">
      <c r="A13" t="s">
        <v>128</v>
      </c>
      <c r="B13" t="s">
        <v>134</v>
      </c>
      <c r="C13" t="s">
        <v>109</v>
      </c>
      <c r="D13" s="12">
        <v>45574</v>
      </c>
      <c r="E13" t="s">
        <v>135</v>
      </c>
      <c r="F13" t="s">
        <v>135</v>
      </c>
      <c r="G13" t="s">
        <v>135</v>
      </c>
      <c r="K13">
        <v>31.303258145363408</v>
      </c>
      <c r="N13">
        <v>38.949999999999996</v>
      </c>
      <c r="O13">
        <v>38.949999999999996</v>
      </c>
      <c r="P13">
        <v>29.760940614490305</v>
      </c>
      <c r="T13">
        <v>0</v>
      </c>
      <c r="U13">
        <v>0</v>
      </c>
      <c r="V13">
        <v>5.1635022303557057E-2</v>
      </c>
      <c r="W13">
        <v>0</v>
      </c>
      <c r="X13">
        <v>0</v>
      </c>
      <c r="Y13">
        <v>0</v>
      </c>
      <c r="Z13">
        <v>1.4553626094152646E-2</v>
      </c>
      <c r="AA13">
        <v>0</v>
      </c>
      <c r="AB13">
        <v>0.17809077514112126</v>
      </c>
      <c r="AC13">
        <v>0</v>
      </c>
      <c r="AD13">
        <v>0</v>
      </c>
      <c r="AE13">
        <v>0</v>
      </c>
      <c r="AF13">
        <v>6.3823817833013233E-2</v>
      </c>
      <c r="AG13">
        <v>0</v>
      </c>
      <c r="AH13">
        <v>0.93617618216698684</v>
      </c>
      <c r="AI13">
        <v>0</v>
      </c>
      <c r="AJ13">
        <v>0</v>
      </c>
      <c r="AK13">
        <v>0</v>
      </c>
      <c r="AL13">
        <v>0</v>
      </c>
      <c r="AM13">
        <v>0</v>
      </c>
    </row>
    <row r="14" spans="1:85" hidden="1" x14ac:dyDescent="0.25">
      <c r="A14" t="s">
        <v>128</v>
      </c>
      <c r="B14" t="s">
        <v>134</v>
      </c>
      <c r="C14" t="s">
        <v>72</v>
      </c>
      <c r="D14" s="12">
        <v>45575</v>
      </c>
      <c r="E14" t="s">
        <v>135</v>
      </c>
      <c r="F14" t="s">
        <v>135</v>
      </c>
      <c r="G14" t="s">
        <v>135</v>
      </c>
      <c r="H14" t="s">
        <v>73</v>
      </c>
      <c r="I14">
        <v>10</v>
      </c>
      <c r="J14">
        <v>1</v>
      </c>
      <c r="K14">
        <v>14.310060866451844</v>
      </c>
      <c r="L14">
        <v>45575</v>
      </c>
      <c r="M14" t="s">
        <v>145</v>
      </c>
      <c r="N14">
        <v>18.05</v>
      </c>
      <c r="O14">
        <v>18.05</v>
      </c>
      <c r="P14">
        <v>10.823834988540863</v>
      </c>
      <c r="Q14">
        <v>1.2613503302642115</v>
      </c>
      <c r="R14">
        <v>1.2613503302642115</v>
      </c>
      <c r="S14">
        <v>0.75637938158012985</v>
      </c>
      <c r="T14">
        <v>0</v>
      </c>
      <c r="U14">
        <v>0</v>
      </c>
      <c r="V14">
        <v>1.1350330264211506E-2</v>
      </c>
      <c r="W14">
        <v>0</v>
      </c>
      <c r="X14">
        <v>0</v>
      </c>
      <c r="Y14">
        <v>0</v>
      </c>
      <c r="Z14">
        <v>0</v>
      </c>
      <c r="AA14">
        <v>0</v>
      </c>
      <c r="AB14">
        <v>0.25</v>
      </c>
      <c r="AC14">
        <v>0</v>
      </c>
      <c r="AD14">
        <v>0</v>
      </c>
      <c r="AE14">
        <v>0</v>
      </c>
      <c r="AF14">
        <v>0.24362061841987015</v>
      </c>
      <c r="AG14">
        <v>0</v>
      </c>
      <c r="AH14">
        <v>0.75637938158012985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0.79280115603611323</v>
      </c>
      <c r="AO14">
        <v>0.79280115603611323</v>
      </c>
      <c r="AP14">
        <v>0.59965844811860736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0.20719884396388677</v>
      </c>
      <c r="BB14">
        <v>0</v>
      </c>
      <c r="BC14">
        <v>0.19314270791750587</v>
      </c>
      <c r="BD14">
        <v>0</v>
      </c>
      <c r="BE14">
        <v>0.59965844811860736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1.6676159622822633</v>
      </c>
      <c r="BL14">
        <v>1.6676159622822633</v>
      </c>
      <c r="BM14">
        <v>1.3220878627216537</v>
      </c>
      <c r="CD14">
        <v>0</v>
      </c>
      <c r="CE14">
        <v>0</v>
      </c>
      <c r="CF14">
        <v>0</v>
      </c>
    </row>
    <row r="15" spans="1:85" hidden="1" x14ac:dyDescent="0.25">
      <c r="A15" t="s">
        <v>128</v>
      </c>
      <c r="B15" t="s">
        <v>134</v>
      </c>
      <c r="C15" t="s">
        <v>72</v>
      </c>
      <c r="D15" s="12">
        <v>45575</v>
      </c>
      <c r="E15" t="s">
        <v>135</v>
      </c>
      <c r="F15" t="s">
        <v>135</v>
      </c>
      <c r="G15" t="s">
        <v>135</v>
      </c>
      <c r="H15" t="s">
        <v>74</v>
      </c>
      <c r="I15">
        <v>10</v>
      </c>
      <c r="J15">
        <v>1</v>
      </c>
      <c r="K15">
        <v>5.3662728249194425</v>
      </c>
      <c r="L15">
        <v>45575</v>
      </c>
      <c r="M15" t="s">
        <v>146</v>
      </c>
      <c r="N15">
        <v>5.6999999999999993</v>
      </c>
      <c r="O15">
        <v>5.6999999999999993</v>
      </c>
      <c r="P15">
        <v>5.7669467787114854</v>
      </c>
      <c r="Q15">
        <v>1.0621897518014409</v>
      </c>
      <c r="R15">
        <v>1.0621897518014409</v>
      </c>
      <c r="S15">
        <v>1.0746652223739777</v>
      </c>
      <c r="T15">
        <v>1.2475470572536729E-2</v>
      </c>
      <c r="U15">
        <v>0</v>
      </c>
      <c r="V15">
        <v>0</v>
      </c>
      <c r="W15">
        <v>0</v>
      </c>
      <c r="X15">
        <v>0</v>
      </c>
      <c r="Y15">
        <v>0</v>
      </c>
      <c r="Z15">
        <v>6.2189751801440929E-2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0.94145137279288471</v>
      </c>
      <c r="AO15">
        <v>0.94145137279288471</v>
      </c>
      <c r="AP15">
        <v>1.0117450488967519</v>
      </c>
      <c r="AQ15">
        <v>1.1745048896751875E-2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0.94145137279288471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0.98839129590052432</v>
      </c>
      <c r="BL15">
        <v>0.98839129590052432</v>
      </c>
      <c r="BM15">
        <v>0.93052234238208698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1.1608704099475675E-2</v>
      </c>
      <c r="BY15">
        <v>0</v>
      </c>
      <c r="BZ15">
        <v>5.7868953518437349E-2</v>
      </c>
      <c r="CA15">
        <v>0</v>
      </c>
      <c r="CB15">
        <v>0.93052234238208698</v>
      </c>
      <c r="CC15">
        <v>0</v>
      </c>
      <c r="CD15">
        <v>0</v>
      </c>
      <c r="CE15">
        <v>0</v>
      </c>
      <c r="CF15">
        <v>0</v>
      </c>
      <c r="CG15">
        <v>0</v>
      </c>
    </row>
    <row r="16" spans="1:85" hidden="1" x14ac:dyDescent="0.25">
      <c r="A16" t="s">
        <v>128</v>
      </c>
      <c r="B16" t="s">
        <v>134</v>
      </c>
      <c r="C16" t="s">
        <v>72</v>
      </c>
      <c r="D16" s="12">
        <v>45575</v>
      </c>
      <c r="E16" t="s">
        <v>135</v>
      </c>
      <c r="F16" t="s">
        <v>135</v>
      </c>
      <c r="G16" t="s">
        <v>135</v>
      </c>
      <c r="H16" t="s">
        <v>75</v>
      </c>
      <c r="I16">
        <v>10</v>
      </c>
      <c r="J16">
        <v>1</v>
      </c>
      <c r="K16">
        <v>11.626924453992126</v>
      </c>
      <c r="L16">
        <v>45575</v>
      </c>
      <c r="M16" t="s">
        <v>147</v>
      </c>
      <c r="N16">
        <v>14.25</v>
      </c>
      <c r="O16">
        <v>14.25</v>
      </c>
      <c r="P16">
        <v>10.094388100067611</v>
      </c>
      <c r="Q16">
        <v>1.2256035597708932</v>
      </c>
      <c r="R16">
        <v>1.2256035597708932</v>
      </c>
      <c r="S16">
        <v>0.86819073608082864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0.22560355977089319</v>
      </c>
      <c r="AC16">
        <v>0</v>
      </c>
      <c r="AD16">
        <v>0</v>
      </c>
      <c r="AE16">
        <v>0</v>
      </c>
      <c r="AF16">
        <v>0.13180926391917136</v>
      </c>
      <c r="AG16">
        <v>0</v>
      </c>
      <c r="AH16">
        <v>0.86819073608082864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0.81592452308716679</v>
      </c>
      <c r="AO16">
        <v>0.81592452308716679</v>
      </c>
      <c r="AP16">
        <v>0.70837811228544645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0.18407547691283321</v>
      </c>
      <c r="BB16">
        <v>0</v>
      </c>
      <c r="BC16">
        <v>0.10754641080172034</v>
      </c>
      <c r="BD16">
        <v>0</v>
      </c>
      <c r="BE16">
        <v>0.70837811228544645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1.4116754635087345</v>
      </c>
      <c r="BL16">
        <v>1.4116754635087345</v>
      </c>
      <c r="BM16">
        <v>1.1518206293172193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0.15182062931721929</v>
      </c>
      <c r="BU16">
        <v>0</v>
      </c>
      <c r="BV16">
        <v>0.25985483419151523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1</v>
      </c>
      <c r="CC16">
        <v>0</v>
      </c>
      <c r="CD16">
        <v>0</v>
      </c>
      <c r="CE16">
        <v>0</v>
      </c>
      <c r="CF16">
        <v>0</v>
      </c>
      <c r="CG16">
        <v>0</v>
      </c>
    </row>
    <row r="17" spans="1:85" hidden="1" x14ac:dyDescent="0.25">
      <c r="A17" t="s">
        <v>128</v>
      </c>
      <c r="B17" t="s">
        <v>134</v>
      </c>
      <c r="C17" t="s">
        <v>109</v>
      </c>
      <c r="D17" s="12">
        <v>45575</v>
      </c>
      <c r="E17" t="s">
        <v>135</v>
      </c>
      <c r="F17" t="s">
        <v>135</v>
      </c>
      <c r="G17" t="s">
        <v>135</v>
      </c>
      <c r="K17">
        <v>31.303258145363415</v>
      </c>
      <c r="N17">
        <v>38</v>
      </c>
      <c r="O17">
        <v>38</v>
      </c>
      <c r="P17">
        <v>26.68516986731996</v>
      </c>
      <c r="T17">
        <v>2.1386520981491537E-3</v>
      </c>
      <c r="U17">
        <v>0</v>
      </c>
      <c r="V17">
        <v>5.1887224064966877E-3</v>
      </c>
      <c r="W17">
        <v>0</v>
      </c>
      <c r="X17">
        <v>0</v>
      </c>
      <c r="Y17">
        <v>0</v>
      </c>
      <c r="Z17">
        <v>1.0661100308818445E-2</v>
      </c>
      <c r="AA17">
        <v>0</v>
      </c>
      <c r="AB17">
        <v>0.19808132220061744</v>
      </c>
      <c r="AC17">
        <v>0</v>
      </c>
      <c r="AD17">
        <v>0</v>
      </c>
      <c r="AE17">
        <v>0</v>
      </c>
      <c r="AF17">
        <v>0.16032715216191853</v>
      </c>
      <c r="AG17">
        <v>0</v>
      </c>
      <c r="AH17">
        <v>0.83967284783808138</v>
      </c>
      <c r="AI17">
        <v>0</v>
      </c>
      <c r="AJ17">
        <v>0</v>
      </c>
      <c r="AK17">
        <v>0</v>
      </c>
      <c r="AL17">
        <v>0</v>
      </c>
      <c r="AM17">
        <v>0</v>
      </c>
    </row>
    <row r="18" spans="1:85" hidden="1" x14ac:dyDescent="0.25">
      <c r="A18" t="s">
        <v>128</v>
      </c>
      <c r="B18" t="s">
        <v>134</v>
      </c>
      <c r="C18" t="s">
        <v>72</v>
      </c>
      <c r="D18" s="12">
        <v>45576</v>
      </c>
      <c r="E18" t="s">
        <v>135</v>
      </c>
      <c r="F18" t="s">
        <v>135</v>
      </c>
      <c r="G18" t="s">
        <v>135</v>
      </c>
      <c r="H18" t="s">
        <v>73</v>
      </c>
      <c r="I18">
        <v>10</v>
      </c>
      <c r="J18">
        <v>1</v>
      </c>
      <c r="K18">
        <v>14.310060866451844</v>
      </c>
      <c r="L18">
        <v>45576</v>
      </c>
      <c r="M18" t="s">
        <v>148</v>
      </c>
      <c r="N18">
        <v>19</v>
      </c>
      <c r="O18">
        <v>19</v>
      </c>
      <c r="P18">
        <v>8.0003055767761602</v>
      </c>
      <c r="Q18">
        <v>1.3277371897518015</v>
      </c>
      <c r="R18">
        <v>1.3277371897518015</v>
      </c>
      <c r="S18">
        <v>0.55906859177181289</v>
      </c>
      <c r="T18">
        <v>0</v>
      </c>
      <c r="U18">
        <v>0</v>
      </c>
      <c r="V18">
        <v>7.773718975180155E-2</v>
      </c>
      <c r="W18">
        <v>0</v>
      </c>
      <c r="X18">
        <v>0</v>
      </c>
      <c r="Y18">
        <v>0</v>
      </c>
      <c r="Z18">
        <v>0</v>
      </c>
      <c r="AA18">
        <v>0</v>
      </c>
      <c r="AB18">
        <v>0.25</v>
      </c>
      <c r="AC18">
        <v>0</v>
      </c>
      <c r="AD18">
        <v>0</v>
      </c>
      <c r="AE18">
        <v>0</v>
      </c>
      <c r="AF18">
        <v>0.44093140822818711</v>
      </c>
      <c r="AG18">
        <v>0</v>
      </c>
      <c r="AH18">
        <v>0.55906859177181289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0.75316109823430755</v>
      </c>
      <c r="AO18">
        <v>0.75316109823430755</v>
      </c>
      <c r="AP18">
        <v>0.42106871456716632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0.24683890176569245</v>
      </c>
      <c r="BB18">
        <v>0</v>
      </c>
      <c r="BC18">
        <v>0.33209238366714122</v>
      </c>
      <c r="BD18">
        <v>0</v>
      </c>
      <c r="BE18">
        <v>0.42106871456716632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2.3749092853596134</v>
      </c>
      <c r="BL18">
        <v>2.3749092853596134</v>
      </c>
      <c r="BM18">
        <v>1.788689285568301</v>
      </c>
      <c r="CD18">
        <v>0</v>
      </c>
      <c r="CE18">
        <v>0</v>
      </c>
      <c r="CF18">
        <v>0</v>
      </c>
    </row>
    <row r="19" spans="1:85" hidden="1" x14ac:dyDescent="0.25">
      <c r="A19" t="s">
        <v>128</v>
      </c>
      <c r="B19" t="s">
        <v>134</v>
      </c>
      <c r="C19" t="s">
        <v>72</v>
      </c>
      <c r="D19" s="12">
        <v>45576</v>
      </c>
      <c r="E19" t="s">
        <v>135</v>
      </c>
      <c r="F19" t="s">
        <v>135</v>
      </c>
      <c r="G19" t="s">
        <v>135</v>
      </c>
      <c r="H19" t="s">
        <v>74</v>
      </c>
      <c r="I19">
        <v>10</v>
      </c>
      <c r="J19">
        <v>1</v>
      </c>
      <c r="K19">
        <v>5.3662728249194425</v>
      </c>
      <c r="L19">
        <v>45576</v>
      </c>
      <c r="M19" t="s">
        <v>149</v>
      </c>
      <c r="N19">
        <v>6.6499999999999995</v>
      </c>
      <c r="O19">
        <v>6.6499999999999995</v>
      </c>
      <c r="P19">
        <v>5.8393599864188106</v>
      </c>
      <c r="Q19">
        <v>1.2392213771016811</v>
      </c>
      <c r="R19">
        <v>1.2392213771016811</v>
      </c>
      <c r="S19">
        <v>1.0881593569567478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8.8159356956747814E-2</v>
      </c>
      <c r="AA19">
        <v>0</v>
      </c>
      <c r="AB19">
        <v>0.15106202014493331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0.80695831953675834</v>
      </c>
      <c r="AO19">
        <v>0.80695831953675834</v>
      </c>
      <c r="AP19">
        <v>0.8780992460780167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0.1219007539219833</v>
      </c>
      <c r="BB19">
        <v>0</v>
      </c>
      <c r="BC19">
        <v>0</v>
      </c>
      <c r="BD19">
        <v>0</v>
      </c>
      <c r="BE19">
        <v>0.80695831953675834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1.1388234353536306</v>
      </c>
      <c r="BL19">
        <v>1.1388234353536306</v>
      </c>
      <c r="BM19">
        <v>0.91898304564204392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0.13882343535363062</v>
      </c>
      <c r="BW19">
        <v>0</v>
      </c>
      <c r="BX19">
        <v>0</v>
      </c>
      <c r="BY19">
        <v>0</v>
      </c>
      <c r="BZ19">
        <v>8.1016954357956084E-2</v>
      </c>
      <c r="CA19">
        <v>0</v>
      </c>
      <c r="CB19">
        <v>0.91898304564204392</v>
      </c>
      <c r="CC19">
        <v>0</v>
      </c>
      <c r="CD19">
        <v>0</v>
      </c>
      <c r="CE19">
        <v>0</v>
      </c>
      <c r="CF19">
        <v>0</v>
      </c>
      <c r="CG19">
        <v>0</v>
      </c>
    </row>
    <row r="20" spans="1:85" hidden="1" x14ac:dyDescent="0.25">
      <c r="A20" t="s">
        <v>128</v>
      </c>
      <c r="B20" t="s">
        <v>134</v>
      </c>
      <c r="C20" t="s">
        <v>72</v>
      </c>
      <c r="D20" s="12">
        <v>45576</v>
      </c>
      <c r="E20" t="s">
        <v>135</v>
      </c>
      <c r="F20" t="s">
        <v>135</v>
      </c>
      <c r="G20" t="s">
        <v>135</v>
      </c>
      <c r="H20" t="s">
        <v>75</v>
      </c>
      <c r="I20">
        <v>10</v>
      </c>
      <c r="J20">
        <v>1</v>
      </c>
      <c r="K20">
        <v>11.626924453992125</v>
      </c>
      <c r="L20">
        <v>45576</v>
      </c>
      <c r="M20" t="s">
        <v>150</v>
      </c>
      <c r="N20">
        <v>12.35</v>
      </c>
      <c r="O20">
        <v>12.35</v>
      </c>
      <c r="P20">
        <v>9.6140922408670875</v>
      </c>
      <c r="Q20">
        <v>1.0621897518014409</v>
      </c>
      <c r="R20">
        <v>1.0621897518014409</v>
      </c>
      <c r="S20">
        <v>0.82688180171034587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6.2189751801440929E-2</v>
      </c>
      <c r="AC20">
        <v>0</v>
      </c>
      <c r="AD20">
        <v>0</v>
      </c>
      <c r="AE20">
        <v>0</v>
      </c>
      <c r="AF20">
        <v>0.17311819828965413</v>
      </c>
      <c r="AG20">
        <v>0</v>
      </c>
      <c r="AH20">
        <v>0.82688180171034587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0.9414513727928846</v>
      </c>
      <c r="AO20">
        <v>0.9414513727928846</v>
      </c>
      <c r="AP20">
        <v>0.77846900735765889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5.85486272071154E-2</v>
      </c>
      <c r="BB20">
        <v>0</v>
      </c>
      <c r="BC20">
        <v>0.16298236543522571</v>
      </c>
      <c r="BD20">
        <v>0</v>
      </c>
      <c r="BE20">
        <v>0.77846900735765889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1.2845726554924506</v>
      </c>
      <c r="BL20">
        <v>1.2845726554924506</v>
      </c>
      <c r="BM20">
        <v>1.2093626899655689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0.20936268996556895</v>
      </c>
      <c r="BU20">
        <v>0</v>
      </c>
      <c r="BV20">
        <v>7.5209965526881639E-2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1</v>
      </c>
      <c r="CC20">
        <v>0</v>
      </c>
      <c r="CD20">
        <v>0</v>
      </c>
      <c r="CE20">
        <v>0</v>
      </c>
      <c r="CF20">
        <v>0</v>
      </c>
      <c r="CG20">
        <v>0</v>
      </c>
    </row>
    <row r="21" spans="1:85" hidden="1" x14ac:dyDescent="0.25">
      <c r="A21" t="s">
        <v>128</v>
      </c>
      <c r="B21" t="s">
        <v>134</v>
      </c>
      <c r="C21" t="s">
        <v>109</v>
      </c>
      <c r="D21" s="12">
        <v>45576</v>
      </c>
      <c r="E21" t="s">
        <v>135</v>
      </c>
      <c r="F21" t="s">
        <v>135</v>
      </c>
      <c r="G21" t="s">
        <v>135</v>
      </c>
      <c r="K21">
        <v>31.303258145363412</v>
      </c>
      <c r="N21">
        <v>38</v>
      </c>
      <c r="O21">
        <v>38</v>
      </c>
      <c r="P21">
        <v>23.453757804062057</v>
      </c>
      <c r="T21">
        <v>0</v>
      </c>
      <c r="U21">
        <v>0</v>
      </c>
      <c r="V21">
        <v>3.5537001029394985E-2</v>
      </c>
      <c r="W21">
        <v>0</v>
      </c>
      <c r="X21">
        <v>0</v>
      </c>
      <c r="Y21">
        <v>0</v>
      </c>
      <c r="Z21">
        <v>1.5113032621156769E-2</v>
      </c>
      <c r="AA21">
        <v>0</v>
      </c>
      <c r="AB21">
        <v>0.16328111126538092</v>
      </c>
      <c r="AC21">
        <v>0</v>
      </c>
      <c r="AD21">
        <v>0</v>
      </c>
      <c r="AE21">
        <v>0</v>
      </c>
      <c r="AF21">
        <v>0.2658696888404713</v>
      </c>
      <c r="AG21">
        <v>0</v>
      </c>
      <c r="AH21">
        <v>0.73413031115952854</v>
      </c>
      <c r="AI21">
        <v>0</v>
      </c>
      <c r="AJ21">
        <v>0</v>
      </c>
      <c r="AK21">
        <v>0</v>
      </c>
      <c r="AL21">
        <v>0</v>
      </c>
      <c r="AM21">
        <v>0</v>
      </c>
    </row>
    <row r="22" spans="1:85" hidden="1" x14ac:dyDescent="0.25">
      <c r="A22" t="s">
        <v>128</v>
      </c>
      <c r="B22" t="s">
        <v>134</v>
      </c>
      <c r="C22" t="s">
        <v>72</v>
      </c>
      <c r="D22" s="12">
        <v>45577</v>
      </c>
      <c r="E22" t="s">
        <v>135</v>
      </c>
      <c r="F22" t="s">
        <v>135</v>
      </c>
      <c r="G22" t="s">
        <v>135</v>
      </c>
      <c r="H22" t="s">
        <v>73</v>
      </c>
      <c r="I22">
        <v>10</v>
      </c>
      <c r="J22">
        <v>1</v>
      </c>
      <c r="K22">
        <v>14.310060866451844</v>
      </c>
      <c r="L22">
        <v>45577</v>
      </c>
      <c r="M22" t="s">
        <v>151</v>
      </c>
      <c r="N22">
        <v>19.95</v>
      </c>
      <c r="O22">
        <v>19.95</v>
      </c>
      <c r="P22">
        <v>12.799132141378117</v>
      </c>
      <c r="Q22">
        <v>1.3941240492393916</v>
      </c>
      <c r="R22">
        <v>1.3941240492393916</v>
      </c>
      <c r="S22">
        <v>0.89441493371870195</v>
      </c>
      <c r="T22">
        <v>0</v>
      </c>
      <c r="U22">
        <v>0</v>
      </c>
      <c r="V22">
        <v>0.14412404923939159</v>
      </c>
      <c r="W22">
        <v>0</v>
      </c>
      <c r="X22">
        <v>0</v>
      </c>
      <c r="Y22">
        <v>0</v>
      </c>
      <c r="Z22">
        <v>0</v>
      </c>
      <c r="AA22">
        <v>0</v>
      </c>
      <c r="AB22">
        <v>0.25</v>
      </c>
      <c r="AC22">
        <v>0</v>
      </c>
      <c r="AD22">
        <v>0</v>
      </c>
      <c r="AE22">
        <v>0</v>
      </c>
      <c r="AF22">
        <v>0.10558506628129805</v>
      </c>
      <c r="AG22">
        <v>0</v>
      </c>
      <c r="AH22">
        <v>0.89441493371870195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0.71729628403267387</v>
      </c>
      <c r="AO22">
        <v>0.71729628403267387</v>
      </c>
      <c r="AP22">
        <v>0.6415605083397552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0.28270371596732613</v>
      </c>
      <c r="BB22">
        <v>0</v>
      </c>
      <c r="BC22">
        <v>7.5735775692918672E-2</v>
      </c>
      <c r="BD22">
        <v>0</v>
      </c>
      <c r="BE22">
        <v>0.6415605083397552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1.5586994320891456</v>
      </c>
      <c r="BL22">
        <v>1.5586994320891456</v>
      </c>
      <c r="BM22">
        <v>1.1180493105613831</v>
      </c>
      <c r="CD22">
        <v>0</v>
      </c>
      <c r="CE22">
        <v>0</v>
      </c>
      <c r="CF22">
        <v>0</v>
      </c>
    </row>
    <row r="23" spans="1:85" hidden="1" x14ac:dyDescent="0.25">
      <c r="A23" t="s">
        <v>128</v>
      </c>
      <c r="B23" t="s">
        <v>134</v>
      </c>
      <c r="C23" t="s">
        <v>72</v>
      </c>
      <c r="D23" s="12">
        <v>45577</v>
      </c>
      <c r="E23" t="s">
        <v>135</v>
      </c>
      <c r="F23" t="s">
        <v>135</v>
      </c>
      <c r="G23" t="s">
        <v>135</v>
      </c>
      <c r="H23" t="s">
        <v>74</v>
      </c>
      <c r="I23">
        <v>10</v>
      </c>
      <c r="J23">
        <v>1</v>
      </c>
      <c r="K23">
        <v>5.3662728249194425</v>
      </c>
      <c r="L23">
        <v>45577</v>
      </c>
      <c r="M23" t="s">
        <v>152</v>
      </c>
      <c r="N23">
        <v>7.6</v>
      </c>
      <c r="O23">
        <v>7.6</v>
      </c>
      <c r="P23">
        <v>5.7943977591036422</v>
      </c>
      <c r="Q23">
        <v>1.4162530024019213</v>
      </c>
      <c r="R23">
        <v>1.4162530024019213</v>
      </c>
      <c r="S23">
        <v>1.0797806872949338</v>
      </c>
      <c r="T23">
        <v>0</v>
      </c>
      <c r="U23">
        <v>0</v>
      </c>
      <c r="V23">
        <v>0.16625300240192131</v>
      </c>
      <c r="W23">
        <v>0</v>
      </c>
      <c r="X23">
        <v>0</v>
      </c>
      <c r="Y23">
        <v>0</v>
      </c>
      <c r="Z23">
        <v>7.9780687294933816E-2</v>
      </c>
      <c r="AA23">
        <v>0</v>
      </c>
      <c r="AB23">
        <v>0.17021931270506618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0.70608852959466351</v>
      </c>
      <c r="AO23">
        <v>0.70608852959466351</v>
      </c>
      <c r="AP23">
        <v>0.76242075777679508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0.23757924222320492</v>
      </c>
      <c r="BB23">
        <v>0</v>
      </c>
      <c r="BC23">
        <v>0</v>
      </c>
      <c r="BD23">
        <v>0</v>
      </c>
      <c r="BE23">
        <v>0.70608852959466351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1.3116117180701923</v>
      </c>
      <c r="BL23">
        <v>1.3116117180701923</v>
      </c>
      <c r="BM23">
        <v>0.9261139894113124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0.31161171807019228</v>
      </c>
      <c r="BW23">
        <v>0</v>
      </c>
      <c r="BX23">
        <v>0</v>
      </c>
      <c r="BY23">
        <v>0</v>
      </c>
      <c r="BZ23">
        <v>7.3886010588687601E-2</v>
      </c>
      <c r="CA23">
        <v>0</v>
      </c>
      <c r="CB23">
        <v>0.9261139894113124</v>
      </c>
      <c r="CC23">
        <v>0</v>
      </c>
      <c r="CD23">
        <v>0</v>
      </c>
      <c r="CE23">
        <v>0</v>
      </c>
      <c r="CF23">
        <v>0</v>
      </c>
      <c r="CG23">
        <v>0</v>
      </c>
    </row>
    <row r="24" spans="1:85" hidden="1" x14ac:dyDescent="0.25">
      <c r="A24" t="s">
        <v>128</v>
      </c>
      <c r="B24" t="s">
        <v>134</v>
      </c>
      <c r="C24" t="s">
        <v>72</v>
      </c>
      <c r="D24" s="12">
        <v>45577</v>
      </c>
      <c r="E24" t="s">
        <v>135</v>
      </c>
      <c r="F24" t="s">
        <v>135</v>
      </c>
      <c r="G24" t="s">
        <v>135</v>
      </c>
      <c r="H24" t="s">
        <v>75</v>
      </c>
      <c r="I24">
        <v>10</v>
      </c>
      <c r="J24">
        <v>1</v>
      </c>
      <c r="K24">
        <v>11.626924453992126</v>
      </c>
      <c r="L24">
        <v>45577</v>
      </c>
      <c r="M24" t="s">
        <v>153</v>
      </c>
      <c r="N24">
        <v>18.05</v>
      </c>
      <c r="O24">
        <v>18.05</v>
      </c>
      <c r="P24">
        <v>10.056408770404715</v>
      </c>
      <c r="Q24">
        <v>1.5524311757097982</v>
      </c>
      <c r="R24">
        <v>1.5524311757097982</v>
      </c>
      <c r="S24">
        <v>0.86492423772064919</v>
      </c>
      <c r="T24">
        <v>0</v>
      </c>
      <c r="U24">
        <v>0</v>
      </c>
      <c r="V24">
        <v>0.30243117570979816</v>
      </c>
      <c r="W24">
        <v>0</v>
      </c>
      <c r="X24">
        <v>0</v>
      </c>
      <c r="Y24">
        <v>0</v>
      </c>
      <c r="Z24">
        <v>0</v>
      </c>
      <c r="AA24">
        <v>0</v>
      </c>
      <c r="AB24">
        <v>0.25</v>
      </c>
      <c r="AC24">
        <v>0</v>
      </c>
      <c r="AD24">
        <v>0</v>
      </c>
      <c r="AE24">
        <v>0</v>
      </c>
      <c r="AF24">
        <v>0.13507576227935081</v>
      </c>
      <c r="AG24">
        <v>0</v>
      </c>
      <c r="AH24">
        <v>0.86492423772064919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0.64415093927934219</v>
      </c>
      <c r="AO24">
        <v>0.64415093927934219</v>
      </c>
      <c r="AP24">
        <v>0.55714176013322525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0.35584906072065781</v>
      </c>
      <c r="BB24">
        <v>0</v>
      </c>
      <c r="BC24">
        <v>8.7009179146116944E-2</v>
      </c>
      <c r="BD24">
        <v>0</v>
      </c>
      <c r="BE24">
        <v>0.55714176013322525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1.7948753289663251</v>
      </c>
      <c r="BL24">
        <v>1.7948753289663251</v>
      </c>
      <c r="BM24">
        <v>1.1561706290429765</v>
      </c>
      <c r="CD24">
        <v>0</v>
      </c>
      <c r="CE24">
        <v>0</v>
      </c>
      <c r="CF24">
        <v>0</v>
      </c>
    </row>
    <row r="25" spans="1:85" hidden="1" x14ac:dyDescent="0.25">
      <c r="A25" t="s">
        <v>128</v>
      </c>
      <c r="B25" t="s">
        <v>134</v>
      </c>
      <c r="C25" t="s">
        <v>109</v>
      </c>
      <c r="D25" s="12">
        <v>45577</v>
      </c>
      <c r="E25" t="s">
        <v>135</v>
      </c>
      <c r="F25" t="s">
        <v>135</v>
      </c>
      <c r="G25" t="s">
        <v>135</v>
      </c>
      <c r="K25">
        <v>31.303258145363415</v>
      </c>
      <c r="N25">
        <v>45.599999999999994</v>
      </c>
      <c r="O25">
        <v>45.599999999999994</v>
      </c>
      <c r="P25">
        <v>28.649938670886474</v>
      </c>
      <c r="T25">
        <v>0</v>
      </c>
      <c r="U25">
        <v>0</v>
      </c>
      <c r="V25">
        <v>0.20671737389911912</v>
      </c>
      <c r="W25">
        <v>0</v>
      </c>
      <c r="X25">
        <v>0</v>
      </c>
      <c r="Y25">
        <v>0</v>
      </c>
      <c r="Z25">
        <v>1.3676689250560082E-2</v>
      </c>
      <c r="AA25">
        <v>0</v>
      </c>
      <c r="AB25">
        <v>0.23632331074943988</v>
      </c>
      <c r="AC25">
        <v>0</v>
      </c>
      <c r="AD25">
        <v>0</v>
      </c>
      <c r="AE25">
        <v>0</v>
      </c>
      <c r="AF25">
        <v>9.8438456289495116E-2</v>
      </c>
      <c r="AG25">
        <v>0</v>
      </c>
      <c r="AH25">
        <v>0.90156154371050479</v>
      </c>
      <c r="AI25">
        <v>0</v>
      </c>
      <c r="AJ25">
        <v>0</v>
      </c>
      <c r="AK25">
        <v>0</v>
      </c>
      <c r="AL25">
        <v>0</v>
      </c>
      <c r="AM25">
        <v>0</v>
      </c>
    </row>
    <row r="26" spans="1:85" hidden="1" x14ac:dyDescent="0.25">
      <c r="A26" t="s">
        <v>128</v>
      </c>
      <c r="B26" t="s">
        <v>134</v>
      </c>
      <c r="C26" t="s">
        <v>72</v>
      </c>
      <c r="D26" s="12">
        <v>45578</v>
      </c>
      <c r="E26" t="s">
        <v>135</v>
      </c>
      <c r="F26" t="s">
        <v>135</v>
      </c>
      <c r="G26" t="s">
        <v>135</v>
      </c>
      <c r="H26" t="s">
        <v>73</v>
      </c>
      <c r="I26">
        <v>10</v>
      </c>
      <c r="J26">
        <v>1</v>
      </c>
      <c r="K26">
        <v>14.310060866451844</v>
      </c>
      <c r="L26">
        <v>45578</v>
      </c>
      <c r="M26" t="s">
        <v>154</v>
      </c>
      <c r="N26">
        <v>16.149999999999999</v>
      </c>
      <c r="O26">
        <v>16.149999999999999</v>
      </c>
      <c r="P26">
        <v>13.390151025445141</v>
      </c>
      <c r="Q26">
        <v>1.1285766112890312</v>
      </c>
      <c r="R26">
        <v>1.1285766112890312</v>
      </c>
      <c r="S26">
        <v>0.93571586804614393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0.1285766112890312</v>
      </c>
      <c r="AC26">
        <v>0</v>
      </c>
      <c r="AD26">
        <v>0</v>
      </c>
      <c r="AE26">
        <v>0</v>
      </c>
      <c r="AF26">
        <v>6.4284131953856072E-2</v>
      </c>
      <c r="AG26">
        <v>0</v>
      </c>
      <c r="AH26">
        <v>0.93571586804614393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0.88607188027565598</v>
      </c>
      <c r="AO26">
        <v>0.88607188027565598</v>
      </c>
      <c r="AP26">
        <v>0.82911151860341437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0.11392811972434402</v>
      </c>
      <c r="BB26">
        <v>0</v>
      </c>
      <c r="BC26">
        <v>5.6960361672241611E-2</v>
      </c>
      <c r="BD26">
        <v>0</v>
      </c>
      <c r="BE26">
        <v>0.82911151860341437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1.2061103694282724</v>
      </c>
      <c r="BL26">
        <v>1.2061103694282724</v>
      </c>
      <c r="BM26">
        <v>1.0687004828592754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6.8700482859275436E-2</v>
      </c>
      <c r="BU26">
        <v>0</v>
      </c>
      <c r="BV26">
        <v>0.137409886568997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1</v>
      </c>
      <c r="CC26">
        <v>0</v>
      </c>
      <c r="CD26">
        <v>0</v>
      </c>
      <c r="CE26">
        <v>0</v>
      </c>
      <c r="CF26">
        <v>0</v>
      </c>
      <c r="CG26">
        <v>0</v>
      </c>
    </row>
    <row r="27" spans="1:85" hidden="1" x14ac:dyDescent="0.25">
      <c r="A27" t="s">
        <v>128</v>
      </c>
      <c r="B27" t="s">
        <v>134</v>
      </c>
      <c r="C27" t="s">
        <v>72</v>
      </c>
      <c r="D27" s="12">
        <v>45578</v>
      </c>
      <c r="E27" t="s">
        <v>135</v>
      </c>
      <c r="F27" t="s">
        <v>135</v>
      </c>
      <c r="G27" t="s">
        <v>135</v>
      </c>
      <c r="H27" t="s">
        <v>74</v>
      </c>
      <c r="I27">
        <v>10</v>
      </c>
      <c r="J27">
        <v>1</v>
      </c>
      <c r="K27">
        <v>5.3662728249194425</v>
      </c>
      <c r="L27">
        <v>45578</v>
      </c>
      <c r="M27" t="s">
        <v>155</v>
      </c>
      <c r="N27">
        <v>7.6</v>
      </c>
      <c r="O27">
        <v>7.6</v>
      </c>
      <c r="P27">
        <v>4.8240896358543424</v>
      </c>
      <c r="Q27">
        <v>1.4162530024019213</v>
      </c>
      <c r="R27">
        <v>1.4162530024019213</v>
      </c>
      <c r="S27">
        <v>0.89896466192561886</v>
      </c>
      <c r="T27">
        <v>0</v>
      </c>
      <c r="U27">
        <v>0</v>
      </c>
      <c r="V27">
        <v>0.16625300240192131</v>
      </c>
      <c r="W27">
        <v>0</v>
      </c>
      <c r="X27">
        <v>0</v>
      </c>
      <c r="Y27">
        <v>0</v>
      </c>
      <c r="Z27">
        <v>0</v>
      </c>
      <c r="AA27">
        <v>0</v>
      </c>
      <c r="AB27">
        <v>0.25</v>
      </c>
      <c r="AC27">
        <v>0</v>
      </c>
      <c r="AD27">
        <v>0</v>
      </c>
      <c r="AE27">
        <v>0</v>
      </c>
      <c r="AF27">
        <v>0.10103533807438114</v>
      </c>
      <c r="AG27">
        <v>0</v>
      </c>
      <c r="AH27">
        <v>0.89896466192561886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0.70608852959466351</v>
      </c>
      <c r="AO27">
        <v>0.70608852959466351</v>
      </c>
      <c r="AP27">
        <v>0.63474863629662404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0.29391147040533649</v>
      </c>
      <c r="BB27">
        <v>0</v>
      </c>
      <c r="BC27">
        <v>7.133989329803947E-2</v>
      </c>
      <c r="BD27">
        <v>0</v>
      </c>
      <c r="BE27">
        <v>0.63474863629662404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1.5754267797003829</v>
      </c>
      <c r="BL27">
        <v>1.5754267797003829</v>
      </c>
      <c r="BM27">
        <v>1.1123907783626994</v>
      </c>
      <c r="CD27">
        <v>0</v>
      </c>
      <c r="CE27">
        <v>0</v>
      </c>
      <c r="CF27">
        <v>0</v>
      </c>
    </row>
    <row r="28" spans="1:85" hidden="1" x14ac:dyDescent="0.25">
      <c r="A28" t="s">
        <v>128</v>
      </c>
      <c r="B28" t="s">
        <v>134</v>
      </c>
      <c r="C28" t="s">
        <v>72</v>
      </c>
      <c r="D28" s="12">
        <v>45578</v>
      </c>
      <c r="E28" t="s">
        <v>135</v>
      </c>
      <c r="F28" t="s">
        <v>135</v>
      </c>
      <c r="G28" t="s">
        <v>135</v>
      </c>
      <c r="H28" t="s">
        <v>75</v>
      </c>
      <c r="I28">
        <v>10</v>
      </c>
      <c r="J28">
        <v>1</v>
      </c>
      <c r="K28">
        <v>11.626924453992126</v>
      </c>
      <c r="L28">
        <v>45578</v>
      </c>
      <c r="M28" t="s">
        <v>156</v>
      </c>
      <c r="N28">
        <v>13.3</v>
      </c>
      <c r="O28">
        <v>13.3</v>
      </c>
      <c r="P28">
        <v>7.5878905408317197</v>
      </c>
      <c r="Q28">
        <v>1.1438966557861669</v>
      </c>
      <c r="R28">
        <v>1.1438966557861669</v>
      </c>
      <c r="S28">
        <v>0.6526137303856312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0.14389665578616695</v>
      </c>
      <c r="AC28">
        <v>0</v>
      </c>
      <c r="AD28">
        <v>0</v>
      </c>
      <c r="AE28">
        <v>0</v>
      </c>
      <c r="AF28">
        <v>0.3473862696143688</v>
      </c>
      <c r="AG28">
        <v>0</v>
      </c>
      <c r="AH28">
        <v>0.6526137303856312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0.87420484616482164</v>
      </c>
      <c r="AO28">
        <v>0.87420484616482164</v>
      </c>
      <c r="AP28">
        <v>0.57051808577682106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0.12579515383517836</v>
      </c>
      <c r="BB28">
        <v>0</v>
      </c>
      <c r="BC28">
        <v>0.30368676038800058</v>
      </c>
      <c r="BD28">
        <v>0</v>
      </c>
      <c r="BE28">
        <v>0.57051808577682106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1.7527928122355554</v>
      </c>
      <c r="BL28">
        <v>1.7527928122355554</v>
      </c>
      <c r="BM28">
        <v>1.5322999707791887</v>
      </c>
      <c r="CD28">
        <v>0</v>
      </c>
      <c r="CE28">
        <v>0</v>
      </c>
      <c r="CF28">
        <v>0</v>
      </c>
    </row>
    <row r="29" spans="1:85" hidden="1" x14ac:dyDescent="0.25">
      <c r="A29" t="s">
        <v>128</v>
      </c>
      <c r="B29" t="s">
        <v>134</v>
      </c>
      <c r="C29" t="s">
        <v>109</v>
      </c>
      <c r="D29" s="12">
        <v>45578</v>
      </c>
      <c r="E29" t="s">
        <v>135</v>
      </c>
      <c r="F29" t="s">
        <v>135</v>
      </c>
      <c r="G29" t="s">
        <v>135</v>
      </c>
      <c r="K29">
        <v>31.303258145363415</v>
      </c>
      <c r="N29">
        <v>37.049999999999997</v>
      </c>
      <c r="O29">
        <v>37.049999999999997</v>
      </c>
      <c r="P29">
        <v>25.802131202131203</v>
      </c>
      <c r="T29">
        <v>0</v>
      </c>
      <c r="U29">
        <v>0</v>
      </c>
      <c r="V29">
        <v>2.8500514697472223E-2</v>
      </c>
      <c r="W29">
        <v>0</v>
      </c>
      <c r="X29">
        <v>0</v>
      </c>
      <c r="Y29">
        <v>0</v>
      </c>
      <c r="Z29">
        <v>0</v>
      </c>
      <c r="AA29">
        <v>0</v>
      </c>
      <c r="AB29">
        <v>0.15508235159556197</v>
      </c>
      <c r="AC29">
        <v>0</v>
      </c>
      <c r="AD29">
        <v>0</v>
      </c>
      <c r="AE29">
        <v>0</v>
      </c>
      <c r="AF29">
        <v>0.17573656127699366</v>
      </c>
      <c r="AG29">
        <v>0</v>
      </c>
      <c r="AH29">
        <v>0.82426343872300623</v>
      </c>
      <c r="AI29">
        <v>0</v>
      </c>
      <c r="AJ29">
        <v>0</v>
      </c>
      <c r="AK29">
        <v>0</v>
      </c>
      <c r="AL29">
        <v>0</v>
      </c>
      <c r="AM29">
        <v>0</v>
      </c>
    </row>
    <row r="30" spans="1:85" hidden="1" x14ac:dyDescent="0.25">
      <c r="A30" t="s">
        <v>128</v>
      </c>
      <c r="B30" t="s">
        <v>134</v>
      </c>
      <c r="C30" t="s">
        <v>72</v>
      </c>
      <c r="D30" s="12">
        <v>45579</v>
      </c>
      <c r="E30" t="s">
        <v>135</v>
      </c>
      <c r="F30" t="s">
        <v>135</v>
      </c>
      <c r="G30" t="s">
        <v>135</v>
      </c>
      <c r="H30" t="s">
        <v>73</v>
      </c>
      <c r="I30">
        <v>10</v>
      </c>
      <c r="J30">
        <v>1</v>
      </c>
      <c r="K30">
        <v>14.310060866451844</v>
      </c>
      <c r="L30">
        <v>45579</v>
      </c>
      <c r="M30" t="s">
        <v>157</v>
      </c>
      <c r="N30">
        <v>19</v>
      </c>
      <c r="O30">
        <v>19</v>
      </c>
      <c r="P30">
        <v>9.2765469824293305</v>
      </c>
      <c r="Q30">
        <v>1.3277371897518015</v>
      </c>
      <c r="R30">
        <v>1.3277371897518015</v>
      </c>
      <c r="S30">
        <v>0.64825349584480385</v>
      </c>
      <c r="T30">
        <v>0</v>
      </c>
      <c r="U30">
        <v>0</v>
      </c>
      <c r="V30">
        <v>7.773718975180155E-2</v>
      </c>
      <c r="W30">
        <v>0</v>
      </c>
      <c r="X30">
        <v>0</v>
      </c>
      <c r="Y30">
        <v>0</v>
      </c>
      <c r="Z30">
        <v>0</v>
      </c>
      <c r="AA30">
        <v>0</v>
      </c>
      <c r="AB30">
        <v>0.25</v>
      </c>
      <c r="AC30">
        <v>0</v>
      </c>
      <c r="AD30">
        <v>0</v>
      </c>
      <c r="AE30">
        <v>0</v>
      </c>
      <c r="AF30">
        <v>0.35174650415519615</v>
      </c>
      <c r="AG30">
        <v>0</v>
      </c>
      <c r="AH30">
        <v>0.64825349584480385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0.75316109823430755</v>
      </c>
      <c r="AO30">
        <v>0.75316109823430755</v>
      </c>
      <c r="AP30">
        <v>0.48823931486470162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0.24683890176569245</v>
      </c>
      <c r="BB30">
        <v>0</v>
      </c>
      <c r="BC30">
        <v>0.26492178336960592</v>
      </c>
      <c r="BD30">
        <v>0</v>
      </c>
      <c r="BE30">
        <v>0.48823931486470162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2.0481759038128975</v>
      </c>
      <c r="BL30">
        <v>2.0481759038128975</v>
      </c>
      <c r="BM30">
        <v>1.5426064130927672</v>
      </c>
      <c r="CD30">
        <v>0</v>
      </c>
      <c r="CE30">
        <v>0</v>
      </c>
      <c r="CF30">
        <v>0</v>
      </c>
    </row>
    <row r="31" spans="1:85" hidden="1" x14ac:dyDescent="0.25">
      <c r="A31" t="s">
        <v>128</v>
      </c>
      <c r="B31" t="s">
        <v>134</v>
      </c>
      <c r="C31" t="s">
        <v>72</v>
      </c>
      <c r="D31" s="12">
        <v>45579</v>
      </c>
      <c r="E31" t="s">
        <v>135</v>
      </c>
      <c r="F31" t="s">
        <v>135</v>
      </c>
      <c r="G31" t="s">
        <v>135</v>
      </c>
      <c r="H31" t="s">
        <v>74</v>
      </c>
      <c r="I31">
        <v>10</v>
      </c>
      <c r="J31">
        <v>1</v>
      </c>
      <c r="K31">
        <v>5.3662728249194425</v>
      </c>
      <c r="L31">
        <v>45579</v>
      </c>
      <c r="M31" t="s">
        <v>158</v>
      </c>
      <c r="N31">
        <v>5.6999999999999993</v>
      </c>
      <c r="O31">
        <v>5.6999999999999993</v>
      </c>
      <c r="P31">
        <v>5.7669467787114854</v>
      </c>
      <c r="Q31">
        <v>1.0621897518014409</v>
      </c>
      <c r="R31">
        <v>1.0621897518014409</v>
      </c>
      <c r="S31">
        <v>1.0746652223739777</v>
      </c>
      <c r="T31">
        <v>1.2475470572536729E-2</v>
      </c>
      <c r="U31">
        <v>0</v>
      </c>
      <c r="V31">
        <v>0</v>
      </c>
      <c r="W31">
        <v>0</v>
      </c>
      <c r="X31">
        <v>0</v>
      </c>
      <c r="Y31">
        <v>0</v>
      </c>
      <c r="Z31">
        <v>6.2189751801440929E-2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1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0.94145137279288471</v>
      </c>
      <c r="AO31">
        <v>0.94145137279288471</v>
      </c>
      <c r="AP31">
        <v>1.0117450488967519</v>
      </c>
      <c r="AQ31">
        <v>1.1745048896751875E-2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0.94145137279288471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0.98839129590052432</v>
      </c>
      <c r="BL31">
        <v>0.98839129590052432</v>
      </c>
      <c r="BM31">
        <v>0.93052234238208698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1.1608704099475675E-2</v>
      </c>
      <c r="BY31">
        <v>0</v>
      </c>
      <c r="BZ31">
        <v>5.7868953518437349E-2</v>
      </c>
      <c r="CA31">
        <v>0</v>
      </c>
      <c r="CB31">
        <v>0.93052234238208698</v>
      </c>
      <c r="CC31">
        <v>0</v>
      </c>
      <c r="CD31">
        <v>0</v>
      </c>
      <c r="CE31">
        <v>0</v>
      </c>
      <c r="CF31">
        <v>0</v>
      </c>
      <c r="CG31">
        <v>0</v>
      </c>
    </row>
    <row r="32" spans="1:85" hidden="1" x14ac:dyDescent="0.25">
      <c r="A32" t="s">
        <v>128</v>
      </c>
      <c r="B32" t="s">
        <v>134</v>
      </c>
      <c r="C32" t="s">
        <v>72</v>
      </c>
      <c r="D32" s="12">
        <v>45579</v>
      </c>
      <c r="E32" t="s">
        <v>135</v>
      </c>
      <c r="F32" t="s">
        <v>135</v>
      </c>
      <c r="G32" t="s">
        <v>135</v>
      </c>
      <c r="H32" t="s">
        <v>75</v>
      </c>
      <c r="I32">
        <v>10</v>
      </c>
      <c r="J32">
        <v>1</v>
      </c>
      <c r="K32">
        <v>11.626924453992126</v>
      </c>
      <c r="L32">
        <v>45579</v>
      </c>
      <c r="M32" t="s">
        <v>159</v>
      </c>
      <c r="N32">
        <v>15.2</v>
      </c>
      <c r="O32">
        <v>15.2</v>
      </c>
      <c r="P32">
        <v>10.029479377958076</v>
      </c>
      <c r="Q32">
        <v>1.3073104637556194</v>
      </c>
      <c r="R32">
        <v>1.3073104637556194</v>
      </c>
      <c r="S32">
        <v>0.86260811426485484</v>
      </c>
      <c r="T32">
        <v>0</v>
      </c>
      <c r="U32">
        <v>0</v>
      </c>
      <c r="V32">
        <v>5.7310463755619434E-2</v>
      </c>
      <c r="W32">
        <v>0</v>
      </c>
      <c r="X32">
        <v>0</v>
      </c>
      <c r="Y32">
        <v>0</v>
      </c>
      <c r="Z32">
        <v>0</v>
      </c>
      <c r="AA32">
        <v>0</v>
      </c>
      <c r="AB32">
        <v>0.25</v>
      </c>
      <c r="AC32">
        <v>0</v>
      </c>
      <c r="AD32">
        <v>0</v>
      </c>
      <c r="AE32">
        <v>0</v>
      </c>
      <c r="AF32">
        <v>0.13739188573514516</v>
      </c>
      <c r="AG32">
        <v>0</v>
      </c>
      <c r="AH32">
        <v>0.86260811426485484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0.76492924039421883</v>
      </c>
      <c r="AO32">
        <v>0.76492924039421883</v>
      </c>
      <c r="AP32">
        <v>0.65983416960250496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0.23507075960578117</v>
      </c>
      <c r="BB32">
        <v>0</v>
      </c>
      <c r="BC32">
        <v>0.10509507079171387</v>
      </c>
      <c r="BD32">
        <v>0</v>
      </c>
      <c r="BE32">
        <v>0.65983416960250496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1.5155323050372134</v>
      </c>
      <c r="BL32">
        <v>1.5155323050372134</v>
      </c>
      <c r="BM32">
        <v>1.1592749748850153</v>
      </c>
      <c r="CD32">
        <v>0</v>
      </c>
      <c r="CE32">
        <v>0</v>
      </c>
      <c r="CF32">
        <v>0</v>
      </c>
    </row>
    <row r="33" spans="1:85" hidden="1" x14ac:dyDescent="0.25">
      <c r="A33" t="s">
        <v>128</v>
      </c>
      <c r="B33" t="s">
        <v>134</v>
      </c>
      <c r="C33" t="s">
        <v>109</v>
      </c>
      <c r="D33" s="12">
        <v>45579</v>
      </c>
      <c r="E33" t="s">
        <v>135</v>
      </c>
      <c r="F33" t="s">
        <v>135</v>
      </c>
      <c r="G33" t="s">
        <v>135</v>
      </c>
      <c r="K33">
        <v>31.303258145363412</v>
      </c>
      <c r="N33">
        <v>39.900000000000006</v>
      </c>
      <c r="O33">
        <v>39.900000000000006</v>
      </c>
      <c r="P33">
        <v>25.072973139098892</v>
      </c>
      <c r="T33">
        <v>2.1386520981491537E-3</v>
      </c>
      <c r="U33">
        <v>0</v>
      </c>
      <c r="V33">
        <v>5.6823744710053643E-2</v>
      </c>
      <c r="W33">
        <v>0</v>
      </c>
      <c r="X33">
        <v>0</v>
      </c>
      <c r="Y33">
        <v>0</v>
      </c>
      <c r="Z33">
        <v>1.0661100308818445E-2</v>
      </c>
      <c r="AA33">
        <v>0</v>
      </c>
      <c r="AB33">
        <v>0.20714285714285716</v>
      </c>
      <c r="AC33">
        <v>0</v>
      </c>
      <c r="AD33">
        <v>0</v>
      </c>
      <c r="AE33">
        <v>0</v>
      </c>
      <c r="AF33">
        <v>0.21182967374400072</v>
      </c>
      <c r="AG33">
        <v>0</v>
      </c>
      <c r="AH33">
        <v>0.78817032625599925</v>
      </c>
      <c r="AI33">
        <v>0</v>
      </c>
      <c r="AJ33">
        <v>0</v>
      </c>
      <c r="AK33">
        <v>0</v>
      </c>
      <c r="AL33">
        <v>0</v>
      </c>
      <c r="AM33">
        <v>0</v>
      </c>
    </row>
    <row r="34" spans="1:85" hidden="1" x14ac:dyDescent="0.25">
      <c r="A34" t="s">
        <v>128</v>
      </c>
      <c r="B34" t="s">
        <v>134</v>
      </c>
      <c r="C34" t="s">
        <v>72</v>
      </c>
      <c r="D34" s="12">
        <v>45580</v>
      </c>
      <c r="E34" t="s">
        <v>135</v>
      </c>
      <c r="F34" t="s">
        <v>135</v>
      </c>
      <c r="G34" t="s">
        <v>135</v>
      </c>
      <c r="H34" t="s">
        <v>73</v>
      </c>
      <c r="I34">
        <v>10</v>
      </c>
      <c r="J34">
        <v>1</v>
      </c>
      <c r="K34">
        <v>14.310060866451844</v>
      </c>
      <c r="L34">
        <v>45580</v>
      </c>
      <c r="M34" t="s">
        <v>160</v>
      </c>
      <c r="N34">
        <v>19</v>
      </c>
      <c r="O34">
        <v>19</v>
      </c>
      <c r="P34">
        <v>11.7650114591291</v>
      </c>
      <c r="Q34">
        <v>1.3277371897518015</v>
      </c>
      <c r="R34">
        <v>1.3277371897518015</v>
      </c>
      <c r="S34">
        <v>0.82214964484956909</v>
      </c>
      <c r="T34">
        <v>0</v>
      </c>
      <c r="U34">
        <v>0</v>
      </c>
      <c r="V34">
        <v>7.773718975180155E-2</v>
      </c>
      <c r="W34">
        <v>0</v>
      </c>
      <c r="X34">
        <v>0</v>
      </c>
      <c r="Y34">
        <v>0</v>
      </c>
      <c r="Z34">
        <v>0</v>
      </c>
      <c r="AA34">
        <v>0</v>
      </c>
      <c r="AB34">
        <v>0.25</v>
      </c>
      <c r="AC34">
        <v>0</v>
      </c>
      <c r="AD34">
        <v>0</v>
      </c>
      <c r="AE34">
        <v>0</v>
      </c>
      <c r="AF34">
        <v>0.17785035515043091</v>
      </c>
      <c r="AG34">
        <v>0</v>
      </c>
      <c r="AH34">
        <v>0.82214964484956909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0.75316109823430755</v>
      </c>
      <c r="AO34">
        <v>0.75316109823430755</v>
      </c>
      <c r="AP34">
        <v>0.6192111294278474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0.24683890176569245</v>
      </c>
      <c r="BB34">
        <v>0</v>
      </c>
      <c r="BC34">
        <v>0.13394996880646015</v>
      </c>
      <c r="BD34">
        <v>0</v>
      </c>
      <c r="BE34">
        <v>0.6192111294278474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1.6149580530375842</v>
      </c>
      <c r="BL34">
        <v>1.6149580530375842</v>
      </c>
      <c r="BM34">
        <v>1.2163235808281261</v>
      </c>
      <c r="CD34">
        <v>0</v>
      </c>
      <c r="CE34">
        <v>0</v>
      </c>
      <c r="CF34">
        <v>0</v>
      </c>
    </row>
    <row r="35" spans="1:85" hidden="1" x14ac:dyDescent="0.25">
      <c r="A35" t="s">
        <v>128</v>
      </c>
      <c r="B35" t="s">
        <v>134</v>
      </c>
      <c r="C35" t="s">
        <v>72</v>
      </c>
      <c r="D35" s="12">
        <v>45580</v>
      </c>
      <c r="E35" t="s">
        <v>135</v>
      </c>
      <c r="F35" t="s">
        <v>135</v>
      </c>
      <c r="G35" t="s">
        <v>135</v>
      </c>
      <c r="H35" t="s">
        <v>74</v>
      </c>
      <c r="I35">
        <v>10</v>
      </c>
      <c r="J35">
        <v>1</v>
      </c>
      <c r="K35">
        <v>5.3662728249194425</v>
      </c>
      <c r="L35">
        <v>45580</v>
      </c>
      <c r="M35" t="s">
        <v>161</v>
      </c>
      <c r="N35">
        <v>6.6499999999999995</v>
      </c>
      <c r="O35">
        <v>6.6499999999999995</v>
      </c>
      <c r="P35">
        <v>5.8218487394957998</v>
      </c>
      <c r="Q35">
        <v>1.2392213771016811</v>
      </c>
      <c r="R35">
        <v>1.2392213771016811</v>
      </c>
      <c r="S35">
        <v>1.0848961522158904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8.4896152215890419E-2</v>
      </c>
      <c r="AA35">
        <v>0</v>
      </c>
      <c r="AB35">
        <v>0.1543252248857907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0.80695831953675834</v>
      </c>
      <c r="AO35">
        <v>0.80695831953675834</v>
      </c>
      <c r="AP35">
        <v>0.87546597586403008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0.12453402413596992</v>
      </c>
      <c r="BB35">
        <v>0</v>
      </c>
      <c r="BC35">
        <v>0</v>
      </c>
      <c r="BD35">
        <v>0</v>
      </c>
      <c r="BE35">
        <v>0.80695831953675834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1.1422488452655886</v>
      </c>
      <c r="BL35">
        <v>1.1422488452655886</v>
      </c>
      <c r="BM35">
        <v>0.92174720866832205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0.14224884526558856</v>
      </c>
      <c r="BW35">
        <v>0</v>
      </c>
      <c r="BX35">
        <v>0</v>
      </c>
      <c r="BY35">
        <v>0</v>
      </c>
      <c r="BZ35">
        <v>7.8252791331677951E-2</v>
      </c>
      <c r="CA35">
        <v>0</v>
      </c>
      <c r="CB35">
        <v>0.92174720866832205</v>
      </c>
      <c r="CC35">
        <v>0</v>
      </c>
      <c r="CD35">
        <v>0</v>
      </c>
      <c r="CE35">
        <v>0</v>
      </c>
      <c r="CF35">
        <v>0</v>
      </c>
      <c r="CG35">
        <v>0</v>
      </c>
    </row>
    <row r="36" spans="1:85" hidden="1" x14ac:dyDescent="0.25">
      <c r="A36" t="s">
        <v>128</v>
      </c>
      <c r="B36" t="s">
        <v>134</v>
      </c>
      <c r="C36" t="s">
        <v>72</v>
      </c>
      <c r="D36" s="12">
        <v>45580</v>
      </c>
      <c r="E36" t="s">
        <v>135</v>
      </c>
      <c r="F36" t="s">
        <v>135</v>
      </c>
      <c r="G36" t="s">
        <v>135</v>
      </c>
      <c r="H36" t="s">
        <v>75</v>
      </c>
      <c r="I36">
        <v>10</v>
      </c>
      <c r="J36">
        <v>1</v>
      </c>
      <c r="K36">
        <v>11.626924453992126</v>
      </c>
      <c r="L36">
        <v>45580</v>
      </c>
      <c r="M36" t="s">
        <v>162</v>
      </c>
      <c r="N36">
        <v>14.25</v>
      </c>
      <c r="O36">
        <v>14.25</v>
      </c>
      <c r="P36">
        <v>11.234888438133879</v>
      </c>
      <c r="Q36">
        <v>1.2256035597708932</v>
      </c>
      <c r="R36">
        <v>1.2256035597708932</v>
      </c>
      <c r="S36">
        <v>0.96628205357233221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0.22560355977089319</v>
      </c>
      <c r="AC36">
        <v>0</v>
      </c>
      <c r="AD36">
        <v>0</v>
      </c>
      <c r="AE36">
        <v>0</v>
      </c>
      <c r="AF36">
        <v>3.3717946427667789E-2</v>
      </c>
      <c r="AG36">
        <v>0</v>
      </c>
      <c r="AH36">
        <v>0.96628205357233221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0.81592452308716679</v>
      </c>
      <c r="AO36">
        <v>0.81592452308716679</v>
      </c>
      <c r="AP36">
        <v>0.78841322372869327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0.18407547691283321</v>
      </c>
      <c r="BB36">
        <v>0</v>
      </c>
      <c r="BC36">
        <v>2.7511299358473518E-2</v>
      </c>
      <c r="BD36">
        <v>0</v>
      </c>
      <c r="BE36">
        <v>0.78841322372869327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1.2683704051419074</v>
      </c>
      <c r="BL36">
        <v>1.2683704051419074</v>
      </c>
      <c r="BM36">
        <v>1.0348945179132873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3.4894517913287348E-2</v>
      </c>
      <c r="BU36">
        <v>0</v>
      </c>
      <c r="BV36">
        <v>0.23347588722862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1</v>
      </c>
      <c r="CC36">
        <v>0</v>
      </c>
      <c r="CD36">
        <v>0</v>
      </c>
      <c r="CE36">
        <v>0</v>
      </c>
      <c r="CF36">
        <v>0</v>
      </c>
      <c r="CG36">
        <v>0</v>
      </c>
    </row>
    <row r="37" spans="1:85" hidden="1" x14ac:dyDescent="0.25">
      <c r="A37" t="s">
        <v>128</v>
      </c>
      <c r="B37" t="s">
        <v>134</v>
      </c>
      <c r="C37" t="s">
        <v>109</v>
      </c>
      <c r="D37" s="12">
        <v>45580</v>
      </c>
      <c r="E37" t="s">
        <v>135</v>
      </c>
      <c r="F37" t="s">
        <v>135</v>
      </c>
      <c r="G37" t="s">
        <v>135</v>
      </c>
      <c r="K37">
        <v>31.303258145363412</v>
      </c>
      <c r="N37">
        <v>39.9</v>
      </c>
      <c r="O37">
        <v>39.9</v>
      </c>
      <c r="P37">
        <v>28.821748636758777</v>
      </c>
      <c r="T37">
        <v>0</v>
      </c>
      <c r="U37">
        <v>0</v>
      </c>
      <c r="V37">
        <v>3.5537001029394985E-2</v>
      </c>
      <c r="W37">
        <v>0</v>
      </c>
      <c r="X37">
        <v>0</v>
      </c>
      <c r="Y37">
        <v>0</v>
      </c>
      <c r="Z37">
        <v>1.4553626094152644E-2</v>
      </c>
      <c r="AA37">
        <v>0</v>
      </c>
      <c r="AB37">
        <v>0.2245370750381816</v>
      </c>
      <c r="AC37">
        <v>0</v>
      </c>
      <c r="AD37">
        <v>0</v>
      </c>
      <c r="AE37">
        <v>0</v>
      </c>
      <c r="AF37">
        <v>9.3826828170473581E-2</v>
      </c>
      <c r="AG37">
        <v>0</v>
      </c>
      <c r="AH37">
        <v>0.90617317182952639</v>
      </c>
      <c r="AI37">
        <v>0</v>
      </c>
      <c r="AJ37">
        <v>0</v>
      </c>
      <c r="AK37">
        <v>0</v>
      </c>
      <c r="AL37">
        <v>0</v>
      </c>
      <c r="AM37">
        <v>0</v>
      </c>
    </row>
    <row r="38" spans="1:85" hidden="1" x14ac:dyDescent="0.25">
      <c r="A38" t="s">
        <v>128</v>
      </c>
      <c r="B38" t="s">
        <v>134</v>
      </c>
      <c r="C38" t="s">
        <v>72</v>
      </c>
      <c r="D38" s="12">
        <v>45581</v>
      </c>
      <c r="E38" t="s">
        <v>135</v>
      </c>
      <c r="F38" t="s">
        <v>135</v>
      </c>
      <c r="G38" t="s">
        <v>135</v>
      </c>
      <c r="H38" t="s">
        <v>73</v>
      </c>
      <c r="I38">
        <v>10</v>
      </c>
      <c r="J38">
        <v>1</v>
      </c>
      <c r="K38">
        <v>14.310060866451844</v>
      </c>
      <c r="L38">
        <v>45581</v>
      </c>
      <c r="M38" t="s">
        <v>163</v>
      </c>
      <c r="N38">
        <v>18.05</v>
      </c>
      <c r="O38">
        <v>18.05</v>
      </c>
      <c r="P38">
        <v>9.8826585179526294</v>
      </c>
      <c r="Q38">
        <v>1.2613503302642115</v>
      </c>
      <c r="R38">
        <v>1.2613503302642115</v>
      </c>
      <c r="S38">
        <v>0.69060911831069094</v>
      </c>
      <c r="T38">
        <v>0</v>
      </c>
      <c r="U38">
        <v>0</v>
      </c>
      <c r="V38">
        <v>1.1350330264211506E-2</v>
      </c>
      <c r="W38">
        <v>0</v>
      </c>
      <c r="X38">
        <v>0</v>
      </c>
      <c r="Y38">
        <v>0</v>
      </c>
      <c r="Z38">
        <v>0</v>
      </c>
      <c r="AA38">
        <v>0</v>
      </c>
      <c r="AB38">
        <v>0.25</v>
      </c>
      <c r="AC38">
        <v>0</v>
      </c>
      <c r="AD38">
        <v>0</v>
      </c>
      <c r="AE38">
        <v>0</v>
      </c>
      <c r="AF38">
        <v>0.30939088168930906</v>
      </c>
      <c r="AG38">
        <v>0</v>
      </c>
      <c r="AH38">
        <v>0.69060911831069094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0.79280115603611323</v>
      </c>
      <c r="AO38">
        <v>0.79280115603611323</v>
      </c>
      <c r="AP38">
        <v>0.54751570736579658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0.20719884396388677</v>
      </c>
      <c r="BB38">
        <v>0</v>
      </c>
      <c r="BC38">
        <v>0.24528544867031665</v>
      </c>
      <c r="BD38">
        <v>0</v>
      </c>
      <c r="BE38">
        <v>0.54751570736579658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1.8264316193067636</v>
      </c>
      <c r="BL38">
        <v>1.8264316193067636</v>
      </c>
      <c r="BM38">
        <v>1.4479970992073123</v>
      </c>
      <c r="CD38">
        <v>0</v>
      </c>
      <c r="CE38">
        <v>0</v>
      </c>
      <c r="CF38">
        <v>0</v>
      </c>
    </row>
    <row r="39" spans="1:85" hidden="1" x14ac:dyDescent="0.25">
      <c r="A39" t="s">
        <v>128</v>
      </c>
      <c r="B39" t="s">
        <v>134</v>
      </c>
      <c r="C39" t="s">
        <v>72</v>
      </c>
      <c r="D39" s="12">
        <v>45581</v>
      </c>
      <c r="E39" t="s">
        <v>135</v>
      </c>
      <c r="F39" t="s">
        <v>135</v>
      </c>
      <c r="G39" t="s">
        <v>135</v>
      </c>
      <c r="H39" t="s">
        <v>74</v>
      </c>
      <c r="I39">
        <v>10</v>
      </c>
      <c r="J39">
        <v>1</v>
      </c>
      <c r="K39">
        <v>5.3662728249194425</v>
      </c>
      <c r="L39">
        <v>45581</v>
      </c>
      <c r="M39" t="s">
        <v>164</v>
      </c>
      <c r="N39">
        <v>6.6499999999999995</v>
      </c>
      <c r="O39">
        <v>6.6499999999999995</v>
      </c>
      <c r="P39">
        <v>4.8515406162465</v>
      </c>
      <c r="Q39">
        <v>1.2392213771016811</v>
      </c>
      <c r="R39">
        <v>1.2392213771016811</v>
      </c>
      <c r="S39">
        <v>0.90408012684657535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0.23922137710168112</v>
      </c>
      <c r="AC39">
        <v>0</v>
      </c>
      <c r="AD39">
        <v>0</v>
      </c>
      <c r="AE39">
        <v>0</v>
      </c>
      <c r="AF39">
        <v>9.5919873153424651E-2</v>
      </c>
      <c r="AG39">
        <v>0</v>
      </c>
      <c r="AH39">
        <v>0.90408012684657535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0.80695831953675834</v>
      </c>
      <c r="AO39">
        <v>0.80695831953675834</v>
      </c>
      <c r="AP39">
        <v>0.72955497988669182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0.19304168046324166</v>
      </c>
      <c r="BB39">
        <v>0</v>
      </c>
      <c r="BC39">
        <v>7.7403339650066516E-2</v>
      </c>
      <c r="BD39">
        <v>0</v>
      </c>
      <c r="BE39">
        <v>0.72955497988669182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1.3706986143187061</v>
      </c>
      <c r="BL39">
        <v>1.3706986143187061</v>
      </c>
      <c r="BM39">
        <v>1.1060966504019865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0.10609665040198646</v>
      </c>
      <c r="BU39">
        <v>0</v>
      </c>
      <c r="BV39">
        <v>0.26460196391671964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1</v>
      </c>
      <c r="CC39">
        <v>0</v>
      </c>
      <c r="CD39">
        <v>0</v>
      </c>
      <c r="CE39">
        <v>0</v>
      </c>
      <c r="CF39">
        <v>0</v>
      </c>
      <c r="CG39">
        <v>0</v>
      </c>
    </row>
    <row r="40" spans="1:85" hidden="1" x14ac:dyDescent="0.25">
      <c r="A40" t="s">
        <v>128</v>
      </c>
      <c r="B40" t="s">
        <v>134</v>
      </c>
      <c r="C40" t="s">
        <v>72</v>
      </c>
      <c r="D40" s="12">
        <v>45581</v>
      </c>
      <c r="E40" t="s">
        <v>135</v>
      </c>
      <c r="F40" t="s">
        <v>135</v>
      </c>
      <c r="G40" t="s">
        <v>135</v>
      </c>
      <c r="H40" t="s">
        <v>75</v>
      </c>
      <c r="I40">
        <v>10</v>
      </c>
      <c r="J40">
        <v>1</v>
      </c>
      <c r="K40">
        <v>11.626924453992125</v>
      </c>
      <c r="L40">
        <v>45581</v>
      </c>
      <c r="M40" t="s">
        <v>165</v>
      </c>
      <c r="N40">
        <v>14.25</v>
      </c>
      <c r="O40">
        <v>14.25</v>
      </c>
      <c r="P40">
        <v>10.236646382691006</v>
      </c>
      <c r="Q40">
        <v>1.2256035597708934</v>
      </c>
      <c r="R40">
        <v>1.2256035597708934</v>
      </c>
      <c r="S40">
        <v>0.88042598222750434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0.22560355977089341</v>
      </c>
      <c r="AC40">
        <v>0</v>
      </c>
      <c r="AD40">
        <v>0</v>
      </c>
      <c r="AE40">
        <v>0</v>
      </c>
      <c r="AF40">
        <v>0.11957401777249566</v>
      </c>
      <c r="AG40">
        <v>0</v>
      </c>
      <c r="AH40">
        <v>0.88042598222750434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0.81592452308716668</v>
      </c>
      <c r="AO40">
        <v>0.81592452308716668</v>
      </c>
      <c r="AP40">
        <v>0.71836114966252673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0.18407547691283332</v>
      </c>
      <c r="BB40">
        <v>0</v>
      </c>
      <c r="BC40">
        <v>9.7563373424639943E-2</v>
      </c>
      <c r="BD40">
        <v>0</v>
      </c>
      <c r="BE40">
        <v>0.71836114966252673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1.3920574636723912</v>
      </c>
      <c r="BL40">
        <v>1.3920574636723912</v>
      </c>
      <c r="BM40">
        <v>1.1358138221568266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0.13581382215682658</v>
      </c>
      <c r="BU40">
        <v>0</v>
      </c>
      <c r="BV40">
        <v>0.25624364151556467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1</v>
      </c>
      <c r="CC40">
        <v>0</v>
      </c>
      <c r="CD40">
        <v>0</v>
      </c>
      <c r="CE40">
        <v>0</v>
      </c>
      <c r="CF40">
        <v>0</v>
      </c>
      <c r="CG40">
        <v>0</v>
      </c>
    </row>
    <row r="41" spans="1:85" hidden="1" x14ac:dyDescent="0.25">
      <c r="A41" t="s">
        <v>128</v>
      </c>
      <c r="B41" t="s">
        <v>134</v>
      </c>
      <c r="C41" t="s">
        <v>109</v>
      </c>
      <c r="D41" s="12">
        <v>45581</v>
      </c>
      <c r="E41" t="s">
        <v>135</v>
      </c>
      <c r="F41" t="s">
        <v>135</v>
      </c>
      <c r="G41" t="s">
        <v>135</v>
      </c>
      <c r="K41">
        <v>31.303258145363412</v>
      </c>
      <c r="N41">
        <v>38.950000000000003</v>
      </c>
      <c r="O41">
        <v>38.950000000000003</v>
      </c>
      <c r="P41">
        <v>24.970845516890137</v>
      </c>
      <c r="T41">
        <v>0</v>
      </c>
      <c r="U41">
        <v>0</v>
      </c>
      <c r="V41">
        <v>5.1887224064966877E-3</v>
      </c>
      <c r="W41">
        <v>0</v>
      </c>
      <c r="X41">
        <v>0</v>
      </c>
      <c r="Y41">
        <v>0</v>
      </c>
      <c r="Z41">
        <v>0</v>
      </c>
      <c r="AA41">
        <v>0</v>
      </c>
      <c r="AB41">
        <v>0.2390907011323343</v>
      </c>
      <c r="AC41">
        <v>0</v>
      </c>
      <c r="AD41">
        <v>0</v>
      </c>
      <c r="AE41">
        <v>0</v>
      </c>
      <c r="AF41">
        <v>0.20229244505691243</v>
      </c>
      <c r="AG41">
        <v>0</v>
      </c>
      <c r="AH41">
        <v>0.79770755494308754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85" hidden="1" x14ac:dyDescent="0.25">
      <c r="A42" t="s">
        <v>128</v>
      </c>
      <c r="B42" t="s">
        <v>134</v>
      </c>
      <c r="C42" t="s">
        <v>72</v>
      </c>
      <c r="D42" s="12">
        <v>45582</v>
      </c>
      <c r="E42" t="s">
        <v>135</v>
      </c>
      <c r="F42" t="s">
        <v>135</v>
      </c>
      <c r="G42" t="s">
        <v>135</v>
      </c>
      <c r="H42" t="s">
        <v>73</v>
      </c>
      <c r="I42">
        <v>10</v>
      </c>
      <c r="J42">
        <v>1</v>
      </c>
      <c r="K42">
        <v>14.310060866451844</v>
      </c>
      <c r="L42">
        <v>45582</v>
      </c>
      <c r="M42" t="s">
        <v>166</v>
      </c>
      <c r="N42">
        <v>17.099999999999998</v>
      </c>
      <c r="O42">
        <v>17.099999999999998</v>
      </c>
      <c r="P42">
        <v>12.961613971101633</v>
      </c>
      <c r="Q42">
        <v>1.1949634707766212</v>
      </c>
      <c r="R42">
        <v>1.1949634707766212</v>
      </c>
      <c r="S42">
        <v>0.90576931098095625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0.19496347077662124</v>
      </c>
      <c r="AC42">
        <v>0</v>
      </c>
      <c r="AD42">
        <v>0</v>
      </c>
      <c r="AE42">
        <v>0</v>
      </c>
      <c r="AF42">
        <v>9.4230689019043745E-2</v>
      </c>
      <c r="AG42">
        <v>0</v>
      </c>
      <c r="AH42">
        <v>0.90576931098095625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0.83684566470478627</v>
      </c>
      <c r="AO42">
        <v>0.83684566470478627</v>
      </c>
      <c r="AP42">
        <v>0.75798912111705463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0.16315433529521373</v>
      </c>
      <c r="BB42">
        <v>0</v>
      </c>
      <c r="BC42">
        <v>7.8856543587731642E-2</v>
      </c>
      <c r="BD42">
        <v>0</v>
      </c>
      <c r="BE42">
        <v>0.75798912111705463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1.3192801481455196</v>
      </c>
      <c r="BL42">
        <v>1.3192801481455196</v>
      </c>
      <c r="BM42">
        <v>1.1040338725066663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0.10403387250666629</v>
      </c>
      <c r="BU42">
        <v>0</v>
      </c>
      <c r="BV42">
        <v>0.21524627563885335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1</v>
      </c>
      <c r="CC42">
        <v>0</v>
      </c>
      <c r="CD42">
        <v>0</v>
      </c>
      <c r="CE42">
        <v>0</v>
      </c>
      <c r="CF42">
        <v>0</v>
      </c>
      <c r="CG42">
        <v>0</v>
      </c>
    </row>
    <row r="43" spans="1:85" hidden="1" x14ac:dyDescent="0.25">
      <c r="A43" t="s">
        <v>128</v>
      </c>
      <c r="B43" t="s">
        <v>134</v>
      </c>
      <c r="C43" t="s">
        <v>72</v>
      </c>
      <c r="D43" s="12">
        <v>45582</v>
      </c>
      <c r="E43" t="s">
        <v>135</v>
      </c>
      <c r="F43" t="s">
        <v>135</v>
      </c>
      <c r="G43" t="s">
        <v>135</v>
      </c>
      <c r="H43" t="s">
        <v>74</v>
      </c>
      <c r="I43">
        <v>10</v>
      </c>
      <c r="J43">
        <v>1</v>
      </c>
      <c r="K43">
        <v>5.3662728249194425</v>
      </c>
      <c r="L43">
        <v>45582</v>
      </c>
      <c r="M43" t="s">
        <v>167</v>
      </c>
      <c r="N43">
        <v>6.6499999999999995</v>
      </c>
      <c r="O43">
        <v>6.6499999999999995</v>
      </c>
      <c r="P43">
        <v>5.7943977591036422</v>
      </c>
      <c r="Q43">
        <v>1.2392213771016811</v>
      </c>
      <c r="R43">
        <v>1.2392213771016811</v>
      </c>
      <c r="S43">
        <v>1.0797806872949338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7.9780687294933816E-2</v>
      </c>
      <c r="AA43">
        <v>0</v>
      </c>
      <c r="AB43">
        <v>0.1594406898067473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0.80695831953675834</v>
      </c>
      <c r="AO43">
        <v>0.80695831953675834</v>
      </c>
      <c r="AP43">
        <v>0.8713380088877658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0.1286619911122342</v>
      </c>
      <c r="BB43">
        <v>0</v>
      </c>
      <c r="BC43">
        <v>0</v>
      </c>
      <c r="BD43">
        <v>0</v>
      </c>
      <c r="BE43">
        <v>0.80695831953675834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1.1476602533114182</v>
      </c>
      <c r="BL43">
        <v>1.1476602533114182</v>
      </c>
      <c r="BM43">
        <v>0.9261139894113124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0.14766025331141819</v>
      </c>
      <c r="BW43">
        <v>0</v>
      </c>
      <c r="BX43">
        <v>0</v>
      </c>
      <c r="BY43">
        <v>0</v>
      </c>
      <c r="BZ43">
        <v>7.3886010588687601E-2</v>
      </c>
      <c r="CA43">
        <v>0</v>
      </c>
      <c r="CB43">
        <v>0.9261139894113124</v>
      </c>
      <c r="CC43">
        <v>0</v>
      </c>
      <c r="CD43">
        <v>0</v>
      </c>
      <c r="CE43">
        <v>0</v>
      </c>
      <c r="CF43">
        <v>0</v>
      </c>
      <c r="CG43">
        <v>0</v>
      </c>
    </row>
    <row r="44" spans="1:85" hidden="1" x14ac:dyDescent="0.25">
      <c r="A44" t="s">
        <v>128</v>
      </c>
      <c r="B44" t="s">
        <v>134</v>
      </c>
      <c r="C44" t="s">
        <v>72</v>
      </c>
      <c r="D44" s="12">
        <v>45582</v>
      </c>
      <c r="E44" t="s">
        <v>135</v>
      </c>
      <c r="F44" t="s">
        <v>135</v>
      </c>
      <c r="G44" t="s">
        <v>135</v>
      </c>
      <c r="H44" t="s">
        <v>75</v>
      </c>
      <c r="I44">
        <v>10</v>
      </c>
      <c r="J44">
        <v>1</v>
      </c>
      <c r="K44">
        <v>11.626924453992126</v>
      </c>
      <c r="L44">
        <v>45582</v>
      </c>
      <c r="M44" t="s">
        <v>168</v>
      </c>
      <c r="N44">
        <v>14.25</v>
      </c>
      <c r="O44">
        <v>14.25</v>
      </c>
      <c r="P44">
        <v>11.010839931078101</v>
      </c>
      <c r="Q44">
        <v>1.2256035597708932</v>
      </c>
      <c r="R44">
        <v>1.2256035597708932</v>
      </c>
      <c r="S44">
        <v>0.94701225372609243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0.22560355977089319</v>
      </c>
      <c r="AC44">
        <v>0</v>
      </c>
      <c r="AD44">
        <v>0</v>
      </c>
      <c r="AE44">
        <v>0</v>
      </c>
      <c r="AF44">
        <v>5.2987746273907566E-2</v>
      </c>
      <c r="AG44">
        <v>0</v>
      </c>
      <c r="AH44">
        <v>0.94701225372609243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0.81592452308716679</v>
      </c>
      <c r="AO44">
        <v>0.81592452308716679</v>
      </c>
      <c r="AP44">
        <v>0.77269052147916495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0.18407547691283321</v>
      </c>
      <c r="BB44">
        <v>0</v>
      </c>
      <c r="BC44">
        <v>4.3234001608001837E-2</v>
      </c>
      <c r="BD44">
        <v>0</v>
      </c>
      <c r="BE44">
        <v>0.77269052147916495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1.2941791987893103</v>
      </c>
      <c r="BL44">
        <v>1.2941791987893103</v>
      </c>
      <c r="BM44">
        <v>1.0559525455614995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5.5952545561499534E-2</v>
      </c>
      <c r="BU44">
        <v>0</v>
      </c>
      <c r="BV44">
        <v>0.23822665322781078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1</v>
      </c>
      <c r="CC44">
        <v>0</v>
      </c>
      <c r="CD44">
        <v>0</v>
      </c>
      <c r="CE44">
        <v>0</v>
      </c>
      <c r="CF44">
        <v>0</v>
      </c>
      <c r="CG44">
        <v>0</v>
      </c>
    </row>
    <row r="45" spans="1:85" hidden="1" x14ac:dyDescent="0.25">
      <c r="A45" t="s">
        <v>128</v>
      </c>
      <c r="B45" t="s">
        <v>134</v>
      </c>
      <c r="C45" t="s">
        <v>109</v>
      </c>
      <c r="D45" s="12">
        <v>45582</v>
      </c>
      <c r="E45" t="s">
        <v>135</v>
      </c>
      <c r="F45" t="s">
        <v>135</v>
      </c>
      <c r="G45" t="s">
        <v>135</v>
      </c>
      <c r="K45">
        <v>31.303258145363415</v>
      </c>
      <c r="N45">
        <v>38</v>
      </c>
      <c r="O45">
        <v>38</v>
      </c>
      <c r="P45">
        <v>29.766851661283376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1.3676689250560082E-2</v>
      </c>
      <c r="AA45">
        <v>0</v>
      </c>
      <c r="AB45">
        <v>0.20025445566537242</v>
      </c>
      <c r="AC45">
        <v>0</v>
      </c>
      <c r="AD45">
        <v>0</v>
      </c>
      <c r="AE45">
        <v>0</v>
      </c>
      <c r="AF45">
        <v>6.2758049310442807E-2</v>
      </c>
      <c r="AG45">
        <v>0</v>
      </c>
      <c r="AH45">
        <v>0.93724195068955718</v>
      </c>
      <c r="AI45">
        <v>0</v>
      </c>
      <c r="AJ45">
        <v>0</v>
      </c>
      <c r="AK45">
        <v>0</v>
      </c>
      <c r="AL45">
        <v>0</v>
      </c>
      <c r="AM45">
        <v>0</v>
      </c>
    </row>
    <row r="46" spans="1:85" hidden="1" x14ac:dyDescent="0.25">
      <c r="A46" t="s">
        <v>128</v>
      </c>
      <c r="B46" t="s">
        <v>134</v>
      </c>
      <c r="C46" t="s">
        <v>72</v>
      </c>
      <c r="D46" s="12">
        <v>45583</v>
      </c>
      <c r="E46" t="s">
        <v>135</v>
      </c>
      <c r="F46" t="s">
        <v>135</v>
      </c>
      <c r="G46" t="s">
        <v>135</v>
      </c>
      <c r="H46" t="s">
        <v>73</v>
      </c>
      <c r="I46">
        <v>10</v>
      </c>
      <c r="J46">
        <v>1</v>
      </c>
      <c r="K46">
        <v>14.310060866451844</v>
      </c>
      <c r="L46">
        <v>45583</v>
      </c>
      <c r="M46" t="s">
        <v>169</v>
      </c>
      <c r="N46">
        <v>17.099999999999998</v>
      </c>
      <c r="O46">
        <v>17.099999999999998</v>
      </c>
      <c r="P46">
        <v>13.219556913674561</v>
      </c>
      <c r="Q46">
        <v>1.1949634707766212</v>
      </c>
      <c r="R46">
        <v>1.1949634707766212</v>
      </c>
      <c r="S46">
        <v>0.92379459717506629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0.19496347077662124</v>
      </c>
      <c r="AC46">
        <v>0</v>
      </c>
      <c r="AD46">
        <v>0</v>
      </c>
      <c r="AE46">
        <v>0</v>
      </c>
      <c r="AF46">
        <v>7.620540282493371E-2</v>
      </c>
      <c r="AG46">
        <v>0</v>
      </c>
      <c r="AH46">
        <v>0.92379459717506629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0.83684566470478627</v>
      </c>
      <c r="AO46">
        <v>0.83684566470478627</v>
      </c>
      <c r="AP46">
        <v>0.77307350372365857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0.16315433529521373</v>
      </c>
      <c r="BB46">
        <v>0</v>
      </c>
      <c r="BC46">
        <v>6.3772160981127701E-2</v>
      </c>
      <c r="BD46">
        <v>0</v>
      </c>
      <c r="BE46">
        <v>0.77307350372365857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1.2935380596842421</v>
      </c>
      <c r="BL46">
        <v>1.2935380596842421</v>
      </c>
      <c r="BM46">
        <v>1.0824917173773989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8.249171737739891E-2</v>
      </c>
      <c r="BU46">
        <v>0</v>
      </c>
      <c r="BV46">
        <v>0.21104634230684316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1</v>
      </c>
      <c r="CC46">
        <v>0</v>
      </c>
      <c r="CD46">
        <v>0</v>
      </c>
      <c r="CE46">
        <v>0</v>
      </c>
      <c r="CF46">
        <v>0</v>
      </c>
      <c r="CG46">
        <v>0</v>
      </c>
    </row>
    <row r="47" spans="1:85" hidden="1" x14ac:dyDescent="0.25">
      <c r="A47" t="s">
        <v>128</v>
      </c>
      <c r="B47" t="s">
        <v>134</v>
      </c>
      <c r="C47" t="s">
        <v>72</v>
      </c>
      <c r="D47" s="12">
        <v>45583</v>
      </c>
      <c r="E47" t="s">
        <v>135</v>
      </c>
      <c r="F47" t="s">
        <v>135</v>
      </c>
      <c r="G47" t="s">
        <v>135</v>
      </c>
      <c r="H47" t="s">
        <v>74</v>
      </c>
      <c r="I47">
        <v>10</v>
      </c>
      <c r="J47">
        <v>1</v>
      </c>
      <c r="K47">
        <v>5.3662728249194425</v>
      </c>
      <c r="L47">
        <v>45583</v>
      </c>
      <c r="M47" t="s">
        <v>170</v>
      </c>
      <c r="N47">
        <v>5.6999999999999993</v>
      </c>
      <c r="O47">
        <v>5.6999999999999993</v>
      </c>
      <c r="P47">
        <v>5.7943977591036422</v>
      </c>
      <c r="Q47">
        <v>1.0621897518014409</v>
      </c>
      <c r="R47">
        <v>1.0621897518014409</v>
      </c>
      <c r="S47">
        <v>1.0797806872949338</v>
      </c>
      <c r="T47">
        <v>1.7590935493492887E-2</v>
      </c>
      <c r="U47">
        <v>0</v>
      </c>
      <c r="V47">
        <v>0</v>
      </c>
      <c r="W47">
        <v>0</v>
      </c>
      <c r="X47">
        <v>0</v>
      </c>
      <c r="Y47">
        <v>0</v>
      </c>
      <c r="Z47">
        <v>6.2189751801440929E-2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0.94145137279288471</v>
      </c>
      <c r="AO47">
        <v>0.94145137279288471</v>
      </c>
      <c r="AP47">
        <v>1.0165610103690601</v>
      </c>
      <c r="AQ47">
        <v>1.6561010369060103E-2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0.94145137279288471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0.9837087885526441</v>
      </c>
      <c r="BL47">
        <v>0.9837087885526441</v>
      </c>
      <c r="BM47">
        <v>0.9261139894113124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1.6291211447355902E-2</v>
      </c>
      <c r="BY47">
        <v>0</v>
      </c>
      <c r="BZ47">
        <v>5.7594799141331698E-2</v>
      </c>
      <c r="CA47">
        <v>0</v>
      </c>
      <c r="CB47">
        <v>0.9261139894113124</v>
      </c>
      <c r="CC47">
        <v>0</v>
      </c>
      <c r="CD47">
        <v>0</v>
      </c>
      <c r="CE47">
        <v>0</v>
      </c>
      <c r="CF47">
        <v>0</v>
      </c>
      <c r="CG47">
        <v>0</v>
      </c>
    </row>
    <row r="48" spans="1:85" hidden="1" x14ac:dyDescent="0.25">
      <c r="A48" t="s">
        <v>128</v>
      </c>
      <c r="B48" t="s">
        <v>134</v>
      </c>
      <c r="C48" t="s">
        <v>72</v>
      </c>
      <c r="D48" s="12">
        <v>45583</v>
      </c>
      <c r="E48" t="s">
        <v>135</v>
      </c>
      <c r="F48" t="s">
        <v>135</v>
      </c>
      <c r="G48" t="s">
        <v>135</v>
      </c>
      <c r="H48" t="s">
        <v>75</v>
      </c>
      <c r="I48">
        <v>10</v>
      </c>
      <c r="J48">
        <v>1</v>
      </c>
      <c r="K48">
        <v>11.626924453992125</v>
      </c>
      <c r="L48">
        <v>45583</v>
      </c>
      <c r="M48" t="s">
        <v>171</v>
      </c>
      <c r="N48">
        <v>14.25</v>
      </c>
      <c r="O48">
        <v>14.25</v>
      </c>
      <c r="P48">
        <v>10.301555104800537</v>
      </c>
      <c r="Q48">
        <v>1.2256035597708934</v>
      </c>
      <c r="R48">
        <v>1.2256035597708934</v>
      </c>
      <c r="S48">
        <v>0.8860086040434777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0.22560355977089341</v>
      </c>
      <c r="AC48">
        <v>0</v>
      </c>
      <c r="AD48">
        <v>0</v>
      </c>
      <c r="AE48">
        <v>0</v>
      </c>
      <c r="AF48">
        <v>0.1139913959565223</v>
      </c>
      <c r="AG48">
        <v>0</v>
      </c>
      <c r="AH48">
        <v>0.8860086040434777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0.81592452308716668</v>
      </c>
      <c r="AO48">
        <v>0.81592452308716668</v>
      </c>
      <c r="AP48">
        <v>0.72291614770530077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0.18407547691283332</v>
      </c>
      <c r="BB48">
        <v>0</v>
      </c>
      <c r="BC48">
        <v>9.3008375381865904E-2</v>
      </c>
      <c r="BD48">
        <v>0</v>
      </c>
      <c r="BE48">
        <v>0.72291614770530077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1.3832862956156478</v>
      </c>
      <c r="BL48">
        <v>1.3832862956156478</v>
      </c>
      <c r="BM48">
        <v>1.1286572110432107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0.12865721104321071</v>
      </c>
      <c r="BU48">
        <v>0</v>
      </c>
      <c r="BV48">
        <v>0.25462908457243705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1</v>
      </c>
      <c r="CC48">
        <v>0</v>
      </c>
      <c r="CD48">
        <v>0</v>
      </c>
      <c r="CE48">
        <v>0</v>
      </c>
      <c r="CF48">
        <v>0</v>
      </c>
      <c r="CG48">
        <v>0</v>
      </c>
    </row>
    <row r="49" spans="1:85" hidden="1" x14ac:dyDescent="0.25">
      <c r="A49" t="s">
        <v>128</v>
      </c>
      <c r="B49" t="s">
        <v>134</v>
      </c>
      <c r="C49" t="s">
        <v>109</v>
      </c>
      <c r="D49" s="12">
        <v>45583</v>
      </c>
      <c r="E49" t="s">
        <v>135</v>
      </c>
      <c r="F49" t="s">
        <v>135</v>
      </c>
      <c r="G49" t="s">
        <v>135</v>
      </c>
      <c r="K49">
        <v>31.303258145363412</v>
      </c>
      <c r="N49">
        <v>37.049999999999997</v>
      </c>
      <c r="O49">
        <v>37.049999999999997</v>
      </c>
      <c r="P49">
        <v>29.31550977757874</v>
      </c>
      <c r="T49">
        <v>3.0155889417416378E-3</v>
      </c>
      <c r="U49">
        <v>0</v>
      </c>
      <c r="V49">
        <v>0</v>
      </c>
      <c r="W49">
        <v>0</v>
      </c>
      <c r="X49">
        <v>0</v>
      </c>
      <c r="Y49">
        <v>0</v>
      </c>
      <c r="Z49">
        <v>1.0661100308818445E-2</v>
      </c>
      <c r="AA49">
        <v>0</v>
      </c>
      <c r="AB49">
        <v>0.17292176598421583</v>
      </c>
      <c r="AC49">
        <v>0</v>
      </c>
      <c r="AD49">
        <v>0</v>
      </c>
      <c r="AE49">
        <v>0</v>
      </c>
      <c r="AF49">
        <v>7.7176416932392258E-2</v>
      </c>
      <c r="AG49">
        <v>0</v>
      </c>
      <c r="AH49">
        <v>0.92282358306760781</v>
      </c>
      <c r="AI49">
        <v>0</v>
      </c>
      <c r="AJ49">
        <v>0</v>
      </c>
      <c r="AK49">
        <v>0</v>
      </c>
      <c r="AL49">
        <v>0</v>
      </c>
      <c r="AM49">
        <v>0</v>
      </c>
    </row>
    <row r="50" spans="1:85" hidden="1" x14ac:dyDescent="0.25">
      <c r="A50" t="s">
        <v>128</v>
      </c>
      <c r="B50" t="s">
        <v>134</v>
      </c>
      <c r="C50" t="s">
        <v>72</v>
      </c>
      <c r="D50" s="12">
        <v>45584</v>
      </c>
      <c r="E50" t="s">
        <v>135</v>
      </c>
      <c r="F50" t="s">
        <v>135</v>
      </c>
      <c r="G50" t="s">
        <v>135</v>
      </c>
      <c r="H50" t="s">
        <v>73</v>
      </c>
      <c r="I50">
        <v>10</v>
      </c>
      <c r="J50">
        <v>1</v>
      </c>
      <c r="K50">
        <v>14.310060866451844</v>
      </c>
      <c r="L50">
        <v>45584</v>
      </c>
      <c r="M50" t="s">
        <v>172</v>
      </c>
      <c r="N50">
        <v>18.05</v>
      </c>
      <c r="O50">
        <v>18.05</v>
      </c>
      <c r="P50">
        <v>13.935477731762557</v>
      </c>
      <c r="Q50">
        <v>1.2613503302642115</v>
      </c>
      <c r="R50">
        <v>1.2613503302642115</v>
      </c>
      <c r="S50">
        <v>0.97382379165364352</v>
      </c>
      <c r="T50">
        <v>0</v>
      </c>
      <c r="U50">
        <v>0</v>
      </c>
      <c r="V50">
        <v>1.1350330264211506E-2</v>
      </c>
      <c r="W50">
        <v>0</v>
      </c>
      <c r="X50">
        <v>0</v>
      </c>
      <c r="Y50">
        <v>0</v>
      </c>
      <c r="Z50">
        <v>0</v>
      </c>
      <c r="AA50">
        <v>0</v>
      </c>
      <c r="AB50">
        <v>0.25</v>
      </c>
      <c r="AC50">
        <v>0</v>
      </c>
      <c r="AD50">
        <v>0</v>
      </c>
      <c r="AE50">
        <v>0</v>
      </c>
      <c r="AF50">
        <v>2.6176208346356478E-2</v>
      </c>
      <c r="AG50">
        <v>0</v>
      </c>
      <c r="AH50">
        <v>0.97382379165364352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0.79280115603611323</v>
      </c>
      <c r="AO50">
        <v>0.79280115603611323</v>
      </c>
      <c r="AP50">
        <v>0.7720486277984796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0.20719884396388677</v>
      </c>
      <c r="BB50">
        <v>0</v>
      </c>
      <c r="BC50">
        <v>2.0752528237633627E-2</v>
      </c>
      <c r="BD50">
        <v>0</v>
      </c>
      <c r="BE50">
        <v>0.7720486277984796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1.2952552002475943</v>
      </c>
      <c r="BL50">
        <v>1.2952552002475943</v>
      </c>
      <c r="BM50">
        <v>1.02687982011808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2.6879820118079989E-2</v>
      </c>
      <c r="BU50">
        <v>0</v>
      </c>
      <c r="BV50">
        <v>0.26837538012951434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1</v>
      </c>
      <c r="CC50">
        <v>0</v>
      </c>
      <c r="CD50">
        <v>0</v>
      </c>
      <c r="CE50">
        <v>0</v>
      </c>
      <c r="CF50">
        <v>0</v>
      </c>
      <c r="CG50">
        <v>0</v>
      </c>
    </row>
    <row r="51" spans="1:85" hidden="1" x14ac:dyDescent="0.25">
      <c r="A51" t="s">
        <v>128</v>
      </c>
      <c r="B51" t="s">
        <v>134</v>
      </c>
      <c r="C51" t="s">
        <v>72</v>
      </c>
      <c r="D51" s="12">
        <v>45584</v>
      </c>
      <c r="E51" t="s">
        <v>135</v>
      </c>
      <c r="F51" t="s">
        <v>135</v>
      </c>
      <c r="G51" t="s">
        <v>135</v>
      </c>
      <c r="H51" t="s">
        <v>74</v>
      </c>
      <c r="I51">
        <v>10</v>
      </c>
      <c r="J51">
        <v>1</v>
      </c>
      <c r="K51">
        <v>5.3662728249194425</v>
      </c>
      <c r="L51">
        <v>45584</v>
      </c>
      <c r="M51" t="s">
        <v>173</v>
      </c>
      <c r="N51">
        <v>7.6</v>
      </c>
      <c r="O51">
        <v>7.6</v>
      </c>
      <c r="P51">
        <v>5.8218487394957998</v>
      </c>
      <c r="Q51">
        <v>1.4162530024019213</v>
      </c>
      <c r="R51">
        <v>1.4162530024019213</v>
      </c>
      <c r="S51">
        <v>1.0848961522158904</v>
      </c>
      <c r="T51">
        <v>0</v>
      </c>
      <c r="U51">
        <v>0</v>
      </c>
      <c r="V51">
        <v>0.16625300240192131</v>
      </c>
      <c r="W51">
        <v>0</v>
      </c>
      <c r="X51">
        <v>0</v>
      </c>
      <c r="Y51">
        <v>0</v>
      </c>
      <c r="Z51">
        <v>8.4896152215890419E-2</v>
      </c>
      <c r="AA51">
        <v>0</v>
      </c>
      <c r="AB51">
        <v>0.16510384778410958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0.70608852959466351</v>
      </c>
      <c r="AO51">
        <v>0.70608852959466351</v>
      </c>
      <c r="AP51">
        <v>0.76603272888102636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0.23396727111897364</v>
      </c>
      <c r="BB51">
        <v>0</v>
      </c>
      <c r="BC51">
        <v>0</v>
      </c>
      <c r="BD51">
        <v>0</v>
      </c>
      <c r="BE51">
        <v>0.70608852959466351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1.3054272517321013</v>
      </c>
      <c r="BL51">
        <v>1.3054272517321013</v>
      </c>
      <c r="BM51">
        <v>0.92174720866832205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0.30542725173210128</v>
      </c>
      <c r="BW51">
        <v>0</v>
      </c>
      <c r="BX51">
        <v>0</v>
      </c>
      <c r="BY51">
        <v>0</v>
      </c>
      <c r="BZ51">
        <v>7.8252791331677951E-2</v>
      </c>
      <c r="CA51">
        <v>0</v>
      </c>
      <c r="CB51">
        <v>0.92174720866832205</v>
      </c>
      <c r="CC51">
        <v>0</v>
      </c>
      <c r="CD51">
        <v>0</v>
      </c>
      <c r="CE51">
        <v>0</v>
      </c>
      <c r="CF51">
        <v>0</v>
      </c>
      <c r="CG51">
        <v>0</v>
      </c>
    </row>
    <row r="52" spans="1:85" hidden="1" x14ac:dyDescent="0.25">
      <c r="A52" t="s">
        <v>128</v>
      </c>
      <c r="B52" t="s">
        <v>134</v>
      </c>
      <c r="C52" t="s">
        <v>72</v>
      </c>
      <c r="D52" s="12">
        <v>45584</v>
      </c>
      <c r="E52" t="s">
        <v>135</v>
      </c>
      <c r="F52" t="s">
        <v>135</v>
      </c>
      <c r="G52" t="s">
        <v>135</v>
      </c>
      <c r="H52" t="s">
        <v>75</v>
      </c>
      <c r="I52">
        <v>10</v>
      </c>
      <c r="J52">
        <v>1</v>
      </c>
      <c r="K52">
        <v>11.626924453992126</v>
      </c>
      <c r="L52">
        <v>45584</v>
      </c>
      <c r="M52" t="s">
        <v>174</v>
      </c>
      <c r="N52">
        <v>17.099999999999998</v>
      </c>
      <c r="O52">
        <v>17.099999999999998</v>
      </c>
      <c r="P52">
        <v>10.454702679619944</v>
      </c>
      <c r="Q52">
        <v>1.4707242717250717</v>
      </c>
      <c r="R52">
        <v>1.4707242717250717</v>
      </c>
      <c r="S52">
        <v>0.89918040845533331</v>
      </c>
      <c r="T52">
        <v>0</v>
      </c>
      <c r="U52">
        <v>0</v>
      </c>
      <c r="V52">
        <v>0.2207242717250717</v>
      </c>
      <c r="W52">
        <v>0</v>
      </c>
      <c r="X52">
        <v>0</v>
      </c>
      <c r="Y52">
        <v>0</v>
      </c>
      <c r="Z52">
        <v>0</v>
      </c>
      <c r="AA52">
        <v>0</v>
      </c>
      <c r="AB52">
        <v>0.25</v>
      </c>
      <c r="AC52">
        <v>0</v>
      </c>
      <c r="AD52">
        <v>0</v>
      </c>
      <c r="AE52">
        <v>0</v>
      </c>
      <c r="AF52">
        <v>0.10081959154466669</v>
      </c>
      <c r="AG52">
        <v>0</v>
      </c>
      <c r="AH52">
        <v>0.89918040845533331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0.67993710257263906</v>
      </c>
      <c r="AO52">
        <v>0.67993710257263906</v>
      </c>
      <c r="AP52">
        <v>0.61138612161520145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0.32006289742736094</v>
      </c>
      <c r="BB52">
        <v>0</v>
      </c>
      <c r="BC52">
        <v>6.8550980957437613E-2</v>
      </c>
      <c r="BD52">
        <v>0</v>
      </c>
      <c r="BE52">
        <v>0.61138612161520145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1.6356275758405048</v>
      </c>
      <c r="BL52">
        <v>1.6356275758405048</v>
      </c>
      <c r="BM52">
        <v>1.1121238748049023</v>
      </c>
      <c r="CD52">
        <v>0</v>
      </c>
      <c r="CE52">
        <v>0</v>
      </c>
      <c r="CF52">
        <v>0</v>
      </c>
    </row>
    <row r="53" spans="1:85" hidden="1" x14ac:dyDescent="0.25">
      <c r="A53" t="s">
        <v>128</v>
      </c>
      <c r="B53" t="s">
        <v>134</v>
      </c>
      <c r="C53" t="s">
        <v>109</v>
      </c>
      <c r="D53" s="12">
        <v>45584</v>
      </c>
      <c r="E53" t="s">
        <v>135</v>
      </c>
      <c r="F53" t="s">
        <v>135</v>
      </c>
      <c r="G53" t="s">
        <v>135</v>
      </c>
      <c r="K53">
        <v>31.303258145363415</v>
      </c>
      <c r="N53">
        <v>42.75</v>
      </c>
      <c r="O53">
        <v>42.75</v>
      </c>
      <c r="P53">
        <v>30.212029150878301</v>
      </c>
      <c r="T53">
        <v>0</v>
      </c>
      <c r="U53">
        <v>0</v>
      </c>
      <c r="V53">
        <v>0.11567253803042413</v>
      </c>
      <c r="W53">
        <v>0</v>
      </c>
      <c r="X53">
        <v>0</v>
      </c>
      <c r="Y53">
        <v>0</v>
      </c>
      <c r="Z53">
        <v>1.4553626094152642E-2</v>
      </c>
      <c r="AA53">
        <v>0</v>
      </c>
      <c r="AB53">
        <v>0.23544637390584736</v>
      </c>
      <c r="AC53">
        <v>0</v>
      </c>
      <c r="AD53">
        <v>0</v>
      </c>
      <c r="AE53">
        <v>0</v>
      </c>
      <c r="AF53">
        <v>4.9413543532067734E-2</v>
      </c>
      <c r="AG53">
        <v>0</v>
      </c>
      <c r="AH53">
        <v>0.95058645646793216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85" hidden="1" x14ac:dyDescent="0.25">
      <c r="A54" t="s">
        <v>128</v>
      </c>
      <c r="B54" t="s">
        <v>134</v>
      </c>
      <c r="C54" t="s">
        <v>72</v>
      </c>
      <c r="D54" s="12">
        <v>45585</v>
      </c>
      <c r="E54" t="s">
        <v>135</v>
      </c>
      <c r="F54" t="s">
        <v>135</v>
      </c>
      <c r="G54" t="s">
        <v>135</v>
      </c>
      <c r="H54" t="s">
        <v>73</v>
      </c>
      <c r="I54">
        <v>10</v>
      </c>
      <c r="J54">
        <v>1</v>
      </c>
      <c r="K54">
        <v>14.31006086645184</v>
      </c>
      <c r="L54">
        <v>45585</v>
      </c>
      <c r="M54" t="s">
        <v>175</v>
      </c>
      <c r="N54">
        <v>18.05</v>
      </c>
      <c r="O54">
        <v>18.05</v>
      </c>
      <c r="P54">
        <v>13.20820500448983</v>
      </c>
      <c r="Q54">
        <v>1.2613503302642117</v>
      </c>
      <c r="R54">
        <v>1.2613503302642117</v>
      </c>
      <c r="S54">
        <v>0.92300131549089537</v>
      </c>
      <c r="T54">
        <v>0</v>
      </c>
      <c r="U54">
        <v>0</v>
      </c>
      <c r="V54">
        <v>1.1350330264211728E-2</v>
      </c>
      <c r="W54">
        <v>0</v>
      </c>
      <c r="X54">
        <v>0</v>
      </c>
      <c r="Y54">
        <v>0</v>
      </c>
      <c r="Z54">
        <v>0</v>
      </c>
      <c r="AA54">
        <v>0</v>
      </c>
      <c r="AB54">
        <v>0.25</v>
      </c>
      <c r="AC54">
        <v>0</v>
      </c>
      <c r="AD54">
        <v>0</v>
      </c>
      <c r="AE54">
        <v>0</v>
      </c>
      <c r="AF54">
        <v>7.6998684509104631E-2</v>
      </c>
      <c r="AG54">
        <v>0</v>
      </c>
      <c r="AH54">
        <v>0.92300131549089537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0.79280115603611301</v>
      </c>
      <c r="AO54">
        <v>0.79280115603611301</v>
      </c>
      <c r="AP54">
        <v>0.73175650994403485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0.20719884396388699</v>
      </c>
      <c r="BB54">
        <v>0</v>
      </c>
      <c r="BC54">
        <v>6.1044646092078159E-2</v>
      </c>
      <c r="BD54">
        <v>0</v>
      </c>
      <c r="BE54">
        <v>0.73175650994403485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1.3665747914924331</v>
      </c>
      <c r="BL54">
        <v>1.3665747914924331</v>
      </c>
      <c r="BM54">
        <v>1.0834220745050109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8.3422074505010935E-2</v>
      </c>
      <c r="BU54">
        <v>0</v>
      </c>
      <c r="BV54">
        <v>0.28315271698742217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1</v>
      </c>
      <c r="CC54">
        <v>0</v>
      </c>
      <c r="CD54">
        <v>0</v>
      </c>
      <c r="CE54">
        <v>0</v>
      </c>
      <c r="CF54">
        <v>0</v>
      </c>
      <c r="CG54">
        <v>0</v>
      </c>
    </row>
    <row r="55" spans="1:85" hidden="1" x14ac:dyDescent="0.25">
      <c r="A55" t="s">
        <v>128</v>
      </c>
      <c r="B55" t="s">
        <v>134</v>
      </c>
      <c r="C55" t="s">
        <v>72</v>
      </c>
      <c r="D55" s="12">
        <v>45585</v>
      </c>
      <c r="E55" t="s">
        <v>135</v>
      </c>
      <c r="F55" t="s">
        <v>135</v>
      </c>
      <c r="G55" t="s">
        <v>135</v>
      </c>
      <c r="H55" t="s">
        <v>74</v>
      </c>
      <c r="I55">
        <v>10</v>
      </c>
      <c r="J55">
        <v>1</v>
      </c>
      <c r="K55">
        <v>5.3662728249194425</v>
      </c>
      <c r="L55">
        <v>45585</v>
      </c>
      <c r="M55" t="s">
        <v>176</v>
      </c>
      <c r="N55">
        <v>5.6999999999999993</v>
      </c>
      <c r="O55">
        <v>5.6999999999999993</v>
      </c>
      <c r="P55">
        <v>5.6194502801120452</v>
      </c>
      <c r="Q55">
        <v>1.0621897518014409</v>
      </c>
      <c r="R55">
        <v>1.0621897518014409</v>
      </c>
      <c r="S55">
        <v>1.047179385665395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4.7179385665395035E-2</v>
      </c>
      <c r="AA55">
        <v>0</v>
      </c>
      <c r="AB55">
        <v>1.5010366136045894E-2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0.94145137279288471</v>
      </c>
      <c r="AO55">
        <v>0.94145137279288471</v>
      </c>
      <c r="AP55">
        <v>0.98586847019509571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1.4131529804904286E-2</v>
      </c>
      <c r="BB55">
        <v>0</v>
      </c>
      <c r="BC55">
        <v>0</v>
      </c>
      <c r="BD55">
        <v>0</v>
      </c>
      <c r="BE55">
        <v>0.94145137279288471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1.0143340924597251</v>
      </c>
      <c r="BL55">
        <v>1.0143340924597251</v>
      </c>
      <c r="BM55">
        <v>0.95494622381683314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1.4334092459725056E-2</v>
      </c>
      <c r="BW55">
        <v>0</v>
      </c>
      <c r="BX55">
        <v>0</v>
      </c>
      <c r="BY55">
        <v>0</v>
      </c>
      <c r="BZ55">
        <v>4.505377618316686E-2</v>
      </c>
      <c r="CA55">
        <v>0</v>
      </c>
      <c r="CB55">
        <v>0.95494622381683314</v>
      </c>
      <c r="CC55">
        <v>0</v>
      </c>
      <c r="CD55">
        <v>0</v>
      </c>
      <c r="CE55">
        <v>0</v>
      </c>
      <c r="CF55">
        <v>0</v>
      </c>
      <c r="CG55">
        <v>0</v>
      </c>
    </row>
    <row r="56" spans="1:85" hidden="1" x14ac:dyDescent="0.25">
      <c r="A56" t="s">
        <v>128</v>
      </c>
      <c r="B56" t="s">
        <v>134</v>
      </c>
      <c r="C56" t="s">
        <v>72</v>
      </c>
      <c r="D56" s="12">
        <v>45585</v>
      </c>
      <c r="E56" t="s">
        <v>135</v>
      </c>
      <c r="F56" t="s">
        <v>135</v>
      </c>
      <c r="G56" t="s">
        <v>135</v>
      </c>
      <c r="H56" t="s">
        <v>75</v>
      </c>
      <c r="I56">
        <v>10</v>
      </c>
      <c r="J56">
        <v>1</v>
      </c>
      <c r="K56">
        <v>11.626924453992126</v>
      </c>
      <c r="L56">
        <v>45585</v>
      </c>
      <c r="M56" t="s">
        <v>177</v>
      </c>
      <c r="N56">
        <v>13.3</v>
      </c>
      <c r="O56">
        <v>13.3</v>
      </c>
      <c r="P56">
        <v>11.217490035941784</v>
      </c>
      <c r="Q56">
        <v>1.1438966557861669</v>
      </c>
      <c r="R56">
        <v>1.1438966557861669</v>
      </c>
      <c r="S56">
        <v>0.96478566454349313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0.14389665578616695</v>
      </c>
      <c r="AC56">
        <v>0</v>
      </c>
      <c r="AD56">
        <v>0</v>
      </c>
      <c r="AE56">
        <v>0</v>
      </c>
      <c r="AF56">
        <v>3.5214335456506873E-2</v>
      </c>
      <c r="AG56">
        <v>0</v>
      </c>
      <c r="AH56">
        <v>0.96478566454349313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0.87420484616482164</v>
      </c>
      <c r="AO56">
        <v>0.87420484616482164</v>
      </c>
      <c r="AP56">
        <v>0.84342030345426955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0.12579515383517836</v>
      </c>
      <c r="BB56">
        <v>0</v>
      </c>
      <c r="BC56">
        <v>3.0784542710552087E-2</v>
      </c>
      <c r="BD56">
        <v>0</v>
      </c>
      <c r="BE56">
        <v>0.84342030345426955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1.1856484790613298</v>
      </c>
      <c r="BL56">
        <v>1.1856484790613298</v>
      </c>
      <c r="BM56">
        <v>1.0364996462433647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3.6499646243364658E-2</v>
      </c>
      <c r="BU56">
        <v>0</v>
      </c>
      <c r="BV56">
        <v>0.14914883281796509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1</v>
      </c>
      <c r="CC56">
        <v>0</v>
      </c>
      <c r="CD56">
        <v>0</v>
      </c>
      <c r="CE56">
        <v>0</v>
      </c>
      <c r="CF56">
        <v>0</v>
      </c>
      <c r="CG56">
        <v>0</v>
      </c>
    </row>
    <row r="57" spans="1:85" hidden="1" x14ac:dyDescent="0.25">
      <c r="A57" t="s">
        <v>128</v>
      </c>
      <c r="B57" t="s">
        <v>134</v>
      </c>
      <c r="C57" t="s">
        <v>109</v>
      </c>
      <c r="D57" s="12">
        <v>45585</v>
      </c>
      <c r="E57" t="s">
        <v>135</v>
      </c>
      <c r="F57" t="s">
        <v>135</v>
      </c>
      <c r="G57" t="s">
        <v>135</v>
      </c>
      <c r="K57">
        <v>31.303258145363408</v>
      </c>
      <c r="N57">
        <v>37.049999999999997</v>
      </c>
      <c r="O57">
        <v>37.049999999999997</v>
      </c>
      <c r="P57">
        <v>30.045145320543661</v>
      </c>
      <c r="T57">
        <v>0</v>
      </c>
      <c r="U57">
        <v>0</v>
      </c>
      <c r="V57">
        <v>5.1887224064967883E-3</v>
      </c>
      <c r="W57">
        <v>0</v>
      </c>
      <c r="X57">
        <v>0</v>
      </c>
      <c r="Y57">
        <v>0</v>
      </c>
      <c r="Z57">
        <v>8.0878946854962934E-3</v>
      </c>
      <c r="AA57">
        <v>0</v>
      </c>
      <c r="AB57">
        <v>0.17030624920104129</v>
      </c>
      <c r="AC57">
        <v>0</v>
      </c>
      <c r="AD57">
        <v>0</v>
      </c>
      <c r="AE57">
        <v>0</v>
      </c>
      <c r="AF57">
        <v>4.827900894515038E-2</v>
      </c>
      <c r="AG57">
        <v>0</v>
      </c>
      <c r="AH57">
        <v>0.95172099105484953</v>
      </c>
      <c r="AI57">
        <v>0</v>
      </c>
      <c r="AJ57">
        <v>0</v>
      </c>
      <c r="AK57">
        <v>0</v>
      </c>
      <c r="AL57">
        <v>0</v>
      </c>
      <c r="AM57">
        <v>0</v>
      </c>
    </row>
    <row r="58" spans="1:85" hidden="1" x14ac:dyDescent="0.25">
      <c r="A58" t="s">
        <v>128</v>
      </c>
      <c r="B58" t="s">
        <v>134</v>
      </c>
      <c r="C58" t="s">
        <v>72</v>
      </c>
      <c r="D58" s="12">
        <v>45572</v>
      </c>
      <c r="E58" t="s">
        <v>179</v>
      </c>
      <c r="F58" t="s">
        <v>179</v>
      </c>
      <c r="G58" t="s">
        <v>179</v>
      </c>
      <c r="H58" t="s">
        <v>73</v>
      </c>
      <c r="I58">
        <v>10</v>
      </c>
      <c r="J58">
        <v>1</v>
      </c>
      <c r="K58">
        <v>3.1563909774436096</v>
      </c>
      <c r="L58">
        <v>45572</v>
      </c>
      <c r="M58" t="s">
        <v>136</v>
      </c>
      <c r="N58">
        <v>2.8499999999999996</v>
      </c>
      <c r="O58">
        <v>2.8499999999999996</v>
      </c>
      <c r="P58">
        <v>1.882352941176471</v>
      </c>
      <c r="Q58">
        <v>0.90292996665078584</v>
      </c>
      <c r="R58">
        <v>0.90292996665078584</v>
      </c>
      <c r="S58">
        <v>0.59636241347420338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9.7070033349214158E-2</v>
      </c>
      <c r="AE58">
        <v>0</v>
      </c>
      <c r="AF58">
        <v>0.30656755317658246</v>
      </c>
      <c r="AG58">
        <v>0</v>
      </c>
      <c r="AH58">
        <v>0.59636241347420338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1.1075056061205648</v>
      </c>
      <c r="AO58">
        <v>1.1075056061205648</v>
      </c>
      <c r="AP58">
        <v>0.66047471620227061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0.10750560612056481</v>
      </c>
      <c r="AZ58">
        <v>0</v>
      </c>
      <c r="BA58">
        <v>0</v>
      </c>
      <c r="BB58">
        <v>0</v>
      </c>
      <c r="BC58">
        <v>0.33952528379772939</v>
      </c>
      <c r="BD58">
        <v>0</v>
      </c>
      <c r="BE58">
        <v>0.66047471620227061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1.5140624999999994</v>
      </c>
      <c r="BL58">
        <v>1.5140624999999994</v>
      </c>
      <c r="BM58">
        <v>1.6768327067669173</v>
      </c>
      <c r="CD58">
        <v>0</v>
      </c>
      <c r="CE58">
        <v>0</v>
      </c>
      <c r="CF58">
        <v>0</v>
      </c>
    </row>
    <row r="59" spans="1:85" hidden="1" x14ac:dyDescent="0.25">
      <c r="A59" t="s">
        <v>128</v>
      </c>
      <c r="B59" t="s">
        <v>134</v>
      </c>
      <c r="C59" t="s">
        <v>72</v>
      </c>
      <c r="D59" s="12">
        <v>45572</v>
      </c>
      <c r="E59" t="s">
        <v>179</v>
      </c>
      <c r="F59" t="s">
        <v>179</v>
      </c>
      <c r="G59" t="s">
        <v>179</v>
      </c>
      <c r="H59" t="s">
        <v>74</v>
      </c>
      <c r="I59">
        <v>10</v>
      </c>
      <c r="J59">
        <v>1</v>
      </c>
      <c r="K59">
        <v>1</v>
      </c>
      <c r="L59">
        <v>45572</v>
      </c>
      <c r="M59" t="s">
        <v>137</v>
      </c>
      <c r="N59">
        <v>0</v>
      </c>
      <c r="O59">
        <v>0</v>
      </c>
      <c r="P59">
        <v>2.7450980392156862E-2</v>
      </c>
      <c r="Q59">
        <v>0</v>
      </c>
      <c r="R59">
        <v>0</v>
      </c>
      <c r="S59">
        <v>2.7450980392156862E-2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2.7450980392156862E-2</v>
      </c>
      <c r="AD59">
        <v>0.97254901960784312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K59">
        <v>0</v>
      </c>
      <c r="BL59">
        <v>0</v>
      </c>
      <c r="BM59">
        <v>36.428571428571431</v>
      </c>
      <c r="BN59">
        <v>35.428571428571431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</row>
    <row r="60" spans="1:85" hidden="1" x14ac:dyDescent="0.25">
      <c r="A60" t="s">
        <v>128</v>
      </c>
      <c r="B60" t="s">
        <v>134</v>
      </c>
      <c r="C60" t="s">
        <v>72</v>
      </c>
      <c r="D60" s="12">
        <v>45572</v>
      </c>
      <c r="E60" t="s">
        <v>179</v>
      </c>
      <c r="F60" t="s">
        <v>179</v>
      </c>
      <c r="G60" t="s">
        <v>179</v>
      </c>
      <c r="H60" t="s">
        <v>75</v>
      </c>
      <c r="I60">
        <v>10</v>
      </c>
      <c r="J60">
        <v>1</v>
      </c>
      <c r="K60">
        <v>2.1042606516290729</v>
      </c>
      <c r="L60">
        <v>45572</v>
      </c>
      <c r="M60" t="s">
        <v>138</v>
      </c>
      <c r="N60">
        <v>0.95</v>
      </c>
      <c r="O60">
        <v>0.95</v>
      </c>
      <c r="P60">
        <v>1.7568627450980394</v>
      </c>
      <c r="Q60">
        <v>0.45146498332539298</v>
      </c>
      <c r="R60">
        <v>0.45146498332539298</v>
      </c>
      <c r="S60">
        <v>0.83490737886388477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0.3834423955384918</v>
      </c>
      <c r="AD60">
        <v>0.16509262113611523</v>
      </c>
      <c r="AE60">
        <v>0</v>
      </c>
      <c r="AF60">
        <v>0</v>
      </c>
      <c r="AG60">
        <v>0</v>
      </c>
      <c r="AH60">
        <v>0.45146498332539298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2.2150112122411296</v>
      </c>
      <c r="AO60">
        <v>2.2150112122411296</v>
      </c>
      <c r="AP60">
        <v>1.8493292053663573</v>
      </c>
      <c r="BG60">
        <v>0</v>
      </c>
      <c r="BH60">
        <v>0</v>
      </c>
      <c r="BI60">
        <v>0</v>
      </c>
      <c r="BK60">
        <v>0.5407366071428571</v>
      </c>
      <c r="BL60">
        <v>0.5407366071428571</v>
      </c>
      <c r="BM60">
        <v>1.1977376476906552</v>
      </c>
      <c r="BN60">
        <v>0.19773764769065516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0.54853501667460702</v>
      </c>
      <c r="BX60">
        <v>0</v>
      </c>
      <c r="BY60">
        <v>0</v>
      </c>
      <c r="BZ60">
        <v>0</v>
      </c>
      <c r="CA60">
        <v>0</v>
      </c>
      <c r="CB60">
        <v>0.5407366071428571</v>
      </c>
      <c r="CC60">
        <v>0</v>
      </c>
      <c r="CD60">
        <v>0</v>
      </c>
      <c r="CE60">
        <v>0</v>
      </c>
      <c r="CF60">
        <v>0</v>
      </c>
      <c r="CG60">
        <v>0</v>
      </c>
    </row>
    <row r="61" spans="1:85" hidden="1" x14ac:dyDescent="0.25">
      <c r="A61" t="s">
        <v>128</v>
      </c>
      <c r="B61" t="s">
        <v>134</v>
      </c>
      <c r="C61" t="s">
        <v>109</v>
      </c>
      <c r="D61" s="12">
        <v>45572</v>
      </c>
      <c r="E61" t="s">
        <v>179</v>
      </c>
      <c r="F61" t="s">
        <v>179</v>
      </c>
      <c r="G61" t="s">
        <v>179</v>
      </c>
      <c r="K61">
        <v>6.260651629072683</v>
      </c>
      <c r="N61">
        <v>3.8</v>
      </c>
      <c r="O61">
        <v>3.8</v>
      </c>
      <c r="P61">
        <v>3.666666666666667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0.13326308105307777</v>
      </c>
      <c r="AD61">
        <v>0.25977134648895595</v>
      </c>
      <c r="AE61">
        <v>0</v>
      </c>
      <c r="AF61">
        <v>0.15456011868318173</v>
      </c>
      <c r="AG61">
        <v>0</v>
      </c>
      <c r="AH61">
        <v>0.45240545377478447</v>
      </c>
      <c r="AI61">
        <v>0</v>
      </c>
      <c r="AJ61">
        <v>0</v>
      </c>
      <c r="AK61">
        <v>0</v>
      </c>
      <c r="AL61">
        <v>0</v>
      </c>
      <c r="AM61">
        <v>0</v>
      </c>
    </row>
    <row r="62" spans="1:85" hidden="1" x14ac:dyDescent="0.25">
      <c r="A62" t="s">
        <v>128</v>
      </c>
      <c r="B62" t="s">
        <v>134</v>
      </c>
      <c r="C62" t="s">
        <v>72</v>
      </c>
      <c r="D62" s="12">
        <v>45573</v>
      </c>
      <c r="E62" t="s">
        <v>179</v>
      </c>
      <c r="F62" t="s">
        <v>179</v>
      </c>
      <c r="G62" t="s">
        <v>179</v>
      </c>
      <c r="H62" t="s">
        <v>73</v>
      </c>
      <c r="I62">
        <v>10</v>
      </c>
      <c r="J62">
        <v>1</v>
      </c>
      <c r="K62">
        <v>3.1563909774436096</v>
      </c>
      <c r="L62">
        <v>45573</v>
      </c>
      <c r="M62" t="s">
        <v>139</v>
      </c>
      <c r="N62">
        <v>1.9</v>
      </c>
      <c r="O62">
        <v>1.9</v>
      </c>
      <c r="P62">
        <v>1.7290552584670236</v>
      </c>
      <c r="Q62">
        <v>0.60195331110052397</v>
      </c>
      <c r="R62">
        <v>0.60195331110052397</v>
      </c>
      <c r="S62">
        <v>0.54779501995263002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0.39804668889947603</v>
      </c>
      <c r="AE62">
        <v>0</v>
      </c>
      <c r="AF62">
        <v>5.4158291147893944E-2</v>
      </c>
      <c r="AG62">
        <v>0</v>
      </c>
      <c r="AH62">
        <v>0.54779501995263002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1.6612584091808473</v>
      </c>
      <c r="AO62">
        <v>1.6612584091808473</v>
      </c>
      <c r="AP62">
        <v>0.9100290834036967</v>
      </c>
      <c r="BG62">
        <v>0</v>
      </c>
      <c r="BH62">
        <v>0</v>
      </c>
      <c r="BI62">
        <v>0</v>
      </c>
      <c r="BK62">
        <v>1.098865979381443</v>
      </c>
      <c r="BL62">
        <v>1.098865979381443</v>
      </c>
      <c r="BM62">
        <v>1.8255003488101698</v>
      </c>
      <c r="BN62">
        <v>0.72663436942872672</v>
      </c>
      <c r="BO62">
        <v>0</v>
      </c>
      <c r="BP62">
        <v>0</v>
      </c>
      <c r="BQ62">
        <v>0</v>
      </c>
      <c r="BR62">
        <v>0</v>
      </c>
      <c r="BS62">
        <v>0.40113402061855696</v>
      </c>
      <c r="BT62">
        <v>9.8865979381443037E-2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</row>
    <row r="63" spans="1:85" hidden="1" x14ac:dyDescent="0.25">
      <c r="A63" t="s">
        <v>128</v>
      </c>
      <c r="B63" t="s">
        <v>134</v>
      </c>
      <c r="C63" t="s">
        <v>72</v>
      </c>
      <c r="D63" s="12">
        <v>45573</v>
      </c>
      <c r="E63" t="s">
        <v>179</v>
      </c>
      <c r="F63" t="s">
        <v>179</v>
      </c>
      <c r="G63" t="s">
        <v>179</v>
      </c>
      <c r="H63" t="s">
        <v>74</v>
      </c>
      <c r="I63">
        <v>10</v>
      </c>
      <c r="J63">
        <v>1</v>
      </c>
      <c r="K63">
        <v>1</v>
      </c>
      <c r="L63">
        <v>45573</v>
      </c>
      <c r="M63" t="s">
        <v>140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1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1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</row>
    <row r="64" spans="1:85" hidden="1" x14ac:dyDescent="0.25">
      <c r="A64" t="s">
        <v>128</v>
      </c>
      <c r="B64" t="s">
        <v>134</v>
      </c>
      <c r="C64" t="s">
        <v>72</v>
      </c>
      <c r="D64" s="12">
        <v>45573</v>
      </c>
      <c r="E64" t="s">
        <v>179</v>
      </c>
      <c r="F64" t="s">
        <v>179</v>
      </c>
      <c r="G64" t="s">
        <v>179</v>
      </c>
      <c r="H64" t="s">
        <v>75</v>
      </c>
      <c r="I64">
        <v>10</v>
      </c>
      <c r="J64">
        <v>1</v>
      </c>
      <c r="K64">
        <v>2.1042606516290729</v>
      </c>
      <c r="L64">
        <v>45573</v>
      </c>
      <c r="M64" t="s">
        <v>141</v>
      </c>
      <c r="N64">
        <v>2.8499999999999996</v>
      </c>
      <c r="O64">
        <v>2.8499999999999996</v>
      </c>
      <c r="P64">
        <v>1.5496957403651117</v>
      </c>
      <c r="Q64">
        <v>1.3543949499761787</v>
      </c>
      <c r="R64">
        <v>1.3543949499761787</v>
      </c>
      <c r="S64">
        <v>0.73645617008775544</v>
      </c>
      <c r="T64">
        <v>0</v>
      </c>
      <c r="U64">
        <v>0</v>
      </c>
      <c r="V64">
        <v>0.10439494997617871</v>
      </c>
      <c r="W64">
        <v>0</v>
      </c>
      <c r="X64">
        <v>0</v>
      </c>
      <c r="Y64">
        <v>0</v>
      </c>
      <c r="Z64">
        <v>0</v>
      </c>
      <c r="AA64">
        <v>0</v>
      </c>
      <c r="AB64">
        <v>0.25</v>
      </c>
      <c r="AC64">
        <v>0</v>
      </c>
      <c r="AD64">
        <v>0</v>
      </c>
      <c r="AE64">
        <v>0</v>
      </c>
      <c r="AF64">
        <v>0.26354382991224456</v>
      </c>
      <c r="AG64">
        <v>0</v>
      </c>
      <c r="AH64">
        <v>0.73645617008775544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0.73833707074704324</v>
      </c>
      <c r="AO64">
        <v>0.73833707074704324</v>
      </c>
      <c r="AP64">
        <v>0.54375289135617966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0.26166292925295676</v>
      </c>
      <c r="BB64">
        <v>0</v>
      </c>
      <c r="BC64">
        <v>0.19458417939086359</v>
      </c>
      <c r="BD64">
        <v>0</v>
      </c>
      <c r="BE64">
        <v>0.54375289135617966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1.8390706806282719</v>
      </c>
      <c r="BL64">
        <v>1.8390706806282719</v>
      </c>
      <c r="BM64">
        <v>1.3578540592318493</v>
      </c>
      <c r="CD64">
        <v>0</v>
      </c>
      <c r="CE64">
        <v>0</v>
      </c>
      <c r="CF64">
        <v>0</v>
      </c>
    </row>
    <row r="65" spans="1:85" hidden="1" x14ac:dyDescent="0.25">
      <c r="A65" t="s">
        <v>128</v>
      </c>
      <c r="B65" t="s">
        <v>134</v>
      </c>
      <c r="C65" t="s">
        <v>109</v>
      </c>
      <c r="D65" s="12">
        <v>45573</v>
      </c>
      <c r="E65" t="s">
        <v>179</v>
      </c>
      <c r="F65" t="s">
        <v>179</v>
      </c>
      <c r="G65" t="s">
        <v>179</v>
      </c>
      <c r="K65">
        <v>6.260651629072683</v>
      </c>
      <c r="N65">
        <v>4.75</v>
      </c>
      <c r="O65">
        <v>4.75</v>
      </c>
      <c r="P65">
        <v>3.2787509988321353</v>
      </c>
      <c r="T65">
        <v>0</v>
      </c>
      <c r="U65">
        <v>0</v>
      </c>
      <c r="V65">
        <v>3.5088070456364945E-2</v>
      </c>
      <c r="W65">
        <v>0</v>
      </c>
      <c r="X65">
        <v>0</v>
      </c>
      <c r="Y65">
        <v>0</v>
      </c>
      <c r="Z65">
        <v>0</v>
      </c>
      <c r="AA65">
        <v>0</v>
      </c>
      <c r="AB65">
        <v>8.4027221777421932E-2</v>
      </c>
      <c r="AC65">
        <v>0</v>
      </c>
      <c r="AD65">
        <v>0.36040832666132905</v>
      </c>
      <c r="AE65">
        <v>0</v>
      </c>
      <c r="AF65">
        <v>0.11588404782465099</v>
      </c>
      <c r="AG65">
        <v>0</v>
      </c>
      <c r="AH65">
        <v>0.52370762551401995</v>
      </c>
      <c r="AI65">
        <v>0</v>
      </c>
      <c r="AJ65">
        <v>0</v>
      </c>
      <c r="AK65">
        <v>0</v>
      </c>
      <c r="AL65">
        <v>0</v>
      </c>
      <c r="AM65">
        <v>0</v>
      </c>
    </row>
    <row r="66" spans="1:85" hidden="1" x14ac:dyDescent="0.25">
      <c r="A66" t="s">
        <v>128</v>
      </c>
      <c r="B66" t="s">
        <v>134</v>
      </c>
      <c r="C66" t="s">
        <v>72</v>
      </c>
      <c r="D66" s="12">
        <v>45574</v>
      </c>
      <c r="E66" t="s">
        <v>179</v>
      </c>
      <c r="F66" t="s">
        <v>179</v>
      </c>
      <c r="G66" t="s">
        <v>179</v>
      </c>
      <c r="H66" t="s">
        <v>73</v>
      </c>
      <c r="I66">
        <v>10</v>
      </c>
      <c r="J66">
        <v>1</v>
      </c>
      <c r="K66">
        <v>3.1563909774436096</v>
      </c>
      <c r="L66">
        <v>45574</v>
      </c>
      <c r="M66" t="s">
        <v>142</v>
      </c>
      <c r="N66">
        <v>2.8499999999999996</v>
      </c>
      <c r="O66">
        <v>2.8499999999999996</v>
      </c>
      <c r="P66">
        <v>1.7290552584670236</v>
      </c>
      <c r="Q66">
        <v>0.90292996665078584</v>
      </c>
      <c r="R66">
        <v>0.90292996665078584</v>
      </c>
      <c r="S66">
        <v>0.54779501995263002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9.7070033349214158E-2</v>
      </c>
      <c r="AE66">
        <v>0</v>
      </c>
      <c r="AF66">
        <v>0.35513494669815582</v>
      </c>
      <c r="AG66">
        <v>0</v>
      </c>
      <c r="AH66">
        <v>0.54779501995263002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1.1075056061205648</v>
      </c>
      <c r="AO66">
        <v>1.1075056061205648</v>
      </c>
      <c r="AP66">
        <v>0.60668605560246447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0.10750560612056481</v>
      </c>
      <c r="AZ66">
        <v>0</v>
      </c>
      <c r="BA66">
        <v>0</v>
      </c>
      <c r="BB66">
        <v>0</v>
      </c>
      <c r="BC66">
        <v>0.39331394439753553</v>
      </c>
      <c r="BD66">
        <v>0</v>
      </c>
      <c r="BE66">
        <v>0.60668605560246447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1.6482989690721643</v>
      </c>
      <c r="BL66">
        <v>1.6482989690721643</v>
      </c>
      <c r="BM66">
        <v>1.8255003488101698</v>
      </c>
      <c r="CD66">
        <v>0</v>
      </c>
      <c r="CE66">
        <v>0</v>
      </c>
      <c r="CF66">
        <v>0</v>
      </c>
    </row>
    <row r="67" spans="1:85" hidden="1" x14ac:dyDescent="0.25">
      <c r="A67" t="s">
        <v>128</v>
      </c>
      <c r="B67" t="s">
        <v>134</v>
      </c>
      <c r="C67" t="s">
        <v>72</v>
      </c>
      <c r="D67" s="12">
        <v>45574</v>
      </c>
      <c r="E67" t="s">
        <v>179</v>
      </c>
      <c r="F67" t="s">
        <v>179</v>
      </c>
      <c r="G67" t="s">
        <v>179</v>
      </c>
      <c r="H67" t="s">
        <v>74</v>
      </c>
      <c r="I67">
        <v>10</v>
      </c>
      <c r="J67">
        <v>1</v>
      </c>
      <c r="K67">
        <v>1</v>
      </c>
      <c r="L67">
        <v>45574</v>
      </c>
      <c r="M67" t="s">
        <v>143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1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</row>
    <row r="68" spans="1:85" hidden="1" x14ac:dyDescent="0.25">
      <c r="A68" t="s">
        <v>128</v>
      </c>
      <c r="B68" t="s">
        <v>134</v>
      </c>
      <c r="C68" t="s">
        <v>72</v>
      </c>
      <c r="D68" s="12">
        <v>45574</v>
      </c>
      <c r="E68" t="s">
        <v>179</v>
      </c>
      <c r="F68" t="s">
        <v>179</v>
      </c>
      <c r="G68" t="s">
        <v>179</v>
      </c>
      <c r="H68" t="s">
        <v>75</v>
      </c>
      <c r="I68">
        <v>10</v>
      </c>
      <c r="J68">
        <v>1</v>
      </c>
      <c r="K68">
        <v>2.1042606516290729</v>
      </c>
      <c r="L68">
        <v>45574</v>
      </c>
      <c r="M68" t="s">
        <v>144</v>
      </c>
      <c r="N68">
        <v>1.9</v>
      </c>
      <c r="O68">
        <v>1.9</v>
      </c>
      <c r="P68">
        <v>1.5496957403651113</v>
      </c>
      <c r="Q68">
        <v>0.90292996665078595</v>
      </c>
      <c r="R68">
        <v>0.90292996665078595</v>
      </c>
      <c r="S68">
        <v>0.73645617008775521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9.7070033349214047E-2</v>
      </c>
      <c r="AE68">
        <v>0</v>
      </c>
      <c r="AF68">
        <v>0.16647379656303074</v>
      </c>
      <c r="AG68">
        <v>0</v>
      </c>
      <c r="AH68">
        <v>0.73645617008775521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1.1075056061205648</v>
      </c>
      <c r="AO68">
        <v>1.1075056061205648</v>
      </c>
      <c r="AP68">
        <v>0.8156293370342691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0.10750560612056481</v>
      </c>
      <c r="AZ68">
        <v>0</v>
      </c>
      <c r="BA68">
        <v>0</v>
      </c>
      <c r="BB68">
        <v>0</v>
      </c>
      <c r="BC68">
        <v>0.1843706629657309</v>
      </c>
      <c r="BD68">
        <v>0</v>
      </c>
      <c r="BE68">
        <v>0.8156293370342691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1.2260471204188483</v>
      </c>
      <c r="BL68">
        <v>1.2260471204188483</v>
      </c>
      <c r="BM68">
        <v>1.3578540592318498</v>
      </c>
      <c r="BN68">
        <v>0.13180693881300143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0.22604712041884834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1</v>
      </c>
      <c r="CC68">
        <v>0</v>
      </c>
      <c r="CD68">
        <v>0</v>
      </c>
      <c r="CE68">
        <v>0</v>
      </c>
      <c r="CF68">
        <v>0</v>
      </c>
      <c r="CG68">
        <v>0</v>
      </c>
    </row>
    <row r="69" spans="1:85" hidden="1" x14ac:dyDescent="0.25">
      <c r="A69" t="s">
        <v>128</v>
      </c>
      <c r="B69" t="s">
        <v>134</v>
      </c>
      <c r="C69" t="s">
        <v>109</v>
      </c>
      <c r="D69" s="12">
        <v>45574</v>
      </c>
      <c r="E69" t="s">
        <v>179</v>
      </c>
      <c r="F69" t="s">
        <v>179</v>
      </c>
      <c r="G69" t="s">
        <v>179</v>
      </c>
      <c r="K69">
        <v>6.260651629072683</v>
      </c>
      <c r="N69">
        <v>4.75</v>
      </c>
      <c r="O69">
        <v>4.75</v>
      </c>
      <c r="P69">
        <v>3.2787509988321348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0.24129303442754219</v>
      </c>
      <c r="AE69">
        <v>0</v>
      </c>
      <c r="AF69">
        <v>0.23499934005843798</v>
      </c>
      <c r="AG69">
        <v>0</v>
      </c>
      <c r="AH69">
        <v>0.52370762551401984</v>
      </c>
      <c r="AI69">
        <v>0</v>
      </c>
      <c r="AJ69">
        <v>0</v>
      </c>
      <c r="AK69">
        <v>0</v>
      </c>
      <c r="AL69">
        <v>0</v>
      </c>
      <c r="AM69">
        <v>0</v>
      </c>
    </row>
    <row r="70" spans="1:85" hidden="1" x14ac:dyDescent="0.25">
      <c r="A70" t="s">
        <v>128</v>
      </c>
      <c r="B70" t="s">
        <v>134</v>
      </c>
      <c r="C70" t="s">
        <v>72</v>
      </c>
      <c r="D70" s="12">
        <v>45575</v>
      </c>
      <c r="E70" t="s">
        <v>179</v>
      </c>
      <c r="F70" t="s">
        <v>179</v>
      </c>
      <c r="G70" t="s">
        <v>179</v>
      </c>
      <c r="H70" t="s">
        <v>73</v>
      </c>
      <c r="I70">
        <v>10</v>
      </c>
      <c r="J70">
        <v>1</v>
      </c>
      <c r="K70">
        <v>3.1563909774436087</v>
      </c>
      <c r="L70">
        <v>45575</v>
      </c>
      <c r="M70" t="s">
        <v>145</v>
      </c>
      <c r="N70">
        <v>3.8</v>
      </c>
      <c r="O70">
        <v>3.8</v>
      </c>
      <c r="P70">
        <v>1.882352941176471</v>
      </c>
      <c r="Q70">
        <v>1.2039066222010482</v>
      </c>
      <c r="R70">
        <v>1.2039066222010482</v>
      </c>
      <c r="S70">
        <v>0.5963624134742036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0.20390662220104816</v>
      </c>
      <c r="AC70">
        <v>0</v>
      </c>
      <c r="AD70">
        <v>0</v>
      </c>
      <c r="AE70">
        <v>0</v>
      </c>
      <c r="AF70">
        <v>0.4036375865257964</v>
      </c>
      <c r="AG70">
        <v>0</v>
      </c>
      <c r="AH70">
        <v>0.5963624134742036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0.83062920459042344</v>
      </c>
      <c r="AO70">
        <v>0.83062920459042344</v>
      </c>
      <c r="AP70">
        <v>0.4953560371517029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0.16937079540957656</v>
      </c>
      <c r="BB70">
        <v>0</v>
      </c>
      <c r="BC70">
        <v>0.33527316743872054</v>
      </c>
      <c r="BD70">
        <v>0</v>
      </c>
      <c r="BE70">
        <v>0.4953560371517029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2.0187499999999994</v>
      </c>
      <c r="BL70">
        <v>2.0187499999999994</v>
      </c>
      <c r="BM70">
        <v>1.6768327067669169</v>
      </c>
      <c r="CD70">
        <v>0</v>
      </c>
      <c r="CE70">
        <v>0</v>
      </c>
      <c r="CF70">
        <v>0</v>
      </c>
    </row>
    <row r="71" spans="1:85" hidden="1" x14ac:dyDescent="0.25">
      <c r="A71" t="s">
        <v>128</v>
      </c>
      <c r="B71" t="s">
        <v>134</v>
      </c>
      <c r="C71" t="s">
        <v>72</v>
      </c>
      <c r="D71" s="12">
        <v>45575</v>
      </c>
      <c r="E71" t="s">
        <v>179</v>
      </c>
      <c r="F71" t="s">
        <v>179</v>
      </c>
      <c r="G71" t="s">
        <v>179</v>
      </c>
      <c r="H71" t="s">
        <v>74</v>
      </c>
      <c r="I71">
        <v>10</v>
      </c>
      <c r="J71">
        <v>1</v>
      </c>
      <c r="K71">
        <v>1</v>
      </c>
      <c r="L71">
        <v>45575</v>
      </c>
      <c r="M71" t="s">
        <v>146</v>
      </c>
      <c r="N71">
        <v>0</v>
      </c>
      <c r="O71">
        <v>0</v>
      </c>
      <c r="P71">
        <v>5.4901960784313725E-2</v>
      </c>
      <c r="Q71">
        <v>0</v>
      </c>
      <c r="R71">
        <v>0</v>
      </c>
      <c r="S71">
        <v>5.4901960784313725E-2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5.4901960784313725E-2</v>
      </c>
      <c r="AD71">
        <v>0.94509803921568625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K71">
        <v>0</v>
      </c>
      <c r="BL71">
        <v>0</v>
      </c>
      <c r="BM71">
        <v>18.214285714285715</v>
      </c>
      <c r="BN71">
        <v>17.214285714285715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</row>
    <row r="72" spans="1:85" hidden="1" x14ac:dyDescent="0.25">
      <c r="A72" t="s">
        <v>128</v>
      </c>
      <c r="B72" t="s">
        <v>134</v>
      </c>
      <c r="C72" t="s">
        <v>72</v>
      </c>
      <c r="D72" s="12">
        <v>45575</v>
      </c>
      <c r="E72" t="s">
        <v>179</v>
      </c>
      <c r="F72" t="s">
        <v>179</v>
      </c>
      <c r="G72" t="s">
        <v>179</v>
      </c>
      <c r="H72" t="s">
        <v>75</v>
      </c>
      <c r="I72">
        <v>10</v>
      </c>
      <c r="J72">
        <v>1</v>
      </c>
      <c r="K72">
        <v>2.1042606516290729</v>
      </c>
      <c r="L72">
        <v>45575</v>
      </c>
      <c r="M72" t="s">
        <v>147</v>
      </c>
      <c r="N72">
        <v>1.9</v>
      </c>
      <c r="O72">
        <v>1.9</v>
      </c>
      <c r="P72">
        <v>1.9315753887761999</v>
      </c>
      <c r="Q72">
        <v>0.90292996665078595</v>
      </c>
      <c r="R72">
        <v>0.90292996665078595</v>
      </c>
      <c r="S72">
        <v>0.91793542177430165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1.5005455123515699E-2</v>
      </c>
      <c r="AD72">
        <v>8.2064578225698348E-2</v>
      </c>
      <c r="AE72">
        <v>0</v>
      </c>
      <c r="AF72">
        <v>0</v>
      </c>
      <c r="AG72">
        <v>0</v>
      </c>
      <c r="AH72">
        <v>0.90292996665078595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1.1075056061205648</v>
      </c>
      <c r="AO72">
        <v>1.1075056061205648</v>
      </c>
      <c r="AP72">
        <v>1.0166186256716843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1.6618625671684262E-2</v>
      </c>
      <c r="AX72">
        <v>0</v>
      </c>
      <c r="AY72">
        <v>9.088698044888055E-2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1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0.98365303836460383</v>
      </c>
      <c r="BL72">
        <v>0.98365303836460383</v>
      </c>
      <c r="BM72">
        <v>1.0894012544663256</v>
      </c>
      <c r="BN72">
        <v>8.940125446632563E-2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9.7070033349214047E-2</v>
      </c>
      <c r="BX72">
        <v>0</v>
      </c>
      <c r="BY72">
        <v>0</v>
      </c>
      <c r="BZ72">
        <v>0</v>
      </c>
      <c r="CA72">
        <v>0</v>
      </c>
      <c r="CB72">
        <v>0.98365303836460383</v>
      </c>
      <c r="CC72">
        <v>0</v>
      </c>
      <c r="CD72">
        <v>0</v>
      </c>
      <c r="CE72">
        <v>0</v>
      </c>
      <c r="CF72">
        <v>0</v>
      </c>
      <c r="CG72">
        <v>0</v>
      </c>
    </row>
    <row r="73" spans="1:85" hidden="1" x14ac:dyDescent="0.25">
      <c r="A73" t="s">
        <v>128</v>
      </c>
      <c r="B73" t="s">
        <v>134</v>
      </c>
      <c r="C73" t="s">
        <v>109</v>
      </c>
      <c r="D73" s="12">
        <v>45575</v>
      </c>
      <c r="E73" t="s">
        <v>179</v>
      </c>
      <c r="F73" t="s">
        <v>179</v>
      </c>
      <c r="G73" t="s">
        <v>179</v>
      </c>
      <c r="K73">
        <v>6.2606516290726812</v>
      </c>
      <c r="N73">
        <v>5.6999999999999993</v>
      </c>
      <c r="O73">
        <v>5.6999999999999993</v>
      </c>
      <c r="P73">
        <v>3.8688302907369847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0.10280224179343476</v>
      </c>
      <c r="AC73">
        <v>1.3812835258064435E-2</v>
      </c>
      <c r="AD73">
        <v>0.17854104784842081</v>
      </c>
      <c r="AE73">
        <v>0</v>
      </c>
      <c r="AF73">
        <v>0.20349927000423859</v>
      </c>
      <c r="AG73">
        <v>0</v>
      </c>
      <c r="AH73">
        <v>0.60414684688927622</v>
      </c>
      <c r="AI73">
        <v>0</v>
      </c>
      <c r="AJ73">
        <v>0</v>
      </c>
      <c r="AK73">
        <v>0</v>
      </c>
      <c r="AL73">
        <v>0</v>
      </c>
      <c r="AM73">
        <v>0</v>
      </c>
    </row>
    <row r="74" spans="1:85" hidden="1" x14ac:dyDescent="0.25">
      <c r="A74" t="s">
        <v>128</v>
      </c>
      <c r="B74" t="s">
        <v>134</v>
      </c>
      <c r="C74" t="s">
        <v>72</v>
      </c>
      <c r="D74" s="12">
        <v>45576</v>
      </c>
      <c r="E74" t="s">
        <v>179</v>
      </c>
      <c r="F74" t="s">
        <v>179</v>
      </c>
      <c r="G74" t="s">
        <v>179</v>
      </c>
      <c r="H74" t="s">
        <v>73</v>
      </c>
      <c r="I74">
        <v>10</v>
      </c>
      <c r="J74">
        <v>1</v>
      </c>
      <c r="K74">
        <v>3.1563909774436087</v>
      </c>
      <c r="L74">
        <v>45576</v>
      </c>
      <c r="M74" t="s">
        <v>148</v>
      </c>
      <c r="N74">
        <v>3.8</v>
      </c>
      <c r="O74">
        <v>3.8</v>
      </c>
      <c r="P74">
        <v>1.882352941176471</v>
      </c>
      <c r="Q74">
        <v>1.2039066222010482</v>
      </c>
      <c r="R74">
        <v>1.2039066222010482</v>
      </c>
      <c r="S74">
        <v>0.5963624134742036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0.20390662220104816</v>
      </c>
      <c r="AC74">
        <v>0</v>
      </c>
      <c r="AD74">
        <v>0</v>
      </c>
      <c r="AE74">
        <v>0</v>
      </c>
      <c r="AF74">
        <v>0.4036375865257964</v>
      </c>
      <c r="AG74">
        <v>0</v>
      </c>
      <c r="AH74">
        <v>0.5963624134742036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0.83062920459042344</v>
      </c>
      <c r="AO74">
        <v>0.83062920459042344</v>
      </c>
      <c r="AP74">
        <v>0.4953560371517029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0.16937079540957656</v>
      </c>
      <c r="BB74">
        <v>0</v>
      </c>
      <c r="BC74">
        <v>0.33527316743872054</v>
      </c>
      <c r="BD74">
        <v>0</v>
      </c>
      <c r="BE74">
        <v>0.4953560371517029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2.0187499999999994</v>
      </c>
      <c r="BL74">
        <v>2.0187499999999994</v>
      </c>
      <c r="BM74">
        <v>1.6768327067669169</v>
      </c>
      <c r="CD74">
        <v>0</v>
      </c>
      <c r="CE74">
        <v>0</v>
      </c>
      <c r="CF74">
        <v>0</v>
      </c>
    </row>
    <row r="75" spans="1:85" hidden="1" x14ac:dyDescent="0.25">
      <c r="A75" t="s">
        <v>128</v>
      </c>
      <c r="B75" t="s">
        <v>134</v>
      </c>
      <c r="C75" t="s">
        <v>72</v>
      </c>
      <c r="D75" s="12">
        <v>45576</v>
      </c>
      <c r="E75" t="s">
        <v>179</v>
      </c>
      <c r="F75" t="s">
        <v>179</v>
      </c>
      <c r="G75" t="s">
        <v>179</v>
      </c>
      <c r="H75" t="s">
        <v>74</v>
      </c>
      <c r="I75">
        <v>10</v>
      </c>
      <c r="J75">
        <v>1</v>
      </c>
      <c r="K75">
        <v>1</v>
      </c>
      <c r="L75">
        <v>45576</v>
      </c>
      <c r="M75" t="s">
        <v>149</v>
      </c>
      <c r="N75">
        <v>0</v>
      </c>
      <c r="O75">
        <v>0</v>
      </c>
      <c r="P75">
        <v>2.7450980392156862E-2</v>
      </c>
      <c r="Q75">
        <v>0</v>
      </c>
      <c r="R75">
        <v>0</v>
      </c>
      <c r="S75">
        <v>2.7450980392156862E-2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2.7450980392156862E-2</v>
      </c>
      <c r="AD75">
        <v>0.97254901960784312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K75">
        <v>0</v>
      </c>
      <c r="BL75">
        <v>0</v>
      </c>
      <c r="BM75">
        <v>36.428571428571431</v>
      </c>
      <c r="BN75">
        <v>35.428571428571431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</row>
    <row r="76" spans="1:85" hidden="1" x14ac:dyDescent="0.25">
      <c r="A76" t="s">
        <v>128</v>
      </c>
      <c r="B76" t="s">
        <v>134</v>
      </c>
      <c r="C76" t="s">
        <v>72</v>
      </c>
      <c r="D76" s="12">
        <v>45576</v>
      </c>
      <c r="E76" t="s">
        <v>179</v>
      </c>
      <c r="F76" t="s">
        <v>179</v>
      </c>
      <c r="G76" t="s">
        <v>179</v>
      </c>
      <c r="H76" t="s">
        <v>75</v>
      </c>
      <c r="I76">
        <v>10</v>
      </c>
      <c r="J76">
        <v>1</v>
      </c>
      <c r="K76">
        <v>2.1042606516290729</v>
      </c>
      <c r="L76">
        <v>45576</v>
      </c>
      <c r="M76" t="s">
        <v>150</v>
      </c>
      <c r="N76">
        <v>2.8499999999999996</v>
      </c>
      <c r="O76">
        <v>2.8499999999999996</v>
      </c>
      <c r="P76">
        <v>1.7568627450980387</v>
      </c>
      <c r="Q76">
        <v>1.3543949499761787</v>
      </c>
      <c r="R76">
        <v>1.3543949499761787</v>
      </c>
      <c r="S76">
        <v>0.83490737886388444</v>
      </c>
      <c r="T76">
        <v>0</v>
      </c>
      <c r="U76">
        <v>0</v>
      </c>
      <c r="V76">
        <v>0.10439494997617871</v>
      </c>
      <c r="W76">
        <v>0</v>
      </c>
      <c r="X76">
        <v>0</v>
      </c>
      <c r="Y76">
        <v>0</v>
      </c>
      <c r="Z76">
        <v>0</v>
      </c>
      <c r="AA76">
        <v>0</v>
      </c>
      <c r="AB76">
        <v>0.25</v>
      </c>
      <c r="AC76">
        <v>0</v>
      </c>
      <c r="AD76">
        <v>0</v>
      </c>
      <c r="AE76">
        <v>0</v>
      </c>
      <c r="AF76">
        <v>0.16509262113611556</v>
      </c>
      <c r="AG76">
        <v>0</v>
      </c>
      <c r="AH76">
        <v>0.83490737886388444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0.73833707074704324</v>
      </c>
      <c r="AO76">
        <v>0.73833707074704324</v>
      </c>
      <c r="AP76">
        <v>0.61644306845545227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0.26166292925295676</v>
      </c>
      <c r="BB76">
        <v>0</v>
      </c>
      <c r="BC76">
        <v>0.12189400229159097</v>
      </c>
      <c r="BD76">
        <v>0</v>
      </c>
      <c r="BE76">
        <v>0.61644306845545227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1.6222098214285716</v>
      </c>
      <c r="BL76">
        <v>1.6222098214285716</v>
      </c>
      <c r="BM76">
        <v>1.1977376476906556</v>
      </c>
      <c r="CD76">
        <v>0</v>
      </c>
      <c r="CE76">
        <v>0</v>
      </c>
      <c r="CF76">
        <v>0</v>
      </c>
    </row>
    <row r="77" spans="1:85" hidden="1" x14ac:dyDescent="0.25">
      <c r="A77" t="s">
        <v>128</v>
      </c>
      <c r="B77" t="s">
        <v>134</v>
      </c>
      <c r="C77" t="s">
        <v>109</v>
      </c>
      <c r="D77" s="12">
        <v>45576</v>
      </c>
      <c r="E77" t="s">
        <v>179</v>
      </c>
      <c r="F77" t="s">
        <v>179</v>
      </c>
      <c r="G77" t="s">
        <v>179</v>
      </c>
      <c r="K77">
        <v>6.2606516290726812</v>
      </c>
      <c r="N77">
        <v>6.6499999999999995</v>
      </c>
      <c r="O77">
        <v>6.6499999999999995</v>
      </c>
      <c r="P77">
        <v>3.6666666666666665</v>
      </c>
      <c r="T77">
        <v>0</v>
      </c>
      <c r="U77">
        <v>0</v>
      </c>
      <c r="V77">
        <v>3.5088070456364952E-2</v>
      </c>
      <c r="W77">
        <v>0</v>
      </c>
      <c r="X77">
        <v>0</v>
      </c>
      <c r="Y77">
        <v>0</v>
      </c>
      <c r="Z77">
        <v>0</v>
      </c>
      <c r="AA77">
        <v>0</v>
      </c>
      <c r="AB77">
        <v>0.1868294635708567</v>
      </c>
      <c r="AC77">
        <v>4.3846842179626052E-3</v>
      </c>
      <c r="AD77">
        <v>0.15534309800781804</v>
      </c>
      <c r="AE77">
        <v>0</v>
      </c>
      <c r="AF77">
        <v>0.25898836716431972</v>
      </c>
      <c r="AG77">
        <v>0</v>
      </c>
      <c r="AH77">
        <v>0.58128385060989973</v>
      </c>
      <c r="AI77">
        <v>0</v>
      </c>
      <c r="AJ77">
        <v>0</v>
      </c>
      <c r="AK77">
        <v>0</v>
      </c>
      <c r="AL77">
        <v>0</v>
      </c>
      <c r="AM77">
        <v>0</v>
      </c>
    </row>
    <row r="78" spans="1:85" hidden="1" x14ac:dyDescent="0.25">
      <c r="A78" t="s">
        <v>128</v>
      </c>
      <c r="B78" t="s">
        <v>134</v>
      </c>
      <c r="C78" t="s">
        <v>72</v>
      </c>
      <c r="D78" s="12">
        <v>45577</v>
      </c>
      <c r="E78" t="s">
        <v>179</v>
      </c>
      <c r="F78" t="s">
        <v>179</v>
      </c>
      <c r="G78" t="s">
        <v>179</v>
      </c>
      <c r="H78" t="s">
        <v>73</v>
      </c>
      <c r="I78">
        <v>10</v>
      </c>
      <c r="J78">
        <v>1</v>
      </c>
      <c r="K78">
        <v>3.1563909774436096</v>
      </c>
      <c r="L78">
        <v>45577</v>
      </c>
      <c r="M78" t="s">
        <v>151</v>
      </c>
      <c r="N78">
        <v>4.75</v>
      </c>
      <c r="O78">
        <v>4.75</v>
      </c>
      <c r="P78">
        <v>1.882352941176471</v>
      </c>
      <c r="Q78">
        <v>1.5048832777513099</v>
      </c>
      <c r="R78">
        <v>1.5048832777513099</v>
      </c>
      <c r="S78">
        <v>0.59636241347420338</v>
      </c>
      <c r="T78">
        <v>0</v>
      </c>
      <c r="U78">
        <v>0</v>
      </c>
      <c r="V78">
        <v>0.25488327775130992</v>
      </c>
      <c r="W78">
        <v>0</v>
      </c>
      <c r="X78">
        <v>0</v>
      </c>
      <c r="Y78">
        <v>0</v>
      </c>
      <c r="Z78">
        <v>0</v>
      </c>
      <c r="AA78">
        <v>0</v>
      </c>
      <c r="AB78">
        <v>0.25</v>
      </c>
      <c r="AC78">
        <v>0</v>
      </c>
      <c r="AD78">
        <v>0</v>
      </c>
      <c r="AE78">
        <v>0</v>
      </c>
      <c r="AF78">
        <v>0.40363758652579662</v>
      </c>
      <c r="AG78">
        <v>0</v>
      </c>
      <c r="AH78">
        <v>0.59636241347420338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0.66450336367233886</v>
      </c>
      <c r="AO78">
        <v>0.66450336367233886</v>
      </c>
      <c r="AP78">
        <v>0.39628482972136231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0.33549663632766114</v>
      </c>
      <c r="BB78">
        <v>0</v>
      </c>
      <c r="BC78">
        <v>0.26821853395097656</v>
      </c>
      <c r="BD78">
        <v>0</v>
      </c>
      <c r="BE78">
        <v>0.39628482972136231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2.5234374999999996</v>
      </c>
      <c r="BL78">
        <v>2.5234374999999996</v>
      </c>
      <c r="BM78">
        <v>1.6768327067669173</v>
      </c>
      <c r="CD78">
        <v>0</v>
      </c>
      <c r="CE78">
        <v>0</v>
      </c>
      <c r="CF78">
        <v>0</v>
      </c>
    </row>
    <row r="79" spans="1:85" hidden="1" x14ac:dyDescent="0.25">
      <c r="A79" t="s">
        <v>128</v>
      </c>
      <c r="B79" t="s">
        <v>134</v>
      </c>
      <c r="C79" t="s">
        <v>72</v>
      </c>
      <c r="D79" s="12">
        <v>45577</v>
      </c>
      <c r="E79" t="s">
        <v>179</v>
      </c>
      <c r="F79" t="s">
        <v>179</v>
      </c>
      <c r="G79" t="s">
        <v>179</v>
      </c>
      <c r="H79" t="s">
        <v>74</v>
      </c>
      <c r="I79">
        <v>10</v>
      </c>
      <c r="J79">
        <v>1</v>
      </c>
      <c r="K79">
        <v>1</v>
      </c>
      <c r="L79">
        <v>45577</v>
      </c>
      <c r="M79" t="s">
        <v>152</v>
      </c>
      <c r="N79">
        <v>0</v>
      </c>
      <c r="O79">
        <v>0</v>
      </c>
      <c r="P79">
        <v>2.7450980392156862E-2</v>
      </c>
      <c r="Q79">
        <v>0</v>
      </c>
      <c r="R79">
        <v>0</v>
      </c>
      <c r="S79">
        <v>2.7450980392156862E-2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2.7450980392156862E-2</v>
      </c>
      <c r="AD79">
        <v>0.97254901960784312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K79">
        <v>0</v>
      </c>
      <c r="BL79">
        <v>0</v>
      </c>
      <c r="BM79">
        <v>36.428571428571431</v>
      </c>
      <c r="BN79">
        <v>35.428571428571431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</row>
    <row r="80" spans="1:85" hidden="1" x14ac:dyDescent="0.25">
      <c r="A80" t="s">
        <v>128</v>
      </c>
      <c r="B80" t="s">
        <v>134</v>
      </c>
      <c r="C80" t="s">
        <v>72</v>
      </c>
      <c r="D80" s="12">
        <v>45577</v>
      </c>
      <c r="E80" t="s">
        <v>179</v>
      </c>
      <c r="F80" t="s">
        <v>179</v>
      </c>
      <c r="G80" t="s">
        <v>179</v>
      </c>
      <c r="H80" t="s">
        <v>75</v>
      </c>
      <c r="I80">
        <v>10</v>
      </c>
      <c r="J80">
        <v>1</v>
      </c>
      <c r="K80">
        <v>2.1042606516290729</v>
      </c>
      <c r="L80">
        <v>45577</v>
      </c>
      <c r="M80" t="s">
        <v>153</v>
      </c>
      <c r="N80">
        <v>1.9</v>
      </c>
      <c r="O80">
        <v>1.9</v>
      </c>
      <c r="P80">
        <v>1.7568627450980394</v>
      </c>
      <c r="Q80">
        <v>0.90292996665078595</v>
      </c>
      <c r="R80">
        <v>0.90292996665078595</v>
      </c>
      <c r="S80">
        <v>0.83490737886388477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9.7070033349214047E-2</v>
      </c>
      <c r="AE80">
        <v>0</v>
      </c>
      <c r="AF80">
        <v>6.8022587786901179E-2</v>
      </c>
      <c r="AG80">
        <v>0</v>
      </c>
      <c r="AH80">
        <v>0.83490737886388477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1.1075056061205648</v>
      </c>
      <c r="AO80">
        <v>1.1075056061205648</v>
      </c>
      <c r="AP80">
        <v>0.92466460268317863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0.10750560612056481</v>
      </c>
      <c r="AZ80">
        <v>0</v>
      </c>
      <c r="BA80">
        <v>0</v>
      </c>
      <c r="BB80">
        <v>0</v>
      </c>
      <c r="BC80">
        <v>7.5335397316821373E-2</v>
      </c>
      <c r="BD80">
        <v>0</v>
      </c>
      <c r="BE80">
        <v>0.92466460268317863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1.0814732142857142</v>
      </c>
      <c r="BL80">
        <v>1.0814732142857142</v>
      </c>
      <c r="BM80">
        <v>1.1977376476906552</v>
      </c>
      <c r="BN80">
        <v>0.11626443340494097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8.1473214285714191E-2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1</v>
      </c>
      <c r="CC80">
        <v>0</v>
      </c>
      <c r="CD80">
        <v>0</v>
      </c>
      <c r="CE80">
        <v>0</v>
      </c>
      <c r="CF80">
        <v>0</v>
      </c>
      <c r="CG80">
        <v>0</v>
      </c>
    </row>
    <row r="81" spans="1:85" hidden="1" x14ac:dyDescent="0.25">
      <c r="A81" t="s">
        <v>128</v>
      </c>
      <c r="B81" t="s">
        <v>134</v>
      </c>
      <c r="C81" t="s">
        <v>109</v>
      </c>
      <c r="D81" s="12">
        <v>45577</v>
      </c>
      <c r="E81" t="s">
        <v>179</v>
      </c>
      <c r="F81" t="s">
        <v>179</v>
      </c>
      <c r="G81" t="s">
        <v>179</v>
      </c>
      <c r="K81">
        <v>6.260651629072683</v>
      </c>
      <c r="N81">
        <v>6.65</v>
      </c>
      <c r="O81">
        <v>6.65</v>
      </c>
      <c r="P81">
        <v>3.666666666666667</v>
      </c>
      <c r="T81">
        <v>0</v>
      </c>
      <c r="U81">
        <v>0</v>
      </c>
      <c r="V81">
        <v>0.12850280224179331</v>
      </c>
      <c r="W81">
        <v>0</v>
      </c>
      <c r="X81">
        <v>0</v>
      </c>
      <c r="Y81">
        <v>0</v>
      </c>
      <c r="Z81">
        <v>0</v>
      </c>
      <c r="AA81">
        <v>0</v>
      </c>
      <c r="AB81">
        <v>0.12604083266613292</v>
      </c>
      <c r="AC81">
        <v>4.3846842179626044E-3</v>
      </c>
      <c r="AD81">
        <v>0.18796919888852259</v>
      </c>
      <c r="AE81">
        <v>0</v>
      </c>
      <c r="AF81">
        <v>0.22636226628361511</v>
      </c>
      <c r="AG81">
        <v>0</v>
      </c>
      <c r="AH81">
        <v>0.58128385060989962</v>
      </c>
      <c r="AI81">
        <v>0</v>
      </c>
      <c r="AJ81">
        <v>0</v>
      </c>
      <c r="AK81">
        <v>0</v>
      </c>
      <c r="AL81">
        <v>0</v>
      </c>
      <c r="AM81">
        <v>0</v>
      </c>
    </row>
    <row r="82" spans="1:85" hidden="1" x14ac:dyDescent="0.25">
      <c r="A82" t="s">
        <v>128</v>
      </c>
      <c r="B82" t="s">
        <v>134</v>
      </c>
      <c r="C82" t="s">
        <v>72</v>
      </c>
      <c r="D82" s="12">
        <v>45578</v>
      </c>
      <c r="E82" t="s">
        <v>179</v>
      </c>
      <c r="F82" t="s">
        <v>179</v>
      </c>
      <c r="G82" t="s">
        <v>179</v>
      </c>
      <c r="H82" t="s">
        <v>73</v>
      </c>
      <c r="I82">
        <v>10</v>
      </c>
      <c r="J82">
        <v>1</v>
      </c>
      <c r="K82">
        <v>3.1563909774436096</v>
      </c>
      <c r="L82">
        <v>45578</v>
      </c>
      <c r="M82" t="s">
        <v>154</v>
      </c>
      <c r="N82">
        <v>2.8499999999999996</v>
      </c>
      <c r="O82">
        <v>2.8499999999999996</v>
      </c>
      <c r="P82">
        <v>1.882352941176471</v>
      </c>
      <c r="Q82">
        <v>0.90292996665078584</v>
      </c>
      <c r="R82">
        <v>0.90292996665078584</v>
      </c>
      <c r="S82">
        <v>0.59636241347420338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9.7070033349214158E-2</v>
      </c>
      <c r="AE82">
        <v>0</v>
      </c>
      <c r="AF82">
        <v>0.30656755317658246</v>
      </c>
      <c r="AG82">
        <v>0</v>
      </c>
      <c r="AH82">
        <v>0.59636241347420338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1.1075056061205648</v>
      </c>
      <c r="AO82">
        <v>1.1075056061205648</v>
      </c>
      <c r="AP82">
        <v>0.66047471620227061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0.10750560612056481</v>
      </c>
      <c r="AZ82">
        <v>0</v>
      </c>
      <c r="BA82">
        <v>0</v>
      </c>
      <c r="BB82">
        <v>0</v>
      </c>
      <c r="BC82">
        <v>0.33952528379772939</v>
      </c>
      <c r="BD82">
        <v>0</v>
      </c>
      <c r="BE82">
        <v>0.66047471620227061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1.5140624999999994</v>
      </c>
      <c r="BL82">
        <v>1.5140624999999994</v>
      </c>
      <c r="BM82">
        <v>1.6768327067669173</v>
      </c>
      <c r="CD82">
        <v>0</v>
      </c>
      <c r="CE82">
        <v>0</v>
      </c>
      <c r="CF82">
        <v>0</v>
      </c>
    </row>
    <row r="83" spans="1:85" hidden="1" x14ac:dyDescent="0.25">
      <c r="A83" t="s">
        <v>128</v>
      </c>
      <c r="B83" t="s">
        <v>134</v>
      </c>
      <c r="C83" t="s">
        <v>72</v>
      </c>
      <c r="D83" s="12">
        <v>45578</v>
      </c>
      <c r="E83" t="s">
        <v>179</v>
      </c>
      <c r="F83" t="s">
        <v>179</v>
      </c>
      <c r="G83" t="s">
        <v>179</v>
      </c>
      <c r="H83" t="s">
        <v>74</v>
      </c>
      <c r="I83">
        <v>10</v>
      </c>
      <c r="J83">
        <v>1</v>
      </c>
      <c r="K83">
        <v>1</v>
      </c>
      <c r="L83">
        <v>45578</v>
      </c>
      <c r="M83" t="s">
        <v>155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1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1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</row>
    <row r="84" spans="1:85" hidden="1" x14ac:dyDescent="0.25">
      <c r="A84" t="s">
        <v>128</v>
      </c>
      <c r="B84" t="s">
        <v>134</v>
      </c>
      <c r="C84" t="s">
        <v>72</v>
      </c>
      <c r="D84" s="12">
        <v>45578</v>
      </c>
      <c r="E84" t="s">
        <v>179</v>
      </c>
      <c r="F84" t="s">
        <v>179</v>
      </c>
      <c r="G84" t="s">
        <v>179</v>
      </c>
      <c r="H84" t="s">
        <v>75</v>
      </c>
      <c r="I84">
        <v>10</v>
      </c>
      <c r="J84">
        <v>1</v>
      </c>
      <c r="K84">
        <v>2.1042606516290729</v>
      </c>
      <c r="L84">
        <v>45578</v>
      </c>
      <c r="M84" t="s">
        <v>156</v>
      </c>
      <c r="N84">
        <v>1.9</v>
      </c>
      <c r="O84">
        <v>1.9</v>
      </c>
      <c r="P84">
        <v>1.5821501014198778</v>
      </c>
      <c r="Q84">
        <v>0.90292996665078595</v>
      </c>
      <c r="R84">
        <v>0.90292996665078595</v>
      </c>
      <c r="S84">
        <v>0.75187933595346734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9.7070033349214047E-2</v>
      </c>
      <c r="AE84">
        <v>0</v>
      </c>
      <c r="AF84">
        <v>0.15105063069731861</v>
      </c>
      <c r="AG84">
        <v>0</v>
      </c>
      <c r="AH84">
        <v>0.75187933595346734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1.1075056061205648</v>
      </c>
      <c r="AO84">
        <v>1.1075056061205648</v>
      </c>
      <c r="AP84">
        <v>0.83271057969467255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0.10750560612056481</v>
      </c>
      <c r="AZ84">
        <v>0</v>
      </c>
      <c r="BA84">
        <v>0</v>
      </c>
      <c r="BB84">
        <v>0</v>
      </c>
      <c r="BC84">
        <v>0.16728942030532745</v>
      </c>
      <c r="BD84">
        <v>0</v>
      </c>
      <c r="BE84">
        <v>0.83271057969467255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1.2008974358974362</v>
      </c>
      <c r="BL84">
        <v>1.2008974358974362</v>
      </c>
      <c r="BM84">
        <v>1.3300006426322222</v>
      </c>
      <c r="BN84">
        <v>0.12910320673478592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0.20089743589743625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1</v>
      </c>
      <c r="CC84">
        <v>0</v>
      </c>
      <c r="CD84">
        <v>0</v>
      </c>
      <c r="CE84">
        <v>0</v>
      </c>
      <c r="CF84">
        <v>0</v>
      </c>
      <c r="CG84">
        <v>0</v>
      </c>
    </row>
    <row r="85" spans="1:85" hidden="1" x14ac:dyDescent="0.25">
      <c r="A85" t="s">
        <v>128</v>
      </c>
      <c r="B85" t="s">
        <v>134</v>
      </c>
      <c r="C85" t="s">
        <v>109</v>
      </c>
      <c r="D85" s="12">
        <v>45578</v>
      </c>
      <c r="E85" t="s">
        <v>179</v>
      </c>
      <c r="F85" t="s">
        <v>179</v>
      </c>
      <c r="G85" t="s">
        <v>179</v>
      </c>
      <c r="K85">
        <v>6.260651629072683</v>
      </c>
      <c r="N85">
        <v>4.75</v>
      </c>
      <c r="O85">
        <v>4.75</v>
      </c>
      <c r="P85">
        <v>3.4645030425963488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0.24129303442754219</v>
      </c>
      <c r="AE85">
        <v>0</v>
      </c>
      <c r="AF85">
        <v>0.20532957806407393</v>
      </c>
      <c r="AG85">
        <v>0</v>
      </c>
      <c r="AH85">
        <v>0.55337738750838383</v>
      </c>
      <c r="AI85">
        <v>0</v>
      </c>
      <c r="AJ85">
        <v>0</v>
      </c>
      <c r="AK85">
        <v>0</v>
      </c>
      <c r="AL85">
        <v>0</v>
      </c>
      <c r="AM85">
        <v>0</v>
      </c>
    </row>
    <row r="86" spans="1:85" hidden="1" x14ac:dyDescent="0.25">
      <c r="A86" t="s">
        <v>128</v>
      </c>
      <c r="B86" t="s">
        <v>134</v>
      </c>
      <c r="C86" t="s">
        <v>72</v>
      </c>
      <c r="D86" s="12">
        <v>45579</v>
      </c>
      <c r="E86" t="s">
        <v>179</v>
      </c>
      <c r="F86" t="s">
        <v>179</v>
      </c>
      <c r="G86" t="s">
        <v>179</v>
      </c>
      <c r="H86" t="s">
        <v>73</v>
      </c>
      <c r="I86">
        <v>10</v>
      </c>
      <c r="J86">
        <v>1</v>
      </c>
      <c r="K86">
        <v>3.1563909774436096</v>
      </c>
      <c r="L86">
        <v>45579</v>
      </c>
      <c r="M86" t="s">
        <v>157</v>
      </c>
      <c r="N86">
        <v>2.8499999999999996</v>
      </c>
      <c r="O86">
        <v>2.8499999999999996</v>
      </c>
      <c r="P86">
        <v>1.882352941176471</v>
      </c>
      <c r="Q86">
        <v>0.90292996665078584</v>
      </c>
      <c r="R86">
        <v>0.90292996665078584</v>
      </c>
      <c r="S86">
        <v>0.59636241347420338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9.7070033349214158E-2</v>
      </c>
      <c r="AE86">
        <v>0</v>
      </c>
      <c r="AF86">
        <v>0.30656755317658246</v>
      </c>
      <c r="AG86">
        <v>0</v>
      </c>
      <c r="AH86">
        <v>0.59636241347420338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1.1075056061205648</v>
      </c>
      <c r="AO86">
        <v>1.1075056061205648</v>
      </c>
      <c r="AP86">
        <v>0.66047471620227061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0.10750560612056481</v>
      </c>
      <c r="AZ86">
        <v>0</v>
      </c>
      <c r="BA86">
        <v>0</v>
      </c>
      <c r="BB86">
        <v>0</v>
      </c>
      <c r="BC86">
        <v>0.33952528379772939</v>
      </c>
      <c r="BD86">
        <v>0</v>
      </c>
      <c r="BE86">
        <v>0.66047471620227061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1.5140624999999994</v>
      </c>
      <c r="BL86">
        <v>1.5140624999999994</v>
      </c>
      <c r="BM86">
        <v>1.6768327067669173</v>
      </c>
      <c r="CD86">
        <v>0</v>
      </c>
      <c r="CE86">
        <v>0</v>
      </c>
      <c r="CF86">
        <v>0</v>
      </c>
    </row>
    <row r="87" spans="1:85" hidden="1" x14ac:dyDescent="0.25">
      <c r="A87" t="s">
        <v>128</v>
      </c>
      <c r="B87" t="s">
        <v>134</v>
      </c>
      <c r="C87" t="s">
        <v>72</v>
      </c>
      <c r="D87" s="12">
        <v>45579</v>
      </c>
      <c r="E87" t="s">
        <v>179</v>
      </c>
      <c r="F87" t="s">
        <v>179</v>
      </c>
      <c r="G87" t="s">
        <v>179</v>
      </c>
      <c r="H87" t="s">
        <v>74</v>
      </c>
      <c r="I87">
        <v>10</v>
      </c>
      <c r="J87">
        <v>1</v>
      </c>
      <c r="K87">
        <v>1</v>
      </c>
      <c r="L87">
        <v>45579</v>
      </c>
      <c r="M87" t="s">
        <v>158</v>
      </c>
      <c r="N87">
        <v>0</v>
      </c>
      <c r="O87">
        <v>0</v>
      </c>
      <c r="P87">
        <v>5.4901960784313725E-2</v>
      </c>
      <c r="Q87">
        <v>0</v>
      </c>
      <c r="R87">
        <v>0</v>
      </c>
      <c r="S87">
        <v>5.4901960784313725E-2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5.4901960784313725E-2</v>
      </c>
      <c r="AD87">
        <v>0.94509803921568625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K87">
        <v>0</v>
      </c>
      <c r="BL87">
        <v>0</v>
      </c>
      <c r="BM87">
        <v>18.214285714285715</v>
      </c>
      <c r="BN87">
        <v>17.214285714285715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</row>
    <row r="88" spans="1:85" hidden="1" x14ac:dyDescent="0.25">
      <c r="A88" t="s">
        <v>128</v>
      </c>
      <c r="B88" t="s">
        <v>134</v>
      </c>
      <c r="C88" t="s">
        <v>72</v>
      </c>
      <c r="D88" s="12">
        <v>45579</v>
      </c>
      <c r="E88" t="s">
        <v>179</v>
      </c>
      <c r="F88" t="s">
        <v>179</v>
      </c>
      <c r="G88" t="s">
        <v>179</v>
      </c>
      <c r="H88" t="s">
        <v>75</v>
      </c>
      <c r="I88">
        <v>10</v>
      </c>
      <c r="J88">
        <v>1</v>
      </c>
      <c r="K88">
        <v>2.1042606516290729</v>
      </c>
      <c r="L88">
        <v>45579</v>
      </c>
      <c r="M88" t="s">
        <v>159</v>
      </c>
      <c r="N88">
        <v>1.9</v>
      </c>
      <c r="O88">
        <v>1.9</v>
      </c>
      <c r="P88">
        <v>1.9315753887761999</v>
      </c>
      <c r="Q88">
        <v>0.90292996665078595</v>
      </c>
      <c r="R88">
        <v>0.90292996665078595</v>
      </c>
      <c r="S88">
        <v>0.91793542177430165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1.5005455123515699E-2</v>
      </c>
      <c r="AD88">
        <v>8.2064578225698348E-2</v>
      </c>
      <c r="AE88">
        <v>0</v>
      </c>
      <c r="AF88">
        <v>0</v>
      </c>
      <c r="AG88">
        <v>0</v>
      </c>
      <c r="AH88">
        <v>0.90292996665078595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1.1075056061205648</v>
      </c>
      <c r="AO88">
        <v>1.1075056061205648</v>
      </c>
      <c r="AP88">
        <v>1.0166186256716843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1.6618625671684262E-2</v>
      </c>
      <c r="AX88">
        <v>0</v>
      </c>
      <c r="AY88">
        <v>9.088698044888055E-2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1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0.98365303836460383</v>
      </c>
      <c r="BL88">
        <v>0.98365303836460383</v>
      </c>
      <c r="BM88">
        <v>1.0894012544663256</v>
      </c>
      <c r="BN88">
        <v>8.940125446632563E-2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9.7070033349214047E-2</v>
      </c>
      <c r="BX88">
        <v>0</v>
      </c>
      <c r="BY88">
        <v>0</v>
      </c>
      <c r="BZ88">
        <v>0</v>
      </c>
      <c r="CA88">
        <v>0</v>
      </c>
      <c r="CB88">
        <v>0.98365303836460383</v>
      </c>
      <c r="CC88">
        <v>0</v>
      </c>
      <c r="CD88">
        <v>0</v>
      </c>
      <c r="CE88">
        <v>0</v>
      </c>
      <c r="CF88">
        <v>0</v>
      </c>
      <c r="CG88">
        <v>0</v>
      </c>
    </row>
    <row r="89" spans="1:85" hidden="1" x14ac:dyDescent="0.25">
      <c r="A89" t="s">
        <v>128</v>
      </c>
      <c r="B89" t="s">
        <v>134</v>
      </c>
      <c r="C89" t="s">
        <v>109</v>
      </c>
      <c r="D89" s="12">
        <v>45579</v>
      </c>
      <c r="E89" t="s">
        <v>179</v>
      </c>
      <c r="F89" t="s">
        <v>179</v>
      </c>
      <c r="G89" t="s">
        <v>179</v>
      </c>
      <c r="K89">
        <v>6.260651629072683</v>
      </c>
      <c r="N89">
        <v>4.75</v>
      </c>
      <c r="O89">
        <v>4.75</v>
      </c>
      <c r="P89">
        <v>3.8688302907369847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1.381283525806443E-2</v>
      </c>
      <c r="AD89">
        <v>0.2274801991694777</v>
      </c>
      <c r="AE89">
        <v>0</v>
      </c>
      <c r="AF89">
        <v>0.15456011868318173</v>
      </c>
      <c r="AG89">
        <v>0</v>
      </c>
      <c r="AH89">
        <v>0.604146846889276</v>
      </c>
      <c r="AI89">
        <v>0</v>
      </c>
      <c r="AJ89">
        <v>0</v>
      </c>
      <c r="AK89">
        <v>0</v>
      </c>
      <c r="AL89">
        <v>0</v>
      </c>
      <c r="AM89">
        <v>0</v>
      </c>
    </row>
    <row r="90" spans="1:85" hidden="1" x14ac:dyDescent="0.25">
      <c r="A90" t="s">
        <v>128</v>
      </c>
      <c r="B90" t="s">
        <v>134</v>
      </c>
      <c r="C90" t="s">
        <v>72</v>
      </c>
      <c r="D90" s="12">
        <v>45580</v>
      </c>
      <c r="E90" t="s">
        <v>179</v>
      </c>
      <c r="F90" t="s">
        <v>179</v>
      </c>
      <c r="G90" t="s">
        <v>179</v>
      </c>
      <c r="H90" t="s">
        <v>73</v>
      </c>
      <c r="I90">
        <v>10</v>
      </c>
      <c r="J90">
        <v>1</v>
      </c>
      <c r="K90">
        <v>3.1563909774436087</v>
      </c>
      <c r="L90">
        <v>45580</v>
      </c>
      <c r="M90" t="s">
        <v>160</v>
      </c>
      <c r="N90">
        <v>1.9</v>
      </c>
      <c r="O90">
        <v>1.9</v>
      </c>
      <c r="P90">
        <v>0.78787878787878785</v>
      </c>
      <c r="Q90">
        <v>0.60195331110052408</v>
      </c>
      <c r="R90">
        <v>0.60195331110052408</v>
      </c>
      <c r="S90">
        <v>0.24961381321552834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0.39804668889947592</v>
      </c>
      <c r="AE90">
        <v>0</v>
      </c>
      <c r="AF90">
        <v>0.35233949788499574</v>
      </c>
      <c r="AG90">
        <v>0</v>
      </c>
      <c r="AH90">
        <v>0.24961381321552834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1.6612584091808469</v>
      </c>
      <c r="AO90">
        <v>1.6612584091808469</v>
      </c>
      <c r="AP90">
        <v>0.41467304625199364</v>
      </c>
      <c r="BG90">
        <v>0</v>
      </c>
      <c r="BH90">
        <v>0</v>
      </c>
      <c r="BI90">
        <v>0</v>
      </c>
      <c r="BK90">
        <v>2.4115384615384614</v>
      </c>
      <c r="BL90">
        <v>2.4115384615384614</v>
      </c>
      <c r="BM90">
        <v>4.0061885482938111</v>
      </c>
      <c r="CD90">
        <v>0</v>
      </c>
      <c r="CE90">
        <v>0</v>
      </c>
      <c r="CF90">
        <v>0</v>
      </c>
    </row>
    <row r="91" spans="1:85" hidden="1" x14ac:dyDescent="0.25">
      <c r="A91" t="s">
        <v>128</v>
      </c>
      <c r="B91" t="s">
        <v>134</v>
      </c>
      <c r="C91" t="s">
        <v>72</v>
      </c>
      <c r="D91" s="12">
        <v>45580</v>
      </c>
      <c r="E91" t="s">
        <v>179</v>
      </c>
      <c r="F91" t="s">
        <v>179</v>
      </c>
      <c r="G91" t="s">
        <v>179</v>
      </c>
      <c r="H91" t="s">
        <v>74</v>
      </c>
      <c r="I91">
        <v>10</v>
      </c>
      <c r="J91">
        <v>1</v>
      </c>
      <c r="K91">
        <v>1</v>
      </c>
      <c r="L91">
        <v>45580</v>
      </c>
      <c r="M91" t="s">
        <v>161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1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</row>
    <row r="92" spans="1:85" hidden="1" x14ac:dyDescent="0.25">
      <c r="A92" t="s">
        <v>128</v>
      </c>
      <c r="B92" t="s">
        <v>134</v>
      </c>
      <c r="C92" t="s">
        <v>72</v>
      </c>
      <c r="D92" s="12">
        <v>45580</v>
      </c>
      <c r="E92" t="s">
        <v>179</v>
      </c>
      <c r="F92" t="s">
        <v>179</v>
      </c>
      <c r="G92" t="s">
        <v>179</v>
      </c>
      <c r="H92" t="s">
        <v>75</v>
      </c>
      <c r="I92">
        <v>10</v>
      </c>
      <c r="J92">
        <v>1</v>
      </c>
      <c r="K92">
        <v>2.1042606516290729</v>
      </c>
      <c r="L92">
        <v>45580</v>
      </c>
      <c r="M92" t="s">
        <v>162</v>
      </c>
      <c r="N92">
        <v>2.8499999999999996</v>
      </c>
      <c r="O92">
        <v>2.8499999999999996</v>
      </c>
      <c r="P92">
        <v>1.5172413793103443</v>
      </c>
      <c r="Q92">
        <v>1.3543949499761787</v>
      </c>
      <c r="R92">
        <v>1.3543949499761787</v>
      </c>
      <c r="S92">
        <v>0.72103300422204297</v>
      </c>
      <c r="T92">
        <v>0</v>
      </c>
      <c r="U92">
        <v>0</v>
      </c>
      <c r="V92">
        <v>0.10439494997617871</v>
      </c>
      <c r="W92">
        <v>0</v>
      </c>
      <c r="X92">
        <v>0</v>
      </c>
      <c r="Y92">
        <v>0</v>
      </c>
      <c r="Z92">
        <v>0</v>
      </c>
      <c r="AA92">
        <v>0</v>
      </c>
      <c r="AB92">
        <v>0.25</v>
      </c>
      <c r="AC92">
        <v>0</v>
      </c>
      <c r="AD92">
        <v>0</v>
      </c>
      <c r="AE92">
        <v>0</v>
      </c>
      <c r="AF92">
        <v>0.27896699577795703</v>
      </c>
      <c r="AG92">
        <v>0</v>
      </c>
      <c r="AH92">
        <v>0.72103300422204297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0.73833707074704324</v>
      </c>
      <c r="AO92">
        <v>0.73833707074704324</v>
      </c>
      <c r="AP92">
        <v>0.53236539624924373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0.26166292925295676</v>
      </c>
      <c r="BB92">
        <v>0</v>
      </c>
      <c r="BC92">
        <v>0.20597167449779952</v>
      </c>
      <c r="BD92">
        <v>0</v>
      </c>
      <c r="BE92">
        <v>0.53236539624924373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1.8784090909090914</v>
      </c>
      <c r="BL92">
        <v>1.8784090909090914</v>
      </c>
      <c r="BM92">
        <v>1.3868990658464349</v>
      </c>
      <c r="CD92">
        <v>0</v>
      </c>
      <c r="CE92">
        <v>0</v>
      </c>
      <c r="CF92">
        <v>0</v>
      </c>
    </row>
    <row r="93" spans="1:85" hidden="1" x14ac:dyDescent="0.25">
      <c r="A93" t="s">
        <v>128</v>
      </c>
      <c r="B93" t="s">
        <v>134</v>
      </c>
      <c r="C93" t="s">
        <v>109</v>
      </c>
      <c r="D93" s="12">
        <v>45580</v>
      </c>
      <c r="E93" t="s">
        <v>179</v>
      </c>
      <c r="F93" t="s">
        <v>179</v>
      </c>
      <c r="G93" t="s">
        <v>179</v>
      </c>
      <c r="K93">
        <v>6.2606516290726812</v>
      </c>
      <c r="N93">
        <v>4.75</v>
      </c>
      <c r="O93">
        <v>4.75</v>
      </c>
      <c r="P93">
        <v>2.3051201671891324</v>
      </c>
      <c r="T93">
        <v>0</v>
      </c>
      <c r="U93">
        <v>0</v>
      </c>
      <c r="V93">
        <v>3.5088070456364952E-2</v>
      </c>
      <c r="W93">
        <v>0</v>
      </c>
      <c r="X93">
        <v>0</v>
      </c>
      <c r="Y93">
        <v>0</v>
      </c>
      <c r="Z93">
        <v>0</v>
      </c>
      <c r="AA93">
        <v>0</v>
      </c>
      <c r="AB93">
        <v>8.4027221777421959E-2</v>
      </c>
      <c r="AC93">
        <v>0</v>
      </c>
      <c r="AD93">
        <v>0.36040832666132905</v>
      </c>
      <c r="AE93">
        <v>0</v>
      </c>
      <c r="AF93">
        <v>0.2713999412696303</v>
      </c>
      <c r="AG93">
        <v>0</v>
      </c>
      <c r="AH93">
        <v>0.36819173206904077</v>
      </c>
      <c r="AI93">
        <v>0</v>
      </c>
      <c r="AJ93">
        <v>0</v>
      </c>
      <c r="AK93">
        <v>0</v>
      </c>
      <c r="AL93">
        <v>0</v>
      </c>
      <c r="AM93">
        <v>0</v>
      </c>
    </row>
    <row r="94" spans="1:85" hidden="1" x14ac:dyDescent="0.25">
      <c r="A94" t="s">
        <v>128</v>
      </c>
      <c r="B94" t="s">
        <v>134</v>
      </c>
      <c r="C94" t="s">
        <v>72</v>
      </c>
      <c r="D94" s="12">
        <v>45581</v>
      </c>
      <c r="E94" t="s">
        <v>179</v>
      </c>
      <c r="F94" t="s">
        <v>179</v>
      </c>
      <c r="G94" t="s">
        <v>179</v>
      </c>
      <c r="H94" t="s">
        <v>73</v>
      </c>
      <c r="I94">
        <v>10</v>
      </c>
      <c r="J94">
        <v>1</v>
      </c>
      <c r="K94">
        <v>3.1563909774436087</v>
      </c>
      <c r="L94">
        <v>45581</v>
      </c>
      <c r="M94" t="s">
        <v>163</v>
      </c>
      <c r="N94">
        <v>1.9</v>
      </c>
      <c r="O94">
        <v>1.9</v>
      </c>
      <c r="P94">
        <v>1.7290552584670236</v>
      </c>
      <c r="Q94">
        <v>0.60195331110052408</v>
      </c>
      <c r="R94">
        <v>0.60195331110052408</v>
      </c>
      <c r="S94">
        <v>0.54779501995263025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0.39804668889947592</v>
      </c>
      <c r="AE94">
        <v>0</v>
      </c>
      <c r="AF94">
        <v>5.4158291147893833E-2</v>
      </c>
      <c r="AG94">
        <v>0</v>
      </c>
      <c r="AH94">
        <v>0.54779501995263025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1.6612584091808469</v>
      </c>
      <c r="AO94">
        <v>1.6612584091808469</v>
      </c>
      <c r="AP94">
        <v>0.9100290834036967</v>
      </c>
      <c r="BG94">
        <v>0</v>
      </c>
      <c r="BH94">
        <v>0</v>
      </c>
      <c r="BI94">
        <v>0</v>
      </c>
      <c r="BK94">
        <v>1.098865979381443</v>
      </c>
      <c r="BL94">
        <v>1.098865979381443</v>
      </c>
      <c r="BM94">
        <v>1.8255003488101691</v>
      </c>
      <c r="BN94">
        <v>0.72663436942872606</v>
      </c>
      <c r="BO94">
        <v>0</v>
      </c>
      <c r="BP94">
        <v>0</v>
      </c>
      <c r="BQ94">
        <v>0</v>
      </c>
      <c r="BR94">
        <v>0</v>
      </c>
      <c r="BS94">
        <v>0.40113402061855696</v>
      </c>
      <c r="BT94">
        <v>9.8865979381443037E-2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</row>
    <row r="95" spans="1:85" hidden="1" x14ac:dyDescent="0.25">
      <c r="A95" t="s">
        <v>128</v>
      </c>
      <c r="B95" t="s">
        <v>134</v>
      </c>
      <c r="C95" t="s">
        <v>72</v>
      </c>
      <c r="D95" s="12">
        <v>45581</v>
      </c>
      <c r="E95" t="s">
        <v>179</v>
      </c>
      <c r="F95" t="s">
        <v>179</v>
      </c>
      <c r="G95" t="s">
        <v>179</v>
      </c>
      <c r="H95" t="s">
        <v>74</v>
      </c>
      <c r="I95">
        <v>10</v>
      </c>
      <c r="J95">
        <v>1</v>
      </c>
      <c r="K95">
        <v>1</v>
      </c>
      <c r="L95">
        <v>45581</v>
      </c>
      <c r="M95" t="s">
        <v>164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1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1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</row>
    <row r="96" spans="1:85" hidden="1" x14ac:dyDescent="0.25">
      <c r="A96" t="s">
        <v>128</v>
      </c>
      <c r="B96" t="s">
        <v>134</v>
      </c>
      <c r="C96" t="s">
        <v>72</v>
      </c>
      <c r="D96" s="12">
        <v>45581</v>
      </c>
      <c r="E96" t="s">
        <v>179</v>
      </c>
      <c r="F96" t="s">
        <v>179</v>
      </c>
      <c r="G96" t="s">
        <v>179</v>
      </c>
      <c r="H96" t="s">
        <v>75</v>
      </c>
      <c r="I96">
        <v>10</v>
      </c>
      <c r="J96">
        <v>1</v>
      </c>
      <c r="K96">
        <v>2.1042606516290729</v>
      </c>
      <c r="L96">
        <v>45581</v>
      </c>
      <c r="M96" t="s">
        <v>165</v>
      </c>
      <c r="N96">
        <v>1.9</v>
      </c>
      <c r="O96">
        <v>1.9</v>
      </c>
      <c r="P96">
        <v>2.3083164300202839</v>
      </c>
      <c r="Q96">
        <v>0.90292996665078595</v>
      </c>
      <c r="R96">
        <v>0.90292996665078595</v>
      </c>
      <c r="S96">
        <v>1.0969726721987769</v>
      </c>
      <c r="T96">
        <v>9.6972672198776921E-2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9.7070033349214047E-2</v>
      </c>
      <c r="AD96">
        <v>0</v>
      </c>
      <c r="AE96">
        <v>0</v>
      </c>
      <c r="AF96">
        <v>0</v>
      </c>
      <c r="AG96">
        <v>0</v>
      </c>
      <c r="AH96">
        <v>0.90292996665078595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1.1075056061205648</v>
      </c>
      <c r="AO96">
        <v>1.1075056061205648</v>
      </c>
      <c r="AP96">
        <v>1.214903384221202</v>
      </c>
      <c r="AQ96">
        <v>0.10739777810063722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0.10750560612056481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1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0.82311072056239021</v>
      </c>
      <c r="BL96">
        <v>0.82311072056239021</v>
      </c>
      <c r="BM96">
        <v>0.91159973748078471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8.8400262519215289E-2</v>
      </c>
      <c r="BY96">
        <v>0</v>
      </c>
      <c r="BZ96">
        <v>0</v>
      </c>
      <c r="CA96">
        <v>0</v>
      </c>
      <c r="CB96">
        <v>0.82311072056239021</v>
      </c>
      <c r="CC96">
        <v>0</v>
      </c>
      <c r="CD96">
        <v>0</v>
      </c>
      <c r="CE96">
        <v>0</v>
      </c>
      <c r="CF96">
        <v>0</v>
      </c>
      <c r="CG96">
        <v>0</v>
      </c>
    </row>
    <row r="97" spans="1:85" hidden="1" x14ac:dyDescent="0.25">
      <c r="A97" t="s">
        <v>128</v>
      </c>
      <c r="B97" t="s">
        <v>134</v>
      </c>
      <c r="C97" t="s">
        <v>109</v>
      </c>
      <c r="D97" s="12">
        <v>45581</v>
      </c>
      <c r="E97" t="s">
        <v>179</v>
      </c>
      <c r="F97" t="s">
        <v>179</v>
      </c>
      <c r="G97" t="s">
        <v>179</v>
      </c>
      <c r="K97">
        <v>6.2606516290726812</v>
      </c>
      <c r="N97">
        <v>3.8</v>
      </c>
      <c r="O97">
        <v>3.8</v>
      </c>
      <c r="P97">
        <v>4.0373716884873074</v>
      </c>
      <c r="T97">
        <v>3.2593376932783476E-2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3.2626100880704619E-2</v>
      </c>
      <c r="AD97">
        <v>0.36040832666132905</v>
      </c>
      <c r="AE97">
        <v>0</v>
      </c>
      <c r="AF97">
        <v>2.7304624448221571E-2</v>
      </c>
      <c r="AG97">
        <v>0</v>
      </c>
      <c r="AH97">
        <v>0.57966094800974488</v>
      </c>
      <c r="AI97">
        <v>0</v>
      </c>
      <c r="AJ97">
        <v>0</v>
      </c>
      <c r="AK97">
        <v>0</v>
      </c>
      <c r="AL97">
        <v>0</v>
      </c>
      <c r="AM97">
        <v>0</v>
      </c>
    </row>
    <row r="98" spans="1:85" hidden="1" x14ac:dyDescent="0.25">
      <c r="A98" t="s">
        <v>128</v>
      </c>
      <c r="B98" t="s">
        <v>134</v>
      </c>
      <c r="C98" t="s">
        <v>72</v>
      </c>
      <c r="D98" s="12">
        <v>45582</v>
      </c>
      <c r="E98" t="s">
        <v>179</v>
      </c>
      <c r="F98" t="s">
        <v>179</v>
      </c>
      <c r="G98" t="s">
        <v>179</v>
      </c>
      <c r="H98" t="s">
        <v>73</v>
      </c>
      <c r="I98">
        <v>10</v>
      </c>
      <c r="J98">
        <v>1</v>
      </c>
      <c r="K98">
        <v>3.1563909774436087</v>
      </c>
      <c r="L98">
        <v>45582</v>
      </c>
      <c r="M98" t="s">
        <v>166</v>
      </c>
      <c r="N98">
        <v>2.8499999999999996</v>
      </c>
      <c r="O98">
        <v>2.8499999999999996</v>
      </c>
      <c r="P98">
        <v>1.882352941176471</v>
      </c>
      <c r="Q98">
        <v>0.90292996665078606</v>
      </c>
      <c r="R98">
        <v>0.90292996665078606</v>
      </c>
      <c r="S98">
        <v>0.5963624134742036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9.7070033349213936E-2</v>
      </c>
      <c r="AE98">
        <v>0</v>
      </c>
      <c r="AF98">
        <v>0.30656755317658246</v>
      </c>
      <c r="AG98">
        <v>0</v>
      </c>
      <c r="AH98">
        <v>0.5963624134742036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1.1075056061205646</v>
      </c>
      <c r="AO98">
        <v>1.1075056061205646</v>
      </c>
      <c r="AP98">
        <v>0.66047471620227061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0.10750560612056459</v>
      </c>
      <c r="AZ98">
        <v>0</v>
      </c>
      <c r="BA98">
        <v>0</v>
      </c>
      <c r="BB98">
        <v>0</v>
      </c>
      <c r="BC98">
        <v>0.33952528379772939</v>
      </c>
      <c r="BD98">
        <v>0</v>
      </c>
      <c r="BE98">
        <v>0.66047471620227061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1.5140624999999994</v>
      </c>
      <c r="BL98">
        <v>1.5140624999999994</v>
      </c>
      <c r="BM98">
        <v>1.6768327067669169</v>
      </c>
      <c r="CD98">
        <v>0</v>
      </c>
      <c r="CE98">
        <v>0</v>
      </c>
      <c r="CF98">
        <v>0</v>
      </c>
    </row>
    <row r="99" spans="1:85" hidden="1" x14ac:dyDescent="0.25">
      <c r="A99" t="s">
        <v>128</v>
      </c>
      <c r="B99" t="s">
        <v>134</v>
      </c>
      <c r="C99" t="s">
        <v>72</v>
      </c>
      <c r="D99" s="12">
        <v>45582</v>
      </c>
      <c r="E99" t="s">
        <v>179</v>
      </c>
      <c r="F99" t="s">
        <v>179</v>
      </c>
      <c r="G99" t="s">
        <v>179</v>
      </c>
      <c r="H99" t="s">
        <v>74</v>
      </c>
      <c r="I99">
        <v>10</v>
      </c>
      <c r="J99">
        <v>1</v>
      </c>
      <c r="K99">
        <v>1</v>
      </c>
      <c r="L99">
        <v>45582</v>
      </c>
      <c r="M99" t="s">
        <v>167</v>
      </c>
      <c r="N99">
        <v>0</v>
      </c>
      <c r="O99">
        <v>0</v>
      </c>
      <c r="P99">
        <v>2.7450980392156862E-2</v>
      </c>
      <c r="Q99">
        <v>0</v>
      </c>
      <c r="R99">
        <v>0</v>
      </c>
      <c r="S99">
        <v>2.7450980392156862E-2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2.7450980392156862E-2</v>
      </c>
      <c r="AD99">
        <v>0.97254901960784312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K99">
        <v>0</v>
      </c>
      <c r="BL99">
        <v>0</v>
      </c>
      <c r="BM99">
        <v>36.428571428571431</v>
      </c>
      <c r="BN99">
        <v>35.428571428571431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</row>
    <row r="100" spans="1:85" hidden="1" x14ac:dyDescent="0.25">
      <c r="A100" t="s">
        <v>128</v>
      </c>
      <c r="B100" t="s">
        <v>134</v>
      </c>
      <c r="C100" t="s">
        <v>72</v>
      </c>
      <c r="D100" s="12">
        <v>45582</v>
      </c>
      <c r="E100" t="s">
        <v>179</v>
      </c>
      <c r="F100" t="s">
        <v>179</v>
      </c>
      <c r="G100" t="s">
        <v>179</v>
      </c>
      <c r="H100" t="s">
        <v>75</v>
      </c>
      <c r="I100">
        <v>10</v>
      </c>
      <c r="J100">
        <v>1</v>
      </c>
      <c r="K100">
        <v>2.1042606516290729</v>
      </c>
      <c r="L100">
        <v>45582</v>
      </c>
      <c r="M100" t="s">
        <v>168</v>
      </c>
      <c r="N100">
        <v>1.9</v>
      </c>
      <c r="O100">
        <v>1.9</v>
      </c>
      <c r="P100">
        <v>1.7568627450980394</v>
      </c>
      <c r="Q100">
        <v>0.90292996665078595</v>
      </c>
      <c r="R100">
        <v>0.90292996665078595</v>
      </c>
      <c r="S100">
        <v>0.83490737886388477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9.7070033349214047E-2</v>
      </c>
      <c r="AE100">
        <v>0</v>
      </c>
      <c r="AF100">
        <v>6.8022587786901179E-2</v>
      </c>
      <c r="AG100">
        <v>0</v>
      </c>
      <c r="AH100">
        <v>0.83490737886388477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1.1075056061205648</v>
      </c>
      <c r="AO100">
        <v>1.1075056061205648</v>
      </c>
      <c r="AP100">
        <v>0.92466460268317863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0.10750560612056481</v>
      </c>
      <c r="AZ100">
        <v>0</v>
      </c>
      <c r="BA100">
        <v>0</v>
      </c>
      <c r="BB100">
        <v>0</v>
      </c>
      <c r="BC100">
        <v>7.5335397316821373E-2</v>
      </c>
      <c r="BD100">
        <v>0</v>
      </c>
      <c r="BE100">
        <v>0.92466460268317863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1.0814732142857142</v>
      </c>
      <c r="BL100">
        <v>1.0814732142857142</v>
      </c>
      <c r="BM100">
        <v>1.1977376476906552</v>
      </c>
      <c r="BN100">
        <v>0.11626443340494097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8.1473214285714191E-2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1</v>
      </c>
      <c r="CC100">
        <v>0</v>
      </c>
      <c r="CD100">
        <v>0</v>
      </c>
      <c r="CE100">
        <v>0</v>
      </c>
      <c r="CF100">
        <v>0</v>
      </c>
      <c r="CG100">
        <v>0</v>
      </c>
    </row>
    <row r="101" spans="1:85" hidden="1" x14ac:dyDescent="0.25">
      <c r="A101" t="s">
        <v>128</v>
      </c>
      <c r="B101" t="s">
        <v>134</v>
      </c>
      <c r="C101" t="s">
        <v>109</v>
      </c>
      <c r="D101" s="12">
        <v>45582</v>
      </c>
      <c r="E101" t="s">
        <v>179</v>
      </c>
      <c r="F101" t="s">
        <v>179</v>
      </c>
      <c r="G101" t="s">
        <v>179</v>
      </c>
      <c r="K101">
        <v>6.2606516290726812</v>
      </c>
      <c r="N101">
        <v>4.75</v>
      </c>
      <c r="O101">
        <v>4.75</v>
      </c>
      <c r="P101">
        <v>3.666666666666667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4.3846842179626052E-3</v>
      </c>
      <c r="AD101">
        <v>0.23690835020957948</v>
      </c>
      <c r="AE101">
        <v>0</v>
      </c>
      <c r="AF101">
        <v>0.17742311496255814</v>
      </c>
      <c r="AG101">
        <v>0</v>
      </c>
      <c r="AH101">
        <v>0.58128385060989984</v>
      </c>
      <c r="AI101">
        <v>0</v>
      </c>
      <c r="AJ101">
        <v>0</v>
      </c>
      <c r="AK101">
        <v>0</v>
      </c>
      <c r="AL101">
        <v>0</v>
      </c>
      <c r="AM101">
        <v>0</v>
      </c>
    </row>
    <row r="102" spans="1:85" hidden="1" x14ac:dyDescent="0.25">
      <c r="A102" t="s">
        <v>128</v>
      </c>
      <c r="B102" t="s">
        <v>134</v>
      </c>
      <c r="C102" t="s">
        <v>72</v>
      </c>
      <c r="D102" s="12">
        <v>45583</v>
      </c>
      <c r="E102" t="s">
        <v>179</v>
      </c>
      <c r="F102" t="s">
        <v>179</v>
      </c>
      <c r="G102" t="s">
        <v>179</v>
      </c>
      <c r="H102" t="s">
        <v>73</v>
      </c>
      <c r="I102">
        <v>10</v>
      </c>
      <c r="J102">
        <v>1</v>
      </c>
      <c r="K102">
        <v>3.1563909774436096</v>
      </c>
      <c r="L102">
        <v>45583</v>
      </c>
      <c r="M102" t="s">
        <v>169</v>
      </c>
      <c r="N102">
        <v>2.8499999999999996</v>
      </c>
      <c r="O102">
        <v>2.8499999999999996</v>
      </c>
      <c r="P102">
        <v>1.882352941176471</v>
      </c>
      <c r="Q102">
        <v>0.90292996665078584</v>
      </c>
      <c r="R102">
        <v>0.90292996665078584</v>
      </c>
      <c r="S102">
        <v>0.59636241347420338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9.7070033349214158E-2</v>
      </c>
      <c r="AE102">
        <v>0</v>
      </c>
      <c r="AF102">
        <v>0.30656755317658246</v>
      </c>
      <c r="AG102">
        <v>0</v>
      </c>
      <c r="AH102">
        <v>0.59636241347420338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1.1075056061205648</v>
      </c>
      <c r="AO102">
        <v>1.1075056061205648</v>
      </c>
      <c r="AP102">
        <v>0.66047471620227061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0.10750560612056481</v>
      </c>
      <c r="AZ102">
        <v>0</v>
      </c>
      <c r="BA102">
        <v>0</v>
      </c>
      <c r="BB102">
        <v>0</v>
      </c>
      <c r="BC102">
        <v>0.33952528379772939</v>
      </c>
      <c r="BD102">
        <v>0</v>
      </c>
      <c r="BE102">
        <v>0.66047471620227061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1.5140624999999994</v>
      </c>
      <c r="BL102">
        <v>1.5140624999999994</v>
      </c>
      <c r="BM102">
        <v>1.6768327067669173</v>
      </c>
      <c r="CD102">
        <v>0</v>
      </c>
      <c r="CE102">
        <v>0</v>
      </c>
      <c r="CF102">
        <v>0</v>
      </c>
    </row>
    <row r="103" spans="1:85" hidden="1" x14ac:dyDescent="0.25">
      <c r="A103" t="s">
        <v>128</v>
      </c>
      <c r="B103" t="s">
        <v>134</v>
      </c>
      <c r="C103" t="s">
        <v>72</v>
      </c>
      <c r="D103" s="12">
        <v>45583</v>
      </c>
      <c r="E103" t="s">
        <v>179</v>
      </c>
      <c r="F103" t="s">
        <v>179</v>
      </c>
      <c r="G103" t="s">
        <v>179</v>
      </c>
      <c r="H103" t="s">
        <v>74</v>
      </c>
      <c r="I103">
        <v>10</v>
      </c>
      <c r="J103">
        <v>1</v>
      </c>
      <c r="K103">
        <v>1</v>
      </c>
      <c r="L103">
        <v>45583</v>
      </c>
      <c r="M103" t="s">
        <v>170</v>
      </c>
      <c r="N103">
        <v>0</v>
      </c>
      <c r="O103">
        <v>0</v>
      </c>
      <c r="P103">
        <v>2.7450980392156862E-2</v>
      </c>
      <c r="Q103">
        <v>0</v>
      </c>
      <c r="R103">
        <v>0</v>
      </c>
      <c r="S103">
        <v>2.7450980392156862E-2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2.7450980392156862E-2</v>
      </c>
      <c r="AD103">
        <v>0.97254901960784312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K103">
        <v>0</v>
      </c>
      <c r="BL103">
        <v>0</v>
      </c>
      <c r="BM103">
        <v>36.428571428571431</v>
      </c>
      <c r="BN103">
        <v>35.428571428571431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</row>
    <row r="104" spans="1:85" hidden="1" x14ac:dyDescent="0.25">
      <c r="A104" t="s">
        <v>128</v>
      </c>
      <c r="B104" t="s">
        <v>134</v>
      </c>
      <c r="C104" t="s">
        <v>72</v>
      </c>
      <c r="D104" s="12">
        <v>45583</v>
      </c>
      <c r="E104" t="s">
        <v>179</v>
      </c>
      <c r="F104" t="s">
        <v>179</v>
      </c>
      <c r="G104" t="s">
        <v>179</v>
      </c>
      <c r="H104" t="s">
        <v>75</v>
      </c>
      <c r="I104">
        <v>10</v>
      </c>
      <c r="J104">
        <v>1</v>
      </c>
      <c r="K104">
        <v>2.1042606516290729</v>
      </c>
      <c r="L104">
        <v>45583</v>
      </c>
      <c r="M104" t="s">
        <v>171</v>
      </c>
      <c r="N104">
        <v>2.8499999999999996</v>
      </c>
      <c r="O104">
        <v>2.8499999999999996</v>
      </c>
      <c r="P104">
        <v>1.7568627450980387</v>
      </c>
      <c r="Q104">
        <v>1.3543949499761787</v>
      </c>
      <c r="R104">
        <v>1.3543949499761787</v>
      </c>
      <c r="S104">
        <v>0.83490737886388444</v>
      </c>
      <c r="T104">
        <v>0</v>
      </c>
      <c r="U104">
        <v>0</v>
      </c>
      <c r="V104">
        <v>0.10439494997617871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0.25</v>
      </c>
      <c r="AC104">
        <v>0</v>
      </c>
      <c r="AD104">
        <v>0</v>
      </c>
      <c r="AE104">
        <v>0</v>
      </c>
      <c r="AF104">
        <v>0.16509262113611556</v>
      </c>
      <c r="AG104">
        <v>0</v>
      </c>
      <c r="AH104">
        <v>0.83490737886388444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0.73833707074704324</v>
      </c>
      <c r="AO104">
        <v>0.73833707074704324</v>
      </c>
      <c r="AP104">
        <v>0.61644306845545227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0.26166292925295676</v>
      </c>
      <c r="BB104">
        <v>0</v>
      </c>
      <c r="BC104">
        <v>0.12189400229159097</v>
      </c>
      <c r="BD104">
        <v>0</v>
      </c>
      <c r="BE104">
        <v>0.61644306845545227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1.6222098214285716</v>
      </c>
      <c r="BL104">
        <v>1.6222098214285716</v>
      </c>
      <c r="BM104">
        <v>1.1977376476906556</v>
      </c>
      <c r="CD104">
        <v>0</v>
      </c>
      <c r="CE104">
        <v>0</v>
      </c>
      <c r="CF104">
        <v>0</v>
      </c>
    </row>
    <row r="105" spans="1:85" hidden="1" x14ac:dyDescent="0.25">
      <c r="A105" t="s">
        <v>128</v>
      </c>
      <c r="B105" t="s">
        <v>134</v>
      </c>
      <c r="C105" t="s">
        <v>109</v>
      </c>
      <c r="D105" s="12">
        <v>45583</v>
      </c>
      <c r="E105" t="s">
        <v>179</v>
      </c>
      <c r="F105" t="s">
        <v>179</v>
      </c>
      <c r="G105" t="s">
        <v>179</v>
      </c>
      <c r="K105">
        <v>6.260651629072683</v>
      </c>
      <c r="N105">
        <v>5.6999999999999993</v>
      </c>
      <c r="O105">
        <v>5.6999999999999993</v>
      </c>
      <c r="P105">
        <v>3.6666666666666665</v>
      </c>
      <c r="T105">
        <v>0</v>
      </c>
      <c r="U105">
        <v>0</v>
      </c>
      <c r="V105">
        <v>3.5088070456364945E-2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8.4027221777421932E-2</v>
      </c>
      <c r="AC105">
        <v>4.3846842179626044E-3</v>
      </c>
      <c r="AD105">
        <v>0.20428224932887495</v>
      </c>
      <c r="AE105">
        <v>0</v>
      </c>
      <c r="AF105">
        <v>0.21004921584326283</v>
      </c>
      <c r="AG105">
        <v>0</v>
      </c>
      <c r="AH105">
        <v>0.58128385060989951</v>
      </c>
      <c r="AI105">
        <v>0</v>
      </c>
      <c r="AJ105">
        <v>0</v>
      </c>
      <c r="AK105">
        <v>0</v>
      </c>
      <c r="AL105">
        <v>0</v>
      </c>
      <c r="AM105">
        <v>0</v>
      </c>
    </row>
    <row r="106" spans="1:85" hidden="1" x14ac:dyDescent="0.25">
      <c r="A106" t="s">
        <v>128</v>
      </c>
      <c r="B106" t="s">
        <v>134</v>
      </c>
      <c r="C106" t="s">
        <v>72</v>
      </c>
      <c r="D106" s="12">
        <v>45584</v>
      </c>
      <c r="E106" t="s">
        <v>179</v>
      </c>
      <c r="F106" t="s">
        <v>179</v>
      </c>
      <c r="G106" t="s">
        <v>179</v>
      </c>
      <c r="H106" t="s">
        <v>73</v>
      </c>
      <c r="I106">
        <v>10</v>
      </c>
      <c r="J106">
        <v>1</v>
      </c>
      <c r="K106">
        <v>3.1563909774436096</v>
      </c>
      <c r="L106">
        <v>45584</v>
      </c>
      <c r="M106" t="s">
        <v>172</v>
      </c>
      <c r="N106">
        <v>2.8499999999999996</v>
      </c>
      <c r="O106">
        <v>2.8499999999999996</v>
      </c>
      <c r="P106">
        <v>1.882352941176471</v>
      </c>
      <c r="Q106">
        <v>0.90292996665078584</v>
      </c>
      <c r="R106">
        <v>0.90292996665078584</v>
      </c>
      <c r="S106">
        <v>0.59636241347420338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9.7070033349214158E-2</v>
      </c>
      <c r="AE106">
        <v>0</v>
      </c>
      <c r="AF106">
        <v>0.30656755317658246</v>
      </c>
      <c r="AG106">
        <v>0</v>
      </c>
      <c r="AH106">
        <v>0.59636241347420338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1.1075056061205648</v>
      </c>
      <c r="AO106">
        <v>1.1075056061205648</v>
      </c>
      <c r="AP106">
        <v>0.66047471620227061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0.10750560612056481</v>
      </c>
      <c r="AZ106">
        <v>0</v>
      </c>
      <c r="BA106">
        <v>0</v>
      </c>
      <c r="BB106">
        <v>0</v>
      </c>
      <c r="BC106">
        <v>0.33952528379772939</v>
      </c>
      <c r="BD106">
        <v>0</v>
      </c>
      <c r="BE106">
        <v>0.66047471620227061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1.5140624999999994</v>
      </c>
      <c r="BL106">
        <v>1.5140624999999994</v>
      </c>
      <c r="BM106">
        <v>1.6768327067669173</v>
      </c>
      <c r="CD106">
        <v>0</v>
      </c>
      <c r="CE106">
        <v>0</v>
      </c>
      <c r="CF106">
        <v>0</v>
      </c>
    </row>
    <row r="107" spans="1:85" hidden="1" x14ac:dyDescent="0.25">
      <c r="A107" t="s">
        <v>128</v>
      </c>
      <c r="B107" t="s">
        <v>134</v>
      </c>
      <c r="C107" t="s">
        <v>72</v>
      </c>
      <c r="D107" s="12">
        <v>45584</v>
      </c>
      <c r="E107" t="s">
        <v>179</v>
      </c>
      <c r="F107" t="s">
        <v>179</v>
      </c>
      <c r="G107" t="s">
        <v>179</v>
      </c>
      <c r="H107" t="s">
        <v>74</v>
      </c>
      <c r="I107">
        <v>10</v>
      </c>
      <c r="J107">
        <v>1</v>
      </c>
      <c r="K107">
        <v>1</v>
      </c>
      <c r="L107">
        <v>45584</v>
      </c>
      <c r="M107" t="s">
        <v>173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1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</row>
    <row r="108" spans="1:85" hidden="1" x14ac:dyDescent="0.25">
      <c r="A108" t="s">
        <v>128</v>
      </c>
      <c r="B108" t="s">
        <v>134</v>
      </c>
      <c r="C108" t="s">
        <v>72</v>
      </c>
      <c r="D108" s="12">
        <v>45584</v>
      </c>
      <c r="E108" t="s">
        <v>179</v>
      </c>
      <c r="F108" t="s">
        <v>179</v>
      </c>
      <c r="G108" t="s">
        <v>179</v>
      </c>
      <c r="H108" t="s">
        <v>75</v>
      </c>
      <c r="I108">
        <v>10</v>
      </c>
      <c r="J108">
        <v>1</v>
      </c>
      <c r="K108">
        <v>2.1042606516290729</v>
      </c>
      <c r="L108">
        <v>45584</v>
      </c>
      <c r="M108" t="s">
        <v>174</v>
      </c>
      <c r="N108">
        <v>2.8499999999999996</v>
      </c>
      <c r="O108">
        <v>2.8499999999999996</v>
      </c>
      <c r="P108">
        <v>1.5821501014198782</v>
      </c>
      <c r="Q108">
        <v>1.3543949499761787</v>
      </c>
      <c r="R108">
        <v>1.3543949499761787</v>
      </c>
      <c r="S108">
        <v>0.75187933595346756</v>
      </c>
      <c r="T108">
        <v>0</v>
      </c>
      <c r="U108">
        <v>0</v>
      </c>
      <c r="V108">
        <v>0.10439494997617871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0.25</v>
      </c>
      <c r="AC108">
        <v>0</v>
      </c>
      <c r="AD108">
        <v>0</v>
      </c>
      <c r="AE108">
        <v>0</v>
      </c>
      <c r="AF108">
        <v>0.24812066404653244</v>
      </c>
      <c r="AG108">
        <v>0</v>
      </c>
      <c r="AH108">
        <v>0.75187933595346756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0.73833707074704324</v>
      </c>
      <c r="AO108">
        <v>0.73833707074704324</v>
      </c>
      <c r="AP108">
        <v>0.55514038646311525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0.26166292925295676</v>
      </c>
      <c r="BB108">
        <v>0</v>
      </c>
      <c r="BC108">
        <v>0.18319668428392799</v>
      </c>
      <c r="BD108">
        <v>0</v>
      </c>
      <c r="BE108">
        <v>0.55514038646311525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1.8013461538461537</v>
      </c>
      <c r="BL108">
        <v>1.8013461538461537</v>
      </c>
      <c r="BM108">
        <v>1.3300006426322217</v>
      </c>
      <c r="CD108">
        <v>0</v>
      </c>
      <c r="CE108">
        <v>0</v>
      </c>
      <c r="CF108">
        <v>0</v>
      </c>
    </row>
    <row r="109" spans="1:85" hidden="1" x14ac:dyDescent="0.25">
      <c r="A109" t="s">
        <v>128</v>
      </c>
      <c r="B109" t="s">
        <v>134</v>
      </c>
      <c r="C109" t="s">
        <v>109</v>
      </c>
      <c r="D109" s="12">
        <v>45584</v>
      </c>
      <c r="E109" t="s">
        <v>179</v>
      </c>
      <c r="F109" t="s">
        <v>179</v>
      </c>
      <c r="G109" t="s">
        <v>179</v>
      </c>
      <c r="K109">
        <v>6.260651629072683</v>
      </c>
      <c r="N109">
        <v>5.6999999999999993</v>
      </c>
      <c r="O109">
        <v>5.6999999999999993</v>
      </c>
      <c r="P109">
        <v>3.4645030425963492</v>
      </c>
      <c r="T109">
        <v>0</v>
      </c>
      <c r="U109">
        <v>0</v>
      </c>
      <c r="V109">
        <v>3.5088070456364945E-2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8.4027221777421932E-2</v>
      </c>
      <c r="AC109">
        <v>0</v>
      </c>
      <c r="AD109">
        <v>0.20866693354683757</v>
      </c>
      <c r="AE109">
        <v>0</v>
      </c>
      <c r="AF109">
        <v>0.23795567894477843</v>
      </c>
      <c r="AG109">
        <v>0</v>
      </c>
      <c r="AH109">
        <v>0.55337738750838394</v>
      </c>
      <c r="AI109">
        <v>0</v>
      </c>
      <c r="AJ109">
        <v>0</v>
      </c>
      <c r="AK109">
        <v>0</v>
      </c>
      <c r="AL109">
        <v>0</v>
      </c>
      <c r="AM109">
        <v>0</v>
      </c>
    </row>
    <row r="110" spans="1:85" hidden="1" x14ac:dyDescent="0.25">
      <c r="A110" t="s">
        <v>128</v>
      </c>
      <c r="B110" t="s">
        <v>134</v>
      </c>
      <c r="C110" t="s">
        <v>72</v>
      </c>
      <c r="D110" s="12">
        <v>45585</v>
      </c>
      <c r="E110" t="s">
        <v>179</v>
      </c>
      <c r="F110" t="s">
        <v>179</v>
      </c>
      <c r="G110" t="s">
        <v>179</v>
      </c>
      <c r="H110" t="s">
        <v>73</v>
      </c>
      <c r="I110">
        <v>10</v>
      </c>
      <c r="J110">
        <v>1</v>
      </c>
      <c r="K110">
        <v>3.1563909774436087</v>
      </c>
      <c r="L110">
        <v>45585</v>
      </c>
      <c r="M110" t="s">
        <v>175</v>
      </c>
      <c r="N110">
        <v>3.8</v>
      </c>
      <c r="O110">
        <v>3.8</v>
      </c>
      <c r="P110">
        <v>2.8121775025799796</v>
      </c>
      <c r="Q110">
        <v>1.2039066222010482</v>
      </c>
      <c r="R110">
        <v>1.2039066222010482</v>
      </c>
      <c r="S110">
        <v>0.89094713635811651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0.20390662220104816</v>
      </c>
      <c r="AC110">
        <v>0</v>
      </c>
      <c r="AD110">
        <v>0</v>
      </c>
      <c r="AE110">
        <v>0</v>
      </c>
      <c r="AF110">
        <v>0.10905286364188349</v>
      </c>
      <c r="AG110">
        <v>0</v>
      </c>
      <c r="AH110">
        <v>0.89094713635811651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0.83062920459042344</v>
      </c>
      <c r="AO110">
        <v>0.83062920459042344</v>
      </c>
      <c r="AP110">
        <v>0.74004671120525778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0.16937079540957656</v>
      </c>
      <c r="BB110">
        <v>0</v>
      </c>
      <c r="BC110">
        <v>9.0582493385165663E-2</v>
      </c>
      <c r="BD110">
        <v>0</v>
      </c>
      <c r="BE110">
        <v>0.74004671120525778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1.3512660550458715</v>
      </c>
      <c r="BL110">
        <v>1.3512660550458715</v>
      </c>
      <c r="BM110">
        <v>1.1224010484927915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0.12240104849279154</v>
      </c>
      <c r="BU110">
        <v>0</v>
      </c>
      <c r="BV110">
        <v>0.22886500655307995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1</v>
      </c>
      <c r="CC110">
        <v>0</v>
      </c>
      <c r="CD110">
        <v>0</v>
      </c>
      <c r="CE110">
        <v>0</v>
      </c>
      <c r="CF110">
        <v>0</v>
      </c>
      <c r="CG110">
        <v>0</v>
      </c>
    </row>
    <row r="111" spans="1:85" hidden="1" x14ac:dyDescent="0.25">
      <c r="A111" t="s">
        <v>128</v>
      </c>
      <c r="B111" t="s">
        <v>134</v>
      </c>
      <c r="C111" t="s">
        <v>72</v>
      </c>
      <c r="D111" s="12">
        <v>45585</v>
      </c>
      <c r="E111" t="s">
        <v>179</v>
      </c>
      <c r="F111" t="s">
        <v>179</v>
      </c>
      <c r="G111" t="s">
        <v>179</v>
      </c>
      <c r="H111" t="s">
        <v>74</v>
      </c>
      <c r="I111">
        <v>10</v>
      </c>
      <c r="J111">
        <v>1</v>
      </c>
      <c r="K111">
        <v>1</v>
      </c>
      <c r="L111">
        <v>45585</v>
      </c>
      <c r="M111" t="s">
        <v>176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1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</row>
    <row r="112" spans="1:85" hidden="1" x14ac:dyDescent="0.25">
      <c r="A112" t="s">
        <v>128</v>
      </c>
      <c r="B112" t="s">
        <v>134</v>
      </c>
      <c r="C112" t="s">
        <v>72</v>
      </c>
      <c r="D112" s="12">
        <v>45585</v>
      </c>
      <c r="E112" t="s">
        <v>179</v>
      </c>
      <c r="F112" t="s">
        <v>179</v>
      </c>
      <c r="G112" t="s">
        <v>179</v>
      </c>
      <c r="H112" t="s">
        <v>75</v>
      </c>
      <c r="I112">
        <v>10</v>
      </c>
      <c r="J112">
        <v>1</v>
      </c>
      <c r="K112">
        <v>2.1042606516290729</v>
      </c>
      <c r="L112">
        <v>45585</v>
      </c>
      <c r="M112" t="s">
        <v>177</v>
      </c>
      <c r="N112">
        <v>2.8499999999999996</v>
      </c>
      <c r="O112">
        <v>2.8499999999999996</v>
      </c>
      <c r="P112">
        <v>1.5930393936158855</v>
      </c>
      <c r="Q112">
        <v>1.3543949499761787</v>
      </c>
      <c r="R112">
        <v>1.3543949499761787</v>
      </c>
      <c r="S112">
        <v>0.75705421397419992</v>
      </c>
      <c r="T112">
        <v>0</v>
      </c>
      <c r="U112">
        <v>0</v>
      </c>
      <c r="V112">
        <v>0.10439494997617871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0.25</v>
      </c>
      <c r="AC112">
        <v>0</v>
      </c>
      <c r="AD112">
        <v>0</v>
      </c>
      <c r="AE112">
        <v>0</v>
      </c>
      <c r="AF112">
        <v>0.24294578602580008</v>
      </c>
      <c r="AG112">
        <v>0</v>
      </c>
      <c r="AH112">
        <v>0.75705421397419992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0.73833707074704324</v>
      </c>
      <c r="AO112">
        <v>0.73833707074704324</v>
      </c>
      <c r="AP112">
        <v>0.55896119074241601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0.26166292925295676</v>
      </c>
      <c r="BB112">
        <v>0</v>
      </c>
      <c r="BC112">
        <v>0.17937588000462723</v>
      </c>
      <c r="BD112">
        <v>0</v>
      </c>
      <c r="BE112">
        <v>0.55896119074241601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1.7890329714515478</v>
      </c>
      <c r="BL112">
        <v>1.7890329714515478</v>
      </c>
      <c r="BM112">
        <v>1.3209093636114144</v>
      </c>
      <c r="CD112">
        <v>0</v>
      </c>
      <c r="CE112">
        <v>0</v>
      </c>
      <c r="CF112">
        <v>0</v>
      </c>
    </row>
    <row r="113" spans="1:85" hidden="1" x14ac:dyDescent="0.25">
      <c r="A113" t="s">
        <v>128</v>
      </c>
      <c r="B113" t="s">
        <v>134</v>
      </c>
      <c r="C113" t="s">
        <v>109</v>
      </c>
      <c r="D113" s="12">
        <v>45585</v>
      </c>
      <c r="E113" t="s">
        <v>179</v>
      </c>
      <c r="F113" t="s">
        <v>179</v>
      </c>
      <c r="G113" t="s">
        <v>179</v>
      </c>
      <c r="K113">
        <v>6.2606516290726812</v>
      </c>
      <c r="N113">
        <v>6.6499999999999995</v>
      </c>
      <c r="O113">
        <v>6.6499999999999995</v>
      </c>
      <c r="P113">
        <v>4.4052168961958653</v>
      </c>
      <c r="T113">
        <v>0</v>
      </c>
      <c r="U113">
        <v>0</v>
      </c>
      <c r="V113">
        <v>3.5088070456364952E-2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0.1868294635708567</v>
      </c>
      <c r="AC113">
        <v>0</v>
      </c>
      <c r="AD113">
        <v>0.15972778222578063</v>
      </c>
      <c r="AE113">
        <v>0</v>
      </c>
      <c r="AF113">
        <v>0.13663669272131698</v>
      </c>
      <c r="AG113">
        <v>0</v>
      </c>
      <c r="AH113">
        <v>0.7036355250529025</v>
      </c>
      <c r="AI113">
        <v>0</v>
      </c>
      <c r="AJ113">
        <v>0</v>
      </c>
      <c r="AK113">
        <v>0</v>
      </c>
      <c r="AL113">
        <v>0</v>
      </c>
      <c r="AM113">
        <v>0</v>
      </c>
    </row>
    <row r="114" spans="1:85" hidden="1" x14ac:dyDescent="0.25">
      <c r="A114" t="s">
        <v>128</v>
      </c>
      <c r="B114" t="s">
        <v>134</v>
      </c>
      <c r="C114" t="s">
        <v>72</v>
      </c>
      <c r="D114" s="12">
        <v>45572</v>
      </c>
      <c r="E114" t="s">
        <v>178</v>
      </c>
      <c r="F114" t="s">
        <v>178</v>
      </c>
      <c r="G114" t="s">
        <v>178</v>
      </c>
      <c r="H114" t="s">
        <v>73</v>
      </c>
      <c r="I114">
        <v>10</v>
      </c>
      <c r="J114">
        <v>1</v>
      </c>
      <c r="K114">
        <v>5.7593984962406006</v>
      </c>
      <c r="L114">
        <v>45572</v>
      </c>
      <c r="M114" t="s">
        <v>136</v>
      </c>
      <c r="N114">
        <v>4.75</v>
      </c>
      <c r="O114">
        <v>4.75</v>
      </c>
      <c r="P114">
        <v>3.6806722689075615</v>
      </c>
      <c r="Q114">
        <v>0.82473890339425604</v>
      </c>
      <c r="R114">
        <v>0.82473890339425604</v>
      </c>
      <c r="S114">
        <v>0.63907233911841477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0.17526109660574396</v>
      </c>
      <c r="AE114">
        <v>0</v>
      </c>
      <c r="AF114">
        <v>0.18566656427584127</v>
      </c>
      <c r="AG114">
        <v>0</v>
      </c>
      <c r="AH114">
        <v>0.63907233911841477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1.2125049465769686</v>
      </c>
      <c r="AO114">
        <v>1.2125049465769686</v>
      </c>
      <c r="AP114">
        <v>0.77487837240159185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0.21250494657696861</v>
      </c>
      <c r="AZ114">
        <v>0</v>
      </c>
      <c r="BA114">
        <v>0</v>
      </c>
      <c r="BB114">
        <v>0</v>
      </c>
      <c r="BC114">
        <v>0.22512162759840815</v>
      </c>
      <c r="BD114">
        <v>0</v>
      </c>
      <c r="BE114">
        <v>0.77487837240159185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1.2905251141552516</v>
      </c>
      <c r="BL114">
        <v>1.2905251141552516</v>
      </c>
      <c r="BM114">
        <v>1.5647680845950498</v>
      </c>
      <c r="BN114">
        <v>0.27424297043979817</v>
      </c>
      <c r="BO114">
        <v>0</v>
      </c>
      <c r="BP114">
        <v>0</v>
      </c>
      <c r="BQ114">
        <v>0</v>
      </c>
      <c r="BR114">
        <v>0</v>
      </c>
      <c r="BS114">
        <v>0.20947488584474838</v>
      </c>
      <c r="BT114">
        <v>0.29052511415525162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</row>
    <row r="115" spans="1:85" hidden="1" x14ac:dyDescent="0.25">
      <c r="A115" t="s">
        <v>128</v>
      </c>
      <c r="B115" t="s">
        <v>134</v>
      </c>
      <c r="C115" t="s">
        <v>72</v>
      </c>
      <c r="D115" s="12">
        <v>45572</v>
      </c>
      <c r="E115" t="s">
        <v>178</v>
      </c>
      <c r="F115" t="s">
        <v>178</v>
      </c>
      <c r="G115" t="s">
        <v>178</v>
      </c>
      <c r="H115" t="s">
        <v>74</v>
      </c>
      <c r="I115">
        <v>10</v>
      </c>
      <c r="J115">
        <v>1</v>
      </c>
      <c r="K115">
        <v>1</v>
      </c>
      <c r="L115">
        <v>45572</v>
      </c>
      <c r="M115" t="s">
        <v>137</v>
      </c>
      <c r="N115">
        <v>0</v>
      </c>
      <c r="O115">
        <v>0</v>
      </c>
      <c r="P115">
        <v>1.2607763753274592</v>
      </c>
      <c r="Q115">
        <v>0</v>
      </c>
      <c r="R115">
        <v>0</v>
      </c>
      <c r="S115">
        <v>1.2607763753274592</v>
      </c>
      <c r="T115">
        <v>0.26077637532745923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1</v>
      </c>
      <c r="AM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1</v>
      </c>
      <c r="BJ115">
        <v>1</v>
      </c>
      <c r="BK115">
        <v>0</v>
      </c>
      <c r="BL115">
        <v>0</v>
      </c>
      <c r="BM115">
        <v>0.79316207026822794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0.20683792973177206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0.79316207026822794</v>
      </c>
      <c r="CG115">
        <v>0</v>
      </c>
    </row>
    <row r="116" spans="1:85" hidden="1" x14ac:dyDescent="0.25">
      <c r="A116" t="s">
        <v>128</v>
      </c>
      <c r="B116" t="s">
        <v>134</v>
      </c>
      <c r="C116" t="s">
        <v>72</v>
      </c>
      <c r="D116" s="12">
        <v>45572</v>
      </c>
      <c r="E116" t="s">
        <v>178</v>
      </c>
      <c r="F116" t="s">
        <v>178</v>
      </c>
      <c r="G116" t="s">
        <v>178</v>
      </c>
      <c r="H116" t="s">
        <v>75</v>
      </c>
      <c r="I116">
        <v>10</v>
      </c>
      <c r="J116">
        <v>1</v>
      </c>
      <c r="K116">
        <v>2.8796992481203003</v>
      </c>
      <c r="L116">
        <v>45572</v>
      </c>
      <c r="M116" t="s">
        <v>138</v>
      </c>
      <c r="N116">
        <v>3.8</v>
      </c>
      <c r="O116">
        <v>3.8</v>
      </c>
      <c r="P116">
        <v>3.4077079107505077</v>
      </c>
      <c r="Q116">
        <v>1.3195822454308095</v>
      </c>
      <c r="R116">
        <v>1.3195822454308095</v>
      </c>
      <c r="S116">
        <v>1.183355488589602</v>
      </c>
      <c r="T116">
        <v>0</v>
      </c>
      <c r="U116">
        <v>0</v>
      </c>
      <c r="V116">
        <v>6.9582245430809486E-2</v>
      </c>
      <c r="W116">
        <v>0</v>
      </c>
      <c r="X116">
        <v>0</v>
      </c>
      <c r="Y116">
        <v>0</v>
      </c>
      <c r="Z116">
        <v>0.18335548858960204</v>
      </c>
      <c r="AA116">
        <v>0</v>
      </c>
      <c r="AB116">
        <v>6.6644511410397955E-2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1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0.75781559161060541</v>
      </c>
      <c r="AO116">
        <v>0.75781559161060541</v>
      </c>
      <c r="AP116">
        <v>0.89676523967118627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0.10323476032881373</v>
      </c>
      <c r="BB116">
        <v>0</v>
      </c>
      <c r="BC116">
        <v>0</v>
      </c>
      <c r="BD116">
        <v>0</v>
      </c>
      <c r="BE116">
        <v>0.75781559161060541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1.1151190476190473</v>
      </c>
      <c r="BL116">
        <v>1.1151190476190473</v>
      </c>
      <c r="BM116">
        <v>0.84505460078768324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0.11511904761904734</v>
      </c>
      <c r="BW116">
        <v>0</v>
      </c>
      <c r="BX116">
        <v>0</v>
      </c>
      <c r="BY116">
        <v>0</v>
      </c>
      <c r="BZ116">
        <v>0.15494539921231676</v>
      </c>
      <c r="CA116">
        <v>0</v>
      </c>
      <c r="CB116">
        <v>0.84505460078768324</v>
      </c>
      <c r="CC116">
        <v>0</v>
      </c>
      <c r="CD116">
        <v>0</v>
      </c>
      <c r="CE116">
        <v>0</v>
      </c>
      <c r="CF116">
        <v>0</v>
      </c>
      <c r="CG116">
        <v>0</v>
      </c>
    </row>
    <row r="117" spans="1:85" hidden="1" x14ac:dyDescent="0.25">
      <c r="A117" t="s">
        <v>128</v>
      </c>
      <c r="B117" t="s">
        <v>134</v>
      </c>
      <c r="C117" t="s">
        <v>109</v>
      </c>
      <c r="D117" s="12">
        <v>45572</v>
      </c>
      <c r="E117" t="s">
        <v>178</v>
      </c>
      <c r="F117" t="s">
        <v>178</v>
      </c>
      <c r="G117" t="s">
        <v>178</v>
      </c>
      <c r="K117">
        <v>9.6390977443609014</v>
      </c>
      <c r="N117">
        <v>8.5500000000000007</v>
      </c>
      <c r="O117">
        <v>8.5500000000000007</v>
      </c>
      <c r="P117">
        <v>8.3491565549855284</v>
      </c>
      <c r="T117">
        <v>2.7054023337404118E-2</v>
      </c>
      <c r="U117">
        <v>0</v>
      </c>
      <c r="V117">
        <v>2.0787831513260555E-2</v>
      </c>
      <c r="W117">
        <v>0</v>
      </c>
      <c r="X117">
        <v>0</v>
      </c>
      <c r="Y117">
        <v>0</v>
      </c>
      <c r="Z117">
        <v>5.4777809773648656E-2</v>
      </c>
      <c r="AA117">
        <v>0</v>
      </c>
      <c r="AB117">
        <v>1.9910177745852117E-2</v>
      </c>
      <c r="AC117">
        <v>0</v>
      </c>
      <c r="AD117">
        <v>0.1047191887675506</v>
      </c>
      <c r="AE117">
        <v>0</v>
      </c>
      <c r="AF117">
        <v>0.11093649628338097</v>
      </c>
      <c r="AG117">
        <v>0</v>
      </c>
      <c r="AH117">
        <v>0.68060016518307775</v>
      </c>
      <c r="AI117">
        <v>0</v>
      </c>
      <c r="AJ117">
        <v>0</v>
      </c>
      <c r="AK117">
        <v>0</v>
      </c>
      <c r="AL117">
        <v>0.10374414976599065</v>
      </c>
      <c r="AM117">
        <v>0</v>
      </c>
    </row>
    <row r="118" spans="1:85" hidden="1" x14ac:dyDescent="0.25">
      <c r="A118" t="s">
        <v>128</v>
      </c>
      <c r="B118" t="s">
        <v>134</v>
      </c>
      <c r="C118" t="s">
        <v>72</v>
      </c>
      <c r="D118" s="12">
        <v>45573</v>
      </c>
      <c r="E118" t="s">
        <v>178</v>
      </c>
      <c r="F118" t="s">
        <v>178</v>
      </c>
      <c r="G118" t="s">
        <v>178</v>
      </c>
      <c r="H118" t="s">
        <v>73</v>
      </c>
      <c r="I118">
        <v>10</v>
      </c>
      <c r="J118">
        <v>1</v>
      </c>
      <c r="K118">
        <v>5.7593984962406006</v>
      </c>
      <c r="L118">
        <v>45573</v>
      </c>
      <c r="M118" t="s">
        <v>139</v>
      </c>
      <c r="N118">
        <v>3.8</v>
      </c>
      <c r="O118">
        <v>3.8</v>
      </c>
      <c r="P118">
        <v>3.5676377851649996</v>
      </c>
      <c r="Q118">
        <v>0.65979112271540474</v>
      </c>
      <c r="R118">
        <v>0.65979112271540474</v>
      </c>
      <c r="S118">
        <v>0.61944624729366193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0.34020887728459526</v>
      </c>
      <c r="AE118">
        <v>0</v>
      </c>
      <c r="AF118">
        <v>4.034487542174281E-2</v>
      </c>
      <c r="AG118">
        <v>0</v>
      </c>
      <c r="AH118">
        <v>0.61944624729366193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1.5156311832212108</v>
      </c>
      <c r="AO118">
        <v>1.5156311832212108</v>
      </c>
      <c r="AP118">
        <v>0.93885204872763151</v>
      </c>
      <c r="BG118">
        <v>0</v>
      </c>
      <c r="BH118">
        <v>0</v>
      </c>
      <c r="BI118">
        <v>0</v>
      </c>
      <c r="BK118">
        <v>1.0651305510332949</v>
      </c>
      <c r="BL118">
        <v>1.0651305510332949</v>
      </c>
      <c r="BM118">
        <v>1.6143450773476529</v>
      </c>
      <c r="BN118">
        <v>0.54921452631435796</v>
      </c>
      <c r="BO118">
        <v>0</v>
      </c>
      <c r="BP118">
        <v>0</v>
      </c>
      <c r="BQ118">
        <v>0</v>
      </c>
      <c r="BR118">
        <v>0</v>
      </c>
      <c r="BS118">
        <v>0.4348694489667051</v>
      </c>
      <c r="BT118">
        <v>6.5130551033294903E-2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</row>
    <row r="119" spans="1:85" hidden="1" x14ac:dyDescent="0.25">
      <c r="A119" t="s">
        <v>128</v>
      </c>
      <c r="B119" t="s">
        <v>134</v>
      </c>
      <c r="C119" t="s">
        <v>72</v>
      </c>
      <c r="D119" s="12">
        <v>45573</v>
      </c>
      <c r="E119" t="s">
        <v>178</v>
      </c>
      <c r="F119" t="s">
        <v>178</v>
      </c>
      <c r="G119" t="s">
        <v>178</v>
      </c>
      <c r="H119" t="s">
        <v>74</v>
      </c>
      <c r="I119">
        <v>10</v>
      </c>
      <c r="J119">
        <v>1</v>
      </c>
      <c r="K119">
        <v>1</v>
      </c>
      <c r="L119">
        <v>45573</v>
      </c>
      <c r="M119" t="s">
        <v>140</v>
      </c>
      <c r="N119">
        <v>0</v>
      </c>
      <c r="O119">
        <v>0</v>
      </c>
      <c r="P119">
        <v>1.3112611297620786</v>
      </c>
      <c r="Q119">
        <v>0</v>
      </c>
      <c r="R119">
        <v>0</v>
      </c>
      <c r="S119">
        <v>1.3112611297620786</v>
      </c>
      <c r="T119">
        <v>0.31126112976207865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1</v>
      </c>
      <c r="AM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1</v>
      </c>
      <c r="BJ119">
        <v>1</v>
      </c>
      <c r="BK119">
        <v>0</v>
      </c>
      <c r="BL119">
        <v>0</v>
      </c>
      <c r="BM119">
        <v>0.76262460413315591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0.23737539586684409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0.76262460413315591</v>
      </c>
      <c r="CG119">
        <v>0</v>
      </c>
    </row>
    <row r="120" spans="1:85" hidden="1" x14ac:dyDescent="0.25">
      <c r="A120" t="s">
        <v>128</v>
      </c>
      <c r="B120" t="s">
        <v>134</v>
      </c>
      <c r="C120" t="s">
        <v>72</v>
      </c>
      <c r="D120" s="12">
        <v>45573</v>
      </c>
      <c r="E120" t="s">
        <v>178</v>
      </c>
      <c r="F120" t="s">
        <v>178</v>
      </c>
      <c r="G120" t="s">
        <v>178</v>
      </c>
      <c r="H120" t="s">
        <v>75</v>
      </c>
      <c r="I120">
        <v>10</v>
      </c>
      <c r="J120">
        <v>1</v>
      </c>
      <c r="K120">
        <v>2.8796992481203003</v>
      </c>
      <c r="L120">
        <v>45573</v>
      </c>
      <c r="M120" t="s">
        <v>141</v>
      </c>
      <c r="N120">
        <v>2.8499999999999996</v>
      </c>
      <c r="O120">
        <v>2.8499999999999996</v>
      </c>
      <c r="P120">
        <v>3.205666426748675</v>
      </c>
      <c r="Q120">
        <v>0.98968668407310711</v>
      </c>
      <c r="R120">
        <v>0.98968668407310711</v>
      </c>
      <c r="S120">
        <v>1.1131948688187305</v>
      </c>
      <c r="T120">
        <v>0.11319486881873053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1.0313315926892885E-2</v>
      </c>
      <c r="AD120">
        <v>0</v>
      </c>
      <c r="AE120">
        <v>0</v>
      </c>
      <c r="AF120">
        <v>0</v>
      </c>
      <c r="AG120">
        <v>0</v>
      </c>
      <c r="AH120">
        <v>0.98968668407310711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1.0104207888141405</v>
      </c>
      <c r="AO120">
        <v>1.0104207888141405</v>
      </c>
      <c r="AP120">
        <v>1.1247952374556756</v>
      </c>
      <c r="AQ120">
        <v>0.11437444864153501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1.0420788814140547E-2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1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0.88905070603075587</v>
      </c>
      <c r="BL120">
        <v>0.88905070603075587</v>
      </c>
      <c r="BM120">
        <v>0.89831531568336487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0.10168468431663513</v>
      </c>
      <c r="BY120">
        <v>0</v>
      </c>
      <c r="BZ120">
        <v>0</v>
      </c>
      <c r="CA120">
        <v>0</v>
      </c>
      <c r="CB120">
        <v>0.88905070603075587</v>
      </c>
      <c r="CC120">
        <v>0</v>
      </c>
      <c r="CD120">
        <v>0</v>
      </c>
      <c r="CE120">
        <v>0</v>
      </c>
      <c r="CF120">
        <v>0</v>
      </c>
      <c r="CG120">
        <v>0</v>
      </c>
    </row>
    <row r="121" spans="1:85" hidden="1" x14ac:dyDescent="0.25">
      <c r="A121" t="s">
        <v>128</v>
      </c>
      <c r="B121" t="s">
        <v>134</v>
      </c>
      <c r="C121" t="s">
        <v>109</v>
      </c>
      <c r="D121" s="12">
        <v>45573</v>
      </c>
      <c r="E121" t="s">
        <v>178</v>
      </c>
      <c r="F121" t="s">
        <v>178</v>
      </c>
      <c r="G121" t="s">
        <v>178</v>
      </c>
      <c r="K121">
        <v>9.6390977443609014</v>
      </c>
      <c r="N121">
        <v>6.6499999999999995</v>
      </c>
      <c r="O121">
        <v>6.6499999999999995</v>
      </c>
      <c r="P121">
        <v>8.0845653416757539</v>
      </c>
      <c r="T121">
        <v>6.6108709060788029E-2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3.0811232449297773E-3</v>
      </c>
      <c r="AD121">
        <v>0.20327613104524178</v>
      </c>
      <c r="AE121">
        <v>0</v>
      </c>
      <c r="AF121">
        <v>2.4106220415799524E-2</v>
      </c>
      <c r="AG121">
        <v>0</v>
      </c>
      <c r="AH121">
        <v>0.66579237552803816</v>
      </c>
      <c r="AI121">
        <v>0</v>
      </c>
      <c r="AJ121">
        <v>0</v>
      </c>
      <c r="AK121">
        <v>0</v>
      </c>
      <c r="AL121">
        <v>0.10374414976599065</v>
      </c>
      <c r="AM121">
        <v>0</v>
      </c>
    </row>
    <row r="122" spans="1:85" hidden="1" x14ac:dyDescent="0.25">
      <c r="A122" t="s">
        <v>128</v>
      </c>
      <c r="B122" t="s">
        <v>134</v>
      </c>
      <c r="C122" t="s">
        <v>72</v>
      </c>
      <c r="D122" s="12">
        <v>45574</v>
      </c>
      <c r="E122" t="s">
        <v>178</v>
      </c>
      <c r="F122" t="s">
        <v>178</v>
      </c>
      <c r="G122" t="s">
        <v>178</v>
      </c>
      <c r="H122" t="s">
        <v>73</v>
      </c>
      <c r="I122">
        <v>10</v>
      </c>
      <c r="J122">
        <v>1</v>
      </c>
      <c r="K122">
        <v>5.7593984962406006</v>
      </c>
      <c r="L122">
        <v>45574</v>
      </c>
      <c r="M122" t="s">
        <v>142</v>
      </c>
      <c r="N122">
        <v>3.8</v>
      </c>
      <c r="O122">
        <v>3.8</v>
      </c>
      <c r="P122">
        <v>3.6431722689075623</v>
      </c>
      <c r="Q122">
        <v>0.65979112271540474</v>
      </c>
      <c r="R122">
        <v>0.65979112271540474</v>
      </c>
      <c r="S122">
        <v>0.63256124251267087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0.34020887728459526</v>
      </c>
      <c r="AE122">
        <v>0</v>
      </c>
      <c r="AF122">
        <v>2.7229880202733869E-2</v>
      </c>
      <c r="AG122">
        <v>0</v>
      </c>
      <c r="AH122">
        <v>0.63256124251267087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1.5156311832212108</v>
      </c>
      <c r="AO122">
        <v>1.5156311832212108</v>
      </c>
      <c r="AP122">
        <v>0.95872954444935854</v>
      </c>
      <c r="BG122">
        <v>0</v>
      </c>
      <c r="BH122">
        <v>0</v>
      </c>
      <c r="BI122">
        <v>0</v>
      </c>
      <c r="BK122">
        <v>1.04304702592048</v>
      </c>
      <c r="BL122">
        <v>1.04304702592048</v>
      </c>
      <c r="BM122">
        <v>1.580874598051222</v>
      </c>
      <c r="BN122">
        <v>0.53782757213074195</v>
      </c>
      <c r="BO122">
        <v>0</v>
      </c>
      <c r="BP122">
        <v>0</v>
      </c>
      <c r="BQ122">
        <v>0</v>
      </c>
      <c r="BR122">
        <v>0</v>
      </c>
      <c r="BS122">
        <v>0.45695297407951996</v>
      </c>
      <c r="BT122">
        <v>4.3047025920480042E-2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</row>
    <row r="123" spans="1:85" hidden="1" x14ac:dyDescent="0.25">
      <c r="A123" t="s">
        <v>128</v>
      </c>
      <c r="B123" t="s">
        <v>134</v>
      </c>
      <c r="C123" t="s">
        <v>72</v>
      </c>
      <c r="D123" s="12">
        <v>45574</v>
      </c>
      <c r="E123" t="s">
        <v>178</v>
      </c>
      <c r="F123" t="s">
        <v>178</v>
      </c>
      <c r="G123" t="s">
        <v>178</v>
      </c>
      <c r="H123" t="s">
        <v>74</v>
      </c>
      <c r="I123">
        <v>10</v>
      </c>
      <c r="J123">
        <v>1</v>
      </c>
      <c r="K123">
        <v>1</v>
      </c>
      <c r="L123">
        <v>45574</v>
      </c>
      <c r="M123" t="s">
        <v>143</v>
      </c>
      <c r="N123">
        <v>0</v>
      </c>
      <c r="O123">
        <v>0</v>
      </c>
      <c r="P123">
        <v>1.1913273001508298</v>
      </c>
      <c r="Q123">
        <v>0</v>
      </c>
      <c r="R123">
        <v>0</v>
      </c>
      <c r="S123">
        <v>1.1913273001508298</v>
      </c>
      <c r="T123">
        <v>0.19132730015082977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</v>
      </c>
      <c r="AM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1</v>
      </c>
      <c r="BJ123">
        <v>1</v>
      </c>
      <c r="BK123">
        <v>0</v>
      </c>
      <c r="BL123">
        <v>0</v>
      </c>
      <c r="BM123">
        <v>0.83939988605431393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0.16060011394568607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0.83939988605431393</v>
      </c>
      <c r="CG123">
        <v>0</v>
      </c>
    </row>
    <row r="124" spans="1:85" hidden="1" x14ac:dyDescent="0.25">
      <c r="A124" t="s">
        <v>128</v>
      </c>
      <c r="B124" t="s">
        <v>134</v>
      </c>
      <c r="C124" t="s">
        <v>72</v>
      </c>
      <c r="D124" s="12">
        <v>45574</v>
      </c>
      <c r="E124" t="s">
        <v>178</v>
      </c>
      <c r="F124" t="s">
        <v>178</v>
      </c>
      <c r="G124" t="s">
        <v>178</v>
      </c>
      <c r="H124" t="s">
        <v>75</v>
      </c>
      <c r="I124">
        <v>10</v>
      </c>
      <c r="J124">
        <v>1</v>
      </c>
      <c r="K124">
        <v>2.8796992481203008</v>
      </c>
      <c r="L124">
        <v>45574</v>
      </c>
      <c r="M124" t="s">
        <v>144</v>
      </c>
      <c r="N124">
        <v>4.75</v>
      </c>
      <c r="O124">
        <v>4.75</v>
      </c>
      <c r="P124">
        <v>2.4665314401622722</v>
      </c>
      <c r="Q124">
        <v>1.6494778067885116</v>
      </c>
      <c r="R124">
        <v>1.6494778067885116</v>
      </c>
      <c r="S124">
        <v>0.85652397269342617</v>
      </c>
      <c r="T124">
        <v>0</v>
      </c>
      <c r="U124">
        <v>0</v>
      </c>
      <c r="V124">
        <v>0.39947780678851164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0.25</v>
      </c>
      <c r="AC124">
        <v>0</v>
      </c>
      <c r="AD124">
        <v>0</v>
      </c>
      <c r="AE124">
        <v>0</v>
      </c>
      <c r="AF124">
        <v>0.14347602730657383</v>
      </c>
      <c r="AG124">
        <v>0</v>
      </c>
      <c r="AH124">
        <v>0.85652397269342617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0.60625247328848442</v>
      </c>
      <c r="AO124">
        <v>0.60625247328848442</v>
      </c>
      <c r="AP124">
        <v>0.51926977687626785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0.39374752671151558</v>
      </c>
      <c r="BB124">
        <v>0</v>
      </c>
      <c r="BC124">
        <v>8.6982696412216565E-2</v>
      </c>
      <c r="BD124">
        <v>0</v>
      </c>
      <c r="BE124">
        <v>0.51926977687626785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1.9257812499999998</v>
      </c>
      <c r="BL124">
        <v>1.9257812499999998</v>
      </c>
      <c r="BM124">
        <v>1.1675096458250889</v>
      </c>
      <c r="CD124">
        <v>0</v>
      </c>
      <c r="CE124">
        <v>0</v>
      </c>
      <c r="CF124">
        <v>0</v>
      </c>
    </row>
    <row r="125" spans="1:85" hidden="1" x14ac:dyDescent="0.25">
      <c r="A125" t="s">
        <v>128</v>
      </c>
      <c r="B125" t="s">
        <v>134</v>
      </c>
      <c r="C125" t="s">
        <v>109</v>
      </c>
      <c r="D125" s="12">
        <v>45574</v>
      </c>
      <c r="E125" t="s">
        <v>178</v>
      </c>
      <c r="F125" t="s">
        <v>178</v>
      </c>
      <c r="G125" t="s">
        <v>178</v>
      </c>
      <c r="K125">
        <v>9.6390977443609014</v>
      </c>
      <c r="N125">
        <v>8.5500000000000007</v>
      </c>
      <c r="O125">
        <v>8.5500000000000007</v>
      </c>
      <c r="P125">
        <v>7.3010310092206652</v>
      </c>
      <c r="T125">
        <v>1.9849088081170328E-2</v>
      </c>
      <c r="U125">
        <v>0</v>
      </c>
      <c r="V125">
        <v>0.11934477379095162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7.4687987519500787E-2</v>
      </c>
      <c r="AC125">
        <v>0</v>
      </c>
      <c r="AD125">
        <v>0.20327613104524178</v>
      </c>
      <c r="AE125">
        <v>0</v>
      </c>
      <c r="AF125">
        <v>5.9133702569198067E-2</v>
      </c>
      <c r="AG125">
        <v>0</v>
      </c>
      <c r="AH125">
        <v>0.63384601661956952</v>
      </c>
      <c r="AI125">
        <v>0</v>
      </c>
      <c r="AJ125">
        <v>0</v>
      </c>
      <c r="AK125">
        <v>0</v>
      </c>
      <c r="AL125">
        <v>0.10374414976599065</v>
      </c>
      <c r="AM125">
        <v>0</v>
      </c>
    </row>
    <row r="126" spans="1:85" hidden="1" x14ac:dyDescent="0.25">
      <c r="A126" t="s">
        <v>128</v>
      </c>
      <c r="B126" t="s">
        <v>134</v>
      </c>
      <c r="C126" t="s">
        <v>72</v>
      </c>
      <c r="D126" s="12">
        <v>45575</v>
      </c>
      <c r="E126" t="s">
        <v>178</v>
      </c>
      <c r="F126" t="s">
        <v>178</v>
      </c>
      <c r="G126" t="s">
        <v>178</v>
      </c>
      <c r="H126" t="s">
        <v>73</v>
      </c>
      <c r="I126">
        <v>10</v>
      </c>
      <c r="J126">
        <v>1</v>
      </c>
      <c r="K126">
        <v>5.7593984962406006</v>
      </c>
      <c r="L126">
        <v>45575</v>
      </c>
      <c r="M126" t="s">
        <v>145</v>
      </c>
      <c r="N126">
        <v>1.9</v>
      </c>
      <c r="O126">
        <v>1.9</v>
      </c>
      <c r="P126">
        <v>2.857457983193278</v>
      </c>
      <c r="Q126">
        <v>0.32989556135770237</v>
      </c>
      <c r="R126">
        <v>0.32989556135770237</v>
      </c>
      <c r="S126">
        <v>0.49613826601136557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0.1662427046536632</v>
      </c>
      <c r="AD126">
        <v>0.50386173398863443</v>
      </c>
      <c r="AE126">
        <v>0</v>
      </c>
      <c r="AF126">
        <v>0</v>
      </c>
      <c r="AG126">
        <v>0</v>
      </c>
      <c r="AH126">
        <v>0.32989556135770237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3.0312623664424216</v>
      </c>
      <c r="AO126">
        <v>3.0312623664424216</v>
      </c>
      <c r="AP126">
        <v>1.5039252543122517</v>
      </c>
      <c r="BG126">
        <v>0</v>
      </c>
      <c r="BH126">
        <v>0</v>
      </c>
      <c r="BI126">
        <v>0</v>
      </c>
      <c r="BK126">
        <v>0.66492666250045929</v>
      </c>
      <c r="BL126">
        <v>0.66492666250045929</v>
      </c>
      <c r="BM126">
        <v>2.0155671684818035</v>
      </c>
      <c r="BN126">
        <v>1.0155671684818035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0.67010443864229763</v>
      </c>
      <c r="BX126">
        <v>0</v>
      </c>
      <c r="BY126">
        <v>0</v>
      </c>
      <c r="BZ126">
        <v>0</v>
      </c>
      <c r="CA126">
        <v>0</v>
      </c>
      <c r="CB126">
        <v>0.66492666250045929</v>
      </c>
      <c r="CC126">
        <v>0</v>
      </c>
      <c r="CD126">
        <v>0</v>
      </c>
      <c r="CE126">
        <v>0</v>
      </c>
      <c r="CF126">
        <v>0</v>
      </c>
      <c r="CG126">
        <v>0</v>
      </c>
    </row>
    <row r="127" spans="1:85" hidden="1" x14ac:dyDescent="0.25">
      <c r="A127" t="s">
        <v>128</v>
      </c>
      <c r="B127" t="s">
        <v>134</v>
      </c>
      <c r="C127" t="s">
        <v>72</v>
      </c>
      <c r="D127" s="12">
        <v>45575</v>
      </c>
      <c r="E127" t="s">
        <v>178</v>
      </c>
      <c r="F127" t="s">
        <v>178</v>
      </c>
      <c r="G127" t="s">
        <v>178</v>
      </c>
      <c r="H127" t="s">
        <v>74</v>
      </c>
      <c r="I127">
        <v>10</v>
      </c>
      <c r="J127">
        <v>1</v>
      </c>
      <c r="K127">
        <v>1</v>
      </c>
      <c r="L127">
        <v>45575</v>
      </c>
      <c r="M127" t="s">
        <v>146</v>
      </c>
      <c r="N127">
        <v>0</v>
      </c>
      <c r="O127">
        <v>0</v>
      </c>
      <c r="P127">
        <v>1.2607763753274592</v>
      </c>
      <c r="Q127">
        <v>0</v>
      </c>
      <c r="R127">
        <v>0</v>
      </c>
      <c r="S127">
        <v>1.2607763753274592</v>
      </c>
      <c r="T127">
        <v>0.26077637532745923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1</v>
      </c>
      <c r="AM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1</v>
      </c>
      <c r="BJ127">
        <v>1</v>
      </c>
      <c r="BK127">
        <v>0</v>
      </c>
      <c r="BL127">
        <v>0</v>
      </c>
      <c r="BM127">
        <v>0.79316207026822794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0.20683792973177206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0.79316207026822794</v>
      </c>
      <c r="CG127">
        <v>0</v>
      </c>
    </row>
    <row r="128" spans="1:85" hidden="1" x14ac:dyDescent="0.25">
      <c r="A128" t="s">
        <v>128</v>
      </c>
      <c r="B128" t="s">
        <v>134</v>
      </c>
      <c r="C128" t="s">
        <v>72</v>
      </c>
      <c r="D128" s="12">
        <v>45575</v>
      </c>
      <c r="E128" t="s">
        <v>178</v>
      </c>
      <c r="F128" t="s">
        <v>178</v>
      </c>
      <c r="G128" t="s">
        <v>178</v>
      </c>
      <c r="H128" t="s">
        <v>75</v>
      </c>
      <c r="I128">
        <v>10</v>
      </c>
      <c r="J128">
        <v>1</v>
      </c>
      <c r="K128">
        <v>2.8796992481203003</v>
      </c>
      <c r="L128">
        <v>45575</v>
      </c>
      <c r="M128" t="s">
        <v>147</v>
      </c>
      <c r="N128">
        <v>4.75</v>
      </c>
      <c r="O128">
        <v>4.75</v>
      </c>
      <c r="P128">
        <v>3.4077079107505077</v>
      </c>
      <c r="Q128">
        <v>1.6494778067885121</v>
      </c>
      <c r="R128">
        <v>1.6494778067885121</v>
      </c>
      <c r="S128">
        <v>1.183355488589602</v>
      </c>
      <c r="T128">
        <v>0</v>
      </c>
      <c r="U128">
        <v>0</v>
      </c>
      <c r="V128">
        <v>0.39947780678851208</v>
      </c>
      <c r="W128">
        <v>0</v>
      </c>
      <c r="X128">
        <v>0</v>
      </c>
      <c r="Y128">
        <v>0</v>
      </c>
      <c r="Z128">
        <v>0.18335548858960204</v>
      </c>
      <c r="AA128">
        <v>0</v>
      </c>
      <c r="AB128">
        <v>6.6644511410397955E-2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0.60625247328848431</v>
      </c>
      <c r="AO128">
        <v>0.60625247328848431</v>
      </c>
      <c r="AP128">
        <v>0.71741219173694903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0.28258780826305097</v>
      </c>
      <c r="BB128">
        <v>0</v>
      </c>
      <c r="BC128">
        <v>0</v>
      </c>
      <c r="BD128">
        <v>0</v>
      </c>
      <c r="BE128">
        <v>0.60625247328848431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1.3938988095238092</v>
      </c>
      <c r="BL128">
        <v>1.3938988095238092</v>
      </c>
      <c r="BM128">
        <v>0.84505460078768324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0.39389880952380918</v>
      </c>
      <c r="BW128">
        <v>0</v>
      </c>
      <c r="BX128">
        <v>0</v>
      </c>
      <c r="BY128">
        <v>0</v>
      </c>
      <c r="BZ128">
        <v>0.15494539921231676</v>
      </c>
      <c r="CA128">
        <v>0</v>
      </c>
      <c r="CB128">
        <v>0.84505460078768324</v>
      </c>
      <c r="CC128">
        <v>0</v>
      </c>
      <c r="CD128">
        <v>0</v>
      </c>
      <c r="CE128">
        <v>0</v>
      </c>
      <c r="CF128">
        <v>0</v>
      </c>
      <c r="CG128">
        <v>0</v>
      </c>
    </row>
    <row r="129" spans="1:85" hidden="1" x14ac:dyDescent="0.25">
      <c r="A129" t="s">
        <v>128</v>
      </c>
      <c r="B129" t="s">
        <v>134</v>
      </c>
      <c r="C129" t="s">
        <v>109</v>
      </c>
      <c r="D129" s="12">
        <v>45575</v>
      </c>
      <c r="E129" t="s">
        <v>178</v>
      </c>
      <c r="F129" t="s">
        <v>178</v>
      </c>
      <c r="G129" t="s">
        <v>178</v>
      </c>
      <c r="K129">
        <v>9.6390977443609014</v>
      </c>
      <c r="N129">
        <v>6.65</v>
      </c>
      <c r="O129">
        <v>6.65</v>
      </c>
      <c r="P129">
        <v>7.5259422692712459</v>
      </c>
      <c r="T129">
        <v>2.7054023337404118E-2</v>
      </c>
      <c r="U129">
        <v>0</v>
      </c>
      <c r="V129">
        <v>0.11934477379095174</v>
      </c>
      <c r="W129">
        <v>0</v>
      </c>
      <c r="X129">
        <v>0</v>
      </c>
      <c r="Y129">
        <v>0</v>
      </c>
      <c r="Z129">
        <v>5.4777809773648656E-2</v>
      </c>
      <c r="AA129">
        <v>0</v>
      </c>
      <c r="AB129">
        <v>1.9910177745852117E-2</v>
      </c>
      <c r="AC129">
        <v>9.9330664403046803E-2</v>
      </c>
      <c r="AD129">
        <v>0.30105935119757715</v>
      </c>
      <c r="AE129">
        <v>0</v>
      </c>
      <c r="AF129">
        <v>0</v>
      </c>
      <c r="AG129">
        <v>0</v>
      </c>
      <c r="AH129">
        <v>0.49586583463338535</v>
      </c>
      <c r="AI129">
        <v>0</v>
      </c>
      <c r="AJ129">
        <v>0</v>
      </c>
      <c r="AK129">
        <v>0</v>
      </c>
      <c r="AL129">
        <v>0.10374414976599065</v>
      </c>
      <c r="AM129">
        <v>0</v>
      </c>
    </row>
    <row r="130" spans="1:85" hidden="1" x14ac:dyDescent="0.25">
      <c r="A130" t="s">
        <v>128</v>
      </c>
      <c r="B130" t="s">
        <v>134</v>
      </c>
      <c r="C130" t="s">
        <v>72</v>
      </c>
      <c r="D130" s="12">
        <v>45576</v>
      </c>
      <c r="E130" t="s">
        <v>178</v>
      </c>
      <c r="F130" t="s">
        <v>178</v>
      </c>
      <c r="G130" t="s">
        <v>178</v>
      </c>
      <c r="H130" t="s">
        <v>73</v>
      </c>
      <c r="I130">
        <v>10</v>
      </c>
      <c r="J130">
        <v>1</v>
      </c>
      <c r="K130">
        <v>5.7593984962406006</v>
      </c>
      <c r="L130">
        <v>45576</v>
      </c>
      <c r="M130" t="s">
        <v>148</v>
      </c>
      <c r="N130">
        <v>2.8499999999999996</v>
      </c>
      <c r="O130">
        <v>2.8499999999999996</v>
      </c>
      <c r="P130">
        <v>3.714506855373727</v>
      </c>
      <c r="Q130">
        <v>0.49484334203655356</v>
      </c>
      <c r="R130">
        <v>0.49484334203655356</v>
      </c>
      <c r="S130">
        <v>0.64494701274765764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0.15010367071110409</v>
      </c>
      <c r="AD130">
        <v>0.35505298725234236</v>
      </c>
      <c r="AE130">
        <v>0</v>
      </c>
      <c r="AF130">
        <v>0</v>
      </c>
      <c r="AG130">
        <v>0</v>
      </c>
      <c r="AH130">
        <v>0.49484334203655356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2.0208415776282811</v>
      </c>
      <c r="AO130">
        <v>2.0208415776282811</v>
      </c>
      <c r="AP130">
        <v>1.3033357387276236</v>
      </c>
      <c r="BG130">
        <v>0</v>
      </c>
      <c r="BH130">
        <v>0</v>
      </c>
      <c r="BI130">
        <v>0</v>
      </c>
      <c r="BK130">
        <v>0.76726201107340619</v>
      </c>
      <c r="BL130">
        <v>0.76726201107340619</v>
      </c>
      <c r="BM130">
        <v>1.5505149729118299</v>
      </c>
      <c r="BN130">
        <v>0.55051497291182994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0.50515665796344644</v>
      </c>
      <c r="BX130">
        <v>0</v>
      </c>
      <c r="BY130">
        <v>0</v>
      </c>
      <c r="BZ130">
        <v>0</v>
      </c>
      <c r="CA130">
        <v>0</v>
      </c>
      <c r="CB130">
        <v>0.76726201107340619</v>
      </c>
      <c r="CC130">
        <v>0</v>
      </c>
      <c r="CD130">
        <v>0</v>
      </c>
      <c r="CE130">
        <v>0</v>
      </c>
      <c r="CF130">
        <v>0</v>
      </c>
      <c r="CG130">
        <v>0</v>
      </c>
    </row>
    <row r="131" spans="1:85" hidden="1" x14ac:dyDescent="0.25">
      <c r="A131" t="s">
        <v>128</v>
      </c>
      <c r="B131" t="s">
        <v>134</v>
      </c>
      <c r="C131" t="s">
        <v>72</v>
      </c>
      <c r="D131" s="12">
        <v>45576</v>
      </c>
      <c r="E131" t="s">
        <v>178</v>
      </c>
      <c r="F131" t="s">
        <v>178</v>
      </c>
      <c r="G131" t="s">
        <v>178</v>
      </c>
      <c r="H131" t="s">
        <v>74</v>
      </c>
      <c r="I131">
        <v>10</v>
      </c>
      <c r="J131">
        <v>1</v>
      </c>
      <c r="K131">
        <v>1</v>
      </c>
      <c r="L131">
        <v>45576</v>
      </c>
      <c r="M131" t="s">
        <v>149</v>
      </c>
      <c r="N131">
        <v>0</v>
      </c>
      <c r="O131">
        <v>0</v>
      </c>
      <c r="P131">
        <v>1.1524384112619406</v>
      </c>
      <c r="Q131">
        <v>0</v>
      </c>
      <c r="R131">
        <v>0</v>
      </c>
      <c r="S131">
        <v>1.1524384112619406</v>
      </c>
      <c r="T131">
        <v>0.15243841126194058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1</v>
      </c>
      <c r="BJ131">
        <v>1</v>
      </c>
      <c r="BK131">
        <v>0</v>
      </c>
      <c r="BL131">
        <v>0</v>
      </c>
      <c r="BM131">
        <v>0.86772532937789026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0.13227467062210974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0.86772532937789026</v>
      </c>
      <c r="CG131">
        <v>0</v>
      </c>
    </row>
    <row r="132" spans="1:85" hidden="1" x14ac:dyDescent="0.25">
      <c r="A132" t="s">
        <v>128</v>
      </c>
      <c r="B132" t="s">
        <v>134</v>
      </c>
      <c r="C132" t="s">
        <v>72</v>
      </c>
      <c r="D132" s="12">
        <v>45576</v>
      </c>
      <c r="E132" t="s">
        <v>178</v>
      </c>
      <c r="F132" t="s">
        <v>178</v>
      </c>
      <c r="G132" t="s">
        <v>178</v>
      </c>
      <c r="H132" t="s">
        <v>75</v>
      </c>
      <c r="I132">
        <v>10</v>
      </c>
      <c r="J132">
        <v>1</v>
      </c>
      <c r="K132">
        <v>2.8796992481203008</v>
      </c>
      <c r="L132">
        <v>45576</v>
      </c>
      <c r="M132" t="s">
        <v>150</v>
      </c>
      <c r="N132">
        <v>2.8499999999999996</v>
      </c>
      <c r="O132">
        <v>2.8499999999999996</v>
      </c>
      <c r="P132">
        <v>2.6236195627676362</v>
      </c>
      <c r="Q132">
        <v>0.98968668407310689</v>
      </c>
      <c r="R132">
        <v>0.98968668407310689</v>
      </c>
      <c r="S132">
        <v>0.91107415626134625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1.0313315926893107E-2</v>
      </c>
      <c r="AE132">
        <v>0</v>
      </c>
      <c r="AF132">
        <v>7.8612527811760646E-2</v>
      </c>
      <c r="AG132">
        <v>0</v>
      </c>
      <c r="AH132">
        <v>0.91107415626134625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1.0104207888141408</v>
      </c>
      <c r="AO132">
        <v>1.0104207888141408</v>
      </c>
      <c r="AP132">
        <v>0.92056826763776722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1.0420788814140769E-2</v>
      </c>
      <c r="AZ132">
        <v>0</v>
      </c>
      <c r="BA132">
        <v>0</v>
      </c>
      <c r="BB132">
        <v>0</v>
      </c>
      <c r="BC132">
        <v>7.9431732362232776E-2</v>
      </c>
      <c r="BD132">
        <v>0</v>
      </c>
      <c r="BE132">
        <v>0.92056826763776722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1.0862855424791682</v>
      </c>
      <c r="BL132">
        <v>1.0862855424791682</v>
      </c>
      <c r="BM132">
        <v>1.0976054947091978</v>
      </c>
      <c r="BN132">
        <v>1.1319952230029573E-2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8.6285542479168198E-2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1</v>
      </c>
      <c r="CC132">
        <v>0</v>
      </c>
      <c r="CD132">
        <v>0</v>
      </c>
      <c r="CE132">
        <v>0</v>
      </c>
      <c r="CF132">
        <v>0</v>
      </c>
      <c r="CG132">
        <v>0</v>
      </c>
    </row>
    <row r="133" spans="1:85" hidden="1" x14ac:dyDescent="0.25">
      <c r="A133" t="s">
        <v>128</v>
      </c>
      <c r="B133" t="s">
        <v>134</v>
      </c>
      <c r="C133" t="s">
        <v>109</v>
      </c>
      <c r="D133" s="12">
        <v>45576</v>
      </c>
      <c r="E133" t="s">
        <v>178</v>
      </c>
      <c r="F133" t="s">
        <v>178</v>
      </c>
      <c r="G133" t="s">
        <v>178</v>
      </c>
      <c r="K133">
        <v>9.6390977443609014</v>
      </c>
      <c r="N133">
        <v>5.6999999999999993</v>
      </c>
      <c r="O133">
        <v>5.6999999999999993</v>
      </c>
      <c r="P133">
        <v>7.4905648294033043</v>
      </c>
      <c r="T133">
        <v>1.5814593368048437E-2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8.9687528677617576E-2</v>
      </c>
      <c r="AD133">
        <v>0.21522666789024514</v>
      </c>
      <c r="AE133">
        <v>0</v>
      </c>
      <c r="AF133">
        <v>2.348564598432475E-2</v>
      </c>
      <c r="AG133">
        <v>0</v>
      </c>
      <c r="AH133">
        <v>0.56785600768182187</v>
      </c>
      <c r="AI133">
        <v>0</v>
      </c>
      <c r="AJ133">
        <v>0</v>
      </c>
      <c r="AK133">
        <v>0</v>
      </c>
      <c r="AL133">
        <v>0.10374414976599065</v>
      </c>
      <c r="AM133">
        <v>0</v>
      </c>
    </row>
    <row r="134" spans="1:85" hidden="1" x14ac:dyDescent="0.25">
      <c r="A134" t="s">
        <v>128</v>
      </c>
      <c r="B134" t="s">
        <v>134</v>
      </c>
      <c r="C134" t="s">
        <v>72</v>
      </c>
      <c r="D134" s="12">
        <v>45577</v>
      </c>
      <c r="E134" t="s">
        <v>178</v>
      </c>
      <c r="F134" t="s">
        <v>178</v>
      </c>
      <c r="G134" t="s">
        <v>178</v>
      </c>
      <c r="H134" t="s">
        <v>73</v>
      </c>
      <c r="I134">
        <v>10</v>
      </c>
      <c r="J134">
        <v>1</v>
      </c>
      <c r="K134">
        <v>5.7593984962406006</v>
      </c>
      <c r="L134">
        <v>45577</v>
      </c>
      <c r="M134" t="s">
        <v>151</v>
      </c>
      <c r="N134">
        <v>3.8</v>
      </c>
      <c r="O134">
        <v>3.8</v>
      </c>
      <c r="P134">
        <v>2.6288885669210211</v>
      </c>
      <c r="Q134">
        <v>0.65979112271540474</v>
      </c>
      <c r="R134">
        <v>0.65979112271540474</v>
      </c>
      <c r="S134">
        <v>0.45645193133224005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0.34020887728459526</v>
      </c>
      <c r="AE134">
        <v>0</v>
      </c>
      <c r="AF134">
        <v>0.2033391913831647</v>
      </c>
      <c r="AG134">
        <v>0</v>
      </c>
      <c r="AH134">
        <v>0.45645193133224005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1.5156311832212108</v>
      </c>
      <c r="AO134">
        <v>1.5156311832212108</v>
      </c>
      <c r="AP134">
        <v>0.69181278076868979</v>
      </c>
      <c r="BG134">
        <v>0</v>
      </c>
      <c r="BH134">
        <v>0</v>
      </c>
      <c r="BI134">
        <v>0</v>
      </c>
      <c r="BK134">
        <v>1.4454777763557303</v>
      </c>
      <c r="BL134">
        <v>1.4454777763557303</v>
      </c>
      <c r="BM134">
        <v>2.1908111924979998</v>
      </c>
      <c r="BN134">
        <v>0.74533341614226956</v>
      </c>
      <c r="BO134">
        <v>0</v>
      </c>
      <c r="BP134">
        <v>0</v>
      </c>
      <c r="BQ134">
        <v>0</v>
      </c>
      <c r="BR134">
        <v>0</v>
      </c>
      <c r="BS134">
        <v>5.4522223644269729E-2</v>
      </c>
      <c r="BT134">
        <v>0.44547777635573027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</row>
    <row r="135" spans="1:85" hidden="1" x14ac:dyDescent="0.25">
      <c r="A135" t="s">
        <v>128</v>
      </c>
      <c r="B135" t="s">
        <v>134</v>
      </c>
      <c r="C135" t="s">
        <v>72</v>
      </c>
      <c r="D135" s="12">
        <v>45577</v>
      </c>
      <c r="E135" t="s">
        <v>178</v>
      </c>
      <c r="F135" t="s">
        <v>178</v>
      </c>
      <c r="G135" t="s">
        <v>178</v>
      </c>
      <c r="H135" t="s">
        <v>74</v>
      </c>
      <c r="I135">
        <v>10</v>
      </c>
      <c r="J135">
        <v>1</v>
      </c>
      <c r="K135">
        <v>1</v>
      </c>
      <c r="L135">
        <v>45577</v>
      </c>
      <c r="M135" t="s">
        <v>152</v>
      </c>
      <c r="N135">
        <v>0.95</v>
      </c>
      <c r="O135">
        <v>0.95</v>
      </c>
      <c r="P135">
        <v>1.113207918481752</v>
      </c>
      <c r="Q135">
        <v>0.95</v>
      </c>
      <c r="R135">
        <v>0.95</v>
      </c>
      <c r="S135">
        <v>1.113207918481752</v>
      </c>
      <c r="T135">
        <v>0.11320791848175205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5.0000000000000044E-2</v>
      </c>
      <c r="AD135">
        <v>0</v>
      </c>
      <c r="AE135">
        <v>0</v>
      </c>
      <c r="AF135">
        <v>0</v>
      </c>
      <c r="AG135">
        <v>0</v>
      </c>
      <c r="AH135">
        <v>0.95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1.0526315789473684</v>
      </c>
      <c r="AO135">
        <v>1.0526315789473684</v>
      </c>
      <c r="AP135">
        <v>1.1717978089281602</v>
      </c>
      <c r="AQ135">
        <v>0.11916622998079185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5.2631578947368363E-2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1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0.85338954585919302</v>
      </c>
      <c r="BL135">
        <v>0.85338954585919302</v>
      </c>
      <c r="BM135">
        <v>0.89830478511494005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0.10169521488505995</v>
      </c>
      <c r="BY135">
        <v>0</v>
      </c>
      <c r="BZ135">
        <v>0</v>
      </c>
      <c r="CA135">
        <v>0</v>
      </c>
      <c r="CB135">
        <v>0.85338954585919302</v>
      </c>
      <c r="CC135">
        <v>0</v>
      </c>
      <c r="CD135">
        <v>0</v>
      </c>
      <c r="CE135">
        <v>0</v>
      </c>
      <c r="CF135">
        <v>0</v>
      </c>
      <c r="CG135">
        <v>0</v>
      </c>
    </row>
    <row r="136" spans="1:85" hidden="1" x14ac:dyDescent="0.25">
      <c r="A136" t="s">
        <v>128</v>
      </c>
      <c r="B136" t="s">
        <v>134</v>
      </c>
      <c r="C136" t="s">
        <v>72</v>
      </c>
      <c r="D136" s="12">
        <v>45577</v>
      </c>
      <c r="E136" t="s">
        <v>178</v>
      </c>
      <c r="F136" t="s">
        <v>178</v>
      </c>
      <c r="G136" t="s">
        <v>178</v>
      </c>
      <c r="H136" t="s">
        <v>75</v>
      </c>
      <c r="I136">
        <v>10</v>
      </c>
      <c r="J136">
        <v>1</v>
      </c>
      <c r="K136">
        <v>2.8796992481203008</v>
      </c>
      <c r="L136">
        <v>45577</v>
      </c>
      <c r="M136" t="s">
        <v>153</v>
      </c>
      <c r="N136">
        <v>0.95</v>
      </c>
      <c r="O136">
        <v>0.95</v>
      </c>
      <c r="P136">
        <v>2.0669371196754565</v>
      </c>
      <c r="Q136">
        <v>0.32989556135770232</v>
      </c>
      <c r="R136">
        <v>0.32989556135770232</v>
      </c>
      <c r="S136">
        <v>0.71776145409095482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0.3878658927332525</v>
      </c>
      <c r="AD136">
        <v>0.28223854590904518</v>
      </c>
      <c r="AE136">
        <v>0</v>
      </c>
      <c r="AF136">
        <v>0</v>
      </c>
      <c r="AG136">
        <v>0</v>
      </c>
      <c r="AH136">
        <v>0.32989556135770232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3.0312623664424221</v>
      </c>
      <c r="AO136">
        <v>3.0312623664424221</v>
      </c>
      <c r="AP136">
        <v>2.1757232838689018</v>
      </c>
      <c r="BG136">
        <v>0</v>
      </c>
      <c r="BH136">
        <v>0</v>
      </c>
      <c r="BI136">
        <v>0</v>
      </c>
      <c r="BK136">
        <v>0.45961727183513246</v>
      </c>
      <c r="BL136">
        <v>0.45961727183513246</v>
      </c>
      <c r="BM136">
        <v>1.3932205390807735</v>
      </c>
      <c r="BN136">
        <v>0.39322053908077348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0.67010443864229763</v>
      </c>
      <c r="BX136">
        <v>0</v>
      </c>
      <c r="BY136">
        <v>0</v>
      </c>
      <c r="BZ136">
        <v>0</v>
      </c>
      <c r="CA136">
        <v>0</v>
      </c>
      <c r="CB136">
        <v>0.45961727183513246</v>
      </c>
      <c r="CC136">
        <v>0</v>
      </c>
      <c r="CD136">
        <v>0</v>
      </c>
      <c r="CE136">
        <v>0</v>
      </c>
      <c r="CF136">
        <v>0</v>
      </c>
      <c r="CG136">
        <v>0</v>
      </c>
    </row>
    <row r="137" spans="1:85" hidden="1" x14ac:dyDescent="0.25">
      <c r="A137" t="s">
        <v>128</v>
      </c>
      <c r="B137" t="s">
        <v>134</v>
      </c>
      <c r="C137" t="s">
        <v>109</v>
      </c>
      <c r="D137" s="12">
        <v>45577</v>
      </c>
      <c r="E137" t="s">
        <v>178</v>
      </c>
      <c r="F137" t="s">
        <v>178</v>
      </c>
      <c r="G137" t="s">
        <v>178</v>
      </c>
      <c r="K137">
        <v>9.6390977443609014</v>
      </c>
      <c r="N137">
        <v>5.7</v>
      </c>
      <c r="O137">
        <v>5.7</v>
      </c>
      <c r="P137">
        <v>5.8090336050782296</v>
      </c>
      <c r="T137">
        <v>1.1744659249666944E-2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0.12106289931110431</v>
      </c>
      <c r="AD137">
        <v>0.28759544702274908</v>
      </c>
      <c r="AE137">
        <v>0</v>
      </c>
      <c r="AF137">
        <v>0.12149595990600948</v>
      </c>
      <c r="AG137">
        <v>0</v>
      </c>
      <c r="AH137">
        <v>0.46984569376013724</v>
      </c>
      <c r="AI137">
        <v>0</v>
      </c>
      <c r="AJ137">
        <v>0</v>
      </c>
      <c r="AK137">
        <v>0</v>
      </c>
      <c r="AL137">
        <v>0</v>
      </c>
      <c r="AM137">
        <v>0</v>
      </c>
    </row>
    <row r="138" spans="1:85" hidden="1" x14ac:dyDescent="0.25">
      <c r="A138" t="s">
        <v>128</v>
      </c>
      <c r="B138" t="s">
        <v>134</v>
      </c>
      <c r="C138" t="s">
        <v>72</v>
      </c>
      <c r="D138" s="12">
        <v>45578</v>
      </c>
      <c r="E138" t="s">
        <v>178</v>
      </c>
      <c r="F138" t="s">
        <v>178</v>
      </c>
      <c r="G138" t="s">
        <v>178</v>
      </c>
      <c r="H138" t="s">
        <v>73</v>
      </c>
      <c r="I138">
        <v>10</v>
      </c>
      <c r="J138">
        <v>1</v>
      </c>
      <c r="K138">
        <v>5.7593984962406006</v>
      </c>
      <c r="L138">
        <v>45578</v>
      </c>
      <c r="M138" t="s">
        <v>154</v>
      </c>
      <c r="N138">
        <v>5.6999999999999993</v>
      </c>
      <c r="O138">
        <v>5.6999999999999993</v>
      </c>
      <c r="P138">
        <v>2.7228594140358848</v>
      </c>
      <c r="Q138">
        <v>0.98968668407310711</v>
      </c>
      <c r="R138">
        <v>0.98968668407310711</v>
      </c>
      <c r="S138">
        <v>0.47276801836393306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1.0313315926892885E-2</v>
      </c>
      <c r="AE138">
        <v>0</v>
      </c>
      <c r="AF138">
        <v>0.516918665709174</v>
      </c>
      <c r="AG138">
        <v>0</v>
      </c>
      <c r="AH138">
        <v>0.47276801836393306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1.0104207888141405</v>
      </c>
      <c r="AO138">
        <v>1.0104207888141405</v>
      </c>
      <c r="AP138">
        <v>0.47769463404138335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1.0420788814140547E-2</v>
      </c>
      <c r="AZ138">
        <v>0</v>
      </c>
      <c r="BA138">
        <v>0</v>
      </c>
      <c r="BB138">
        <v>0</v>
      </c>
      <c r="BC138">
        <v>0.52230536595861665</v>
      </c>
      <c r="BD138">
        <v>0</v>
      </c>
      <c r="BE138">
        <v>0.47769463404138335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2.0933875508289015</v>
      </c>
      <c r="BL138">
        <v>2.0933875508289015</v>
      </c>
      <c r="BM138">
        <v>2.1152023004022404</v>
      </c>
      <c r="CD138">
        <v>0</v>
      </c>
      <c r="CE138">
        <v>0</v>
      </c>
      <c r="CF138">
        <v>0</v>
      </c>
    </row>
    <row r="139" spans="1:85" hidden="1" x14ac:dyDescent="0.25">
      <c r="A139" t="s">
        <v>128</v>
      </c>
      <c r="B139" t="s">
        <v>134</v>
      </c>
      <c r="C139" t="s">
        <v>72</v>
      </c>
      <c r="D139" s="12">
        <v>45578</v>
      </c>
      <c r="E139" t="s">
        <v>178</v>
      </c>
      <c r="F139" t="s">
        <v>178</v>
      </c>
      <c r="G139" t="s">
        <v>178</v>
      </c>
      <c r="H139" t="s">
        <v>74</v>
      </c>
      <c r="I139">
        <v>10</v>
      </c>
      <c r="J139">
        <v>1</v>
      </c>
      <c r="K139">
        <v>1</v>
      </c>
      <c r="L139">
        <v>45578</v>
      </c>
      <c r="M139" t="s">
        <v>155</v>
      </c>
      <c r="N139">
        <v>0</v>
      </c>
      <c r="O139">
        <v>0</v>
      </c>
      <c r="P139">
        <v>1.1401127252520442</v>
      </c>
      <c r="Q139">
        <v>0</v>
      </c>
      <c r="R139">
        <v>0</v>
      </c>
      <c r="S139">
        <v>1.1401127252520442</v>
      </c>
      <c r="T139">
        <v>0.14011272525204421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1</v>
      </c>
      <c r="AM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1</v>
      </c>
      <c r="BJ139">
        <v>1</v>
      </c>
      <c r="BK139">
        <v>0</v>
      </c>
      <c r="BL139">
        <v>0</v>
      </c>
      <c r="BM139">
        <v>0.8771062526110569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0.1228937473889431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0.8771062526110569</v>
      </c>
      <c r="CG139">
        <v>0</v>
      </c>
    </row>
    <row r="140" spans="1:85" hidden="1" x14ac:dyDescent="0.25">
      <c r="A140" t="s">
        <v>128</v>
      </c>
      <c r="B140" t="s">
        <v>134</v>
      </c>
      <c r="C140" t="s">
        <v>72</v>
      </c>
      <c r="D140" s="12">
        <v>45578</v>
      </c>
      <c r="E140" t="s">
        <v>178</v>
      </c>
      <c r="F140" t="s">
        <v>178</v>
      </c>
      <c r="G140" t="s">
        <v>178</v>
      </c>
      <c r="H140" t="s">
        <v>75</v>
      </c>
      <c r="I140">
        <v>10</v>
      </c>
      <c r="J140">
        <v>1</v>
      </c>
      <c r="K140">
        <v>2.8796992481203003</v>
      </c>
      <c r="L140">
        <v>45578</v>
      </c>
      <c r="M140" t="s">
        <v>156</v>
      </c>
      <c r="N140">
        <v>0.95</v>
      </c>
      <c r="O140">
        <v>0.95</v>
      </c>
      <c r="P140">
        <v>2.5963488843813378</v>
      </c>
      <c r="Q140">
        <v>0.32989556135770237</v>
      </c>
      <c r="R140">
        <v>0.32989556135770237</v>
      </c>
      <c r="S140">
        <v>0.90160418178255353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0.57170862042485115</v>
      </c>
      <c r="AD140">
        <v>9.8395818217446473E-2</v>
      </c>
      <c r="AE140">
        <v>0</v>
      </c>
      <c r="AF140">
        <v>0</v>
      </c>
      <c r="AG140">
        <v>0</v>
      </c>
      <c r="AH140">
        <v>0.32989556135770237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3.0312623664424216</v>
      </c>
      <c r="AO140">
        <v>3.0312623664424216</v>
      </c>
      <c r="AP140">
        <v>2.7329988256645663</v>
      </c>
      <c r="BG140">
        <v>0</v>
      </c>
      <c r="BH140">
        <v>0</v>
      </c>
      <c r="BI140">
        <v>0</v>
      </c>
      <c r="BK140">
        <v>0.36589843750000012</v>
      </c>
      <c r="BL140">
        <v>0.36589843750000012</v>
      </c>
      <c r="BM140">
        <v>1.1091341635338348</v>
      </c>
      <c r="BN140">
        <v>0.10913416353383476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0.67010443864229763</v>
      </c>
      <c r="BX140">
        <v>0</v>
      </c>
      <c r="BY140">
        <v>0</v>
      </c>
      <c r="BZ140">
        <v>0</v>
      </c>
      <c r="CA140">
        <v>0</v>
      </c>
      <c r="CB140">
        <v>0.36589843750000012</v>
      </c>
      <c r="CC140">
        <v>0</v>
      </c>
      <c r="CD140">
        <v>0</v>
      </c>
      <c r="CE140">
        <v>0</v>
      </c>
      <c r="CF140">
        <v>0</v>
      </c>
      <c r="CG140">
        <v>0</v>
      </c>
    </row>
    <row r="141" spans="1:85" hidden="1" x14ac:dyDescent="0.25">
      <c r="A141" t="s">
        <v>128</v>
      </c>
      <c r="B141" t="s">
        <v>134</v>
      </c>
      <c r="C141" t="s">
        <v>109</v>
      </c>
      <c r="D141" s="12">
        <v>45578</v>
      </c>
      <c r="E141" t="s">
        <v>178</v>
      </c>
      <c r="F141" t="s">
        <v>178</v>
      </c>
      <c r="G141" t="s">
        <v>178</v>
      </c>
      <c r="K141">
        <v>9.6390977443609014</v>
      </c>
      <c r="N141">
        <v>6.6499999999999995</v>
      </c>
      <c r="O141">
        <v>6.6499999999999995</v>
      </c>
      <c r="P141">
        <v>6.4593210236692666</v>
      </c>
      <c r="T141">
        <v>1.4535875552669174E-2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0.17079906522832916</v>
      </c>
      <c r="AD141">
        <v>3.5558189061842396E-2</v>
      </c>
      <c r="AE141">
        <v>0</v>
      </c>
      <c r="AF141">
        <v>0.30886091882467026</v>
      </c>
      <c r="AG141">
        <v>0</v>
      </c>
      <c r="AH141">
        <v>0.38103767711916747</v>
      </c>
      <c r="AI141">
        <v>0</v>
      </c>
      <c r="AJ141">
        <v>0</v>
      </c>
      <c r="AK141">
        <v>0</v>
      </c>
      <c r="AL141">
        <v>0.10374414976599065</v>
      </c>
      <c r="AM141">
        <v>0</v>
      </c>
    </row>
    <row r="142" spans="1:85" hidden="1" x14ac:dyDescent="0.25">
      <c r="A142" t="s">
        <v>128</v>
      </c>
      <c r="B142" t="s">
        <v>134</v>
      </c>
      <c r="C142" t="s">
        <v>72</v>
      </c>
      <c r="D142" s="12">
        <v>45579</v>
      </c>
      <c r="E142" t="s">
        <v>178</v>
      </c>
      <c r="F142" t="s">
        <v>178</v>
      </c>
      <c r="G142" t="s">
        <v>178</v>
      </c>
      <c r="H142" t="s">
        <v>73</v>
      </c>
      <c r="I142">
        <v>10</v>
      </c>
      <c r="J142">
        <v>1</v>
      </c>
      <c r="K142">
        <v>5.7593984962406006</v>
      </c>
      <c r="L142">
        <v>45579</v>
      </c>
      <c r="M142" t="s">
        <v>157</v>
      </c>
      <c r="N142">
        <v>4.75</v>
      </c>
      <c r="O142">
        <v>4.75</v>
      </c>
      <c r="P142">
        <v>3.714506855373727</v>
      </c>
      <c r="Q142">
        <v>0.82473890339425604</v>
      </c>
      <c r="R142">
        <v>0.82473890339425604</v>
      </c>
      <c r="S142">
        <v>0.64494701274765764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0.17526109660574396</v>
      </c>
      <c r="AE142">
        <v>0</v>
      </c>
      <c r="AF142">
        <v>0.1797918906465984</v>
      </c>
      <c r="AG142">
        <v>0</v>
      </c>
      <c r="AH142">
        <v>0.64494701274765764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1.2125049465769686</v>
      </c>
      <c r="AO142">
        <v>1.2125049465769686</v>
      </c>
      <c r="AP142">
        <v>0.78200144323657417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0.21250494657696861</v>
      </c>
      <c r="AZ142">
        <v>0</v>
      </c>
      <c r="BA142">
        <v>0</v>
      </c>
      <c r="BB142">
        <v>0</v>
      </c>
      <c r="BC142">
        <v>0.21799855676342583</v>
      </c>
      <c r="BD142">
        <v>0</v>
      </c>
      <c r="BE142">
        <v>0.78200144323657417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1.2787700184556772</v>
      </c>
      <c r="BL142">
        <v>1.2787700184556772</v>
      </c>
      <c r="BM142">
        <v>1.5505149729118299</v>
      </c>
      <c r="BN142">
        <v>0.27174495445615277</v>
      </c>
      <c r="BO142">
        <v>0</v>
      </c>
      <c r="BP142">
        <v>0</v>
      </c>
      <c r="BQ142">
        <v>0</v>
      </c>
      <c r="BR142">
        <v>0</v>
      </c>
      <c r="BS142">
        <v>0.22122998154432283</v>
      </c>
      <c r="BT142">
        <v>0.27877001845567717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</row>
    <row r="143" spans="1:85" hidden="1" x14ac:dyDescent="0.25">
      <c r="A143" t="s">
        <v>128</v>
      </c>
      <c r="B143" t="s">
        <v>134</v>
      </c>
      <c r="C143" t="s">
        <v>72</v>
      </c>
      <c r="D143" s="12">
        <v>45579</v>
      </c>
      <c r="E143" t="s">
        <v>178</v>
      </c>
      <c r="F143" t="s">
        <v>178</v>
      </c>
      <c r="G143" t="s">
        <v>178</v>
      </c>
      <c r="H143" t="s">
        <v>74</v>
      </c>
      <c r="I143">
        <v>10</v>
      </c>
      <c r="J143">
        <v>1</v>
      </c>
      <c r="K143">
        <v>1</v>
      </c>
      <c r="L143">
        <v>45579</v>
      </c>
      <c r="M143" t="s">
        <v>158</v>
      </c>
      <c r="N143">
        <v>0</v>
      </c>
      <c r="O143">
        <v>0</v>
      </c>
      <c r="P143">
        <v>1.1401127252520442</v>
      </c>
      <c r="Q143">
        <v>0</v>
      </c>
      <c r="R143">
        <v>0</v>
      </c>
      <c r="S143">
        <v>1.1401127252520442</v>
      </c>
      <c r="T143">
        <v>0.14011272525204421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1</v>
      </c>
      <c r="AM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1</v>
      </c>
      <c r="BJ143">
        <v>1</v>
      </c>
      <c r="BK143">
        <v>0</v>
      </c>
      <c r="BL143">
        <v>0</v>
      </c>
      <c r="BM143">
        <v>0.8771062526110569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0.1228937473889431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0.8771062526110569</v>
      </c>
      <c r="CG143">
        <v>0</v>
      </c>
    </row>
    <row r="144" spans="1:85" hidden="1" x14ac:dyDescent="0.25">
      <c r="A144" t="s">
        <v>128</v>
      </c>
      <c r="B144" t="s">
        <v>134</v>
      </c>
      <c r="C144" t="s">
        <v>72</v>
      </c>
      <c r="D144" s="12">
        <v>45579</v>
      </c>
      <c r="E144" t="s">
        <v>178</v>
      </c>
      <c r="F144" t="s">
        <v>178</v>
      </c>
      <c r="G144" t="s">
        <v>178</v>
      </c>
      <c r="H144" t="s">
        <v>75</v>
      </c>
      <c r="I144">
        <v>10</v>
      </c>
      <c r="J144">
        <v>1</v>
      </c>
      <c r="K144">
        <v>2.8796992481203003</v>
      </c>
      <c r="L144">
        <v>45579</v>
      </c>
      <c r="M144" t="s">
        <v>159</v>
      </c>
      <c r="N144">
        <v>3.8</v>
      </c>
      <c r="O144">
        <v>3.8</v>
      </c>
      <c r="P144">
        <v>2.4665314401622722</v>
      </c>
      <c r="Q144">
        <v>1.3195822454308095</v>
      </c>
      <c r="R144">
        <v>1.3195822454308095</v>
      </c>
      <c r="S144">
        <v>0.85652397269342628</v>
      </c>
      <c r="T144">
        <v>0</v>
      </c>
      <c r="U144">
        <v>0</v>
      </c>
      <c r="V144">
        <v>6.9582245430809486E-2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0.25</v>
      </c>
      <c r="AC144">
        <v>0</v>
      </c>
      <c r="AD144">
        <v>0</v>
      </c>
      <c r="AE144">
        <v>0</v>
      </c>
      <c r="AF144">
        <v>0.14347602730657372</v>
      </c>
      <c r="AG144">
        <v>0</v>
      </c>
      <c r="AH144">
        <v>0.85652397269342628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0.75781559161060541</v>
      </c>
      <c r="AO144">
        <v>0.75781559161060541</v>
      </c>
      <c r="AP144">
        <v>0.64908722109533479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0.24218440838939459</v>
      </c>
      <c r="BB144">
        <v>0</v>
      </c>
      <c r="BC144">
        <v>0.10872837051527062</v>
      </c>
      <c r="BD144">
        <v>0</v>
      </c>
      <c r="BE144">
        <v>0.64908722109533479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1.5406249999999997</v>
      </c>
      <c r="BL144">
        <v>1.5406249999999997</v>
      </c>
      <c r="BM144">
        <v>1.1675096458250886</v>
      </c>
      <c r="CD144">
        <v>0</v>
      </c>
      <c r="CE144">
        <v>0</v>
      </c>
      <c r="CF144">
        <v>0</v>
      </c>
    </row>
    <row r="145" spans="1:85" hidden="1" x14ac:dyDescent="0.25">
      <c r="A145" t="s">
        <v>128</v>
      </c>
      <c r="B145" t="s">
        <v>134</v>
      </c>
      <c r="C145" t="s">
        <v>109</v>
      </c>
      <c r="D145" s="12">
        <v>45579</v>
      </c>
      <c r="E145" t="s">
        <v>178</v>
      </c>
      <c r="F145" t="s">
        <v>178</v>
      </c>
      <c r="G145" t="s">
        <v>178</v>
      </c>
      <c r="K145">
        <v>9.6390977443609014</v>
      </c>
      <c r="N145">
        <v>8.5500000000000007</v>
      </c>
      <c r="O145">
        <v>8.5500000000000007</v>
      </c>
      <c r="P145">
        <v>7.3211510207880437</v>
      </c>
      <c r="T145">
        <v>1.4535875552669174E-2</v>
      </c>
      <c r="U145">
        <v>0</v>
      </c>
      <c r="V145">
        <v>2.0787831513260555E-2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7.4687987519500773E-2</v>
      </c>
      <c r="AC145">
        <v>0</v>
      </c>
      <c r="AD145">
        <v>0.1047191887675506</v>
      </c>
      <c r="AE145">
        <v>0</v>
      </c>
      <c r="AF145">
        <v>0.15029009882504846</v>
      </c>
      <c r="AG145">
        <v>0</v>
      </c>
      <c r="AH145">
        <v>0.64124656264141022</v>
      </c>
      <c r="AI145">
        <v>0</v>
      </c>
      <c r="AJ145">
        <v>0</v>
      </c>
      <c r="AK145">
        <v>0</v>
      </c>
      <c r="AL145">
        <v>0.10374414976599065</v>
      </c>
      <c r="AM145">
        <v>0</v>
      </c>
    </row>
    <row r="146" spans="1:85" hidden="1" x14ac:dyDescent="0.25">
      <c r="A146" t="s">
        <v>128</v>
      </c>
      <c r="B146" t="s">
        <v>134</v>
      </c>
      <c r="C146" t="s">
        <v>72</v>
      </c>
      <c r="D146" s="12">
        <v>45580</v>
      </c>
      <c r="E146" t="s">
        <v>178</v>
      </c>
      <c r="F146" t="s">
        <v>178</v>
      </c>
      <c r="G146" t="s">
        <v>178</v>
      </c>
      <c r="H146" t="s">
        <v>73</v>
      </c>
      <c r="I146">
        <v>10</v>
      </c>
      <c r="J146">
        <v>1</v>
      </c>
      <c r="K146">
        <v>5.7593984962406006</v>
      </c>
      <c r="L146">
        <v>45580</v>
      </c>
      <c r="M146" t="s">
        <v>160</v>
      </c>
      <c r="N146">
        <v>3.8</v>
      </c>
      <c r="O146">
        <v>3.8</v>
      </c>
      <c r="P146">
        <v>2.8447589562140649</v>
      </c>
      <c r="Q146">
        <v>0.65979112271540474</v>
      </c>
      <c r="R146">
        <v>0.65979112271540474</v>
      </c>
      <c r="S146">
        <v>0.49393334357241603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0.34020887728459526</v>
      </c>
      <c r="AE146">
        <v>0</v>
      </c>
      <c r="AF146">
        <v>0.16585777914298871</v>
      </c>
      <c r="AG146">
        <v>0</v>
      </c>
      <c r="AH146">
        <v>0.49393334357241603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1.5156311832212108</v>
      </c>
      <c r="AO146">
        <v>1.5156311832212108</v>
      </c>
      <c r="AP146">
        <v>0.74862077795106974</v>
      </c>
      <c r="BG146">
        <v>0</v>
      </c>
      <c r="BH146">
        <v>0</v>
      </c>
      <c r="BI146">
        <v>0</v>
      </c>
      <c r="BK146">
        <v>1.3357898009950246</v>
      </c>
      <c r="BL146">
        <v>1.3357898009950246</v>
      </c>
      <c r="BM146">
        <v>2.0245646766169147</v>
      </c>
      <c r="BN146">
        <v>0.6887748756218901</v>
      </c>
      <c r="BO146">
        <v>0</v>
      </c>
      <c r="BP146">
        <v>0</v>
      </c>
      <c r="BQ146">
        <v>0</v>
      </c>
      <c r="BR146">
        <v>0</v>
      </c>
      <c r="BS146">
        <v>0.16421019900497535</v>
      </c>
      <c r="BT146">
        <v>0.33578980099502465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</row>
    <row r="147" spans="1:85" hidden="1" x14ac:dyDescent="0.25">
      <c r="A147" t="s">
        <v>128</v>
      </c>
      <c r="B147" t="s">
        <v>134</v>
      </c>
      <c r="C147" t="s">
        <v>72</v>
      </c>
      <c r="D147" s="12">
        <v>45580</v>
      </c>
      <c r="E147" t="s">
        <v>178</v>
      </c>
      <c r="F147" t="s">
        <v>178</v>
      </c>
      <c r="G147" t="s">
        <v>178</v>
      </c>
      <c r="H147" t="s">
        <v>74</v>
      </c>
      <c r="I147">
        <v>10</v>
      </c>
      <c r="J147">
        <v>1</v>
      </c>
      <c r="K147">
        <v>1</v>
      </c>
      <c r="L147">
        <v>45580</v>
      </c>
      <c r="M147" t="s">
        <v>161</v>
      </c>
      <c r="N147">
        <v>0</v>
      </c>
      <c r="O147">
        <v>0</v>
      </c>
      <c r="P147">
        <v>0.24132730015082957</v>
      </c>
      <c r="Q147">
        <v>0</v>
      </c>
      <c r="R147">
        <v>0</v>
      </c>
      <c r="S147">
        <v>0.24132730015082957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0.24132730015082957</v>
      </c>
      <c r="AD147">
        <v>0.75867269984917041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K147">
        <v>0</v>
      </c>
      <c r="BL147">
        <v>0</v>
      </c>
      <c r="BM147">
        <v>4.1437499999999998</v>
      </c>
      <c r="BN147">
        <v>3.1437499999999998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</row>
    <row r="148" spans="1:85" hidden="1" x14ac:dyDescent="0.25">
      <c r="A148" t="s">
        <v>128</v>
      </c>
      <c r="B148" t="s">
        <v>134</v>
      </c>
      <c r="C148" t="s">
        <v>72</v>
      </c>
      <c r="D148" s="12">
        <v>45580</v>
      </c>
      <c r="E148" t="s">
        <v>178</v>
      </c>
      <c r="F148" t="s">
        <v>178</v>
      </c>
      <c r="G148" t="s">
        <v>178</v>
      </c>
      <c r="H148" t="s">
        <v>75</v>
      </c>
      <c r="I148">
        <v>10</v>
      </c>
      <c r="J148">
        <v>1</v>
      </c>
      <c r="K148">
        <v>2.8796992481203003</v>
      </c>
      <c r="L148">
        <v>45580</v>
      </c>
      <c r="M148" t="s">
        <v>162</v>
      </c>
      <c r="N148">
        <v>2.8499999999999996</v>
      </c>
      <c r="O148">
        <v>2.8499999999999996</v>
      </c>
      <c r="P148">
        <v>3.1683569979716029</v>
      </c>
      <c r="Q148">
        <v>0.98968668407310711</v>
      </c>
      <c r="R148">
        <v>0.98968668407310711</v>
      </c>
      <c r="S148">
        <v>1.1002388530815228</v>
      </c>
      <c r="T148">
        <v>0.10023885308152281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1.0313315926892885E-2</v>
      </c>
      <c r="AD148">
        <v>0</v>
      </c>
      <c r="AE148">
        <v>0</v>
      </c>
      <c r="AF148">
        <v>0</v>
      </c>
      <c r="AG148">
        <v>0</v>
      </c>
      <c r="AH148">
        <v>0.98968668407310711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1.0104207888141405</v>
      </c>
      <c r="AO148">
        <v>1.0104207888141405</v>
      </c>
      <c r="AP148">
        <v>1.1117042098145977</v>
      </c>
      <c r="AQ148">
        <v>0.10128342100045717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1.0420788814140547E-2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1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0.89951984635083204</v>
      </c>
      <c r="BL148">
        <v>0.89951984635083204</v>
      </c>
      <c r="BM148">
        <v>0.90889355270378225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9.1106447296217752E-2</v>
      </c>
      <c r="BY148">
        <v>0</v>
      </c>
      <c r="BZ148">
        <v>0</v>
      </c>
      <c r="CA148">
        <v>0</v>
      </c>
      <c r="CB148">
        <v>0.89951984635083204</v>
      </c>
      <c r="CC148">
        <v>0</v>
      </c>
      <c r="CD148">
        <v>0</v>
      </c>
      <c r="CE148">
        <v>0</v>
      </c>
      <c r="CF148">
        <v>0</v>
      </c>
      <c r="CG148">
        <v>0</v>
      </c>
    </row>
    <row r="149" spans="1:85" hidden="1" x14ac:dyDescent="0.25">
      <c r="A149" t="s">
        <v>128</v>
      </c>
      <c r="B149" t="s">
        <v>134</v>
      </c>
      <c r="C149" t="s">
        <v>109</v>
      </c>
      <c r="D149" s="12">
        <v>45580</v>
      </c>
      <c r="E149" t="s">
        <v>178</v>
      </c>
      <c r="F149" t="s">
        <v>178</v>
      </c>
      <c r="G149" t="s">
        <v>178</v>
      </c>
      <c r="K149">
        <v>9.6390977443609014</v>
      </c>
      <c r="N149">
        <v>6.6499999999999995</v>
      </c>
      <c r="O149">
        <v>6.6499999999999995</v>
      </c>
      <c r="P149">
        <v>6.2544432543364969</v>
      </c>
      <c r="T149">
        <v>2.994655283168739E-2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2.8117418814399619E-2</v>
      </c>
      <c r="AD149">
        <v>0.28198398524176255</v>
      </c>
      <c r="AE149">
        <v>0</v>
      </c>
      <c r="AF149">
        <v>9.9100669909149258E-2</v>
      </c>
      <c r="AG149">
        <v>0</v>
      </c>
      <c r="AH149">
        <v>0.5907979260346885</v>
      </c>
      <c r="AI149">
        <v>0</v>
      </c>
      <c r="AJ149">
        <v>0</v>
      </c>
      <c r="AK149">
        <v>0</v>
      </c>
      <c r="AL149">
        <v>0</v>
      </c>
      <c r="AM149">
        <v>0</v>
      </c>
    </row>
    <row r="150" spans="1:85" hidden="1" x14ac:dyDescent="0.25">
      <c r="A150" t="s">
        <v>128</v>
      </c>
      <c r="B150" t="s">
        <v>134</v>
      </c>
      <c r="C150" t="s">
        <v>72</v>
      </c>
      <c r="D150" s="12">
        <v>45581</v>
      </c>
      <c r="E150" t="s">
        <v>178</v>
      </c>
      <c r="F150" t="s">
        <v>178</v>
      </c>
      <c r="G150" t="s">
        <v>178</v>
      </c>
      <c r="H150" t="s">
        <v>73</v>
      </c>
      <c r="I150">
        <v>10</v>
      </c>
      <c r="J150">
        <v>1</v>
      </c>
      <c r="K150">
        <v>5.7593984962406006</v>
      </c>
      <c r="L150">
        <v>45581</v>
      </c>
      <c r="M150" t="s">
        <v>163</v>
      </c>
      <c r="N150">
        <v>3.8</v>
      </c>
      <c r="O150">
        <v>3.8</v>
      </c>
      <c r="P150">
        <v>3.6806722689075615</v>
      </c>
      <c r="Q150">
        <v>0.65979112271540474</v>
      </c>
      <c r="R150">
        <v>0.65979112271540474</v>
      </c>
      <c r="S150">
        <v>0.63907233911841477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0.34020887728459526</v>
      </c>
      <c r="AE150">
        <v>0</v>
      </c>
      <c r="AF150">
        <v>2.0718783596989976E-2</v>
      </c>
      <c r="AG150">
        <v>0</v>
      </c>
      <c r="AH150">
        <v>0.63907233911841477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1.5156311832212108</v>
      </c>
      <c r="AO150">
        <v>1.5156311832212108</v>
      </c>
      <c r="AP150">
        <v>0.96859796550198995</v>
      </c>
      <c r="BG150">
        <v>0</v>
      </c>
      <c r="BH150">
        <v>0</v>
      </c>
      <c r="BI150">
        <v>0</v>
      </c>
      <c r="BK150">
        <v>1.0324200913242012</v>
      </c>
      <c r="BL150">
        <v>1.0324200913242012</v>
      </c>
      <c r="BM150">
        <v>1.5647680845950498</v>
      </c>
      <c r="BN150">
        <v>0.53234799327084859</v>
      </c>
      <c r="BO150">
        <v>0</v>
      </c>
      <c r="BP150">
        <v>0</v>
      </c>
      <c r="BQ150">
        <v>0</v>
      </c>
      <c r="BR150">
        <v>0</v>
      </c>
      <c r="BS150">
        <v>0.46757990867579879</v>
      </c>
      <c r="BT150">
        <v>3.2420091324201206E-2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</row>
    <row r="151" spans="1:85" hidden="1" x14ac:dyDescent="0.25">
      <c r="A151" t="s">
        <v>128</v>
      </c>
      <c r="B151" t="s">
        <v>134</v>
      </c>
      <c r="C151" t="s">
        <v>72</v>
      </c>
      <c r="D151" s="12">
        <v>45581</v>
      </c>
      <c r="E151" t="s">
        <v>178</v>
      </c>
      <c r="F151" t="s">
        <v>178</v>
      </c>
      <c r="G151" t="s">
        <v>178</v>
      </c>
      <c r="H151" t="s">
        <v>74</v>
      </c>
      <c r="I151">
        <v>10</v>
      </c>
      <c r="J151">
        <v>1</v>
      </c>
      <c r="K151">
        <v>1</v>
      </c>
      <c r="L151">
        <v>45581</v>
      </c>
      <c r="M151" t="s">
        <v>164</v>
      </c>
      <c r="N151">
        <v>0</v>
      </c>
      <c r="O151">
        <v>0</v>
      </c>
      <c r="P151">
        <v>0.12066365007541478</v>
      </c>
      <c r="Q151">
        <v>0</v>
      </c>
      <c r="R151">
        <v>0</v>
      </c>
      <c r="S151">
        <v>0.12066365007541478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0.12066365007541478</v>
      </c>
      <c r="AD151">
        <v>0.8793363499245852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K151">
        <v>0</v>
      </c>
      <c r="BL151">
        <v>0</v>
      </c>
      <c r="BM151">
        <v>8.2874999999999996</v>
      </c>
      <c r="BN151">
        <v>7.2874999999999996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</row>
    <row r="152" spans="1:85" hidden="1" x14ac:dyDescent="0.25">
      <c r="A152" t="s">
        <v>128</v>
      </c>
      <c r="B152" t="s">
        <v>134</v>
      </c>
      <c r="C152" t="s">
        <v>72</v>
      </c>
      <c r="D152" s="12">
        <v>45581</v>
      </c>
      <c r="E152" t="s">
        <v>178</v>
      </c>
      <c r="F152" t="s">
        <v>178</v>
      </c>
      <c r="G152" t="s">
        <v>178</v>
      </c>
      <c r="H152" t="s">
        <v>75</v>
      </c>
      <c r="I152">
        <v>10</v>
      </c>
      <c r="J152">
        <v>1</v>
      </c>
      <c r="K152">
        <v>2.8796992481203003</v>
      </c>
      <c r="L152">
        <v>45581</v>
      </c>
      <c r="M152" t="s">
        <v>165</v>
      </c>
      <c r="N152">
        <v>4.75</v>
      </c>
      <c r="O152">
        <v>4.75</v>
      </c>
      <c r="P152">
        <v>1.5253549695740365</v>
      </c>
      <c r="Q152">
        <v>1.6494778067885121</v>
      </c>
      <c r="R152">
        <v>1.6494778067885121</v>
      </c>
      <c r="S152">
        <v>0.5296924567972503</v>
      </c>
      <c r="T152">
        <v>0</v>
      </c>
      <c r="U152">
        <v>0</v>
      </c>
      <c r="V152">
        <v>0.39947780678851208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0.25</v>
      </c>
      <c r="AC152">
        <v>0</v>
      </c>
      <c r="AD152">
        <v>0</v>
      </c>
      <c r="AE152">
        <v>0</v>
      </c>
      <c r="AF152">
        <v>0.4703075432027497</v>
      </c>
      <c r="AG152">
        <v>0</v>
      </c>
      <c r="AH152">
        <v>0.5296924567972503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0.60625247328848431</v>
      </c>
      <c r="AO152">
        <v>0.60625247328848431</v>
      </c>
      <c r="AP152">
        <v>0.32112736201558661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0.39374752671151569</v>
      </c>
      <c r="BB152">
        <v>0</v>
      </c>
      <c r="BC152">
        <v>0.28512511127289769</v>
      </c>
      <c r="BD152">
        <v>0</v>
      </c>
      <c r="BE152">
        <v>0.32112736201558661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3.1140292553191489</v>
      </c>
      <c r="BL152">
        <v>3.1140292553191489</v>
      </c>
      <c r="BM152">
        <v>1.8878879379299309</v>
      </c>
      <c r="CD152">
        <v>0</v>
      </c>
      <c r="CE152">
        <v>0</v>
      </c>
      <c r="CF152">
        <v>0</v>
      </c>
    </row>
    <row r="153" spans="1:85" hidden="1" x14ac:dyDescent="0.25">
      <c r="A153" t="s">
        <v>128</v>
      </c>
      <c r="B153" t="s">
        <v>134</v>
      </c>
      <c r="C153" t="s">
        <v>109</v>
      </c>
      <c r="D153" s="12">
        <v>45581</v>
      </c>
      <c r="E153" t="s">
        <v>178</v>
      </c>
      <c r="F153" t="s">
        <v>178</v>
      </c>
      <c r="G153" t="s">
        <v>178</v>
      </c>
      <c r="K153">
        <v>9.6390977443609014</v>
      </c>
      <c r="N153">
        <v>8.5500000000000007</v>
      </c>
      <c r="O153">
        <v>8.5500000000000007</v>
      </c>
      <c r="P153">
        <v>5.3266908885570121</v>
      </c>
      <c r="T153">
        <v>0</v>
      </c>
      <c r="U153">
        <v>0</v>
      </c>
      <c r="V153">
        <v>0.11934477379095174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7.4687987519500773E-2</v>
      </c>
      <c r="AC153">
        <v>1.251814778473492E-2</v>
      </c>
      <c r="AD153">
        <v>0.29450213302649753</v>
      </c>
      <c r="AE153">
        <v>0</v>
      </c>
      <c r="AF153">
        <v>0.15288484967390598</v>
      </c>
      <c r="AG153">
        <v>0</v>
      </c>
      <c r="AH153">
        <v>0.54009486951486163</v>
      </c>
      <c r="AI153">
        <v>0</v>
      </c>
      <c r="AJ153">
        <v>0</v>
      </c>
      <c r="AK153">
        <v>0</v>
      </c>
      <c r="AL153">
        <v>0</v>
      </c>
      <c r="AM153">
        <v>0</v>
      </c>
    </row>
    <row r="154" spans="1:85" hidden="1" x14ac:dyDescent="0.25">
      <c r="A154" t="s">
        <v>128</v>
      </c>
      <c r="B154" t="s">
        <v>134</v>
      </c>
      <c r="C154" t="s">
        <v>72</v>
      </c>
      <c r="D154" s="12">
        <v>45582</v>
      </c>
      <c r="E154" t="s">
        <v>178</v>
      </c>
      <c r="F154" t="s">
        <v>178</v>
      </c>
      <c r="G154" t="s">
        <v>178</v>
      </c>
      <c r="H154" t="s">
        <v>73</v>
      </c>
      <c r="I154">
        <v>10</v>
      </c>
      <c r="J154">
        <v>1</v>
      </c>
      <c r="K154">
        <v>5.7593984962406006</v>
      </c>
      <c r="L154">
        <v>45582</v>
      </c>
      <c r="M154" t="s">
        <v>166</v>
      </c>
      <c r="N154">
        <v>0.95</v>
      </c>
      <c r="O154">
        <v>0.95</v>
      </c>
      <c r="P154">
        <v>3.7590132827324472</v>
      </c>
      <c r="Q154">
        <v>0.16494778067885119</v>
      </c>
      <c r="R154">
        <v>0.16494778067885119</v>
      </c>
      <c r="S154">
        <v>0.65267463003056858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0.4877268493517174</v>
      </c>
      <c r="AD154">
        <v>0.34732536996943142</v>
      </c>
      <c r="AE154">
        <v>0</v>
      </c>
      <c r="AF154">
        <v>0</v>
      </c>
      <c r="AG154">
        <v>0</v>
      </c>
      <c r="AH154">
        <v>0.16494778067885119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6.0625247328848433</v>
      </c>
      <c r="AO154">
        <v>6.0625247328848433</v>
      </c>
      <c r="AP154">
        <v>3.9568560870867868</v>
      </c>
      <c r="BG154">
        <v>0</v>
      </c>
      <c r="BH154">
        <v>0</v>
      </c>
      <c r="BI154">
        <v>0</v>
      </c>
      <c r="BK154">
        <v>0.25272589601211515</v>
      </c>
      <c r="BL154">
        <v>0.25272589601211515</v>
      </c>
      <c r="BM154">
        <v>1.5321569952139309</v>
      </c>
      <c r="BN154">
        <v>0.53215699521393089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0.83505221932114881</v>
      </c>
      <c r="BX154">
        <v>0</v>
      </c>
      <c r="BY154">
        <v>0</v>
      </c>
      <c r="BZ154">
        <v>0</v>
      </c>
      <c r="CA154">
        <v>0</v>
      </c>
      <c r="CB154">
        <v>0.25272589601211515</v>
      </c>
      <c r="CC154">
        <v>0</v>
      </c>
      <c r="CD154">
        <v>0</v>
      </c>
      <c r="CE154">
        <v>0</v>
      </c>
      <c r="CF154">
        <v>0</v>
      </c>
      <c r="CG154">
        <v>0</v>
      </c>
    </row>
    <row r="155" spans="1:85" hidden="1" x14ac:dyDescent="0.25">
      <c r="A155" t="s">
        <v>128</v>
      </c>
      <c r="B155" t="s">
        <v>134</v>
      </c>
      <c r="C155" t="s">
        <v>72</v>
      </c>
      <c r="D155" s="12">
        <v>45582</v>
      </c>
      <c r="E155" t="s">
        <v>178</v>
      </c>
      <c r="F155" t="s">
        <v>178</v>
      </c>
      <c r="G155" t="s">
        <v>178</v>
      </c>
      <c r="H155" t="s">
        <v>74</v>
      </c>
      <c r="I155">
        <v>10</v>
      </c>
      <c r="J155">
        <v>1</v>
      </c>
      <c r="K155">
        <v>1</v>
      </c>
      <c r="L155">
        <v>45582</v>
      </c>
      <c r="M155" t="s">
        <v>167</v>
      </c>
      <c r="N155">
        <v>0</v>
      </c>
      <c r="O155">
        <v>0</v>
      </c>
      <c r="P155">
        <v>1.2600465548632931</v>
      </c>
      <c r="Q155">
        <v>0</v>
      </c>
      <c r="R155">
        <v>0</v>
      </c>
      <c r="S155">
        <v>1.2600465548632931</v>
      </c>
      <c r="T155">
        <v>0.26004655486329309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1</v>
      </c>
      <c r="AM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1</v>
      </c>
      <c r="BJ155">
        <v>1</v>
      </c>
      <c r="BK155">
        <v>0</v>
      </c>
      <c r="BL155">
        <v>0</v>
      </c>
      <c r="BM155">
        <v>0.79362147068327449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0.20637852931672551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0.79362147068327449</v>
      </c>
      <c r="CG155">
        <v>0</v>
      </c>
    </row>
    <row r="156" spans="1:85" hidden="1" x14ac:dyDescent="0.25">
      <c r="A156" t="s">
        <v>128</v>
      </c>
      <c r="B156" t="s">
        <v>134</v>
      </c>
      <c r="C156" t="s">
        <v>72</v>
      </c>
      <c r="D156" s="12">
        <v>45582</v>
      </c>
      <c r="E156" t="s">
        <v>178</v>
      </c>
      <c r="F156" t="s">
        <v>178</v>
      </c>
      <c r="G156" t="s">
        <v>178</v>
      </c>
      <c r="H156" t="s">
        <v>75</v>
      </c>
      <c r="I156">
        <v>10</v>
      </c>
      <c r="J156">
        <v>1</v>
      </c>
      <c r="K156">
        <v>2.8796992481203003</v>
      </c>
      <c r="L156">
        <v>45582</v>
      </c>
      <c r="M156" t="s">
        <v>168</v>
      </c>
      <c r="N156">
        <v>5.6999999999999993</v>
      </c>
      <c r="O156">
        <v>5.6999999999999993</v>
      </c>
      <c r="P156">
        <v>3.4020153111300142</v>
      </c>
      <c r="Q156">
        <v>1.9793733681462142</v>
      </c>
      <c r="R156">
        <v>1.9793733681462142</v>
      </c>
      <c r="S156">
        <v>1.1813786850660364</v>
      </c>
      <c r="T156">
        <v>0</v>
      </c>
      <c r="U156">
        <v>0</v>
      </c>
      <c r="V156">
        <v>0.72937336814621423</v>
      </c>
      <c r="W156">
        <v>0</v>
      </c>
      <c r="X156">
        <v>0</v>
      </c>
      <c r="Y156">
        <v>0</v>
      </c>
      <c r="Z156">
        <v>0.18137868506603638</v>
      </c>
      <c r="AA156">
        <v>0</v>
      </c>
      <c r="AB156">
        <v>6.8621314933963617E-2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0.50521039440707027</v>
      </c>
      <c r="AO156">
        <v>0.50521039440707027</v>
      </c>
      <c r="AP156">
        <v>0.59684479142631841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0.40315520857368159</v>
      </c>
      <c r="BB156">
        <v>0</v>
      </c>
      <c r="BC156">
        <v>0</v>
      </c>
      <c r="BD156">
        <v>0</v>
      </c>
      <c r="BE156">
        <v>0.50521039440707027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1.6754774681207081</v>
      </c>
      <c r="BL156">
        <v>1.6754774681207081</v>
      </c>
      <c r="BM156">
        <v>0.8464686324894225</v>
      </c>
      <c r="CD156">
        <v>0</v>
      </c>
      <c r="CE156">
        <v>0</v>
      </c>
      <c r="CF156">
        <v>0</v>
      </c>
    </row>
    <row r="157" spans="1:85" hidden="1" x14ac:dyDescent="0.25">
      <c r="A157" t="s">
        <v>128</v>
      </c>
      <c r="B157" t="s">
        <v>134</v>
      </c>
      <c r="C157" t="s">
        <v>109</v>
      </c>
      <c r="D157" s="12">
        <v>45582</v>
      </c>
      <c r="E157" t="s">
        <v>178</v>
      </c>
      <c r="F157" t="s">
        <v>178</v>
      </c>
      <c r="G157" t="s">
        <v>178</v>
      </c>
      <c r="K157">
        <v>9.6390977443609014</v>
      </c>
      <c r="N157">
        <v>6.6499999999999995</v>
      </c>
      <c r="O157">
        <v>6.6499999999999995</v>
      </c>
      <c r="P157">
        <v>8.4210751487257536</v>
      </c>
      <c r="T157">
        <v>2.6978308733867383E-2</v>
      </c>
      <c r="U157">
        <v>0</v>
      </c>
      <c r="V157">
        <v>0.21790171606864275</v>
      </c>
      <c r="W157">
        <v>0</v>
      </c>
      <c r="X157">
        <v>0</v>
      </c>
      <c r="Y157">
        <v>0</v>
      </c>
      <c r="Z157">
        <v>5.4187235866062347E-2</v>
      </c>
      <c r="AA157">
        <v>0</v>
      </c>
      <c r="AB157">
        <v>2.0500751653438426E-2</v>
      </c>
      <c r="AC157">
        <v>0.291418694698452</v>
      </c>
      <c r="AD157">
        <v>0.20752826317986306</v>
      </c>
      <c r="AE157">
        <v>0</v>
      </c>
      <c r="AF157">
        <v>0</v>
      </c>
      <c r="AG157">
        <v>0</v>
      </c>
      <c r="AH157">
        <v>0.39730889235569417</v>
      </c>
      <c r="AI157">
        <v>0</v>
      </c>
      <c r="AJ157">
        <v>0</v>
      </c>
      <c r="AK157">
        <v>0</v>
      </c>
      <c r="AL157">
        <v>0.10374414976599065</v>
      </c>
      <c r="AM157">
        <v>0</v>
      </c>
    </row>
    <row r="158" spans="1:85" hidden="1" x14ac:dyDescent="0.25">
      <c r="A158" t="s">
        <v>128</v>
      </c>
      <c r="B158" t="s">
        <v>134</v>
      </c>
      <c r="C158" t="s">
        <v>72</v>
      </c>
      <c r="D158" s="12">
        <v>45583</v>
      </c>
      <c r="E158" t="s">
        <v>178</v>
      </c>
      <c r="F158" t="s">
        <v>178</v>
      </c>
      <c r="G158" t="s">
        <v>178</v>
      </c>
      <c r="H158" t="s">
        <v>73</v>
      </c>
      <c r="I158">
        <v>10</v>
      </c>
      <c r="J158">
        <v>1</v>
      </c>
      <c r="K158">
        <v>5.7593984962406006</v>
      </c>
      <c r="L158">
        <v>45583</v>
      </c>
      <c r="M158" t="s">
        <v>169</v>
      </c>
      <c r="N158">
        <v>2.8499999999999996</v>
      </c>
      <c r="O158">
        <v>2.8499999999999996</v>
      </c>
      <c r="P158">
        <v>3.502922221520187</v>
      </c>
      <c r="Q158">
        <v>0.49484334203655356</v>
      </c>
      <c r="R158">
        <v>0.49484334203655356</v>
      </c>
      <c r="S158">
        <v>0.60820973297935366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0.1133663909428001</v>
      </c>
      <c r="AD158">
        <v>0.39179026702064634</v>
      </c>
      <c r="AE158">
        <v>0</v>
      </c>
      <c r="AF158">
        <v>0</v>
      </c>
      <c r="AG158">
        <v>0</v>
      </c>
      <c r="AH158">
        <v>0.49484334203655356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2.0208415776282811</v>
      </c>
      <c r="AO158">
        <v>2.0208415776282811</v>
      </c>
      <c r="AP158">
        <v>1.2290955163228727</v>
      </c>
      <c r="BG158">
        <v>0</v>
      </c>
      <c r="BH158">
        <v>0</v>
      </c>
      <c r="BI158">
        <v>0</v>
      </c>
      <c r="BK158">
        <v>0.81360641766209862</v>
      </c>
      <c r="BL158">
        <v>0.81360641766209862</v>
      </c>
      <c r="BM158">
        <v>1.6441696766367697</v>
      </c>
      <c r="BN158">
        <v>0.64416967663676972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0.50515665796344644</v>
      </c>
      <c r="BX158">
        <v>0</v>
      </c>
      <c r="BY158">
        <v>0</v>
      </c>
      <c r="BZ158">
        <v>0</v>
      </c>
      <c r="CA158">
        <v>0</v>
      </c>
      <c r="CB158">
        <v>0.81360641766209862</v>
      </c>
      <c r="CC158">
        <v>0</v>
      </c>
      <c r="CD158">
        <v>0</v>
      </c>
      <c r="CE158">
        <v>0</v>
      </c>
      <c r="CF158">
        <v>0</v>
      </c>
      <c r="CG158">
        <v>0</v>
      </c>
    </row>
    <row r="159" spans="1:85" hidden="1" x14ac:dyDescent="0.25">
      <c r="A159" t="s">
        <v>128</v>
      </c>
      <c r="B159" t="s">
        <v>134</v>
      </c>
      <c r="C159" t="s">
        <v>72</v>
      </c>
      <c r="D159" s="12">
        <v>45583</v>
      </c>
      <c r="E159" t="s">
        <v>178</v>
      </c>
      <c r="F159" t="s">
        <v>178</v>
      </c>
      <c r="G159" t="s">
        <v>178</v>
      </c>
      <c r="H159" t="s">
        <v>74</v>
      </c>
      <c r="I159">
        <v>10</v>
      </c>
      <c r="J159">
        <v>1</v>
      </c>
      <c r="K159">
        <v>1</v>
      </c>
      <c r="L159">
        <v>45583</v>
      </c>
      <c r="M159" t="s">
        <v>170</v>
      </c>
      <c r="N159">
        <v>0</v>
      </c>
      <c r="O159">
        <v>0</v>
      </c>
      <c r="P159">
        <v>1.1913273001508298</v>
      </c>
      <c r="Q159">
        <v>0</v>
      </c>
      <c r="R159">
        <v>0</v>
      </c>
      <c r="S159">
        <v>1.1913273001508298</v>
      </c>
      <c r="T159">
        <v>0.19132730015082977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</v>
      </c>
      <c r="AM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1</v>
      </c>
      <c r="BJ159">
        <v>1</v>
      </c>
      <c r="BK159">
        <v>0</v>
      </c>
      <c r="BL159">
        <v>0</v>
      </c>
      <c r="BM159">
        <v>0.83939988605431393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0.16060011394568607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0.83939988605431393</v>
      </c>
      <c r="CG159">
        <v>0</v>
      </c>
    </row>
    <row r="160" spans="1:85" hidden="1" x14ac:dyDescent="0.25">
      <c r="A160" t="s">
        <v>128</v>
      </c>
      <c r="B160" t="s">
        <v>134</v>
      </c>
      <c r="C160" t="s">
        <v>72</v>
      </c>
      <c r="D160" s="12">
        <v>45583</v>
      </c>
      <c r="E160" t="s">
        <v>178</v>
      </c>
      <c r="F160" t="s">
        <v>178</v>
      </c>
      <c r="G160" t="s">
        <v>178</v>
      </c>
      <c r="H160" t="s">
        <v>75</v>
      </c>
      <c r="I160">
        <v>10</v>
      </c>
      <c r="J160">
        <v>1</v>
      </c>
      <c r="K160">
        <v>2.8796992481203003</v>
      </c>
      <c r="L160">
        <v>45583</v>
      </c>
      <c r="M160" t="s">
        <v>171</v>
      </c>
      <c r="N160">
        <v>2.8499999999999996</v>
      </c>
      <c r="O160">
        <v>2.8499999999999996</v>
      </c>
      <c r="P160">
        <v>2.4639235004346567</v>
      </c>
      <c r="Q160">
        <v>0.98968668407310711</v>
      </c>
      <c r="R160">
        <v>0.98968668407310711</v>
      </c>
      <c r="S160">
        <v>0.85561834349297494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1.0313315926892885E-2</v>
      </c>
      <c r="AE160">
        <v>0</v>
      </c>
      <c r="AF160">
        <v>0.13406834058013217</v>
      </c>
      <c r="AG160">
        <v>0</v>
      </c>
      <c r="AH160">
        <v>0.85561834349297494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1.0104207888141405</v>
      </c>
      <c r="AO160">
        <v>1.0104207888141405</v>
      </c>
      <c r="AP160">
        <v>0.86453456155602004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1.0420788814140547E-2</v>
      </c>
      <c r="AZ160">
        <v>0</v>
      </c>
      <c r="BA160">
        <v>0</v>
      </c>
      <c r="BB160">
        <v>0</v>
      </c>
      <c r="BC160">
        <v>0.13546543844397996</v>
      </c>
      <c r="BD160">
        <v>0</v>
      </c>
      <c r="BE160">
        <v>0.86453456155602004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1.156691755850876</v>
      </c>
      <c r="BL160">
        <v>1.156691755850876</v>
      </c>
      <c r="BM160">
        <v>1.1687453963616554</v>
      </c>
      <c r="BN160">
        <v>1.2053640510779395E-2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0.15669175585087602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1</v>
      </c>
      <c r="CC160">
        <v>0</v>
      </c>
      <c r="CD160">
        <v>0</v>
      </c>
      <c r="CE160">
        <v>0</v>
      </c>
      <c r="CF160">
        <v>0</v>
      </c>
      <c r="CG160">
        <v>0</v>
      </c>
    </row>
    <row r="161" spans="1:85" hidden="1" x14ac:dyDescent="0.25">
      <c r="A161" t="s">
        <v>128</v>
      </c>
      <c r="B161" t="s">
        <v>134</v>
      </c>
      <c r="C161" t="s">
        <v>109</v>
      </c>
      <c r="D161" s="12">
        <v>45583</v>
      </c>
      <c r="E161" t="s">
        <v>178</v>
      </c>
      <c r="F161" t="s">
        <v>178</v>
      </c>
      <c r="G161" t="s">
        <v>178</v>
      </c>
      <c r="K161">
        <v>9.6390977443609014</v>
      </c>
      <c r="N161">
        <v>5.6999999999999993</v>
      </c>
      <c r="O161">
        <v>5.6999999999999993</v>
      </c>
      <c r="P161">
        <v>7.1581730221056734</v>
      </c>
      <c r="T161">
        <v>1.9849088081170328E-2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6.7736860734933596E-2</v>
      </c>
      <c r="AD161">
        <v>0.2371773358329291</v>
      </c>
      <c r="AE161">
        <v>0</v>
      </c>
      <c r="AF161">
        <v>4.0053178192036361E-2</v>
      </c>
      <c r="AG161">
        <v>0</v>
      </c>
      <c r="AH161">
        <v>0.55128847547411031</v>
      </c>
      <c r="AI161">
        <v>0</v>
      </c>
      <c r="AJ161">
        <v>0</v>
      </c>
      <c r="AK161">
        <v>0</v>
      </c>
      <c r="AL161">
        <v>0.10374414976599065</v>
      </c>
      <c r="AM161">
        <v>0</v>
      </c>
    </row>
    <row r="162" spans="1:85" hidden="1" x14ac:dyDescent="0.25">
      <c r="A162" t="s">
        <v>128</v>
      </c>
      <c r="B162" t="s">
        <v>134</v>
      </c>
      <c r="C162" t="s">
        <v>72</v>
      </c>
      <c r="D162" s="12">
        <v>45584</v>
      </c>
      <c r="E162" t="s">
        <v>178</v>
      </c>
      <c r="F162" t="s">
        <v>178</v>
      </c>
      <c r="G162" t="s">
        <v>178</v>
      </c>
      <c r="H162" t="s">
        <v>73</v>
      </c>
      <c r="I162">
        <v>10</v>
      </c>
      <c r="J162">
        <v>1</v>
      </c>
      <c r="K162">
        <v>5.7593984962406006</v>
      </c>
      <c r="L162">
        <v>45584</v>
      </c>
      <c r="M162" t="s">
        <v>172</v>
      </c>
      <c r="N162">
        <v>3.8</v>
      </c>
      <c r="O162">
        <v>3.8</v>
      </c>
      <c r="P162">
        <v>2.723004201680673</v>
      </c>
      <c r="Q162">
        <v>0.65979112271540474</v>
      </c>
      <c r="R162">
        <v>0.65979112271540474</v>
      </c>
      <c r="S162">
        <v>0.47279315773306735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0.34020887728459526</v>
      </c>
      <c r="AE162">
        <v>0</v>
      </c>
      <c r="AF162">
        <v>0.18699796498233739</v>
      </c>
      <c r="AG162">
        <v>0</v>
      </c>
      <c r="AH162">
        <v>0.47279315773306735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1.5156311832212108</v>
      </c>
      <c r="AO162">
        <v>1.5156311832212108</v>
      </c>
      <c r="AP162">
        <v>0.71658005307386141</v>
      </c>
      <c r="BG162">
        <v>0</v>
      </c>
      <c r="BH162">
        <v>0</v>
      </c>
      <c r="BI162">
        <v>0</v>
      </c>
      <c r="BK162">
        <v>1.3955174941171928</v>
      </c>
      <c r="BL162">
        <v>1.3955174941171928</v>
      </c>
      <c r="BM162">
        <v>2.1150898308147399</v>
      </c>
      <c r="BN162">
        <v>0.71957233669754705</v>
      </c>
      <c r="BO162">
        <v>0</v>
      </c>
      <c r="BP162">
        <v>0</v>
      </c>
      <c r="BQ162">
        <v>0</v>
      </c>
      <c r="BR162">
        <v>0</v>
      </c>
      <c r="BS162">
        <v>0.10448250588280716</v>
      </c>
      <c r="BT162">
        <v>0.39551749411719284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</row>
    <row r="163" spans="1:85" hidden="1" x14ac:dyDescent="0.25">
      <c r="A163" t="s">
        <v>128</v>
      </c>
      <c r="B163" t="s">
        <v>134</v>
      </c>
      <c r="C163" t="s">
        <v>72</v>
      </c>
      <c r="D163" s="12">
        <v>45584</v>
      </c>
      <c r="E163" t="s">
        <v>178</v>
      </c>
      <c r="F163" t="s">
        <v>178</v>
      </c>
      <c r="G163" t="s">
        <v>178</v>
      </c>
      <c r="H163" t="s">
        <v>74</v>
      </c>
      <c r="I163">
        <v>10</v>
      </c>
      <c r="J163">
        <v>1</v>
      </c>
      <c r="K163">
        <v>1</v>
      </c>
      <c r="L163">
        <v>45584</v>
      </c>
      <c r="M163" t="s">
        <v>173</v>
      </c>
      <c r="N163">
        <v>0.95</v>
      </c>
      <c r="O163">
        <v>0.95</v>
      </c>
      <c r="P163">
        <v>1.1401127252520442</v>
      </c>
      <c r="Q163">
        <v>0.95</v>
      </c>
      <c r="R163">
        <v>0.95</v>
      </c>
      <c r="S163">
        <v>1.1401127252520442</v>
      </c>
      <c r="T163">
        <v>0.14011272525204421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5.0000000000000044E-2</v>
      </c>
      <c r="AD163">
        <v>0</v>
      </c>
      <c r="AE163">
        <v>0</v>
      </c>
      <c r="AF163">
        <v>0</v>
      </c>
      <c r="AG163">
        <v>0</v>
      </c>
      <c r="AH163">
        <v>0.95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1.0526315789473684</v>
      </c>
      <c r="AO163">
        <v>1.0526315789473684</v>
      </c>
      <c r="AP163">
        <v>1.2001186581600467</v>
      </c>
      <c r="AQ163">
        <v>0.14748707921267834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5.2631578947368363E-2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1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0.83325093998050404</v>
      </c>
      <c r="BL163">
        <v>0.83325093998050404</v>
      </c>
      <c r="BM163">
        <v>0.8771062526110569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0.1228937473889431</v>
      </c>
      <c r="BY163">
        <v>0</v>
      </c>
      <c r="BZ163">
        <v>0</v>
      </c>
      <c r="CA163">
        <v>0</v>
      </c>
      <c r="CB163">
        <v>0.83325093998050404</v>
      </c>
      <c r="CC163">
        <v>0</v>
      </c>
      <c r="CD163">
        <v>0</v>
      </c>
      <c r="CE163">
        <v>0</v>
      </c>
      <c r="CF163">
        <v>0</v>
      </c>
      <c r="CG163">
        <v>0</v>
      </c>
    </row>
    <row r="164" spans="1:85" hidden="1" x14ac:dyDescent="0.25">
      <c r="A164" t="s">
        <v>128</v>
      </c>
      <c r="B164" t="s">
        <v>134</v>
      </c>
      <c r="C164" t="s">
        <v>72</v>
      </c>
      <c r="D164" s="12">
        <v>45584</v>
      </c>
      <c r="E164" t="s">
        <v>178</v>
      </c>
      <c r="F164" t="s">
        <v>178</v>
      </c>
      <c r="G164" t="s">
        <v>178</v>
      </c>
      <c r="H164" t="s">
        <v>75</v>
      </c>
      <c r="I164">
        <v>10</v>
      </c>
      <c r="J164">
        <v>1</v>
      </c>
      <c r="K164">
        <v>2.8796992481203003</v>
      </c>
      <c r="L164">
        <v>45584</v>
      </c>
      <c r="M164" t="s">
        <v>174</v>
      </c>
      <c r="N164">
        <v>0.95</v>
      </c>
      <c r="O164">
        <v>0.95</v>
      </c>
      <c r="P164">
        <v>2.5963488843813387</v>
      </c>
      <c r="Q164">
        <v>0.32989556135770237</v>
      </c>
      <c r="R164">
        <v>0.32989556135770237</v>
      </c>
      <c r="S164">
        <v>0.90160418178255375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0.57170862042485138</v>
      </c>
      <c r="AD164">
        <v>9.8395818217446251E-2</v>
      </c>
      <c r="AE164">
        <v>0</v>
      </c>
      <c r="AF164">
        <v>0</v>
      </c>
      <c r="AG164">
        <v>0</v>
      </c>
      <c r="AH164">
        <v>0.32989556135770237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3.0312623664424216</v>
      </c>
      <c r="AO164">
        <v>3.0312623664424216</v>
      </c>
      <c r="AP164">
        <v>2.7329988256645672</v>
      </c>
      <c r="BG164">
        <v>0</v>
      </c>
      <c r="BH164">
        <v>0</v>
      </c>
      <c r="BI164">
        <v>0</v>
      </c>
      <c r="BK164">
        <v>0.36589843750000001</v>
      </c>
      <c r="BL164">
        <v>0.36589843750000001</v>
      </c>
      <c r="BM164">
        <v>1.1091341635338345</v>
      </c>
      <c r="BN164">
        <v>0.10913416353383454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0.67010443864229763</v>
      </c>
      <c r="BX164">
        <v>0</v>
      </c>
      <c r="BY164">
        <v>0</v>
      </c>
      <c r="BZ164">
        <v>0</v>
      </c>
      <c r="CA164">
        <v>0</v>
      </c>
      <c r="CB164">
        <v>0.36589843750000001</v>
      </c>
      <c r="CC164">
        <v>0</v>
      </c>
      <c r="CD164">
        <v>0</v>
      </c>
      <c r="CE164">
        <v>0</v>
      </c>
      <c r="CF164">
        <v>0</v>
      </c>
      <c r="CG164">
        <v>0</v>
      </c>
    </row>
    <row r="165" spans="1:85" hidden="1" x14ac:dyDescent="0.25">
      <c r="A165" t="s">
        <v>128</v>
      </c>
      <c r="B165" t="s">
        <v>134</v>
      </c>
      <c r="C165" t="s">
        <v>109</v>
      </c>
      <c r="D165" s="12">
        <v>45584</v>
      </c>
      <c r="E165" t="s">
        <v>178</v>
      </c>
      <c r="F165" t="s">
        <v>178</v>
      </c>
      <c r="G165" t="s">
        <v>178</v>
      </c>
      <c r="K165">
        <v>9.6390977443609014</v>
      </c>
      <c r="N165">
        <v>5.6999999999999993</v>
      </c>
      <c r="O165">
        <v>5.6999999999999993</v>
      </c>
      <c r="P165">
        <v>6.4594658113140557</v>
      </c>
      <c r="T165">
        <v>1.4535875552669174E-2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0.17598627271662876</v>
      </c>
      <c r="AD165">
        <v>0.23267207361722456</v>
      </c>
      <c r="AE165">
        <v>0</v>
      </c>
      <c r="AF165">
        <v>0.11173201339818288</v>
      </c>
      <c r="AG165">
        <v>0</v>
      </c>
      <c r="AH165">
        <v>0.47960964026796377</v>
      </c>
      <c r="AI165">
        <v>0</v>
      </c>
      <c r="AJ165">
        <v>0</v>
      </c>
      <c r="AK165">
        <v>0</v>
      </c>
      <c r="AL165">
        <v>0</v>
      </c>
      <c r="AM165">
        <v>0</v>
      </c>
    </row>
    <row r="166" spans="1:85" hidden="1" x14ac:dyDescent="0.25">
      <c r="A166" t="s">
        <v>128</v>
      </c>
      <c r="B166" t="s">
        <v>134</v>
      </c>
      <c r="C166" t="s">
        <v>72</v>
      </c>
      <c r="D166" s="12">
        <v>45585</v>
      </c>
      <c r="E166" t="s">
        <v>178</v>
      </c>
      <c r="F166" t="s">
        <v>178</v>
      </c>
      <c r="G166" t="s">
        <v>178</v>
      </c>
      <c r="H166" t="s">
        <v>73</v>
      </c>
      <c r="I166">
        <v>10</v>
      </c>
      <c r="J166">
        <v>1</v>
      </c>
      <c r="K166">
        <v>5.7593984962406006</v>
      </c>
      <c r="L166">
        <v>45585</v>
      </c>
      <c r="M166" t="s">
        <v>175</v>
      </c>
      <c r="N166">
        <v>3.8</v>
      </c>
      <c r="O166">
        <v>3.8</v>
      </c>
      <c r="P166">
        <v>2.7192337461300311</v>
      </c>
      <c r="Q166">
        <v>0.65979112271540474</v>
      </c>
      <c r="R166">
        <v>0.65979112271540474</v>
      </c>
      <c r="S166">
        <v>0.47213849639072347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0.34020887728459526</v>
      </c>
      <c r="AE166">
        <v>0</v>
      </c>
      <c r="AF166">
        <v>0.18765262632468127</v>
      </c>
      <c r="AG166">
        <v>0</v>
      </c>
      <c r="AH166">
        <v>0.47213849639072347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1.5156311832212108</v>
      </c>
      <c r="AO166">
        <v>1.5156311832212108</v>
      </c>
      <c r="AP166">
        <v>0.71558782792895559</v>
      </c>
      <c r="BG166">
        <v>0</v>
      </c>
      <c r="BH166">
        <v>0</v>
      </c>
      <c r="BI166">
        <v>0</v>
      </c>
      <c r="BK166">
        <v>1.3974525012452856</v>
      </c>
      <c r="BL166">
        <v>1.3974525012452856</v>
      </c>
      <c r="BM166">
        <v>2.1180225879578325</v>
      </c>
      <c r="BN166">
        <v>0.72057008671254685</v>
      </c>
      <c r="BO166">
        <v>0</v>
      </c>
      <c r="BP166">
        <v>0</v>
      </c>
      <c r="BQ166">
        <v>0</v>
      </c>
      <c r="BR166">
        <v>0</v>
      </c>
      <c r="BS166">
        <v>0.10254749875471436</v>
      </c>
      <c r="BT166">
        <v>0.39745250124528564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</row>
    <row r="167" spans="1:85" hidden="1" x14ac:dyDescent="0.25">
      <c r="A167" t="s">
        <v>128</v>
      </c>
      <c r="B167" t="s">
        <v>134</v>
      </c>
      <c r="C167" t="s">
        <v>72</v>
      </c>
      <c r="D167" s="12">
        <v>45585</v>
      </c>
      <c r="E167" t="s">
        <v>178</v>
      </c>
      <c r="F167" t="s">
        <v>178</v>
      </c>
      <c r="G167" t="s">
        <v>178</v>
      </c>
      <c r="H167" t="s">
        <v>74</v>
      </c>
      <c r="I167">
        <v>10</v>
      </c>
      <c r="J167">
        <v>1</v>
      </c>
      <c r="K167">
        <v>1</v>
      </c>
      <c r="L167">
        <v>45585</v>
      </c>
      <c r="M167" t="s">
        <v>176</v>
      </c>
      <c r="N167">
        <v>0</v>
      </c>
      <c r="O167">
        <v>0</v>
      </c>
      <c r="P167">
        <v>0.24132730015082957</v>
      </c>
      <c r="Q167">
        <v>0</v>
      </c>
      <c r="R167">
        <v>0</v>
      </c>
      <c r="S167">
        <v>0.24132730015082957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0.24132730015082957</v>
      </c>
      <c r="AD167">
        <v>0.75867269984917041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K167">
        <v>0</v>
      </c>
      <c r="BL167">
        <v>0</v>
      </c>
      <c r="BM167">
        <v>4.1437499999999998</v>
      </c>
      <c r="BN167">
        <v>3.1437499999999998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</row>
    <row r="168" spans="1:85" hidden="1" x14ac:dyDescent="0.25">
      <c r="A168" t="s">
        <v>128</v>
      </c>
      <c r="B168" t="s">
        <v>134</v>
      </c>
      <c r="C168" t="s">
        <v>72</v>
      </c>
      <c r="D168" s="12">
        <v>45585</v>
      </c>
      <c r="E168" t="s">
        <v>178</v>
      </c>
      <c r="F168" t="s">
        <v>178</v>
      </c>
      <c r="G168" t="s">
        <v>178</v>
      </c>
      <c r="H168" t="s">
        <v>75</v>
      </c>
      <c r="I168">
        <v>10</v>
      </c>
      <c r="J168">
        <v>1</v>
      </c>
      <c r="K168">
        <v>2.8796992481203003</v>
      </c>
      <c r="L168">
        <v>45585</v>
      </c>
      <c r="M168" t="s">
        <v>177</v>
      </c>
      <c r="N168">
        <v>1.9</v>
      </c>
      <c r="O168">
        <v>1.9</v>
      </c>
      <c r="P168">
        <v>2.5309330628803242</v>
      </c>
      <c r="Q168">
        <v>0.65979112271540474</v>
      </c>
      <c r="R168">
        <v>0.65979112271540474</v>
      </c>
      <c r="S168">
        <v>0.87888798267123547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0.21909685995583073</v>
      </c>
      <c r="AD168">
        <v>0.12111201732876453</v>
      </c>
      <c r="AE168">
        <v>0</v>
      </c>
      <c r="AF168">
        <v>0</v>
      </c>
      <c r="AG168">
        <v>0</v>
      </c>
      <c r="AH168">
        <v>0.65979112271540474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1.5156311832212108</v>
      </c>
      <c r="AO168">
        <v>1.5156311832212108</v>
      </c>
      <c r="AP168">
        <v>1.3320700330949076</v>
      </c>
      <c r="BG168">
        <v>0</v>
      </c>
      <c r="BH168">
        <v>0</v>
      </c>
      <c r="BI168">
        <v>0</v>
      </c>
      <c r="BK168">
        <v>0.75071128030454826</v>
      </c>
      <c r="BL168">
        <v>0.75071128030454826</v>
      </c>
      <c r="BM168">
        <v>1.1378014260254925</v>
      </c>
      <c r="BN168">
        <v>0.1378014260254925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0.34020887728459526</v>
      </c>
      <c r="BX168">
        <v>0</v>
      </c>
      <c r="BY168">
        <v>0</v>
      </c>
      <c r="BZ168">
        <v>0</v>
      </c>
      <c r="CA168">
        <v>0</v>
      </c>
      <c r="CB168">
        <v>0.75071128030454826</v>
      </c>
      <c r="CC168">
        <v>0</v>
      </c>
      <c r="CD168">
        <v>0</v>
      </c>
      <c r="CE168">
        <v>0</v>
      </c>
      <c r="CF168">
        <v>0</v>
      </c>
      <c r="CG168">
        <v>0</v>
      </c>
    </row>
    <row r="169" spans="1:85" hidden="1" x14ac:dyDescent="0.25">
      <c r="A169" t="s">
        <v>128</v>
      </c>
      <c r="B169" t="s">
        <v>134</v>
      </c>
      <c r="C169" t="s">
        <v>109</v>
      </c>
      <c r="D169" s="12">
        <v>45585</v>
      </c>
      <c r="E169" t="s">
        <v>178</v>
      </c>
      <c r="F169" t="s">
        <v>178</v>
      </c>
      <c r="G169" t="s">
        <v>178</v>
      </c>
      <c r="K169">
        <v>9.6390977443609014</v>
      </c>
      <c r="N169">
        <v>5.6999999999999993</v>
      </c>
      <c r="O169">
        <v>5.6999999999999993</v>
      </c>
      <c r="P169">
        <v>5.4914941091611844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9.0491909737241416E-2</v>
      </c>
      <c r="AD169">
        <v>0.31816643659661187</v>
      </c>
      <c r="AE169">
        <v>0</v>
      </c>
      <c r="AF169">
        <v>0.1121231761035147</v>
      </c>
      <c r="AG169">
        <v>0</v>
      </c>
      <c r="AH169">
        <v>0.47921847756263197</v>
      </c>
      <c r="AI169">
        <v>0</v>
      </c>
      <c r="AJ169">
        <v>0</v>
      </c>
      <c r="AK169">
        <v>0</v>
      </c>
      <c r="AL169">
        <v>0</v>
      </c>
      <c r="AM169">
        <v>0</v>
      </c>
    </row>
    <row r="170" spans="1:85" hidden="1" x14ac:dyDescent="0.25">
      <c r="A170" t="s">
        <v>128</v>
      </c>
      <c r="B170" t="s">
        <v>134</v>
      </c>
      <c r="C170" t="s">
        <v>117</v>
      </c>
      <c r="D170" s="12">
        <v>45572</v>
      </c>
      <c r="K170">
        <v>47.203007518797001</v>
      </c>
      <c r="N170">
        <v>47.5</v>
      </c>
      <c r="O170">
        <v>47.5</v>
      </c>
      <c r="P170">
        <v>41.887177155075094</v>
      </c>
      <c r="T170">
        <v>7.5243962853355252E-3</v>
      </c>
      <c r="U170">
        <v>0</v>
      </c>
      <c r="V170">
        <v>3.8487386034375418E-2</v>
      </c>
      <c r="W170">
        <v>0</v>
      </c>
      <c r="X170">
        <v>0</v>
      </c>
      <c r="Y170">
        <v>0</v>
      </c>
      <c r="Z170">
        <v>1.8255951961696666E-2</v>
      </c>
      <c r="AA170">
        <v>0</v>
      </c>
      <c r="AB170">
        <v>6.5645123600735988E-2</v>
      </c>
      <c r="AC170">
        <v>2.774642684552155E-2</v>
      </c>
      <c r="AD170">
        <v>6.7165131278843201E-2</v>
      </c>
      <c r="AE170">
        <v>0</v>
      </c>
      <c r="AF170">
        <v>7.123156586513299E-2</v>
      </c>
      <c r="AG170">
        <v>0</v>
      </c>
      <c r="AH170">
        <v>0.81267178521725592</v>
      </c>
      <c r="AI170">
        <v>0</v>
      </c>
      <c r="AJ170">
        <v>0</v>
      </c>
      <c r="AK170">
        <v>0</v>
      </c>
      <c r="AL170">
        <v>2.1185090793246254E-2</v>
      </c>
      <c r="AM170">
        <v>0</v>
      </c>
    </row>
    <row r="171" spans="1:85" hidden="1" x14ac:dyDescent="0.25">
      <c r="A171" t="s">
        <v>128</v>
      </c>
      <c r="B171" t="s">
        <v>134</v>
      </c>
      <c r="C171" t="s">
        <v>117</v>
      </c>
      <c r="D171" s="12">
        <v>45573</v>
      </c>
      <c r="K171">
        <v>47.203007518796994</v>
      </c>
      <c r="N171">
        <v>53.199999999999996</v>
      </c>
      <c r="O171">
        <v>53.199999999999996</v>
      </c>
      <c r="P171">
        <v>39.907358910513956</v>
      </c>
      <c r="T171">
        <v>1.3499739569278472E-2</v>
      </c>
      <c r="U171">
        <v>0</v>
      </c>
      <c r="V171">
        <v>6.7246924255525697E-2</v>
      </c>
      <c r="W171">
        <v>0</v>
      </c>
      <c r="X171">
        <v>0</v>
      </c>
      <c r="Y171">
        <v>0</v>
      </c>
      <c r="Z171">
        <v>9.651417113516329E-3</v>
      </c>
      <c r="AA171">
        <v>0</v>
      </c>
      <c r="AB171">
        <v>0.16127464365803659</v>
      </c>
      <c r="AC171">
        <v>6.2918126791971553E-4</v>
      </c>
      <c r="AD171">
        <v>8.9311882765211834E-2</v>
      </c>
      <c r="AE171">
        <v>0</v>
      </c>
      <c r="AF171">
        <v>8.8398252079679981E-2</v>
      </c>
      <c r="AG171">
        <v>0</v>
      </c>
      <c r="AH171">
        <v>0.80047559309394234</v>
      </c>
      <c r="AI171">
        <v>0</v>
      </c>
      <c r="AJ171">
        <v>0</v>
      </c>
      <c r="AK171">
        <v>0</v>
      </c>
      <c r="AL171">
        <v>2.1185090793246257E-2</v>
      </c>
      <c r="AM171">
        <v>0</v>
      </c>
    </row>
    <row r="172" spans="1:85" hidden="1" x14ac:dyDescent="0.25">
      <c r="A172" t="s">
        <v>128</v>
      </c>
      <c r="B172" t="s">
        <v>134</v>
      </c>
      <c r="C172" t="s">
        <v>117</v>
      </c>
      <c r="D172" s="12">
        <v>45574</v>
      </c>
      <c r="K172">
        <v>47.203007518796994</v>
      </c>
      <c r="N172">
        <v>52.249999999999993</v>
      </c>
      <c r="O172">
        <v>52.249999999999993</v>
      </c>
      <c r="P172">
        <v>40.340722622543105</v>
      </c>
      <c r="T172">
        <v>4.0532862249220069E-3</v>
      </c>
      <c r="U172">
        <v>0</v>
      </c>
      <c r="V172">
        <v>5.8613222287959406E-2</v>
      </c>
      <c r="W172">
        <v>0</v>
      </c>
      <c r="X172">
        <v>0</v>
      </c>
      <c r="Y172">
        <v>0</v>
      </c>
      <c r="Z172">
        <v>9.651417113516329E-3</v>
      </c>
      <c r="AA172">
        <v>0</v>
      </c>
      <c r="AB172">
        <v>0.13335477230076481</v>
      </c>
      <c r="AC172">
        <v>0</v>
      </c>
      <c r="AD172">
        <v>7.351332696187747E-2</v>
      </c>
      <c r="AE172">
        <v>0</v>
      </c>
      <c r="AF172">
        <v>8.5569504952821965E-2</v>
      </c>
      <c r="AG172">
        <v>0</v>
      </c>
      <c r="AH172">
        <v>0.81973207729205422</v>
      </c>
      <c r="AI172">
        <v>0</v>
      </c>
      <c r="AJ172">
        <v>0</v>
      </c>
      <c r="AK172">
        <v>0</v>
      </c>
      <c r="AL172">
        <v>2.1185090793246257E-2</v>
      </c>
      <c r="AM172">
        <v>0</v>
      </c>
    </row>
    <row r="173" spans="1:85" hidden="1" x14ac:dyDescent="0.25">
      <c r="A173" t="s">
        <v>128</v>
      </c>
      <c r="B173" t="s">
        <v>134</v>
      </c>
      <c r="C173" t="s">
        <v>117</v>
      </c>
      <c r="D173" s="12">
        <v>45575</v>
      </c>
      <c r="K173">
        <v>47.203007518797001</v>
      </c>
      <c r="N173">
        <v>50.349999999999994</v>
      </c>
      <c r="O173">
        <v>50.349999999999994</v>
      </c>
      <c r="P173">
        <v>38.079942427328191</v>
      </c>
      <c r="T173">
        <v>6.9428447733640829E-3</v>
      </c>
      <c r="U173">
        <v>0</v>
      </c>
      <c r="V173">
        <v>2.7811784159347132E-2</v>
      </c>
      <c r="W173">
        <v>0</v>
      </c>
      <c r="X173">
        <v>0</v>
      </c>
      <c r="Y173">
        <v>0</v>
      </c>
      <c r="Z173">
        <v>1.8255951961696666E-2</v>
      </c>
      <c r="AA173">
        <v>0</v>
      </c>
      <c r="AB173">
        <v>0.14906075490582241</v>
      </c>
      <c r="AC173">
        <v>2.2115864806666819E-2</v>
      </c>
      <c r="AD173">
        <v>8.5158213987004155E-2</v>
      </c>
      <c r="AE173">
        <v>0</v>
      </c>
      <c r="AF173">
        <v>0.13331354502351866</v>
      </c>
      <c r="AG173">
        <v>0</v>
      </c>
      <c r="AH173">
        <v>0.73822728538956395</v>
      </c>
      <c r="AI173">
        <v>0</v>
      </c>
      <c r="AJ173">
        <v>0</v>
      </c>
      <c r="AK173">
        <v>0</v>
      </c>
      <c r="AL173">
        <v>2.1185090793246254E-2</v>
      </c>
      <c r="AM173">
        <v>0</v>
      </c>
    </row>
    <row r="174" spans="1:85" hidden="1" x14ac:dyDescent="0.25">
      <c r="A174" t="s">
        <v>128</v>
      </c>
      <c r="B174" t="s">
        <v>134</v>
      </c>
      <c r="C174" t="s">
        <v>117</v>
      </c>
      <c r="D174" s="12">
        <v>45576</v>
      </c>
      <c r="K174">
        <v>47.203007518797001</v>
      </c>
      <c r="N174">
        <v>50.35</v>
      </c>
      <c r="O174">
        <v>50.35</v>
      </c>
      <c r="P174">
        <v>34.610989300132026</v>
      </c>
      <c r="T174">
        <v>3.2294215829624232E-3</v>
      </c>
      <c r="U174">
        <v>0</v>
      </c>
      <c r="V174">
        <v>2.8220619244830786E-2</v>
      </c>
      <c r="W174">
        <v>0</v>
      </c>
      <c r="X174">
        <v>0</v>
      </c>
      <c r="Y174">
        <v>0</v>
      </c>
      <c r="Z174">
        <v>1.0022394469483276E-2</v>
      </c>
      <c r="AA174">
        <v>0</v>
      </c>
      <c r="AB174">
        <v>0.13306154187663838</v>
      </c>
      <c r="AC174">
        <v>1.8896207734447685E-2</v>
      </c>
      <c r="AD174">
        <v>6.455393562330955E-2</v>
      </c>
      <c r="AE174">
        <v>0</v>
      </c>
      <c r="AF174">
        <v>0.21546092966176433</v>
      </c>
      <c r="AG174">
        <v>0</v>
      </c>
      <c r="AH174">
        <v>0.67990383618723194</v>
      </c>
      <c r="AI174">
        <v>0</v>
      </c>
      <c r="AJ174">
        <v>0</v>
      </c>
      <c r="AK174">
        <v>0</v>
      </c>
      <c r="AL174">
        <v>2.1185090793246254E-2</v>
      </c>
      <c r="AM174">
        <v>0</v>
      </c>
    </row>
    <row r="175" spans="1:85" hidden="1" x14ac:dyDescent="0.25">
      <c r="A175" t="s">
        <v>128</v>
      </c>
      <c r="B175" t="s">
        <v>134</v>
      </c>
      <c r="C175" t="s">
        <v>117</v>
      </c>
      <c r="D175" s="12">
        <v>45577</v>
      </c>
      <c r="K175">
        <v>47.203007518797001</v>
      </c>
      <c r="N175">
        <v>57.949999999999996</v>
      </c>
      <c r="O175">
        <v>57.949999999999996</v>
      </c>
      <c r="P175">
        <v>38.125638942631369</v>
      </c>
      <c r="T175">
        <v>2.3983200315503377E-3</v>
      </c>
      <c r="U175">
        <v>0</v>
      </c>
      <c r="V175">
        <v>0.15413082722735466</v>
      </c>
      <c r="W175">
        <v>0</v>
      </c>
      <c r="X175">
        <v>0</v>
      </c>
      <c r="Y175">
        <v>0</v>
      </c>
      <c r="Z175">
        <v>9.0698656015448364E-3</v>
      </c>
      <c r="AA175">
        <v>0</v>
      </c>
      <c r="AB175">
        <v>0.17343783324097398</v>
      </c>
      <c r="AC175">
        <v>2.5303220342305279E-2</v>
      </c>
      <c r="AD175">
        <v>8.3659294258947747E-2</v>
      </c>
      <c r="AE175">
        <v>0</v>
      </c>
      <c r="AF175">
        <v>0.12011376882397669</v>
      </c>
      <c r="AG175">
        <v>0</v>
      </c>
      <c r="AH175">
        <v>0.77092371657477032</v>
      </c>
      <c r="AI175">
        <v>0</v>
      </c>
      <c r="AJ175">
        <v>0</v>
      </c>
      <c r="AK175">
        <v>0</v>
      </c>
      <c r="AL175">
        <v>0</v>
      </c>
      <c r="AM175">
        <v>0</v>
      </c>
    </row>
    <row r="176" spans="1:85" hidden="1" x14ac:dyDescent="0.25">
      <c r="A176" t="s">
        <v>128</v>
      </c>
      <c r="B176" t="s">
        <v>134</v>
      </c>
      <c r="C176" t="s">
        <v>117</v>
      </c>
      <c r="D176" s="12">
        <v>45578</v>
      </c>
      <c r="K176">
        <v>47.203007518797001</v>
      </c>
      <c r="N176">
        <v>48.45</v>
      </c>
      <c r="O176">
        <v>48.45</v>
      </c>
      <c r="P176">
        <v>35.725955268396817</v>
      </c>
      <c r="T176">
        <v>2.9683008057537234E-3</v>
      </c>
      <c r="U176">
        <v>0</v>
      </c>
      <c r="V176">
        <v>1.8900468757110975E-2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0.10284477919871345</v>
      </c>
      <c r="AC176">
        <v>3.4878050592978327E-2</v>
      </c>
      <c r="AD176">
        <v>3.926445763681885E-2</v>
      </c>
      <c r="AE176">
        <v>0</v>
      </c>
      <c r="AF176">
        <v>0.20684623713249384</v>
      </c>
      <c r="AG176">
        <v>0</v>
      </c>
      <c r="AH176">
        <v>0.69782616384446261</v>
      </c>
      <c r="AI176">
        <v>0</v>
      </c>
      <c r="AJ176">
        <v>0</v>
      </c>
      <c r="AK176">
        <v>0</v>
      </c>
      <c r="AL176">
        <v>2.1185090793246254E-2</v>
      </c>
      <c r="AM176">
        <v>0</v>
      </c>
    </row>
    <row r="177" spans="1:85" hidden="1" x14ac:dyDescent="0.25">
      <c r="A177" t="s">
        <v>128</v>
      </c>
      <c r="B177" t="s">
        <v>134</v>
      </c>
      <c r="C177" t="s">
        <v>117</v>
      </c>
      <c r="D177" s="12">
        <v>45579</v>
      </c>
      <c r="K177">
        <v>47.203007518797001</v>
      </c>
      <c r="N177">
        <v>53.2</v>
      </c>
      <c r="O177">
        <v>53.2</v>
      </c>
      <c r="P177">
        <v>36.262954450623916</v>
      </c>
      <c r="T177">
        <v>4.3865743910719212E-3</v>
      </c>
      <c r="U177">
        <v>0</v>
      </c>
      <c r="V177">
        <v>4.1928351461642241E-2</v>
      </c>
      <c r="W177">
        <v>0</v>
      </c>
      <c r="X177">
        <v>0</v>
      </c>
      <c r="Y177">
        <v>0</v>
      </c>
      <c r="Z177">
        <v>7.0700405042551963E-3</v>
      </c>
      <c r="AA177">
        <v>0</v>
      </c>
      <c r="AB177">
        <v>0.15262101973634307</v>
      </c>
      <c r="AC177">
        <v>1.832030501998776E-3</v>
      </c>
      <c r="AD177">
        <v>5.1555460206294722E-2</v>
      </c>
      <c r="AE177">
        <v>0</v>
      </c>
      <c r="AF177">
        <v>0.19166717222121124</v>
      </c>
      <c r="AG177">
        <v>0</v>
      </c>
      <c r="AH177">
        <v>0.73376024627724878</v>
      </c>
      <c r="AI177">
        <v>0</v>
      </c>
      <c r="AJ177">
        <v>0</v>
      </c>
      <c r="AK177">
        <v>0</v>
      </c>
      <c r="AL177">
        <v>2.1185090793246254E-2</v>
      </c>
      <c r="AM177">
        <v>0</v>
      </c>
    </row>
    <row r="178" spans="1:85" hidden="1" x14ac:dyDescent="0.25">
      <c r="A178" t="s">
        <v>128</v>
      </c>
      <c r="B178" t="s">
        <v>134</v>
      </c>
      <c r="C178" t="s">
        <v>117</v>
      </c>
      <c r="D178" s="12">
        <v>45580</v>
      </c>
      <c r="K178">
        <v>47.203007518797001</v>
      </c>
      <c r="N178">
        <v>51.3</v>
      </c>
      <c r="O178">
        <v>51.3</v>
      </c>
      <c r="P178">
        <v>37.381312058284408</v>
      </c>
      <c r="T178">
        <v>6.1152406387740086E-3</v>
      </c>
      <c r="U178">
        <v>0</v>
      </c>
      <c r="V178">
        <v>2.8220619244830786E-2</v>
      </c>
      <c r="W178">
        <v>0</v>
      </c>
      <c r="X178">
        <v>0</v>
      </c>
      <c r="Y178">
        <v>0</v>
      </c>
      <c r="Z178">
        <v>9.6514171135163272E-3</v>
      </c>
      <c r="AA178">
        <v>0</v>
      </c>
      <c r="AB178">
        <v>0.16004927616156356</v>
      </c>
      <c r="AC178">
        <v>5.7417220325040302E-3</v>
      </c>
      <c r="AD178">
        <v>0.10538443279387376</v>
      </c>
      <c r="AE178">
        <v>0</v>
      </c>
      <c r="AF178">
        <v>0.1184557350329903</v>
      </c>
      <c r="AG178">
        <v>0</v>
      </c>
      <c r="AH178">
        <v>0.77041811014063188</v>
      </c>
      <c r="AI178">
        <v>0</v>
      </c>
      <c r="AJ178">
        <v>0</v>
      </c>
      <c r="AK178">
        <v>0</v>
      </c>
      <c r="AL178">
        <v>0</v>
      </c>
      <c r="AM178">
        <v>0</v>
      </c>
    </row>
    <row r="179" spans="1:85" hidden="1" x14ac:dyDescent="0.25">
      <c r="A179" t="s">
        <v>128</v>
      </c>
      <c r="B179" t="s">
        <v>134</v>
      </c>
      <c r="C179" t="s">
        <v>117</v>
      </c>
      <c r="D179" s="12">
        <v>45581</v>
      </c>
      <c r="K179">
        <v>47.203007518796994</v>
      </c>
      <c r="N179">
        <v>51.3</v>
      </c>
      <c r="O179">
        <v>51.3</v>
      </c>
      <c r="P179">
        <v>34.334908093934459</v>
      </c>
      <c r="T179">
        <v>4.3229401921043385E-3</v>
      </c>
      <c r="U179">
        <v>0</v>
      </c>
      <c r="V179">
        <v>2.7811784159347135E-2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0.17380762754289347</v>
      </c>
      <c r="AC179">
        <v>6.8835508325417131E-3</v>
      </c>
      <c r="AD179">
        <v>0.10794070317616593</v>
      </c>
      <c r="AE179">
        <v>0</v>
      </c>
      <c r="AF179">
        <v>0.1689940916681712</v>
      </c>
      <c r="AG179">
        <v>0</v>
      </c>
      <c r="AH179">
        <v>0.7161816543231212</v>
      </c>
      <c r="AI179">
        <v>0</v>
      </c>
      <c r="AJ179">
        <v>0</v>
      </c>
      <c r="AK179">
        <v>0</v>
      </c>
      <c r="AL179">
        <v>0</v>
      </c>
      <c r="AM179">
        <v>0</v>
      </c>
    </row>
    <row r="180" spans="1:85" hidden="1" x14ac:dyDescent="0.25">
      <c r="A180" t="s">
        <v>128</v>
      </c>
      <c r="B180" t="s">
        <v>134</v>
      </c>
      <c r="C180" t="s">
        <v>117</v>
      </c>
      <c r="D180" s="12">
        <v>45582</v>
      </c>
      <c r="K180">
        <v>47.203007518797001</v>
      </c>
      <c r="N180">
        <v>49.400000000000006</v>
      </c>
      <c r="O180">
        <v>49.400000000000006</v>
      </c>
      <c r="P180">
        <v>41.854593476675795</v>
      </c>
      <c r="T180">
        <v>5.5091098752497571E-3</v>
      </c>
      <c r="U180">
        <v>0</v>
      </c>
      <c r="V180">
        <v>4.4496654985664214E-2</v>
      </c>
      <c r="W180">
        <v>0</v>
      </c>
      <c r="X180">
        <v>0</v>
      </c>
      <c r="Y180">
        <v>0</v>
      </c>
      <c r="Z180">
        <v>2.013517881917655E-2</v>
      </c>
      <c r="AA180">
        <v>0</v>
      </c>
      <c r="AB180">
        <v>0.13698757789739968</v>
      </c>
      <c r="AC180">
        <v>6.0090752946093062E-2</v>
      </c>
      <c r="AD180">
        <v>7.3800082776536186E-2</v>
      </c>
      <c r="AE180">
        <v>0</v>
      </c>
      <c r="AF180">
        <v>6.5150843000100919E-2</v>
      </c>
      <c r="AG180">
        <v>0</v>
      </c>
      <c r="AH180">
        <v>0.77977323048402369</v>
      </c>
      <c r="AI180">
        <v>0</v>
      </c>
      <c r="AJ180">
        <v>0</v>
      </c>
      <c r="AK180">
        <v>0</v>
      </c>
      <c r="AL180">
        <v>2.1185090793246254E-2</v>
      </c>
      <c r="AM180">
        <v>0</v>
      </c>
    </row>
    <row r="181" spans="1:85" hidden="1" x14ac:dyDescent="0.25">
      <c r="A181" t="s">
        <v>128</v>
      </c>
      <c r="B181" t="s">
        <v>134</v>
      </c>
      <c r="C181" t="s">
        <v>117</v>
      </c>
      <c r="D181" s="12">
        <v>45583</v>
      </c>
      <c r="K181">
        <v>47.203007518797001</v>
      </c>
      <c r="N181">
        <v>48.45</v>
      </c>
      <c r="O181">
        <v>48.45</v>
      </c>
      <c r="P181">
        <v>40.140349466351083</v>
      </c>
      <c r="T181">
        <v>6.0531113222116453E-3</v>
      </c>
      <c r="U181">
        <v>0</v>
      </c>
      <c r="V181">
        <v>4.6538175639800165E-3</v>
      </c>
      <c r="W181">
        <v>0</v>
      </c>
      <c r="X181">
        <v>0</v>
      </c>
      <c r="Y181">
        <v>0</v>
      </c>
      <c r="Z181">
        <v>7.0700405042551963E-3</v>
      </c>
      <c r="AA181">
        <v>0</v>
      </c>
      <c r="AB181">
        <v>0.12581994569092361</v>
      </c>
      <c r="AC181">
        <v>1.441376805580467E-2</v>
      </c>
      <c r="AD181">
        <v>7.5527295977326894E-2</v>
      </c>
      <c r="AE181">
        <v>0</v>
      </c>
      <c r="AF181">
        <v>8.7218907931858422E-2</v>
      </c>
      <c r="AG181">
        <v>0</v>
      </c>
      <c r="AH181">
        <v>0.80165493724176362</v>
      </c>
      <c r="AI181">
        <v>0</v>
      </c>
      <c r="AJ181">
        <v>0</v>
      </c>
      <c r="AK181">
        <v>0</v>
      </c>
      <c r="AL181">
        <v>2.1185090793246254E-2</v>
      </c>
      <c r="AM181">
        <v>0</v>
      </c>
    </row>
    <row r="182" spans="1:85" hidden="1" x14ac:dyDescent="0.25">
      <c r="A182" t="s">
        <v>128</v>
      </c>
      <c r="B182" t="s">
        <v>134</v>
      </c>
      <c r="C182" t="s">
        <v>117</v>
      </c>
      <c r="D182" s="12">
        <v>45584</v>
      </c>
      <c r="K182">
        <v>47.203007518797001</v>
      </c>
      <c r="N182">
        <v>54.150000000000006</v>
      </c>
      <c r="O182">
        <v>54.150000000000006</v>
      </c>
      <c r="P182">
        <v>40.135998004788711</v>
      </c>
      <c r="T182">
        <v>2.9683008057537234E-3</v>
      </c>
      <c r="U182">
        <v>0</v>
      </c>
      <c r="V182">
        <v>8.13634915578208E-2</v>
      </c>
      <c r="W182">
        <v>0</v>
      </c>
      <c r="X182">
        <v>0</v>
      </c>
      <c r="Y182">
        <v>0</v>
      </c>
      <c r="Z182">
        <v>9.6514171135163272E-3</v>
      </c>
      <c r="AA182">
        <v>0</v>
      </c>
      <c r="AB182">
        <v>0.16728391260932535</v>
      </c>
      <c r="AC182">
        <v>3.5937305132640651E-2</v>
      </c>
      <c r="AD182">
        <v>7.5188849693737167E-2</v>
      </c>
      <c r="AE182">
        <v>0</v>
      </c>
      <c r="AF182">
        <v>8.7146106416533586E-2</v>
      </c>
      <c r="AG182">
        <v>0</v>
      </c>
      <c r="AH182">
        <v>0.80172773875708858</v>
      </c>
      <c r="AI182">
        <v>0</v>
      </c>
      <c r="AJ182">
        <v>0</v>
      </c>
      <c r="AK182">
        <v>0</v>
      </c>
      <c r="AL182">
        <v>0</v>
      </c>
      <c r="AM182">
        <v>0</v>
      </c>
    </row>
    <row r="183" spans="1:85" hidden="1" x14ac:dyDescent="0.25">
      <c r="A183" t="s">
        <v>128</v>
      </c>
      <c r="B183" t="s">
        <v>134</v>
      </c>
      <c r="C183" t="s">
        <v>117</v>
      </c>
      <c r="D183" s="12">
        <v>45585</v>
      </c>
      <c r="K183">
        <v>47.203007518796994</v>
      </c>
      <c r="N183">
        <v>49.399999999999991</v>
      </c>
      <c r="O183">
        <v>49.399999999999991</v>
      </c>
      <c r="P183">
        <v>39.941856325900709</v>
      </c>
      <c r="T183">
        <v>0</v>
      </c>
      <c r="U183">
        <v>0</v>
      </c>
      <c r="V183">
        <v>8.0947829912469231E-3</v>
      </c>
      <c r="W183">
        <v>0</v>
      </c>
      <c r="X183">
        <v>0</v>
      </c>
      <c r="Y183">
        <v>0</v>
      </c>
      <c r="Z183">
        <v>5.3635873750583355E-3</v>
      </c>
      <c r="AA183">
        <v>0</v>
      </c>
      <c r="AB183">
        <v>0.13772034897106328</v>
      </c>
      <c r="AC183">
        <v>1.847891498616494E-2</v>
      </c>
      <c r="AD183">
        <v>8.6156319164838555E-2</v>
      </c>
      <c r="AE183">
        <v>0</v>
      </c>
      <c r="AF183">
        <v>7.3035415495215861E-2</v>
      </c>
      <c r="AG183">
        <v>0</v>
      </c>
      <c r="AH183">
        <v>0.82232935035378052</v>
      </c>
      <c r="AI183">
        <v>0</v>
      </c>
      <c r="AJ183">
        <v>0</v>
      </c>
      <c r="AK183">
        <v>0</v>
      </c>
      <c r="AL183">
        <v>0</v>
      </c>
      <c r="AM183">
        <v>0</v>
      </c>
    </row>
    <row r="184" spans="1:85" x14ac:dyDescent="0.25">
      <c r="A184" t="s">
        <v>128</v>
      </c>
      <c r="B184" t="s">
        <v>134</v>
      </c>
      <c r="C184" t="s">
        <v>116</v>
      </c>
      <c r="D184" s="12"/>
      <c r="K184">
        <v>660.84210526315849</v>
      </c>
      <c r="N184">
        <v>717.25000000000011</v>
      </c>
      <c r="O184">
        <v>717.25000000000011</v>
      </c>
      <c r="P184">
        <v>538.72975650317949</v>
      </c>
      <c r="T184">
        <v>4.9979704641665663E-3</v>
      </c>
      <c r="U184">
        <v>0</v>
      </c>
      <c r="V184">
        <v>4.4998623852216854E-2</v>
      </c>
      <c r="W184">
        <v>0</v>
      </c>
      <c r="X184">
        <v>0</v>
      </c>
      <c r="Y184">
        <v>0</v>
      </c>
      <c r="Z184">
        <v>9.5606199750879976E-3</v>
      </c>
      <c r="AA184">
        <v>0</v>
      </c>
      <c r="AB184">
        <v>0.14092636838508546</v>
      </c>
      <c r="AC184">
        <v>1.9496214005541926E-2</v>
      </c>
      <c r="AD184">
        <v>7.701281330719896E-2</v>
      </c>
      <c r="AE184">
        <v>0</v>
      </c>
      <c r="AF184">
        <v>0.12232871966467636</v>
      </c>
      <c r="AG184">
        <v>0</v>
      </c>
      <c r="AH184">
        <v>0.76754326608406653</v>
      </c>
      <c r="AI184">
        <v>0</v>
      </c>
      <c r="AJ184">
        <v>0</v>
      </c>
      <c r="AK184">
        <v>0</v>
      </c>
      <c r="AL184">
        <v>1.3618986938515439E-2</v>
      </c>
      <c r="AM184">
        <v>0</v>
      </c>
    </row>
    <row r="185" spans="1:85" hidden="1" x14ac:dyDescent="0.25">
      <c r="A185" t="s">
        <v>128</v>
      </c>
      <c r="B185" t="s">
        <v>181</v>
      </c>
      <c r="C185" t="s">
        <v>72</v>
      </c>
      <c r="D185" s="12">
        <v>45572</v>
      </c>
      <c r="E185" t="s">
        <v>135</v>
      </c>
      <c r="F185" t="s">
        <v>135</v>
      </c>
      <c r="G185" t="s">
        <v>135</v>
      </c>
      <c r="H185" t="s">
        <v>73</v>
      </c>
      <c r="I185">
        <v>10</v>
      </c>
      <c r="K185">
        <v>14.129216521561023</v>
      </c>
      <c r="L185">
        <v>45572</v>
      </c>
      <c r="M185" t="s">
        <v>136</v>
      </c>
      <c r="N185">
        <v>22.799999999999997</v>
      </c>
      <c r="O185">
        <v>22.799999999999997</v>
      </c>
      <c r="P185">
        <v>12.620833333333332</v>
      </c>
      <c r="Q185">
        <v>1.6136775853924707</v>
      </c>
      <c r="R185">
        <v>1.6136775853924707</v>
      </c>
      <c r="S185">
        <v>0.89324367802518168</v>
      </c>
      <c r="T185">
        <v>0</v>
      </c>
      <c r="U185">
        <v>0</v>
      </c>
      <c r="V185">
        <v>0.36367758539247075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0.25</v>
      </c>
      <c r="AC185">
        <v>0</v>
      </c>
      <c r="AD185">
        <v>0</v>
      </c>
      <c r="AE185">
        <v>0</v>
      </c>
      <c r="AF185">
        <v>0.10675632197481832</v>
      </c>
      <c r="AG185">
        <v>0</v>
      </c>
      <c r="AH185">
        <v>0.89324367802518168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0.61970247901583442</v>
      </c>
      <c r="AO185">
        <v>0.61970247901583442</v>
      </c>
      <c r="AP185">
        <v>0.55354532163742687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0.38029752098416558</v>
      </c>
      <c r="BB185">
        <v>0</v>
      </c>
      <c r="BC185">
        <v>6.615715737840755E-2</v>
      </c>
      <c r="BD185">
        <v>0</v>
      </c>
      <c r="BE185">
        <v>0.55354532163742687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1.8065368108286564</v>
      </c>
      <c r="BL185">
        <v>1.8065368108286564</v>
      </c>
      <c r="BM185">
        <v>1.1195153401038778</v>
      </c>
      <c r="CD185">
        <v>0</v>
      </c>
      <c r="CE185">
        <v>0</v>
      </c>
      <c r="CF185">
        <v>0</v>
      </c>
    </row>
    <row r="186" spans="1:85" hidden="1" x14ac:dyDescent="0.25">
      <c r="A186" t="s">
        <v>128</v>
      </c>
      <c r="B186" t="s">
        <v>181</v>
      </c>
      <c r="C186" t="s">
        <v>72</v>
      </c>
      <c r="D186" s="12">
        <v>45572</v>
      </c>
      <c r="E186" t="s">
        <v>135</v>
      </c>
      <c r="F186" t="s">
        <v>135</v>
      </c>
      <c r="G186" t="s">
        <v>135</v>
      </c>
      <c r="H186" t="s">
        <v>74</v>
      </c>
      <c r="I186">
        <v>10</v>
      </c>
      <c r="K186">
        <v>3.5111676249447159</v>
      </c>
      <c r="L186">
        <v>45572</v>
      </c>
      <c r="M186" t="s">
        <v>137</v>
      </c>
      <c r="N186">
        <v>9.5</v>
      </c>
      <c r="O186">
        <v>9.5</v>
      </c>
      <c r="P186">
        <v>6.7878787878787872</v>
      </c>
      <c r="Q186">
        <v>2.7056526531254912</v>
      </c>
      <c r="R186">
        <v>2.7056526531254912</v>
      </c>
      <c r="S186">
        <v>1.9332255001598404</v>
      </c>
      <c r="T186">
        <v>0</v>
      </c>
      <c r="U186">
        <v>0</v>
      </c>
      <c r="V186">
        <v>0.77242715296565079</v>
      </c>
      <c r="W186">
        <v>0</v>
      </c>
      <c r="X186">
        <v>0.6832255001598404</v>
      </c>
      <c r="Y186">
        <v>0</v>
      </c>
      <c r="Z186">
        <v>0.25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1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0.36959659209944379</v>
      </c>
      <c r="AO186">
        <v>0.36959659209944379</v>
      </c>
      <c r="AP186">
        <v>0.71451355661881966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0.28548644338118034</v>
      </c>
      <c r="BB186">
        <v>0</v>
      </c>
      <c r="BC186">
        <v>0</v>
      </c>
      <c r="BD186">
        <v>0</v>
      </c>
      <c r="BE186">
        <v>0.36959659209944379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1.3995535714285716</v>
      </c>
      <c r="BL186">
        <v>1.3995535714285716</v>
      </c>
      <c r="BM186">
        <v>0.5172702304606055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0.39955357142857162</v>
      </c>
      <c r="BW186">
        <v>0</v>
      </c>
      <c r="BX186">
        <v>0</v>
      </c>
      <c r="BY186">
        <v>0</v>
      </c>
      <c r="BZ186">
        <v>0.4827297695393945</v>
      </c>
      <c r="CA186">
        <v>0</v>
      </c>
      <c r="CB186">
        <v>0.5172702304606055</v>
      </c>
      <c r="CC186">
        <v>0</v>
      </c>
      <c r="CD186">
        <v>0</v>
      </c>
      <c r="CE186">
        <v>0</v>
      </c>
      <c r="CF186">
        <v>0</v>
      </c>
      <c r="CG186">
        <v>0</v>
      </c>
    </row>
    <row r="187" spans="1:85" hidden="1" x14ac:dyDescent="0.25">
      <c r="A187" t="s">
        <v>128</v>
      </c>
      <c r="B187" t="s">
        <v>181</v>
      </c>
      <c r="C187" t="s">
        <v>72</v>
      </c>
      <c r="D187" s="12">
        <v>45572</v>
      </c>
      <c r="E187" t="s">
        <v>135</v>
      </c>
      <c r="F187" t="s">
        <v>135</v>
      </c>
      <c r="G187" t="s">
        <v>135</v>
      </c>
      <c r="H187" t="s">
        <v>75</v>
      </c>
      <c r="I187">
        <v>10</v>
      </c>
      <c r="K187">
        <v>12.417771069086861</v>
      </c>
      <c r="L187">
        <v>45572</v>
      </c>
      <c r="M187" t="s">
        <v>138</v>
      </c>
      <c r="N187">
        <v>10.45</v>
      </c>
      <c r="O187">
        <v>10.45</v>
      </c>
      <c r="P187">
        <v>10.50868983957219</v>
      </c>
      <c r="Q187">
        <v>0.84153588770971266</v>
      </c>
      <c r="R187">
        <v>0.84153588770971266</v>
      </c>
      <c r="S187">
        <v>0.84626216581917912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4.7262781094664641E-3</v>
      </c>
      <c r="AD187">
        <v>0.15373783418082088</v>
      </c>
      <c r="AE187">
        <v>0</v>
      </c>
      <c r="AF187">
        <v>0</v>
      </c>
      <c r="AG187">
        <v>0</v>
      </c>
      <c r="AH187">
        <v>0.84153588770971266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1.1883034515872595</v>
      </c>
      <c r="AO187">
        <v>1.1883034515872595</v>
      </c>
      <c r="AP187">
        <v>1.0056162525906402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5.6162525906402472E-3</v>
      </c>
      <c r="AX187">
        <v>0</v>
      </c>
      <c r="AY187">
        <v>0.18268719899661923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1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0.99441511354239565</v>
      </c>
      <c r="BL187">
        <v>0.99441511354239565</v>
      </c>
      <c r="BM187">
        <v>1.1816669117329655</v>
      </c>
      <c r="BN187">
        <v>0.18166691173296545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0.15846411229028734</v>
      </c>
      <c r="BX187">
        <v>0</v>
      </c>
      <c r="BY187">
        <v>0</v>
      </c>
      <c r="BZ187">
        <v>0</v>
      </c>
      <c r="CA187">
        <v>0</v>
      </c>
      <c r="CB187">
        <v>0.99441511354239565</v>
      </c>
      <c r="CC187">
        <v>0</v>
      </c>
      <c r="CD187">
        <v>0</v>
      </c>
      <c r="CE187">
        <v>0</v>
      </c>
      <c r="CF187">
        <v>0</v>
      </c>
      <c r="CG187">
        <v>0</v>
      </c>
    </row>
    <row r="188" spans="1:85" hidden="1" x14ac:dyDescent="0.25">
      <c r="A188" t="s">
        <v>128</v>
      </c>
      <c r="B188" t="s">
        <v>181</v>
      </c>
      <c r="C188" t="s">
        <v>109</v>
      </c>
      <c r="D188" s="12">
        <v>45572</v>
      </c>
      <c r="E188" t="s">
        <v>135</v>
      </c>
      <c r="F188" t="s">
        <v>135</v>
      </c>
      <c r="G188" t="s">
        <v>135</v>
      </c>
      <c r="K188">
        <v>30.058155215592599</v>
      </c>
      <c r="N188">
        <v>42.75</v>
      </c>
      <c r="O188">
        <v>42.75</v>
      </c>
      <c r="P188">
        <v>29.917401960784311</v>
      </c>
      <c r="T188">
        <v>0</v>
      </c>
      <c r="U188">
        <v>0</v>
      </c>
      <c r="V188">
        <v>0.2611803852851704</v>
      </c>
      <c r="W188">
        <v>0</v>
      </c>
      <c r="X188">
        <v>7.9809264390698825E-2</v>
      </c>
      <c r="Y188">
        <v>0</v>
      </c>
      <c r="Z188">
        <v>2.9203119750370658E-2</v>
      </c>
      <c r="AA188">
        <v>0</v>
      </c>
      <c r="AB188">
        <v>0.11751566604985396</v>
      </c>
      <c r="AC188">
        <v>1.9525429671660615E-3</v>
      </c>
      <c r="AD188">
        <v>6.3512920730555644E-2</v>
      </c>
      <c r="AE188">
        <v>0</v>
      </c>
      <c r="AF188">
        <v>5.0182161127613742E-2</v>
      </c>
      <c r="AG188">
        <v>0</v>
      </c>
      <c r="AH188">
        <v>0.88435237517466447</v>
      </c>
      <c r="AI188">
        <v>0</v>
      </c>
      <c r="AJ188">
        <v>0</v>
      </c>
      <c r="AK188">
        <v>0</v>
      </c>
      <c r="AL188">
        <v>0</v>
      </c>
      <c r="AM188">
        <v>0</v>
      </c>
    </row>
    <row r="189" spans="1:85" hidden="1" x14ac:dyDescent="0.25">
      <c r="A189" t="s">
        <v>128</v>
      </c>
      <c r="B189" t="s">
        <v>181</v>
      </c>
      <c r="C189" t="s">
        <v>72</v>
      </c>
      <c r="D189" s="12">
        <v>45573</v>
      </c>
      <c r="E189" t="s">
        <v>135</v>
      </c>
      <c r="F189" t="s">
        <v>135</v>
      </c>
      <c r="G189" t="s">
        <v>135</v>
      </c>
      <c r="H189" t="s">
        <v>73</v>
      </c>
      <c r="I189">
        <v>10</v>
      </c>
      <c r="K189">
        <v>14.129216521561023</v>
      </c>
      <c r="L189">
        <v>45573</v>
      </c>
      <c r="M189" t="s">
        <v>139</v>
      </c>
      <c r="N189">
        <v>23.75</v>
      </c>
      <c r="O189">
        <v>23.75</v>
      </c>
      <c r="P189">
        <v>12.040441176470583</v>
      </c>
      <c r="Q189">
        <v>1.6809141514504906</v>
      </c>
      <c r="R189">
        <v>1.6809141514504906</v>
      </c>
      <c r="S189">
        <v>0.85216623003101466</v>
      </c>
      <c r="T189">
        <v>0</v>
      </c>
      <c r="U189">
        <v>0</v>
      </c>
      <c r="V189">
        <v>0.43091415145049061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0.25</v>
      </c>
      <c r="AC189">
        <v>0</v>
      </c>
      <c r="AD189">
        <v>0</v>
      </c>
      <c r="AE189">
        <v>0</v>
      </c>
      <c r="AF189">
        <v>0.14783376996898534</v>
      </c>
      <c r="AG189">
        <v>0</v>
      </c>
      <c r="AH189">
        <v>0.85216623003101466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0.59491437985520101</v>
      </c>
      <c r="AO189">
        <v>0.59491437985520101</v>
      </c>
      <c r="AP189">
        <v>0.50696594427244557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0.40508562014479899</v>
      </c>
      <c r="BB189">
        <v>0</v>
      </c>
      <c r="BC189">
        <v>8.7948435582755446E-2</v>
      </c>
      <c r="BD189">
        <v>0</v>
      </c>
      <c r="BE189">
        <v>0.50696594427244557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1.9725190839694664</v>
      </c>
      <c r="BL189">
        <v>1.9725190839694664</v>
      </c>
      <c r="BM189">
        <v>1.1734799675922443</v>
      </c>
      <c r="CD189">
        <v>0</v>
      </c>
      <c r="CE189">
        <v>0</v>
      </c>
      <c r="CF189">
        <v>0</v>
      </c>
    </row>
    <row r="190" spans="1:85" hidden="1" x14ac:dyDescent="0.25">
      <c r="A190" t="s">
        <v>128</v>
      </c>
      <c r="B190" t="s">
        <v>181</v>
      </c>
      <c r="C190" t="s">
        <v>72</v>
      </c>
      <c r="D190" s="12">
        <v>45573</v>
      </c>
      <c r="E190" t="s">
        <v>135</v>
      </c>
      <c r="F190" t="s">
        <v>135</v>
      </c>
      <c r="G190" t="s">
        <v>135</v>
      </c>
      <c r="H190" t="s">
        <v>74</v>
      </c>
      <c r="I190">
        <v>10</v>
      </c>
      <c r="K190">
        <v>3.5111676249447159</v>
      </c>
      <c r="L190">
        <v>45573</v>
      </c>
      <c r="M190" t="s">
        <v>140</v>
      </c>
      <c r="N190">
        <v>7.6</v>
      </c>
      <c r="O190">
        <v>7.6</v>
      </c>
      <c r="P190">
        <v>6.8163992869875214</v>
      </c>
      <c r="Q190">
        <v>2.1645221225003928</v>
      </c>
      <c r="R190">
        <v>2.1645221225003928</v>
      </c>
      <c r="S190">
        <v>1.9413482963789992</v>
      </c>
      <c r="T190">
        <v>0</v>
      </c>
      <c r="U190">
        <v>0</v>
      </c>
      <c r="V190">
        <v>0.22317382612139358</v>
      </c>
      <c r="W190">
        <v>0</v>
      </c>
      <c r="X190">
        <v>0.69134829637899919</v>
      </c>
      <c r="Y190">
        <v>0</v>
      </c>
      <c r="Z190">
        <v>0.25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0.46199574012430472</v>
      </c>
      <c r="AO190">
        <v>0.46199574012430472</v>
      </c>
      <c r="AP190">
        <v>0.89689464302467392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0.10310535697532608</v>
      </c>
      <c r="BB190">
        <v>0</v>
      </c>
      <c r="BC190">
        <v>0</v>
      </c>
      <c r="BD190">
        <v>0</v>
      </c>
      <c r="BE190">
        <v>0.46199574012430472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1.114958158995816</v>
      </c>
      <c r="BL190">
        <v>1.114958158995816</v>
      </c>
      <c r="BM190">
        <v>0.51510591987290422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0.11495815899581596</v>
      </c>
      <c r="BW190">
        <v>0</v>
      </c>
      <c r="BX190">
        <v>0</v>
      </c>
      <c r="BY190">
        <v>0</v>
      </c>
      <c r="BZ190">
        <v>0.48489408012709578</v>
      </c>
      <c r="CA190">
        <v>0</v>
      </c>
      <c r="CB190">
        <v>0.51510591987290422</v>
      </c>
      <c r="CC190">
        <v>0</v>
      </c>
      <c r="CD190">
        <v>0</v>
      </c>
      <c r="CE190">
        <v>0</v>
      </c>
      <c r="CF190">
        <v>0</v>
      </c>
      <c r="CG190">
        <v>0</v>
      </c>
    </row>
    <row r="191" spans="1:85" hidden="1" x14ac:dyDescent="0.25">
      <c r="A191" t="s">
        <v>128</v>
      </c>
      <c r="B191" t="s">
        <v>181</v>
      </c>
      <c r="C191" t="s">
        <v>72</v>
      </c>
      <c r="D191" s="12">
        <v>45573</v>
      </c>
      <c r="E191" t="s">
        <v>135</v>
      </c>
      <c r="F191" t="s">
        <v>135</v>
      </c>
      <c r="G191" t="s">
        <v>135</v>
      </c>
      <c r="H191" t="s">
        <v>75</v>
      </c>
      <c r="I191">
        <v>10</v>
      </c>
      <c r="K191">
        <v>12.417771069086861</v>
      </c>
      <c r="L191">
        <v>45573</v>
      </c>
      <c r="M191" t="s">
        <v>141</v>
      </c>
      <c r="N191">
        <v>8.5499999999999989</v>
      </c>
      <c r="O191">
        <v>8.5499999999999989</v>
      </c>
      <c r="P191">
        <v>10.722593582887695</v>
      </c>
      <c r="Q191">
        <v>0.68852936267158305</v>
      </c>
      <c r="R191">
        <v>0.68852936267158305</v>
      </c>
      <c r="S191">
        <v>0.86348778079673361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0.17495841812515056</v>
      </c>
      <c r="AD191">
        <v>0.13651221920326639</v>
      </c>
      <c r="AE191">
        <v>0</v>
      </c>
      <c r="AF191">
        <v>0</v>
      </c>
      <c r="AG191">
        <v>0</v>
      </c>
      <c r="AH191">
        <v>0.68852936267158305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1.4523708852733173</v>
      </c>
      <c r="AO191">
        <v>1.4523708852733173</v>
      </c>
      <c r="AP191">
        <v>1.254104512618444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0.25410451261844402</v>
      </c>
      <c r="AX191">
        <v>0</v>
      </c>
      <c r="AY191">
        <v>0.19826637265487324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1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0.79738170936974029</v>
      </c>
      <c r="BL191">
        <v>0.79738170936974029</v>
      </c>
      <c r="BM191">
        <v>1.1580939791380807</v>
      </c>
      <c r="BN191">
        <v>0.15809397913808065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0.31147063732841695</v>
      </c>
      <c r="BX191">
        <v>0</v>
      </c>
      <c r="BY191">
        <v>0</v>
      </c>
      <c r="BZ191">
        <v>0</v>
      </c>
      <c r="CA191">
        <v>0</v>
      </c>
      <c r="CB191">
        <v>0.79738170936974029</v>
      </c>
      <c r="CC191">
        <v>0</v>
      </c>
      <c r="CD191">
        <v>0</v>
      </c>
      <c r="CE191">
        <v>0</v>
      </c>
      <c r="CF191">
        <v>0</v>
      </c>
      <c r="CG191">
        <v>0</v>
      </c>
    </row>
    <row r="192" spans="1:85" hidden="1" x14ac:dyDescent="0.25">
      <c r="A192" t="s">
        <v>128</v>
      </c>
      <c r="B192" t="s">
        <v>181</v>
      </c>
      <c r="C192" t="s">
        <v>109</v>
      </c>
      <c r="D192" s="12">
        <v>45573</v>
      </c>
      <c r="E192" t="s">
        <v>135</v>
      </c>
      <c r="F192" t="s">
        <v>135</v>
      </c>
      <c r="G192" t="s">
        <v>135</v>
      </c>
      <c r="K192">
        <v>30.058155215592599</v>
      </c>
      <c r="N192">
        <v>39.9</v>
      </c>
      <c r="O192">
        <v>39.9</v>
      </c>
      <c r="P192">
        <v>29.579434046345799</v>
      </c>
      <c r="T192">
        <v>0</v>
      </c>
      <c r="U192">
        <v>0</v>
      </c>
      <c r="V192">
        <v>0.22862614194953398</v>
      </c>
      <c r="W192">
        <v>0</v>
      </c>
      <c r="X192">
        <v>8.0758108353482641E-2</v>
      </c>
      <c r="Y192">
        <v>0</v>
      </c>
      <c r="Z192">
        <v>2.9203119750370658E-2</v>
      </c>
      <c r="AA192">
        <v>0</v>
      </c>
      <c r="AB192">
        <v>0.11751566604985396</v>
      </c>
      <c r="AC192">
        <v>7.2279671433750164E-2</v>
      </c>
      <c r="AD192">
        <v>5.6396591009676998E-2</v>
      </c>
      <c r="AE192">
        <v>0</v>
      </c>
      <c r="AF192">
        <v>6.9491135770264834E-2</v>
      </c>
      <c r="AG192">
        <v>0</v>
      </c>
      <c r="AH192">
        <v>0.80183260178630811</v>
      </c>
      <c r="AI192">
        <v>0</v>
      </c>
      <c r="AJ192">
        <v>0</v>
      </c>
      <c r="AK192">
        <v>0</v>
      </c>
      <c r="AL192">
        <v>0</v>
      </c>
      <c r="AM192">
        <v>0</v>
      </c>
    </row>
    <row r="193" spans="1:85" hidden="1" x14ac:dyDescent="0.25">
      <c r="A193" t="s">
        <v>128</v>
      </c>
      <c r="B193" t="s">
        <v>181</v>
      </c>
      <c r="C193" t="s">
        <v>72</v>
      </c>
      <c r="D193" s="12">
        <v>45574</v>
      </c>
      <c r="E193" t="s">
        <v>135</v>
      </c>
      <c r="F193" t="s">
        <v>135</v>
      </c>
      <c r="G193" t="s">
        <v>135</v>
      </c>
      <c r="H193" t="s">
        <v>73</v>
      </c>
      <c r="I193">
        <v>10</v>
      </c>
      <c r="K193">
        <v>14.129216521561023</v>
      </c>
      <c r="L193">
        <v>45574</v>
      </c>
      <c r="M193" t="s">
        <v>142</v>
      </c>
      <c r="N193">
        <v>22.799999999999997</v>
      </c>
      <c r="O193">
        <v>22.799999999999997</v>
      </c>
      <c r="P193">
        <v>12.177941176470586</v>
      </c>
      <c r="Q193">
        <v>1.6136775853924707</v>
      </c>
      <c r="R193">
        <v>1.6136775853924707</v>
      </c>
      <c r="S193">
        <v>0.86189783827625455</v>
      </c>
      <c r="T193">
        <v>0</v>
      </c>
      <c r="U193">
        <v>0</v>
      </c>
      <c r="V193">
        <v>0.36367758539247075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0.25</v>
      </c>
      <c r="AC193">
        <v>0</v>
      </c>
      <c r="AD193">
        <v>0</v>
      </c>
      <c r="AE193">
        <v>0</v>
      </c>
      <c r="AF193">
        <v>0.13810216172374545</v>
      </c>
      <c r="AG193">
        <v>0</v>
      </c>
      <c r="AH193">
        <v>0.86189783827625455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0.61970247901583442</v>
      </c>
      <c r="AO193">
        <v>0.61970247901583442</v>
      </c>
      <c r="AP193">
        <v>0.53412022703818363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0.38029752098416558</v>
      </c>
      <c r="BB193">
        <v>0</v>
      </c>
      <c r="BC193">
        <v>8.5582251977650792E-2</v>
      </c>
      <c r="BD193">
        <v>0</v>
      </c>
      <c r="BE193">
        <v>0.53412022703818363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1.8722376524574327</v>
      </c>
      <c r="BL193">
        <v>1.8722376524574327</v>
      </c>
      <c r="BM193">
        <v>1.1602303145346573</v>
      </c>
      <c r="CD193">
        <v>0</v>
      </c>
      <c r="CE193">
        <v>0</v>
      </c>
      <c r="CF193">
        <v>0</v>
      </c>
    </row>
    <row r="194" spans="1:85" hidden="1" x14ac:dyDescent="0.25">
      <c r="A194" t="s">
        <v>128</v>
      </c>
      <c r="B194" t="s">
        <v>181</v>
      </c>
      <c r="C194" t="s">
        <v>72</v>
      </c>
      <c r="D194" s="12">
        <v>45574</v>
      </c>
      <c r="E194" t="s">
        <v>135</v>
      </c>
      <c r="F194" t="s">
        <v>135</v>
      </c>
      <c r="G194" t="s">
        <v>135</v>
      </c>
      <c r="H194" t="s">
        <v>74</v>
      </c>
      <c r="I194">
        <v>10</v>
      </c>
      <c r="K194">
        <v>3.5111676249447159</v>
      </c>
      <c r="L194">
        <v>45574</v>
      </c>
      <c r="M194" t="s">
        <v>143</v>
      </c>
      <c r="N194">
        <v>5.6999999999999993</v>
      </c>
      <c r="O194">
        <v>5.6999999999999993</v>
      </c>
      <c r="P194">
        <v>7.7290552584670227</v>
      </c>
      <c r="Q194">
        <v>1.6233915918752946</v>
      </c>
      <c r="R194">
        <v>1.6233915918752946</v>
      </c>
      <c r="S194">
        <v>2.2012777753920871</v>
      </c>
      <c r="T194">
        <v>0.57788618351679255</v>
      </c>
      <c r="U194">
        <v>0</v>
      </c>
      <c r="V194">
        <v>0</v>
      </c>
      <c r="W194">
        <v>0</v>
      </c>
      <c r="X194">
        <v>0.37339159187529458</v>
      </c>
      <c r="Y194">
        <v>0</v>
      </c>
      <c r="Z194">
        <v>0.25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0.61599432016573974</v>
      </c>
      <c r="AO194">
        <v>0.61599432016573974</v>
      </c>
      <c r="AP194">
        <v>1.3559746067486007</v>
      </c>
      <c r="AQ194">
        <v>0.35597460674860071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0.61599432016573974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0.73747693726937269</v>
      </c>
      <c r="BL194">
        <v>0.73747693726937269</v>
      </c>
      <c r="BM194">
        <v>0.45428160461115907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0.26252306273062731</v>
      </c>
      <c r="BY194">
        <v>0</v>
      </c>
      <c r="BZ194">
        <v>0.28319533265821362</v>
      </c>
      <c r="CA194">
        <v>0</v>
      </c>
      <c r="CB194">
        <v>0.45428160461115907</v>
      </c>
      <c r="CC194">
        <v>0</v>
      </c>
      <c r="CD194">
        <v>0</v>
      </c>
      <c r="CE194">
        <v>0</v>
      </c>
      <c r="CF194">
        <v>0</v>
      </c>
      <c r="CG194">
        <v>0</v>
      </c>
    </row>
    <row r="195" spans="1:85" hidden="1" x14ac:dyDescent="0.25">
      <c r="A195" t="s">
        <v>128</v>
      </c>
      <c r="B195" t="s">
        <v>181</v>
      </c>
      <c r="C195" t="s">
        <v>72</v>
      </c>
      <c r="D195" s="12">
        <v>45574</v>
      </c>
      <c r="E195" t="s">
        <v>135</v>
      </c>
      <c r="F195" t="s">
        <v>135</v>
      </c>
      <c r="G195" t="s">
        <v>135</v>
      </c>
      <c r="H195" t="s">
        <v>75</v>
      </c>
      <c r="I195">
        <v>10</v>
      </c>
      <c r="K195">
        <v>12.417771069086861</v>
      </c>
      <c r="L195">
        <v>45574</v>
      </c>
      <c r="M195" t="s">
        <v>144</v>
      </c>
      <c r="N195">
        <v>11.4</v>
      </c>
      <c r="O195">
        <v>11.4</v>
      </c>
      <c r="P195">
        <v>10.56550802139037</v>
      </c>
      <c r="Q195">
        <v>0.91803915022877747</v>
      </c>
      <c r="R195">
        <v>0.91803915022877747</v>
      </c>
      <c r="S195">
        <v>0.85083771979759193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8.1960849771222533E-2</v>
      </c>
      <c r="AE195">
        <v>0</v>
      </c>
      <c r="AF195">
        <v>6.7201430431185538E-2</v>
      </c>
      <c r="AG195">
        <v>0</v>
      </c>
      <c r="AH195">
        <v>0.85083771979759193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1.089278163954988</v>
      </c>
      <c r="AO195">
        <v>1.089278163954988</v>
      </c>
      <c r="AP195">
        <v>0.92679894924476935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8.9278163954987999E-2</v>
      </c>
      <c r="AZ195">
        <v>0</v>
      </c>
      <c r="BA195">
        <v>0</v>
      </c>
      <c r="BB195">
        <v>0</v>
      </c>
      <c r="BC195">
        <v>7.3201050755230646E-2</v>
      </c>
      <c r="BD195">
        <v>0</v>
      </c>
      <c r="BE195">
        <v>0.92679894924476935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1.0789826648108316</v>
      </c>
      <c r="BL195">
        <v>1.0789826648108316</v>
      </c>
      <c r="BM195">
        <v>1.1753122560644029</v>
      </c>
      <c r="BN195">
        <v>9.6329591253571323E-2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7.8982664810831604E-2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1</v>
      </c>
      <c r="CC195">
        <v>0</v>
      </c>
      <c r="CD195">
        <v>0</v>
      </c>
      <c r="CE195">
        <v>0</v>
      </c>
      <c r="CF195">
        <v>0</v>
      </c>
      <c r="CG195">
        <v>0</v>
      </c>
    </row>
    <row r="196" spans="1:85" hidden="1" x14ac:dyDescent="0.25">
      <c r="A196" t="s">
        <v>128</v>
      </c>
      <c r="B196" t="s">
        <v>181</v>
      </c>
      <c r="C196" t="s">
        <v>109</v>
      </c>
      <c r="D196" s="12">
        <v>45574</v>
      </c>
      <c r="E196" t="s">
        <v>135</v>
      </c>
      <c r="F196" t="s">
        <v>135</v>
      </c>
      <c r="G196" t="s">
        <v>135</v>
      </c>
      <c r="K196">
        <v>30.058155215592599</v>
      </c>
      <c r="N196">
        <v>39.899999999999991</v>
      </c>
      <c r="O196">
        <v>39.899999999999991</v>
      </c>
      <c r="P196">
        <v>30.472504456327975</v>
      </c>
      <c r="T196">
        <v>6.7504317677302278E-2</v>
      </c>
      <c r="U196">
        <v>0</v>
      </c>
      <c r="V196">
        <v>0.17095125469919534</v>
      </c>
      <c r="W196">
        <v>0</v>
      </c>
      <c r="X196">
        <v>4.3616797485263023E-2</v>
      </c>
      <c r="Y196">
        <v>0</v>
      </c>
      <c r="Z196">
        <v>2.9203119750370658E-2</v>
      </c>
      <c r="AA196">
        <v>0</v>
      </c>
      <c r="AB196">
        <v>0.11751566604985396</v>
      </c>
      <c r="AC196">
        <v>0</v>
      </c>
      <c r="AD196">
        <v>3.3860064324868981E-2</v>
      </c>
      <c r="AE196">
        <v>0</v>
      </c>
      <c r="AF196">
        <v>9.2679251395140688E-2</v>
      </c>
      <c r="AG196">
        <v>0</v>
      </c>
      <c r="AH196">
        <v>0.87346068427999024</v>
      </c>
      <c r="AI196">
        <v>0</v>
      </c>
      <c r="AJ196">
        <v>0</v>
      </c>
      <c r="AK196">
        <v>0</v>
      </c>
      <c r="AL196">
        <v>0</v>
      </c>
      <c r="AM196">
        <v>0</v>
      </c>
    </row>
    <row r="197" spans="1:85" hidden="1" x14ac:dyDescent="0.25">
      <c r="A197" t="s">
        <v>128</v>
      </c>
      <c r="B197" t="s">
        <v>181</v>
      </c>
      <c r="C197" t="s">
        <v>72</v>
      </c>
      <c r="D197" s="12">
        <v>45575</v>
      </c>
      <c r="E197" t="s">
        <v>135</v>
      </c>
      <c r="F197" t="s">
        <v>135</v>
      </c>
      <c r="G197" t="s">
        <v>135</v>
      </c>
      <c r="H197" t="s">
        <v>73</v>
      </c>
      <c r="I197">
        <v>10</v>
      </c>
      <c r="K197">
        <v>14.12921652156102</v>
      </c>
      <c r="L197">
        <v>45575</v>
      </c>
      <c r="M197" t="s">
        <v>145</v>
      </c>
      <c r="N197">
        <v>18.05</v>
      </c>
      <c r="O197">
        <v>18.05</v>
      </c>
      <c r="P197">
        <v>13.875980392156862</v>
      </c>
      <c r="Q197">
        <v>1.2774947551023732</v>
      </c>
      <c r="R197">
        <v>1.2774947551023732</v>
      </c>
      <c r="S197">
        <v>0.98207712869162123</v>
      </c>
      <c r="T197">
        <v>0</v>
      </c>
      <c r="U197">
        <v>0</v>
      </c>
      <c r="V197">
        <v>2.7494755102373203E-2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0.25</v>
      </c>
      <c r="AC197">
        <v>0</v>
      </c>
      <c r="AD197">
        <v>0</v>
      </c>
      <c r="AE197">
        <v>0</v>
      </c>
      <c r="AF197">
        <v>1.7922871308378774E-2</v>
      </c>
      <c r="AG197">
        <v>0</v>
      </c>
      <c r="AH197">
        <v>0.98207712869162123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0.78278207875684314</v>
      </c>
      <c r="AO197">
        <v>0.78278207875684314</v>
      </c>
      <c r="AP197">
        <v>0.76875237629677906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0.21721792124315686</v>
      </c>
      <c r="BB197">
        <v>0</v>
      </c>
      <c r="BC197">
        <v>1.4029702460064075E-2</v>
      </c>
      <c r="BD197">
        <v>0</v>
      </c>
      <c r="BE197">
        <v>0.76875237629677906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1.3008089871763169</v>
      </c>
      <c r="BL197">
        <v>1.3008089871763169</v>
      </c>
      <c r="BM197">
        <v>1.0182499630474611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1.8249963047461071E-2</v>
      </c>
      <c r="BU197">
        <v>0</v>
      </c>
      <c r="BV197">
        <v>0.28255902412885581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1</v>
      </c>
      <c r="CC197">
        <v>0</v>
      </c>
      <c r="CD197">
        <v>0</v>
      </c>
      <c r="CE197">
        <v>0</v>
      </c>
      <c r="CF197">
        <v>0</v>
      </c>
      <c r="CG197">
        <v>0</v>
      </c>
    </row>
    <row r="198" spans="1:85" hidden="1" x14ac:dyDescent="0.25">
      <c r="A198" t="s">
        <v>128</v>
      </c>
      <c r="B198" t="s">
        <v>181</v>
      </c>
      <c r="C198" t="s">
        <v>72</v>
      </c>
      <c r="D198" s="12">
        <v>45575</v>
      </c>
      <c r="E198" t="s">
        <v>135</v>
      </c>
      <c r="F198" t="s">
        <v>135</v>
      </c>
      <c r="G198" t="s">
        <v>135</v>
      </c>
      <c r="H198" t="s">
        <v>74</v>
      </c>
      <c r="I198">
        <v>10</v>
      </c>
      <c r="K198">
        <v>3.5111676249447159</v>
      </c>
      <c r="L198">
        <v>45575</v>
      </c>
      <c r="M198" t="s">
        <v>146</v>
      </c>
      <c r="N198">
        <v>6.6499999999999995</v>
      </c>
      <c r="O198">
        <v>6.6499999999999995</v>
      </c>
      <c r="P198">
        <v>5.8181818181818183</v>
      </c>
      <c r="Q198">
        <v>1.8939568571878436</v>
      </c>
      <c r="R198">
        <v>1.8939568571878436</v>
      </c>
      <c r="S198">
        <v>1.6570504287084349</v>
      </c>
      <c r="T198">
        <v>0</v>
      </c>
      <c r="U198">
        <v>0</v>
      </c>
      <c r="V198">
        <v>0.23690642847940868</v>
      </c>
      <c r="W198">
        <v>0</v>
      </c>
      <c r="X198">
        <v>0.40705042870843489</v>
      </c>
      <c r="Y198">
        <v>0</v>
      </c>
      <c r="Z198">
        <v>0.25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1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0.52799513157063405</v>
      </c>
      <c r="AO198">
        <v>0.52799513157063405</v>
      </c>
      <c r="AP198">
        <v>0.87491455912508553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0.12508544087491447</v>
      </c>
      <c r="BB198">
        <v>0</v>
      </c>
      <c r="BC198">
        <v>0</v>
      </c>
      <c r="BD198">
        <v>0</v>
      </c>
      <c r="BE198">
        <v>0.52799513157063405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1.1429687499999999</v>
      </c>
      <c r="BL198">
        <v>1.1429687499999999</v>
      </c>
      <c r="BM198">
        <v>0.60348193553737306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0.14296874999999987</v>
      </c>
      <c r="BW198">
        <v>0</v>
      </c>
      <c r="BX198">
        <v>0</v>
      </c>
      <c r="BY198">
        <v>0</v>
      </c>
      <c r="BZ198">
        <v>0.39651806446262694</v>
      </c>
      <c r="CA198">
        <v>0</v>
      </c>
      <c r="CB198">
        <v>0.60348193553737306</v>
      </c>
      <c r="CC198">
        <v>0</v>
      </c>
      <c r="CD198">
        <v>0</v>
      </c>
      <c r="CE198">
        <v>0</v>
      </c>
      <c r="CF198">
        <v>0</v>
      </c>
      <c r="CG198">
        <v>0</v>
      </c>
    </row>
    <row r="199" spans="1:85" hidden="1" x14ac:dyDescent="0.25">
      <c r="A199" t="s">
        <v>128</v>
      </c>
      <c r="B199" t="s">
        <v>181</v>
      </c>
      <c r="C199" t="s">
        <v>72</v>
      </c>
      <c r="D199" s="12">
        <v>45575</v>
      </c>
      <c r="E199" t="s">
        <v>135</v>
      </c>
      <c r="F199" t="s">
        <v>135</v>
      </c>
      <c r="G199" t="s">
        <v>135</v>
      </c>
      <c r="H199" t="s">
        <v>75</v>
      </c>
      <c r="I199">
        <v>10</v>
      </c>
      <c r="K199">
        <v>12.417771069086861</v>
      </c>
      <c r="L199">
        <v>45575</v>
      </c>
      <c r="M199" t="s">
        <v>147</v>
      </c>
      <c r="N199">
        <v>14.25</v>
      </c>
      <c r="O199">
        <v>14.25</v>
      </c>
      <c r="P199">
        <v>10.351604278074864</v>
      </c>
      <c r="Q199">
        <v>1.147548937785972</v>
      </c>
      <c r="R199">
        <v>1.147548937785972</v>
      </c>
      <c r="S199">
        <v>0.83361210482003745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0.147548937785972</v>
      </c>
      <c r="AC199">
        <v>0</v>
      </c>
      <c r="AD199">
        <v>0</v>
      </c>
      <c r="AE199">
        <v>0</v>
      </c>
      <c r="AF199">
        <v>0.16638789517996255</v>
      </c>
      <c r="AG199">
        <v>0</v>
      </c>
      <c r="AH199">
        <v>0.83361210482003745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0.87142253116399027</v>
      </c>
      <c r="AO199">
        <v>0.87142253116399027</v>
      </c>
      <c r="AP199">
        <v>0.72642837039121855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0.12857746883600973</v>
      </c>
      <c r="BB199">
        <v>0</v>
      </c>
      <c r="BC199">
        <v>0.14499416077277172</v>
      </c>
      <c r="BD199">
        <v>0</v>
      </c>
      <c r="BE199">
        <v>0.72642837039121855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1.3765982177450602</v>
      </c>
      <c r="BL199">
        <v>1.3765982177450602</v>
      </c>
      <c r="BM199">
        <v>1.1995987033032383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0.19959870330323826</v>
      </c>
      <c r="BU199">
        <v>0</v>
      </c>
      <c r="BV199">
        <v>0.17699951444182194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1</v>
      </c>
      <c r="CC199">
        <v>0</v>
      </c>
      <c r="CD199">
        <v>0</v>
      </c>
      <c r="CE199">
        <v>0</v>
      </c>
      <c r="CF199">
        <v>0</v>
      </c>
      <c r="CG199">
        <v>0</v>
      </c>
    </row>
    <row r="200" spans="1:85" hidden="1" x14ac:dyDescent="0.25">
      <c r="A200" t="s">
        <v>128</v>
      </c>
      <c r="B200" t="s">
        <v>181</v>
      </c>
      <c r="C200" t="s">
        <v>109</v>
      </c>
      <c r="D200" s="12">
        <v>45575</v>
      </c>
      <c r="E200" t="s">
        <v>135</v>
      </c>
      <c r="F200" t="s">
        <v>135</v>
      </c>
      <c r="G200" t="s">
        <v>135</v>
      </c>
      <c r="K200">
        <v>30.058155215592596</v>
      </c>
      <c r="N200">
        <v>38.950000000000003</v>
      </c>
      <c r="O200">
        <v>38.950000000000003</v>
      </c>
      <c r="P200">
        <v>30.045766488413545</v>
      </c>
      <c r="T200">
        <v>0</v>
      </c>
      <c r="U200">
        <v>0</v>
      </c>
      <c r="V200">
        <v>4.0597885036999203E-2</v>
      </c>
      <c r="W200">
        <v>0</v>
      </c>
      <c r="X200">
        <v>4.7548569656048555E-2</v>
      </c>
      <c r="Y200">
        <v>0</v>
      </c>
      <c r="Z200">
        <v>2.9203119750370661E-2</v>
      </c>
      <c r="AA200">
        <v>0</v>
      </c>
      <c r="AB200">
        <v>0.17847179984354317</v>
      </c>
      <c r="AC200">
        <v>0</v>
      </c>
      <c r="AD200">
        <v>0</v>
      </c>
      <c r="AE200">
        <v>0</v>
      </c>
      <c r="AF200">
        <v>7.716384800664576E-2</v>
      </c>
      <c r="AG200">
        <v>0</v>
      </c>
      <c r="AH200">
        <v>0.92283615199335423</v>
      </c>
      <c r="AI200">
        <v>0</v>
      </c>
      <c r="AJ200">
        <v>0</v>
      </c>
      <c r="AK200">
        <v>0</v>
      </c>
      <c r="AL200">
        <v>0</v>
      </c>
      <c r="AM200">
        <v>0</v>
      </c>
    </row>
    <row r="201" spans="1:85" hidden="1" x14ac:dyDescent="0.25">
      <c r="A201" t="s">
        <v>128</v>
      </c>
      <c r="B201" t="s">
        <v>181</v>
      </c>
      <c r="C201" t="s">
        <v>72</v>
      </c>
      <c r="D201" s="12">
        <v>45576</v>
      </c>
      <c r="E201" t="s">
        <v>135</v>
      </c>
      <c r="F201" t="s">
        <v>135</v>
      </c>
      <c r="G201" t="s">
        <v>135</v>
      </c>
      <c r="H201" t="s">
        <v>73</v>
      </c>
      <c r="I201">
        <v>10</v>
      </c>
      <c r="K201">
        <v>14.129216521561023</v>
      </c>
      <c r="L201">
        <v>45576</v>
      </c>
      <c r="M201" t="s">
        <v>148</v>
      </c>
      <c r="N201">
        <v>24.7</v>
      </c>
      <c r="O201">
        <v>24.7</v>
      </c>
      <c r="P201">
        <v>12.009068627450976</v>
      </c>
      <c r="Q201">
        <v>1.7481507175085103</v>
      </c>
      <c r="R201">
        <v>1.7481507175085103</v>
      </c>
      <c r="S201">
        <v>0.84994582743673541</v>
      </c>
      <c r="T201">
        <v>0</v>
      </c>
      <c r="U201">
        <v>0</v>
      </c>
      <c r="V201">
        <v>0.49815071750851025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0.25</v>
      </c>
      <c r="AC201">
        <v>0</v>
      </c>
      <c r="AD201">
        <v>0</v>
      </c>
      <c r="AE201">
        <v>0</v>
      </c>
      <c r="AF201">
        <v>0.15005417256326459</v>
      </c>
      <c r="AG201">
        <v>0</v>
      </c>
      <c r="AH201">
        <v>0.84994582743673541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0.57203305755307787</v>
      </c>
      <c r="AO201">
        <v>0.57203305755307787</v>
      </c>
      <c r="AP201">
        <v>0.48619711042311642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0.42796694244692213</v>
      </c>
      <c r="BB201">
        <v>0</v>
      </c>
      <c r="BC201">
        <v>8.5835947129961454E-2</v>
      </c>
      <c r="BD201">
        <v>0</v>
      </c>
      <c r="BE201">
        <v>0.48619711042311642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2.0567789864685602</v>
      </c>
      <c r="BL201">
        <v>2.0567789864685602</v>
      </c>
      <c r="BM201">
        <v>1.1765455723405309</v>
      </c>
      <c r="CD201">
        <v>0</v>
      </c>
      <c r="CE201">
        <v>0</v>
      </c>
      <c r="CF201">
        <v>0</v>
      </c>
    </row>
    <row r="202" spans="1:85" hidden="1" x14ac:dyDescent="0.25">
      <c r="A202" t="s">
        <v>128</v>
      </c>
      <c r="B202" t="s">
        <v>181</v>
      </c>
      <c r="C202" t="s">
        <v>72</v>
      </c>
      <c r="D202" s="12">
        <v>45576</v>
      </c>
      <c r="E202" t="s">
        <v>135</v>
      </c>
      <c r="F202" t="s">
        <v>135</v>
      </c>
      <c r="G202" t="s">
        <v>135</v>
      </c>
      <c r="H202" t="s">
        <v>74</v>
      </c>
      <c r="I202">
        <v>10</v>
      </c>
      <c r="K202">
        <v>3.5111676249447159</v>
      </c>
      <c r="L202">
        <v>45576</v>
      </c>
      <c r="M202" t="s">
        <v>149</v>
      </c>
      <c r="N202">
        <v>7.6</v>
      </c>
      <c r="O202">
        <v>7.6</v>
      </c>
      <c r="P202">
        <v>7.757575757575756</v>
      </c>
      <c r="Q202">
        <v>2.1645221225003928</v>
      </c>
      <c r="R202">
        <v>2.1645221225003928</v>
      </c>
      <c r="S202">
        <v>2.2094005716112459</v>
      </c>
      <c r="T202">
        <v>4.4878449110853147E-2</v>
      </c>
      <c r="U202">
        <v>0</v>
      </c>
      <c r="V202">
        <v>0</v>
      </c>
      <c r="W202">
        <v>0</v>
      </c>
      <c r="X202">
        <v>0.91452212250039278</v>
      </c>
      <c r="Y202">
        <v>0</v>
      </c>
      <c r="Z202">
        <v>0.25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0.46199574012430472</v>
      </c>
      <c r="AO202">
        <v>0.46199574012430472</v>
      </c>
      <c r="AP202">
        <v>1.0207336523125996</v>
      </c>
      <c r="AQ202">
        <v>2.0733652312599604E-2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0.46199574012430472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0.97968750000000016</v>
      </c>
      <c r="BL202">
        <v>0.97968750000000016</v>
      </c>
      <c r="BM202">
        <v>0.45261145165302985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2.0312499999999845E-2</v>
      </c>
      <c r="BY202">
        <v>0</v>
      </c>
      <c r="BZ202">
        <v>0.52707604834697031</v>
      </c>
      <c r="CA202">
        <v>0</v>
      </c>
      <c r="CB202">
        <v>0.45261145165302985</v>
      </c>
      <c r="CC202">
        <v>0</v>
      </c>
      <c r="CD202">
        <v>0</v>
      </c>
      <c r="CE202">
        <v>0</v>
      </c>
      <c r="CF202">
        <v>0</v>
      </c>
      <c r="CG202">
        <v>0</v>
      </c>
    </row>
    <row r="203" spans="1:85" hidden="1" x14ac:dyDescent="0.25">
      <c r="A203" t="s">
        <v>128</v>
      </c>
      <c r="B203" t="s">
        <v>181</v>
      </c>
      <c r="C203" t="s">
        <v>72</v>
      </c>
      <c r="D203" s="12">
        <v>45576</v>
      </c>
      <c r="E203" t="s">
        <v>135</v>
      </c>
      <c r="F203" t="s">
        <v>135</v>
      </c>
      <c r="G203" t="s">
        <v>135</v>
      </c>
      <c r="H203" t="s">
        <v>75</v>
      </c>
      <c r="I203">
        <v>10</v>
      </c>
      <c r="K203">
        <v>12.417771069086861</v>
      </c>
      <c r="L203">
        <v>45576</v>
      </c>
      <c r="M203" t="s">
        <v>150</v>
      </c>
      <c r="N203">
        <v>9.5</v>
      </c>
      <c r="O203">
        <v>9.5</v>
      </c>
      <c r="P203">
        <v>10.540775401069514</v>
      </c>
      <c r="Q203">
        <v>0.76503262519064796</v>
      </c>
      <c r="R203">
        <v>0.76503262519064796</v>
      </c>
      <c r="S203">
        <v>0.84884600806581212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8.3813382875164155E-2</v>
      </c>
      <c r="AD203">
        <v>0.15115399193418788</v>
      </c>
      <c r="AE203">
        <v>0</v>
      </c>
      <c r="AF203">
        <v>0</v>
      </c>
      <c r="AG203">
        <v>0</v>
      </c>
      <c r="AH203">
        <v>0.76503262519064796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1.3071337967459853</v>
      </c>
      <c r="AO203">
        <v>1.3071337967459853</v>
      </c>
      <c r="AP203">
        <v>1.1095553053757383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0.10955530537573832</v>
      </c>
      <c r="AX203">
        <v>0</v>
      </c>
      <c r="AY203">
        <v>0.19757849137024697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1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0.90126196968736172</v>
      </c>
      <c r="BL203">
        <v>0.90126196968736172</v>
      </c>
      <c r="BM203">
        <v>1.1780699803002064</v>
      </c>
      <c r="BN203">
        <v>0.17806998030020638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0.23496737480935204</v>
      </c>
      <c r="BX203">
        <v>0</v>
      </c>
      <c r="BY203">
        <v>0</v>
      </c>
      <c r="BZ203">
        <v>0</v>
      </c>
      <c r="CA203">
        <v>0</v>
      </c>
      <c r="CB203">
        <v>0.90126196968736172</v>
      </c>
      <c r="CC203">
        <v>0</v>
      </c>
      <c r="CD203">
        <v>0</v>
      </c>
      <c r="CE203">
        <v>0</v>
      </c>
      <c r="CF203">
        <v>0</v>
      </c>
      <c r="CG203">
        <v>0</v>
      </c>
    </row>
    <row r="204" spans="1:85" hidden="1" x14ac:dyDescent="0.25">
      <c r="A204" t="s">
        <v>128</v>
      </c>
      <c r="B204" t="s">
        <v>181</v>
      </c>
      <c r="C204" t="s">
        <v>109</v>
      </c>
      <c r="D204" s="12">
        <v>45576</v>
      </c>
      <c r="E204" t="s">
        <v>135</v>
      </c>
      <c r="F204" t="s">
        <v>135</v>
      </c>
      <c r="G204" t="s">
        <v>135</v>
      </c>
      <c r="K204">
        <v>30.058155215592599</v>
      </c>
      <c r="N204">
        <v>41.8</v>
      </c>
      <c r="O204">
        <v>41.8</v>
      </c>
      <c r="P204">
        <v>30.307419786096244</v>
      </c>
      <c r="T204">
        <v>5.2423628943806394E-3</v>
      </c>
      <c r="U204">
        <v>0</v>
      </c>
      <c r="V204">
        <v>0.2341620534449009</v>
      </c>
      <c r="W204">
        <v>0</v>
      </c>
      <c r="X204">
        <v>0.10682759623096845</v>
      </c>
      <c r="Y204">
        <v>0</v>
      </c>
      <c r="Z204">
        <v>2.9203119750370658E-2</v>
      </c>
      <c r="AA204">
        <v>0</v>
      </c>
      <c r="AB204">
        <v>0.11751566604985396</v>
      </c>
      <c r="AC204">
        <v>3.4625391798150468E-2</v>
      </c>
      <c r="AD204">
        <v>6.2445471272423926E-2</v>
      </c>
      <c r="AE204">
        <v>0</v>
      </c>
      <c r="AF204">
        <v>7.0534864129327038E-2</v>
      </c>
      <c r="AG204">
        <v>0</v>
      </c>
      <c r="AH204">
        <v>0.83239427280009859</v>
      </c>
      <c r="AI204">
        <v>0</v>
      </c>
      <c r="AJ204">
        <v>0</v>
      </c>
      <c r="AK204">
        <v>0</v>
      </c>
      <c r="AL204">
        <v>0</v>
      </c>
      <c r="AM204">
        <v>0</v>
      </c>
    </row>
    <row r="205" spans="1:85" hidden="1" x14ac:dyDescent="0.25">
      <c r="A205" t="s">
        <v>128</v>
      </c>
      <c r="B205" t="s">
        <v>181</v>
      </c>
      <c r="C205" t="s">
        <v>72</v>
      </c>
      <c r="D205" s="12">
        <v>45577</v>
      </c>
      <c r="E205" t="s">
        <v>135</v>
      </c>
      <c r="F205" t="s">
        <v>135</v>
      </c>
      <c r="G205" t="s">
        <v>135</v>
      </c>
      <c r="H205" t="s">
        <v>73</v>
      </c>
      <c r="I205">
        <v>10</v>
      </c>
      <c r="K205">
        <v>14.12921652156102</v>
      </c>
      <c r="L205">
        <v>45577</v>
      </c>
      <c r="M205" t="s">
        <v>151</v>
      </c>
      <c r="N205">
        <v>16.149999999999999</v>
      </c>
      <c r="O205">
        <v>16.149999999999999</v>
      </c>
      <c r="P205">
        <v>13.875980392156862</v>
      </c>
      <c r="Q205">
        <v>1.1430216229863337</v>
      </c>
      <c r="R205">
        <v>1.1430216229863337</v>
      </c>
      <c r="S205">
        <v>0.98207712869162123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0.1430216229863337</v>
      </c>
      <c r="AC205">
        <v>0</v>
      </c>
      <c r="AD205">
        <v>0</v>
      </c>
      <c r="AE205">
        <v>0</v>
      </c>
      <c r="AF205">
        <v>1.7922871308378774E-2</v>
      </c>
      <c r="AG205">
        <v>0</v>
      </c>
      <c r="AH205">
        <v>0.98207712869162123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0.87487408802235422</v>
      </c>
      <c r="AO205">
        <v>0.87487408802235422</v>
      </c>
      <c r="AP205">
        <v>0.85919383233169433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0.12512591197764578</v>
      </c>
      <c r="BB205">
        <v>0</v>
      </c>
      <c r="BC205">
        <v>1.5680255690659894E-2</v>
      </c>
      <c r="BD205">
        <v>0</v>
      </c>
      <c r="BE205">
        <v>0.85919383233169433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1.1638817253682834</v>
      </c>
      <c r="BL205">
        <v>1.1638817253682834</v>
      </c>
      <c r="BM205">
        <v>1.0182499630474611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1.8249963047461071E-2</v>
      </c>
      <c r="BU205">
        <v>0</v>
      </c>
      <c r="BV205">
        <v>0.14563176232082231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1</v>
      </c>
      <c r="CC205">
        <v>0</v>
      </c>
      <c r="CD205">
        <v>0</v>
      </c>
      <c r="CE205">
        <v>0</v>
      </c>
      <c r="CF205">
        <v>0</v>
      </c>
      <c r="CG205">
        <v>0</v>
      </c>
    </row>
    <row r="206" spans="1:85" hidden="1" x14ac:dyDescent="0.25">
      <c r="A206" t="s">
        <v>128</v>
      </c>
      <c r="B206" t="s">
        <v>181</v>
      </c>
      <c r="C206" t="s">
        <v>72</v>
      </c>
      <c r="D206" s="12">
        <v>45577</v>
      </c>
      <c r="E206" t="s">
        <v>135</v>
      </c>
      <c r="F206" t="s">
        <v>135</v>
      </c>
      <c r="G206" t="s">
        <v>135</v>
      </c>
      <c r="H206" t="s">
        <v>74</v>
      </c>
      <c r="I206">
        <v>10</v>
      </c>
      <c r="K206">
        <v>3.5111676249447159</v>
      </c>
      <c r="L206">
        <v>45577</v>
      </c>
      <c r="M206" t="s">
        <v>152</v>
      </c>
      <c r="N206">
        <v>6.6499999999999995</v>
      </c>
      <c r="O206">
        <v>6.6499999999999995</v>
      </c>
      <c r="P206">
        <v>6.8449197860962556</v>
      </c>
      <c r="Q206">
        <v>1.8939568571878436</v>
      </c>
      <c r="R206">
        <v>1.8939568571878436</v>
      </c>
      <c r="S206">
        <v>1.9494710925981582</v>
      </c>
      <c r="T206">
        <v>5.5514235410314638E-2</v>
      </c>
      <c r="U206">
        <v>0</v>
      </c>
      <c r="V206">
        <v>0</v>
      </c>
      <c r="W206">
        <v>0</v>
      </c>
      <c r="X206">
        <v>0.64395685718784357</v>
      </c>
      <c r="Y206">
        <v>0</v>
      </c>
      <c r="Z206">
        <v>0.25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1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0.52799513157063405</v>
      </c>
      <c r="AO206">
        <v>0.52799513157063405</v>
      </c>
      <c r="AP206">
        <v>1.0293112460295122</v>
      </c>
      <c r="AQ206">
        <v>2.9311246029512183E-2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0.52799513157063405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0.97152343750000003</v>
      </c>
      <c r="BL206">
        <v>0.97152343750000003</v>
      </c>
      <c r="BM206">
        <v>0.51295964520676718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2.8476562499999969E-2</v>
      </c>
      <c r="BY206">
        <v>0</v>
      </c>
      <c r="BZ206">
        <v>0.45856379229323285</v>
      </c>
      <c r="CA206">
        <v>0</v>
      </c>
      <c r="CB206">
        <v>0.51295964520676718</v>
      </c>
      <c r="CC206">
        <v>0</v>
      </c>
      <c r="CD206">
        <v>0</v>
      </c>
      <c r="CE206">
        <v>0</v>
      </c>
      <c r="CF206">
        <v>0</v>
      </c>
      <c r="CG206">
        <v>0</v>
      </c>
    </row>
    <row r="207" spans="1:85" hidden="1" x14ac:dyDescent="0.25">
      <c r="A207" t="s">
        <v>128</v>
      </c>
      <c r="B207" t="s">
        <v>181</v>
      </c>
      <c r="C207" t="s">
        <v>72</v>
      </c>
      <c r="D207" s="12">
        <v>45577</v>
      </c>
      <c r="E207" t="s">
        <v>135</v>
      </c>
      <c r="F207" t="s">
        <v>135</v>
      </c>
      <c r="G207" t="s">
        <v>135</v>
      </c>
      <c r="H207" t="s">
        <v>75</v>
      </c>
      <c r="I207">
        <v>10</v>
      </c>
      <c r="K207">
        <v>12.417771069086861</v>
      </c>
      <c r="L207">
        <v>45577</v>
      </c>
      <c r="M207" t="s">
        <v>153</v>
      </c>
      <c r="N207">
        <v>19</v>
      </c>
      <c r="O207">
        <v>19</v>
      </c>
      <c r="P207">
        <v>10.993315508021384</v>
      </c>
      <c r="Q207">
        <v>1.5300652503812959</v>
      </c>
      <c r="R207">
        <v>1.5300652503812959</v>
      </c>
      <c r="S207">
        <v>0.88528894975270112</v>
      </c>
      <c r="T207">
        <v>0</v>
      </c>
      <c r="U207">
        <v>0</v>
      </c>
      <c r="V207">
        <v>0.28006525038129593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0.25</v>
      </c>
      <c r="AC207">
        <v>0</v>
      </c>
      <c r="AD207">
        <v>0</v>
      </c>
      <c r="AE207">
        <v>0</v>
      </c>
      <c r="AF207">
        <v>0.11471105024729888</v>
      </c>
      <c r="AG207">
        <v>0</v>
      </c>
      <c r="AH207">
        <v>0.88528894975270112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0.65356689837299264</v>
      </c>
      <c r="AO207">
        <v>0.65356689837299264</v>
      </c>
      <c r="AP207">
        <v>0.57859555305375709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0.34643310162700736</v>
      </c>
      <c r="BB207">
        <v>0</v>
      </c>
      <c r="BC207">
        <v>7.4971345319235549E-2</v>
      </c>
      <c r="BD207">
        <v>0</v>
      </c>
      <c r="BE207">
        <v>0.57859555305375709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1.7283229964733076</v>
      </c>
      <c r="BL207">
        <v>1.7283229964733076</v>
      </c>
      <c r="BM207">
        <v>1.1295747001917764</v>
      </c>
      <c r="CD207">
        <v>0</v>
      </c>
      <c r="CE207">
        <v>0</v>
      </c>
      <c r="CF207">
        <v>0</v>
      </c>
    </row>
    <row r="208" spans="1:85" hidden="1" x14ac:dyDescent="0.25">
      <c r="A208" t="s">
        <v>128</v>
      </c>
      <c r="B208" t="s">
        <v>181</v>
      </c>
      <c r="C208" t="s">
        <v>109</v>
      </c>
      <c r="D208" s="12">
        <v>45577</v>
      </c>
      <c r="E208" t="s">
        <v>135</v>
      </c>
      <c r="F208" t="s">
        <v>135</v>
      </c>
      <c r="G208" t="s">
        <v>135</v>
      </c>
      <c r="K208">
        <v>30.058155215592596</v>
      </c>
      <c r="N208">
        <v>41.8</v>
      </c>
      <c r="O208">
        <v>41.8</v>
      </c>
      <c r="P208">
        <v>31.7142156862745</v>
      </c>
      <c r="T208">
        <v>6.4847554581507422E-3</v>
      </c>
      <c r="U208">
        <v>0</v>
      </c>
      <c r="V208">
        <v>0.11570191645817743</v>
      </c>
      <c r="W208">
        <v>0</v>
      </c>
      <c r="X208">
        <v>7.5222196858115736E-2</v>
      </c>
      <c r="Y208">
        <v>0</v>
      </c>
      <c r="Z208">
        <v>2.9203119750370661E-2</v>
      </c>
      <c r="AA208">
        <v>0</v>
      </c>
      <c r="AB208">
        <v>0.17051033933885582</v>
      </c>
      <c r="AC208">
        <v>0</v>
      </c>
      <c r="AD208">
        <v>0</v>
      </c>
      <c r="AE208">
        <v>0</v>
      </c>
      <c r="AF208">
        <v>5.5814858844009697E-2</v>
      </c>
      <c r="AG208">
        <v>0</v>
      </c>
      <c r="AH208">
        <v>0.94418514115599039</v>
      </c>
      <c r="AI208">
        <v>0</v>
      </c>
      <c r="AJ208">
        <v>0</v>
      </c>
      <c r="AK208">
        <v>0</v>
      </c>
      <c r="AL208">
        <v>0</v>
      </c>
      <c r="AM208">
        <v>0</v>
      </c>
    </row>
    <row r="209" spans="1:85" hidden="1" x14ac:dyDescent="0.25">
      <c r="A209" t="s">
        <v>128</v>
      </c>
      <c r="B209" t="s">
        <v>181</v>
      </c>
      <c r="C209" t="s">
        <v>72</v>
      </c>
      <c r="D209" s="12">
        <v>45578</v>
      </c>
      <c r="E209" t="s">
        <v>135</v>
      </c>
      <c r="F209" t="s">
        <v>135</v>
      </c>
      <c r="G209" t="s">
        <v>135</v>
      </c>
      <c r="H209" t="s">
        <v>73</v>
      </c>
      <c r="I209">
        <v>10</v>
      </c>
      <c r="K209">
        <v>14.12921652156102</v>
      </c>
      <c r="L209">
        <v>45578</v>
      </c>
      <c r="M209" t="s">
        <v>154</v>
      </c>
      <c r="N209">
        <v>16.149999999999999</v>
      </c>
      <c r="O209">
        <v>16.149999999999999</v>
      </c>
      <c r="P209">
        <v>13.844607843137254</v>
      </c>
      <c r="Q209">
        <v>1.1430216229863337</v>
      </c>
      <c r="R209">
        <v>1.1430216229863337</v>
      </c>
      <c r="S209">
        <v>0.97985672609734187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0.1430216229863337</v>
      </c>
      <c r="AC209">
        <v>0</v>
      </c>
      <c r="AD209">
        <v>0</v>
      </c>
      <c r="AE209">
        <v>0</v>
      </c>
      <c r="AF209">
        <v>2.0143273902658132E-2</v>
      </c>
      <c r="AG209">
        <v>0</v>
      </c>
      <c r="AH209">
        <v>0.97985672609734187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0.87487408802235422</v>
      </c>
      <c r="AO209">
        <v>0.87487408802235422</v>
      </c>
      <c r="AP209">
        <v>0.85725125963698179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0.12512591197764578</v>
      </c>
      <c r="BB209">
        <v>0</v>
      </c>
      <c r="BC209">
        <v>1.7622828385372435E-2</v>
      </c>
      <c r="BD209">
        <v>0</v>
      </c>
      <c r="BE209">
        <v>0.85725125963698179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1.1665191374853945</v>
      </c>
      <c r="BL209">
        <v>1.1665191374853945</v>
      </c>
      <c r="BM209">
        <v>1.0205573665681578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2.0557366568157764E-2</v>
      </c>
      <c r="BU209">
        <v>0</v>
      </c>
      <c r="BV209">
        <v>0.14596177091723672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1</v>
      </c>
      <c r="CC209">
        <v>0</v>
      </c>
      <c r="CD209">
        <v>0</v>
      </c>
      <c r="CE209">
        <v>0</v>
      </c>
      <c r="CF209">
        <v>0</v>
      </c>
      <c r="CG209">
        <v>0</v>
      </c>
    </row>
    <row r="210" spans="1:85" hidden="1" x14ac:dyDescent="0.25">
      <c r="A210" t="s">
        <v>128</v>
      </c>
      <c r="B210" t="s">
        <v>181</v>
      </c>
      <c r="C210" t="s">
        <v>72</v>
      </c>
      <c r="D210" s="12">
        <v>45578</v>
      </c>
      <c r="E210" t="s">
        <v>135</v>
      </c>
      <c r="F210" t="s">
        <v>135</v>
      </c>
      <c r="G210" t="s">
        <v>135</v>
      </c>
      <c r="H210" t="s">
        <v>74</v>
      </c>
      <c r="I210">
        <v>10</v>
      </c>
      <c r="K210">
        <v>3.5111676249447159</v>
      </c>
      <c r="L210">
        <v>45578</v>
      </c>
      <c r="M210" t="s">
        <v>155</v>
      </c>
      <c r="N210">
        <v>5.6999999999999993</v>
      </c>
      <c r="O210">
        <v>5.6999999999999993</v>
      </c>
      <c r="P210">
        <v>7.7290552584670227</v>
      </c>
      <c r="Q210">
        <v>1.6233915918752946</v>
      </c>
      <c r="R210">
        <v>1.6233915918752946</v>
      </c>
      <c r="S210">
        <v>2.2012777753920871</v>
      </c>
      <c r="T210">
        <v>0.57788618351679255</v>
      </c>
      <c r="U210">
        <v>0</v>
      </c>
      <c r="V210">
        <v>0</v>
      </c>
      <c r="W210">
        <v>0</v>
      </c>
      <c r="X210">
        <v>0.37339159187529458</v>
      </c>
      <c r="Y210">
        <v>0</v>
      </c>
      <c r="Z210">
        <v>0.25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1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0.61599432016573974</v>
      </c>
      <c r="AO210">
        <v>0.61599432016573974</v>
      </c>
      <c r="AP210">
        <v>1.3559746067486007</v>
      </c>
      <c r="AQ210">
        <v>0.35597460674860071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0.61599432016573974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0.73747693726937269</v>
      </c>
      <c r="BL210">
        <v>0.73747693726937269</v>
      </c>
      <c r="BM210">
        <v>0.45428160461115907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0.26252306273062731</v>
      </c>
      <c r="BY210">
        <v>0</v>
      </c>
      <c r="BZ210">
        <v>0.28319533265821362</v>
      </c>
      <c r="CA210">
        <v>0</v>
      </c>
      <c r="CB210">
        <v>0.45428160461115907</v>
      </c>
      <c r="CC210">
        <v>0</v>
      </c>
      <c r="CD210">
        <v>0</v>
      </c>
      <c r="CE210">
        <v>0</v>
      </c>
      <c r="CF210">
        <v>0</v>
      </c>
      <c r="CG210">
        <v>0</v>
      </c>
    </row>
    <row r="211" spans="1:85" hidden="1" x14ac:dyDescent="0.25">
      <c r="A211" t="s">
        <v>128</v>
      </c>
      <c r="B211" t="s">
        <v>181</v>
      </c>
      <c r="C211" t="s">
        <v>72</v>
      </c>
      <c r="D211" s="12">
        <v>45578</v>
      </c>
      <c r="E211" t="s">
        <v>135</v>
      </c>
      <c r="F211" t="s">
        <v>135</v>
      </c>
      <c r="G211" t="s">
        <v>135</v>
      </c>
      <c r="H211" t="s">
        <v>75</v>
      </c>
      <c r="I211">
        <v>10</v>
      </c>
      <c r="K211">
        <v>12.417771069086861</v>
      </c>
      <c r="L211">
        <v>45578</v>
      </c>
      <c r="M211" t="s">
        <v>156</v>
      </c>
      <c r="N211">
        <v>14.25</v>
      </c>
      <c r="O211">
        <v>14.25</v>
      </c>
      <c r="P211">
        <v>10.56550802139037</v>
      </c>
      <c r="Q211">
        <v>1.147548937785972</v>
      </c>
      <c r="R211">
        <v>1.147548937785972</v>
      </c>
      <c r="S211">
        <v>0.85083771979759193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0.147548937785972</v>
      </c>
      <c r="AC211">
        <v>0</v>
      </c>
      <c r="AD211">
        <v>0</v>
      </c>
      <c r="AE211">
        <v>0</v>
      </c>
      <c r="AF211">
        <v>0.14916228020240807</v>
      </c>
      <c r="AG211">
        <v>0</v>
      </c>
      <c r="AH211">
        <v>0.85083771979759193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0.87142253116399027</v>
      </c>
      <c r="AO211">
        <v>0.87142253116399027</v>
      </c>
      <c r="AP211">
        <v>0.74143915939581539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0.12857746883600973</v>
      </c>
      <c r="BB211">
        <v>0</v>
      </c>
      <c r="BC211">
        <v>0.12998337176817487</v>
      </c>
      <c r="BD211">
        <v>0</v>
      </c>
      <c r="BE211">
        <v>0.74143915939581539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1.3487283310135398</v>
      </c>
      <c r="BL211">
        <v>1.3487283310135398</v>
      </c>
      <c r="BM211">
        <v>1.1753122560644029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0.17531225606440293</v>
      </c>
      <c r="BU211">
        <v>0</v>
      </c>
      <c r="BV211">
        <v>0.17341607494913691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1</v>
      </c>
      <c r="CC211">
        <v>0</v>
      </c>
      <c r="CD211">
        <v>0</v>
      </c>
      <c r="CE211">
        <v>0</v>
      </c>
      <c r="CF211">
        <v>0</v>
      </c>
      <c r="CG211">
        <v>0</v>
      </c>
    </row>
    <row r="212" spans="1:85" hidden="1" x14ac:dyDescent="0.25">
      <c r="A212" t="s">
        <v>128</v>
      </c>
      <c r="B212" t="s">
        <v>181</v>
      </c>
      <c r="C212" t="s">
        <v>109</v>
      </c>
      <c r="D212" s="12">
        <v>45578</v>
      </c>
      <c r="E212" t="s">
        <v>135</v>
      </c>
      <c r="F212" t="s">
        <v>135</v>
      </c>
      <c r="G212" t="s">
        <v>135</v>
      </c>
      <c r="K212">
        <v>30.058155215592596</v>
      </c>
      <c r="N212">
        <v>36.099999999999994</v>
      </c>
      <c r="O212">
        <v>36.099999999999994</v>
      </c>
      <c r="P212">
        <v>32.139171122994647</v>
      </c>
      <c r="T212">
        <v>6.7504317677302278E-2</v>
      </c>
      <c r="U212">
        <v>0</v>
      </c>
      <c r="V212">
        <v>0</v>
      </c>
      <c r="W212">
        <v>0</v>
      </c>
      <c r="X212">
        <v>4.361679748526303E-2</v>
      </c>
      <c r="Y212">
        <v>0</v>
      </c>
      <c r="Z212">
        <v>2.9203119750370661E-2</v>
      </c>
      <c r="AA212">
        <v>0</v>
      </c>
      <c r="AB212">
        <v>0.12818525893276966</v>
      </c>
      <c r="AC212">
        <v>0</v>
      </c>
      <c r="AD212">
        <v>0</v>
      </c>
      <c r="AE212">
        <v>0</v>
      </c>
      <c r="AF212">
        <v>7.1091246644829353E-2</v>
      </c>
      <c r="AG212">
        <v>0</v>
      </c>
      <c r="AH212">
        <v>0.92890875335517065</v>
      </c>
      <c r="AI212">
        <v>0</v>
      </c>
      <c r="AJ212">
        <v>0</v>
      </c>
      <c r="AK212">
        <v>0</v>
      </c>
      <c r="AL212">
        <v>0</v>
      </c>
      <c r="AM212">
        <v>0</v>
      </c>
    </row>
    <row r="213" spans="1:85" hidden="1" x14ac:dyDescent="0.25">
      <c r="A213" t="s">
        <v>128</v>
      </c>
      <c r="B213" t="s">
        <v>181</v>
      </c>
      <c r="C213" t="s">
        <v>72</v>
      </c>
      <c r="D213" s="12">
        <v>45579</v>
      </c>
      <c r="E213" t="s">
        <v>135</v>
      </c>
      <c r="F213" t="s">
        <v>135</v>
      </c>
      <c r="G213" t="s">
        <v>135</v>
      </c>
      <c r="H213" t="s">
        <v>73</v>
      </c>
      <c r="I213">
        <v>10</v>
      </c>
      <c r="K213">
        <v>14.129216521561023</v>
      </c>
      <c r="L213">
        <v>45579</v>
      </c>
      <c r="M213" t="s">
        <v>157</v>
      </c>
      <c r="N213">
        <v>23.75</v>
      </c>
      <c r="O213">
        <v>23.75</v>
      </c>
      <c r="P213">
        <v>13.137885154061616</v>
      </c>
      <c r="Q213">
        <v>1.6809141514504906</v>
      </c>
      <c r="R213">
        <v>1.6809141514504906</v>
      </c>
      <c r="S213">
        <v>0.92983819265656753</v>
      </c>
      <c r="T213">
        <v>0</v>
      </c>
      <c r="U213">
        <v>0</v>
      </c>
      <c r="V213">
        <v>0.43091415145049061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0.25</v>
      </c>
      <c r="AC213">
        <v>0</v>
      </c>
      <c r="AD213">
        <v>0</v>
      </c>
      <c r="AE213">
        <v>0</v>
      </c>
      <c r="AF213">
        <v>7.016180734343247E-2</v>
      </c>
      <c r="AG213">
        <v>0</v>
      </c>
      <c r="AH213">
        <v>0.92983819265656753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0.59491437985520101</v>
      </c>
      <c r="AO213">
        <v>0.59491437985520101</v>
      </c>
      <c r="AP213">
        <v>0.55317411174996278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0.40508562014479899</v>
      </c>
      <c r="BB213">
        <v>0</v>
      </c>
      <c r="BC213">
        <v>4.1740268105238232E-2</v>
      </c>
      <c r="BD213">
        <v>0</v>
      </c>
      <c r="BE213">
        <v>0.55317411174996278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1.8077490951926625</v>
      </c>
      <c r="BL213">
        <v>1.8077490951926625</v>
      </c>
      <c r="BM213">
        <v>1.0754559319003436</v>
      </c>
      <c r="CD213">
        <v>0</v>
      </c>
      <c r="CE213">
        <v>0</v>
      </c>
      <c r="CF213">
        <v>0</v>
      </c>
    </row>
    <row r="214" spans="1:85" hidden="1" x14ac:dyDescent="0.25">
      <c r="A214" t="s">
        <v>128</v>
      </c>
      <c r="B214" t="s">
        <v>181</v>
      </c>
      <c r="C214" t="s">
        <v>72</v>
      </c>
      <c r="D214" s="12">
        <v>45579</v>
      </c>
      <c r="E214" t="s">
        <v>135</v>
      </c>
      <c r="F214" t="s">
        <v>135</v>
      </c>
      <c r="G214" t="s">
        <v>135</v>
      </c>
      <c r="H214" t="s">
        <v>74</v>
      </c>
      <c r="I214">
        <v>10</v>
      </c>
      <c r="K214">
        <v>3.5111676249447159</v>
      </c>
      <c r="L214">
        <v>45579</v>
      </c>
      <c r="M214" t="s">
        <v>158</v>
      </c>
      <c r="N214">
        <v>9.5</v>
      </c>
      <c r="O214">
        <v>9.5</v>
      </c>
      <c r="P214">
        <v>6.7878787878787872</v>
      </c>
      <c r="Q214">
        <v>2.7056526531254912</v>
      </c>
      <c r="R214">
        <v>2.7056526531254912</v>
      </c>
      <c r="S214">
        <v>1.9332255001598404</v>
      </c>
      <c r="T214">
        <v>0</v>
      </c>
      <c r="U214">
        <v>0</v>
      </c>
      <c r="V214">
        <v>0.77242715296565079</v>
      </c>
      <c r="W214">
        <v>0</v>
      </c>
      <c r="X214">
        <v>0.6832255001598404</v>
      </c>
      <c r="Y214">
        <v>0</v>
      </c>
      <c r="Z214">
        <v>0.25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1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0.36959659209944379</v>
      </c>
      <c r="AO214">
        <v>0.36959659209944379</v>
      </c>
      <c r="AP214">
        <v>0.71451355661881966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0.28548644338118034</v>
      </c>
      <c r="BB214">
        <v>0</v>
      </c>
      <c r="BC214">
        <v>0</v>
      </c>
      <c r="BD214">
        <v>0</v>
      </c>
      <c r="BE214">
        <v>0.36959659209944379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1.3995535714285716</v>
      </c>
      <c r="BL214">
        <v>1.3995535714285716</v>
      </c>
      <c r="BM214">
        <v>0.5172702304606055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0.39955357142857162</v>
      </c>
      <c r="BW214">
        <v>0</v>
      </c>
      <c r="BX214">
        <v>0</v>
      </c>
      <c r="BY214">
        <v>0</v>
      </c>
      <c r="BZ214">
        <v>0.4827297695393945</v>
      </c>
      <c r="CA214">
        <v>0</v>
      </c>
      <c r="CB214">
        <v>0.5172702304606055</v>
      </c>
      <c r="CC214">
        <v>0</v>
      </c>
      <c r="CD214">
        <v>0</v>
      </c>
      <c r="CE214">
        <v>0</v>
      </c>
      <c r="CF214">
        <v>0</v>
      </c>
      <c r="CG214">
        <v>0</v>
      </c>
    </row>
    <row r="215" spans="1:85" hidden="1" x14ac:dyDescent="0.25">
      <c r="A215" t="s">
        <v>128</v>
      </c>
      <c r="B215" t="s">
        <v>181</v>
      </c>
      <c r="C215" t="s">
        <v>72</v>
      </c>
      <c r="D215" s="12">
        <v>45579</v>
      </c>
      <c r="E215" t="s">
        <v>135</v>
      </c>
      <c r="F215" t="s">
        <v>135</v>
      </c>
      <c r="G215" t="s">
        <v>135</v>
      </c>
      <c r="H215" t="s">
        <v>75</v>
      </c>
      <c r="I215">
        <v>10</v>
      </c>
      <c r="K215">
        <v>12.417771069086861</v>
      </c>
      <c r="L215">
        <v>45579</v>
      </c>
      <c r="M215" t="s">
        <v>159</v>
      </c>
      <c r="N215">
        <v>9.5</v>
      </c>
      <c r="O215">
        <v>9.5</v>
      </c>
      <c r="P215">
        <v>10.569837025719377</v>
      </c>
      <c r="Q215">
        <v>0.76503262519064796</v>
      </c>
      <c r="R215">
        <v>0.76503262519064796</v>
      </c>
      <c r="S215">
        <v>0.8511863334340426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8.6153708243394633E-2</v>
      </c>
      <c r="AD215">
        <v>0.1488136665659574</v>
      </c>
      <c r="AE215">
        <v>0</v>
      </c>
      <c r="AF215">
        <v>0</v>
      </c>
      <c r="AG215">
        <v>0</v>
      </c>
      <c r="AH215">
        <v>0.76503262519064796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1.3071337967459853</v>
      </c>
      <c r="AO215">
        <v>1.3071337967459853</v>
      </c>
      <c r="AP215">
        <v>1.1126144237599345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0.11261442375993447</v>
      </c>
      <c r="AX215">
        <v>0</v>
      </c>
      <c r="AY215">
        <v>0.19451937298605082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1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0.89878396203118716</v>
      </c>
      <c r="BL215">
        <v>0.89878396203118716</v>
      </c>
      <c r="BM215">
        <v>1.1748308927442253</v>
      </c>
      <c r="BN215">
        <v>0.17483089274422525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0.23496737480935204</v>
      </c>
      <c r="BX215">
        <v>0</v>
      </c>
      <c r="BY215">
        <v>0</v>
      </c>
      <c r="BZ215">
        <v>0</v>
      </c>
      <c r="CA215">
        <v>0</v>
      </c>
      <c r="CB215">
        <v>0.89878396203118716</v>
      </c>
      <c r="CC215">
        <v>0</v>
      </c>
      <c r="CD215">
        <v>0</v>
      </c>
      <c r="CE215">
        <v>0</v>
      </c>
      <c r="CF215">
        <v>0</v>
      </c>
      <c r="CG215">
        <v>0</v>
      </c>
    </row>
    <row r="216" spans="1:85" hidden="1" x14ac:dyDescent="0.25">
      <c r="A216" t="s">
        <v>128</v>
      </c>
      <c r="B216" t="s">
        <v>181</v>
      </c>
      <c r="C216" t="s">
        <v>109</v>
      </c>
      <c r="D216" s="12">
        <v>45579</v>
      </c>
      <c r="E216" t="s">
        <v>135</v>
      </c>
      <c r="F216" t="s">
        <v>135</v>
      </c>
      <c r="G216" t="s">
        <v>135</v>
      </c>
      <c r="K216">
        <v>30.058155215592599</v>
      </c>
      <c r="N216">
        <v>42.75</v>
      </c>
      <c r="O216">
        <v>42.75</v>
      </c>
      <c r="P216">
        <v>30.495600967659783</v>
      </c>
      <c r="T216">
        <v>0</v>
      </c>
      <c r="U216">
        <v>0</v>
      </c>
      <c r="V216">
        <v>0.29278578465802324</v>
      </c>
      <c r="W216">
        <v>0</v>
      </c>
      <c r="X216">
        <v>7.9809264390698825E-2</v>
      </c>
      <c r="Y216">
        <v>0</v>
      </c>
      <c r="Z216">
        <v>2.9203119750370658E-2</v>
      </c>
      <c r="AA216">
        <v>0</v>
      </c>
      <c r="AB216">
        <v>0.11751566604985396</v>
      </c>
      <c r="AC216">
        <v>3.5592238380763988E-2</v>
      </c>
      <c r="AD216">
        <v>6.1478624689810399E-2</v>
      </c>
      <c r="AE216">
        <v>0</v>
      </c>
      <c r="AF216">
        <v>3.29804460849E-2</v>
      </c>
      <c r="AG216">
        <v>0</v>
      </c>
      <c r="AH216">
        <v>0.86994869084452553</v>
      </c>
      <c r="AI216">
        <v>0</v>
      </c>
      <c r="AJ216">
        <v>0</v>
      </c>
      <c r="AK216">
        <v>0</v>
      </c>
      <c r="AL216">
        <v>0</v>
      </c>
      <c r="AM216">
        <v>0</v>
      </c>
    </row>
    <row r="217" spans="1:85" hidden="1" x14ac:dyDescent="0.25">
      <c r="A217" t="s">
        <v>128</v>
      </c>
      <c r="B217" t="s">
        <v>181</v>
      </c>
      <c r="C217" t="s">
        <v>72</v>
      </c>
      <c r="D217" s="12">
        <v>45580</v>
      </c>
      <c r="E217" t="s">
        <v>135</v>
      </c>
      <c r="F217" t="s">
        <v>135</v>
      </c>
      <c r="G217" t="s">
        <v>135</v>
      </c>
      <c r="H217" t="s">
        <v>73</v>
      </c>
      <c r="I217">
        <v>10</v>
      </c>
      <c r="K217">
        <v>14.129216521561023</v>
      </c>
      <c r="L217">
        <v>45580</v>
      </c>
      <c r="M217" t="s">
        <v>160</v>
      </c>
      <c r="N217">
        <v>20.9</v>
      </c>
      <c r="O217">
        <v>20.9</v>
      </c>
      <c r="P217">
        <v>11.1740522875817</v>
      </c>
      <c r="Q217">
        <v>1.4792044532764317</v>
      </c>
      <c r="R217">
        <v>1.4792044532764317</v>
      </c>
      <c r="S217">
        <v>0.79084726817868667</v>
      </c>
      <c r="T217">
        <v>0</v>
      </c>
      <c r="U217">
        <v>0</v>
      </c>
      <c r="V217">
        <v>0.22920445327643169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0.25</v>
      </c>
      <c r="AC217">
        <v>0</v>
      </c>
      <c r="AD217">
        <v>0</v>
      </c>
      <c r="AE217">
        <v>0</v>
      </c>
      <c r="AF217">
        <v>0.20915273182131333</v>
      </c>
      <c r="AG217">
        <v>0</v>
      </c>
      <c r="AH217">
        <v>0.79084726817868667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0.67603906801727387</v>
      </c>
      <c r="AO217">
        <v>0.67603906801727387</v>
      </c>
      <c r="AP217">
        <v>0.53464365012352633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0.32396093198272613</v>
      </c>
      <c r="BB217">
        <v>0</v>
      </c>
      <c r="BC217">
        <v>0.14139541789374754</v>
      </c>
      <c r="BD217">
        <v>0</v>
      </c>
      <c r="BE217">
        <v>0.53464365012352633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1.8704047074513195</v>
      </c>
      <c r="BL217">
        <v>1.8704047074513195</v>
      </c>
      <c r="BM217">
        <v>1.2644666552405119</v>
      </c>
      <c r="CD217">
        <v>0</v>
      </c>
      <c r="CE217">
        <v>0</v>
      </c>
      <c r="CF217">
        <v>0</v>
      </c>
    </row>
    <row r="218" spans="1:85" hidden="1" x14ac:dyDescent="0.25">
      <c r="A218" t="s">
        <v>128</v>
      </c>
      <c r="B218" t="s">
        <v>181</v>
      </c>
      <c r="C218" t="s">
        <v>72</v>
      </c>
      <c r="D218" s="12">
        <v>45580</v>
      </c>
      <c r="E218" t="s">
        <v>135</v>
      </c>
      <c r="F218" t="s">
        <v>135</v>
      </c>
      <c r="G218" t="s">
        <v>135</v>
      </c>
      <c r="H218" t="s">
        <v>74</v>
      </c>
      <c r="I218">
        <v>10</v>
      </c>
      <c r="K218">
        <v>3.5111676249447159</v>
      </c>
      <c r="L218">
        <v>45580</v>
      </c>
      <c r="M218" t="s">
        <v>161</v>
      </c>
      <c r="N218">
        <v>7.6</v>
      </c>
      <c r="O218">
        <v>7.6</v>
      </c>
      <c r="P218">
        <v>6.8163992869875214</v>
      </c>
      <c r="Q218">
        <v>2.1645221225003928</v>
      </c>
      <c r="R218">
        <v>2.1645221225003928</v>
      </c>
      <c r="S218">
        <v>1.9413482963789992</v>
      </c>
      <c r="T218">
        <v>0</v>
      </c>
      <c r="U218">
        <v>0</v>
      </c>
      <c r="V218">
        <v>0.22317382612139358</v>
      </c>
      <c r="W218">
        <v>0</v>
      </c>
      <c r="X218">
        <v>0.69134829637899919</v>
      </c>
      <c r="Y218">
        <v>0</v>
      </c>
      <c r="Z218">
        <v>0.25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1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0.46199574012430472</v>
      </c>
      <c r="AO218">
        <v>0.46199574012430472</v>
      </c>
      <c r="AP218">
        <v>0.89689464302467392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0.10310535697532608</v>
      </c>
      <c r="BB218">
        <v>0</v>
      </c>
      <c r="BC218">
        <v>0</v>
      </c>
      <c r="BD218">
        <v>0</v>
      </c>
      <c r="BE218">
        <v>0.46199574012430472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1.114958158995816</v>
      </c>
      <c r="BL218">
        <v>1.114958158995816</v>
      </c>
      <c r="BM218">
        <v>0.51510591987290422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0.11495815899581596</v>
      </c>
      <c r="BW218">
        <v>0</v>
      </c>
      <c r="BX218">
        <v>0</v>
      </c>
      <c r="BY218">
        <v>0</v>
      </c>
      <c r="BZ218">
        <v>0.48489408012709578</v>
      </c>
      <c r="CA218">
        <v>0</v>
      </c>
      <c r="CB218">
        <v>0.51510591987290422</v>
      </c>
      <c r="CC218">
        <v>0</v>
      </c>
      <c r="CD218">
        <v>0</v>
      </c>
      <c r="CE218">
        <v>0</v>
      </c>
      <c r="CF218">
        <v>0</v>
      </c>
      <c r="CG218">
        <v>0</v>
      </c>
    </row>
    <row r="219" spans="1:85" hidden="1" x14ac:dyDescent="0.25">
      <c r="A219" t="s">
        <v>128</v>
      </c>
      <c r="B219" t="s">
        <v>181</v>
      </c>
      <c r="C219" t="s">
        <v>72</v>
      </c>
      <c r="D219" s="12">
        <v>45580</v>
      </c>
      <c r="E219" t="s">
        <v>135</v>
      </c>
      <c r="F219" t="s">
        <v>135</v>
      </c>
      <c r="G219" t="s">
        <v>135</v>
      </c>
      <c r="H219" t="s">
        <v>75</v>
      </c>
      <c r="I219">
        <v>10</v>
      </c>
      <c r="K219">
        <v>12.417771069086861</v>
      </c>
      <c r="L219">
        <v>45580</v>
      </c>
      <c r="M219" t="s">
        <v>162</v>
      </c>
      <c r="N219">
        <v>11.4</v>
      </c>
      <c r="O219">
        <v>11.4</v>
      </c>
      <c r="P219">
        <v>10.722341057635171</v>
      </c>
      <c r="Q219">
        <v>0.91803915022877747</v>
      </c>
      <c r="R219">
        <v>0.91803915022877747</v>
      </c>
      <c r="S219">
        <v>0.86346744500127404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8.1960849771222533E-2</v>
      </c>
      <c r="AE219">
        <v>0</v>
      </c>
      <c r="AF219">
        <v>5.4571705227503431E-2</v>
      </c>
      <c r="AG219">
        <v>0</v>
      </c>
      <c r="AH219">
        <v>0.86346744500127404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1.089278163954988</v>
      </c>
      <c r="AO219">
        <v>1.089278163954988</v>
      </c>
      <c r="AP219">
        <v>0.94055623312589232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8.9278163954987999E-2</v>
      </c>
      <c r="AZ219">
        <v>0</v>
      </c>
      <c r="BA219">
        <v>0</v>
      </c>
      <c r="BB219">
        <v>0</v>
      </c>
      <c r="BC219">
        <v>5.9443766874107684E-2</v>
      </c>
      <c r="BD219">
        <v>0</v>
      </c>
      <c r="BE219">
        <v>0.94055623312589232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1.0632006516787935</v>
      </c>
      <c r="BL219">
        <v>1.0632006516787935</v>
      </c>
      <c r="BM219">
        <v>1.1581212537764229</v>
      </c>
      <c r="BN219">
        <v>9.4920602097629425E-2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6.3200651678793518E-2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1</v>
      </c>
      <c r="CC219">
        <v>0</v>
      </c>
      <c r="CD219">
        <v>0</v>
      </c>
      <c r="CE219">
        <v>0</v>
      </c>
      <c r="CF219">
        <v>0</v>
      </c>
      <c r="CG219">
        <v>0</v>
      </c>
    </row>
    <row r="220" spans="1:85" hidden="1" x14ac:dyDescent="0.25">
      <c r="A220" t="s">
        <v>128</v>
      </c>
      <c r="B220" t="s">
        <v>181</v>
      </c>
      <c r="C220" t="s">
        <v>109</v>
      </c>
      <c r="D220" s="12">
        <v>45580</v>
      </c>
      <c r="E220" t="s">
        <v>135</v>
      </c>
      <c r="F220" t="s">
        <v>135</v>
      </c>
      <c r="G220" t="s">
        <v>135</v>
      </c>
      <c r="K220">
        <v>30.058155215592599</v>
      </c>
      <c r="N220">
        <v>39.9</v>
      </c>
      <c r="O220">
        <v>39.9</v>
      </c>
      <c r="P220">
        <v>28.712792632204394</v>
      </c>
      <c r="T220">
        <v>0</v>
      </c>
      <c r="U220">
        <v>0</v>
      </c>
      <c r="V220">
        <v>0.13380994383097583</v>
      </c>
      <c r="W220">
        <v>0</v>
      </c>
      <c r="X220">
        <v>8.0758108353482641E-2</v>
      </c>
      <c r="Y220">
        <v>0</v>
      </c>
      <c r="Z220">
        <v>2.9203119750370658E-2</v>
      </c>
      <c r="AA220">
        <v>0</v>
      </c>
      <c r="AB220">
        <v>0.11751566604985396</v>
      </c>
      <c r="AC220">
        <v>0</v>
      </c>
      <c r="AD220">
        <v>3.3860064324868981E-2</v>
      </c>
      <c r="AE220">
        <v>0</v>
      </c>
      <c r="AF220">
        <v>0.12085981825190763</v>
      </c>
      <c r="AG220">
        <v>0</v>
      </c>
      <c r="AH220">
        <v>0.8452801174232234</v>
      </c>
      <c r="AI220">
        <v>0</v>
      </c>
      <c r="AJ220">
        <v>0</v>
      </c>
      <c r="AK220">
        <v>0</v>
      </c>
      <c r="AL220">
        <v>0</v>
      </c>
      <c r="AM220">
        <v>0</v>
      </c>
    </row>
    <row r="221" spans="1:85" hidden="1" x14ac:dyDescent="0.25">
      <c r="A221" t="s">
        <v>128</v>
      </c>
      <c r="B221" t="s">
        <v>181</v>
      </c>
      <c r="C221" t="s">
        <v>72</v>
      </c>
      <c r="D221" s="12">
        <v>45581</v>
      </c>
      <c r="E221" t="s">
        <v>135</v>
      </c>
      <c r="F221" t="s">
        <v>135</v>
      </c>
      <c r="G221" t="s">
        <v>135</v>
      </c>
      <c r="H221" t="s">
        <v>73</v>
      </c>
      <c r="I221">
        <v>10</v>
      </c>
      <c r="K221">
        <v>14.129216521561023</v>
      </c>
      <c r="L221">
        <v>45581</v>
      </c>
      <c r="M221" t="s">
        <v>163</v>
      </c>
      <c r="N221">
        <v>21.85</v>
      </c>
      <c r="O221">
        <v>21.85</v>
      </c>
      <c r="P221">
        <v>12.2953283945157</v>
      </c>
      <c r="Q221">
        <v>1.5464410193344511</v>
      </c>
      <c r="R221">
        <v>1.5464410193344511</v>
      </c>
      <c r="S221">
        <v>0.87020595768726239</v>
      </c>
      <c r="T221">
        <v>0</v>
      </c>
      <c r="U221">
        <v>0</v>
      </c>
      <c r="V221">
        <v>0.29644101933445111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0.25</v>
      </c>
      <c r="AC221">
        <v>0</v>
      </c>
      <c r="AD221">
        <v>0</v>
      </c>
      <c r="AE221">
        <v>0</v>
      </c>
      <c r="AF221">
        <v>0.12979404231273761</v>
      </c>
      <c r="AG221">
        <v>0</v>
      </c>
      <c r="AH221">
        <v>0.87020595768726239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0.64664606506000111</v>
      </c>
      <c r="AO221">
        <v>0.64664606506000111</v>
      </c>
      <c r="AP221">
        <v>0.56271525833023806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0.35335393493999889</v>
      </c>
      <c r="BB221">
        <v>0</v>
      </c>
      <c r="BC221">
        <v>8.3930806729763052E-2</v>
      </c>
      <c r="BD221">
        <v>0</v>
      </c>
      <c r="BE221">
        <v>0.56271525833023806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1.7770977154010896</v>
      </c>
      <c r="BL221">
        <v>1.7770977154010896</v>
      </c>
      <c r="BM221">
        <v>1.1491532448912325</v>
      </c>
      <c r="CD221">
        <v>0</v>
      </c>
      <c r="CE221">
        <v>0</v>
      </c>
      <c r="CF221">
        <v>0</v>
      </c>
    </row>
    <row r="222" spans="1:85" hidden="1" x14ac:dyDescent="0.25">
      <c r="A222" t="s">
        <v>128</v>
      </c>
      <c r="B222" t="s">
        <v>181</v>
      </c>
      <c r="C222" t="s">
        <v>72</v>
      </c>
      <c r="D222" s="12">
        <v>45581</v>
      </c>
      <c r="E222" t="s">
        <v>135</v>
      </c>
      <c r="F222" t="s">
        <v>135</v>
      </c>
      <c r="G222" t="s">
        <v>135</v>
      </c>
      <c r="H222" t="s">
        <v>74</v>
      </c>
      <c r="I222">
        <v>10</v>
      </c>
      <c r="K222">
        <v>3.5111676249447159</v>
      </c>
      <c r="L222">
        <v>45581</v>
      </c>
      <c r="M222" t="s">
        <v>164</v>
      </c>
      <c r="N222">
        <v>5.6999999999999993</v>
      </c>
      <c r="O222">
        <v>5.6999999999999993</v>
      </c>
      <c r="P222">
        <v>6.7880664227413456</v>
      </c>
      <c r="Q222">
        <v>1.6233915918752946</v>
      </c>
      <c r="R222">
        <v>1.6233915918752946</v>
      </c>
      <c r="S222">
        <v>1.9332789396086509</v>
      </c>
      <c r="T222">
        <v>0.30988734773335636</v>
      </c>
      <c r="U222">
        <v>0</v>
      </c>
      <c r="V222">
        <v>0</v>
      </c>
      <c r="W222">
        <v>0</v>
      </c>
      <c r="X222">
        <v>0.37339159187529458</v>
      </c>
      <c r="Y222">
        <v>0</v>
      </c>
      <c r="Z222">
        <v>0.25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0.61599432016573974</v>
      </c>
      <c r="AO222">
        <v>0.61599432016573974</v>
      </c>
      <c r="AP222">
        <v>1.1908888460949731</v>
      </c>
      <c r="AQ222">
        <v>0.19088884609497314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0.61599432016573974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0.83970893108881317</v>
      </c>
      <c r="BL222">
        <v>0.83970893108881317</v>
      </c>
      <c r="BM222">
        <v>0.51725593214315346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0.16029106891118683</v>
      </c>
      <c r="BY222">
        <v>0</v>
      </c>
      <c r="BZ222">
        <v>0.32245299894565971</v>
      </c>
      <c r="CA222">
        <v>0</v>
      </c>
      <c r="CB222">
        <v>0.51725593214315346</v>
      </c>
      <c r="CC222">
        <v>0</v>
      </c>
      <c r="CD222">
        <v>0</v>
      </c>
      <c r="CE222">
        <v>0</v>
      </c>
      <c r="CF222">
        <v>0</v>
      </c>
      <c r="CG222">
        <v>0</v>
      </c>
    </row>
    <row r="223" spans="1:85" hidden="1" x14ac:dyDescent="0.25">
      <c r="A223" t="s">
        <v>128</v>
      </c>
      <c r="B223" t="s">
        <v>181</v>
      </c>
      <c r="C223" t="s">
        <v>72</v>
      </c>
      <c r="D223" s="12">
        <v>45581</v>
      </c>
      <c r="E223" t="s">
        <v>135</v>
      </c>
      <c r="F223" t="s">
        <v>135</v>
      </c>
      <c r="G223" t="s">
        <v>135</v>
      </c>
      <c r="H223" t="s">
        <v>75</v>
      </c>
      <c r="I223">
        <v>10</v>
      </c>
      <c r="K223">
        <v>12.417771069086861</v>
      </c>
      <c r="L223">
        <v>45581</v>
      </c>
      <c r="M223" t="s">
        <v>165</v>
      </c>
      <c r="N223">
        <v>11.4</v>
      </c>
      <c r="O223">
        <v>11.4</v>
      </c>
      <c r="P223">
        <v>10.519210794365591</v>
      </c>
      <c r="Q223">
        <v>0.91803915022877747</v>
      </c>
      <c r="R223">
        <v>0.91803915022877747</v>
      </c>
      <c r="S223">
        <v>0.84710941567866416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8.1960849771222533E-2</v>
      </c>
      <c r="AE223">
        <v>0</v>
      </c>
      <c r="AF223">
        <v>7.092973455011331E-2</v>
      </c>
      <c r="AG223">
        <v>0</v>
      </c>
      <c r="AH223">
        <v>0.84710941567866416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1.089278163954988</v>
      </c>
      <c r="AO223">
        <v>1.089278163954988</v>
      </c>
      <c r="AP223">
        <v>0.92273778897943792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8.9278163954987999E-2</v>
      </c>
      <c r="AZ223">
        <v>0</v>
      </c>
      <c r="BA223">
        <v>0</v>
      </c>
      <c r="BB223">
        <v>0</v>
      </c>
      <c r="BC223">
        <v>7.7262211020562077E-2</v>
      </c>
      <c r="BD223">
        <v>0</v>
      </c>
      <c r="BE223">
        <v>0.92273778897943792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1.0837314911596014</v>
      </c>
      <c r="BL223">
        <v>1.0837314911596014</v>
      </c>
      <c r="BM223">
        <v>1.1804850489105321</v>
      </c>
      <c r="BN223">
        <v>9.6753557750930641E-2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8.3731491159601434E-2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1</v>
      </c>
      <c r="CC223">
        <v>0</v>
      </c>
      <c r="CD223">
        <v>0</v>
      </c>
      <c r="CE223">
        <v>0</v>
      </c>
      <c r="CF223">
        <v>0</v>
      </c>
      <c r="CG223">
        <v>0</v>
      </c>
    </row>
    <row r="224" spans="1:85" hidden="1" x14ac:dyDescent="0.25">
      <c r="A224" t="s">
        <v>128</v>
      </c>
      <c r="B224" t="s">
        <v>181</v>
      </c>
      <c r="C224" t="s">
        <v>109</v>
      </c>
      <c r="D224" s="12">
        <v>45581</v>
      </c>
      <c r="E224" t="s">
        <v>135</v>
      </c>
      <c r="F224" t="s">
        <v>135</v>
      </c>
      <c r="G224" t="s">
        <v>135</v>
      </c>
      <c r="K224">
        <v>30.058155215592599</v>
      </c>
      <c r="N224">
        <v>38.950000000000003</v>
      </c>
      <c r="O224">
        <v>38.950000000000003</v>
      </c>
      <c r="P224">
        <v>29.602605611622636</v>
      </c>
      <c r="T224">
        <v>3.6198709299927835E-2</v>
      </c>
      <c r="U224">
        <v>0</v>
      </c>
      <c r="V224">
        <v>0.13934585532634261</v>
      </c>
      <c r="W224">
        <v>0</v>
      </c>
      <c r="X224">
        <v>4.3616797485263023E-2</v>
      </c>
      <c r="Y224">
        <v>0</v>
      </c>
      <c r="Z224">
        <v>2.9203119750370658E-2</v>
      </c>
      <c r="AA224">
        <v>0</v>
      </c>
      <c r="AB224">
        <v>0.11751566604985396</v>
      </c>
      <c r="AC224">
        <v>0</v>
      </c>
      <c r="AD224">
        <v>3.3860064324868981E-2</v>
      </c>
      <c r="AE224">
        <v>0</v>
      </c>
      <c r="AF224">
        <v>9.031416975555101E-2</v>
      </c>
      <c r="AG224">
        <v>0</v>
      </c>
      <c r="AH224">
        <v>0.87582576591957995</v>
      </c>
      <c r="AI224">
        <v>0</v>
      </c>
      <c r="AJ224">
        <v>0</v>
      </c>
      <c r="AK224">
        <v>0</v>
      </c>
      <c r="AL224">
        <v>0</v>
      </c>
      <c r="AM224">
        <v>0</v>
      </c>
    </row>
    <row r="225" spans="1:85" hidden="1" x14ac:dyDescent="0.25">
      <c r="A225" t="s">
        <v>128</v>
      </c>
      <c r="B225" t="s">
        <v>181</v>
      </c>
      <c r="C225" t="s">
        <v>72</v>
      </c>
      <c r="D225" s="12">
        <v>45582</v>
      </c>
      <c r="E225" t="s">
        <v>135</v>
      </c>
      <c r="F225" t="s">
        <v>135</v>
      </c>
      <c r="G225" t="s">
        <v>135</v>
      </c>
      <c r="H225" t="s">
        <v>73</v>
      </c>
      <c r="I225">
        <v>10</v>
      </c>
      <c r="K225">
        <v>14.12921652156102</v>
      </c>
      <c r="L225">
        <v>45582</v>
      </c>
      <c r="M225" t="s">
        <v>166</v>
      </c>
      <c r="N225">
        <v>16.149999999999999</v>
      </c>
      <c r="O225">
        <v>16.149999999999999</v>
      </c>
      <c r="P225">
        <v>13.835679271708679</v>
      </c>
      <c r="Q225">
        <v>1.1430216229863337</v>
      </c>
      <c r="R225">
        <v>1.1430216229863337</v>
      </c>
      <c r="S225">
        <v>0.97922480348401442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0.1430216229863337</v>
      </c>
      <c r="AC225">
        <v>0</v>
      </c>
      <c r="AD225">
        <v>0</v>
      </c>
      <c r="AE225">
        <v>0</v>
      </c>
      <c r="AF225">
        <v>2.0775196515985583E-2</v>
      </c>
      <c r="AG225">
        <v>0</v>
      </c>
      <c r="AH225">
        <v>0.97922480348401442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0.87487408802235422</v>
      </c>
      <c r="AO225">
        <v>0.87487408802235422</v>
      </c>
      <c r="AP225">
        <v>0.85669840691694621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0.12512591197764578</v>
      </c>
      <c r="BB225">
        <v>0</v>
      </c>
      <c r="BC225">
        <v>1.8175681105408015E-2</v>
      </c>
      <c r="BD225">
        <v>0</v>
      </c>
      <c r="BE225">
        <v>0.85669840691694621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1.1672719266500824</v>
      </c>
      <c r="BL225">
        <v>1.1672719266500824</v>
      </c>
      <c r="BM225">
        <v>1.0212159623020871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2.121596230208711E-2</v>
      </c>
      <c r="BU225">
        <v>0</v>
      </c>
      <c r="BV225">
        <v>0.14605596434799528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1</v>
      </c>
      <c r="CC225">
        <v>0</v>
      </c>
      <c r="CD225">
        <v>0</v>
      </c>
      <c r="CE225">
        <v>0</v>
      </c>
      <c r="CF225">
        <v>0</v>
      </c>
      <c r="CG225">
        <v>0</v>
      </c>
    </row>
    <row r="226" spans="1:85" hidden="1" x14ac:dyDescent="0.25">
      <c r="A226" t="s">
        <v>128</v>
      </c>
      <c r="B226" t="s">
        <v>181</v>
      </c>
      <c r="C226" t="s">
        <v>72</v>
      </c>
      <c r="D226" s="12">
        <v>45582</v>
      </c>
      <c r="E226" t="s">
        <v>135</v>
      </c>
      <c r="F226" t="s">
        <v>135</v>
      </c>
      <c r="G226" t="s">
        <v>135</v>
      </c>
      <c r="H226" t="s">
        <v>74</v>
      </c>
      <c r="I226">
        <v>10</v>
      </c>
      <c r="K226">
        <v>3.5111676249447159</v>
      </c>
      <c r="L226">
        <v>45582</v>
      </c>
      <c r="M226" t="s">
        <v>167</v>
      </c>
      <c r="N226">
        <v>5.6999999999999993</v>
      </c>
      <c r="O226">
        <v>5.6999999999999993</v>
      </c>
      <c r="P226">
        <v>7.7290552584670227</v>
      </c>
      <c r="Q226">
        <v>1.6233915918752946</v>
      </c>
      <c r="R226">
        <v>1.6233915918752946</v>
      </c>
      <c r="S226">
        <v>2.2012777753920871</v>
      </c>
      <c r="T226">
        <v>0.57788618351679255</v>
      </c>
      <c r="U226">
        <v>0</v>
      </c>
      <c r="V226">
        <v>0</v>
      </c>
      <c r="W226">
        <v>0</v>
      </c>
      <c r="X226">
        <v>0.37339159187529458</v>
      </c>
      <c r="Y226">
        <v>0</v>
      </c>
      <c r="Z226">
        <v>0.25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1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0.61599432016573974</v>
      </c>
      <c r="AO226">
        <v>0.61599432016573974</v>
      </c>
      <c r="AP226">
        <v>1.3559746067486007</v>
      </c>
      <c r="AQ226">
        <v>0.35597460674860071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0.61599432016573974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0.73747693726937269</v>
      </c>
      <c r="BL226">
        <v>0.73747693726937269</v>
      </c>
      <c r="BM226">
        <v>0.45428160461115907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0.26252306273062731</v>
      </c>
      <c r="BY226">
        <v>0</v>
      </c>
      <c r="BZ226">
        <v>0.28319533265821362</v>
      </c>
      <c r="CA226">
        <v>0</v>
      </c>
      <c r="CB226">
        <v>0.45428160461115907</v>
      </c>
      <c r="CC226">
        <v>0</v>
      </c>
      <c r="CD226">
        <v>0</v>
      </c>
      <c r="CE226">
        <v>0</v>
      </c>
      <c r="CF226">
        <v>0</v>
      </c>
      <c r="CG226">
        <v>0</v>
      </c>
    </row>
    <row r="227" spans="1:85" hidden="1" x14ac:dyDescent="0.25">
      <c r="A227" t="s">
        <v>128</v>
      </c>
      <c r="B227" t="s">
        <v>181</v>
      </c>
      <c r="C227" t="s">
        <v>72</v>
      </c>
      <c r="D227" s="12">
        <v>45582</v>
      </c>
      <c r="E227" t="s">
        <v>135</v>
      </c>
      <c r="F227" t="s">
        <v>135</v>
      </c>
      <c r="G227" t="s">
        <v>135</v>
      </c>
      <c r="H227" t="s">
        <v>75</v>
      </c>
      <c r="I227">
        <v>10</v>
      </c>
      <c r="K227">
        <v>12.417771069086861</v>
      </c>
      <c r="L227">
        <v>45582</v>
      </c>
      <c r="M227" t="s">
        <v>168</v>
      </c>
      <c r="N227">
        <v>13.3</v>
      </c>
      <c r="O227">
        <v>13.3</v>
      </c>
      <c r="P227">
        <v>10.513018843901197</v>
      </c>
      <c r="Q227">
        <v>1.0710456752669071</v>
      </c>
      <c r="R227">
        <v>1.0710456752669071</v>
      </c>
      <c r="S227">
        <v>0.84661077945562979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7.1045675266907082E-2</v>
      </c>
      <c r="AC227">
        <v>0</v>
      </c>
      <c r="AD227">
        <v>0</v>
      </c>
      <c r="AE227">
        <v>0</v>
      </c>
      <c r="AF227">
        <v>0.15338922054437021</v>
      </c>
      <c r="AG227">
        <v>0</v>
      </c>
      <c r="AH227">
        <v>0.84661077945562979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0.93366699767570394</v>
      </c>
      <c r="AO227">
        <v>0.93366699767570394</v>
      </c>
      <c r="AP227">
        <v>0.79045254465422543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6.6333002324296064E-2</v>
      </c>
      <c r="BB227">
        <v>0</v>
      </c>
      <c r="BC227">
        <v>0.1432144530214785</v>
      </c>
      <c r="BD227">
        <v>0</v>
      </c>
      <c r="BE227">
        <v>0.79045254465422543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1.2650980843352699</v>
      </c>
      <c r="BL227">
        <v>1.2650980843352699</v>
      </c>
      <c r="BM227">
        <v>1.181180330166596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0.18118033016659596</v>
      </c>
      <c r="BU227">
        <v>0</v>
      </c>
      <c r="BV227">
        <v>8.3917754168673975E-2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1</v>
      </c>
      <c r="CC227">
        <v>0</v>
      </c>
      <c r="CD227">
        <v>0</v>
      </c>
      <c r="CE227">
        <v>0</v>
      </c>
      <c r="CF227">
        <v>0</v>
      </c>
      <c r="CG227">
        <v>0</v>
      </c>
    </row>
    <row r="228" spans="1:85" hidden="1" x14ac:dyDescent="0.25">
      <c r="A228" t="s">
        <v>128</v>
      </c>
      <c r="B228" t="s">
        <v>181</v>
      </c>
      <c r="C228" t="s">
        <v>109</v>
      </c>
      <c r="D228" s="12">
        <v>45582</v>
      </c>
      <c r="E228" t="s">
        <v>135</v>
      </c>
      <c r="F228" t="s">
        <v>135</v>
      </c>
      <c r="G228" t="s">
        <v>135</v>
      </c>
      <c r="K228">
        <v>30.058155215592596</v>
      </c>
      <c r="N228">
        <v>35.15</v>
      </c>
      <c r="O228">
        <v>35.15</v>
      </c>
      <c r="P228">
        <v>32.077753374076899</v>
      </c>
      <c r="T228">
        <v>6.7504317677302278E-2</v>
      </c>
      <c r="U228">
        <v>0</v>
      </c>
      <c r="V228">
        <v>0</v>
      </c>
      <c r="W228">
        <v>0</v>
      </c>
      <c r="X228">
        <v>4.361679748526303E-2</v>
      </c>
      <c r="Y228">
        <v>0</v>
      </c>
      <c r="Z228">
        <v>2.9203119750370661E-2</v>
      </c>
      <c r="AA228">
        <v>0</v>
      </c>
      <c r="AB228">
        <v>9.6579859559916881E-2</v>
      </c>
      <c r="AC228">
        <v>0</v>
      </c>
      <c r="AD228">
        <v>0</v>
      </c>
      <c r="AE228">
        <v>0</v>
      </c>
      <c r="AF228">
        <v>7.3134543995489368E-2</v>
      </c>
      <c r="AG228">
        <v>0</v>
      </c>
      <c r="AH228">
        <v>0.92686545600451076</v>
      </c>
      <c r="AI228">
        <v>0</v>
      </c>
      <c r="AJ228">
        <v>0</v>
      </c>
      <c r="AK228">
        <v>0</v>
      </c>
      <c r="AL228">
        <v>0</v>
      </c>
      <c r="AM228">
        <v>0</v>
      </c>
    </row>
    <row r="229" spans="1:85" hidden="1" x14ac:dyDescent="0.25">
      <c r="A229" t="s">
        <v>128</v>
      </c>
      <c r="B229" t="s">
        <v>181</v>
      </c>
      <c r="C229" t="s">
        <v>72</v>
      </c>
      <c r="D229" s="12">
        <v>45583</v>
      </c>
      <c r="E229" t="s">
        <v>135</v>
      </c>
      <c r="F229" t="s">
        <v>135</v>
      </c>
      <c r="G229" t="s">
        <v>135</v>
      </c>
      <c r="H229" t="s">
        <v>73</v>
      </c>
      <c r="I229">
        <v>10</v>
      </c>
      <c r="K229">
        <v>14.129216521561023</v>
      </c>
      <c r="L229">
        <v>45583</v>
      </c>
      <c r="M229" t="s">
        <v>169</v>
      </c>
      <c r="N229">
        <v>22.799999999999997</v>
      </c>
      <c r="O229">
        <v>22.799999999999997</v>
      </c>
      <c r="P229">
        <v>12.071813725490191</v>
      </c>
      <c r="Q229">
        <v>1.6136775853924707</v>
      </c>
      <c r="R229">
        <v>1.6136775853924707</v>
      </c>
      <c r="S229">
        <v>0.85438663262529391</v>
      </c>
      <c r="T229">
        <v>0</v>
      </c>
      <c r="U229">
        <v>0</v>
      </c>
      <c r="V229">
        <v>0.36367758539247075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0.25</v>
      </c>
      <c r="AC229">
        <v>0</v>
      </c>
      <c r="AD229">
        <v>0</v>
      </c>
      <c r="AE229">
        <v>0</v>
      </c>
      <c r="AF229">
        <v>0.14561336737470609</v>
      </c>
      <c r="AG229">
        <v>0</v>
      </c>
      <c r="AH229">
        <v>0.85438663262529391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0.61970247901583442</v>
      </c>
      <c r="AO229">
        <v>0.61970247901583442</v>
      </c>
      <c r="AP229">
        <v>0.52946551427588562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0.38029752098416558</v>
      </c>
      <c r="BB229">
        <v>0</v>
      </c>
      <c r="BC229">
        <v>9.02369647399488E-2</v>
      </c>
      <c r="BD229">
        <v>0</v>
      </c>
      <c r="BE229">
        <v>0.52946551427588562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1.8886971351998869</v>
      </c>
      <c r="BL229">
        <v>1.8886971351998869</v>
      </c>
      <c r="BM229">
        <v>1.1704302967934745</v>
      </c>
      <c r="CD229">
        <v>0</v>
      </c>
      <c r="CE229">
        <v>0</v>
      </c>
      <c r="CF229">
        <v>0</v>
      </c>
    </row>
    <row r="230" spans="1:85" hidden="1" x14ac:dyDescent="0.25">
      <c r="A230" t="s">
        <v>128</v>
      </c>
      <c r="B230" t="s">
        <v>181</v>
      </c>
      <c r="C230" t="s">
        <v>72</v>
      </c>
      <c r="D230" s="12">
        <v>45583</v>
      </c>
      <c r="E230" t="s">
        <v>135</v>
      </c>
      <c r="F230" t="s">
        <v>135</v>
      </c>
      <c r="G230" t="s">
        <v>135</v>
      </c>
      <c r="H230" t="s">
        <v>74</v>
      </c>
      <c r="I230">
        <v>10</v>
      </c>
      <c r="K230">
        <v>3.5111676249447159</v>
      </c>
      <c r="L230">
        <v>45583</v>
      </c>
      <c r="M230" t="s">
        <v>170</v>
      </c>
      <c r="N230">
        <v>7.6</v>
      </c>
      <c r="O230">
        <v>7.6</v>
      </c>
      <c r="P230">
        <v>6.8163992869875214</v>
      </c>
      <c r="Q230">
        <v>2.1645221225003928</v>
      </c>
      <c r="R230">
        <v>2.1645221225003928</v>
      </c>
      <c r="S230">
        <v>1.9413482963789992</v>
      </c>
      <c r="T230">
        <v>0</v>
      </c>
      <c r="U230">
        <v>0</v>
      </c>
      <c r="V230">
        <v>0.22317382612139358</v>
      </c>
      <c r="W230">
        <v>0</v>
      </c>
      <c r="X230">
        <v>0.69134829637899919</v>
      </c>
      <c r="Y230">
        <v>0</v>
      </c>
      <c r="Z230">
        <v>0.25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1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0.46199574012430472</v>
      </c>
      <c r="AO230">
        <v>0.46199574012430472</v>
      </c>
      <c r="AP230">
        <v>0.89689464302467392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0.10310535697532608</v>
      </c>
      <c r="BB230">
        <v>0</v>
      </c>
      <c r="BC230">
        <v>0</v>
      </c>
      <c r="BD230">
        <v>0</v>
      </c>
      <c r="BE230">
        <v>0.46199574012430472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1.114958158995816</v>
      </c>
      <c r="BL230">
        <v>1.114958158995816</v>
      </c>
      <c r="BM230">
        <v>0.51510591987290422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0.11495815899581596</v>
      </c>
      <c r="BW230">
        <v>0</v>
      </c>
      <c r="BX230">
        <v>0</v>
      </c>
      <c r="BY230">
        <v>0</v>
      </c>
      <c r="BZ230">
        <v>0.48489408012709578</v>
      </c>
      <c r="CA230">
        <v>0</v>
      </c>
      <c r="CB230">
        <v>0.51510591987290422</v>
      </c>
      <c r="CC230">
        <v>0</v>
      </c>
      <c r="CD230">
        <v>0</v>
      </c>
      <c r="CE230">
        <v>0</v>
      </c>
      <c r="CF230">
        <v>0</v>
      </c>
      <c r="CG230">
        <v>0</v>
      </c>
    </row>
    <row r="231" spans="1:85" hidden="1" x14ac:dyDescent="0.25">
      <c r="A231" t="s">
        <v>128</v>
      </c>
      <c r="B231" t="s">
        <v>181</v>
      </c>
      <c r="C231" t="s">
        <v>72</v>
      </c>
      <c r="D231" s="12">
        <v>45583</v>
      </c>
      <c r="E231" t="s">
        <v>135</v>
      </c>
      <c r="F231" t="s">
        <v>135</v>
      </c>
      <c r="G231" t="s">
        <v>135</v>
      </c>
      <c r="H231" t="s">
        <v>75</v>
      </c>
      <c r="I231">
        <v>10</v>
      </c>
      <c r="K231">
        <v>12.417771069086861</v>
      </c>
      <c r="L231">
        <v>45583</v>
      </c>
      <c r="M231" t="s">
        <v>171</v>
      </c>
      <c r="N231">
        <v>11.4</v>
      </c>
      <c r="O231">
        <v>11.4</v>
      </c>
      <c r="P231">
        <v>10.722593582887695</v>
      </c>
      <c r="Q231">
        <v>0.91803915022877747</v>
      </c>
      <c r="R231">
        <v>0.91803915022877747</v>
      </c>
      <c r="S231">
        <v>0.86348778079673361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8.1960849771222533E-2</v>
      </c>
      <c r="AE231">
        <v>0</v>
      </c>
      <c r="AF231">
        <v>5.4551369432043861E-2</v>
      </c>
      <c r="AG231">
        <v>0</v>
      </c>
      <c r="AH231">
        <v>0.86348778079673361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1.089278163954988</v>
      </c>
      <c r="AO231">
        <v>1.089278163954988</v>
      </c>
      <c r="AP231">
        <v>0.94057838446383302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8.9278163954987999E-2</v>
      </c>
      <c r="AZ231">
        <v>0</v>
      </c>
      <c r="BA231">
        <v>0</v>
      </c>
      <c r="BB231">
        <v>0</v>
      </c>
      <c r="BC231">
        <v>5.9421615536166983E-2</v>
      </c>
      <c r="BD231">
        <v>0</v>
      </c>
      <c r="BE231">
        <v>0.94057838446383302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1.0631756124929872</v>
      </c>
      <c r="BL231">
        <v>1.0631756124929872</v>
      </c>
      <c r="BM231">
        <v>1.1580939791380807</v>
      </c>
      <c r="BN231">
        <v>9.4918366645093455E-2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6.3175612492987199E-2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1</v>
      </c>
      <c r="CC231">
        <v>0</v>
      </c>
      <c r="CD231">
        <v>0</v>
      </c>
      <c r="CE231">
        <v>0</v>
      </c>
      <c r="CF231">
        <v>0</v>
      </c>
      <c r="CG231">
        <v>0</v>
      </c>
    </row>
    <row r="232" spans="1:85" hidden="1" x14ac:dyDescent="0.25">
      <c r="A232" t="s">
        <v>128</v>
      </c>
      <c r="B232" t="s">
        <v>181</v>
      </c>
      <c r="C232" t="s">
        <v>109</v>
      </c>
      <c r="D232" s="12">
        <v>45583</v>
      </c>
      <c r="E232" t="s">
        <v>135</v>
      </c>
      <c r="F232" t="s">
        <v>135</v>
      </c>
      <c r="G232" t="s">
        <v>135</v>
      </c>
      <c r="K232">
        <v>30.058155215592599</v>
      </c>
      <c r="N232">
        <v>41.8</v>
      </c>
      <c r="O232">
        <v>41.8</v>
      </c>
      <c r="P232">
        <v>29.61080659536541</v>
      </c>
      <c r="T232">
        <v>0</v>
      </c>
      <c r="U232">
        <v>0</v>
      </c>
      <c r="V232">
        <v>0.19702074257668115</v>
      </c>
      <c r="W232">
        <v>0</v>
      </c>
      <c r="X232">
        <v>8.0758108353482641E-2</v>
      </c>
      <c r="Y232">
        <v>0</v>
      </c>
      <c r="Z232">
        <v>2.9203119750370658E-2</v>
      </c>
      <c r="AA232">
        <v>0</v>
      </c>
      <c r="AB232">
        <v>0.11751566604985396</v>
      </c>
      <c r="AC232">
        <v>0</v>
      </c>
      <c r="AD232">
        <v>3.3860064324868981E-2</v>
      </c>
      <c r="AE232">
        <v>0</v>
      </c>
      <c r="AF232">
        <v>9.0983934096010646E-2</v>
      </c>
      <c r="AG232">
        <v>0</v>
      </c>
      <c r="AH232">
        <v>0.87515600157912043</v>
      </c>
      <c r="AI232">
        <v>0</v>
      </c>
      <c r="AJ232">
        <v>0</v>
      </c>
      <c r="AK232">
        <v>0</v>
      </c>
      <c r="AL232">
        <v>0</v>
      </c>
      <c r="AM232">
        <v>0</v>
      </c>
    </row>
    <row r="233" spans="1:85" hidden="1" x14ac:dyDescent="0.25">
      <c r="A233" t="s">
        <v>128</v>
      </c>
      <c r="B233" t="s">
        <v>181</v>
      </c>
      <c r="C233" t="s">
        <v>72</v>
      </c>
      <c r="D233" s="12">
        <v>45584</v>
      </c>
      <c r="E233" t="s">
        <v>135</v>
      </c>
      <c r="F233" t="s">
        <v>135</v>
      </c>
      <c r="G233" t="s">
        <v>135</v>
      </c>
      <c r="H233" t="s">
        <v>73</v>
      </c>
      <c r="I233">
        <v>10</v>
      </c>
      <c r="K233">
        <v>14.12921652156102</v>
      </c>
      <c r="L233">
        <v>45584</v>
      </c>
      <c r="M233" t="s">
        <v>172</v>
      </c>
      <c r="N233">
        <v>18.05</v>
      </c>
      <c r="O233">
        <v>18.05</v>
      </c>
      <c r="P233">
        <v>13.844607843137254</v>
      </c>
      <c r="Q233">
        <v>1.2774947551023732</v>
      </c>
      <c r="R233">
        <v>1.2774947551023732</v>
      </c>
      <c r="S233">
        <v>0.97985672609734187</v>
      </c>
      <c r="T233">
        <v>0</v>
      </c>
      <c r="U233">
        <v>0</v>
      </c>
      <c r="V233">
        <v>2.7494755102373203E-2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0.25</v>
      </c>
      <c r="AC233">
        <v>0</v>
      </c>
      <c r="AD233">
        <v>0</v>
      </c>
      <c r="AE233">
        <v>0</v>
      </c>
      <c r="AF233">
        <v>2.0143273902658132E-2</v>
      </c>
      <c r="AG233">
        <v>0</v>
      </c>
      <c r="AH233">
        <v>0.97985672609734187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0.78278207875684314</v>
      </c>
      <c r="AO233">
        <v>0.78278207875684314</v>
      </c>
      <c r="AP233">
        <v>0.767014284938352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0.21721792124315686</v>
      </c>
      <c r="BB233">
        <v>0</v>
      </c>
      <c r="BC233">
        <v>1.5767793818491138E-2</v>
      </c>
      <c r="BD233">
        <v>0</v>
      </c>
      <c r="BE233">
        <v>0.767014284938352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1.3037566830719118</v>
      </c>
      <c r="BL233">
        <v>1.3037566830719118</v>
      </c>
      <c r="BM233">
        <v>1.0205573665681578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2.0557366568157764E-2</v>
      </c>
      <c r="BU233">
        <v>0</v>
      </c>
      <c r="BV233">
        <v>0.28319931650375407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1</v>
      </c>
      <c r="CC233">
        <v>0</v>
      </c>
      <c r="CD233">
        <v>0</v>
      </c>
      <c r="CE233">
        <v>0</v>
      </c>
      <c r="CF233">
        <v>0</v>
      </c>
      <c r="CG233">
        <v>0</v>
      </c>
    </row>
    <row r="234" spans="1:85" hidden="1" x14ac:dyDescent="0.25">
      <c r="A234" t="s">
        <v>128</v>
      </c>
      <c r="B234" t="s">
        <v>181</v>
      </c>
      <c r="C234" t="s">
        <v>72</v>
      </c>
      <c r="D234" s="12">
        <v>45584</v>
      </c>
      <c r="E234" t="s">
        <v>135</v>
      </c>
      <c r="F234" t="s">
        <v>135</v>
      </c>
      <c r="G234" t="s">
        <v>135</v>
      </c>
      <c r="H234" t="s">
        <v>74</v>
      </c>
      <c r="I234">
        <v>10</v>
      </c>
      <c r="K234">
        <v>3.5111676249447159</v>
      </c>
      <c r="L234">
        <v>45584</v>
      </c>
      <c r="M234" t="s">
        <v>173</v>
      </c>
      <c r="N234">
        <v>5.6999999999999993</v>
      </c>
      <c r="O234">
        <v>5.6999999999999993</v>
      </c>
      <c r="P234">
        <v>6.8449197860962556</v>
      </c>
      <c r="Q234">
        <v>1.6233915918752946</v>
      </c>
      <c r="R234">
        <v>1.6233915918752946</v>
      </c>
      <c r="S234">
        <v>1.9494710925981582</v>
      </c>
      <c r="T234">
        <v>0.32607950072286362</v>
      </c>
      <c r="U234">
        <v>0</v>
      </c>
      <c r="V234">
        <v>0</v>
      </c>
      <c r="W234">
        <v>0</v>
      </c>
      <c r="X234">
        <v>0.37339159187529458</v>
      </c>
      <c r="Y234">
        <v>0</v>
      </c>
      <c r="Z234">
        <v>0.25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1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0.61599432016573974</v>
      </c>
      <c r="AO234">
        <v>0.61599432016573974</v>
      </c>
      <c r="AP234">
        <v>1.2008631203677642</v>
      </c>
      <c r="AQ234">
        <v>0.20086312036776421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0.61599432016573974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0.83273437500000003</v>
      </c>
      <c r="BL234">
        <v>0.83273437500000003</v>
      </c>
      <c r="BM234">
        <v>0.51295964520676718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0.16726562499999997</v>
      </c>
      <c r="BY234">
        <v>0</v>
      </c>
      <c r="BZ234">
        <v>0.31977472979323285</v>
      </c>
      <c r="CA234">
        <v>0</v>
      </c>
      <c r="CB234">
        <v>0.51295964520676718</v>
      </c>
      <c r="CC234">
        <v>0</v>
      </c>
      <c r="CD234">
        <v>0</v>
      </c>
      <c r="CE234">
        <v>0</v>
      </c>
      <c r="CF234">
        <v>0</v>
      </c>
      <c r="CG234">
        <v>0</v>
      </c>
    </row>
    <row r="235" spans="1:85" hidden="1" x14ac:dyDescent="0.25">
      <c r="A235" t="s">
        <v>128</v>
      </c>
      <c r="B235" t="s">
        <v>181</v>
      </c>
      <c r="C235" t="s">
        <v>72</v>
      </c>
      <c r="D235" s="12">
        <v>45584</v>
      </c>
      <c r="E235" t="s">
        <v>135</v>
      </c>
      <c r="F235" t="s">
        <v>135</v>
      </c>
      <c r="G235" t="s">
        <v>135</v>
      </c>
      <c r="H235" t="s">
        <v>75</v>
      </c>
      <c r="I235">
        <v>10</v>
      </c>
      <c r="K235">
        <v>12.417771069086861</v>
      </c>
      <c r="L235">
        <v>45584</v>
      </c>
      <c r="M235" t="s">
        <v>174</v>
      </c>
      <c r="N235">
        <v>17.099999999999998</v>
      </c>
      <c r="O235">
        <v>17.099999999999998</v>
      </c>
      <c r="P235">
        <v>10.993315508021386</v>
      </c>
      <c r="Q235">
        <v>1.3770587253431661</v>
      </c>
      <c r="R235">
        <v>1.3770587253431661</v>
      </c>
      <c r="S235">
        <v>0.88528894975270134</v>
      </c>
      <c r="T235">
        <v>0</v>
      </c>
      <c r="U235">
        <v>0</v>
      </c>
      <c r="V235">
        <v>0.12705872534316609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0.25</v>
      </c>
      <c r="AC235">
        <v>0</v>
      </c>
      <c r="AD235">
        <v>0</v>
      </c>
      <c r="AE235">
        <v>0</v>
      </c>
      <c r="AF235">
        <v>0.11471105024729866</v>
      </c>
      <c r="AG235">
        <v>0</v>
      </c>
      <c r="AH235">
        <v>0.88528894975270134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0.72618544263665863</v>
      </c>
      <c r="AO235">
        <v>0.72618544263665863</v>
      </c>
      <c r="AP235">
        <v>0.64288394783750802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0.27381455736334137</v>
      </c>
      <c r="BB235">
        <v>0</v>
      </c>
      <c r="BC235">
        <v>8.3301494799150611E-2</v>
      </c>
      <c r="BD235">
        <v>0</v>
      </c>
      <c r="BE235">
        <v>0.64288394783750802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1.5554906968259763</v>
      </c>
      <c r="BL235">
        <v>1.5554906968259763</v>
      </c>
      <c r="BM235">
        <v>1.1295747001917762</v>
      </c>
      <c r="CD235">
        <v>0</v>
      </c>
      <c r="CE235">
        <v>0</v>
      </c>
      <c r="CF235">
        <v>0</v>
      </c>
    </row>
    <row r="236" spans="1:85" hidden="1" x14ac:dyDescent="0.25">
      <c r="A236" t="s">
        <v>128</v>
      </c>
      <c r="B236" t="s">
        <v>181</v>
      </c>
      <c r="C236" t="s">
        <v>109</v>
      </c>
      <c r="D236" s="12">
        <v>45584</v>
      </c>
      <c r="E236" t="s">
        <v>135</v>
      </c>
      <c r="F236" t="s">
        <v>135</v>
      </c>
      <c r="G236" t="s">
        <v>135</v>
      </c>
      <c r="K236">
        <v>30.058155215592596</v>
      </c>
      <c r="N236">
        <v>40.849999999999994</v>
      </c>
      <c r="O236">
        <v>40.849999999999994</v>
      </c>
      <c r="P236">
        <v>31.682843137254896</v>
      </c>
      <c r="T236">
        <v>3.8090154831003455E-2</v>
      </c>
      <c r="U236">
        <v>0</v>
      </c>
      <c r="V236">
        <v>6.5415375547403912E-2</v>
      </c>
      <c r="W236">
        <v>0</v>
      </c>
      <c r="X236">
        <v>4.361679748526303E-2</v>
      </c>
      <c r="Y236">
        <v>0</v>
      </c>
      <c r="Z236">
        <v>2.9203119750370661E-2</v>
      </c>
      <c r="AA236">
        <v>0</v>
      </c>
      <c r="AB236">
        <v>0.22079688024962935</v>
      </c>
      <c r="AC236">
        <v>0</v>
      </c>
      <c r="AD236">
        <v>0</v>
      </c>
      <c r="AE236">
        <v>0</v>
      </c>
      <c r="AF236">
        <v>5.685858720307186E-2</v>
      </c>
      <c r="AG236">
        <v>0</v>
      </c>
      <c r="AH236">
        <v>0.9431414127969282</v>
      </c>
      <c r="AI236">
        <v>0</v>
      </c>
      <c r="AJ236">
        <v>0</v>
      </c>
      <c r="AK236">
        <v>0</v>
      </c>
      <c r="AL236">
        <v>0</v>
      </c>
      <c r="AM236">
        <v>0</v>
      </c>
    </row>
    <row r="237" spans="1:85" hidden="1" x14ac:dyDescent="0.25">
      <c r="A237" t="s">
        <v>128</v>
      </c>
      <c r="B237" t="s">
        <v>181</v>
      </c>
      <c r="C237" t="s">
        <v>72</v>
      </c>
      <c r="D237" s="12">
        <v>45585</v>
      </c>
      <c r="E237" t="s">
        <v>135</v>
      </c>
      <c r="F237" t="s">
        <v>135</v>
      </c>
      <c r="G237" t="s">
        <v>135</v>
      </c>
      <c r="H237" t="s">
        <v>73</v>
      </c>
      <c r="I237">
        <v>10</v>
      </c>
      <c r="K237">
        <v>14.12921652156102</v>
      </c>
      <c r="L237">
        <v>45585</v>
      </c>
      <c r="M237" t="s">
        <v>175</v>
      </c>
      <c r="N237">
        <v>19.95</v>
      </c>
      <c r="O237">
        <v>19.95</v>
      </c>
      <c r="P237">
        <v>13.844607843137254</v>
      </c>
      <c r="Q237">
        <v>1.4119678872184125</v>
      </c>
      <c r="R237">
        <v>1.4119678872184125</v>
      </c>
      <c r="S237">
        <v>0.97985672609734187</v>
      </c>
      <c r="T237">
        <v>0</v>
      </c>
      <c r="U237">
        <v>0</v>
      </c>
      <c r="V237">
        <v>0.16196788721841249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0.25</v>
      </c>
      <c r="AC237">
        <v>0</v>
      </c>
      <c r="AD237">
        <v>0</v>
      </c>
      <c r="AE237">
        <v>0</v>
      </c>
      <c r="AF237">
        <v>2.0143273902658132E-2</v>
      </c>
      <c r="AG237">
        <v>0</v>
      </c>
      <c r="AH237">
        <v>0.97985672609734187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0.70823140458952483</v>
      </c>
      <c r="AO237">
        <v>0.70823140458952483</v>
      </c>
      <c r="AP237">
        <v>0.69396530542041379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0.29176859541047517</v>
      </c>
      <c r="BB237">
        <v>0</v>
      </c>
      <c r="BC237">
        <v>1.4266099169111035E-2</v>
      </c>
      <c r="BD237">
        <v>0</v>
      </c>
      <c r="BE237">
        <v>0.69396530542041379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1.4409942286584287</v>
      </c>
      <c r="BL237">
        <v>1.4409942286584287</v>
      </c>
      <c r="BM237">
        <v>1.0205573665681578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2.0557366568157764E-2</v>
      </c>
      <c r="BU237">
        <v>0</v>
      </c>
      <c r="BV237">
        <v>0.42043686209027098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1</v>
      </c>
      <c r="CC237">
        <v>0</v>
      </c>
      <c r="CD237">
        <v>0</v>
      </c>
      <c r="CE237">
        <v>0</v>
      </c>
      <c r="CF237">
        <v>0</v>
      </c>
      <c r="CG237">
        <v>0</v>
      </c>
    </row>
    <row r="238" spans="1:85" hidden="1" x14ac:dyDescent="0.25">
      <c r="A238" t="s">
        <v>128</v>
      </c>
      <c r="B238" t="s">
        <v>181</v>
      </c>
      <c r="C238" t="s">
        <v>72</v>
      </c>
      <c r="D238" s="12">
        <v>45585</v>
      </c>
      <c r="E238" t="s">
        <v>135</v>
      </c>
      <c r="F238" t="s">
        <v>135</v>
      </c>
      <c r="G238" t="s">
        <v>135</v>
      </c>
      <c r="H238" t="s">
        <v>74</v>
      </c>
      <c r="I238">
        <v>10</v>
      </c>
      <c r="K238">
        <v>3.5111676249447159</v>
      </c>
      <c r="L238">
        <v>45585</v>
      </c>
      <c r="M238" t="s">
        <v>176</v>
      </c>
      <c r="N238">
        <v>5.6999999999999993</v>
      </c>
      <c r="O238">
        <v>5.6999999999999993</v>
      </c>
      <c r="P238">
        <v>6.8163992869875214</v>
      </c>
      <c r="Q238">
        <v>1.6233915918752946</v>
      </c>
      <c r="R238">
        <v>1.6233915918752946</v>
      </c>
      <c r="S238">
        <v>1.9413482963789992</v>
      </c>
      <c r="T238">
        <v>0.31795670450370461</v>
      </c>
      <c r="U238">
        <v>0</v>
      </c>
      <c r="V238">
        <v>0</v>
      </c>
      <c r="W238">
        <v>0</v>
      </c>
      <c r="X238">
        <v>0.37339159187529458</v>
      </c>
      <c r="Y238">
        <v>0</v>
      </c>
      <c r="Z238">
        <v>0.25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1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0.61599432016573974</v>
      </c>
      <c r="AO238">
        <v>0.61599432016573974</v>
      </c>
      <c r="AP238">
        <v>1.1958595240328986</v>
      </c>
      <c r="AQ238">
        <v>0.19585952403289864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0.61599432016573974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0.83621861924686192</v>
      </c>
      <c r="BL238">
        <v>0.83621861924686192</v>
      </c>
      <c r="BM238">
        <v>0.51510591987290422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0.16378138075313808</v>
      </c>
      <c r="BY238">
        <v>0</v>
      </c>
      <c r="BZ238">
        <v>0.3211126993739577</v>
      </c>
      <c r="CA238">
        <v>0</v>
      </c>
      <c r="CB238">
        <v>0.51510591987290422</v>
      </c>
      <c r="CC238">
        <v>0</v>
      </c>
      <c r="CD238">
        <v>0</v>
      </c>
      <c r="CE238">
        <v>0</v>
      </c>
      <c r="CF238">
        <v>0</v>
      </c>
      <c r="CG238">
        <v>0</v>
      </c>
    </row>
    <row r="239" spans="1:85" hidden="1" x14ac:dyDescent="0.25">
      <c r="A239" t="s">
        <v>128</v>
      </c>
      <c r="B239" t="s">
        <v>181</v>
      </c>
      <c r="C239" t="s">
        <v>72</v>
      </c>
      <c r="D239" s="12">
        <v>45585</v>
      </c>
      <c r="E239" t="s">
        <v>135</v>
      </c>
      <c r="F239" t="s">
        <v>135</v>
      </c>
      <c r="G239" t="s">
        <v>135</v>
      </c>
      <c r="H239" t="s">
        <v>75</v>
      </c>
      <c r="I239">
        <v>10</v>
      </c>
      <c r="K239">
        <v>12.417771069086861</v>
      </c>
      <c r="L239">
        <v>45585</v>
      </c>
      <c r="M239" t="s">
        <v>177</v>
      </c>
      <c r="N239">
        <v>16.149999999999999</v>
      </c>
      <c r="O239">
        <v>16.149999999999999</v>
      </c>
      <c r="P239">
        <v>10.77941176470588</v>
      </c>
      <c r="Q239">
        <v>1.3005554628241014</v>
      </c>
      <c r="R239">
        <v>1.3005554628241014</v>
      </c>
      <c r="S239">
        <v>0.86806333477514686</v>
      </c>
      <c r="T239">
        <v>0</v>
      </c>
      <c r="U239">
        <v>0</v>
      </c>
      <c r="V239">
        <v>5.0555462824101394E-2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0.25</v>
      </c>
      <c r="AC239">
        <v>0</v>
      </c>
      <c r="AD239">
        <v>0</v>
      </c>
      <c r="AE239">
        <v>0</v>
      </c>
      <c r="AF239">
        <v>0.13193666522485314</v>
      </c>
      <c r="AG239">
        <v>0</v>
      </c>
      <c r="AH239">
        <v>0.86806333477514686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0.76890223337999142</v>
      </c>
      <c r="AO239">
        <v>0.76890223337999142</v>
      </c>
      <c r="AP239">
        <v>0.66745583682389353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0.23109776662000858</v>
      </c>
      <c r="BB239">
        <v>0</v>
      </c>
      <c r="BC239">
        <v>0.10144639655609788</v>
      </c>
      <c r="BD239">
        <v>0</v>
      </c>
      <c r="BE239">
        <v>0.66745583682389353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1.4982264665757163</v>
      </c>
      <c r="BL239">
        <v>1.4982264665757163</v>
      </c>
      <c r="BM239">
        <v>1.1519896762590813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0.15198967625908133</v>
      </c>
      <c r="BU239">
        <v>0</v>
      </c>
      <c r="BV239">
        <v>0.34623679031663501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1</v>
      </c>
      <c r="CC239">
        <v>0</v>
      </c>
      <c r="CD239">
        <v>0</v>
      </c>
      <c r="CE239">
        <v>0</v>
      </c>
      <c r="CF239">
        <v>0</v>
      </c>
      <c r="CG239">
        <v>0</v>
      </c>
    </row>
    <row r="240" spans="1:85" hidden="1" x14ac:dyDescent="0.25">
      <c r="A240" t="s">
        <v>128</v>
      </c>
      <c r="B240" t="s">
        <v>181</v>
      </c>
      <c r="C240" t="s">
        <v>109</v>
      </c>
      <c r="D240" s="12">
        <v>45585</v>
      </c>
      <c r="E240" t="s">
        <v>135</v>
      </c>
      <c r="F240" t="s">
        <v>135</v>
      </c>
      <c r="G240" t="s">
        <v>135</v>
      </c>
      <c r="K240">
        <v>30.058155215592596</v>
      </c>
      <c r="N240">
        <v>41.8</v>
      </c>
      <c r="O240">
        <v>41.8</v>
      </c>
      <c r="P240">
        <v>31.440418894830657</v>
      </c>
      <c r="T240">
        <v>3.7141310868219618E-2</v>
      </c>
      <c r="U240">
        <v>0</v>
      </c>
      <c r="V240">
        <v>9.7020774920256667E-2</v>
      </c>
      <c r="W240">
        <v>0</v>
      </c>
      <c r="X240">
        <v>4.361679748526303E-2</v>
      </c>
      <c r="Y240">
        <v>0</v>
      </c>
      <c r="Z240">
        <v>2.9203119750370661E-2</v>
      </c>
      <c r="AA240">
        <v>0</v>
      </c>
      <c r="AB240">
        <v>0.22079688024962935</v>
      </c>
      <c r="AC240">
        <v>0</v>
      </c>
      <c r="AD240">
        <v>0</v>
      </c>
      <c r="AE240">
        <v>0</v>
      </c>
      <c r="AF240">
        <v>6.397491692395052E-2</v>
      </c>
      <c r="AG240">
        <v>0</v>
      </c>
      <c r="AH240">
        <v>0.93602508307604948</v>
      </c>
      <c r="AI240">
        <v>0</v>
      </c>
      <c r="AJ240">
        <v>0</v>
      </c>
      <c r="AK240">
        <v>0</v>
      </c>
      <c r="AL240">
        <v>0</v>
      </c>
      <c r="AM240">
        <v>0</v>
      </c>
    </row>
    <row r="241" spans="1:85" hidden="1" x14ac:dyDescent="0.25">
      <c r="A241" t="s">
        <v>128</v>
      </c>
      <c r="B241" t="s">
        <v>181</v>
      </c>
      <c r="C241" t="s">
        <v>72</v>
      </c>
      <c r="D241" s="12">
        <v>45572</v>
      </c>
      <c r="E241" t="s">
        <v>179</v>
      </c>
      <c r="F241" t="s">
        <v>179</v>
      </c>
      <c r="G241" t="s">
        <v>179</v>
      </c>
      <c r="H241" t="s">
        <v>73</v>
      </c>
      <c r="I241">
        <v>10</v>
      </c>
      <c r="K241">
        <v>3.7478639781271368</v>
      </c>
      <c r="L241">
        <v>45572</v>
      </c>
      <c r="M241" t="s">
        <v>136</v>
      </c>
      <c r="N241">
        <v>2.8499999999999996</v>
      </c>
      <c r="O241">
        <v>2.8499999999999996</v>
      </c>
      <c r="P241">
        <v>3.75</v>
      </c>
      <c r="Q241">
        <v>0.76043314715604671</v>
      </c>
      <c r="R241">
        <v>0.76043314715604671</v>
      </c>
      <c r="S241">
        <v>1.0005699304684827</v>
      </c>
      <c r="T241">
        <v>5.6993046848274886E-4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0.23956685284395329</v>
      </c>
      <c r="AD241">
        <v>0</v>
      </c>
      <c r="AE241">
        <v>0</v>
      </c>
      <c r="AF241">
        <v>0</v>
      </c>
      <c r="AG241">
        <v>0</v>
      </c>
      <c r="AH241">
        <v>0.76043314715604671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1.3150399923253113</v>
      </c>
      <c r="AO241">
        <v>1.3150399923253113</v>
      </c>
      <c r="AP241">
        <v>1.3157894736842106</v>
      </c>
      <c r="AQ241">
        <v>7.4948135889929546E-4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0.31503999232531132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1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0.7599999999999999</v>
      </c>
      <c r="BL241">
        <v>0.7599999999999999</v>
      </c>
      <c r="BM241">
        <v>0.99943039416723645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5.6960583276355337E-4</v>
      </c>
      <c r="BY241">
        <v>0</v>
      </c>
      <c r="BZ241">
        <v>0</v>
      </c>
      <c r="CA241">
        <v>0</v>
      </c>
      <c r="CB241">
        <v>0.7599999999999999</v>
      </c>
      <c r="CC241">
        <v>0</v>
      </c>
      <c r="CD241">
        <v>0</v>
      </c>
      <c r="CE241">
        <v>0</v>
      </c>
      <c r="CF241">
        <v>0</v>
      </c>
      <c r="CG241">
        <v>0</v>
      </c>
    </row>
    <row r="242" spans="1:85" hidden="1" x14ac:dyDescent="0.25">
      <c r="A242" t="s">
        <v>128</v>
      </c>
      <c r="B242" t="s">
        <v>181</v>
      </c>
      <c r="C242" t="s">
        <v>72</v>
      </c>
      <c r="D242" s="12">
        <v>45572</v>
      </c>
      <c r="E242" t="s">
        <v>179</v>
      </c>
      <c r="F242" t="s">
        <v>179</v>
      </c>
      <c r="G242" t="s">
        <v>179</v>
      </c>
      <c r="H242" t="s">
        <v>74</v>
      </c>
      <c r="I242">
        <v>10</v>
      </c>
      <c r="K242">
        <v>0.97058823529411775</v>
      </c>
      <c r="L242">
        <v>45572</v>
      </c>
      <c r="M242" t="s">
        <v>137</v>
      </c>
      <c r="N242">
        <v>0</v>
      </c>
      <c r="O242">
        <v>0</v>
      </c>
      <c r="P242">
        <v>5.7040998217468802E-2</v>
      </c>
      <c r="Q242">
        <v>0</v>
      </c>
      <c r="R242">
        <v>0</v>
      </c>
      <c r="S242">
        <v>5.8769513314967853E-2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5.8769513314967853E-2</v>
      </c>
      <c r="AD242">
        <v>0.94123048668503217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K242">
        <v>0</v>
      </c>
      <c r="BL242">
        <v>0</v>
      </c>
      <c r="BM242">
        <v>17.015625000000004</v>
      </c>
      <c r="BN242">
        <v>16.015625000000004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</row>
    <row r="243" spans="1:85" hidden="1" x14ac:dyDescent="0.25">
      <c r="A243" t="s">
        <v>128</v>
      </c>
      <c r="B243" t="s">
        <v>181</v>
      </c>
      <c r="C243" t="s">
        <v>72</v>
      </c>
      <c r="D243" s="12">
        <v>45572</v>
      </c>
      <c r="E243" t="s">
        <v>179</v>
      </c>
      <c r="F243" t="s">
        <v>179</v>
      </c>
      <c r="G243" t="s">
        <v>179</v>
      </c>
      <c r="H243" t="s">
        <v>75</v>
      </c>
      <c r="I243">
        <v>10</v>
      </c>
      <c r="K243">
        <v>4.5836142079336275</v>
      </c>
      <c r="L243">
        <v>45572</v>
      </c>
      <c r="M243" t="s">
        <v>138</v>
      </c>
      <c r="N243">
        <v>3.8</v>
      </c>
      <c r="O243">
        <v>3.8</v>
      </c>
      <c r="P243">
        <v>2.8368983957219247</v>
      </c>
      <c r="Q243">
        <v>0.82904010407828488</v>
      </c>
      <c r="R243">
        <v>0.82904010407828488</v>
      </c>
      <c r="S243">
        <v>0.61892172138126944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0.17095989592171512</v>
      </c>
      <c r="AE243">
        <v>0</v>
      </c>
      <c r="AF243">
        <v>0.21011838269701544</v>
      </c>
      <c r="AG243">
        <v>0</v>
      </c>
      <c r="AH243">
        <v>0.61892172138126944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1.2062142652456915</v>
      </c>
      <c r="AO243">
        <v>1.2062142652456915</v>
      </c>
      <c r="AP243">
        <v>0.74655220940050648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0.20621426524569153</v>
      </c>
      <c r="AZ243">
        <v>0</v>
      </c>
      <c r="BA243">
        <v>0</v>
      </c>
      <c r="BB243">
        <v>0</v>
      </c>
      <c r="BC243">
        <v>0.25344779059949352</v>
      </c>
      <c r="BD243">
        <v>0</v>
      </c>
      <c r="BE243">
        <v>0.74655220940050648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1.3394910461828464</v>
      </c>
      <c r="BL243">
        <v>1.3394910461828464</v>
      </c>
      <c r="BM243">
        <v>1.6157132080746248</v>
      </c>
      <c r="BN243">
        <v>0.27622216189177839</v>
      </c>
      <c r="BO243">
        <v>0</v>
      </c>
      <c r="BP243">
        <v>0</v>
      </c>
      <c r="BQ243">
        <v>0</v>
      </c>
      <c r="BR243">
        <v>0</v>
      </c>
      <c r="BS243">
        <v>0.16050895381715358</v>
      </c>
      <c r="BT243">
        <v>0.33949104618284642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</row>
    <row r="244" spans="1:85" hidden="1" x14ac:dyDescent="0.25">
      <c r="A244" t="s">
        <v>128</v>
      </c>
      <c r="B244" t="s">
        <v>181</v>
      </c>
      <c r="C244" t="s">
        <v>109</v>
      </c>
      <c r="D244" s="12">
        <v>45572</v>
      </c>
      <c r="E244" t="s">
        <v>179</v>
      </c>
      <c r="F244" t="s">
        <v>179</v>
      </c>
      <c r="G244" t="s">
        <v>179</v>
      </c>
      <c r="K244">
        <v>9.3020664213548816</v>
      </c>
      <c r="N244">
        <v>6.6499999999999995</v>
      </c>
      <c r="O244">
        <v>6.6499999999999995</v>
      </c>
      <c r="P244">
        <v>6.6439393939393927</v>
      </c>
      <c r="T244">
        <v>2.2962874872188864E-4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0.10265514489903205</v>
      </c>
      <c r="AD244">
        <v>0.18244993833994561</v>
      </c>
      <c r="AE244">
        <v>0</v>
      </c>
      <c r="AF244">
        <v>0.10353630695079426</v>
      </c>
      <c r="AG244">
        <v>0</v>
      </c>
      <c r="AH244">
        <v>0.61135860981022805</v>
      </c>
      <c r="AI244">
        <v>0</v>
      </c>
      <c r="AJ244">
        <v>0</v>
      </c>
      <c r="AK244">
        <v>0</v>
      </c>
      <c r="AL244">
        <v>0</v>
      </c>
      <c r="AM244">
        <v>0</v>
      </c>
    </row>
    <row r="245" spans="1:85" hidden="1" x14ac:dyDescent="0.25">
      <c r="A245" t="s">
        <v>128</v>
      </c>
      <c r="B245" t="s">
        <v>181</v>
      </c>
      <c r="C245" t="s">
        <v>72</v>
      </c>
      <c r="D245" s="12">
        <v>45573</v>
      </c>
      <c r="E245" t="s">
        <v>179</v>
      </c>
      <c r="F245" t="s">
        <v>179</v>
      </c>
      <c r="G245" t="s">
        <v>179</v>
      </c>
      <c r="H245" t="s">
        <v>73</v>
      </c>
      <c r="I245">
        <v>10</v>
      </c>
      <c r="K245">
        <v>3.7478639781271368</v>
      </c>
      <c r="L245">
        <v>45573</v>
      </c>
      <c r="M245" t="s">
        <v>139</v>
      </c>
      <c r="N245">
        <v>3.8</v>
      </c>
      <c r="O245">
        <v>3.8</v>
      </c>
      <c r="P245">
        <v>3.75</v>
      </c>
      <c r="Q245">
        <v>1.0139108628747291</v>
      </c>
      <c r="R245">
        <v>1.0139108628747291</v>
      </c>
      <c r="S245">
        <v>1.0005699304684827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5.6993046848274886E-4</v>
      </c>
      <c r="AA245">
        <v>0</v>
      </c>
      <c r="AB245">
        <v>1.3340932406246342E-2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1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0.98627999424398338</v>
      </c>
      <c r="AO245">
        <v>0.98627999424398338</v>
      </c>
      <c r="AP245">
        <v>0.98684210526315796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1.3157894736842035E-2</v>
      </c>
      <c r="BB245">
        <v>0</v>
      </c>
      <c r="BC245">
        <v>0</v>
      </c>
      <c r="BD245">
        <v>0</v>
      </c>
      <c r="BE245">
        <v>0.98627999424398338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1.0133333333333332</v>
      </c>
      <c r="BL245">
        <v>1.0133333333333332</v>
      </c>
      <c r="BM245">
        <v>0.99943039416723645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1.3333333333333197E-2</v>
      </c>
      <c r="BW245">
        <v>0</v>
      </c>
      <c r="BX245">
        <v>0</v>
      </c>
      <c r="BY245">
        <v>0</v>
      </c>
      <c r="BZ245">
        <v>5.6960583276355337E-4</v>
      </c>
      <c r="CA245">
        <v>0</v>
      </c>
      <c r="CB245">
        <v>0.99943039416723645</v>
      </c>
      <c r="CC245">
        <v>0</v>
      </c>
      <c r="CD245">
        <v>0</v>
      </c>
      <c r="CE245">
        <v>0</v>
      </c>
      <c r="CF245">
        <v>0</v>
      </c>
      <c r="CG245">
        <v>0</v>
      </c>
    </row>
    <row r="246" spans="1:85" hidden="1" x14ac:dyDescent="0.25">
      <c r="A246" t="s">
        <v>128</v>
      </c>
      <c r="B246" t="s">
        <v>181</v>
      </c>
      <c r="C246" t="s">
        <v>72</v>
      </c>
      <c r="D246" s="12">
        <v>45573</v>
      </c>
      <c r="E246" t="s">
        <v>179</v>
      </c>
      <c r="F246" t="s">
        <v>179</v>
      </c>
      <c r="G246" t="s">
        <v>179</v>
      </c>
      <c r="H246" t="s">
        <v>74</v>
      </c>
      <c r="I246">
        <v>10</v>
      </c>
      <c r="K246">
        <v>0.97058823529411775</v>
      </c>
      <c r="L246">
        <v>45573</v>
      </c>
      <c r="M246" t="s">
        <v>140</v>
      </c>
      <c r="N246">
        <v>0.95</v>
      </c>
      <c r="O246">
        <v>0.95</v>
      </c>
      <c r="P246">
        <v>0.99821746880570394</v>
      </c>
      <c r="Q246">
        <v>0.97878787878787865</v>
      </c>
      <c r="R246">
        <v>0.97878787878787865</v>
      </c>
      <c r="S246">
        <v>1.0284664830119372</v>
      </c>
      <c r="T246">
        <v>2.8466483011937216E-2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2.1212121212121349E-2</v>
      </c>
      <c r="AD246">
        <v>0</v>
      </c>
      <c r="AE246">
        <v>0</v>
      </c>
      <c r="AF246">
        <v>0</v>
      </c>
      <c r="AG246">
        <v>0</v>
      </c>
      <c r="AH246">
        <v>0.97878787878787865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1.0216718266253872</v>
      </c>
      <c r="AO246">
        <v>1.0216718266253872</v>
      </c>
      <c r="AP246">
        <v>1.0507552303217937</v>
      </c>
      <c r="AQ246">
        <v>2.9083403696406496E-2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2.1671826625387247E-2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1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0.95169642857142867</v>
      </c>
      <c r="BL246">
        <v>0.95169642857142867</v>
      </c>
      <c r="BM246">
        <v>0.97232142857142878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2.7678571428571219E-2</v>
      </c>
      <c r="BY246">
        <v>0</v>
      </c>
      <c r="BZ246">
        <v>0</v>
      </c>
      <c r="CA246">
        <v>0</v>
      </c>
      <c r="CB246">
        <v>0.95169642857142867</v>
      </c>
      <c r="CC246">
        <v>0</v>
      </c>
      <c r="CD246">
        <v>0</v>
      </c>
      <c r="CE246">
        <v>0</v>
      </c>
      <c r="CF246">
        <v>0</v>
      </c>
      <c r="CG246">
        <v>0</v>
      </c>
    </row>
    <row r="247" spans="1:85" hidden="1" x14ac:dyDescent="0.25">
      <c r="A247" t="s">
        <v>128</v>
      </c>
      <c r="B247" t="s">
        <v>181</v>
      </c>
      <c r="C247" t="s">
        <v>72</v>
      </c>
      <c r="D247" s="12">
        <v>45573</v>
      </c>
      <c r="E247" t="s">
        <v>179</v>
      </c>
      <c r="F247" t="s">
        <v>179</v>
      </c>
      <c r="G247" t="s">
        <v>179</v>
      </c>
      <c r="H247" t="s">
        <v>75</v>
      </c>
      <c r="I247">
        <v>10</v>
      </c>
      <c r="K247">
        <v>4.5836142079336275</v>
      </c>
      <c r="L247">
        <v>45573</v>
      </c>
      <c r="M247" t="s">
        <v>141</v>
      </c>
      <c r="N247">
        <v>4.75</v>
      </c>
      <c r="O247">
        <v>4.75</v>
      </c>
      <c r="P247">
        <v>2.8368983957219247</v>
      </c>
      <c r="Q247">
        <v>1.036300130097856</v>
      </c>
      <c r="R247">
        <v>1.036300130097856</v>
      </c>
      <c r="S247">
        <v>0.61892172138126944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3.6300130097856043E-2</v>
      </c>
      <c r="AC247">
        <v>0</v>
      </c>
      <c r="AD247">
        <v>0</v>
      </c>
      <c r="AE247">
        <v>0</v>
      </c>
      <c r="AF247">
        <v>0.38107827861873056</v>
      </c>
      <c r="AG247">
        <v>0</v>
      </c>
      <c r="AH247">
        <v>0.61892172138126944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0.96497141219655314</v>
      </c>
      <c r="AO247">
        <v>0.96497141219655314</v>
      </c>
      <c r="AP247">
        <v>0.59724176752040525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3.5028587803446865E-2</v>
      </c>
      <c r="BB247">
        <v>0</v>
      </c>
      <c r="BC247">
        <v>0.36772964467614788</v>
      </c>
      <c r="BD247">
        <v>0</v>
      </c>
      <c r="BE247">
        <v>0.59724176752040525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1.6743638077285583</v>
      </c>
      <c r="BL247">
        <v>1.6743638077285583</v>
      </c>
      <c r="BM247">
        <v>1.6157132080746248</v>
      </c>
      <c r="CD247">
        <v>0</v>
      </c>
      <c r="CE247">
        <v>0</v>
      </c>
      <c r="CF247">
        <v>0</v>
      </c>
    </row>
    <row r="248" spans="1:85" hidden="1" x14ac:dyDescent="0.25">
      <c r="A248" t="s">
        <v>128</v>
      </c>
      <c r="B248" t="s">
        <v>181</v>
      </c>
      <c r="C248" t="s">
        <v>109</v>
      </c>
      <c r="D248" s="12">
        <v>45573</v>
      </c>
      <c r="E248" t="s">
        <v>179</v>
      </c>
      <c r="F248" t="s">
        <v>179</v>
      </c>
      <c r="G248" t="s">
        <v>179</v>
      </c>
      <c r="K248">
        <v>9.3020664213548816</v>
      </c>
      <c r="N248">
        <v>9.5</v>
      </c>
      <c r="O248">
        <v>9.5</v>
      </c>
      <c r="P248">
        <v>7.5851158645276282</v>
      </c>
      <c r="T248">
        <v>2.9702253520956711E-3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2.2962874872188864E-4</v>
      </c>
      <c r="AA248">
        <v>0</v>
      </c>
      <c r="AB248">
        <v>2.3262120722940861E-2</v>
      </c>
      <c r="AC248">
        <v>2.2132969559164927E-3</v>
      </c>
      <c r="AD248">
        <v>0</v>
      </c>
      <c r="AE248">
        <v>0</v>
      </c>
      <c r="AF248">
        <v>0.18777718122951081</v>
      </c>
      <c r="AG248">
        <v>0</v>
      </c>
      <c r="AH248">
        <v>0.81000952181457275</v>
      </c>
      <c r="AI248">
        <v>0</v>
      </c>
      <c r="AJ248">
        <v>0</v>
      </c>
      <c r="AK248">
        <v>0</v>
      </c>
      <c r="AL248">
        <v>0</v>
      </c>
      <c r="AM248">
        <v>0</v>
      </c>
    </row>
    <row r="249" spans="1:85" hidden="1" x14ac:dyDescent="0.25">
      <c r="A249" t="s">
        <v>128</v>
      </c>
      <c r="B249" t="s">
        <v>181</v>
      </c>
      <c r="C249" t="s">
        <v>72</v>
      </c>
      <c r="D249" s="12">
        <v>45574</v>
      </c>
      <c r="E249" t="s">
        <v>179</v>
      </c>
      <c r="F249" t="s">
        <v>179</v>
      </c>
      <c r="G249" t="s">
        <v>179</v>
      </c>
      <c r="H249" t="s">
        <v>73</v>
      </c>
      <c r="I249">
        <v>10</v>
      </c>
      <c r="K249">
        <v>3.7478639781271368</v>
      </c>
      <c r="L249">
        <v>45574</v>
      </c>
      <c r="M249" t="s">
        <v>142</v>
      </c>
      <c r="N249">
        <v>4.75</v>
      </c>
      <c r="O249">
        <v>4.75</v>
      </c>
      <c r="P249">
        <v>3.7813725490196082</v>
      </c>
      <c r="Q249">
        <v>1.2673885785934114</v>
      </c>
      <c r="R249">
        <v>1.2673885785934114</v>
      </c>
      <c r="S249">
        <v>1.0089407115861275</v>
      </c>
      <c r="T249">
        <v>0</v>
      </c>
      <c r="U249">
        <v>0</v>
      </c>
      <c r="V249">
        <v>1.7388578593411363E-2</v>
      </c>
      <c r="W249">
        <v>0</v>
      </c>
      <c r="X249">
        <v>0</v>
      </c>
      <c r="Y249">
        <v>0</v>
      </c>
      <c r="Z249">
        <v>8.9407115861275255E-3</v>
      </c>
      <c r="AA249">
        <v>0</v>
      </c>
      <c r="AB249">
        <v>0.24105928841387247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1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0.78902399539518664</v>
      </c>
      <c r="AO249">
        <v>0.78902399539518664</v>
      </c>
      <c r="AP249">
        <v>0.79607843137254908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0.20392156862745092</v>
      </c>
      <c r="BB249">
        <v>0</v>
      </c>
      <c r="BC249">
        <v>0</v>
      </c>
      <c r="BD249">
        <v>0</v>
      </c>
      <c r="BE249">
        <v>0.78902399539518664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1.2561576354679802</v>
      </c>
      <c r="BL249">
        <v>1.2561576354679802</v>
      </c>
      <c r="BM249">
        <v>0.99113851638311623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0.2561576354679802</v>
      </c>
      <c r="BW249">
        <v>0</v>
      </c>
      <c r="BX249">
        <v>0</v>
      </c>
      <c r="BY249">
        <v>0</v>
      </c>
      <c r="BZ249">
        <v>8.8614836168837696E-3</v>
      </c>
      <c r="CA249">
        <v>0</v>
      </c>
      <c r="CB249">
        <v>0.99113851638311623</v>
      </c>
      <c r="CC249">
        <v>0</v>
      </c>
      <c r="CD249">
        <v>0</v>
      </c>
      <c r="CE249">
        <v>0</v>
      </c>
      <c r="CF249">
        <v>0</v>
      </c>
      <c r="CG249">
        <v>0</v>
      </c>
    </row>
    <row r="250" spans="1:85" hidden="1" x14ac:dyDescent="0.25">
      <c r="A250" t="s">
        <v>128</v>
      </c>
      <c r="B250" t="s">
        <v>181</v>
      </c>
      <c r="C250" t="s">
        <v>72</v>
      </c>
      <c r="D250" s="12">
        <v>45574</v>
      </c>
      <c r="E250" t="s">
        <v>179</v>
      </c>
      <c r="F250" t="s">
        <v>179</v>
      </c>
      <c r="G250" t="s">
        <v>179</v>
      </c>
      <c r="H250" t="s">
        <v>74</v>
      </c>
      <c r="I250">
        <v>10</v>
      </c>
      <c r="K250">
        <v>0.97058823529411775</v>
      </c>
      <c r="L250">
        <v>45574</v>
      </c>
      <c r="M250" t="s">
        <v>143</v>
      </c>
      <c r="N250">
        <v>0.95</v>
      </c>
      <c r="O250">
        <v>0.95</v>
      </c>
      <c r="P250">
        <v>5.7040998217468802E-2</v>
      </c>
      <c r="Q250">
        <v>0.97878787878787865</v>
      </c>
      <c r="R250">
        <v>0.97878787878787865</v>
      </c>
      <c r="S250">
        <v>5.8769513314967853E-2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2.1212121212121349E-2</v>
      </c>
      <c r="AE250">
        <v>0</v>
      </c>
      <c r="AF250">
        <v>0.92001836547291083</v>
      </c>
      <c r="AG250">
        <v>0</v>
      </c>
      <c r="AH250">
        <v>5.8769513314967853E-2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1.0216718266253872</v>
      </c>
      <c r="AO250">
        <v>1.0216718266253872</v>
      </c>
      <c r="AP250">
        <v>6.0043156018388215E-2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2.1671826625387247E-2</v>
      </c>
      <c r="AZ250">
        <v>0</v>
      </c>
      <c r="BA250">
        <v>0</v>
      </c>
      <c r="BB250">
        <v>0</v>
      </c>
      <c r="BC250">
        <v>0.93995684398161183</v>
      </c>
      <c r="BD250">
        <v>0</v>
      </c>
      <c r="BE250">
        <v>6.0043156018388215E-2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16.654687500000001</v>
      </c>
      <c r="BL250">
        <v>16.654687500000001</v>
      </c>
      <c r="BM250">
        <v>17.015625000000004</v>
      </c>
      <c r="CD250">
        <v>0</v>
      </c>
      <c r="CE250">
        <v>0</v>
      </c>
      <c r="CF250">
        <v>0</v>
      </c>
    </row>
    <row r="251" spans="1:85" hidden="1" x14ac:dyDescent="0.25">
      <c r="A251" t="s">
        <v>128</v>
      </c>
      <c r="B251" t="s">
        <v>181</v>
      </c>
      <c r="C251" t="s">
        <v>72</v>
      </c>
      <c r="D251" s="12">
        <v>45574</v>
      </c>
      <c r="E251" t="s">
        <v>179</v>
      </c>
      <c r="F251" t="s">
        <v>179</v>
      </c>
      <c r="G251" t="s">
        <v>179</v>
      </c>
      <c r="H251" t="s">
        <v>75</v>
      </c>
      <c r="I251">
        <v>10</v>
      </c>
      <c r="K251">
        <v>4.5836142079336275</v>
      </c>
      <c r="L251">
        <v>45574</v>
      </c>
      <c r="M251" t="s">
        <v>144</v>
      </c>
      <c r="N251">
        <v>2.8499999999999996</v>
      </c>
      <c r="O251">
        <v>2.8499999999999996</v>
      </c>
      <c r="P251">
        <v>2.8368983957219247</v>
      </c>
      <c r="Q251">
        <v>0.6217800780587136</v>
      </c>
      <c r="R251">
        <v>0.6217800780587136</v>
      </c>
      <c r="S251">
        <v>0.61892172138126944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0.3782199219412864</v>
      </c>
      <c r="AE251">
        <v>0</v>
      </c>
      <c r="AF251">
        <v>2.8583566774441627E-3</v>
      </c>
      <c r="AG251">
        <v>0</v>
      </c>
      <c r="AH251">
        <v>0.61892172138126944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1.6082856869942554</v>
      </c>
      <c r="AO251">
        <v>1.6082856869942554</v>
      </c>
      <c r="AP251">
        <v>0.99540294586734213</v>
      </c>
      <c r="BG251">
        <v>0</v>
      </c>
      <c r="BH251">
        <v>0</v>
      </c>
      <c r="BI251">
        <v>0</v>
      </c>
      <c r="BK251">
        <v>1.0046182846371348</v>
      </c>
      <c r="BL251">
        <v>1.0046182846371348</v>
      </c>
      <c r="BM251">
        <v>1.6157132080746248</v>
      </c>
      <c r="BN251">
        <v>0.61109492343749006</v>
      </c>
      <c r="BO251">
        <v>0</v>
      </c>
      <c r="BP251">
        <v>0</v>
      </c>
      <c r="BQ251">
        <v>0</v>
      </c>
      <c r="BR251">
        <v>0</v>
      </c>
      <c r="BS251">
        <v>0.49538171536286524</v>
      </c>
      <c r="BT251">
        <v>4.6182846371347619E-3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</row>
    <row r="252" spans="1:85" hidden="1" x14ac:dyDescent="0.25">
      <c r="A252" t="s">
        <v>128</v>
      </c>
      <c r="B252" t="s">
        <v>181</v>
      </c>
      <c r="C252" t="s">
        <v>109</v>
      </c>
      <c r="D252" s="12">
        <v>45574</v>
      </c>
      <c r="E252" t="s">
        <v>179</v>
      </c>
      <c r="F252" t="s">
        <v>179</v>
      </c>
      <c r="G252" t="s">
        <v>179</v>
      </c>
      <c r="K252">
        <v>9.3020664213548834</v>
      </c>
      <c r="N252">
        <v>8.5500000000000007</v>
      </c>
      <c r="O252">
        <v>8.5500000000000007</v>
      </c>
      <c r="P252">
        <v>6.6753119429590022</v>
      </c>
      <c r="T252">
        <v>0</v>
      </c>
      <c r="U252">
        <v>0</v>
      </c>
      <c r="V252">
        <v>7.0059731235059073E-3</v>
      </c>
      <c r="W252">
        <v>0</v>
      </c>
      <c r="X252">
        <v>0</v>
      </c>
      <c r="Y252">
        <v>0</v>
      </c>
      <c r="Z252">
        <v>3.6022717291660272E-3</v>
      </c>
      <c r="AA252">
        <v>0</v>
      </c>
      <c r="AB252">
        <v>9.7124378897707406E-2</v>
      </c>
      <c r="AC252">
        <v>0</v>
      </c>
      <c r="AD252">
        <v>0.1885820164862077</v>
      </c>
      <c r="AE252">
        <v>0</v>
      </c>
      <c r="AF252">
        <v>9.7404228804532103E-2</v>
      </c>
      <c r="AG252">
        <v>0</v>
      </c>
      <c r="AH252">
        <v>0.71401375470925998</v>
      </c>
      <c r="AI252">
        <v>0</v>
      </c>
      <c r="AJ252">
        <v>0</v>
      </c>
      <c r="AK252">
        <v>0</v>
      </c>
      <c r="AL252">
        <v>0</v>
      </c>
      <c r="AM252">
        <v>0</v>
      </c>
    </row>
    <row r="253" spans="1:85" hidden="1" x14ac:dyDescent="0.25">
      <c r="A253" t="s">
        <v>128</v>
      </c>
      <c r="B253" t="s">
        <v>181</v>
      </c>
      <c r="C253" t="s">
        <v>72</v>
      </c>
      <c r="D253" s="12">
        <v>45575</v>
      </c>
      <c r="E253" t="s">
        <v>179</v>
      </c>
      <c r="F253" t="s">
        <v>179</v>
      </c>
      <c r="G253" t="s">
        <v>179</v>
      </c>
      <c r="H253" t="s">
        <v>73</v>
      </c>
      <c r="I253">
        <v>10</v>
      </c>
      <c r="K253">
        <v>3.7478639781271368</v>
      </c>
      <c r="L253">
        <v>45575</v>
      </c>
      <c r="M253" t="s">
        <v>145</v>
      </c>
      <c r="N253">
        <v>4.75</v>
      </c>
      <c r="O253">
        <v>4.75</v>
      </c>
      <c r="P253">
        <v>3.75</v>
      </c>
      <c r="Q253">
        <v>1.2673885785934114</v>
      </c>
      <c r="R253">
        <v>1.2673885785934114</v>
      </c>
      <c r="S253">
        <v>1.0005699304684827</v>
      </c>
      <c r="T253">
        <v>0</v>
      </c>
      <c r="U253">
        <v>0</v>
      </c>
      <c r="V253">
        <v>1.7388578593411363E-2</v>
      </c>
      <c r="W253">
        <v>0</v>
      </c>
      <c r="X253">
        <v>0</v>
      </c>
      <c r="Y253">
        <v>0</v>
      </c>
      <c r="Z253">
        <v>5.6993046848274886E-4</v>
      </c>
      <c r="AA253">
        <v>0</v>
      </c>
      <c r="AB253">
        <v>0.24943006953151725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1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0.78902399539518664</v>
      </c>
      <c r="AO253">
        <v>0.78902399539518664</v>
      </c>
      <c r="AP253">
        <v>0.78947368421052633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0.21052631578947367</v>
      </c>
      <c r="BB253">
        <v>0</v>
      </c>
      <c r="BC253">
        <v>0</v>
      </c>
      <c r="BD253">
        <v>0</v>
      </c>
      <c r="BE253">
        <v>0.78902399539518664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1.2666666666666666</v>
      </c>
      <c r="BL253">
        <v>1.2666666666666666</v>
      </c>
      <c r="BM253">
        <v>0.99943039416723645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0.26666666666666661</v>
      </c>
      <c r="BW253">
        <v>0</v>
      </c>
      <c r="BX253">
        <v>0</v>
      </c>
      <c r="BY253">
        <v>0</v>
      </c>
      <c r="BZ253">
        <v>5.6960583276355337E-4</v>
      </c>
      <c r="CA253">
        <v>0</v>
      </c>
      <c r="CB253">
        <v>0.99943039416723645</v>
      </c>
      <c r="CC253">
        <v>0</v>
      </c>
      <c r="CD253">
        <v>0</v>
      </c>
      <c r="CE253">
        <v>0</v>
      </c>
      <c r="CF253">
        <v>0</v>
      </c>
      <c r="CG253">
        <v>0</v>
      </c>
    </row>
    <row r="254" spans="1:85" hidden="1" x14ac:dyDescent="0.25">
      <c r="A254" t="s">
        <v>128</v>
      </c>
      <c r="B254" t="s">
        <v>181</v>
      </c>
      <c r="C254" t="s">
        <v>72</v>
      </c>
      <c r="D254" s="12">
        <v>45575</v>
      </c>
      <c r="E254" t="s">
        <v>179</v>
      </c>
      <c r="F254" t="s">
        <v>179</v>
      </c>
      <c r="G254" t="s">
        <v>179</v>
      </c>
      <c r="H254" t="s">
        <v>74</v>
      </c>
      <c r="I254">
        <v>10</v>
      </c>
      <c r="K254">
        <v>0.97058823529411775</v>
      </c>
      <c r="L254">
        <v>45575</v>
      </c>
      <c r="M254" t="s">
        <v>146</v>
      </c>
      <c r="N254">
        <v>0.95</v>
      </c>
      <c r="O254">
        <v>0.95</v>
      </c>
      <c r="P254">
        <v>5.7040998217468802E-2</v>
      </c>
      <c r="Q254">
        <v>0.97878787878787865</v>
      </c>
      <c r="R254">
        <v>0.97878787878787865</v>
      </c>
      <c r="S254">
        <v>5.8769513314967853E-2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2.1212121212121349E-2</v>
      </c>
      <c r="AE254">
        <v>0</v>
      </c>
      <c r="AF254">
        <v>0.92001836547291083</v>
      </c>
      <c r="AG254">
        <v>0</v>
      </c>
      <c r="AH254">
        <v>5.8769513314967853E-2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1.0216718266253872</v>
      </c>
      <c r="AO254">
        <v>1.0216718266253872</v>
      </c>
      <c r="AP254">
        <v>6.0043156018388215E-2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2.1671826625387247E-2</v>
      </c>
      <c r="AZ254">
        <v>0</v>
      </c>
      <c r="BA254">
        <v>0</v>
      </c>
      <c r="BB254">
        <v>0</v>
      </c>
      <c r="BC254">
        <v>0.93995684398161183</v>
      </c>
      <c r="BD254">
        <v>0</v>
      </c>
      <c r="BE254">
        <v>6.0043156018388215E-2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16.654687500000001</v>
      </c>
      <c r="BL254">
        <v>16.654687500000001</v>
      </c>
      <c r="BM254">
        <v>17.015625000000004</v>
      </c>
      <c r="CD254">
        <v>0</v>
      </c>
      <c r="CE254">
        <v>0</v>
      </c>
      <c r="CF254">
        <v>0</v>
      </c>
    </row>
    <row r="255" spans="1:85" hidden="1" x14ac:dyDescent="0.25">
      <c r="A255" t="s">
        <v>128</v>
      </c>
      <c r="B255" t="s">
        <v>181</v>
      </c>
      <c r="C255" t="s">
        <v>72</v>
      </c>
      <c r="D255" s="12">
        <v>45575</v>
      </c>
      <c r="E255" t="s">
        <v>179</v>
      </c>
      <c r="F255" t="s">
        <v>179</v>
      </c>
      <c r="G255" t="s">
        <v>179</v>
      </c>
      <c r="H255" t="s">
        <v>75</v>
      </c>
      <c r="I255">
        <v>10</v>
      </c>
      <c r="K255">
        <v>4.5836142079336275</v>
      </c>
      <c r="L255">
        <v>45575</v>
      </c>
      <c r="M255" t="s">
        <v>147</v>
      </c>
      <c r="N255">
        <v>1.9</v>
      </c>
      <c r="O255">
        <v>1.9</v>
      </c>
      <c r="P255">
        <v>2.8368983957219247</v>
      </c>
      <c r="Q255">
        <v>0.41452005203914244</v>
      </c>
      <c r="R255">
        <v>0.41452005203914244</v>
      </c>
      <c r="S255">
        <v>0.61892172138126944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0.204401669342127</v>
      </c>
      <c r="AD255">
        <v>0.38107827861873056</v>
      </c>
      <c r="AE255">
        <v>0</v>
      </c>
      <c r="AF255">
        <v>0</v>
      </c>
      <c r="AG255">
        <v>0</v>
      </c>
      <c r="AH255">
        <v>0.41452005203914244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2.4124285304913831</v>
      </c>
      <c r="AO255">
        <v>2.4124285304913831</v>
      </c>
      <c r="AP255">
        <v>1.493104418801013</v>
      </c>
      <c r="BG255">
        <v>0</v>
      </c>
      <c r="BH255">
        <v>0</v>
      </c>
      <c r="BI255">
        <v>0</v>
      </c>
      <c r="BK255">
        <v>0.66974552309142321</v>
      </c>
      <c r="BL255">
        <v>0.66974552309142321</v>
      </c>
      <c r="BM255">
        <v>1.6157132080746248</v>
      </c>
      <c r="BN255">
        <v>0.61571320807462482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0.58547994796085756</v>
      </c>
      <c r="BX255">
        <v>0</v>
      </c>
      <c r="BY255">
        <v>0</v>
      </c>
      <c r="BZ255">
        <v>0</v>
      </c>
      <c r="CA255">
        <v>0</v>
      </c>
      <c r="CB255">
        <v>0.66974552309142321</v>
      </c>
      <c r="CC255">
        <v>0</v>
      </c>
      <c r="CD255">
        <v>0</v>
      </c>
      <c r="CE255">
        <v>0</v>
      </c>
      <c r="CF255">
        <v>0</v>
      </c>
      <c r="CG255">
        <v>0</v>
      </c>
    </row>
    <row r="256" spans="1:85" hidden="1" x14ac:dyDescent="0.25">
      <c r="A256" t="s">
        <v>128</v>
      </c>
      <c r="B256" t="s">
        <v>181</v>
      </c>
      <c r="C256" t="s">
        <v>109</v>
      </c>
      <c r="D256" s="12">
        <v>45575</v>
      </c>
      <c r="E256" t="s">
        <v>179</v>
      </c>
      <c r="F256" t="s">
        <v>179</v>
      </c>
      <c r="G256" t="s">
        <v>179</v>
      </c>
      <c r="K256">
        <v>9.3020664213548834</v>
      </c>
      <c r="N256">
        <v>7.6</v>
      </c>
      <c r="O256">
        <v>7.6</v>
      </c>
      <c r="P256">
        <v>6.6439393939393936</v>
      </c>
      <c r="T256">
        <v>0</v>
      </c>
      <c r="U256">
        <v>0</v>
      </c>
      <c r="V256">
        <v>7.0059731235059073E-3</v>
      </c>
      <c r="W256">
        <v>0</v>
      </c>
      <c r="X256">
        <v>0</v>
      </c>
      <c r="Y256">
        <v>0</v>
      </c>
      <c r="Z256">
        <v>2.2962874872188858E-4</v>
      </c>
      <c r="AA256">
        <v>0</v>
      </c>
      <c r="AB256">
        <v>0.10049702187815154</v>
      </c>
      <c r="AC256">
        <v>0.10071938355235499</v>
      </c>
      <c r="AD256">
        <v>0.18999047818542728</v>
      </c>
      <c r="AE256">
        <v>0</v>
      </c>
      <c r="AF256">
        <v>9.5995767105312504E-2</v>
      </c>
      <c r="AG256">
        <v>0</v>
      </c>
      <c r="AH256">
        <v>0.6132943711569051</v>
      </c>
      <c r="AI256">
        <v>0</v>
      </c>
      <c r="AJ256">
        <v>0</v>
      </c>
      <c r="AK256">
        <v>0</v>
      </c>
      <c r="AL256">
        <v>0</v>
      </c>
      <c r="AM256">
        <v>0</v>
      </c>
    </row>
    <row r="257" spans="1:85" hidden="1" x14ac:dyDescent="0.25">
      <c r="A257" t="s">
        <v>128</v>
      </c>
      <c r="B257" t="s">
        <v>181</v>
      </c>
      <c r="C257" t="s">
        <v>72</v>
      </c>
      <c r="D257" s="12">
        <v>45576</v>
      </c>
      <c r="E257" t="s">
        <v>179</v>
      </c>
      <c r="F257" t="s">
        <v>179</v>
      </c>
      <c r="G257" t="s">
        <v>179</v>
      </c>
      <c r="H257" t="s">
        <v>73</v>
      </c>
      <c r="I257">
        <v>10</v>
      </c>
      <c r="K257">
        <v>3.7478639781271368</v>
      </c>
      <c r="L257">
        <v>45576</v>
      </c>
      <c r="M257" t="s">
        <v>148</v>
      </c>
      <c r="N257">
        <v>4.75</v>
      </c>
      <c r="O257">
        <v>4.75</v>
      </c>
      <c r="P257">
        <v>3.75</v>
      </c>
      <c r="Q257">
        <v>1.2673885785934114</v>
      </c>
      <c r="R257">
        <v>1.2673885785934114</v>
      </c>
      <c r="S257">
        <v>1.0005699304684827</v>
      </c>
      <c r="T257">
        <v>0</v>
      </c>
      <c r="U257">
        <v>0</v>
      </c>
      <c r="V257">
        <v>1.7388578593411363E-2</v>
      </c>
      <c r="W257">
        <v>0</v>
      </c>
      <c r="X257">
        <v>0</v>
      </c>
      <c r="Y257">
        <v>0</v>
      </c>
      <c r="Z257">
        <v>5.6993046848274886E-4</v>
      </c>
      <c r="AA257">
        <v>0</v>
      </c>
      <c r="AB257">
        <v>0.24943006953151725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1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0.78902399539518664</v>
      </c>
      <c r="AO257">
        <v>0.78902399539518664</v>
      </c>
      <c r="AP257">
        <v>0.78947368421052633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0.21052631578947367</v>
      </c>
      <c r="BB257">
        <v>0</v>
      </c>
      <c r="BC257">
        <v>0</v>
      </c>
      <c r="BD257">
        <v>0</v>
      </c>
      <c r="BE257">
        <v>0.78902399539518664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1.2666666666666666</v>
      </c>
      <c r="BL257">
        <v>1.2666666666666666</v>
      </c>
      <c r="BM257">
        <v>0.99943039416723645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0.26666666666666661</v>
      </c>
      <c r="BW257">
        <v>0</v>
      </c>
      <c r="BX257">
        <v>0</v>
      </c>
      <c r="BY257">
        <v>0</v>
      </c>
      <c r="BZ257">
        <v>5.6960583276355337E-4</v>
      </c>
      <c r="CA257">
        <v>0</v>
      </c>
      <c r="CB257">
        <v>0.99943039416723645</v>
      </c>
      <c r="CC257">
        <v>0</v>
      </c>
      <c r="CD257">
        <v>0</v>
      </c>
      <c r="CE257">
        <v>0</v>
      </c>
      <c r="CF257">
        <v>0</v>
      </c>
      <c r="CG257">
        <v>0</v>
      </c>
    </row>
    <row r="258" spans="1:85" hidden="1" x14ac:dyDescent="0.25">
      <c r="A258" t="s">
        <v>128</v>
      </c>
      <c r="B258" t="s">
        <v>181</v>
      </c>
      <c r="C258" t="s">
        <v>72</v>
      </c>
      <c r="D258" s="12">
        <v>45576</v>
      </c>
      <c r="E258" t="s">
        <v>179</v>
      </c>
      <c r="F258" t="s">
        <v>179</v>
      </c>
      <c r="G258" t="s">
        <v>179</v>
      </c>
      <c r="H258" t="s">
        <v>74</v>
      </c>
      <c r="I258">
        <v>10</v>
      </c>
      <c r="K258">
        <v>0.97058823529411775</v>
      </c>
      <c r="L258">
        <v>45576</v>
      </c>
      <c r="M258" t="s">
        <v>149</v>
      </c>
      <c r="N258">
        <v>0.95</v>
      </c>
      <c r="O258">
        <v>0.95</v>
      </c>
      <c r="P258">
        <v>5.7040998217468802E-2</v>
      </c>
      <c r="Q258">
        <v>0.97878787878787865</v>
      </c>
      <c r="R258">
        <v>0.97878787878787865</v>
      </c>
      <c r="S258">
        <v>5.8769513314967853E-2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2.1212121212121349E-2</v>
      </c>
      <c r="AE258">
        <v>0</v>
      </c>
      <c r="AF258">
        <v>0.92001836547291083</v>
      </c>
      <c r="AG258">
        <v>0</v>
      </c>
      <c r="AH258">
        <v>5.8769513314967853E-2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1.0216718266253872</v>
      </c>
      <c r="AO258">
        <v>1.0216718266253872</v>
      </c>
      <c r="AP258">
        <v>6.0043156018388215E-2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2.1671826625387247E-2</v>
      </c>
      <c r="AZ258">
        <v>0</v>
      </c>
      <c r="BA258">
        <v>0</v>
      </c>
      <c r="BB258">
        <v>0</v>
      </c>
      <c r="BC258">
        <v>0.93995684398161183</v>
      </c>
      <c r="BD258">
        <v>0</v>
      </c>
      <c r="BE258">
        <v>6.0043156018388215E-2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16.654687500000001</v>
      </c>
      <c r="BL258">
        <v>16.654687500000001</v>
      </c>
      <c r="BM258">
        <v>17.015625000000004</v>
      </c>
      <c r="CD258">
        <v>0</v>
      </c>
      <c r="CE258">
        <v>0</v>
      </c>
      <c r="CF258">
        <v>0</v>
      </c>
    </row>
    <row r="259" spans="1:85" hidden="1" x14ac:dyDescent="0.25">
      <c r="A259" t="s">
        <v>128</v>
      </c>
      <c r="B259" t="s">
        <v>181</v>
      </c>
      <c r="C259" t="s">
        <v>72</v>
      </c>
      <c r="D259" s="12">
        <v>45576</v>
      </c>
      <c r="E259" t="s">
        <v>179</v>
      </c>
      <c r="F259" t="s">
        <v>179</v>
      </c>
      <c r="G259" t="s">
        <v>179</v>
      </c>
      <c r="H259" t="s">
        <v>75</v>
      </c>
      <c r="I259">
        <v>10</v>
      </c>
      <c r="K259">
        <v>4.5836142079336275</v>
      </c>
      <c r="L259">
        <v>45576</v>
      </c>
      <c r="M259" t="s">
        <v>150</v>
      </c>
      <c r="N259">
        <v>3.8</v>
      </c>
      <c r="O259">
        <v>3.8</v>
      </c>
      <c r="P259">
        <v>3.5641711229946522</v>
      </c>
      <c r="Q259">
        <v>0.82904010407828488</v>
      </c>
      <c r="R259">
        <v>0.82904010407828488</v>
      </c>
      <c r="S259">
        <v>0.77758968388429051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0.17095989592171512</v>
      </c>
      <c r="AE259">
        <v>0</v>
      </c>
      <c r="AF259">
        <v>5.1450420193994373E-2</v>
      </c>
      <c r="AG259">
        <v>0</v>
      </c>
      <c r="AH259">
        <v>0.77758968388429051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1.2062142652456915</v>
      </c>
      <c r="AO259">
        <v>1.2062142652456915</v>
      </c>
      <c r="AP259">
        <v>0.93793976920911903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0.20621426524569153</v>
      </c>
      <c r="AZ259">
        <v>0</v>
      </c>
      <c r="BA259">
        <v>0</v>
      </c>
      <c r="BB259">
        <v>0</v>
      </c>
      <c r="BC259">
        <v>6.2060230790880966E-2</v>
      </c>
      <c r="BD259">
        <v>0</v>
      </c>
      <c r="BE259">
        <v>0.93793976920911903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1.0661665416354089</v>
      </c>
      <c r="BL259">
        <v>1.0661665416354089</v>
      </c>
      <c r="BM259">
        <v>1.2860252916482946</v>
      </c>
      <c r="BN259">
        <v>0.21985875001288568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6.6166541635408915E-2</v>
      </c>
      <c r="BU259">
        <v>0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1</v>
      </c>
      <c r="CC259">
        <v>0</v>
      </c>
      <c r="CD259">
        <v>0</v>
      </c>
      <c r="CE259">
        <v>0</v>
      </c>
      <c r="CF259">
        <v>0</v>
      </c>
      <c r="CG259">
        <v>0</v>
      </c>
    </row>
    <row r="260" spans="1:85" hidden="1" x14ac:dyDescent="0.25">
      <c r="A260" t="s">
        <v>128</v>
      </c>
      <c r="B260" t="s">
        <v>181</v>
      </c>
      <c r="C260" t="s">
        <v>109</v>
      </c>
      <c r="D260" s="12">
        <v>45576</v>
      </c>
      <c r="E260" t="s">
        <v>179</v>
      </c>
      <c r="F260" t="s">
        <v>179</v>
      </c>
      <c r="G260" t="s">
        <v>179</v>
      </c>
      <c r="K260">
        <v>9.3020664213548834</v>
      </c>
      <c r="N260">
        <v>9.5</v>
      </c>
      <c r="O260">
        <v>9.5</v>
      </c>
      <c r="P260">
        <v>7.3712121212121211</v>
      </c>
      <c r="T260">
        <v>0</v>
      </c>
      <c r="U260">
        <v>0</v>
      </c>
      <c r="V260">
        <v>7.0059731235059073E-3</v>
      </c>
      <c r="W260">
        <v>0</v>
      </c>
      <c r="X260">
        <v>0</v>
      </c>
      <c r="Y260">
        <v>0</v>
      </c>
      <c r="Z260">
        <v>2.2962874872188858E-4</v>
      </c>
      <c r="AA260">
        <v>0</v>
      </c>
      <c r="AB260">
        <v>0.10049702187815154</v>
      </c>
      <c r="AC260">
        <v>0</v>
      </c>
      <c r="AD260">
        <v>8.6454171234633059E-2</v>
      </c>
      <c r="AE260">
        <v>0</v>
      </c>
      <c r="AF260">
        <v>0.12134807769126491</v>
      </c>
      <c r="AG260">
        <v>0</v>
      </c>
      <c r="AH260">
        <v>0.79219775107410195</v>
      </c>
      <c r="AI260">
        <v>0</v>
      </c>
      <c r="AJ260">
        <v>0</v>
      </c>
      <c r="AK260">
        <v>0</v>
      </c>
      <c r="AL260">
        <v>0</v>
      </c>
      <c r="AM260">
        <v>0</v>
      </c>
    </row>
    <row r="261" spans="1:85" hidden="1" x14ac:dyDescent="0.25">
      <c r="A261" t="s">
        <v>128</v>
      </c>
      <c r="B261" t="s">
        <v>181</v>
      </c>
      <c r="C261" t="s">
        <v>72</v>
      </c>
      <c r="D261" s="12">
        <v>45577</v>
      </c>
      <c r="E261" t="s">
        <v>179</v>
      </c>
      <c r="F261" t="s">
        <v>179</v>
      </c>
      <c r="G261" t="s">
        <v>179</v>
      </c>
      <c r="H261" t="s">
        <v>73</v>
      </c>
      <c r="I261">
        <v>10</v>
      </c>
      <c r="K261">
        <v>3.7478639781271368</v>
      </c>
      <c r="L261">
        <v>45577</v>
      </c>
      <c r="M261" t="s">
        <v>151</v>
      </c>
      <c r="N261">
        <v>4.75</v>
      </c>
      <c r="O261">
        <v>4.75</v>
      </c>
      <c r="P261">
        <v>3.75</v>
      </c>
      <c r="Q261">
        <v>1.2673885785934114</v>
      </c>
      <c r="R261">
        <v>1.2673885785934114</v>
      </c>
      <c r="S261">
        <v>1.0005699304684827</v>
      </c>
      <c r="T261">
        <v>0</v>
      </c>
      <c r="U261">
        <v>0</v>
      </c>
      <c r="V261">
        <v>1.7388578593411363E-2</v>
      </c>
      <c r="W261">
        <v>0</v>
      </c>
      <c r="X261">
        <v>0</v>
      </c>
      <c r="Y261">
        <v>0</v>
      </c>
      <c r="Z261">
        <v>5.6993046848274886E-4</v>
      </c>
      <c r="AA261">
        <v>0</v>
      </c>
      <c r="AB261">
        <v>0.24943006953151725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1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0.78902399539518664</v>
      </c>
      <c r="AO261">
        <v>0.78902399539518664</v>
      </c>
      <c r="AP261">
        <v>0.78947368421052633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0.21052631578947367</v>
      </c>
      <c r="BB261">
        <v>0</v>
      </c>
      <c r="BC261">
        <v>0</v>
      </c>
      <c r="BD261">
        <v>0</v>
      </c>
      <c r="BE261">
        <v>0.78902399539518664</v>
      </c>
      <c r="BF261">
        <v>0</v>
      </c>
      <c r="BG261">
        <v>0</v>
      </c>
      <c r="BH261">
        <v>0</v>
      </c>
      <c r="BI261">
        <v>0</v>
      </c>
      <c r="BJ261">
        <v>0</v>
      </c>
      <c r="BK261">
        <v>1.2666666666666666</v>
      </c>
      <c r="BL261">
        <v>1.2666666666666666</v>
      </c>
      <c r="BM261">
        <v>0.99943039416723645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0.26666666666666661</v>
      </c>
      <c r="BW261">
        <v>0</v>
      </c>
      <c r="BX261">
        <v>0</v>
      </c>
      <c r="BY261">
        <v>0</v>
      </c>
      <c r="BZ261">
        <v>5.6960583276355337E-4</v>
      </c>
      <c r="CA261">
        <v>0</v>
      </c>
      <c r="CB261">
        <v>0.99943039416723645</v>
      </c>
      <c r="CC261">
        <v>0</v>
      </c>
      <c r="CD261">
        <v>0</v>
      </c>
      <c r="CE261">
        <v>0</v>
      </c>
      <c r="CF261">
        <v>0</v>
      </c>
      <c r="CG261">
        <v>0</v>
      </c>
    </row>
    <row r="262" spans="1:85" hidden="1" x14ac:dyDescent="0.25">
      <c r="A262" t="s">
        <v>128</v>
      </c>
      <c r="B262" t="s">
        <v>181</v>
      </c>
      <c r="C262" t="s">
        <v>72</v>
      </c>
      <c r="D262" s="12">
        <v>45577</v>
      </c>
      <c r="E262" t="s">
        <v>179</v>
      </c>
      <c r="F262" t="s">
        <v>179</v>
      </c>
      <c r="G262" t="s">
        <v>179</v>
      </c>
      <c r="H262" t="s">
        <v>74</v>
      </c>
      <c r="I262">
        <v>10</v>
      </c>
      <c r="K262">
        <v>0.97058823529411775</v>
      </c>
      <c r="L262">
        <v>45577</v>
      </c>
      <c r="M262" t="s">
        <v>152</v>
      </c>
      <c r="N262">
        <v>0.95</v>
      </c>
      <c r="O262">
        <v>0.95</v>
      </c>
      <c r="P262">
        <v>2.8520499108734401E-2</v>
      </c>
      <c r="Q262">
        <v>0.97878787878787865</v>
      </c>
      <c r="R262">
        <v>0.97878787878787865</v>
      </c>
      <c r="S262">
        <v>2.9384756657483926E-2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2.1212121212121349E-2</v>
      </c>
      <c r="AE262">
        <v>0</v>
      </c>
      <c r="AF262">
        <v>0.94940312213039468</v>
      </c>
      <c r="AG262">
        <v>0</v>
      </c>
      <c r="AH262">
        <v>2.9384756657483926E-2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1.0216718266253872</v>
      </c>
      <c r="AO262">
        <v>1.0216718266253872</v>
      </c>
      <c r="AP262">
        <v>3.0021578009194107E-2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2.1671826625387247E-2</v>
      </c>
      <c r="AZ262">
        <v>0</v>
      </c>
      <c r="BA262">
        <v>0</v>
      </c>
      <c r="BB262">
        <v>0</v>
      </c>
      <c r="BC262">
        <v>0.96997842199080586</v>
      </c>
      <c r="BD262">
        <v>0</v>
      </c>
      <c r="BE262">
        <v>3.0021578009194107E-2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33.309375000000003</v>
      </c>
      <c r="BL262">
        <v>33.309375000000003</v>
      </c>
      <c r="BM262">
        <v>34.031250000000007</v>
      </c>
      <c r="CD262">
        <v>0</v>
      </c>
      <c r="CE262">
        <v>0</v>
      </c>
      <c r="CF262">
        <v>0</v>
      </c>
    </row>
    <row r="263" spans="1:85" hidden="1" x14ac:dyDescent="0.25">
      <c r="A263" t="s">
        <v>128</v>
      </c>
      <c r="B263" t="s">
        <v>181</v>
      </c>
      <c r="C263" t="s">
        <v>72</v>
      </c>
      <c r="D263" s="12">
        <v>45577</v>
      </c>
      <c r="E263" t="s">
        <v>179</v>
      </c>
      <c r="F263" t="s">
        <v>179</v>
      </c>
      <c r="G263" t="s">
        <v>179</v>
      </c>
      <c r="H263" t="s">
        <v>75</v>
      </c>
      <c r="I263">
        <v>10</v>
      </c>
      <c r="K263">
        <v>4.5836142079336275</v>
      </c>
      <c r="L263">
        <v>45577</v>
      </c>
      <c r="M263" t="s">
        <v>153</v>
      </c>
      <c r="N263">
        <v>3.8</v>
      </c>
      <c r="O263">
        <v>3.8</v>
      </c>
      <c r="P263">
        <v>3.3502673796791447</v>
      </c>
      <c r="Q263">
        <v>0.82904010407828488</v>
      </c>
      <c r="R263">
        <v>0.82904010407828488</v>
      </c>
      <c r="S263">
        <v>0.73092263608928443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0.17095989592171512</v>
      </c>
      <c r="AE263">
        <v>0</v>
      </c>
      <c r="AF263">
        <v>9.8117467989000451E-2</v>
      </c>
      <c r="AG263">
        <v>0</v>
      </c>
      <c r="AH263">
        <v>0.73092263608928443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1.2062142652456915</v>
      </c>
      <c r="AO263">
        <v>1.2062142652456915</v>
      </c>
      <c r="AP263">
        <v>0.88164931044188022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0.20621426524569153</v>
      </c>
      <c r="AZ263">
        <v>0</v>
      </c>
      <c r="BA263">
        <v>0</v>
      </c>
      <c r="BB263">
        <v>0</v>
      </c>
      <c r="BC263">
        <v>0.11835068955811978</v>
      </c>
      <c r="BD263">
        <v>0</v>
      </c>
      <c r="BE263">
        <v>0.88164931044188022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1.134237829209896</v>
      </c>
      <c r="BL263">
        <v>1.134237829209896</v>
      </c>
      <c r="BM263">
        <v>1.368133849774283</v>
      </c>
      <c r="BN263">
        <v>0.23389602056438696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0.13423782920989602</v>
      </c>
      <c r="BU263">
        <v>0</v>
      </c>
      <c r="BV263">
        <v>0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1</v>
      </c>
      <c r="CC263">
        <v>0</v>
      </c>
      <c r="CD263">
        <v>0</v>
      </c>
      <c r="CE263">
        <v>0</v>
      </c>
      <c r="CF263">
        <v>0</v>
      </c>
      <c r="CG263">
        <v>0</v>
      </c>
    </row>
    <row r="264" spans="1:85" hidden="1" x14ac:dyDescent="0.25">
      <c r="A264" t="s">
        <v>128</v>
      </c>
      <c r="B264" t="s">
        <v>181</v>
      </c>
      <c r="C264" t="s">
        <v>109</v>
      </c>
      <c r="D264" s="12">
        <v>45577</v>
      </c>
      <c r="E264" t="s">
        <v>179</v>
      </c>
      <c r="F264" t="s">
        <v>179</v>
      </c>
      <c r="G264" t="s">
        <v>179</v>
      </c>
      <c r="K264">
        <v>9.3020664213548816</v>
      </c>
      <c r="N264">
        <v>9.5</v>
      </c>
      <c r="O264">
        <v>9.5</v>
      </c>
      <c r="P264">
        <v>7.1287878787878789</v>
      </c>
      <c r="T264">
        <v>0</v>
      </c>
      <c r="U264">
        <v>0</v>
      </c>
      <c r="V264">
        <v>7.0059731235059082E-3</v>
      </c>
      <c r="W264">
        <v>0</v>
      </c>
      <c r="X264">
        <v>0</v>
      </c>
      <c r="Y264">
        <v>0</v>
      </c>
      <c r="Z264">
        <v>2.2962874872188864E-4</v>
      </c>
      <c r="AA264">
        <v>0</v>
      </c>
      <c r="AB264">
        <v>0.10049702187815156</v>
      </c>
      <c r="AC264">
        <v>0</v>
      </c>
      <c r="AD264">
        <v>8.6454171234633073E-2</v>
      </c>
      <c r="AE264">
        <v>0</v>
      </c>
      <c r="AF264">
        <v>0.14740940981287881</v>
      </c>
      <c r="AG264">
        <v>0</v>
      </c>
      <c r="AH264">
        <v>0.76613641895248807</v>
      </c>
      <c r="AI264">
        <v>0</v>
      </c>
      <c r="AJ264">
        <v>0</v>
      </c>
      <c r="AK264">
        <v>0</v>
      </c>
      <c r="AL264">
        <v>0</v>
      </c>
      <c r="AM264">
        <v>0</v>
      </c>
    </row>
    <row r="265" spans="1:85" hidden="1" x14ac:dyDescent="0.25">
      <c r="A265" t="s">
        <v>128</v>
      </c>
      <c r="B265" t="s">
        <v>181</v>
      </c>
      <c r="C265" t="s">
        <v>72</v>
      </c>
      <c r="D265" s="12">
        <v>45578</v>
      </c>
      <c r="E265" t="s">
        <v>179</v>
      </c>
      <c r="F265" t="s">
        <v>179</v>
      </c>
      <c r="G265" t="s">
        <v>179</v>
      </c>
      <c r="H265" t="s">
        <v>73</v>
      </c>
      <c r="I265">
        <v>10</v>
      </c>
      <c r="K265">
        <v>3.7478639781271368</v>
      </c>
      <c r="L265">
        <v>45578</v>
      </c>
      <c r="M265" t="s">
        <v>154</v>
      </c>
      <c r="N265">
        <v>3.8</v>
      </c>
      <c r="O265">
        <v>3.8</v>
      </c>
      <c r="P265">
        <v>3.75</v>
      </c>
      <c r="Q265">
        <v>1.0139108628747291</v>
      </c>
      <c r="R265">
        <v>1.0139108628747291</v>
      </c>
      <c r="S265">
        <v>1.0005699304684827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5.6993046848274886E-4</v>
      </c>
      <c r="AA265">
        <v>0</v>
      </c>
      <c r="AB265">
        <v>1.3340932406246342E-2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0.98627999424398338</v>
      </c>
      <c r="AO265">
        <v>0.98627999424398338</v>
      </c>
      <c r="AP265">
        <v>0.98684210526315796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1.3157894736842035E-2</v>
      </c>
      <c r="BB265">
        <v>0</v>
      </c>
      <c r="BC265">
        <v>0</v>
      </c>
      <c r="BD265">
        <v>0</v>
      </c>
      <c r="BE265">
        <v>0.98627999424398338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1.0133333333333332</v>
      </c>
      <c r="BL265">
        <v>1.0133333333333332</v>
      </c>
      <c r="BM265">
        <v>0.99943039416723645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1.3333333333333197E-2</v>
      </c>
      <c r="BW265">
        <v>0</v>
      </c>
      <c r="BX265">
        <v>0</v>
      </c>
      <c r="BY265">
        <v>0</v>
      </c>
      <c r="BZ265">
        <v>5.6960583276355337E-4</v>
      </c>
      <c r="CA265">
        <v>0</v>
      </c>
      <c r="CB265">
        <v>0.99943039416723645</v>
      </c>
      <c r="CC265">
        <v>0</v>
      </c>
      <c r="CD265">
        <v>0</v>
      </c>
      <c r="CE265">
        <v>0</v>
      </c>
      <c r="CF265">
        <v>0</v>
      </c>
      <c r="CG265">
        <v>0</v>
      </c>
    </row>
    <row r="266" spans="1:85" hidden="1" x14ac:dyDescent="0.25">
      <c r="A266" t="s">
        <v>128</v>
      </c>
      <c r="B266" t="s">
        <v>181</v>
      </c>
      <c r="C266" t="s">
        <v>72</v>
      </c>
      <c r="D266" s="12">
        <v>45578</v>
      </c>
      <c r="E266" t="s">
        <v>179</v>
      </c>
      <c r="F266" t="s">
        <v>179</v>
      </c>
      <c r="G266" t="s">
        <v>179</v>
      </c>
      <c r="H266" t="s">
        <v>74</v>
      </c>
      <c r="I266">
        <v>10</v>
      </c>
      <c r="K266">
        <v>0.97058823529411775</v>
      </c>
      <c r="L266">
        <v>45578</v>
      </c>
      <c r="M266" t="s">
        <v>155</v>
      </c>
      <c r="N266">
        <v>0.95</v>
      </c>
      <c r="O266">
        <v>0.95</v>
      </c>
      <c r="P266">
        <v>8.5561497326203204E-2</v>
      </c>
      <c r="Q266">
        <v>0.97878787878787865</v>
      </c>
      <c r="R266">
        <v>0.97878787878787865</v>
      </c>
      <c r="S266">
        <v>8.8154269972451779E-2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2.1212121212121349E-2</v>
      </c>
      <c r="AE266">
        <v>0</v>
      </c>
      <c r="AF266">
        <v>0.89063360881542686</v>
      </c>
      <c r="AG266">
        <v>0</v>
      </c>
      <c r="AH266">
        <v>8.8154269972451779E-2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1.0216718266253872</v>
      </c>
      <c r="AO266">
        <v>1.0216718266253872</v>
      </c>
      <c r="AP266">
        <v>9.0064734027582319E-2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2.1671826625387247E-2</v>
      </c>
      <c r="AZ266">
        <v>0</v>
      </c>
      <c r="BA266">
        <v>0</v>
      </c>
      <c r="BB266">
        <v>0</v>
      </c>
      <c r="BC266">
        <v>0.9099352659724177</v>
      </c>
      <c r="BD266">
        <v>0</v>
      </c>
      <c r="BE266">
        <v>9.0064734027582319E-2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11.103125</v>
      </c>
      <c r="BL266">
        <v>11.103125</v>
      </c>
      <c r="BM266">
        <v>11.343750000000002</v>
      </c>
      <c r="CD266">
        <v>0</v>
      </c>
      <c r="CE266">
        <v>0</v>
      </c>
      <c r="CF266">
        <v>0</v>
      </c>
    </row>
    <row r="267" spans="1:85" hidden="1" x14ac:dyDescent="0.25">
      <c r="A267" t="s">
        <v>128</v>
      </c>
      <c r="B267" t="s">
        <v>181</v>
      </c>
      <c r="C267" t="s">
        <v>72</v>
      </c>
      <c r="D267" s="12">
        <v>45578</v>
      </c>
      <c r="E267" t="s">
        <v>179</v>
      </c>
      <c r="F267" t="s">
        <v>179</v>
      </c>
      <c r="G267" t="s">
        <v>179</v>
      </c>
      <c r="H267" t="s">
        <v>75</v>
      </c>
      <c r="I267">
        <v>10</v>
      </c>
      <c r="K267">
        <v>4.5836142079336275</v>
      </c>
      <c r="L267">
        <v>45578</v>
      </c>
      <c r="M267" t="s">
        <v>156</v>
      </c>
      <c r="N267">
        <v>4.75</v>
      </c>
      <c r="O267">
        <v>4.75</v>
      </c>
      <c r="P267">
        <v>3.7780748663101602</v>
      </c>
      <c r="Q267">
        <v>1.036300130097856</v>
      </c>
      <c r="R267">
        <v>1.036300130097856</v>
      </c>
      <c r="S267">
        <v>0.82425673167929669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3.6300130097856043E-2</v>
      </c>
      <c r="AC267">
        <v>0</v>
      </c>
      <c r="AD267">
        <v>0</v>
      </c>
      <c r="AE267">
        <v>0</v>
      </c>
      <c r="AF267">
        <v>0.17574326832070331</v>
      </c>
      <c r="AG267">
        <v>0</v>
      </c>
      <c r="AH267">
        <v>0.82425673167929669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0.96497141219655314</v>
      </c>
      <c r="AO267">
        <v>0.96497141219655314</v>
      </c>
      <c r="AP267">
        <v>0.79538418238108632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3.5028587803446865E-2</v>
      </c>
      <c r="BB267">
        <v>0</v>
      </c>
      <c r="BC267">
        <v>0.16958722981546681</v>
      </c>
      <c r="BD267">
        <v>0</v>
      </c>
      <c r="BE267">
        <v>0.79538418238108632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1.2572540693559802</v>
      </c>
      <c r="BL267">
        <v>1.2572540693559802</v>
      </c>
      <c r="BM267">
        <v>1.2132142347963035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0.21321423479630353</v>
      </c>
      <c r="BU267">
        <v>0</v>
      </c>
      <c r="BV267">
        <v>4.4039834559676638E-2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1</v>
      </c>
      <c r="CC267">
        <v>0</v>
      </c>
      <c r="CD267">
        <v>0</v>
      </c>
      <c r="CE267">
        <v>0</v>
      </c>
      <c r="CF267">
        <v>0</v>
      </c>
      <c r="CG267">
        <v>0</v>
      </c>
    </row>
    <row r="268" spans="1:85" hidden="1" x14ac:dyDescent="0.25">
      <c r="A268" t="s">
        <v>128</v>
      </c>
      <c r="B268" t="s">
        <v>181</v>
      </c>
      <c r="C268" t="s">
        <v>109</v>
      </c>
      <c r="D268" s="12">
        <v>45578</v>
      </c>
      <c r="E268" t="s">
        <v>179</v>
      </c>
      <c r="F268" t="s">
        <v>179</v>
      </c>
      <c r="G268" t="s">
        <v>179</v>
      </c>
      <c r="K268">
        <v>9.3020664213548834</v>
      </c>
      <c r="N268">
        <v>9.5</v>
      </c>
      <c r="O268">
        <v>9.5</v>
      </c>
      <c r="P268">
        <v>7.6136363636363633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2.2962874872188858E-4</v>
      </c>
      <c r="AA268">
        <v>0</v>
      </c>
      <c r="AB268">
        <v>2.3262120722940854E-2</v>
      </c>
      <c r="AC268">
        <v>0</v>
      </c>
      <c r="AD268">
        <v>2.2132969559164922E-3</v>
      </c>
      <c r="AE268">
        <v>0</v>
      </c>
      <c r="AF268">
        <v>0.17952761984836754</v>
      </c>
      <c r="AG268">
        <v>0</v>
      </c>
      <c r="AH268">
        <v>0.81825908319571583</v>
      </c>
      <c r="AI268">
        <v>0</v>
      </c>
      <c r="AJ268">
        <v>0</v>
      </c>
      <c r="AK268">
        <v>0</v>
      </c>
      <c r="AL268">
        <v>0</v>
      </c>
      <c r="AM268">
        <v>0</v>
      </c>
    </row>
    <row r="269" spans="1:85" hidden="1" x14ac:dyDescent="0.25">
      <c r="A269" t="s">
        <v>128</v>
      </c>
      <c r="B269" t="s">
        <v>181</v>
      </c>
      <c r="C269" t="s">
        <v>72</v>
      </c>
      <c r="D269" s="12">
        <v>45579</v>
      </c>
      <c r="E269" t="s">
        <v>179</v>
      </c>
      <c r="F269" t="s">
        <v>179</v>
      </c>
      <c r="G269" t="s">
        <v>179</v>
      </c>
      <c r="H269" t="s">
        <v>73</v>
      </c>
      <c r="I269">
        <v>10</v>
      </c>
      <c r="K269">
        <v>3.7478639781271377</v>
      </c>
      <c r="L269">
        <v>45579</v>
      </c>
      <c r="M269" t="s">
        <v>157</v>
      </c>
      <c r="N269">
        <v>2.8499999999999996</v>
      </c>
      <c r="O269">
        <v>2.8499999999999996</v>
      </c>
      <c r="P269">
        <v>2.8125</v>
      </c>
      <c r="Q269">
        <v>0.76043314715604649</v>
      </c>
      <c r="R269">
        <v>0.76043314715604649</v>
      </c>
      <c r="S269">
        <v>0.75042744785136184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0.23956685284395351</v>
      </c>
      <c r="AE269">
        <v>0</v>
      </c>
      <c r="AF269">
        <v>1.0005699304684645E-2</v>
      </c>
      <c r="AG269">
        <v>0</v>
      </c>
      <c r="AH269">
        <v>0.75042744785136184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1.3150399923253115</v>
      </c>
      <c r="AO269">
        <v>1.3150399923253115</v>
      </c>
      <c r="AP269">
        <v>0.98684210526315796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0.31503999232531155</v>
      </c>
      <c r="AZ269">
        <v>0</v>
      </c>
      <c r="BA269">
        <v>0</v>
      </c>
      <c r="BB269">
        <v>0</v>
      </c>
      <c r="BC269">
        <v>1.3157894736842035E-2</v>
      </c>
      <c r="BD269">
        <v>0</v>
      </c>
      <c r="BE269">
        <v>0.98684210526315796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1.0133333333333332</v>
      </c>
      <c r="BL269">
        <v>1.0133333333333332</v>
      </c>
      <c r="BM269">
        <v>1.332573858889649</v>
      </c>
      <c r="BN269">
        <v>0.31924052555631577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1.3333333333333197E-2</v>
      </c>
      <c r="BU269">
        <v>0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1</v>
      </c>
      <c r="CC269">
        <v>0</v>
      </c>
      <c r="CD269">
        <v>0</v>
      </c>
      <c r="CE269">
        <v>0</v>
      </c>
      <c r="CF269">
        <v>0</v>
      </c>
      <c r="CG269">
        <v>0</v>
      </c>
    </row>
    <row r="270" spans="1:85" hidden="1" x14ac:dyDescent="0.25">
      <c r="A270" t="s">
        <v>128</v>
      </c>
      <c r="B270" t="s">
        <v>181</v>
      </c>
      <c r="C270" t="s">
        <v>72</v>
      </c>
      <c r="D270" s="12">
        <v>45579</v>
      </c>
      <c r="E270" t="s">
        <v>179</v>
      </c>
      <c r="F270" t="s">
        <v>179</v>
      </c>
      <c r="G270" t="s">
        <v>179</v>
      </c>
      <c r="H270" t="s">
        <v>74</v>
      </c>
      <c r="I270">
        <v>10</v>
      </c>
      <c r="K270">
        <v>0.97058823529411775</v>
      </c>
      <c r="L270">
        <v>45579</v>
      </c>
      <c r="M270" t="s">
        <v>158</v>
      </c>
      <c r="N270">
        <v>0</v>
      </c>
      <c r="O270">
        <v>0</v>
      </c>
      <c r="P270">
        <v>2.8520499108734401E-2</v>
      </c>
      <c r="Q270">
        <v>0</v>
      </c>
      <c r="R270">
        <v>0</v>
      </c>
      <c r="S270">
        <v>2.9384756657483926E-2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2.9384756657483926E-2</v>
      </c>
      <c r="AD270">
        <v>0.97061524334251603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K270">
        <v>0</v>
      </c>
      <c r="BL270">
        <v>0</v>
      </c>
      <c r="BM270">
        <v>34.031250000000007</v>
      </c>
      <c r="BN270">
        <v>33.031250000000007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</row>
    <row r="271" spans="1:85" hidden="1" x14ac:dyDescent="0.25">
      <c r="A271" t="s">
        <v>128</v>
      </c>
      <c r="B271" t="s">
        <v>181</v>
      </c>
      <c r="C271" t="s">
        <v>72</v>
      </c>
      <c r="D271" s="12">
        <v>45579</v>
      </c>
      <c r="E271" t="s">
        <v>179</v>
      </c>
      <c r="F271" t="s">
        <v>179</v>
      </c>
      <c r="G271" t="s">
        <v>179</v>
      </c>
      <c r="H271" t="s">
        <v>75</v>
      </c>
      <c r="I271">
        <v>10</v>
      </c>
      <c r="K271">
        <v>4.5836142079336275</v>
      </c>
      <c r="L271">
        <v>45579</v>
      </c>
      <c r="M271" t="s">
        <v>159</v>
      </c>
      <c r="N271">
        <v>2.8499999999999996</v>
      </c>
      <c r="O271">
        <v>2.8499999999999996</v>
      </c>
      <c r="P271">
        <v>2.5661764705882355</v>
      </c>
      <c r="Q271">
        <v>0.6217800780587136</v>
      </c>
      <c r="R271">
        <v>0.6217800780587136</v>
      </c>
      <c r="S271">
        <v>0.55985873901571492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0.3782199219412864</v>
      </c>
      <c r="AE271">
        <v>0</v>
      </c>
      <c r="AF271">
        <v>6.192133904299868E-2</v>
      </c>
      <c r="AG271">
        <v>0</v>
      </c>
      <c r="AH271">
        <v>0.55985873901571492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1.6082856869942554</v>
      </c>
      <c r="AO271">
        <v>1.6082856869942554</v>
      </c>
      <c r="AP271">
        <v>0.90041279669762664</v>
      </c>
      <c r="BG271">
        <v>0</v>
      </c>
      <c r="BH271">
        <v>0</v>
      </c>
      <c r="BI271">
        <v>0</v>
      </c>
      <c r="BK271">
        <v>1.1106017191977076</v>
      </c>
      <c r="BL271">
        <v>1.1106017191977076</v>
      </c>
      <c r="BM271">
        <v>1.7861648489368862</v>
      </c>
      <c r="BN271">
        <v>0.67556312973917865</v>
      </c>
      <c r="BO271">
        <v>0</v>
      </c>
      <c r="BP271">
        <v>0</v>
      </c>
      <c r="BQ271">
        <v>0</v>
      </c>
      <c r="BR271">
        <v>0</v>
      </c>
      <c r="BS271">
        <v>0.38939828080229244</v>
      </c>
      <c r="BT271">
        <v>0.11060171919770756</v>
      </c>
      <c r="BU271">
        <v>0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</row>
    <row r="272" spans="1:85" hidden="1" x14ac:dyDescent="0.25">
      <c r="A272" t="s">
        <v>128</v>
      </c>
      <c r="B272" t="s">
        <v>181</v>
      </c>
      <c r="C272" t="s">
        <v>109</v>
      </c>
      <c r="D272" s="12">
        <v>45579</v>
      </c>
      <c r="E272" t="s">
        <v>179</v>
      </c>
      <c r="F272" t="s">
        <v>179</v>
      </c>
      <c r="G272" t="s">
        <v>179</v>
      </c>
      <c r="K272">
        <v>9.3020664213548834</v>
      </c>
      <c r="N272">
        <v>5.6999999999999993</v>
      </c>
      <c r="O272">
        <v>5.6999999999999993</v>
      </c>
      <c r="P272">
        <v>5.4071969696969697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3.0660390731310511E-3</v>
      </c>
      <c r="AD272">
        <v>0.38416688941742133</v>
      </c>
      <c r="AE272">
        <v>0</v>
      </c>
      <c r="AF272">
        <v>3.4543241776267733E-2</v>
      </c>
      <c r="AG272">
        <v>0</v>
      </c>
      <c r="AH272">
        <v>0.57822382973317987</v>
      </c>
      <c r="AI272">
        <v>0</v>
      </c>
      <c r="AJ272">
        <v>0</v>
      </c>
      <c r="AK272">
        <v>0</v>
      </c>
      <c r="AL272">
        <v>0</v>
      </c>
      <c r="AM272">
        <v>0</v>
      </c>
    </row>
    <row r="273" spans="1:85" hidden="1" x14ac:dyDescent="0.25">
      <c r="A273" t="s">
        <v>128</v>
      </c>
      <c r="B273" t="s">
        <v>181</v>
      </c>
      <c r="C273" t="s">
        <v>72</v>
      </c>
      <c r="D273" s="12">
        <v>45580</v>
      </c>
      <c r="E273" t="s">
        <v>179</v>
      </c>
      <c r="F273" t="s">
        <v>179</v>
      </c>
      <c r="G273" t="s">
        <v>179</v>
      </c>
      <c r="H273" t="s">
        <v>73</v>
      </c>
      <c r="I273">
        <v>10</v>
      </c>
      <c r="K273">
        <v>3.7478639781271368</v>
      </c>
      <c r="L273">
        <v>45580</v>
      </c>
      <c r="M273" t="s">
        <v>160</v>
      </c>
      <c r="N273">
        <v>4.75</v>
      </c>
      <c r="O273">
        <v>4.75</v>
      </c>
      <c r="P273">
        <v>3.75</v>
      </c>
      <c r="Q273">
        <v>1.2673885785934114</v>
      </c>
      <c r="R273">
        <v>1.2673885785934114</v>
      </c>
      <c r="S273">
        <v>1.0005699304684827</v>
      </c>
      <c r="T273">
        <v>0</v>
      </c>
      <c r="U273">
        <v>0</v>
      </c>
      <c r="V273">
        <v>1.7388578593411363E-2</v>
      </c>
      <c r="W273">
        <v>0</v>
      </c>
      <c r="X273">
        <v>0</v>
      </c>
      <c r="Y273">
        <v>0</v>
      </c>
      <c r="Z273">
        <v>5.6993046848274886E-4</v>
      </c>
      <c r="AA273">
        <v>0</v>
      </c>
      <c r="AB273">
        <v>0.24943006953151725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0.78902399539518664</v>
      </c>
      <c r="AO273">
        <v>0.78902399539518664</v>
      </c>
      <c r="AP273">
        <v>0.78947368421052633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0.21052631578947367</v>
      </c>
      <c r="BB273">
        <v>0</v>
      </c>
      <c r="BC273">
        <v>0</v>
      </c>
      <c r="BD273">
        <v>0</v>
      </c>
      <c r="BE273">
        <v>0.78902399539518664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1.2666666666666666</v>
      </c>
      <c r="BL273">
        <v>1.2666666666666666</v>
      </c>
      <c r="BM273">
        <v>0.99943039416723645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0.26666666666666661</v>
      </c>
      <c r="BW273">
        <v>0</v>
      </c>
      <c r="BX273">
        <v>0</v>
      </c>
      <c r="BY273">
        <v>0</v>
      </c>
      <c r="BZ273">
        <v>5.6960583276355337E-4</v>
      </c>
      <c r="CA273">
        <v>0</v>
      </c>
      <c r="CB273">
        <v>0.99943039416723645</v>
      </c>
      <c r="CC273">
        <v>0</v>
      </c>
      <c r="CD273">
        <v>0</v>
      </c>
      <c r="CE273">
        <v>0</v>
      </c>
      <c r="CF273">
        <v>0</v>
      </c>
      <c r="CG273">
        <v>0</v>
      </c>
    </row>
    <row r="274" spans="1:85" hidden="1" x14ac:dyDescent="0.25">
      <c r="A274" t="s">
        <v>128</v>
      </c>
      <c r="B274" t="s">
        <v>181</v>
      </c>
      <c r="C274" t="s">
        <v>72</v>
      </c>
      <c r="D274" s="12">
        <v>45580</v>
      </c>
      <c r="E274" t="s">
        <v>179</v>
      </c>
      <c r="F274" t="s">
        <v>179</v>
      </c>
      <c r="G274" t="s">
        <v>179</v>
      </c>
      <c r="H274" t="s">
        <v>74</v>
      </c>
      <c r="I274">
        <v>10</v>
      </c>
      <c r="K274">
        <v>0.97058823529411775</v>
      </c>
      <c r="L274">
        <v>45580</v>
      </c>
      <c r="M274" t="s">
        <v>161</v>
      </c>
      <c r="N274">
        <v>0.95</v>
      </c>
      <c r="O274">
        <v>0.95</v>
      </c>
      <c r="P274">
        <v>0.96969696969696972</v>
      </c>
      <c r="Q274">
        <v>0.97878787878787865</v>
      </c>
      <c r="R274">
        <v>0.97878787878787865</v>
      </c>
      <c r="S274">
        <v>0.99908172635445358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2.029384756657493E-2</v>
      </c>
      <c r="AD274">
        <v>9.182736455464191E-4</v>
      </c>
      <c r="AE274">
        <v>0</v>
      </c>
      <c r="AF274">
        <v>0</v>
      </c>
      <c r="AG274">
        <v>0</v>
      </c>
      <c r="AH274">
        <v>0.97878787878787865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1.0216718266253872</v>
      </c>
      <c r="AO274">
        <v>1.0216718266253872</v>
      </c>
      <c r="AP274">
        <v>1.0207336523125998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2.0733652312599826E-2</v>
      </c>
      <c r="AX274">
        <v>0</v>
      </c>
      <c r="AY274">
        <v>9.3817431278742092E-4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1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0.97968749999999993</v>
      </c>
      <c r="BL274">
        <v>0.97968749999999993</v>
      </c>
      <c r="BM274">
        <v>1.0009191176470589</v>
      </c>
      <c r="BN274">
        <v>9.1911764705887578E-4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2.1212121212121349E-2</v>
      </c>
      <c r="BX274">
        <v>0</v>
      </c>
      <c r="BY274">
        <v>0</v>
      </c>
      <c r="BZ274">
        <v>0</v>
      </c>
      <c r="CA274">
        <v>0</v>
      </c>
      <c r="CB274">
        <v>0.97968749999999993</v>
      </c>
      <c r="CC274">
        <v>0</v>
      </c>
      <c r="CD274">
        <v>0</v>
      </c>
      <c r="CE274">
        <v>0</v>
      </c>
      <c r="CF274">
        <v>0</v>
      </c>
      <c r="CG274">
        <v>0</v>
      </c>
    </row>
    <row r="275" spans="1:85" hidden="1" x14ac:dyDescent="0.25">
      <c r="A275" t="s">
        <v>128</v>
      </c>
      <c r="B275" t="s">
        <v>181</v>
      </c>
      <c r="C275" t="s">
        <v>72</v>
      </c>
      <c r="D275" s="12">
        <v>45580</v>
      </c>
      <c r="E275" t="s">
        <v>179</v>
      </c>
      <c r="F275" t="s">
        <v>179</v>
      </c>
      <c r="G275" t="s">
        <v>179</v>
      </c>
      <c r="H275" t="s">
        <v>75</v>
      </c>
      <c r="I275">
        <v>10</v>
      </c>
      <c r="K275">
        <v>4.5836142079336275</v>
      </c>
      <c r="L275">
        <v>45580</v>
      </c>
      <c r="M275" t="s">
        <v>162</v>
      </c>
      <c r="N275">
        <v>3.8</v>
      </c>
      <c r="O275">
        <v>3.8</v>
      </c>
      <c r="P275">
        <v>2.6229946524064167</v>
      </c>
      <c r="Q275">
        <v>0.82904010407828488</v>
      </c>
      <c r="R275">
        <v>0.82904010407828488</v>
      </c>
      <c r="S275">
        <v>0.57225467358626325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0.17095989592171512</v>
      </c>
      <c r="AE275">
        <v>0</v>
      </c>
      <c r="AF275">
        <v>0.25678543049202163</v>
      </c>
      <c r="AG275">
        <v>0</v>
      </c>
      <c r="AH275">
        <v>0.57225467358626325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1.2062142652456915</v>
      </c>
      <c r="AO275">
        <v>1.2062142652456915</v>
      </c>
      <c r="AP275">
        <v>0.69026175063326756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0.20621426524569153</v>
      </c>
      <c r="AZ275">
        <v>0</v>
      </c>
      <c r="BA275">
        <v>0</v>
      </c>
      <c r="BB275">
        <v>0</v>
      </c>
      <c r="BC275">
        <v>0.30973824936673244</v>
      </c>
      <c r="BD275">
        <v>0</v>
      </c>
      <c r="BE275">
        <v>0.69026175063326756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1.4487257900101937</v>
      </c>
      <c r="BL275">
        <v>1.4487257900101937</v>
      </c>
      <c r="BM275">
        <v>1.7474737143396299</v>
      </c>
      <c r="BN275">
        <v>0.2987479243294362</v>
      </c>
      <c r="BO275">
        <v>0</v>
      </c>
      <c r="BP275">
        <v>0</v>
      </c>
      <c r="BQ275">
        <v>0</v>
      </c>
      <c r="BR275">
        <v>0</v>
      </c>
      <c r="BS275">
        <v>5.1274209989806252E-2</v>
      </c>
      <c r="BT275">
        <v>0.44872579001019375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</row>
    <row r="276" spans="1:85" hidden="1" x14ac:dyDescent="0.25">
      <c r="A276" t="s">
        <v>128</v>
      </c>
      <c r="B276" t="s">
        <v>181</v>
      </c>
      <c r="C276" t="s">
        <v>109</v>
      </c>
      <c r="D276" s="12">
        <v>45580</v>
      </c>
      <c r="E276" t="s">
        <v>179</v>
      </c>
      <c r="F276" t="s">
        <v>179</v>
      </c>
      <c r="G276" t="s">
        <v>179</v>
      </c>
      <c r="K276">
        <v>9.3020664213548834</v>
      </c>
      <c r="N276">
        <v>9.5</v>
      </c>
      <c r="O276">
        <v>9.5</v>
      </c>
      <c r="P276">
        <v>7.342691622103386</v>
      </c>
      <c r="T276">
        <v>0</v>
      </c>
      <c r="U276">
        <v>0</v>
      </c>
      <c r="V276">
        <v>7.0059731235059073E-3</v>
      </c>
      <c r="W276">
        <v>0</v>
      </c>
      <c r="X276">
        <v>0</v>
      </c>
      <c r="Y276">
        <v>0</v>
      </c>
      <c r="Z276">
        <v>2.2962874872188858E-4</v>
      </c>
      <c r="AA276">
        <v>0</v>
      </c>
      <c r="AB276">
        <v>0.10049702187815154</v>
      </c>
      <c r="AC276">
        <v>2.1174832348811417E-3</v>
      </c>
      <c r="AD276">
        <v>8.4336687999751928E-2</v>
      </c>
      <c r="AE276">
        <v>0</v>
      </c>
      <c r="AF276">
        <v>0.12653159999927713</v>
      </c>
      <c r="AG276">
        <v>0</v>
      </c>
      <c r="AH276">
        <v>0.78701422876608973</v>
      </c>
      <c r="AI276">
        <v>0</v>
      </c>
      <c r="AJ276">
        <v>0</v>
      </c>
      <c r="AK276">
        <v>0</v>
      </c>
      <c r="AL276">
        <v>0</v>
      </c>
      <c r="AM276">
        <v>0</v>
      </c>
    </row>
    <row r="277" spans="1:85" hidden="1" x14ac:dyDescent="0.25">
      <c r="A277" t="s">
        <v>128</v>
      </c>
      <c r="B277" t="s">
        <v>181</v>
      </c>
      <c r="C277" t="s">
        <v>72</v>
      </c>
      <c r="D277" s="12">
        <v>45581</v>
      </c>
      <c r="E277" t="s">
        <v>179</v>
      </c>
      <c r="F277" t="s">
        <v>179</v>
      </c>
      <c r="G277" t="s">
        <v>179</v>
      </c>
      <c r="H277" t="s">
        <v>73</v>
      </c>
      <c r="I277">
        <v>10</v>
      </c>
      <c r="K277">
        <v>3.7478639781271368</v>
      </c>
      <c r="L277">
        <v>45581</v>
      </c>
      <c r="M277" t="s">
        <v>163</v>
      </c>
      <c r="N277">
        <v>6.6499999999999995</v>
      </c>
      <c r="O277">
        <v>6.6499999999999995</v>
      </c>
      <c r="P277">
        <v>3.643872549019608</v>
      </c>
      <c r="Q277">
        <v>1.7743440100307757</v>
      </c>
      <c r="R277">
        <v>1.7743440100307757</v>
      </c>
      <c r="S277">
        <v>0.97225314746894986</v>
      </c>
      <c r="T277">
        <v>0</v>
      </c>
      <c r="U277">
        <v>0</v>
      </c>
      <c r="V277">
        <v>0.52434401003077569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0.25</v>
      </c>
      <c r="AC277">
        <v>0</v>
      </c>
      <c r="AD277">
        <v>0</v>
      </c>
      <c r="AE277">
        <v>0</v>
      </c>
      <c r="AF277">
        <v>2.7746852531050137E-2</v>
      </c>
      <c r="AG277">
        <v>0</v>
      </c>
      <c r="AH277">
        <v>0.97225314746894986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0.56358856813941915</v>
      </c>
      <c r="AO277">
        <v>0.56358856813941915</v>
      </c>
      <c r="AP277">
        <v>0.54795075925106895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0.43641143186058085</v>
      </c>
      <c r="BB277">
        <v>0</v>
      </c>
      <c r="BC277">
        <v>1.5637808888350202E-2</v>
      </c>
      <c r="BD277">
        <v>0</v>
      </c>
      <c r="BE277">
        <v>0.54795075925106895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1.824981502656891</v>
      </c>
      <c r="BL277">
        <v>1.824981502656891</v>
      </c>
      <c r="BM277">
        <v>1.0285387119633227</v>
      </c>
      <c r="CD277">
        <v>0</v>
      </c>
      <c r="CE277">
        <v>0</v>
      </c>
      <c r="CF277">
        <v>0</v>
      </c>
    </row>
    <row r="278" spans="1:85" hidden="1" x14ac:dyDescent="0.25">
      <c r="A278" t="s">
        <v>128</v>
      </c>
      <c r="B278" t="s">
        <v>181</v>
      </c>
      <c r="C278" t="s">
        <v>72</v>
      </c>
      <c r="D278" s="12">
        <v>45581</v>
      </c>
      <c r="E278" t="s">
        <v>179</v>
      </c>
      <c r="F278" t="s">
        <v>179</v>
      </c>
      <c r="G278" t="s">
        <v>179</v>
      </c>
      <c r="H278" t="s">
        <v>74</v>
      </c>
      <c r="I278">
        <v>10</v>
      </c>
      <c r="K278">
        <v>0.97058823529411775</v>
      </c>
      <c r="L278">
        <v>45581</v>
      </c>
      <c r="M278" t="s">
        <v>164</v>
      </c>
      <c r="N278">
        <v>0.95</v>
      </c>
      <c r="O278">
        <v>0.95</v>
      </c>
      <c r="P278">
        <v>0.99821746880570394</v>
      </c>
      <c r="Q278">
        <v>0.97878787878787865</v>
      </c>
      <c r="R278">
        <v>0.97878787878787865</v>
      </c>
      <c r="S278">
        <v>1.0284664830119372</v>
      </c>
      <c r="T278">
        <v>2.8466483011937216E-2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2.1212121212121349E-2</v>
      </c>
      <c r="AD278">
        <v>0</v>
      </c>
      <c r="AE278">
        <v>0</v>
      </c>
      <c r="AF278">
        <v>0</v>
      </c>
      <c r="AG278">
        <v>0</v>
      </c>
      <c r="AH278">
        <v>0.97878787878787865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1.0216718266253872</v>
      </c>
      <c r="AO278">
        <v>1.0216718266253872</v>
      </c>
      <c r="AP278">
        <v>1.0507552303217937</v>
      </c>
      <c r="AQ278">
        <v>2.9083403696406496E-2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2.1671826625387247E-2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1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0.95169642857142867</v>
      </c>
      <c r="BL278">
        <v>0.95169642857142867</v>
      </c>
      <c r="BM278">
        <v>0.97232142857142878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2.7678571428571219E-2</v>
      </c>
      <c r="BY278">
        <v>0</v>
      </c>
      <c r="BZ278">
        <v>0</v>
      </c>
      <c r="CA278">
        <v>0</v>
      </c>
      <c r="CB278">
        <v>0.95169642857142867</v>
      </c>
      <c r="CC278">
        <v>0</v>
      </c>
      <c r="CD278">
        <v>0</v>
      </c>
      <c r="CE278">
        <v>0</v>
      </c>
      <c r="CF278">
        <v>0</v>
      </c>
      <c r="CG278">
        <v>0</v>
      </c>
    </row>
    <row r="279" spans="1:85" hidden="1" x14ac:dyDescent="0.25">
      <c r="A279" t="s">
        <v>128</v>
      </c>
      <c r="B279" t="s">
        <v>181</v>
      </c>
      <c r="C279" t="s">
        <v>72</v>
      </c>
      <c r="D279" s="12">
        <v>45581</v>
      </c>
      <c r="E279" t="s">
        <v>179</v>
      </c>
      <c r="F279" t="s">
        <v>179</v>
      </c>
      <c r="G279" t="s">
        <v>179</v>
      </c>
      <c r="H279" t="s">
        <v>75</v>
      </c>
      <c r="I279">
        <v>10</v>
      </c>
      <c r="K279">
        <v>4.5836142079336275</v>
      </c>
      <c r="L279">
        <v>45581</v>
      </c>
      <c r="M279" t="s">
        <v>165</v>
      </c>
      <c r="N279">
        <v>2.8499999999999996</v>
      </c>
      <c r="O279">
        <v>2.8499999999999996</v>
      </c>
      <c r="P279">
        <v>2.780080213903743</v>
      </c>
      <c r="Q279">
        <v>0.6217800780587136</v>
      </c>
      <c r="R279">
        <v>0.6217800780587136</v>
      </c>
      <c r="S279">
        <v>0.606525786810721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0.3782199219412864</v>
      </c>
      <c r="AE279">
        <v>0</v>
      </c>
      <c r="AF279">
        <v>1.5254291247992602E-2</v>
      </c>
      <c r="AG279">
        <v>0</v>
      </c>
      <c r="AH279">
        <v>0.606525786810721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1.6082856869942554</v>
      </c>
      <c r="AO279">
        <v>1.6082856869942554</v>
      </c>
      <c r="AP279">
        <v>0.97546674172061176</v>
      </c>
      <c r="BG279">
        <v>0</v>
      </c>
      <c r="BH279">
        <v>0</v>
      </c>
      <c r="BI279">
        <v>0</v>
      </c>
      <c r="BK279">
        <v>1.0251502765087761</v>
      </c>
      <c r="BL279">
        <v>1.0251502765087761</v>
      </c>
      <c r="BM279">
        <v>1.648734516727268</v>
      </c>
      <c r="BN279">
        <v>0.6235842402184919</v>
      </c>
      <c r="BO279">
        <v>0</v>
      </c>
      <c r="BP279">
        <v>0</v>
      </c>
      <c r="BQ279">
        <v>0</v>
      </c>
      <c r="BR279">
        <v>0</v>
      </c>
      <c r="BS279">
        <v>0.4748497234912239</v>
      </c>
      <c r="BT279">
        <v>2.5150276508776104E-2</v>
      </c>
      <c r="BU279">
        <v>0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</row>
    <row r="280" spans="1:85" hidden="1" x14ac:dyDescent="0.25">
      <c r="A280" t="s">
        <v>128</v>
      </c>
      <c r="B280" t="s">
        <v>181</v>
      </c>
      <c r="C280" t="s">
        <v>109</v>
      </c>
      <c r="D280" s="12">
        <v>45581</v>
      </c>
      <c r="E280" t="s">
        <v>179</v>
      </c>
      <c r="F280" t="s">
        <v>179</v>
      </c>
      <c r="G280" t="s">
        <v>179</v>
      </c>
      <c r="K280">
        <v>9.3020664213548816</v>
      </c>
      <c r="N280">
        <v>10.45</v>
      </c>
      <c r="O280">
        <v>10.45</v>
      </c>
      <c r="P280">
        <v>7.422170231729055</v>
      </c>
      <c r="T280">
        <v>2.9702253520956711E-3</v>
      </c>
      <c r="U280">
        <v>0</v>
      </c>
      <c r="V280">
        <v>0.21126166362665511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0.10072665062687346</v>
      </c>
      <c r="AC280">
        <v>2.2132969559164927E-3</v>
      </c>
      <c r="AD280">
        <v>0.18636871953029124</v>
      </c>
      <c r="AE280">
        <v>0</v>
      </c>
      <c r="AF280">
        <v>1.8695976498784687E-2</v>
      </c>
      <c r="AG280">
        <v>0</v>
      </c>
      <c r="AH280">
        <v>0.79272200701500761</v>
      </c>
      <c r="AI280">
        <v>0</v>
      </c>
      <c r="AJ280">
        <v>0</v>
      </c>
      <c r="AK280">
        <v>0</v>
      </c>
      <c r="AL280">
        <v>0</v>
      </c>
      <c r="AM280">
        <v>0</v>
      </c>
    </row>
    <row r="281" spans="1:85" hidden="1" x14ac:dyDescent="0.25">
      <c r="A281" t="s">
        <v>128</v>
      </c>
      <c r="B281" t="s">
        <v>181</v>
      </c>
      <c r="C281" t="s">
        <v>72</v>
      </c>
      <c r="D281" s="12">
        <v>45582</v>
      </c>
      <c r="E281" t="s">
        <v>179</v>
      </c>
      <c r="F281" t="s">
        <v>179</v>
      </c>
      <c r="G281" t="s">
        <v>179</v>
      </c>
      <c r="H281" t="s">
        <v>73</v>
      </c>
      <c r="I281">
        <v>10</v>
      </c>
      <c r="K281">
        <v>3.7478639781271368</v>
      </c>
      <c r="L281">
        <v>45582</v>
      </c>
      <c r="M281" t="s">
        <v>166</v>
      </c>
      <c r="N281">
        <v>6.6499999999999995</v>
      </c>
      <c r="O281">
        <v>6.6499999999999995</v>
      </c>
      <c r="P281">
        <v>3.7813725490196082</v>
      </c>
      <c r="Q281">
        <v>1.7743440100307757</v>
      </c>
      <c r="R281">
        <v>1.7743440100307757</v>
      </c>
      <c r="S281">
        <v>1.0089407115861275</v>
      </c>
      <c r="T281">
        <v>0</v>
      </c>
      <c r="U281">
        <v>0</v>
      </c>
      <c r="V281">
        <v>0.52434401003077569</v>
      </c>
      <c r="W281">
        <v>0</v>
      </c>
      <c r="X281">
        <v>0</v>
      </c>
      <c r="Y281">
        <v>0</v>
      </c>
      <c r="Z281">
        <v>8.9407115861275255E-3</v>
      </c>
      <c r="AA281">
        <v>0</v>
      </c>
      <c r="AB281">
        <v>0.24105928841387247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1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0.56358856813941915</v>
      </c>
      <c r="AO281">
        <v>0.56358856813941915</v>
      </c>
      <c r="AP281">
        <v>0.56862745098039225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0.43137254901960775</v>
      </c>
      <c r="BB281">
        <v>0</v>
      </c>
      <c r="BC281">
        <v>0</v>
      </c>
      <c r="BD281">
        <v>0</v>
      </c>
      <c r="BE281">
        <v>0.56358856813941915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1.7586206896551722</v>
      </c>
      <c r="BL281">
        <v>1.7586206896551722</v>
      </c>
      <c r="BM281">
        <v>0.99113851638311623</v>
      </c>
      <c r="CD281">
        <v>0</v>
      </c>
      <c r="CE281">
        <v>0</v>
      </c>
      <c r="CF281">
        <v>0</v>
      </c>
    </row>
    <row r="282" spans="1:85" hidden="1" x14ac:dyDescent="0.25">
      <c r="A282" t="s">
        <v>128</v>
      </c>
      <c r="B282" t="s">
        <v>181</v>
      </c>
      <c r="C282" t="s">
        <v>72</v>
      </c>
      <c r="D282" s="12">
        <v>45582</v>
      </c>
      <c r="E282" t="s">
        <v>179</v>
      </c>
      <c r="F282" t="s">
        <v>179</v>
      </c>
      <c r="G282" t="s">
        <v>179</v>
      </c>
      <c r="H282" t="s">
        <v>74</v>
      </c>
      <c r="I282">
        <v>10</v>
      </c>
      <c r="K282">
        <v>0.97058823529411775</v>
      </c>
      <c r="L282">
        <v>45582</v>
      </c>
      <c r="M282" t="s">
        <v>167</v>
      </c>
      <c r="N282">
        <v>0</v>
      </c>
      <c r="O282">
        <v>0</v>
      </c>
      <c r="P282">
        <v>5.7040998217468802E-2</v>
      </c>
      <c r="Q282">
        <v>0</v>
      </c>
      <c r="R282">
        <v>0</v>
      </c>
      <c r="S282">
        <v>5.8769513314967853E-2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5.8769513314967853E-2</v>
      </c>
      <c r="AD282">
        <v>0.94123048668503217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K282">
        <v>0</v>
      </c>
      <c r="BL282">
        <v>0</v>
      </c>
      <c r="BM282">
        <v>17.015625000000004</v>
      </c>
      <c r="BN282">
        <v>16.015625000000004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</row>
    <row r="283" spans="1:85" hidden="1" x14ac:dyDescent="0.25">
      <c r="A283" t="s">
        <v>128</v>
      </c>
      <c r="B283" t="s">
        <v>181</v>
      </c>
      <c r="C283" t="s">
        <v>72</v>
      </c>
      <c r="D283" s="12">
        <v>45582</v>
      </c>
      <c r="E283" t="s">
        <v>179</v>
      </c>
      <c r="F283" t="s">
        <v>179</v>
      </c>
      <c r="G283" t="s">
        <v>179</v>
      </c>
      <c r="H283" t="s">
        <v>75</v>
      </c>
      <c r="I283">
        <v>10</v>
      </c>
      <c r="K283">
        <v>4.5836142079336275</v>
      </c>
      <c r="L283">
        <v>45582</v>
      </c>
      <c r="M283" t="s">
        <v>168</v>
      </c>
      <c r="N283">
        <v>1.9</v>
      </c>
      <c r="O283">
        <v>1.9</v>
      </c>
      <c r="P283">
        <v>2.8368983957219247</v>
      </c>
      <c r="Q283">
        <v>0.41452005203914244</v>
      </c>
      <c r="R283">
        <v>0.41452005203914244</v>
      </c>
      <c r="S283">
        <v>0.61892172138126944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0.204401669342127</v>
      </c>
      <c r="AD283">
        <v>0.38107827861873056</v>
      </c>
      <c r="AE283">
        <v>0</v>
      </c>
      <c r="AF283">
        <v>0</v>
      </c>
      <c r="AG283">
        <v>0</v>
      </c>
      <c r="AH283">
        <v>0.41452005203914244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2.4124285304913831</v>
      </c>
      <c r="AO283">
        <v>2.4124285304913831</v>
      </c>
      <c r="AP283">
        <v>1.493104418801013</v>
      </c>
      <c r="BG283">
        <v>0</v>
      </c>
      <c r="BH283">
        <v>0</v>
      </c>
      <c r="BI283">
        <v>0</v>
      </c>
      <c r="BK283">
        <v>0.66974552309142321</v>
      </c>
      <c r="BL283">
        <v>0.66974552309142321</v>
      </c>
      <c r="BM283">
        <v>1.6157132080746248</v>
      </c>
      <c r="BN283">
        <v>0.61571320807462482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0.58547994796085756</v>
      </c>
      <c r="BX283">
        <v>0</v>
      </c>
      <c r="BY283">
        <v>0</v>
      </c>
      <c r="BZ283">
        <v>0</v>
      </c>
      <c r="CA283">
        <v>0</v>
      </c>
      <c r="CB283">
        <v>0.66974552309142321</v>
      </c>
      <c r="CC283">
        <v>0</v>
      </c>
      <c r="CD283">
        <v>0</v>
      </c>
      <c r="CE283">
        <v>0</v>
      </c>
      <c r="CF283">
        <v>0</v>
      </c>
      <c r="CG283">
        <v>0</v>
      </c>
    </row>
    <row r="284" spans="1:85" hidden="1" x14ac:dyDescent="0.25">
      <c r="A284" t="s">
        <v>128</v>
      </c>
      <c r="B284" t="s">
        <v>181</v>
      </c>
      <c r="C284" t="s">
        <v>109</v>
      </c>
      <c r="D284" s="12">
        <v>45582</v>
      </c>
      <c r="E284" t="s">
        <v>179</v>
      </c>
      <c r="F284" t="s">
        <v>179</v>
      </c>
      <c r="G284" t="s">
        <v>179</v>
      </c>
      <c r="K284">
        <v>9.3020664213548816</v>
      </c>
      <c r="N284">
        <v>8.5499999999999989</v>
      </c>
      <c r="O284">
        <v>8.5499999999999989</v>
      </c>
      <c r="P284">
        <v>6.6753119429590022</v>
      </c>
      <c r="T284">
        <v>0</v>
      </c>
      <c r="U284">
        <v>0</v>
      </c>
      <c r="V284">
        <v>0.21126166362665511</v>
      </c>
      <c r="W284">
        <v>0</v>
      </c>
      <c r="X284">
        <v>0</v>
      </c>
      <c r="Y284">
        <v>0</v>
      </c>
      <c r="Z284">
        <v>3.6022717291660277E-3</v>
      </c>
      <c r="AA284">
        <v>0</v>
      </c>
      <c r="AB284">
        <v>9.7124378897707433E-2</v>
      </c>
      <c r="AC284">
        <v>0.1068514616986171</v>
      </c>
      <c r="AD284">
        <v>0.28598624529073985</v>
      </c>
      <c r="AE284">
        <v>0</v>
      </c>
      <c r="AF284">
        <v>0</v>
      </c>
      <c r="AG284">
        <v>0</v>
      </c>
      <c r="AH284">
        <v>0.60716229301064306</v>
      </c>
      <c r="AI284">
        <v>0</v>
      </c>
      <c r="AJ284">
        <v>0</v>
      </c>
      <c r="AK284">
        <v>0</v>
      </c>
      <c r="AL284">
        <v>0</v>
      </c>
      <c r="AM284">
        <v>0</v>
      </c>
    </row>
    <row r="285" spans="1:85" hidden="1" x14ac:dyDescent="0.25">
      <c r="A285" t="s">
        <v>128</v>
      </c>
      <c r="B285" t="s">
        <v>181</v>
      </c>
      <c r="C285" t="s">
        <v>72</v>
      </c>
      <c r="D285" s="12">
        <v>45583</v>
      </c>
      <c r="E285" t="s">
        <v>179</v>
      </c>
      <c r="F285" t="s">
        <v>179</v>
      </c>
      <c r="G285" t="s">
        <v>179</v>
      </c>
      <c r="H285" t="s">
        <v>73</v>
      </c>
      <c r="I285">
        <v>10</v>
      </c>
      <c r="K285">
        <v>3.7478639781271368</v>
      </c>
      <c r="L285">
        <v>45583</v>
      </c>
      <c r="M285" t="s">
        <v>169</v>
      </c>
      <c r="N285">
        <v>6.6499999999999995</v>
      </c>
      <c r="O285">
        <v>6.6499999999999995</v>
      </c>
      <c r="P285">
        <v>3.75</v>
      </c>
      <c r="Q285">
        <v>1.7743440100307757</v>
      </c>
      <c r="R285">
        <v>1.7743440100307757</v>
      </c>
      <c r="S285">
        <v>1.0005699304684827</v>
      </c>
      <c r="T285">
        <v>0</v>
      </c>
      <c r="U285">
        <v>0</v>
      </c>
      <c r="V285">
        <v>0.52434401003077569</v>
      </c>
      <c r="W285">
        <v>0</v>
      </c>
      <c r="X285">
        <v>0</v>
      </c>
      <c r="Y285">
        <v>0</v>
      </c>
      <c r="Z285">
        <v>5.6993046848274886E-4</v>
      </c>
      <c r="AA285">
        <v>0</v>
      </c>
      <c r="AB285">
        <v>0.24943006953151725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1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0.56358856813941915</v>
      </c>
      <c r="AO285">
        <v>0.56358856813941915</v>
      </c>
      <c r="AP285">
        <v>0.56390977443609025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0.43609022556390975</v>
      </c>
      <c r="BB285">
        <v>0</v>
      </c>
      <c r="BC285">
        <v>0</v>
      </c>
      <c r="BD285">
        <v>0</v>
      </c>
      <c r="BE285">
        <v>0.56358856813941915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1.7733333333333332</v>
      </c>
      <c r="BL285">
        <v>1.7733333333333332</v>
      </c>
      <c r="BM285">
        <v>0.99943039416723645</v>
      </c>
      <c r="CD285">
        <v>0</v>
      </c>
      <c r="CE285">
        <v>0</v>
      </c>
      <c r="CF285">
        <v>0</v>
      </c>
    </row>
    <row r="286" spans="1:85" hidden="1" x14ac:dyDescent="0.25">
      <c r="A286" t="s">
        <v>128</v>
      </c>
      <c r="B286" t="s">
        <v>181</v>
      </c>
      <c r="C286" t="s">
        <v>72</v>
      </c>
      <c r="D286" s="12">
        <v>45583</v>
      </c>
      <c r="E286" t="s">
        <v>179</v>
      </c>
      <c r="F286" t="s">
        <v>179</v>
      </c>
      <c r="G286" t="s">
        <v>179</v>
      </c>
      <c r="H286" t="s">
        <v>74</v>
      </c>
      <c r="I286">
        <v>10</v>
      </c>
      <c r="K286">
        <v>0.97058823529411775</v>
      </c>
      <c r="L286">
        <v>45583</v>
      </c>
      <c r="M286" t="s">
        <v>170</v>
      </c>
      <c r="N286">
        <v>0.95</v>
      </c>
      <c r="O286">
        <v>0.95</v>
      </c>
      <c r="P286">
        <v>0.96969696969696972</v>
      </c>
      <c r="Q286">
        <v>0.97878787878787865</v>
      </c>
      <c r="R286">
        <v>0.97878787878787865</v>
      </c>
      <c r="S286">
        <v>0.99908172635445358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2.029384756657493E-2</v>
      </c>
      <c r="AD286">
        <v>9.182736455464191E-4</v>
      </c>
      <c r="AE286">
        <v>0</v>
      </c>
      <c r="AF286">
        <v>0</v>
      </c>
      <c r="AG286">
        <v>0</v>
      </c>
      <c r="AH286">
        <v>0.97878787878787865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1.0216718266253872</v>
      </c>
      <c r="AO286">
        <v>1.0216718266253872</v>
      </c>
      <c r="AP286">
        <v>1.0207336523125998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2.0733652312599826E-2</v>
      </c>
      <c r="AX286">
        <v>0</v>
      </c>
      <c r="AY286">
        <v>9.3817431278742092E-4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1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0.97968749999999993</v>
      </c>
      <c r="BL286">
        <v>0.97968749999999993</v>
      </c>
      <c r="BM286">
        <v>1.0009191176470589</v>
      </c>
      <c r="BN286">
        <v>9.1911764705887578E-4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2.1212121212121349E-2</v>
      </c>
      <c r="BX286">
        <v>0</v>
      </c>
      <c r="BY286">
        <v>0</v>
      </c>
      <c r="BZ286">
        <v>0</v>
      </c>
      <c r="CA286">
        <v>0</v>
      </c>
      <c r="CB286">
        <v>0.97968749999999993</v>
      </c>
      <c r="CC286">
        <v>0</v>
      </c>
      <c r="CD286">
        <v>0</v>
      </c>
      <c r="CE286">
        <v>0</v>
      </c>
      <c r="CF286">
        <v>0</v>
      </c>
      <c r="CG286">
        <v>0</v>
      </c>
    </row>
    <row r="287" spans="1:85" hidden="1" x14ac:dyDescent="0.25">
      <c r="A287" t="s">
        <v>128</v>
      </c>
      <c r="B287" t="s">
        <v>181</v>
      </c>
      <c r="C287" t="s">
        <v>72</v>
      </c>
      <c r="D287" s="12">
        <v>45583</v>
      </c>
      <c r="E287" t="s">
        <v>179</v>
      </c>
      <c r="F287" t="s">
        <v>179</v>
      </c>
      <c r="G287" t="s">
        <v>179</v>
      </c>
      <c r="H287" t="s">
        <v>75</v>
      </c>
      <c r="I287">
        <v>10</v>
      </c>
      <c r="K287">
        <v>4.5836142079336275</v>
      </c>
      <c r="L287">
        <v>45583</v>
      </c>
      <c r="M287" t="s">
        <v>171</v>
      </c>
      <c r="N287">
        <v>2.8499999999999996</v>
      </c>
      <c r="O287">
        <v>2.8499999999999996</v>
      </c>
      <c r="P287">
        <v>2.6229946524064167</v>
      </c>
      <c r="Q287">
        <v>0.6217800780587136</v>
      </c>
      <c r="R287">
        <v>0.6217800780587136</v>
      </c>
      <c r="S287">
        <v>0.57225467358626325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0.3782199219412864</v>
      </c>
      <c r="AE287">
        <v>0</v>
      </c>
      <c r="AF287">
        <v>4.9525404472450352E-2</v>
      </c>
      <c r="AG287">
        <v>0</v>
      </c>
      <c r="AH287">
        <v>0.57225467358626325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1.6082856869942554</v>
      </c>
      <c r="AO287">
        <v>1.6082856869942554</v>
      </c>
      <c r="AP287">
        <v>0.92034900084435689</v>
      </c>
      <c r="BG287">
        <v>0</v>
      </c>
      <c r="BH287">
        <v>0</v>
      </c>
      <c r="BI287">
        <v>0</v>
      </c>
      <c r="BK287">
        <v>1.0865443425076453</v>
      </c>
      <c r="BL287">
        <v>1.0865443425076453</v>
      </c>
      <c r="BM287">
        <v>1.7474737143396299</v>
      </c>
      <c r="BN287">
        <v>0.66092937183198464</v>
      </c>
      <c r="BO287">
        <v>0</v>
      </c>
      <c r="BP287">
        <v>0</v>
      </c>
      <c r="BQ287">
        <v>0</v>
      </c>
      <c r="BR287">
        <v>0</v>
      </c>
      <c r="BS287">
        <v>0.41345565749235469</v>
      </c>
      <c r="BT287">
        <v>8.6544342507645311E-2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</row>
    <row r="288" spans="1:85" hidden="1" x14ac:dyDescent="0.25">
      <c r="A288" t="s">
        <v>128</v>
      </c>
      <c r="B288" t="s">
        <v>181</v>
      </c>
      <c r="C288" t="s">
        <v>109</v>
      </c>
      <c r="D288" s="12">
        <v>45583</v>
      </c>
      <c r="E288" t="s">
        <v>179</v>
      </c>
      <c r="F288" t="s">
        <v>179</v>
      </c>
      <c r="G288" t="s">
        <v>179</v>
      </c>
      <c r="K288">
        <v>9.3020664213548834</v>
      </c>
      <c r="N288">
        <v>10.45</v>
      </c>
      <c r="O288">
        <v>10.45</v>
      </c>
      <c r="P288">
        <v>7.342691622103386</v>
      </c>
      <c r="T288">
        <v>0</v>
      </c>
      <c r="U288">
        <v>0</v>
      </c>
      <c r="V288">
        <v>0.21126166362665505</v>
      </c>
      <c r="W288">
        <v>0</v>
      </c>
      <c r="X288">
        <v>0</v>
      </c>
      <c r="Y288">
        <v>0</v>
      </c>
      <c r="Z288">
        <v>2.2962874872188858E-4</v>
      </c>
      <c r="AA288">
        <v>0</v>
      </c>
      <c r="AB288">
        <v>0.10049702187815154</v>
      </c>
      <c r="AC288">
        <v>2.1174832348811417E-3</v>
      </c>
      <c r="AD288">
        <v>0.18646453325132656</v>
      </c>
      <c r="AE288">
        <v>0</v>
      </c>
      <c r="AF288">
        <v>2.440375474770248E-2</v>
      </c>
      <c r="AG288">
        <v>0</v>
      </c>
      <c r="AH288">
        <v>0.78701422876608973</v>
      </c>
      <c r="AI288">
        <v>0</v>
      </c>
      <c r="AJ288">
        <v>0</v>
      </c>
      <c r="AK288">
        <v>0</v>
      </c>
      <c r="AL288">
        <v>0</v>
      </c>
      <c r="AM288">
        <v>0</v>
      </c>
    </row>
    <row r="289" spans="1:85" hidden="1" x14ac:dyDescent="0.25">
      <c r="A289" t="s">
        <v>128</v>
      </c>
      <c r="B289" t="s">
        <v>181</v>
      </c>
      <c r="C289" t="s">
        <v>72</v>
      </c>
      <c r="D289" s="12">
        <v>45584</v>
      </c>
      <c r="E289" t="s">
        <v>179</v>
      </c>
      <c r="F289" t="s">
        <v>179</v>
      </c>
      <c r="G289" t="s">
        <v>179</v>
      </c>
      <c r="H289" t="s">
        <v>73</v>
      </c>
      <c r="I289">
        <v>10</v>
      </c>
      <c r="K289">
        <v>3.7478639781271368</v>
      </c>
      <c r="L289">
        <v>45584</v>
      </c>
      <c r="M289" t="s">
        <v>172</v>
      </c>
      <c r="N289">
        <v>3.8</v>
      </c>
      <c r="O289">
        <v>3.8</v>
      </c>
      <c r="P289">
        <v>3.7813725490196082</v>
      </c>
      <c r="Q289">
        <v>1.0139108628747291</v>
      </c>
      <c r="R289">
        <v>1.0139108628747291</v>
      </c>
      <c r="S289">
        <v>1.0089407115861275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8.9407115861275255E-3</v>
      </c>
      <c r="AA289">
        <v>0</v>
      </c>
      <c r="AB289">
        <v>4.9701512886015653E-3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1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0.98627999424398338</v>
      </c>
      <c r="AO289">
        <v>0.98627999424398338</v>
      </c>
      <c r="AP289">
        <v>0.9950980392156864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4.9019607843135971E-3</v>
      </c>
      <c r="BB289">
        <v>0</v>
      </c>
      <c r="BC289">
        <v>0</v>
      </c>
      <c r="BD289">
        <v>0</v>
      </c>
      <c r="BE289">
        <v>0.98627999424398338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1.0049261083743841</v>
      </c>
      <c r="BL289">
        <v>1.0049261083743841</v>
      </c>
      <c r="BM289">
        <v>0.99113851638311623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4.9261083743841194E-3</v>
      </c>
      <c r="BW289">
        <v>0</v>
      </c>
      <c r="BX289">
        <v>0</v>
      </c>
      <c r="BY289">
        <v>0</v>
      </c>
      <c r="BZ289">
        <v>8.8614836168837696E-3</v>
      </c>
      <c r="CA289">
        <v>0</v>
      </c>
      <c r="CB289">
        <v>0.99113851638311623</v>
      </c>
      <c r="CC289">
        <v>0</v>
      </c>
      <c r="CD289">
        <v>0</v>
      </c>
      <c r="CE289">
        <v>0</v>
      </c>
      <c r="CF289">
        <v>0</v>
      </c>
      <c r="CG289">
        <v>0</v>
      </c>
    </row>
    <row r="290" spans="1:85" hidden="1" x14ac:dyDescent="0.25">
      <c r="A290" t="s">
        <v>128</v>
      </c>
      <c r="B290" t="s">
        <v>181</v>
      </c>
      <c r="C290" t="s">
        <v>72</v>
      </c>
      <c r="D290" s="12">
        <v>45584</v>
      </c>
      <c r="E290" t="s">
        <v>179</v>
      </c>
      <c r="F290" t="s">
        <v>179</v>
      </c>
      <c r="G290" t="s">
        <v>179</v>
      </c>
      <c r="H290" t="s">
        <v>74</v>
      </c>
      <c r="I290">
        <v>10</v>
      </c>
      <c r="K290">
        <v>0.97058823529411775</v>
      </c>
      <c r="L290">
        <v>45584</v>
      </c>
      <c r="M290" t="s">
        <v>173</v>
      </c>
      <c r="N290">
        <v>0.95</v>
      </c>
      <c r="O290">
        <v>0.95</v>
      </c>
      <c r="P290">
        <v>0.96969696969696972</v>
      </c>
      <c r="Q290">
        <v>0.97878787878787865</v>
      </c>
      <c r="R290">
        <v>0.97878787878787865</v>
      </c>
      <c r="S290">
        <v>0.99908172635445358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2.029384756657493E-2</v>
      </c>
      <c r="AD290">
        <v>9.182736455464191E-4</v>
      </c>
      <c r="AE290">
        <v>0</v>
      </c>
      <c r="AF290">
        <v>0</v>
      </c>
      <c r="AG290">
        <v>0</v>
      </c>
      <c r="AH290">
        <v>0.97878787878787865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1.0216718266253872</v>
      </c>
      <c r="AO290">
        <v>1.0216718266253872</v>
      </c>
      <c r="AP290">
        <v>1.0207336523125998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2.0733652312599826E-2</v>
      </c>
      <c r="AX290">
        <v>0</v>
      </c>
      <c r="AY290">
        <v>9.3817431278742092E-4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1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0.97968749999999993</v>
      </c>
      <c r="BL290">
        <v>0.97968749999999993</v>
      </c>
      <c r="BM290">
        <v>1.0009191176470589</v>
      </c>
      <c r="BN290">
        <v>9.1911764705887578E-4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2.1212121212121349E-2</v>
      </c>
      <c r="BX290">
        <v>0</v>
      </c>
      <c r="BY290">
        <v>0</v>
      </c>
      <c r="BZ290">
        <v>0</v>
      </c>
      <c r="CA290">
        <v>0</v>
      </c>
      <c r="CB290">
        <v>0.97968749999999993</v>
      </c>
      <c r="CC290">
        <v>0</v>
      </c>
      <c r="CD290">
        <v>0</v>
      </c>
      <c r="CE290">
        <v>0</v>
      </c>
      <c r="CF290">
        <v>0</v>
      </c>
      <c r="CG290">
        <v>0</v>
      </c>
    </row>
    <row r="291" spans="1:85" hidden="1" x14ac:dyDescent="0.25">
      <c r="A291" t="s">
        <v>128</v>
      </c>
      <c r="B291" t="s">
        <v>181</v>
      </c>
      <c r="C291" t="s">
        <v>72</v>
      </c>
      <c r="D291" s="12">
        <v>45584</v>
      </c>
      <c r="E291" t="s">
        <v>179</v>
      </c>
      <c r="F291" t="s">
        <v>179</v>
      </c>
      <c r="G291" t="s">
        <v>179</v>
      </c>
      <c r="H291" t="s">
        <v>75</v>
      </c>
      <c r="I291">
        <v>10</v>
      </c>
      <c r="K291">
        <v>4.5836142079336275</v>
      </c>
      <c r="L291">
        <v>45584</v>
      </c>
      <c r="M291" t="s">
        <v>174</v>
      </c>
      <c r="N291">
        <v>3.8</v>
      </c>
      <c r="O291">
        <v>3.8</v>
      </c>
      <c r="P291">
        <v>3.3502673796791438</v>
      </c>
      <c r="Q291">
        <v>0.82904010407828488</v>
      </c>
      <c r="R291">
        <v>0.82904010407828488</v>
      </c>
      <c r="S291">
        <v>0.73092263608928432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0.17095989592171512</v>
      </c>
      <c r="AE291">
        <v>0</v>
      </c>
      <c r="AF291">
        <v>9.8117467989000562E-2</v>
      </c>
      <c r="AG291">
        <v>0</v>
      </c>
      <c r="AH291">
        <v>0.73092263608928432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1.2062142652456915</v>
      </c>
      <c r="AO291">
        <v>1.2062142652456915</v>
      </c>
      <c r="AP291">
        <v>0.88164931044188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0.20621426524569153</v>
      </c>
      <c r="AZ291">
        <v>0</v>
      </c>
      <c r="BA291">
        <v>0</v>
      </c>
      <c r="BB291">
        <v>0</v>
      </c>
      <c r="BC291">
        <v>0.11835068955812</v>
      </c>
      <c r="BD291">
        <v>0</v>
      </c>
      <c r="BE291">
        <v>0.88164931044188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1.1342378292098965</v>
      </c>
      <c r="BL291">
        <v>1.1342378292098965</v>
      </c>
      <c r="BM291">
        <v>1.3681338497742832</v>
      </c>
      <c r="BN291">
        <v>0.23389602056438674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0.13423782920989646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1</v>
      </c>
      <c r="CC291">
        <v>0</v>
      </c>
      <c r="CD291">
        <v>0</v>
      </c>
      <c r="CE291">
        <v>0</v>
      </c>
      <c r="CF291">
        <v>0</v>
      </c>
      <c r="CG291">
        <v>0</v>
      </c>
    </row>
    <row r="292" spans="1:85" hidden="1" x14ac:dyDescent="0.25">
      <c r="A292" t="s">
        <v>128</v>
      </c>
      <c r="B292" t="s">
        <v>181</v>
      </c>
      <c r="C292" t="s">
        <v>109</v>
      </c>
      <c r="D292" s="12">
        <v>45584</v>
      </c>
      <c r="E292" t="s">
        <v>179</v>
      </c>
      <c r="F292" t="s">
        <v>179</v>
      </c>
      <c r="G292" t="s">
        <v>179</v>
      </c>
      <c r="K292">
        <v>9.3020664213548816</v>
      </c>
      <c r="N292">
        <v>8.5500000000000007</v>
      </c>
      <c r="O292">
        <v>8.5500000000000007</v>
      </c>
      <c r="P292">
        <v>8.1013368983957221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3.6022717291660277E-3</v>
      </c>
      <c r="AA292">
        <v>0</v>
      </c>
      <c r="AB292">
        <v>2.0025067696386989E-3</v>
      </c>
      <c r="AC292">
        <v>2.1174832348811422E-3</v>
      </c>
      <c r="AD292">
        <v>8.4336687999751941E-2</v>
      </c>
      <c r="AE292">
        <v>0</v>
      </c>
      <c r="AF292">
        <v>4.8347603634435306E-2</v>
      </c>
      <c r="AG292">
        <v>0</v>
      </c>
      <c r="AH292">
        <v>0.86519822513093159</v>
      </c>
      <c r="AI292">
        <v>0</v>
      </c>
      <c r="AJ292">
        <v>0</v>
      </c>
      <c r="AK292">
        <v>0</v>
      </c>
      <c r="AL292">
        <v>0</v>
      </c>
      <c r="AM292">
        <v>0</v>
      </c>
    </row>
    <row r="293" spans="1:85" hidden="1" x14ac:dyDescent="0.25">
      <c r="A293" t="s">
        <v>128</v>
      </c>
      <c r="B293" t="s">
        <v>181</v>
      </c>
      <c r="C293" t="s">
        <v>72</v>
      </c>
      <c r="D293" s="12">
        <v>45585</v>
      </c>
      <c r="E293" t="s">
        <v>179</v>
      </c>
      <c r="F293" t="s">
        <v>179</v>
      </c>
      <c r="G293" t="s">
        <v>179</v>
      </c>
      <c r="H293" t="s">
        <v>73</v>
      </c>
      <c r="I293">
        <v>10</v>
      </c>
      <c r="K293">
        <v>3.7478639781271368</v>
      </c>
      <c r="L293">
        <v>45585</v>
      </c>
      <c r="M293" t="s">
        <v>175</v>
      </c>
      <c r="N293">
        <v>4.75</v>
      </c>
      <c r="O293">
        <v>4.75</v>
      </c>
      <c r="P293">
        <v>3.7813725490196082</v>
      </c>
      <c r="Q293">
        <v>1.2673885785934114</v>
      </c>
      <c r="R293">
        <v>1.2673885785934114</v>
      </c>
      <c r="S293">
        <v>1.0089407115861275</v>
      </c>
      <c r="T293">
        <v>0</v>
      </c>
      <c r="U293">
        <v>0</v>
      </c>
      <c r="V293">
        <v>1.7388578593411363E-2</v>
      </c>
      <c r="W293">
        <v>0</v>
      </c>
      <c r="X293">
        <v>0</v>
      </c>
      <c r="Y293">
        <v>0</v>
      </c>
      <c r="Z293">
        <v>8.9407115861275255E-3</v>
      </c>
      <c r="AA293">
        <v>0</v>
      </c>
      <c r="AB293">
        <v>0.24105928841387247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1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0.78902399539518664</v>
      </c>
      <c r="AO293">
        <v>0.78902399539518664</v>
      </c>
      <c r="AP293">
        <v>0.79607843137254908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0.20392156862745092</v>
      </c>
      <c r="BB293">
        <v>0</v>
      </c>
      <c r="BC293">
        <v>0</v>
      </c>
      <c r="BD293">
        <v>0</v>
      </c>
      <c r="BE293">
        <v>0.78902399539518664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1.2561576354679802</v>
      </c>
      <c r="BL293">
        <v>1.2561576354679802</v>
      </c>
      <c r="BM293">
        <v>0.99113851638311623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0.2561576354679802</v>
      </c>
      <c r="BW293">
        <v>0</v>
      </c>
      <c r="BX293">
        <v>0</v>
      </c>
      <c r="BY293">
        <v>0</v>
      </c>
      <c r="BZ293">
        <v>8.8614836168837696E-3</v>
      </c>
      <c r="CA293">
        <v>0</v>
      </c>
      <c r="CB293">
        <v>0.99113851638311623</v>
      </c>
      <c r="CC293">
        <v>0</v>
      </c>
      <c r="CD293">
        <v>0</v>
      </c>
      <c r="CE293">
        <v>0</v>
      </c>
      <c r="CF293">
        <v>0</v>
      </c>
      <c r="CG293">
        <v>0</v>
      </c>
    </row>
    <row r="294" spans="1:85" hidden="1" x14ac:dyDescent="0.25">
      <c r="A294" t="s">
        <v>128</v>
      </c>
      <c r="B294" t="s">
        <v>181</v>
      </c>
      <c r="C294" t="s">
        <v>72</v>
      </c>
      <c r="D294" s="12">
        <v>45585</v>
      </c>
      <c r="E294" t="s">
        <v>179</v>
      </c>
      <c r="F294" t="s">
        <v>179</v>
      </c>
      <c r="G294" t="s">
        <v>179</v>
      </c>
      <c r="H294" t="s">
        <v>74</v>
      </c>
      <c r="I294">
        <v>10</v>
      </c>
      <c r="K294">
        <v>0.97058823529411775</v>
      </c>
      <c r="L294">
        <v>45585</v>
      </c>
      <c r="M294" t="s">
        <v>176</v>
      </c>
      <c r="N294">
        <v>0.95</v>
      </c>
      <c r="O294">
        <v>0.95</v>
      </c>
      <c r="P294">
        <v>0.99821746880570394</v>
      </c>
      <c r="Q294">
        <v>0.97878787878787865</v>
      </c>
      <c r="R294">
        <v>0.97878787878787865</v>
      </c>
      <c r="S294">
        <v>1.0284664830119372</v>
      </c>
      <c r="T294">
        <v>2.8466483011937216E-2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2.1212121212121349E-2</v>
      </c>
      <c r="AD294">
        <v>0</v>
      </c>
      <c r="AE294">
        <v>0</v>
      </c>
      <c r="AF294">
        <v>0</v>
      </c>
      <c r="AG294">
        <v>0</v>
      </c>
      <c r="AH294">
        <v>0.97878787878787865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1.0216718266253872</v>
      </c>
      <c r="AO294">
        <v>1.0216718266253872</v>
      </c>
      <c r="AP294">
        <v>1.0507552303217937</v>
      </c>
      <c r="AQ294">
        <v>2.9083403696406496E-2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2.1671826625387247E-2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1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0.95169642857142867</v>
      </c>
      <c r="BL294">
        <v>0.95169642857142867</v>
      </c>
      <c r="BM294">
        <v>0.97232142857142878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2.7678571428571219E-2</v>
      </c>
      <c r="BY294">
        <v>0</v>
      </c>
      <c r="BZ294">
        <v>0</v>
      </c>
      <c r="CA294">
        <v>0</v>
      </c>
      <c r="CB294">
        <v>0.95169642857142867</v>
      </c>
      <c r="CC294">
        <v>0</v>
      </c>
      <c r="CD294">
        <v>0</v>
      </c>
      <c r="CE294">
        <v>0</v>
      </c>
      <c r="CF294">
        <v>0</v>
      </c>
      <c r="CG294">
        <v>0</v>
      </c>
    </row>
    <row r="295" spans="1:85" hidden="1" x14ac:dyDescent="0.25">
      <c r="A295" t="s">
        <v>128</v>
      </c>
      <c r="B295" t="s">
        <v>181</v>
      </c>
      <c r="C295" t="s">
        <v>72</v>
      </c>
      <c r="D295" s="12">
        <v>45585</v>
      </c>
      <c r="E295" t="s">
        <v>179</v>
      </c>
      <c r="F295" t="s">
        <v>179</v>
      </c>
      <c r="G295" t="s">
        <v>179</v>
      </c>
      <c r="H295" t="s">
        <v>75</v>
      </c>
      <c r="I295">
        <v>10</v>
      </c>
      <c r="K295">
        <v>4.5836142079336275</v>
      </c>
      <c r="L295">
        <v>45585</v>
      </c>
      <c r="M295" t="s">
        <v>177</v>
      </c>
      <c r="N295">
        <v>3.8</v>
      </c>
      <c r="O295">
        <v>3.8</v>
      </c>
      <c r="P295">
        <v>3.5641711229946522</v>
      </c>
      <c r="Q295">
        <v>0.82904010407828488</v>
      </c>
      <c r="R295">
        <v>0.82904010407828488</v>
      </c>
      <c r="S295">
        <v>0.77758968388429051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0.17095989592171512</v>
      </c>
      <c r="AE295">
        <v>0</v>
      </c>
      <c r="AF295">
        <v>5.1450420193994373E-2</v>
      </c>
      <c r="AG295">
        <v>0</v>
      </c>
      <c r="AH295">
        <v>0.77758968388429051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1.2062142652456915</v>
      </c>
      <c r="AO295">
        <v>1.2062142652456915</v>
      </c>
      <c r="AP295">
        <v>0.93793976920911903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0.20621426524569153</v>
      </c>
      <c r="AZ295">
        <v>0</v>
      </c>
      <c r="BA295">
        <v>0</v>
      </c>
      <c r="BB295">
        <v>0</v>
      </c>
      <c r="BC295">
        <v>6.2060230790880966E-2</v>
      </c>
      <c r="BD295">
        <v>0</v>
      </c>
      <c r="BE295">
        <v>0.93793976920911903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1.0661665416354089</v>
      </c>
      <c r="BL295">
        <v>1.0661665416354089</v>
      </c>
      <c r="BM295">
        <v>1.2860252916482946</v>
      </c>
      <c r="BN295">
        <v>0.21985875001288568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6.6166541635408915E-2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1</v>
      </c>
      <c r="CC295">
        <v>0</v>
      </c>
      <c r="CD295">
        <v>0</v>
      </c>
      <c r="CE295">
        <v>0</v>
      </c>
      <c r="CF295">
        <v>0</v>
      </c>
      <c r="CG295">
        <v>0</v>
      </c>
    </row>
    <row r="296" spans="1:85" hidden="1" x14ac:dyDescent="0.25">
      <c r="A296" t="s">
        <v>128</v>
      </c>
      <c r="B296" t="s">
        <v>181</v>
      </c>
      <c r="C296" t="s">
        <v>109</v>
      </c>
      <c r="D296" s="12">
        <v>45585</v>
      </c>
      <c r="E296" t="s">
        <v>179</v>
      </c>
      <c r="F296" t="s">
        <v>179</v>
      </c>
      <c r="G296" t="s">
        <v>179</v>
      </c>
      <c r="K296">
        <v>9.3020664213548816</v>
      </c>
      <c r="N296">
        <v>9.5</v>
      </c>
      <c r="O296">
        <v>9.5</v>
      </c>
      <c r="P296">
        <v>8.3437611408199643</v>
      </c>
      <c r="T296">
        <v>2.9702253520956711E-3</v>
      </c>
      <c r="U296">
        <v>0</v>
      </c>
      <c r="V296">
        <v>7.0059731235059082E-3</v>
      </c>
      <c r="W296">
        <v>0</v>
      </c>
      <c r="X296">
        <v>0</v>
      </c>
      <c r="Y296">
        <v>0</v>
      </c>
      <c r="Z296">
        <v>3.6022717291660277E-3</v>
      </c>
      <c r="AA296">
        <v>0</v>
      </c>
      <c r="AB296">
        <v>9.7124378897707433E-2</v>
      </c>
      <c r="AC296">
        <v>2.2132969559164927E-3</v>
      </c>
      <c r="AD296">
        <v>8.4240874278716585E-2</v>
      </c>
      <c r="AE296">
        <v>0</v>
      </c>
      <c r="AF296">
        <v>2.5352310585952411E-2</v>
      </c>
      <c r="AG296">
        <v>0</v>
      </c>
      <c r="AH296">
        <v>0.88819351817941461</v>
      </c>
      <c r="AI296">
        <v>0</v>
      </c>
      <c r="AJ296">
        <v>0</v>
      </c>
      <c r="AK296">
        <v>0</v>
      </c>
      <c r="AL296">
        <v>0</v>
      </c>
      <c r="AM296">
        <v>0</v>
      </c>
    </row>
    <row r="297" spans="1:85" hidden="1" x14ac:dyDescent="0.25">
      <c r="A297" t="s">
        <v>128</v>
      </c>
      <c r="B297" t="s">
        <v>181</v>
      </c>
      <c r="C297" t="s">
        <v>72</v>
      </c>
      <c r="D297" s="12">
        <v>45572</v>
      </c>
      <c r="E297" t="s">
        <v>178</v>
      </c>
      <c r="F297" t="s">
        <v>178</v>
      </c>
      <c r="G297" t="s">
        <v>178</v>
      </c>
      <c r="H297" t="s">
        <v>73</v>
      </c>
      <c r="I297">
        <v>10</v>
      </c>
      <c r="K297">
        <v>6.8471096572600336</v>
      </c>
      <c r="L297">
        <v>45572</v>
      </c>
      <c r="M297" t="s">
        <v>136</v>
      </c>
      <c r="N297">
        <v>3.8</v>
      </c>
      <c r="O297">
        <v>3.8</v>
      </c>
      <c r="P297">
        <v>3.75</v>
      </c>
      <c r="Q297">
        <v>0.55497869761306307</v>
      </c>
      <c r="R297">
        <v>0.55497869761306307</v>
      </c>
      <c r="S297">
        <v>0.54767634632868067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0.44502130238693693</v>
      </c>
      <c r="AE297">
        <v>0</v>
      </c>
      <c r="AF297">
        <v>7.3023512843823912E-3</v>
      </c>
      <c r="AG297">
        <v>0</v>
      </c>
      <c r="AH297">
        <v>0.54767634632868067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1.801870962436851</v>
      </c>
      <c r="AO297">
        <v>1.801870962436851</v>
      </c>
      <c r="AP297">
        <v>0.98684210526315796</v>
      </c>
      <c r="BG297">
        <v>0</v>
      </c>
      <c r="BH297">
        <v>0</v>
      </c>
      <c r="BI297">
        <v>0</v>
      </c>
      <c r="BK297">
        <v>1.0133333333333332</v>
      </c>
      <c r="BL297">
        <v>1.0133333333333332</v>
      </c>
      <c r="BM297">
        <v>1.8258959086026756</v>
      </c>
      <c r="BN297">
        <v>0.81256257526934239</v>
      </c>
      <c r="BO297">
        <v>0</v>
      </c>
      <c r="BP297">
        <v>0</v>
      </c>
      <c r="BQ297">
        <v>0</v>
      </c>
      <c r="BR297">
        <v>0</v>
      </c>
      <c r="BS297">
        <v>0.4866666666666668</v>
      </c>
      <c r="BT297">
        <v>1.3333333333333197E-2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</row>
    <row r="298" spans="1:85" hidden="1" x14ac:dyDescent="0.25">
      <c r="A298" t="s">
        <v>128</v>
      </c>
      <c r="B298" t="s">
        <v>181</v>
      </c>
      <c r="C298" t="s">
        <v>72</v>
      </c>
      <c r="D298" s="12">
        <v>45572</v>
      </c>
      <c r="E298" t="s">
        <v>178</v>
      </c>
      <c r="F298" t="s">
        <v>178</v>
      </c>
      <c r="G298" t="s">
        <v>178</v>
      </c>
      <c r="H298" t="s">
        <v>74</v>
      </c>
      <c r="I298">
        <v>10</v>
      </c>
      <c r="K298">
        <v>0.84615384615384603</v>
      </c>
      <c r="L298">
        <v>45572</v>
      </c>
      <c r="M298" t="s">
        <v>137</v>
      </c>
      <c r="N298">
        <v>1.9</v>
      </c>
      <c r="O298">
        <v>1.9</v>
      </c>
      <c r="P298">
        <v>1.9962624345926052</v>
      </c>
      <c r="Q298">
        <v>2.2454545454545456</v>
      </c>
      <c r="R298">
        <v>2.2454545454545456</v>
      </c>
      <c r="S298">
        <v>2.3592192408821702</v>
      </c>
      <c r="T298">
        <v>0.11376469542762457</v>
      </c>
      <c r="U298">
        <v>0</v>
      </c>
      <c r="V298">
        <v>0</v>
      </c>
      <c r="W298">
        <v>0</v>
      </c>
      <c r="X298">
        <v>0.99545454545454559</v>
      </c>
      <c r="Y298">
        <v>0</v>
      </c>
      <c r="Z298">
        <v>0.25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1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0.44534412955465585</v>
      </c>
      <c r="AO298">
        <v>0.44534412955465585</v>
      </c>
      <c r="AP298">
        <v>1.0506644392592659</v>
      </c>
      <c r="AQ298">
        <v>5.0664439259265892E-2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0.44534412955465585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0.95177866751159379</v>
      </c>
      <c r="BL298">
        <v>0.95177866751159379</v>
      </c>
      <c r="BM298">
        <v>0.4238690422116409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4.822133248840621E-2</v>
      </c>
      <c r="BY298">
        <v>0</v>
      </c>
      <c r="BZ298">
        <v>0.52790962529995289</v>
      </c>
      <c r="CA298">
        <v>0</v>
      </c>
      <c r="CB298">
        <v>0.4238690422116409</v>
      </c>
      <c r="CC298">
        <v>0</v>
      </c>
      <c r="CD298">
        <v>0</v>
      </c>
      <c r="CE298">
        <v>0</v>
      </c>
      <c r="CF298">
        <v>0</v>
      </c>
      <c r="CG298">
        <v>0</v>
      </c>
    </row>
    <row r="299" spans="1:85" hidden="1" x14ac:dyDescent="0.25">
      <c r="A299" t="s">
        <v>128</v>
      </c>
      <c r="B299" t="s">
        <v>181</v>
      </c>
      <c r="C299" t="s">
        <v>72</v>
      </c>
      <c r="D299" s="12">
        <v>45572</v>
      </c>
      <c r="E299" t="s">
        <v>178</v>
      </c>
      <c r="F299" t="s">
        <v>178</v>
      </c>
      <c r="G299" t="s">
        <v>178</v>
      </c>
      <c r="H299" t="s">
        <v>75</v>
      </c>
      <c r="I299">
        <v>10</v>
      </c>
      <c r="K299">
        <v>2.5351191458269504</v>
      </c>
      <c r="L299">
        <v>45572</v>
      </c>
      <c r="M299" t="s">
        <v>138</v>
      </c>
      <c r="N299">
        <v>3.8</v>
      </c>
      <c r="O299">
        <v>3.8</v>
      </c>
      <c r="P299">
        <v>3.9012420217353809</v>
      </c>
      <c r="Q299">
        <v>1.498943355879413</v>
      </c>
      <c r="R299">
        <v>1.498943355879413</v>
      </c>
      <c r="S299">
        <v>1.538879160041531</v>
      </c>
      <c r="T299">
        <v>3.993580416211806E-2</v>
      </c>
      <c r="U299">
        <v>0</v>
      </c>
      <c r="V299">
        <v>0</v>
      </c>
      <c r="W299">
        <v>0</v>
      </c>
      <c r="X299">
        <v>0.24894335587941296</v>
      </c>
      <c r="Y299">
        <v>0</v>
      </c>
      <c r="Z299">
        <v>0.25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1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0.66713661732288176</v>
      </c>
      <c r="AO299">
        <v>0.66713661732288176</v>
      </c>
      <c r="AP299">
        <v>1.0266426372987845</v>
      </c>
      <c r="AQ299">
        <v>2.6642637298784466E-2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0.66713661732288176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0.97404877186000738</v>
      </c>
      <c r="BL299">
        <v>0.97404877186000738</v>
      </c>
      <c r="BM299">
        <v>0.64982360276619267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2.5951228139992621E-2</v>
      </c>
      <c r="BY299">
        <v>0</v>
      </c>
      <c r="BZ299">
        <v>0.32422516909381471</v>
      </c>
      <c r="CA299">
        <v>0</v>
      </c>
      <c r="CB299">
        <v>0.64982360276619267</v>
      </c>
      <c r="CC299">
        <v>0</v>
      </c>
      <c r="CD299">
        <v>0</v>
      </c>
      <c r="CE299">
        <v>0</v>
      </c>
      <c r="CF299">
        <v>0</v>
      </c>
      <c r="CG299">
        <v>0</v>
      </c>
    </row>
    <row r="300" spans="1:85" hidden="1" x14ac:dyDescent="0.25">
      <c r="A300" t="s">
        <v>128</v>
      </c>
      <c r="B300" t="s">
        <v>181</v>
      </c>
      <c r="C300" t="s">
        <v>109</v>
      </c>
      <c r="D300" s="12">
        <v>45572</v>
      </c>
      <c r="E300" t="s">
        <v>178</v>
      </c>
      <c r="F300" t="s">
        <v>178</v>
      </c>
      <c r="G300" t="s">
        <v>178</v>
      </c>
      <c r="K300">
        <v>10.22838264924083</v>
      </c>
      <c r="N300">
        <v>9.5</v>
      </c>
      <c r="O300">
        <v>9.5</v>
      </c>
      <c r="P300">
        <v>9.6475044563279866</v>
      </c>
      <c r="T300">
        <v>1.930945126917457E-2</v>
      </c>
      <c r="U300">
        <v>0</v>
      </c>
      <c r="V300">
        <v>0</v>
      </c>
      <c r="W300">
        <v>0</v>
      </c>
      <c r="X300">
        <v>0.14405100107721952</v>
      </c>
      <c r="Y300">
        <v>0</v>
      </c>
      <c r="Z300">
        <v>8.2644370765493427E-2</v>
      </c>
      <c r="AA300">
        <v>0</v>
      </c>
      <c r="AB300">
        <v>0</v>
      </c>
      <c r="AC300">
        <v>0</v>
      </c>
      <c r="AD300">
        <v>0.29790728033490177</v>
      </c>
      <c r="AE300">
        <v>0</v>
      </c>
      <c r="AF300">
        <v>4.888358376356889E-3</v>
      </c>
      <c r="AG300">
        <v>0</v>
      </c>
      <c r="AH300">
        <v>0.6972043612887413</v>
      </c>
      <c r="AI300">
        <v>0</v>
      </c>
      <c r="AJ300">
        <v>0</v>
      </c>
      <c r="AK300">
        <v>0</v>
      </c>
      <c r="AL300">
        <v>0</v>
      </c>
      <c r="AM300">
        <v>0</v>
      </c>
    </row>
    <row r="301" spans="1:85" hidden="1" x14ac:dyDescent="0.25">
      <c r="A301" t="s">
        <v>128</v>
      </c>
      <c r="B301" t="s">
        <v>181</v>
      </c>
      <c r="C301" t="s">
        <v>72</v>
      </c>
      <c r="D301" s="12">
        <v>45573</v>
      </c>
      <c r="E301" t="s">
        <v>178</v>
      </c>
      <c r="F301" t="s">
        <v>178</v>
      </c>
      <c r="G301" t="s">
        <v>178</v>
      </c>
      <c r="H301" t="s">
        <v>73</v>
      </c>
      <c r="I301">
        <v>10</v>
      </c>
      <c r="K301">
        <v>6.8471096572600336</v>
      </c>
      <c r="L301">
        <v>45573</v>
      </c>
      <c r="M301" t="s">
        <v>139</v>
      </c>
      <c r="N301">
        <v>3.8</v>
      </c>
      <c r="O301">
        <v>3.8</v>
      </c>
      <c r="P301">
        <v>2.8752450980392155</v>
      </c>
      <c r="Q301">
        <v>0.55497869761306307</v>
      </c>
      <c r="R301">
        <v>0.55497869761306307</v>
      </c>
      <c r="S301">
        <v>0.41992099469161781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0.44502130238693693</v>
      </c>
      <c r="AE301">
        <v>0</v>
      </c>
      <c r="AF301">
        <v>0.13505770292144526</v>
      </c>
      <c r="AG301">
        <v>0</v>
      </c>
      <c r="AH301">
        <v>0.41992099469161781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1.801870962436851</v>
      </c>
      <c r="AO301">
        <v>1.801870962436851</v>
      </c>
      <c r="AP301">
        <v>0.75664344685242513</v>
      </c>
      <c r="BG301">
        <v>0</v>
      </c>
      <c r="BH301">
        <v>0</v>
      </c>
      <c r="BI301">
        <v>0</v>
      </c>
      <c r="BK301">
        <v>1.3216264598073482</v>
      </c>
      <c r="BL301">
        <v>1.3216264598073482</v>
      </c>
      <c r="BM301">
        <v>2.3814003411150746</v>
      </c>
      <c r="BN301">
        <v>1.0597738813077264</v>
      </c>
      <c r="BO301">
        <v>0</v>
      </c>
      <c r="BP301">
        <v>0</v>
      </c>
      <c r="BQ301">
        <v>0</v>
      </c>
      <c r="BR301">
        <v>0</v>
      </c>
      <c r="BS301">
        <v>0.17837354019265184</v>
      </c>
      <c r="BT301">
        <v>0.32162645980734816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</row>
    <row r="302" spans="1:85" hidden="1" x14ac:dyDescent="0.25">
      <c r="A302" t="s">
        <v>128</v>
      </c>
      <c r="B302" t="s">
        <v>181</v>
      </c>
      <c r="C302" t="s">
        <v>72</v>
      </c>
      <c r="D302" s="12">
        <v>45573</v>
      </c>
      <c r="E302" t="s">
        <v>178</v>
      </c>
      <c r="F302" t="s">
        <v>178</v>
      </c>
      <c r="G302" t="s">
        <v>178</v>
      </c>
      <c r="H302" t="s">
        <v>74</v>
      </c>
      <c r="I302">
        <v>10</v>
      </c>
      <c r="K302">
        <v>0.84615384615384603</v>
      </c>
      <c r="L302">
        <v>45573</v>
      </c>
      <c r="M302" t="s">
        <v>140</v>
      </c>
      <c r="N302">
        <v>1.9</v>
      </c>
      <c r="O302">
        <v>1.9</v>
      </c>
      <c r="P302">
        <v>1.9964349376114079</v>
      </c>
      <c r="Q302">
        <v>2.2454545454545456</v>
      </c>
      <c r="R302">
        <v>2.2454545454545456</v>
      </c>
      <c r="S302">
        <v>2.3594231080862098</v>
      </c>
      <c r="T302">
        <v>0.11396856263166422</v>
      </c>
      <c r="U302">
        <v>0</v>
      </c>
      <c r="V302">
        <v>0</v>
      </c>
      <c r="W302">
        <v>0</v>
      </c>
      <c r="X302">
        <v>0.99545454545454559</v>
      </c>
      <c r="Y302">
        <v>0</v>
      </c>
      <c r="Z302">
        <v>0.25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1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0.44534412955465585</v>
      </c>
      <c r="AO302">
        <v>0.44534412955465585</v>
      </c>
      <c r="AP302">
        <v>1.0507552303217937</v>
      </c>
      <c r="AQ302">
        <v>5.0755230321793743E-2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0.44534412955465585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0.95169642857142867</v>
      </c>
      <c r="BL302">
        <v>0.95169642857142867</v>
      </c>
      <c r="BM302">
        <v>0.42383241758241758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4.8303571428571335E-2</v>
      </c>
      <c r="BY302">
        <v>0</v>
      </c>
      <c r="BZ302">
        <v>0.52786401098901115</v>
      </c>
      <c r="CA302">
        <v>0</v>
      </c>
      <c r="CB302">
        <v>0.42383241758241758</v>
      </c>
      <c r="CC302">
        <v>0</v>
      </c>
      <c r="CD302">
        <v>0</v>
      </c>
      <c r="CE302">
        <v>0</v>
      </c>
      <c r="CF302">
        <v>0</v>
      </c>
      <c r="CG302">
        <v>0</v>
      </c>
    </row>
    <row r="303" spans="1:85" hidden="1" x14ac:dyDescent="0.25">
      <c r="A303" t="s">
        <v>128</v>
      </c>
      <c r="B303" t="s">
        <v>181</v>
      </c>
      <c r="C303" t="s">
        <v>72</v>
      </c>
      <c r="D303" s="12">
        <v>45573</v>
      </c>
      <c r="E303" t="s">
        <v>178</v>
      </c>
      <c r="F303" t="s">
        <v>178</v>
      </c>
      <c r="G303" t="s">
        <v>178</v>
      </c>
      <c r="H303" t="s">
        <v>75</v>
      </c>
      <c r="I303">
        <v>10</v>
      </c>
      <c r="K303">
        <v>2.5351191458269504</v>
      </c>
      <c r="L303">
        <v>45573</v>
      </c>
      <c r="M303" t="s">
        <v>141</v>
      </c>
      <c r="N303">
        <v>3.8</v>
      </c>
      <c r="O303">
        <v>3.8</v>
      </c>
      <c r="P303">
        <v>3.9351604278074865</v>
      </c>
      <c r="Q303">
        <v>1.498943355879413</v>
      </c>
      <c r="R303">
        <v>1.498943355879413</v>
      </c>
      <c r="S303">
        <v>1.5522585730477949</v>
      </c>
      <c r="T303">
        <v>5.3315217168381945E-2</v>
      </c>
      <c r="U303">
        <v>0</v>
      </c>
      <c r="V303">
        <v>0</v>
      </c>
      <c r="W303">
        <v>0</v>
      </c>
      <c r="X303">
        <v>0.24894335587941296</v>
      </c>
      <c r="Y303">
        <v>0</v>
      </c>
      <c r="Z303">
        <v>0.25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1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0.66713661732288176</v>
      </c>
      <c r="AO303">
        <v>0.66713661732288176</v>
      </c>
      <c r="AP303">
        <v>1.0355685336335492</v>
      </c>
      <c r="AQ303">
        <v>3.5568533633549171E-2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0.66713661732288176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0.9656531340241209</v>
      </c>
      <c r="BL303">
        <v>0.9656531340241209</v>
      </c>
      <c r="BM303">
        <v>0.64422256534009137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3.4346865975879104E-2</v>
      </c>
      <c r="BY303">
        <v>0</v>
      </c>
      <c r="BZ303">
        <v>0.32143056868402953</v>
      </c>
      <c r="CA303">
        <v>0</v>
      </c>
      <c r="CB303">
        <v>0.64422256534009137</v>
      </c>
      <c r="CC303">
        <v>0</v>
      </c>
      <c r="CD303">
        <v>0</v>
      </c>
      <c r="CE303">
        <v>0</v>
      </c>
      <c r="CF303">
        <v>0</v>
      </c>
      <c r="CG303">
        <v>0</v>
      </c>
    </row>
    <row r="304" spans="1:85" hidden="1" x14ac:dyDescent="0.25">
      <c r="A304" t="s">
        <v>128</v>
      </c>
      <c r="B304" t="s">
        <v>181</v>
      </c>
      <c r="C304" t="s">
        <v>109</v>
      </c>
      <c r="D304" s="12">
        <v>45573</v>
      </c>
      <c r="E304" t="s">
        <v>178</v>
      </c>
      <c r="F304" t="s">
        <v>178</v>
      </c>
      <c r="G304" t="s">
        <v>178</v>
      </c>
      <c r="K304">
        <v>10.228382649240832</v>
      </c>
      <c r="N304">
        <v>9.5</v>
      </c>
      <c r="O304">
        <v>9.5</v>
      </c>
      <c r="P304">
        <v>8.8068404634581103</v>
      </c>
      <c r="T304">
        <v>2.2642422889417847E-2</v>
      </c>
      <c r="U304">
        <v>0</v>
      </c>
      <c r="V304">
        <v>0</v>
      </c>
      <c r="W304">
        <v>0</v>
      </c>
      <c r="X304">
        <v>0.14405100107721949</v>
      </c>
      <c r="Y304">
        <v>0</v>
      </c>
      <c r="Z304">
        <v>8.2644370765493413E-2</v>
      </c>
      <c r="AA304">
        <v>0</v>
      </c>
      <c r="AB304">
        <v>0</v>
      </c>
      <c r="AC304">
        <v>0</v>
      </c>
      <c r="AD304">
        <v>0.29790728033490171</v>
      </c>
      <c r="AE304">
        <v>0</v>
      </c>
      <c r="AF304">
        <v>9.0410667421542093E-2</v>
      </c>
      <c r="AG304">
        <v>0</v>
      </c>
      <c r="AH304">
        <v>0.61168205224355598</v>
      </c>
      <c r="AI304">
        <v>0</v>
      </c>
      <c r="AJ304">
        <v>0</v>
      </c>
      <c r="AK304">
        <v>0</v>
      </c>
      <c r="AL304">
        <v>0</v>
      </c>
      <c r="AM304">
        <v>0</v>
      </c>
    </row>
    <row r="305" spans="1:85" hidden="1" x14ac:dyDescent="0.25">
      <c r="A305" t="s">
        <v>128</v>
      </c>
      <c r="B305" t="s">
        <v>181</v>
      </c>
      <c r="C305" t="s">
        <v>72</v>
      </c>
      <c r="D305" s="12">
        <v>45574</v>
      </c>
      <c r="E305" t="s">
        <v>178</v>
      </c>
      <c r="F305" t="s">
        <v>178</v>
      </c>
      <c r="G305" t="s">
        <v>178</v>
      </c>
      <c r="H305" t="s">
        <v>73</v>
      </c>
      <c r="I305">
        <v>10</v>
      </c>
      <c r="K305">
        <v>6.8471096572600336</v>
      </c>
      <c r="L305">
        <v>45574</v>
      </c>
      <c r="M305" t="s">
        <v>142</v>
      </c>
      <c r="N305">
        <v>2.8499999999999996</v>
      </c>
      <c r="O305">
        <v>2.8499999999999996</v>
      </c>
      <c r="P305">
        <v>2.8752450980392155</v>
      </c>
      <c r="Q305">
        <v>0.41623402320979724</v>
      </c>
      <c r="R305">
        <v>0.41623402320979724</v>
      </c>
      <c r="S305">
        <v>0.41992099469161781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3.6869714818205668E-3</v>
      </c>
      <c r="AD305">
        <v>0.58007900530838219</v>
      </c>
      <c r="AE305">
        <v>0</v>
      </c>
      <c r="AF305">
        <v>0</v>
      </c>
      <c r="AG305">
        <v>0</v>
      </c>
      <c r="AH305">
        <v>0.41623402320979724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2.4024946165824681</v>
      </c>
      <c r="AO305">
        <v>2.4024946165824681</v>
      </c>
      <c r="AP305">
        <v>1.0088579291365669</v>
      </c>
      <c r="BG305">
        <v>0</v>
      </c>
      <c r="BH305">
        <v>0</v>
      </c>
      <c r="BI305">
        <v>0</v>
      </c>
      <c r="BK305">
        <v>0.99121984485551096</v>
      </c>
      <c r="BL305">
        <v>0.99121984485551096</v>
      </c>
      <c r="BM305">
        <v>2.3814003411150746</v>
      </c>
      <c r="BN305">
        <v>1.3814003411150746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0.58376597679020281</v>
      </c>
      <c r="BX305">
        <v>0</v>
      </c>
      <c r="BY305">
        <v>0</v>
      </c>
      <c r="BZ305">
        <v>0</v>
      </c>
      <c r="CA305">
        <v>0</v>
      </c>
      <c r="CB305">
        <v>0.99121984485551096</v>
      </c>
      <c r="CC305">
        <v>0</v>
      </c>
      <c r="CD305">
        <v>0</v>
      </c>
      <c r="CE305">
        <v>0</v>
      </c>
      <c r="CF305">
        <v>0</v>
      </c>
      <c r="CG305">
        <v>0</v>
      </c>
    </row>
    <row r="306" spans="1:85" hidden="1" x14ac:dyDescent="0.25">
      <c r="A306" t="s">
        <v>128</v>
      </c>
      <c r="B306" t="s">
        <v>181</v>
      </c>
      <c r="C306" t="s">
        <v>72</v>
      </c>
      <c r="D306" s="12">
        <v>45574</v>
      </c>
      <c r="E306" t="s">
        <v>178</v>
      </c>
      <c r="F306" t="s">
        <v>178</v>
      </c>
      <c r="G306" t="s">
        <v>178</v>
      </c>
      <c r="H306" t="s">
        <v>74</v>
      </c>
      <c r="I306">
        <v>10</v>
      </c>
      <c r="K306">
        <v>0.84615384615384603</v>
      </c>
      <c r="L306">
        <v>45574</v>
      </c>
      <c r="M306" t="s">
        <v>143</v>
      </c>
      <c r="N306">
        <v>1.9</v>
      </c>
      <c r="O306">
        <v>1.9</v>
      </c>
      <c r="P306">
        <v>1.9964349376114079</v>
      </c>
      <c r="Q306">
        <v>2.2454545454545456</v>
      </c>
      <c r="R306">
        <v>2.2454545454545456</v>
      </c>
      <c r="S306">
        <v>2.3594231080862098</v>
      </c>
      <c r="T306">
        <v>0.11396856263166422</v>
      </c>
      <c r="U306">
        <v>0</v>
      </c>
      <c r="V306">
        <v>0</v>
      </c>
      <c r="W306">
        <v>0</v>
      </c>
      <c r="X306">
        <v>0.99545454545454559</v>
      </c>
      <c r="Y306">
        <v>0</v>
      </c>
      <c r="Z306">
        <v>0.25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0.44534412955465585</v>
      </c>
      <c r="AO306">
        <v>0.44534412955465585</v>
      </c>
      <c r="AP306">
        <v>1.0507552303217937</v>
      </c>
      <c r="AQ306">
        <v>5.0755230321793743E-2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0.44534412955465585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0.95169642857142867</v>
      </c>
      <c r="BL306">
        <v>0.95169642857142867</v>
      </c>
      <c r="BM306">
        <v>0.42383241758241758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4.8303571428571335E-2</v>
      </c>
      <c r="BY306">
        <v>0</v>
      </c>
      <c r="BZ306">
        <v>0.52786401098901115</v>
      </c>
      <c r="CA306">
        <v>0</v>
      </c>
      <c r="CB306">
        <v>0.42383241758241758</v>
      </c>
      <c r="CC306">
        <v>0</v>
      </c>
      <c r="CD306">
        <v>0</v>
      </c>
      <c r="CE306">
        <v>0</v>
      </c>
      <c r="CF306">
        <v>0</v>
      </c>
      <c r="CG306">
        <v>0</v>
      </c>
    </row>
    <row r="307" spans="1:85" hidden="1" x14ac:dyDescent="0.25">
      <c r="A307" t="s">
        <v>128</v>
      </c>
      <c r="B307" t="s">
        <v>181</v>
      </c>
      <c r="C307" t="s">
        <v>72</v>
      </c>
      <c r="D307" s="12">
        <v>45574</v>
      </c>
      <c r="E307" t="s">
        <v>178</v>
      </c>
      <c r="F307" t="s">
        <v>178</v>
      </c>
      <c r="G307" t="s">
        <v>178</v>
      </c>
      <c r="H307" t="s">
        <v>75</v>
      </c>
      <c r="I307">
        <v>10</v>
      </c>
      <c r="K307">
        <v>2.5351191458269504</v>
      </c>
      <c r="L307">
        <v>45574</v>
      </c>
      <c r="M307" t="s">
        <v>144</v>
      </c>
      <c r="N307">
        <v>2.8499999999999996</v>
      </c>
      <c r="O307">
        <v>2.8499999999999996</v>
      </c>
      <c r="P307">
        <v>3.9351604278074865</v>
      </c>
      <c r="Q307">
        <v>1.1242075169095596</v>
      </c>
      <c r="R307">
        <v>1.1242075169095596</v>
      </c>
      <c r="S307">
        <v>1.5522585730477949</v>
      </c>
      <c r="T307">
        <v>0.42805105613823535</v>
      </c>
      <c r="U307">
        <v>0</v>
      </c>
      <c r="V307">
        <v>0</v>
      </c>
      <c r="W307">
        <v>0</v>
      </c>
      <c r="X307">
        <v>0</v>
      </c>
      <c r="Y307">
        <v>0.12579248309044044</v>
      </c>
      <c r="Z307">
        <v>0.12420751690955956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1</v>
      </c>
      <c r="AN307">
        <v>0.88951548976384232</v>
      </c>
      <c r="AO307">
        <v>0.88951548976384232</v>
      </c>
      <c r="AP307">
        <v>1.3807580448447323</v>
      </c>
      <c r="AQ307">
        <v>0.3807580448447323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0.88951548976384232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0.72423985051809059</v>
      </c>
      <c r="BL307">
        <v>0.72423985051809059</v>
      </c>
      <c r="BM307">
        <v>0.64422256534009137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0.27576014948190941</v>
      </c>
      <c r="BY307">
        <v>0</v>
      </c>
      <c r="BZ307">
        <v>8.001728517799922E-2</v>
      </c>
      <c r="CA307">
        <v>0</v>
      </c>
      <c r="CB307">
        <v>0.64422256534009137</v>
      </c>
      <c r="CC307">
        <v>0</v>
      </c>
      <c r="CD307">
        <v>0</v>
      </c>
      <c r="CE307">
        <v>0</v>
      </c>
      <c r="CF307">
        <v>0</v>
      </c>
      <c r="CG307">
        <v>0</v>
      </c>
    </row>
    <row r="308" spans="1:85" hidden="1" x14ac:dyDescent="0.25">
      <c r="A308" t="s">
        <v>128</v>
      </c>
      <c r="B308" t="s">
        <v>181</v>
      </c>
      <c r="C308" t="s">
        <v>109</v>
      </c>
      <c r="D308" s="12">
        <v>45574</v>
      </c>
      <c r="E308" t="s">
        <v>178</v>
      </c>
      <c r="F308" t="s">
        <v>178</v>
      </c>
      <c r="G308" t="s">
        <v>178</v>
      </c>
      <c r="K308">
        <v>10.22838264924083</v>
      </c>
      <c r="N308">
        <v>7.6</v>
      </c>
      <c r="O308">
        <v>7.6</v>
      </c>
      <c r="P308">
        <v>8.8068404634581103</v>
      </c>
      <c r="T308">
        <v>0.115521232040199</v>
      </c>
      <c r="U308">
        <v>0</v>
      </c>
      <c r="V308">
        <v>0</v>
      </c>
      <c r="W308">
        <v>0</v>
      </c>
      <c r="X308">
        <v>8.2350037263243178E-2</v>
      </c>
      <c r="Y308">
        <v>3.1177845336804816E-2</v>
      </c>
      <c r="Z308">
        <v>5.1466525428688625E-2</v>
      </c>
      <c r="AA308">
        <v>0</v>
      </c>
      <c r="AB308">
        <v>0</v>
      </c>
      <c r="AC308">
        <v>2.4681417292390481E-3</v>
      </c>
      <c r="AD308">
        <v>0.38831794775644396</v>
      </c>
      <c r="AE308">
        <v>0</v>
      </c>
      <c r="AF308">
        <v>0</v>
      </c>
      <c r="AG308">
        <v>0</v>
      </c>
      <c r="AH308">
        <v>0.36136249228299855</v>
      </c>
      <c r="AI308">
        <v>0</v>
      </c>
      <c r="AJ308">
        <v>0</v>
      </c>
      <c r="AK308">
        <v>0</v>
      </c>
      <c r="AL308">
        <v>0</v>
      </c>
      <c r="AM308">
        <v>0.24785141823131851</v>
      </c>
    </row>
    <row r="309" spans="1:85" hidden="1" x14ac:dyDescent="0.25">
      <c r="A309" t="s">
        <v>128</v>
      </c>
      <c r="B309" t="s">
        <v>181</v>
      </c>
      <c r="C309" t="s">
        <v>72</v>
      </c>
      <c r="D309" s="12">
        <v>45575</v>
      </c>
      <c r="E309" t="s">
        <v>178</v>
      </c>
      <c r="F309" t="s">
        <v>178</v>
      </c>
      <c r="G309" t="s">
        <v>178</v>
      </c>
      <c r="H309" t="s">
        <v>73</v>
      </c>
      <c r="I309">
        <v>10</v>
      </c>
      <c r="K309">
        <v>6.8471096572600327</v>
      </c>
      <c r="L309">
        <v>45575</v>
      </c>
      <c r="M309" t="s">
        <v>145</v>
      </c>
      <c r="N309">
        <v>3.8</v>
      </c>
      <c r="O309">
        <v>3.8</v>
      </c>
      <c r="P309">
        <v>2.8752450980392155</v>
      </c>
      <c r="Q309">
        <v>0.55497869761306307</v>
      </c>
      <c r="R309">
        <v>0.55497869761306307</v>
      </c>
      <c r="S309">
        <v>0.41992099469161787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0.44502130238693693</v>
      </c>
      <c r="AE309">
        <v>0</v>
      </c>
      <c r="AF309">
        <v>0.1350577029214452</v>
      </c>
      <c r="AG309">
        <v>0</v>
      </c>
      <c r="AH309">
        <v>0.41992099469161787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1.8018709624368507</v>
      </c>
      <c r="AO309">
        <v>1.8018709624368507</v>
      </c>
      <c r="AP309">
        <v>0.75664344685242513</v>
      </c>
      <c r="BG309">
        <v>0</v>
      </c>
      <c r="BH309">
        <v>0</v>
      </c>
      <c r="BI309">
        <v>0</v>
      </c>
      <c r="BK309">
        <v>1.3216264598073482</v>
      </c>
      <c r="BL309">
        <v>1.3216264598073482</v>
      </c>
      <c r="BM309">
        <v>2.3814003411150741</v>
      </c>
      <c r="BN309">
        <v>1.059773881307726</v>
      </c>
      <c r="BO309">
        <v>0</v>
      </c>
      <c r="BP309">
        <v>0</v>
      </c>
      <c r="BQ309">
        <v>0</v>
      </c>
      <c r="BR309">
        <v>0</v>
      </c>
      <c r="BS309">
        <v>0.17837354019265184</v>
      </c>
      <c r="BT309">
        <v>0.32162645980734816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</row>
    <row r="310" spans="1:85" hidden="1" x14ac:dyDescent="0.25">
      <c r="A310" t="s">
        <v>128</v>
      </c>
      <c r="B310" t="s">
        <v>181</v>
      </c>
      <c r="C310" t="s">
        <v>72</v>
      </c>
      <c r="D310" s="12">
        <v>45575</v>
      </c>
      <c r="E310" t="s">
        <v>178</v>
      </c>
      <c r="F310" t="s">
        <v>178</v>
      </c>
      <c r="G310" t="s">
        <v>178</v>
      </c>
      <c r="H310" t="s">
        <v>74</v>
      </c>
      <c r="I310">
        <v>10</v>
      </c>
      <c r="K310">
        <v>0.84615384615384603</v>
      </c>
      <c r="L310">
        <v>45575</v>
      </c>
      <c r="M310" t="s">
        <v>146</v>
      </c>
      <c r="N310">
        <v>1.9</v>
      </c>
      <c r="O310">
        <v>1.9</v>
      </c>
      <c r="P310">
        <v>1.9393939393939392</v>
      </c>
      <c r="Q310">
        <v>2.2454545454545456</v>
      </c>
      <c r="R310">
        <v>2.2454545454545456</v>
      </c>
      <c r="S310">
        <v>2.2920110192837466</v>
      </c>
      <c r="T310">
        <v>4.6556473829201028E-2</v>
      </c>
      <c r="U310">
        <v>0</v>
      </c>
      <c r="V310">
        <v>0</v>
      </c>
      <c r="W310">
        <v>0</v>
      </c>
      <c r="X310">
        <v>0.99545454545454559</v>
      </c>
      <c r="Y310">
        <v>0</v>
      </c>
      <c r="Z310">
        <v>0.25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0.44534412955465585</v>
      </c>
      <c r="AO310">
        <v>0.44534412955465585</v>
      </c>
      <c r="AP310">
        <v>1.0207336523125996</v>
      </c>
      <c r="AQ310">
        <v>2.0733652312599604E-2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0.44534412955465585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0.97968750000000004</v>
      </c>
      <c r="BL310">
        <v>0.97968750000000004</v>
      </c>
      <c r="BM310">
        <v>0.43629807692307687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2.0312499999999956E-2</v>
      </c>
      <c r="BY310">
        <v>0</v>
      </c>
      <c r="BZ310">
        <v>0.54338942307692317</v>
      </c>
      <c r="CA310">
        <v>0</v>
      </c>
      <c r="CB310">
        <v>0.43629807692307687</v>
      </c>
      <c r="CC310">
        <v>0</v>
      </c>
      <c r="CD310">
        <v>0</v>
      </c>
      <c r="CE310">
        <v>0</v>
      </c>
      <c r="CF310">
        <v>0</v>
      </c>
      <c r="CG310">
        <v>0</v>
      </c>
    </row>
    <row r="311" spans="1:85" hidden="1" x14ac:dyDescent="0.25">
      <c r="A311" t="s">
        <v>128</v>
      </c>
      <c r="B311" t="s">
        <v>181</v>
      </c>
      <c r="C311" t="s">
        <v>72</v>
      </c>
      <c r="D311" s="12">
        <v>45575</v>
      </c>
      <c r="E311" t="s">
        <v>178</v>
      </c>
      <c r="F311" t="s">
        <v>178</v>
      </c>
      <c r="G311" t="s">
        <v>178</v>
      </c>
      <c r="H311" t="s">
        <v>75</v>
      </c>
      <c r="I311">
        <v>10</v>
      </c>
      <c r="K311">
        <v>2.5351191458269504</v>
      </c>
      <c r="L311">
        <v>45575</v>
      </c>
      <c r="M311" t="s">
        <v>147</v>
      </c>
      <c r="N311">
        <v>4.75</v>
      </c>
      <c r="O311">
        <v>4.75</v>
      </c>
      <c r="P311">
        <v>2.780080213903743</v>
      </c>
      <c r="Q311">
        <v>1.8736791948492661</v>
      </c>
      <c r="R311">
        <v>1.8736791948492661</v>
      </c>
      <c r="S311">
        <v>1.0966270435375876</v>
      </c>
      <c r="T311">
        <v>0</v>
      </c>
      <c r="U311">
        <v>0</v>
      </c>
      <c r="V311">
        <v>0.62367919484926615</v>
      </c>
      <c r="W311">
        <v>0</v>
      </c>
      <c r="X311">
        <v>0</v>
      </c>
      <c r="Y311">
        <v>0</v>
      </c>
      <c r="Z311">
        <v>9.6627043537587554E-2</v>
      </c>
      <c r="AA311">
        <v>0</v>
      </c>
      <c r="AB311">
        <v>0.15337295646241245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0.53370929385830534</v>
      </c>
      <c r="AO311">
        <v>0.53370929385830534</v>
      </c>
      <c r="AP311">
        <v>0.58528004503236697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0.41471995496763303</v>
      </c>
      <c r="BB311">
        <v>0</v>
      </c>
      <c r="BC311">
        <v>0</v>
      </c>
      <c r="BD311">
        <v>0</v>
      </c>
      <c r="BE311">
        <v>0.53370929385830534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1.7085837941812938</v>
      </c>
      <c r="BL311">
        <v>1.7085837941812938</v>
      </c>
      <c r="BM311">
        <v>0.91188705029024242</v>
      </c>
      <c r="CD311">
        <v>0</v>
      </c>
      <c r="CE311">
        <v>0</v>
      </c>
      <c r="CF311">
        <v>0</v>
      </c>
    </row>
    <row r="312" spans="1:85" hidden="1" x14ac:dyDescent="0.25">
      <c r="A312" t="s">
        <v>128</v>
      </c>
      <c r="B312" t="s">
        <v>181</v>
      </c>
      <c r="C312" t="s">
        <v>109</v>
      </c>
      <c r="D312" s="12">
        <v>45575</v>
      </c>
      <c r="E312" t="s">
        <v>178</v>
      </c>
      <c r="F312" t="s">
        <v>178</v>
      </c>
      <c r="G312" t="s">
        <v>178</v>
      </c>
      <c r="K312">
        <v>10.228382649240828</v>
      </c>
      <c r="N312">
        <v>10.45</v>
      </c>
      <c r="O312">
        <v>10.45</v>
      </c>
      <c r="P312">
        <v>7.5947192513368975</v>
      </c>
      <c r="T312">
        <v>3.8514338722811891E-3</v>
      </c>
      <c r="U312">
        <v>0</v>
      </c>
      <c r="V312">
        <v>0.15457977296475747</v>
      </c>
      <c r="W312">
        <v>0</v>
      </c>
      <c r="X312">
        <v>8.2350037263243192E-2</v>
      </c>
      <c r="Y312">
        <v>0</v>
      </c>
      <c r="Z312">
        <v>4.4630665987954253E-2</v>
      </c>
      <c r="AA312">
        <v>0</v>
      </c>
      <c r="AB312">
        <v>3.8013704777539195E-2</v>
      </c>
      <c r="AC312">
        <v>0</v>
      </c>
      <c r="AD312">
        <v>0.29790728033490183</v>
      </c>
      <c r="AE312">
        <v>0</v>
      </c>
      <c r="AF312">
        <v>9.0410667421542065E-2</v>
      </c>
      <c r="AG312">
        <v>0</v>
      </c>
      <c r="AH312">
        <v>0.61168205224355621</v>
      </c>
      <c r="AI312">
        <v>0</v>
      </c>
      <c r="AJ312">
        <v>0</v>
      </c>
      <c r="AK312">
        <v>0</v>
      </c>
      <c r="AL312">
        <v>0</v>
      </c>
      <c r="AM312">
        <v>0</v>
      </c>
    </row>
    <row r="313" spans="1:85" hidden="1" x14ac:dyDescent="0.25">
      <c r="A313" t="s">
        <v>128</v>
      </c>
      <c r="B313" t="s">
        <v>181</v>
      </c>
      <c r="C313" t="s">
        <v>72</v>
      </c>
      <c r="D313" s="12">
        <v>45576</v>
      </c>
      <c r="E313" t="s">
        <v>178</v>
      </c>
      <c r="F313" t="s">
        <v>178</v>
      </c>
      <c r="G313" t="s">
        <v>178</v>
      </c>
      <c r="H313" t="s">
        <v>73</v>
      </c>
      <c r="I313">
        <v>10</v>
      </c>
      <c r="K313">
        <v>6.8471096572600336</v>
      </c>
      <c r="L313">
        <v>45576</v>
      </c>
      <c r="M313" t="s">
        <v>148</v>
      </c>
      <c r="N313">
        <v>2.8499999999999996</v>
      </c>
      <c r="O313">
        <v>2.8499999999999996</v>
      </c>
      <c r="P313">
        <v>2.8420461733080331</v>
      </c>
      <c r="Q313">
        <v>0.41623402320979724</v>
      </c>
      <c r="R313">
        <v>0.41623402320979724</v>
      </c>
      <c r="S313">
        <v>0.41507239047860051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0.58376597679020281</v>
      </c>
      <c r="AE313">
        <v>0</v>
      </c>
      <c r="AF313">
        <v>1.1616327311967378E-3</v>
      </c>
      <c r="AG313">
        <v>0</v>
      </c>
      <c r="AH313">
        <v>0.41507239047860051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2.4024946165824681</v>
      </c>
      <c r="AO313">
        <v>2.4024946165824681</v>
      </c>
      <c r="AP313">
        <v>0.99720918361685384</v>
      </c>
      <c r="BG313">
        <v>0</v>
      </c>
      <c r="BH313">
        <v>0</v>
      </c>
      <c r="BI313">
        <v>0</v>
      </c>
      <c r="BK313">
        <v>1.0027986268367726</v>
      </c>
      <c r="BL313">
        <v>1.0027986268367726</v>
      </c>
      <c r="BM313">
        <v>2.4092183024916376</v>
      </c>
      <c r="BN313">
        <v>1.406419675654865</v>
      </c>
      <c r="BO313">
        <v>0</v>
      </c>
      <c r="BP313">
        <v>0</v>
      </c>
      <c r="BQ313">
        <v>0</v>
      </c>
      <c r="BR313">
        <v>0</v>
      </c>
      <c r="BS313">
        <v>0.49720137316322743</v>
      </c>
      <c r="BT313">
        <v>2.7986268367725664E-3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</row>
    <row r="314" spans="1:85" hidden="1" x14ac:dyDescent="0.25">
      <c r="A314" t="s">
        <v>128</v>
      </c>
      <c r="B314" t="s">
        <v>181</v>
      </c>
      <c r="C314" t="s">
        <v>72</v>
      </c>
      <c r="D314" s="12">
        <v>45576</v>
      </c>
      <c r="E314" t="s">
        <v>178</v>
      </c>
      <c r="F314" t="s">
        <v>178</v>
      </c>
      <c r="G314" t="s">
        <v>178</v>
      </c>
      <c r="H314" t="s">
        <v>74</v>
      </c>
      <c r="I314">
        <v>10</v>
      </c>
      <c r="K314">
        <v>0.84615384615384603</v>
      </c>
      <c r="L314">
        <v>45576</v>
      </c>
      <c r="M314" t="s">
        <v>149</v>
      </c>
      <c r="N314">
        <v>1.9</v>
      </c>
      <c r="O314">
        <v>1.9</v>
      </c>
      <c r="P314">
        <v>1.9679144385026737</v>
      </c>
      <c r="Q314">
        <v>2.2454545454545456</v>
      </c>
      <c r="R314">
        <v>2.2454545454545456</v>
      </c>
      <c r="S314">
        <v>2.3257170636849782</v>
      </c>
      <c r="T314">
        <v>8.0262518230432622E-2</v>
      </c>
      <c r="U314">
        <v>0</v>
      </c>
      <c r="V314">
        <v>0</v>
      </c>
      <c r="W314">
        <v>0</v>
      </c>
      <c r="X314">
        <v>0.99545454545454559</v>
      </c>
      <c r="Y314">
        <v>0</v>
      </c>
      <c r="Z314">
        <v>0.25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1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0.44534412955465585</v>
      </c>
      <c r="AO314">
        <v>0.44534412955465585</v>
      </c>
      <c r="AP314">
        <v>1.0357444413171968</v>
      </c>
      <c r="AQ314">
        <v>3.5744441317196785E-2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0.44534412955465585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0.96548913043478257</v>
      </c>
      <c r="BL314">
        <v>0.96548913043478257</v>
      </c>
      <c r="BM314">
        <v>0.42997491638795982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3.4510869565217428E-2</v>
      </c>
      <c r="BY314">
        <v>0</v>
      </c>
      <c r="BZ314">
        <v>0.53551421404682276</v>
      </c>
      <c r="CA314">
        <v>0</v>
      </c>
      <c r="CB314">
        <v>0.42997491638795982</v>
      </c>
      <c r="CC314">
        <v>0</v>
      </c>
      <c r="CD314">
        <v>0</v>
      </c>
      <c r="CE314">
        <v>0</v>
      </c>
      <c r="CF314">
        <v>0</v>
      </c>
      <c r="CG314">
        <v>0</v>
      </c>
    </row>
    <row r="315" spans="1:85" hidden="1" x14ac:dyDescent="0.25">
      <c r="A315" t="s">
        <v>128</v>
      </c>
      <c r="B315" t="s">
        <v>181</v>
      </c>
      <c r="C315" t="s">
        <v>72</v>
      </c>
      <c r="D315" s="12">
        <v>45576</v>
      </c>
      <c r="E315" t="s">
        <v>178</v>
      </c>
      <c r="F315" t="s">
        <v>178</v>
      </c>
      <c r="G315" t="s">
        <v>178</v>
      </c>
      <c r="H315" t="s">
        <v>75</v>
      </c>
      <c r="I315">
        <v>10</v>
      </c>
      <c r="K315">
        <v>2.5351191458269504</v>
      </c>
      <c r="L315">
        <v>45576</v>
      </c>
      <c r="M315" t="s">
        <v>150</v>
      </c>
      <c r="N315">
        <v>3.8</v>
      </c>
      <c r="O315">
        <v>3.8</v>
      </c>
      <c r="P315">
        <v>2.993861767580932</v>
      </c>
      <c r="Q315">
        <v>1.498943355879413</v>
      </c>
      <c r="R315">
        <v>1.498943355879413</v>
      </c>
      <c r="S315">
        <v>1.1809550539307456</v>
      </c>
      <c r="T315">
        <v>0</v>
      </c>
      <c r="U315">
        <v>0</v>
      </c>
      <c r="V315">
        <v>0.24894335587941296</v>
      </c>
      <c r="W315">
        <v>0</v>
      </c>
      <c r="X315">
        <v>0</v>
      </c>
      <c r="Y315">
        <v>0</v>
      </c>
      <c r="Z315">
        <v>0.18095505393074562</v>
      </c>
      <c r="AA315">
        <v>0</v>
      </c>
      <c r="AB315">
        <v>6.9044946069254376E-2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1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0.66713661732288176</v>
      </c>
      <c r="AO315">
        <v>0.66713661732288176</v>
      </c>
      <c r="AP315">
        <v>0.78785835988971897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0.21214164011028103</v>
      </c>
      <c r="BB315">
        <v>0</v>
      </c>
      <c r="BC315">
        <v>0</v>
      </c>
      <c r="BD315">
        <v>0</v>
      </c>
      <c r="BE315">
        <v>0.66713661732288176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1.2692636784865439</v>
      </c>
      <c r="BL315">
        <v>1.2692636784865439</v>
      </c>
      <c r="BM315">
        <v>0.84677227695631052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0.26926367848654387</v>
      </c>
      <c r="BW315">
        <v>0</v>
      </c>
      <c r="BX315">
        <v>0</v>
      </c>
      <c r="BY315">
        <v>0</v>
      </c>
      <c r="BZ315">
        <v>0.15322772304368948</v>
      </c>
      <c r="CA315">
        <v>0</v>
      </c>
      <c r="CB315">
        <v>0.84677227695631052</v>
      </c>
      <c r="CC315">
        <v>0</v>
      </c>
      <c r="CD315">
        <v>0</v>
      </c>
      <c r="CE315">
        <v>0</v>
      </c>
      <c r="CF315">
        <v>0</v>
      </c>
      <c r="CG315">
        <v>0</v>
      </c>
    </row>
    <row r="316" spans="1:85" hidden="1" x14ac:dyDescent="0.25">
      <c r="A316" t="s">
        <v>128</v>
      </c>
      <c r="B316" t="s">
        <v>181</v>
      </c>
      <c r="C316" t="s">
        <v>109</v>
      </c>
      <c r="D316" s="12">
        <v>45576</v>
      </c>
      <c r="E316" t="s">
        <v>178</v>
      </c>
      <c r="F316" t="s">
        <v>178</v>
      </c>
      <c r="G316" t="s">
        <v>178</v>
      </c>
      <c r="K316">
        <v>10.228382649240832</v>
      </c>
      <c r="N316">
        <v>8.5499999999999989</v>
      </c>
      <c r="O316">
        <v>8.5499999999999989</v>
      </c>
      <c r="P316">
        <v>7.8038223793916393</v>
      </c>
      <c r="T316">
        <v>6.6398022866024156E-3</v>
      </c>
      <c r="U316">
        <v>0</v>
      </c>
      <c r="V316">
        <v>6.1700963813976328E-2</v>
      </c>
      <c r="W316">
        <v>0</v>
      </c>
      <c r="X316">
        <v>8.2350037263243164E-2</v>
      </c>
      <c r="Y316">
        <v>0</v>
      </c>
      <c r="Z316">
        <v>6.5531482960523829E-2</v>
      </c>
      <c r="AA316">
        <v>0</v>
      </c>
      <c r="AB316">
        <v>1.7112887804969595E-2</v>
      </c>
      <c r="AC316">
        <v>0</v>
      </c>
      <c r="AD316">
        <v>0.39078608948568294</v>
      </c>
      <c r="AE316">
        <v>0</v>
      </c>
      <c r="AF316">
        <v>7.7762310667531373E-4</v>
      </c>
      <c r="AG316">
        <v>0</v>
      </c>
      <c r="AH316">
        <v>0.60843628740764155</v>
      </c>
      <c r="AI316">
        <v>0</v>
      </c>
      <c r="AJ316">
        <v>0</v>
      </c>
      <c r="AK316">
        <v>0</v>
      </c>
      <c r="AL316">
        <v>0</v>
      </c>
      <c r="AM316">
        <v>0</v>
      </c>
    </row>
    <row r="317" spans="1:85" hidden="1" x14ac:dyDescent="0.25">
      <c r="A317" t="s">
        <v>128</v>
      </c>
      <c r="B317" t="s">
        <v>181</v>
      </c>
      <c r="C317" t="s">
        <v>72</v>
      </c>
      <c r="D317" s="12">
        <v>45577</v>
      </c>
      <c r="E317" t="s">
        <v>178</v>
      </c>
      <c r="F317" t="s">
        <v>178</v>
      </c>
      <c r="G317" t="s">
        <v>178</v>
      </c>
      <c r="H317" t="s">
        <v>73</v>
      </c>
      <c r="I317">
        <v>10</v>
      </c>
      <c r="K317">
        <v>6.8471096572600327</v>
      </c>
      <c r="L317">
        <v>45577</v>
      </c>
      <c r="M317" t="s">
        <v>151</v>
      </c>
      <c r="N317">
        <v>3.8</v>
      </c>
      <c r="O317">
        <v>3.8</v>
      </c>
      <c r="P317">
        <v>3.812745098039215</v>
      </c>
      <c r="Q317">
        <v>0.55497869761306307</v>
      </c>
      <c r="R317">
        <v>0.55497869761306307</v>
      </c>
      <c r="S317">
        <v>0.55684008127378792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1.8613836607248579E-3</v>
      </c>
      <c r="AD317">
        <v>0.44315991872621208</v>
      </c>
      <c r="AE317">
        <v>0</v>
      </c>
      <c r="AF317">
        <v>0</v>
      </c>
      <c r="AG317">
        <v>0</v>
      </c>
      <c r="AH317">
        <v>0.55497869761306307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1.8018709624368507</v>
      </c>
      <c r="AO317">
        <v>1.8018709624368507</v>
      </c>
      <c r="AP317">
        <v>1.0033539731682146</v>
      </c>
      <c r="BG317">
        <v>0</v>
      </c>
      <c r="BH317">
        <v>0</v>
      </c>
      <c r="BI317">
        <v>0</v>
      </c>
      <c r="BK317">
        <v>0.99665723836461828</v>
      </c>
      <c r="BL317">
        <v>0.99665723836461828</v>
      </c>
      <c r="BM317">
        <v>1.7958477373117085</v>
      </c>
      <c r="BN317">
        <v>0.79584773731170855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0.44502130238693693</v>
      </c>
      <c r="BX317">
        <v>0</v>
      </c>
      <c r="BY317">
        <v>0</v>
      </c>
      <c r="BZ317">
        <v>0</v>
      </c>
      <c r="CA317">
        <v>0</v>
      </c>
      <c r="CB317">
        <v>0.99665723836461828</v>
      </c>
      <c r="CC317">
        <v>0</v>
      </c>
      <c r="CD317">
        <v>0</v>
      </c>
      <c r="CE317">
        <v>0</v>
      </c>
      <c r="CF317">
        <v>0</v>
      </c>
      <c r="CG317">
        <v>0</v>
      </c>
    </row>
    <row r="318" spans="1:85" hidden="1" x14ac:dyDescent="0.25">
      <c r="A318" t="s">
        <v>128</v>
      </c>
      <c r="B318" t="s">
        <v>181</v>
      </c>
      <c r="C318" t="s">
        <v>72</v>
      </c>
      <c r="D318" s="12">
        <v>45577</v>
      </c>
      <c r="E318" t="s">
        <v>178</v>
      </c>
      <c r="F318" t="s">
        <v>178</v>
      </c>
      <c r="G318" t="s">
        <v>178</v>
      </c>
      <c r="H318" t="s">
        <v>74</v>
      </c>
      <c r="I318">
        <v>10</v>
      </c>
      <c r="K318">
        <v>0.84615384615384603</v>
      </c>
      <c r="L318">
        <v>45577</v>
      </c>
      <c r="M318" t="s">
        <v>152</v>
      </c>
      <c r="N318">
        <v>1.9</v>
      </c>
      <c r="O318">
        <v>1.9</v>
      </c>
      <c r="P318">
        <v>1.9963235294117645</v>
      </c>
      <c r="Q318">
        <v>2.2454545454545456</v>
      </c>
      <c r="R318">
        <v>2.2454545454545456</v>
      </c>
      <c r="S318">
        <v>2.3592914438502675</v>
      </c>
      <c r="T318">
        <v>0.11383689839572186</v>
      </c>
      <c r="U318">
        <v>0</v>
      </c>
      <c r="V318">
        <v>0</v>
      </c>
      <c r="W318">
        <v>0</v>
      </c>
      <c r="X318">
        <v>0.99545454545454559</v>
      </c>
      <c r="Y318">
        <v>0</v>
      </c>
      <c r="Z318">
        <v>0.25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1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0.44534412955465585</v>
      </c>
      <c r="AO318">
        <v>0.44534412955465585</v>
      </c>
      <c r="AP318">
        <v>1.0506965944272446</v>
      </c>
      <c r="AQ318">
        <v>5.0696594427244612E-2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0.44534412955465585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0.95174953959484354</v>
      </c>
      <c r="BL318">
        <v>0.95174953959484354</v>
      </c>
      <c r="BM318">
        <v>0.42385607026491001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4.8250460405156459E-2</v>
      </c>
      <c r="BY318">
        <v>0</v>
      </c>
      <c r="BZ318">
        <v>0.52789346932993353</v>
      </c>
      <c r="CA318">
        <v>0</v>
      </c>
      <c r="CB318">
        <v>0.42385607026491001</v>
      </c>
      <c r="CC318">
        <v>0</v>
      </c>
      <c r="CD318">
        <v>0</v>
      </c>
      <c r="CE318">
        <v>0</v>
      </c>
      <c r="CF318">
        <v>0</v>
      </c>
      <c r="CG318">
        <v>0</v>
      </c>
    </row>
    <row r="319" spans="1:85" hidden="1" x14ac:dyDescent="0.25">
      <c r="A319" t="s">
        <v>128</v>
      </c>
      <c r="B319" t="s">
        <v>181</v>
      </c>
      <c r="C319" t="s">
        <v>72</v>
      </c>
      <c r="D319" s="12">
        <v>45577</v>
      </c>
      <c r="E319" t="s">
        <v>178</v>
      </c>
      <c r="F319" t="s">
        <v>178</v>
      </c>
      <c r="G319" t="s">
        <v>178</v>
      </c>
      <c r="H319" t="s">
        <v>75</v>
      </c>
      <c r="I319">
        <v>10</v>
      </c>
      <c r="K319">
        <v>2.5351191458269504</v>
      </c>
      <c r="L319">
        <v>45577</v>
      </c>
      <c r="M319" t="s">
        <v>153</v>
      </c>
      <c r="N319">
        <v>3.8</v>
      </c>
      <c r="O319">
        <v>3.8</v>
      </c>
      <c r="P319">
        <v>3.9314839572192506</v>
      </c>
      <c r="Q319">
        <v>1.498943355879413</v>
      </c>
      <c r="R319">
        <v>1.498943355879413</v>
      </c>
      <c r="S319">
        <v>1.55080835695271</v>
      </c>
      <c r="T319">
        <v>5.1865001073297057E-2</v>
      </c>
      <c r="U319">
        <v>0</v>
      </c>
      <c r="V319">
        <v>0</v>
      </c>
      <c r="W319">
        <v>0</v>
      </c>
      <c r="X319">
        <v>0.24894335587941296</v>
      </c>
      <c r="Y319">
        <v>0</v>
      </c>
      <c r="Z319">
        <v>0.25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1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0.66713661732288176</v>
      </c>
      <c r="AO319">
        <v>0.66713661732288176</v>
      </c>
      <c r="AP319">
        <v>1.034601041373487</v>
      </c>
      <c r="AQ319">
        <v>3.4601041373486963E-2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0.66713661732288176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0.96655615064184319</v>
      </c>
      <c r="BL319">
        <v>0.96655615064184319</v>
      </c>
      <c r="BM319">
        <v>0.64482500079182492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3.3443849358156807E-2</v>
      </c>
      <c r="BY319">
        <v>0</v>
      </c>
      <c r="BZ319">
        <v>0.32173114985001827</v>
      </c>
      <c r="CA319">
        <v>0</v>
      </c>
      <c r="CB319">
        <v>0.64482500079182492</v>
      </c>
      <c r="CC319">
        <v>0</v>
      </c>
      <c r="CD319">
        <v>0</v>
      </c>
      <c r="CE319">
        <v>0</v>
      </c>
      <c r="CF319">
        <v>0</v>
      </c>
      <c r="CG319">
        <v>0</v>
      </c>
    </row>
    <row r="320" spans="1:85" hidden="1" x14ac:dyDescent="0.25">
      <c r="A320" t="s">
        <v>128</v>
      </c>
      <c r="B320" t="s">
        <v>181</v>
      </c>
      <c r="C320" t="s">
        <v>109</v>
      </c>
      <c r="D320" s="12">
        <v>45577</v>
      </c>
      <c r="E320" t="s">
        <v>178</v>
      </c>
      <c r="F320" t="s">
        <v>178</v>
      </c>
      <c r="G320" t="s">
        <v>178</v>
      </c>
      <c r="K320">
        <v>10.228382649240828</v>
      </c>
      <c r="N320">
        <v>9.5</v>
      </c>
      <c r="O320">
        <v>9.5</v>
      </c>
      <c r="P320">
        <v>9.7405525846702297</v>
      </c>
      <c r="T320">
        <v>2.2272092709390737E-2</v>
      </c>
      <c r="U320">
        <v>0</v>
      </c>
      <c r="V320">
        <v>0</v>
      </c>
      <c r="W320">
        <v>0</v>
      </c>
      <c r="X320">
        <v>0.14405100107721955</v>
      </c>
      <c r="Y320">
        <v>0</v>
      </c>
      <c r="Z320">
        <v>8.2644370765493441E-2</v>
      </c>
      <c r="AA320">
        <v>0</v>
      </c>
      <c r="AB320">
        <v>0</v>
      </c>
      <c r="AC320">
        <v>1.2460521351497517E-3</v>
      </c>
      <c r="AD320">
        <v>0.29666122819975205</v>
      </c>
      <c r="AE320">
        <v>0</v>
      </c>
      <c r="AF320">
        <v>0</v>
      </c>
      <c r="AG320">
        <v>0</v>
      </c>
      <c r="AH320">
        <v>0.70209271966509834</v>
      </c>
      <c r="AI320">
        <v>0</v>
      </c>
      <c r="AJ320">
        <v>0</v>
      </c>
      <c r="AK320">
        <v>0</v>
      </c>
      <c r="AL320">
        <v>0</v>
      </c>
      <c r="AM320">
        <v>0</v>
      </c>
    </row>
    <row r="321" spans="1:85" hidden="1" x14ac:dyDescent="0.25">
      <c r="A321" t="s">
        <v>128</v>
      </c>
      <c r="B321" t="s">
        <v>181</v>
      </c>
      <c r="C321" t="s">
        <v>72</v>
      </c>
      <c r="D321" s="12">
        <v>45578</v>
      </c>
      <c r="E321" t="s">
        <v>178</v>
      </c>
      <c r="F321" t="s">
        <v>178</v>
      </c>
      <c r="G321" t="s">
        <v>178</v>
      </c>
      <c r="H321" t="s">
        <v>73</v>
      </c>
      <c r="I321">
        <v>10</v>
      </c>
      <c r="K321">
        <v>6.8471096572600327</v>
      </c>
      <c r="L321">
        <v>45578</v>
      </c>
      <c r="M321" t="s">
        <v>154</v>
      </c>
      <c r="N321">
        <v>3.8</v>
      </c>
      <c r="O321">
        <v>3.8</v>
      </c>
      <c r="P321">
        <v>3.812745098039215</v>
      </c>
      <c r="Q321">
        <v>0.55497869761306307</v>
      </c>
      <c r="R321">
        <v>0.55497869761306307</v>
      </c>
      <c r="S321">
        <v>0.55684008127378792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1.8613836607248579E-3</v>
      </c>
      <c r="AD321">
        <v>0.44315991872621208</v>
      </c>
      <c r="AE321">
        <v>0</v>
      </c>
      <c r="AF321">
        <v>0</v>
      </c>
      <c r="AG321">
        <v>0</v>
      </c>
      <c r="AH321">
        <v>0.55497869761306307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1.8018709624368507</v>
      </c>
      <c r="AO321">
        <v>1.8018709624368507</v>
      </c>
      <c r="AP321">
        <v>1.0033539731682146</v>
      </c>
      <c r="BG321">
        <v>0</v>
      </c>
      <c r="BH321">
        <v>0</v>
      </c>
      <c r="BI321">
        <v>0</v>
      </c>
      <c r="BK321">
        <v>0.99665723836461828</v>
      </c>
      <c r="BL321">
        <v>0.99665723836461828</v>
      </c>
      <c r="BM321">
        <v>1.7958477373117085</v>
      </c>
      <c r="BN321">
        <v>0.79584773731170855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0.44502130238693693</v>
      </c>
      <c r="BX321">
        <v>0</v>
      </c>
      <c r="BY321">
        <v>0</v>
      </c>
      <c r="BZ321">
        <v>0</v>
      </c>
      <c r="CA321">
        <v>0</v>
      </c>
      <c r="CB321">
        <v>0.99665723836461828</v>
      </c>
      <c r="CC321">
        <v>0</v>
      </c>
      <c r="CD321">
        <v>0</v>
      </c>
      <c r="CE321">
        <v>0</v>
      </c>
      <c r="CF321">
        <v>0</v>
      </c>
      <c r="CG321">
        <v>0</v>
      </c>
    </row>
    <row r="322" spans="1:85" hidden="1" x14ac:dyDescent="0.25">
      <c r="A322" t="s">
        <v>128</v>
      </c>
      <c r="B322" t="s">
        <v>181</v>
      </c>
      <c r="C322" t="s">
        <v>72</v>
      </c>
      <c r="D322" s="12">
        <v>45578</v>
      </c>
      <c r="E322" t="s">
        <v>178</v>
      </c>
      <c r="F322" t="s">
        <v>178</v>
      </c>
      <c r="G322" t="s">
        <v>178</v>
      </c>
      <c r="H322" t="s">
        <v>74</v>
      </c>
      <c r="I322">
        <v>10</v>
      </c>
      <c r="K322">
        <v>0.84615384615384603</v>
      </c>
      <c r="L322">
        <v>45578</v>
      </c>
      <c r="M322" t="s">
        <v>155</v>
      </c>
      <c r="N322">
        <v>1.9</v>
      </c>
      <c r="O322">
        <v>1.9</v>
      </c>
      <c r="P322">
        <v>1.9964349376114079</v>
      </c>
      <c r="Q322">
        <v>2.2454545454545456</v>
      </c>
      <c r="R322">
        <v>2.2454545454545456</v>
      </c>
      <c r="S322">
        <v>2.3594231080862098</v>
      </c>
      <c r="T322">
        <v>0.11396856263166422</v>
      </c>
      <c r="U322">
        <v>0</v>
      </c>
      <c r="V322">
        <v>0</v>
      </c>
      <c r="W322">
        <v>0</v>
      </c>
      <c r="X322">
        <v>0.99545454545454559</v>
      </c>
      <c r="Y322">
        <v>0</v>
      </c>
      <c r="Z322">
        <v>0.25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1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0.44534412955465585</v>
      </c>
      <c r="AO322">
        <v>0.44534412955465585</v>
      </c>
      <c r="AP322">
        <v>1.0507552303217937</v>
      </c>
      <c r="AQ322">
        <v>5.0755230321793743E-2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0.44534412955465585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0.95169642857142867</v>
      </c>
      <c r="BL322">
        <v>0.95169642857142867</v>
      </c>
      <c r="BM322">
        <v>0.42383241758241758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4.8303571428571335E-2</v>
      </c>
      <c r="BY322">
        <v>0</v>
      </c>
      <c r="BZ322">
        <v>0.52786401098901115</v>
      </c>
      <c r="CA322">
        <v>0</v>
      </c>
      <c r="CB322">
        <v>0.42383241758241758</v>
      </c>
      <c r="CC322">
        <v>0</v>
      </c>
      <c r="CD322">
        <v>0</v>
      </c>
      <c r="CE322">
        <v>0</v>
      </c>
      <c r="CF322">
        <v>0</v>
      </c>
      <c r="CG322">
        <v>0</v>
      </c>
    </row>
    <row r="323" spans="1:85" hidden="1" x14ac:dyDescent="0.25">
      <c r="A323" t="s">
        <v>128</v>
      </c>
      <c r="B323" t="s">
        <v>181</v>
      </c>
      <c r="C323" t="s">
        <v>72</v>
      </c>
      <c r="D323" s="12">
        <v>45578</v>
      </c>
      <c r="E323" t="s">
        <v>178</v>
      </c>
      <c r="F323" t="s">
        <v>178</v>
      </c>
      <c r="G323" t="s">
        <v>178</v>
      </c>
      <c r="H323" t="s">
        <v>75</v>
      </c>
      <c r="I323">
        <v>10</v>
      </c>
      <c r="K323">
        <v>2.5351191458269504</v>
      </c>
      <c r="L323">
        <v>45578</v>
      </c>
      <c r="M323" t="s">
        <v>156</v>
      </c>
      <c r="N323">
        <v>5.6999999999999993</v>
      </c>
      <c r="O323">
        <v>5.6999999999999993</v>
      </c>
      <c r="P323">
        <v>3.9919786096256682</v>
      </c>
      <c r="Q323">
        <v>2.2484150338191191</v>
      </c>
      <c r="R323">
        <v>2.2484150338191191</v>
      </c>
      <c r="S323">
        <v>1.5746710036081928</v>
      </c>
      <c r="T323">
        <v>0</v>
      </c>
      <c r="U323">
        <v>0</v>
      </c>
      <c r="V323">
        <v>0.67374403021092633</v>
      </c>
      <c r="W323">
        <v>0</v>
      </c>
      <c r="X323">
        <v>0.32467100360819279</v>
      </c>
      <c r="Y323">
        <v>0</v>
      </c>
      <c r="Z323">
        <v>0.25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1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0.44475774488192116</v>
      </c>
      <c r="AO323">
        <v>0.44475774488192116</v>
      </c>
      <c r="AP323">
        <v>0.70034712449573133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0.29965287550426867</v>
      </c>
      <c r="BB323">
        <v>0</v>
      </c>
      <c r="BC323">
        <v>0</v>
      </c>
      <c r="BD323">
        <v>0</v>
      </c>
      <c r="BE323">
        <v>0.44475774488192116</v>
      </c>
      <c r="BF323">
        <v>0</v>
      </c>
      <c r="BG323">
        <v>0</v>
      </c>
      <c r="BH323">
        <v>0</v>
      </c>
      <c r="BI323">
        <v>0</v>
      </c>
      <c r="BJ323">
        <v>0</v>
      </c>
      <c r="BK323">
        <v>1.4278633623576691</v>
      </c>
      <c r="BL323">
        <v>1.4278633623576691</v>
      </c>
      <c r="BM323">
        <v>0.63505328904171432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0.42786336235766909</v>
      </c>
      <c r="BW323">
        <v>0</v>
      </c>
      <c r="BX323">
        <v>0</v>
      </c>
      <c r="BY323">
        <v>0</v>
      </c>
      <c r="BZ323">
        <v>0.36494671095828568</v>
      </c>
      <c r="CA323">
        <v>0</v>
      </c>
      <c r="CB323">
        <v>0.63505328904171432</v>
      </c>
      <c r="CC323">
        <v>0</v>
      </c>
      <c r="CD323">
        <v>0</v>
      </c>
      <c r="CE323">
        <v>0</v>
      </c>
      <c r="CF323">
        <v>0</v>
      </c>
      <c r="CG323">
        <v>0</v>
      </c>
    </row>
    <row r="324" spans="1:85" hidden="1" x14ac:dyDescent="0.25">
      <c r="A324" t="s">
        <v>128</v>
      </c>
      <c r="B324" t="s">
        <v>181</v>
      </c>
      <c r="C324" t="s">
        <v>109</v>
      </c>
      <c r="D324" s="12">
        <v>45578</v>
      </c>
      <c r="E324" t="s">
        <v>178</v>
      </c>
      <c r="F324" t="s">
        <v>178</v>
      </c>
      <c r="G324" t="s">
        <v>178</v>
      </c>
      <c r="K324">
        <v>10.228382649240828</v>
      </c>
      <c r="N324">
        <v>11.399999999999999</v>
      </c>
      <c r="O324">
        <v>11.399999999999999</v>
      </c>
      <c r="P324">
        <v>9.801158645276292</v>
      </c>
      <c r="T324">
        <v>9.4281707009236469E-3</v>
      </c>
      <c r="U324">
        <v>0</v>
      </c>
      <c r="V324">
        <v>0.16698841341266241</v>
      </c>
      <c r="W324">
        <v>0</v>
      </c>
      <c r="X324">
        <v>0.16282020596611929</v>
      </c>
      <c r="Y324">
        <v>0</v>
      </c>
      <c r="Z324">
        <v>8.2644370765493441E-2</v>
      </c>
      <c r="AA324">
        <v>0</v>
      </c>
      <c r="AB324">
        <v>0</v>
      </c>
      <c r="AC324">
        <v>1.2460521351497517E-3</v>
      </c>
      <c r="AD324">
        <v>0.29666122819975205</v>
      </c>
      <c r="AE324">
        <v>0</v>
      </c>
      <c r="AF324">
        <v>0</v>
      </c>
      <c r="AG324">
        <v>0</v>
      </c>
      <c r="AH324">
        <v>0.70209271966509834</v>
      </c>
      <c r="AI324">
        <v>0</v>
      </c>
      <c r="AJ324">
        <v>0</v>
      </c>
      <c r="AK324">
        <v>0</v>
      </c>
      <c r="AL324">
        <v>0</v>
      </c>
      <c r="AM324">
        <v>0</v>
      </c>
    </row>
    <row r="325" spans="1:85" hidden="1" x14ac:dyDescent="0.25">
      <c r="A325" t="s">
        <v>128</v>
      </c>
      <c r="B325" t="s">
        <v>181</v>
      </c>
      <c r="C325" t="s">
        <v>72</v>
      </c>
      <c r="D325" s="12">
        <v>45579</v>
      </c>
      <c r="E325" t="s">
        <v>178</v>
      </c>
      <c r="F325" t="s">
        <v>178</v>
      </c>
      <c r="G325" t="s">
        <v>178</v>
      </c>
      <c r="H325" t="s">
        <v>73</v>
      </c>
      <c r="I325">
        <v>10</v>
      </c>
      <c r="K325">
        <v>6.8471096572600345</v>
      </c>
      <c r="L325">
        <v>45579</v>
      </c>
      <c r="M325" t="s">
        <v>157</v>
      </c>
      <c r="N325">
        <v>3.8</v>
      </c>
      <c r="O325">
        <v>3.8</v>
      </c>
      <c r="P325">
        <v>2.2407754010695187</v>
      </c>
      <c r="Q325">
        <v>0.55497869761306295</v>
      </c>
      <c r="R325">
        <v>0.55497869761306295</v>
      </c>
      <c r="S325">
        <v>0.32725858256025009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0.44502130238693705</v>
      </c>
      <c r="AE325">
        <v>0</v>
      </c>
      <c r="AF325">
        <v>0.22772011505281287</v>
      </c>
      <c r="AG325">
        <v>0</v>
      </c>
      <c r="AH325">
        <v>0.32725858256025009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1.8018709624368512</v>
      </c>
      <c r="AO325">
        <v>1.8018709624368512</v>
      </c>
      <c r="AP325">
        <v>0.58967773712355753</v>
      </c>
      <c r="BG325">
        <v>0</v>
      </c>
      <c r="BH325">
        <v>0</v>
      </c>
      <c r="BI325">
        <v>0</v>
      </c>
      <c r="BK325">
        <v>1.6958415369011395</v>
      </c>
      <c r="BL325">
        <v>1.6958415369011395</v>
      </c>
      <c r="BM325">
        <v>3.0556876222364453</v>
      </c>
      <c r="CD325">
        <v>0</v>
      </c>
      <c r="CE325">
        <v>0</v>
      </c>
      <c r="CF325">
        <v>0</v>
      </c>
    </row>
    <row r="326" spans="1:85" hidden="1" x14ac:dyDescent="0.25">
      <c r="A326" t="s">
        <v>128</v>
      </c>
      <c r="B326" t="s">
        <v>181</v>
      </c>
      <c r="C326" t="s">
        <v>72</v>
      </c>
      <c r="D326" s="12">
        <v>45579</v>
      </c>
      <c r="E326" t="s">
        <v>178</v>
      </c>
      <c r="F326" t="s">
        <v>178</v>
      </c>
      <c r="G326" t="s">
        <v>178</v>
      </c>
      <c r="H326" t="s">
        <v>74</v>
      </c>
      <c r="I326">
        <v>10</v>
      </c>
      <c r="K326">
        <v>0.84615384615384603</v>
      </c>
      <c r="L326">
        <v>45579</v>
      </c>
      <c r="M326" t="s">
        <v>158</v>
      </c>
      <c r="N326">
        <v>1.9</v>
      </c>
      <c r="O326">
        <v>1.9</v>
      </c>
      <c r="P326">
        <v>1.9282047025623392</v>
      </c>
      <c r="Q326">
        <v>2.2454545454545456</v>
      </c>
      <c r="R326">
        <v>2.2454545454545456</v>
      </c>
      <c r="S326">
        <v>2.278787375755492</v>
      </c>
      <c r="T326">
        <v>3.3332830300946359E-2</v>
      </c>
      <c r="U326">
        <v>0</v>
      </c>
      <c r="V326">
        <v>0</v>
      </c>
      <c r="W326">
        <v>0</v>
      </c>
      <c r="X326">
        <v>0.99545454545454559</v>
      </c>
      <c r="Y326">
        <v>0</v>
      </c>
      <c r="Z326">
        <v>0.25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0.44534412955465585</v>
      </c>
      <c r="AO326">
        <v>0.44534412955465585</v>
      </c>
      <c r="AP326">
        <v>1.014844580295968</v>
      </c>
      <c r="AQ326">
        <v>1.4844580295968024E-2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0.44534412955465585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0.98537255794218381</v>
      </c>
      <c r="BL326">
        <v>0.98537255794218381</v>
      </c>
      <c r="BM326">
        <v>0.43882988410380652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1.4627442057816187E-2</v>
      </c>
      <c r="BY326">
        <v>0</v>
      </c>
      <c r="BZ326">
        <v>0.54654267383837729</v>
      </c>
      <c r="CA326">
        <v>0</v>
      </c>
      <c r="CB326">
        <v>0.43882988410380652</v>
      </c>
      <c r="CC326">
        <v>0</v>
      </c>
      <c r="CD326">
        <v>0</v>
      </c>
      <c r="CE326">
        <v>0</v>
      </c>
      <c r="CF326">
        <v>0</v>
      </c>
      <c r="CG326">
        <v>0</v>
      </c>
    </row>
    <row r="327" spans="1:85" hidden="1" x14ac:dyDescent="0.25">
      <c r="A327" t="s">
        <v>128</v>
      </c>
      <c r="B327" t="s">
        <v>181</v>
      </c>
      <c r="C327" t="s">
        <v>72</v>
      </c>
      <c r="D327" s="12">
        <v>45579</v>
      </c>
      <c r="E327" t="s">
        <v>178</v>
      </c>
      <c r="F327" t="s">
        <v>178</v>
      </c>
      <c r="G327" t="s">
        <v>178</v>
      </c>
      <c r="H327" t="s">
        <v>75</v>
      </c>
      <c r="I327">
        <v>10</v>
      </c>
      <c r="K327">
        <v>2.5351191458269504</v>
      </c>
      <c r="L327">
        <v>45579</v>
      </c>
      <c r="M327" t="s">
        <v>159</v>
      </c>
      <c r="N327">
        <v>3.8</v>
      </c>
      <c r="O327">
        <v>3.8</v>
      </c>
      <c r="P327">
        <v>3.0965066736228852</v>
      </c>
      <c r="Q327">
        <v>1.498943355879413</v>
      </c>
      <c r="R327">
        <v>1.498943355879413</v>
      </c>
      <c r="S327">
        <v>1.2214442381219173</v>
      </c>
      <c r="T327">
        <v>0</v>
      </c>
      <c r="U327">
        <v>0</v>
      </c>
      <c r="V327">
        <v>0.24894335587941296</v>
      </c>
      <c r="W327">
        <v>0</v>
      </c>
      <c r="X327">
        <v>0</v>
      </c>
      <c r="Y327">
        <v>0</v>
      </c>
      <c r="Z327">
        <v>0.22144423812191727</v>
      </c>
      <c r="AA327">
        <v>0</v>
      </c>
      <c r="AB327">
        <v>2.855576187808273E-2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0.66713661732288176</v>
      </c>
      <c r="AO327">
        <v>0.66713661732288176</v>
      </c>
      <c r="AP327">
        <v>0.81487017726918032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0.18512982273081968</v>
      </c>
      <c r="BB327">
        <v>0</v>
      </c>
      <c r="BC327">
        <v>0</v>
      </c>
      <c r="BD327">
        <v>0</v>
      </c>
      <c r="BE327">
        <v>0.66713661732288176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1.2271893461007897</v>
      </c>
      <c r="BL327">
        <v>1.2271893461007897</v>
      </c>
      <c r="BM327">
        <v>0.81870294917235997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0.22718934610078967</v>
      </c>
      <c r="BW327">
        <v>0</v>
      </c>
      <c r="BX327">
        <v>0</v>
      </c>
      <c r="BY327">
        <v>0</v>
      </c>
      <c r="BZ327">
        <v>0.18129705082764003</v>
      </c>
      <c r="CA327">
        <v>0</v>
      </c>
      <c r="CB327">
        <v>0.81870294917235997</v>
      </c>
      <c r="CC327">
        <v>0</v>
      </c>
      <c r="CD327">
        <v>0</v>
      </c>
      <c r="CE327">
        <v>0</v>
      </c>
      <c r="CF327">
        <v>0</v>
      </c>
      <c r="CG327">
        <v>0</v>
      </c>
    </row>
    <row r="328" spans="1:85" hidden="1" x14ac:dyDescent="0.25">
      <c r="A328" t="s">
        <v>128</v>
      </c>
      <c r="B328" t="s">
        <v>181</v>
      </c>
      <c r="C328" t="s">
        <v>109</v>
      </c>
      <c r="D328" s="12">
        <v>45579</v>
      </c>
      <c r="E328" t="s">
        <v>178</v>
      </c>
      <c r="F328" t="s">
        <v>178</v>
      </c>
      <c r="G328" t="s">
        <v>178</v>
      </c>
      <c r="K328">
        <v>10.228382649240832</v>
      </c>
      <c r="N328">
        <v>9.5</v>
      </c>
      <c r="O328">
        <v>9.5</v>
      </c>
      <c r="P328">
        <v>7.2654867772547433</v>
      </c>
      <c r="T328">
        <v>2.7574938804653172E-3</v>
      </c>
      <c r="U328">
        <v>0</v>
      </c>
      <c r="V328">
        <v>6.1700963813976328E-2</v>
      </c>
      <c r="W328">
        <v>0</v>
      </c>
      <c r="X328">
        <v>8.2350037263243164E-2</v>
      </c>
      <c r="Y328">
        <v>0</v>
      </c>
      <c r="Z328">
        <v>7.5566784685334801E-2</v>
      </c>
      <c r="AA328">
        <v>0</v>
      </c>
      <c r="AB328">
        <v>7.0775860801586222E-3</v>
      </c>
      <c r="AC328">
        <v>0</v>
      </c>
      <c r="AD328">
        <v>0.29790728033490188</v>
      </c>
      <c r="AE328">
        <v>0</v>
      </c>
      <c r="AF328">
        <v>0.15244097257607092</v>
      </c>
      <c r="AG328">
        <v>0</v>
      </c>
      <c r="AH328">
        <v>0.5496517470890272</v>
      </c>
      <c r="AI328">
        <v>0</v>
      </c>
      <c r="AJ328">
        <v>0</v>
      </c>
      <c r="AK328">
        <v>0</v>
      </c>
      <c r="AL328">
        <v>0</v>
      </c>
      <c r="AM328">
        <v>0</v>
      </c>
    </row>
    <row r="329" spans="1:85" hidden="1" x14ac:dyDescent="0.25">
      <c r="A329" t="s">
        <v>128</v>
      </c>
      <c r="B329" t="s">
        <v>181</v>
      </c>
      <c r="C329" t="s">
        <v>72</v>
      </c>
      <c r="D329" s="12">
        <v>45580</v>
      </c>
      <c r="E329" t="s">
        <v>178</v>
      </c>
      <c r="F329" t="s">
        <v>178</v>
      </c>
      <c r="G329" t="s">
        <v>178</v>
      </c>
      <c r="H329" t="s">
        <v>73</v>
      </c>
      <c r="I329">
        <v>10</v>
      </c>
      <c r="K329">
        <v>6.8471096572600336</v>
      </c>
      <c r="L329">
        <v>45580</v>
      </c>
      <c r="M329" t="s">
        <v>160</v>
      </c>
      <c r="N329">
        <v>3.8</v>
      </c>
      <c r="O329">
        <v>3.8</v>
      </c>
      <c r="P329">
        <v>0.99895384983261604</v>
      </c>
      <c r="Q329">
        <v>0.55497869761306307</v>
      </c>
      <c r="R329">
        <v>0.55497869761306307</v>
      </c>
      <c r="S329">
        <v>0.14589423856727912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0.44502130238693693</v>
      </c>
      <c r="AE329">
        <v>0</v>
      </c>
      <c r="AF329">
        <v>0.40908445904578394</v>
      </c>
      <c r="AG329">
        <v>0</v>
      </c>
      <c r="AH329">
        <v>0.14589423856727912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1.801870962436851</v>
      </c>
      <c r="AO329">
        <v>1.801870962436851</v>
      </c>
      <c r="AP329">
        <v>0.26288259206121478</v>
      </c>
      <c r="BG329">
        <v>0</v>
      </c>
      <c r="BH329">
        <v>0</v>
      </c>
      <c r="BI329">
        <v>0</v>
      </c>
      <c r="BK329">
        <v>3.8039795338260372</v>
      </c>
      <c r="BL329">
        <v>3.8039795338260372</v>
      </c>
      <c r="BM329">
        <v>6.8542802637052054</v>
      </c>
      <c r="CD329">
        <v>0</v>
      </c>
      <c r="CE329">
        <v>0</v>
      </c>
      <c r="CF329">
        <v>0</v>
      </c>
    </row>
    <row r="330" spans="1:85" hidden="1" x14ac:dyDescent="0.25">
      <c r="A330" t="s">
        <v>128</v>
      </c>
      <c r="B330" t="s">
        <v>181</v>
      </c>
      <c r="C330" t="s">
        <v>72</v>
      </c>
      <c r="D330" s="12">
        <v>45580</v>
      </c>
      <c r="E330" t="s">
        <v>178</v>
      </c>
      <c r="F330" t="s">
        <v>178</v>
      </c>
      <c r="G330" t="s">
        <v>178</v>
      </c>
      <c r="H330" t="s">
        <v>74</v>
      </c>
      <c r="I330">
        <v>10</v>
      </c>
      <c r="K330">
        <v>0.84615384615384603</v>
      </c>
      <c r="L330">
        <v>45580</v>
      </c>
      <c r="M330" t="s">
        <v>161</v>
      </c>
      <c r="N330">
        <v>1.9</v>
      </c>
      <c r="O330">
        <v>1.9</v>
      </c>
      <c r="P330">
        <v>1.9964349376114079</v>
      </c>
      <c r="Q330">
        <v>2.2454545454545456</v>
      </c>
      <c r="R330">
        <v>2.2454545454545456</v>
      </c>
      <c r="S330">
        <v>2.3594231080862098</v>
      </c>
      <c r="T330">
        <v>0.11396856263166422</v>
      </c>
      <c r="U330">
        <v>0</v>
      </c>
      <c r="V330">
        <v>0</v>
      </c>
      <c r="W330">
        <v>0</v>
      </c>
      <c r="X330">
        <v>0.99545454545454559</v>
      </c>
      <c r="Y330">
        <v>0</v>
      </c>
      <c r="Z330">
        <v>0.25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0.44534412955465585</v>
      </c>
      <c r="AO330">
        <v>0.44534412955465585</v>
      </c>
      <c r="AP330">
        <v>1.0507552303217937</v>
      </c>
      <c r="AQ330">
        <v>5.0755230321793743E-2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0.44534412955465585</v>
      </c>
      <c r="BF330">
        <v>0</v>
      </c>
      <c r="BG330">
        <v>0</v>
      </c>
      <c r="BH330">
        <v>0</v>
      </c>
      <c r="BI330">
        <v>0</v>
      </c>
      <c r="BJ330">
        <v>0</v>
      </c>
      <c r="BK330">
        <v>0.95169642857142867</v>
      </c>
      <c r="BL330">
        <v>0.95169642857142867</v>
      </c>
      <c r="BM330">
        <v>0.42383241758241758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4.8303571428571335E-2</v>
      </c>
      <c r="BY330">
        <v>0</v>
      </c>
      <c r="BZ330">
        <v>0.52786401098901115</v>
      </c>
      <c r="CA330">
        <v>0</v>
      </c>
      <c r="CB330">
        <v>0.42383241758241758</v>
      </c>
      <c r="CC330">
        <v>0</v>
      </c>
      <c r="CD330">
        <v>0</v>
      </c>
      <c r="CE330">
        <v>0</v>
      </c>
      <c r="CF330">
        <v>0</v>
      </c>
      <c r="CG330">
        <v>0</v>
      </c>
    </row>
    <row r="331" spans="1:85" hidden="1" x14ac:dyDescent="0.25">
      <c r="A331" t="s">
        <v>128</v>
      </c>
      <c r="B331" t="s">
        <v>181</v>
      </c>
      <c r="C331" t="s">
        <v>72</v>
      </c>
      <c r="D331" s="12">
        <v>45580</v>
      </c>
      <c r="E331" t="s">
        <v>178</v>
      </c>
      <c r="F331" t="s">
        <v>178</v>
      </c>
      <c r="G331" t="s">
        <v>178</v>
      </c>
      <c r="H331" t="s">
        <v>75</v>
      </c>
      <c r="I331">
        <v>10</v>
      </c>
      <c r="K331">
        <v>2.5351191458269504</v>
      </c>
      <c r="L331">
        <v>45580</v>
      </c>
      <c r="M331" t="s">
        <v>162</v>
      </c>
      <c r="N331">
        <v>3.8</v>
      </c>
      <c r="O331">
        <v>3.8</v>
      </c>
      <c r="P331">
        <v>3.8215240641711223</v>
      </c>
      <c r="Q331">
        <v>1.498943355879413</v>
      </c>
      <c r="R331">
        <v>1.498943355879413</v>
      </c>
      <c r="S331">
        <v>1.5074337119269987</v>
      </c>
      <c r="T331">
        <v>8.4903560475857454E-3</v>
      </c>
      <c r="U331">
        <v>0</v>
      </c>
      <c r="V331">
        <v>0</v>
      </c>
      <c r="W331">
        <v>0</v>
      </c>
      <c r="X331">
        <v>0.24894335587941296</v>
      </c>
      <c r="Y331">
        <v>0</v>
      </c>
      <c r="Z331">
        <v>0.25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0.66713661732288176</v>
      </c>
      <c r="AO331">
        <v>0.66713661732288176</v>
      </c>
      <c r="AP331">
        <v>1.0056642274134533</v>
      </c>
      <c r="AQ331">
        <v>5.6642274134532933E-3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0.66713661732288176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0.99436767535420689</v>
      </c>
      <c r="BL331">
        <v>0.99436767535420689</v>
      </c>
      <c r="BM331">
        <v>0.66337908731102302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5.6323246457931075E-3</v>
      </c>
      <c r="BY331">
        <v>0</v>
      </c>
      <c r="BZ331">
        <v>0.33098858804318387</v>
      </c>
      <c r="CA331">
        <v>0</v>
      </c>
      <c r="CB331">
        <v>0.66337908731102302</v>
      </c>
      <c r="CC331">
        <v>0</v>
      </c>
      <c r="CD331">
        <v>0</v>
      </c>
      <c r="CE331">
        <v>0</v>
      </c>
      <c r="CF331">
        <v>0</v>
      </c>
      <c r="CG331">
        <v>0</v>
      </c>
    </row>
    <row r="332" spans="1:85" hidden="1" x14ac:dyDescent="0.25">
      <c r="A332" t="s">
        <v>128</v>
      </c>
      <c r="B332" t="s">
        <v>181</v>
      </c>
      <c r="C332" t="s">
        <v>109</v>
      </c>
      <c r="D332" s="12">
        <v>45580</v>
      </c>
      <c r="E332" t="s">
        <v>178</v>
      </c>
      <c r="F332" t="s">
        <v>178</v>
      </c>
      <c r="G332" t="s">
        <v>178</v>
      </c>
      <c r="K332">
        <v>10.22838264924083</v>
      </c>
      <c r="N332">
        <v>9.5</v>
      </c>
      <c r="O332">
        <v>9.5</v>
      </c>
      <c r="P332">
        <v>6.8169128516151467</v>
      </c>
      <c r="T332">
        <v>1.1532517488606625E-2</v>
      </c>
      <c r="U332">
        <v>0</v>
      </c>
      <c r="V332">
        <v>0</v>
      </c>
      <c r="W332">
        <v>0</v>
      </c>
      <c r="X332">
        <v>0.14405100107721952</v>
      </c>
      <c r="Y332">
        <v>0</v>
      </c>
      <c r="Z332">
        <v>8.2644370765493427E-2</v>
      </c>
      <c r="AA332">
        <v>0</v>
      </c>
      <c r="AB332">
        <v>0</v>
      </c>
      <c r="AC332">
        <v>0</v>
      </c>
      <c r="AD332">
        <v>0.29790728033490177</v>
      </c>
      <c r="AE332">
        <v>0</v>
      </c>
      <c r="AF332">
        <v>0.27385034821465959</v>
      </c>
      <c r="AG332">
        <v>0</v>
      </c>
      <c r="AH332">
        <v>0.42824237145043859</v>
      </c>
      <c r="AI332">
        <v>0</v>
      </c>
      <c r="AJ332">
        <v>0</v>
      </c>
      <c r="AK332">
        <v>0</v>
      </c>
      <c r="AL332">
        <v>0</v>
      </c>
      <c r="AM332">
        <v>0</v>
      </c>
    </row>
    <row r="333" spans="1:85" hidden="1" x14ac:dyDescent="0.25">
      <c r="A333" t="s">
        <v>128</v>
      </c>
      <c r="B333" t="s">
        <v>181</v>
      </c>
      <c r="C333" t="s">
        <v>72</v>
      </c>
      <c r="D333" s="12">
        <v>45581</v>
      </c>
      <c r="E333" t="s">
        <v>178</v>
      </c>
      <c r="F333" t="s">
        <v>178</v>
      </c>
      <c r="G333" t="s">
        <v>178</v>
      </c>
      <c r="H333" t="s">
        <v>73</v>
      </c>
      <c r="I333">
        <v>10</v>
      </c>
      <c r="K333">
        <v>6.8471096572600336</v>
      </c>
      <c r="L333">
        <v>45581</v>
      </c>
      <c r="M333" t="s">
        <v>163</v>
      </c>
      <c r="N333">
        <v>3.8</v>
      </c>
      <c r="O333">
        <v>3.8</v>
      </c>
      <c r="P333">
        <v>1.9377450980392157</v>
      </c>
      <c r="Q333">
        <v>0.55497869761306307</v>
      </c>
      <c r="R333">
        <v>0.55497869761306307</v>
      </c>
      <c r="S333">
        <v>0.28300190810944764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0.44502130238693693</v>
      </c>
      <c r="AE333">
        <v>0</v>
      </c>
      <c r="AF333">
        <v>0.27197678950361542</v>
      </c>
      <c r="AG333">
        <v>0</v>
      </c>
      <c r="AH333">
        <v>0.28300190810944764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1.801870962436851</v>
      </c>
      <c r="AO333">
        <v>1.801870962436851</v>
      </c>
      <c r="AP333">
        <v>0.50993292053663575</v>
      </c>
      <c r="BG333">
        <v>0</v>
      </c>
      <c r="BH333">
        <v>0</v>
      </c>
      <c r="BI333">
        <v>0</v>
      </c>
      <c r="BK333">
        <v>1.9610422463951429</v>
      </c>
      <c r="BL333">
        <v>1.9610422463951429</v>
      </c>
      <c r="BM333">
        <v>3.5335450798913404</v>
      </c>
      <c r="CD333">
        <v>0</v>
      </c>
      <c r="CE333">
        <v>0</v>
      </c>
      <c r="CF333">
        <v>0</v>
      </c>
    </row>
    <row r="334" spans="1:85" hidden="1" x14ac:dyDescent="0.25">
      <c r="A334" t="s">
        <v>128</v>
      </c>
      <c r="B334" t="s">
        <v>181</v>
      </c>
      <c r="C334" t="s">
        <v>72</v>
      </c>
      <c r="D334" s="12">
        <v>45581</v>
      </c>
      <c r="E334" t="s">
        <v>178</v>
      </c>
      <c r="F334" t="s">
        <v>178</v>
      </c>
      <c r="G334" t="s">
        <v>178</v>
      </c>
      <c r="H334" t="s">
        <v>74</v>
      </c>
      <c r="I334">
        <v>10</v>
      </c>
      <c r="K334">
        <v>0.84615384615384603</v>
      </c>
      <c r="L334">
        <v>45581</v>
      </c>
      <c r="M334" t="s">
        <v>164</v>
      </c>
      <c r="N334">
        <v>1.9</v>
      </c>
      <c r="O334">
        <v>1.9</v>
      </c>
      <c r="P334">
        <v>1.9679144385026737</v>
      </c>
      <c r="Q334">
        <v>2.2454545454545456</v>
      </c>
      <c r="R334">
        <v>2.2454545454545456</v>
      </c>
      <c r="S334">
        <v>2.3257170636849782</v>
      </c>
      <c r="T334">
        <v>8.0262518230432622E-2</v>
      </c>
      <c r="U334">
        <v>0</v>
      </c>
      <c r="V334">
        <v>0</v>
      </c>
      <c r="W334">
        <v>0</v>
      </c>
      <c r="X334">
        <v>0.99545454545454559</v>
      </c>
      <c r="Y334">
        <v>0</v>
      </c>
      <c r="Z334">
        <v>0.25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1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0.44534412955465585</v>
      </c>
      <c r="AO334">
        <v>0.44534412955465585</v>
      </c>
      <c r="AP334">
        <v>1.0357444413171968</v>
      </c>
      <c r="AQ334">
        <v>3.5744441317196785E-2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0.44534412955465585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0.96548913043478257</v>
      </c>
      <c r="BL334">
        <v>0.96548913043478257</v>
      </c>
      <c r="BM334">
        <v>0.42997491638795982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0</v>
      </c>
      <c r="BW334">
        <v>0</v>
      </c>
      <c r="BX334">
        <v>3.4510869565217428E-2</v>
      </c>
      <c r="BY334">
        <v>0</v>
      </c>
      <c r="BZ334">
        <v>0.53551421404682276</v>
      </c>
      <c r="CA334">
        <v>0</v>
      </c>
      <c r="CB334">
        <v>0.42997491638795982</v>
      </c>
      <c r="CC334">
        <v>0</v>
      </c>
      <c r="CD334">
        <v>0</v>
      </c>
      <c r="CE334">
        <v>0</v>
      </c>
      <c r="CF334">
        <v>0</v>
      </c>
      <c r="CG334">
        <v>0</v>
      </c>
    </row>
    <row r="335" spans="1:85" hidden="1" x14ac:dyDescent="0.25">
      <c r="A335" t="s">
        <v>128</v>
      </c>
      <c r="B335" t="s">
        <v>181</v>
      </c>
      <c r="C335" t="s">
        <v>72</v>
      </c>
      <c r="D335" s="12">
        <v>45581</v>
      </c>
      <c r="E335" t="s">
        <v>178</v>
      </c>
      <c r="F335" t="s">
        <v>178</v>
      </c>
      <c r="G335" t="s">
        <v>178</v>
      </c>
      <c r="H335" t="s">
        <v>75</v>
      </c>
      <c r="I335">
        <v>10</v>
      </c>
      <c r="K335">
        <v>2.5351191458269504</v>
      </c>
      <c r="L335">
        <v>45581</v>
      </c>
      <c r="M335" t="s">
        <v>165</v>
      </c>
      <c r="N335">
        <v>2.8499999999999996</v>
      </c>
      <c r="O335">
        <v>2.8499999999999996</v>
      </c>
      <c r="P335">
        <v>2.9371657754010689</v>
      </c>
      <c r="Q335">
        <v>1.1242075169095596</v>
      </c>
      <c r="R335">
        <v>1.1242075169095596</v>
      </c>
      <c r="S335">
        <v>1.1585908221457464</v>
      </c>
      <c r="T335">
        <v>3.4383305236186823E-2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0.12420751690955956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1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0.88951548976384232</v>
      </c>
      <c r="AO335">
        <v>0.88951548976384232</v>
      </c>
      <c r="AP335">
        <v>1.0305844825968664</v>
      </c>
      <c r="AQ335">
        <v>3.0584482596866414E-2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0.88951548976384232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0.97032316795630413</v>
      </c>
      <c r="BL335">
        <v>0.97032316795630413</v>
      </c>
      <c r="BM335">
        <v>0.8631174879738549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2.9676832043695867E-2</v>
      </c>
      <c r="BY335">
        <v>0</v>
      </c>
      <c r="BZ335">
        <v>0.10720567998244923</v>
      </c>
      <c r="CA335">
        <v>0</v>
      </c>
      <c r="CB335">
        <v>0.8631174879738549</v>
      </c>
      <c r="CC335">
        <v>0</v>
      </c>
      <c r="CD335">
        <v>0</v>
      </c>
      <c r="CE335">
        <v>0</v>
      </c>
      <c r="CF335">
        <v>0</v>
      </c>
      <c r="CG335">
        <v>0</v>
      </c>
    </row>
    <row r="336" spans="1:85" hidden="1" x14ac:dyDescent="0.25">
      <c r="A336" t="s">
        <v>128</v>
      </c>
      <c r="B336" t="s">
        <v>181</v>
      </c>
      <c r="C336" t="s">
        <v>109</v>
      </c>
      <c r="D336" s="12">
        <v>45581</v>
      </c>
      <c r="E336" t="s">
        <v>178</v>
      </c>
      <c r="F336" t="s">
        <v>178</v>
      </c>
      <c r="G336" t="s">
        <v>178</v>
      </c>
      <c r="K336">
        <v>10.228382649240832</v>
      </c>
      <c r="N336">
        <v>8.5499999999999989</v>
      </c>
      <c r="O336">
        <v>8.5499999999999989</v>
      </c>
      <c r="P336">
        <v>6.8428253119429581</v>
      </c>
      <c r="T336">
        <v>1.5161753252871637E-2</v>
      </c>
      <c r="U336">
        <v>0</v>
      </c>
      <c r="V336">
        <v>0</v>
      </c>
      <c r="W336">
        <v>0</v>
      </c>
      <c r="X336">
        <v>8.2350037263243164E-2</v>
      </c>
      <c r="Y336">
        <v>0</v>
      </c>
      <c r="Z336">
        <v>5.1466525428688611E-2</v>
      </c>
      <c r="AA336">
        <v>0</v>
      </c>
      <c r="AB336">
        <v>0</v>
      </c>
      <c r="AC336">
        <v>0</v>
      </c>
      <c r="AD336">
        <v>0.29790728033490171</v>
      </c>
      <c r="AE336">
        <v>0</v>
      </c>
      <c r="AF336">
        <v>0.18206738697823399</v>
      </c>
      <c r="AG336">
        <v>0</v>
      </c>
      <c r="AH336">
        <v>0.52002533268686413</v>
      </c>
      <c r="AI336">
        <v>0</v>
      </c>
      <c r="AJ336">
        <v>0</v>
      </c>
      <c r="AK336">
        <v>0</v>
      </c>
      <c r="AL336">
        <v>0</v>
      </c>
      <c r="AM336">
        <v>0</v>
      </c>
    </row>
    <row r="337" spans="1:85" hidden="1" x14ac:dyDescent="0.25">
      <c r="A337" t="s">
        <v>128</v>
      </c>
      <c r="B337" t="s">
        <v>181</v>
      </c>
      <c r="C337" t="s">
        <v>72</v>
      </c>
      <c r="D337" s="12">
        <v>45582</v>
      </c>
      <c r="E337" t="s">
        <v>178</v>
      </c>
      <c r="F337" t="s">
        <v>178</v>
      </c>
      <c r="G337" t="s">
        <v>178</v>
      </c>
      <c r="H337" t="s">
        <v>73</v>
      </c>
      <c r="I337">
        <v>10</v>
      </c>
      <c r="K337">
        <v>6.8471096572600327</v>
      </c>
      <c r="L337">
        <v>45582</v>
      </c>
      <c r="M337" t="s">
        <v>166</v>
      </c>
      <c r="N337">
        <v>3.8</v>
      </c>
      <c r="O337">
        <v>3.8</v>
      </c>
      <c r="P337">
        <v>2.8752450980392155</v>
      </c>
      <c r="Q337">
        <v>0.55497869761306307</v>
      </c>
      <c r="R337">
        <v>0.55497869761306307</v>
      </c>
      <c r="S337">
        <v>0.41992099469161787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0.44502130238693693</v>
      </c>
      <c r="AE337">
        <v>0</v>
      </c>
      <c r="AF337">
        <v>0.1350577029214452</v>
      </c>
      <c r="AG337">
        <v>0</v>
      </c>
      <c r="AH337">
        <v>0.41992099469161787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1.8018709624368507</v>
      </c>
      <c r="AO337">
        <v>1.8018709624368507</v>
      </c>
      <c r="AP337">
        <v>0.75664344685242513</v>
      </c>
      <c r="BG337">
        <v>0</v>
      </c>
      <c r="BH337">
        <v>0</v>
      </c>
      <c r="BI337">
        <v>0</v>
      </c>
      <c r="BK337">
        <v>1.3216264598073482</v>
      </c>
      <c r="BL337">
        <v>1.3216264598073482</v>
      </c>
      <c r="BM337">
        <v>2.3814003411150741</v>
      </c>
      <c r="BN337">
        <v>1.059773881307726</v>
      </c>
      <c r="BO337">
        <v>0</v>
      </c>
      <c r="BP337">
        <v>0</v>
      </c>
      <c r="BQ337">
        <v>0</v>
      </c>
      <c r="BR337">
        <v>0</v>
      </c>
      <c r="BS337">
        <v>0.17837354019265184</v>
      </c>
      <c r="BT337">
        <v>0.32162645980734816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</row>
    <row r="338" spans="1:85" hidden="1" x14ac:dyDescent="0.25">
      <c r="A338" t="s">
        <v>128</v>
      </c>
      <c r="B338" t="s">
        <v>181</v>
      </c>
      <c r="C338" t="s">
        <v>72</v>
      </c>
      <c r="D338" s="12">
        <v>45582</v>
      </c>
      <c r="E338" t="s">
        <v>178</v>
      </c>
      <c r="F338" t="s">
        <v>178</v>
      </c>
      <c r="G338" t="s">
        <v>178</v>
      </c>
      <c r="H338" t="s">
        <v>74</v>
      </c>
      <c r="I338">
        <v>10</v>
      </c>
      <c r="K338">
        <v>0.84615384615384603</v>
      </c>
      <c r="L338">
        <v>45582</v>
      </c>
      <c r="M338" t="s">
        <v>167</v>
      </c>
      <c r="N338">
        <v>1.9</v>
      </c>
      <c r="O338">
        <v>1.9</v>
      </c>
      <c r="P338">
        <v>1.9679144385026737</v>
      </c>
      <c r="Q338">
        <v>2.2454545454545456</v>
      </c>
      <c r="R338">
        <v>2.2454545454545456</v>
      </c>
      <c r="S338">
        <v>2.3257170636849782</v>
      </c>
      <c r="T338">
        <v>8.0262518230432622E-2</v>
      </c>
      <c r="U338">
        <v>0</v>
      </c>
      <c r="V338">
        <v>0</v>
      </c>
      <c r="W338">
        <v>0</v>
      </c>
      <c r="X338">
        <v>0.99545454545454559</v>
      </c>
      <c r="Y338">
        <v>0</v>
      </c>
      <c r="Z338">
        <v>0.25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0.44534412955465585</v>
      </c>
      <c r="AO338">
        <v>0.44534412955465585</v>
      </c>
      <c r="AP338">
        <v>1.0357444413171968</v>
      </c>
      <c r="AQ338">
        <v>3.5744441317196785E-2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0.44534412955465585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0.96548913043478257</v>
      </c>
      <c r="BL338">
        <v>0.96548913043478257</v>
      </c>
      <c r="BM338">
        <v>0.42997491638795982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3.4510869565217428E-2</v>
      </c>
      <c r="BY338">
        <v>0</v>
      </c>
      <c r="BZ338">
        <v>0.53551421404682276</v>
      </c>
      <c r="CA338">
        <v>0</v>
      </c>
      <c r="CB338">
        <v>0.42997491638795982</v>
      </c>
      <c r="CC338">
        <v>0</v>
      </c>
      <c r="CD338">
        <v>0</v>
      </c>
      <c r="CE338">
        <v>0</v>
      </c>
      <c r="CF338">
        <v>0</v>
      </c>
      <c r="CG338">
        <v>0</v>
      </c>
    </row>
    <row r="339" spans="1:85" hidden="1" x14ac:dyDescent="0.25">
      <c r="A339" t="s">
        <v>128</v>
      </c>
      <c r="B339" t="s">
        <v>181</v>
      </c>
      <c r="C339" t="s">
        <v>72</v>
      </c>
      <c r="D339" s="12">
        <v>45582</v>
      </c>
      <c r="E339" t="s">
        <v>178</v>
      </c>
      <c r="F339" t="s">
        <v>178</v>
      </c>
      <c r="G339" t="s">
        <v>178</v>
      </c>
      <c r="H339" t="s">
        <v>75</v>
      </c>
      <c r="I339">
        <v>10</v>
      </c>
      <c r="K339">
        <v>2.5351191458269504</v>
      </c>
      <c r="L339">
        <v>45582</v>
      </c>
      <c r="M339" t="s">
        <v>168</v>
      </c>
      <c r="N339">
        <v>4.75</v>
      </c>
      <c r="O339">
        <v>4.75</v>
      </c>
      <c r="P339">
        <v>3.7212566844919786</v>
      </c>
      <c r="Q339">
        <v>1.8736791948492661</v>
      </c>
      <c r="R339">
        <v>1.8736791948492661</v>
      </c>
      <c r="S339">
        <v>1.467882363879238</v>
      </c>
      <c r="T339">
        <v>0</v>
      </c>
      <c r="U339">
        <v>0</v>
      </c>
      <c r="V339">
        <v>0.40579683097002817</v>
      </c>
      <c r="W339">
        <v>0</v>
      </c>
      <c r="X339">
        <v>0.21788236387923798</v>
      </c>
      <c r="Y339">
        <v>0</v>
      </c>
      <c r="Z339">
        <v>0.25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0.53370929385830534</v>
      </c>
      <c r="AO339">
        <v>0.53370929385830534</v>
      </c>
      <c r="AP339">
        <v>0.78342245989304815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0.21657754010695185</v>
      </c>
      <c r="BB339">
        <v>0</v>
      </c>
      <c r="BC339">
        <v>0</v>
      </c>
      <c r="BD339">
        <v>0</v>
      </c>
      <c r="BE339">
        <v>0.53370929385830534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1.2764505119453926</v>
      </c>
      <c r="BL339">
        <v>1.2764505119453926</v>
      </c>
      <c r="BM339">
        <v>0.68125350137544782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0.27645051194539261</v>
      </c>
      <c r="BW339">
        <v>0</v>
      </c>
      <c r="BX339">
        <v>0</v>
      </c>
      <c r="BY339">
        <v>0</v>
      </c>
      <c r="BZ339">
        <v>0.31874649862455218</v>
      </c>
      <c r="CA339">
        <v>0</v>
      </c>
      <c r="CB339">
        <v>0.68125350137544782</v>
      </c>
      <c r="CC339">
        <v>0</v>
      </c>
      <c r="CD339">
        <v>0</v>
      </c>
      <c r="CE339">
        <v>0</v>
      </c>
      <c r="CF339">
        <v>0</v>
      </c>
      <c r="CG339">
        <v>0</v>
      </c>
    </row>
    <row r="340" spans="1:85" hidden="1" x14ac:dyDescent="0.25">
      <c r="A340" t="s">
        <v>128</v>
      </c>
      <c r="B340" t="s">
        <v>181</v>
      </c>
      <c r="C340" t="s">
        <v>109</v>
      </c>
      <c r="D340" s="12">
        <v>45582</v>
      </c>
      <c r="E340" t="s">
        <v>178</v>
      </c>
      <c r="F340" t="s">
        <v>178</v>
      </c>
      <c r="G340" t="s">
        <v>178</v>
      </c>
      <c r="K340">
        <v>10.228382649240828</v>
      </c>
      <c r="N340">
        <v>10.45</v>
      </c>
      <c r="O340">
        <v>10.45</v>
      </c>
      <c r="P340">
        <v>8.5644162210338681</v>
      </c>
      <c r="T340">
        <v>6.6398022866024173E-3</v>
      </c>
      <c r="U340">
        <v>0</v>
      </c>
      <c r="V340">
        <v>0.10057732006969614</v>
      </c>
      <c r="W340">
        <v>0</v>
      </c>
      <c r="X340">
        <v>0.13635249015830453</v>
      </c>
      <c r="Y340">
        <v>0</v>
      </c>
      <c r="Z340">
        <v>8.2644370765493441E-2</v>
      </c>
      <c r="AA340">
        <v>0</v>
      </c>
      <c r="AB340">
        <v>0</v>
      </c>
      <c r="AC340">
        <v>0</v>
      </c>
      <c r="AD340">
        <v>0.29790728033490183</v>
      </c>
      <c r="AE340">
        <v>0</v>
      </c>
      <c r="AF340">
        <v>9.0410667421542065E-2</v>
      </c>
      <c r="AG340">
        <v>0</v>
      </c>
      <c r="AH340">
        <v>0.61168205224355621</v>
      </c>
      <c r="AI340">
        <v>0</v>
      </c>
      <c r="AJ340">
        <v>0</v>
      </c>
      <c r="AK340">
        <v>0</v>
      </c>
      <c r="AL340">
        <v>0</v>
      </c>
      <c r="AM340">
        <v>0</v>
      </c>
    </row>
    <row r="341" spans="1:85" hidden="1" x14ac:dyDescent="0.25">
      <c r="A341" t="s">
        <v>128</v>
      </c>
      <c r="B341" t="s">
        <v>181</v>
      </c>
      <c r="C341" t="s">
        <v>72</v>
      </c>
      <c r="D341" s="12">
        <v>45583</v>
      </c>
      <c r="E341" t="s">
        <v>178</v>
      </c>
      <c r="F341" t="s">
        <v>178</v>
      </c>
      <c r="G341" t="s">
        <v>178</v>
      </c>
      <c r="H341" t="s">
        <v>73</v>
      </c>
      <c r="I341">
        <v>10</v>
      </c>
      <c r="K341">
        <v>6.8471096572600336</v>
      </c>
      <c r="L341">
        <v>45583</v>
      </c>
      <c r="M341" t="s">
        <v>169</v>
      </c>
      <c r="N341">
        <v>2.8499999999999996</v>
      </c>
      <c r="O341">
        <v>2.8499999999999996</v>
      </c>
      <c r="P341">
        <v>3.812745098039215</v>
      </c>
      <c r="Q341">
        <v>0.41623402320979724</v>
      </c>
      <c r="R341">
        <v>0.41623402320979724</v>
      </c>
      <c r="S341">
        <v>0.55684008127378792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0.14060605806399068</v>
      </c>
      <c r="AD341">
        <v>0.44315991872621208</v>
      </c>
      <c r="AE341">
        <v>0</v>
      </c>
      <c r="AF341">
        <v>0</v>
      </c>
      <c r="AG341">
        <v>0</v>
      </c>
      <c r="AH341">
        <v>0.41623402320979724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2.4024946165824681</v>
      </c>
      <c r="AO341">
        <v>2.4024946165824681</v>
      </c>
      <c r="AP341">
        <v>1.3378052975576196</v>
      </c>
      <c r="BG341">
        <v>0</v>
      </c>
      <c r="BH341">
        <v>0</v>
      </c>
      <c r="BI341">
        <v>0</v>
      </c>
      <c r="BK341">
        <v>0.74749292877346363</v>
      </c>
      <c r="BL341">
        <v>0.74749292877346363</v>
      </c>
      <c r="BM341">
        <v>1.7958477373117088</v>
      </c>
      <c r="BN341">
        <v>0.79584773731170877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0.58376597679020281</v>
      </c>
      <c r="BX341">
        <v>0</v>
      </c>
      <c r="BY341">
        <v>0</v>
      </c>
      <c r="BZ341">
        <v>0</v>
      </c>
      <c r="CA341">
        <v>0</v>
      </c>
      <c r="CB341">
        <v>0.74749292877346363</v>
      </c>
      <c r="CC341">
        <v>0</v>
      </c>
      <c r="CD341">
        <v>0</v>
      </c>
      <c r="CE341">
        <v>0</v>
      </c>
      <c r="CF341">
        <v>0</v>
      </c>
      <c r="CG341">
        <v>0</v>
      </c>
    </row>
    <row r="342" spans="1:85" hidden="1" x14ac:dyDescent="0.25">
      <c r="A342" t="s">
        <v>128</v>
      </c>
      <c r="B342" t="s">
        <v>181</v>
      </c>
      <c r="C342" t="s">
        <v>72</v>
      </c>
      <c r="D342" s="12">
        <v>45583</v>
      </c>
      <c r="E342" t="s">
        <v>178</v>
      </c>
      <c r="F342" t="s">
        <v>178</v>
      </c>
      <c r="G342" t="s">
        <v>178</v>
      </c>
      <c r="H342" t="s">
        <v>74</v>
      </c>
      <c r="I342">
        <v>10</v>
      </c>
      <c r="K342">
        <v>0.84615384615384603</v>
      </c>
      <c r="L342">
        <v>45583</v>
      </c>
      <c r="M342" t="s">
        <v>170</v>
      </c>
      <c r="N342">
        <v>1.9</v>
      </c>
      <c r="O342">
        <v>1.9</v>
      </c>
      <c r="P342">
        <v>1.9964349376114079</v>
      </c>
      <c r="Q342">
        <v>2.2454545454545456</v>
      </c>
      <c r="R342">
        <v>2.2454545454545456</v>
      </c>
      <c r="S342">
        <v>2.3594231080862098</v>
      </c>
      <c r="T342">
        <v>0.11396856263166422</v>
      </c>
      <c r="U342">
        <v>0</v>
      </c>
      <c r="V342">
        <v>0</v>
      </c>
      <c r="W342">
        <v>0</v>
      </c>
      <c r="X342">
        <v>0.99545454545454559</v>
      </c>
      <c r="Y342">
        <v>0</v>
      </c>
      <c r="Z342">
        <v>0.25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0.44534412955465585</v>
      </c>
      <c r="AO342">
        <v>0.44534412955465585</v>
      </c>
      <c r="AP342">
        <v>1.0507552303217937</v>
      </c>
      <c r="AQ342">
        <v>5.0755230321793743E-2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0.44534412955465585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0.95169642857142867</v>
      </c>
      <c r="BL342">
        <v>0.95169642857142867</v>
      </c>
      <c r="BM342">
        <v>0.42383241758241758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0</v>
      </c>
      <c r="BX342">
        <v>4.8303571428571335E-2</v>
      </c>
      <c r="BY342">
        <v>0</v>
      </c>
      <c r="BZ342">
        <v>0.52786401098901115</v>
      </c>
      <c r="CA342">
        <v>0</v>
      </c>
      <c r="CB342">
        <v>0.42383241758241758</v>
      </c>
      <c r="CC342">
        <v>0</v>
      </c>
      <c r="CD342">
        <v>0</v>
      </c>
      <c r="CE342">
        <v>0</v>
      </c>
      <c r="CF342">
        <v>0</v>
      </c>
      <c r="CG342">
        <v>0</v>
      </c>
    </row>
    <row r="343" spans="1:85" hidden="1" x14ac:dyDescent="0.25">
      <c r="A343" t="s">
        <v>128</v>
      </c>
      <c r="B343" t="s">
        <v>181</v>
      </c>
      <c r="C343" t="s">
        <v>72</v>
      </c>
      <c r="D343" s="12">
        <v>45583</v>
      </c>
      <c r="E343" t="s">
        <v>178</v>
      </c>
      <c r="F343" t="s">
        <v>178</v>
      </c>
      <c r="G343" t="s">
        <v>178</v>
      </c>
      <c r="H343" t="s">
        <v>75</v>
      </c>
      <c r="I343">
        <v>10</v>
      </c>
      <c r="K343">
        <v>2.5351191458269504</v>
      </c>
      <c r="L343">
        <v>45583</v>
      </c>
      <c r="M343" t="s">
        <v>171</v>
      </c>
      <c r="N343">
        <v>3.8</v>
      </c>
      <c r="O343">
        <v>3.8</v>
      </c>
      <c r="P343">
        <v>3.9919786096256682</v>
      </c>
      <c r="Q343">
        <v>1.498943355879413</v>
      </c>
      <c r="R343">
        <v>1.498943355879413</v>
      </c>
      <c r="S343">
        <v>1.5746710036081928</v>
      </c>
      <c r="T343">
        <v>7.5727647728779823E-2</v>
      </c>
      <c r="U343">
        <v>0</v>
      </c>
      <c r="V343">
        <v>0</v>
      </c>
      <c r="W343">
        <v>0</v>
      </c>
      <c r="X343">
        <v>0.24894335587941296</v>
      </c>
      <c r="Y343">
        <v>0</v>
      </c>
      <c r="Z343">
        <v>0.25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0.66713661732288176</v>
      </c>
      <c r="AO343">
        <v>0.66713661732288176</v>
      </c>
      <c r="AP343">
        <v>1.050520686743597</v>
      </c>
      <c r="AQ343">
        <v>5.0520686743596999E-2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0.66713661732288176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0.95190890823844609</v>
      </c>
      <c r="BL343">
        <v>0.95190890823844609</v>
      </c>
      <c r="BM343">
        <v>0.63505328904171432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4.8091091761553906E-2</v>
      </c>
      <c r="BY343">
        <v>0</v>
      </c>
      <c r="BZ343">
        <v>0.31685561919673177</v>
      </c>
      <c r="CA343">
        <v>0</v>
      </c>
      <c r="CB343">
        <v>0.63505328904171432</v>
      </c>
      <c r="CC343">
        <v>0</v>
      </c>
      <c r="CD343">
        <v>0</v>
      </c>
      <c r="CE343">
        <v>0</v>
      </c>
      <c r="CF343">
        <v>0</v>
      </c>
      <c r="CG343">
        <v>0</v>
      </c>
    </row>
    <row r="344" spans="1:85" hidden="1" x14ac:dyDescent="0.25">
      <c r="A344" t="s">
        <v>128</v>
      </c>
      <c r="B344" t="s">
        <v>181</v>
      </c>
      <c r="C344" t="s">
        <v>109</v>
      </c>
      <c r="D344" s="12">
        <v>45583</v>
      </c>
      <c r="E344" t="s">
        <v>178</v>
      </c>
      <c r="F344" t="s">
        <v>178</v>
      </c>
      <c r="G344" t="s">
        <v>178</v>
      </c>
      <c r="K344">
        <v>10.22838264924083</v>
      </c>
      <c r="N344">
        <v>8.5500000000000007</v>
      </c>
      <c r="O344">
        <v>8.5500000000000007</v>
      </c>
      <c r="P344">
        <v>9.801158645276292</v>
      </c>
      <c r="T344">
        <v>2.8197375589823409E-2</v>
      </c>
      <c r="U344">
        <v>0</v>
      </c>
      <c r="V344">
        <v>0</v>
      </c>
      <c r="W344">
        <v>0</v>
      </c>
      <c r="X344">
        <v>0.14405100107721952</v>
      </c>
      <c r="Y344">
        <v>0</v>
      </c>
      <c r="Z344">
        <v>8.2644370765493427E-2</v>
      </c>
      <c r="AA344">
        <v>0</v>
      </c>
      <c r="AB344">
        <v>0</v>
      </c>
      <c r="AC344">
        <v>9.4124861285930908E-2</v>
      </c>
      <c r="AD344">
        <v>0.29666122819975205</v>
      </c>
      <c r="AE344">
        <v>0</v>
      </c>
      <c r="AF344">
        <v>0</v>
      </c>
      <c r="AG344">
        <v>0</v>
      </c>
      <c r="AH344">
        <v>0.60921391051431706</v>
      </c>
      <c r="AI344">
        <v>0</v>
      </c>
      <c r="AJ344">
        <v>0</v>
      </c>
      <c r="AK344">
        <v>0</v>
      </c>
      <c r="AL344">
        <v>0</v>
      </c>
      <c r="AM344">
        <v>0</v>
      </c>
    </row>
    <row r="345" spans="1:85" hidden="1" x14ac:dyDescent="0.25">
      <c r="A345" t="s">
        <v>128</v>
      </c>
      <c r="B345" t="s">
        <v>181</v>
      </c>
      <c r="C345" t="s">
        <v>72</v>
      </c>
      <c r="D345" s="12">
        <v>45584</v>
      </c>
      <c r="E345" t="s">
        <v>178</v>
      </c>
      <c r="F345" t="s">
        <v>178</v>
      </c>
      <c r="G345" t="s">
        <v>178</v>
      </c>
      <c r="H345" t="s">
        <v>73</v>
      </c>
      <c r="I345">
        <v>10</v>
      </c>
      <c r="K345">
        <v>6.8471096572600327</v>
      </c>
      <c r="L345">
        <v>45584</v>
      </c>
      <c r="M345" t="s">
        <v>172</v>
      </c>
      <c r="N345">
        <v>3.8</v>
      </c>
      <c r="O345">
        <v>3.8</v>
      </c>
      <c r="P345">
        <v>3.812745098039215</v>
      </c>
      <c r="Q345">
        <v>0.55497869761306307</v>
      </c>
      <c r="R345">
        <v>0.55497869761306307</v>
      </c>
      <c r="S345">
        <v>0.55684008127378792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1.8613836607248579E-3</v>
      </c>
      <c r="AD345">
        <v>0.44315991872621208</v>
      </c>
      <c r="AE345">
        <v>0</v>
      </c>
      <c r="AF345">
        <v>0</v>
      </c>
      <c r="AG345">
        <v>0</v>
      </c>
      <c r="AH345">
        <v>0.55497869761306307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1.8018709624368507</v>
      </c>
      <c r="AO345">
        <v>1.8018709624368507</v>
      </c>
      <c r="AP345">
        <v>1.0033539731682146</v>
      </c>
      <c r="BG345">
        <v>0</v>
      </c>
      <c r="BH345">
        <v>0</v>
      </c>
      <c r="BI345">
        <v>0</v>
      </c>
      <c r="BK345">
        <v>0.99665723836461828</v>
      </c>
      <c r="BL345">
        <v>0.99665723836461828</v>
      </c>
      <c r="BM345">
        <v>1.7958477373117085</v>
      </c>
      <c r="BN345">
        <v>0.79584773731170855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0.44502130238693693</v>
      </c>
      <c r="BX345">
        <v>0</v>
      </c>
      <c r="BY345">
        <v>0</v>
      </c>
      <c r="BZ345">
        <v>0</v>
      </c>
      <c r="CA345">
        <v>0</v>
      </c>
      <c r="CB345">
        <v>0.99665723836461828</v>
      </c>
      <c r="CC345">
        <v>0</v>
      </c>
      <c r="CD345">
        <v>0</v>
      </c>
      <c r="CE345">
        <v>0</v>
      </c>
      <c r="CF345">
        <v>0</v>
      </c>
      <c r="CG345">
        <v>0</v>
      </c>
    </row>
    <row r="346" spans="1:85" hidden="1" x14ac:dyDescent="0.25">
      <c r="A346" t="s">
        <v>128</v>
      </c>
      <c r="B346" t="s">
        <v>181</v>
      </c>
      <c r="C346" t="s">
        <v>72</v>
      </c>
      <c r="D346" s="12">
        <v>45584</v>
      </c>
      <c r="E346" t="s">
        <v>178</v>
      </c>
      <c r="F346" t="s">
        <v>178</v>
      </c>
      <c r="G346" t="s">
        <v>178</v>
      </c>
      <c r="H346" t="s">
        <v>74</v>
      </c>
      <c r="I346">
        <v>10</v>
      </c>
      <c r="K346">
        <v>0.84615384615384603</v>
      </c>
      <c r="L346">
        <v>45584</v>
      </c>
      <c r="M346" t="s">
        <v>173</v>
      </c>
      <c r="N346">
        <v>1.9</v>
      </c>
      <c r="O346">
        <v>1.9</v>
      </c>
      <c r="P346">
        <v>1.9964349376114079</v>
      </c>
      <c r="Q346">
        <v>2.2454545454545456</v>
      </c>
      <c r="R346">
        <v>2.2454545454545456</v>
      </c>
      <c r="S346">
        <v>2.3594231080862098</v>
      </c>
      <c r="T346">
        <v>0.11396856263166422</v>
      </c>
      <c r="U346">
        <v>0</v>
      </c>
      <c r="V346">
        <v>0</v>
      </c>
      <c r="W346">
        <v>0</v>
      </c>
      <c r="X346">
        <v>0.99545454545454559</v>
      </c>
      <c r="Y346">
        <v>0</v>
      </c>
      <c r="Z346">
        <v>0.25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1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0.44534412955465585</v>
      </c>
      <c r="AO346">
        <v>0.44534412955465585</v>
      </c>
      <c r="AP346">
        <v>1.0507552303217937</v>
      </c>
      <c r="AQ346">
        <v>5.0755230321793743E-2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0.44534412955465585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0.95169642857142867</v>
      </c>
      <c r="BL346">
        <v>0.95169642857142867</v>
      </c>
      <c r="BM346">
        <v>0.42383241758241758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4.8303571428571335E-2</v>
      </c>
      <c r="BY346">
        <v>0</v>
      </c>
      <c r="BZ346">
        <v>0.52786401098901115</v>
      </c>
      <c r="CA346">
        <v>0</v>
      </c>
      <c r="CB346">
        <v>0.42383241758241758</v>
      </c>
      <c r="CC346">
        <v>0</v>
      </c>
      <c r="CD346">
        <v>0</v>
      </c>
      <c r="CE346">
        <v>0</v>
      </c>
      <c r="CF346">
        <v>0</v>
      </c>
      <c r="CG346">
        <v>0</v>
      </c>
    </row>
    <row r="347" spans="1:85" hidden="1" x14ac:dyDescent="0.25">
      <c r="A347" t="s">
        <v>128</v>
      </c>
      <c r="B347" t="s">
        <v>181</v>
      </c>
      <c r="C347" t="s">
        <v>72</v>
      </c>
      <c r="D347" s="12">
        <v>45584</v>
      </c>
      <c r="E347" t="s">
        <v>178</v>
      </c>
      <c r="F347" t="s">
        <v>178</v>
      </c>
      <c r="G347" t="s">
        <v>178</v>
      </c>
      <c r="H347" t="s">
        <v>75</v>
      </c>
      <c r="I347">
        <v>10</v>
      </c>
      <c r="K347">
        <v>2.5351191458269504</v>
      </c>
      <c r="L347">
        <v>45584</v>
      </c>
      <c r="M347" t="s">
        <v>174</v>
      </c>
      <c r="N347">
        <v>4.75</v>
      </c>
      <c r="O347">
        <v>4.75</v>
      </c>
      <c r="P347">
        <v>3.9919786096256682</v>
      </c>
      <c r="Q347">
        <v>1.8736791948492661</v>
      </c>
      <c r="R347">
        <v>1.8736791948492661</v>
      </c>
      <c r="S347">
        <v>1.5746710036081928</v>
      </c>
      <c r="T347">
        <v>0</v>
      </c>
      <c r="U347">
        <v>0</v>
      </c>
      <c r="V347">
        <v>0.29900819124107336</v>
      </c>
      <c r="W347">
        <v>0</v>
      </c>
      <c r="X347">
        <v>0.32467100360819279</v>
      </c>
      <c r="Y347">
        <v>0</v>
      </c>
      <c r="Z347">
        <v>0.25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1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0.53370929385830534</v>
      </c>
      <c r="AO347">
        <v>0.53370929385830534</v>
      </c>
      <c r="AP347">
        <v>0.84041654939487753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0.15958345060512247</v>
      </c>
      <c r="BB347">
        <v>0</v>
      </c>
      <c r="BC347">
        <v>0</v>
      </c>
      <c r="BD347">
        <v>0</v>
      </c>
      <c r="BE347">
        <v>0.53370929385830534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1.1898861352980576</v>
      </c>
      <c r="BL347">
        <v>1.1898861352980576</v>
      </c>
      <c r="BM347">
        <v>0.63505328904171432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0.18988613529805765</v>
      </c>
      <c r="BW347">
        <v>0</v>
      </c>
      <c r="BX347">
        <v>0</v>
      </c>
      <c r="BY347">
        <v>0</v>
      </c>
      <c r="BZ347">
        <v>0.36494671095828568</v>
      </c>
      <c r="CA347">
        <v>0</v>
      </c>
      <c r="CB347">
        <v>0.63505328904171432</v>
      </c>
      <c r="CC347">
        <v>0</v>
      </c>
      <c r="CD347">
        <v>0</v>
      </c>
      <c r="CE347">
        <v>0</v>
      </c>
      <c r="CF347">
        <v>0</v>
      </c>
      <c r="CG347">
        <v>0</v>
      </c>
    </row>
    <row r="348" spans="1:85" hidden="1" x14ac:dyDescent="0.25">
      <c r="A348" t="s">
        <v>128</v>
      </c>
      <c r="B348" t="s">
        <v>181</v>
      </c>
      <c r="C348" t="s">
        <v>109</v>
      </c>
      <c r="D348" s="12">
        <v>45584</v>
      </c>
      <c r="E348" t="s">
        <v>178</v>
      </c>
      <c r="F348" t="s">
        <v>178</v>
      </c>
      <c r="G348" t="s">
        <v>178</v>
      </c>
      <c r="K348">
        <v>10.228382649240828</v>
      </c>
      <c r="N348">
        <v>10.45</v>
      </c>
      <c r="O348">
        <v>10.45</v>
      </c>
      <c r="P348">
        <v>9.801158645276292</v>
      </c>
      <c r="T348">
        <v>9.4281707009236469E-3</v>
      </c>
      <c r="U348">
        <v>0</v>
      </c>
      <c r="V348">
        <v>7.4109604261881359E-2</v>
      </c>
      <c r="W348">
        <v>0</v>
      </c>
      <c r="X348">
        <v>0.16282020596611929</v>
      </c>
      <c r="Y348">
        <v>0</v>
      </c>
      <c r="Z348">
        <v>8.2644370765493441E-2</v>
      </c>
      <c r="AA348">
        <v>0</v>
      </c>
      <c r="AB348">
        <v>0</v>
      </c>
      <c r="AC348">
        <v>1.2460521351497517E-3</v>
      </c>
      <c r="AD348">
        <v>0.29666122819975205</v>
      </c>
      <c r="AE348">
        <v>0</v>
      </c>
      <c r="AF348">
        <v>0</v>
      </c>
      <c r="AG348">
        <v>0</v>
      </c>
      <c r="AH348">
        <v>0.70209271966509834</v>
      </c>
      <c r="AI348">
        <v>0</v>
      </c>
      <c r="AJ348">
        <v>0</v>
      </c>
      <c r="AK348">
        <v>0</v>
      </c>
      <c r="AL348">
        <v>0</v>
      </c>
      <c r="AM348">
        <v>0</v>
      </c>
    </row>
    <row r="349" spans="1:85" hidden="1" x14ac:dyDescent="0.25">
      <c r="A349" t="s">
        <v>128</v>
      </c>
      <c r="B349" t="s">
        <v>181</v>
      </c>
      <c r="C349" t="s">
        <v>72</v>
      </c>
      <c r="D349" s="12">
        <v>45585</v>
      </c>
      <c r="E349" t="s">
        <v>178</v>
      </c>
      <c r="F349" t="s">
        <v>178</v>
      </c>
      <c r="G349" t="s">
        <v>178</v>
      </c>
      <c r="H349" t="s">
        <v>73</v>
      </c>
      <c r="I349">
        <v>10</v>
      </c>
      <c r="K349">
        <v>6.8471096572600327</v>
      </c>
      <c r="L349">
        <v>45585</v>
      </c>
      <c r="M349" t="s">
        <v>175</v>
      </c>
      <c r="N349">
        <v>3.8</v>
      </c>
      <c r="O349">
        <v>3.8</v>
      </c>
      <c r="P349">
        <v>3.812745098039215</v>
      </c>
      <c r="Q349">
        <v>0.55497869761306307</v>
      </c>
      <c r="R349">
        <v>0.55497869761306307</v>
      </c>
      <c r="S349">
        <v>0.55684008127378792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1.8613836607248579E-3</v>
      </c>
      <c r="AD349">
        <v>0.44315991872621208</v>
      </c>
      <c r="AE349">
        <v>0</v>
      </c>
      <c r="AF349">
        <v>0</v>
      </c>
      <c r="AG349">
        <v>0</v>
      </c>
      <c r="AH349">
        <v>0.55497869761306307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1.8018709624368507</v>
      </c>
      <c r="AO349">
        <v>1.8018709624368507</v>
      </c>
      <c r="AP349">
        <v>1.0033539731682146</v>
      </c>
      <c r="BG349">
        <v>0</v>
      </c>
      <c r="BH349">
        <v>0</v>
      </c>
      <c r="BI349">
        <v>0</v>
      </c>
      <c r="BK349">
        <v>0.99665723836461828</v>
      </c>
      <c r="BL349">
        <v>0.99665723836461828</v>
      </c>
      <c r="BM349">
        <v>1.7958477373117085</v>
      </c>
      <c r="BN349">
        <v>0.79584773731170855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0.44502130238693693</v>
      </c>
      <c r="BX349">
        <v>0</v>
      </c>
      <c r="BY349">
        <v>0</v>
      </c>
      <c r="BZ349">
        <v>0</v>
      </c>
      <c r="CA349">
        <v>0</v>
      </c>
      <c r="CB349">
        <v>0.99665723836461828</v>
      </c>
      <c r="CC349">
        <v>0</v>
      </c>
      <c r="CD349">
        <v>0</v>
      </c>
      <c r="CE349">
        <v>0</v>
      </c>
      <c r="CF349">
        <v>0</v>
      </c>
      <c r="CG349">
        <v>0</v>
      </c>
    </row>
    <row r="350" spans="1:85" hidden="1" x14ac:dyDescent="0.25">
      <c r="A350" t="s">
        <v>128</v>
      </c>
      <c r="B350" t="s">
        <v>181</v>
      </c>
      <c r="C350" t="s">
        <v>72</v>
      </c>
      <c r="D350" s="12">
        <v>45585</v>
      </c>
      <c r="E350" t="s">
        <v>178</v>
      </c>
      <c r="F350" t="s">
        <v>178</v>
      </c>
      <c r="G350" t="s">
        <v>178</v>
      </c>
      <c r="H350" t="s">
        <v>74</v>
      </c>
      <c r="I350">
        <v>10</v>
      </c>
      <c r="K350">
        <v>0.84615384615384603</v>
      </c>
      <c r="L350">
        <v>45585</v>
      </c>
      <c r="M350" t="s">
        <v>176</v>
      </c>
      <c r="N350">
        <v>1.9</v>
      </c>
      <c r="O350">
        <v>1.9</v>
      </c>
      <c r="P350">
        <v>1.9964349376114079</v>
      </c>
      <c r="Q350">
        <v>2.2454545454545456</v>
      </c>
      <c r="R350">
        <v>2.2454545454545456</v>
      </c>
      <c r="S350">
        <v>2.3594231080862098</v>
      </c>
      <c r="T350">
        <v>0.11396856263166422</v>
      </c>
      <c r="U350">
        <v>0</v>
      </c>
      <c r="V350">
        <v>0</v>
      </c>
      <c r="W350">
        <v>0</v>
      </c>
      <c r="X350">
        <v>0.99545454545454559</v>
      </c>
      <c r="Y350">
        <v>0</v>
      </c>
      <c r="Z350">
        <v>0.25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1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0.44534412955465585</v>
      </c>
      <c r="AO350">
        <v>0.44534412955465585</v>
      </c>
      <c r="AP350">
        <v>1.0507552303217937</v>
      </c>
      <c r="AQ350">
        <v>5.0755230321793743E-2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0.44534412955465585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0.95169642857142867</v>
      </c>
      <c r="BL350">
        <v>0.95169642857142867</v>
      </c>
      <c r="BM350">
        <v>0.42383241758241758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4.8303571428571335E-2</v>
      </c>
      <c r="BY350">
        <v>0</v>
      </c>
      <c r="BZ350">
        <v>0.52786401098901115</v>
      </c>
      <c r="CA350">
        <v>0</v>
      </c>
      <c r="CB350">
        <v>0.42383241758241758</v>
      </c>
      <c r="CC350">
        <v>0</v>
      </c>
      <c r="CD350">
        <v>0</v>
      </c>
      <c r="CE350">
        <v>0</v>
      </c>
      <c r="CF350">
        <v>0</v>
      </c>
      <c r="CG350">
        <v>0</v>
      </c>
    </row>
    <row r="351" spans="1:85" hidden="1" x14ac:dyDescent="0.25">
      <c r="A351" t="s">
        <v>128</v>
      </c>
      <c r="B351" t="s">
        <v>181</v>
      </c>
      <c r="C351" t="s">
        <v>72</v>
      </c>
      <c r="D351" s="12">
        <v>45585</v>
      </c>
      <c r="E351" t="s">
        <v>178</v>
      </c>
      <c r="F351" t="s">
        <v>178</v>
      </c>
      <c r="G351" t="s">
        <v>178</v>
      </c>
      <c r="H351" t="s">
        <v>75</v>
      </c>
      <c r="I351">
        <v>10</v>
      </c>
      <c r="K351">
        <v>2.5351191458269504</v>
      </c>
      <c r="L351">
        <v>45585</v>
      </c>
      <c r="M351" t="s">
        <v>177</v>
      </c>
      <c r="N351">
        <v>5.6999999999999993</v>
      </c>
      <c r="O351">
        <v>5.6999999999999993</v>
      </c>
      <c r="P351">
        <v>3.9919786096256682</v>
      </c>
      <c r="Q351">
        <v>2.2484150338191191</v>
      </c>
      <c r="R351">
        <v>2.2484150338191191</v>
      </c>
      <c r="S351">
        <v>1.5746710036081928</v>
      </c>
      <c r="T351">
        <v>0</v>
      </c>
      <c r="U351">
        <v>0</v>
      </c>
      <c r="V351">
        <v>0.67374403021092633</v>
      </c>
      <c r="W351">
        <v>0</v>
      </c>
      <c r="X351">
        <v>0.32467100360819279</v>
      </c>
      <c r="Y351">
        <v>0</v>
      </c>
      <c r="Z351">
        <v>0.25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1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0.44475774488192116</v>
      </c>
      <c r="AO351">
        <v>0.44475774488192116</v>
      </c>
      <c r="AP351">
        <v>0.70034712449573133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0.29965287550426867</v>
      </c>
      <c r="BB351">
        <v>0</v>
      </c>
      <c r="BC351">
        <v>0</v>
      </c>
      <c r="BD351">
        <v>0</v>
      </c>
      <c r="BE351">
        <v>0.44475774488192116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1.4278633623576691</v>
      </c>
      <c r="BL351">
        <v>1.4278633623576691</v>
      </c>
      <c r="BM351">
        <v>0.63505328904171432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0.42786336235766909</v>
      </c>
      <c r="BW351">
        <v>0</v>
      </c>
      <c r="BX351">
        <v>0</v>
      </c>
      <c r="BY351">
        <v>0</v>
      </c>
      <c r="BZ351">
        <v>0.36494671095828568</v>
      </c>
      <c r="CA351">
        <v>0</v>
      </c>
      <c r="CB351">
        <v>0.63505328904171432</v>
      </c>
      <c r="CC351">
        <v>0</v>
      </c>
      <c r="CD351">
        <v>0</v>
      </c>
      <c r="CE351">
        <v>0</v>
      </c>
      <c r="CF351">
        <v>0</v>
      </c>
      <c r="CG351">
        <v>0</v>
      </c>
    </row>
    <row r="352" spans="1:85" hidden="1" x14ac:dyDescent="0.25">
      <c r="A352" t="s">
        <v>128</v>
      </c>
      <c r="B352" t="s">
        <v>181</v>
      </c>
      <c r="C352" t="s">
        <v>109</v>
      </c>
      <c r="D352" s="12">
        <v>45585</v>
      </c>
      <c r="E352" t="s">
        <v>178</v>
      </c>
      <c r="F352" t="s">
        <v>178</v>
      </c>
      <c r="G352" t="s">
        <v>178</v>
      </c>
      <c r="K352">
        <v>10.228382649240828</v>
      </c>
      <c r="N352">
        <v>11.399999999999999</v>
      </c>
      <c r="O352">
        <v>11.399999999999999</v>
      </c>
      <c r="P352">
        <v>9.801158645276292</v>
      </c>
      <c r="T352">
        <v>9.4281707009236469E-3</v>
      </c>
      <c r="U352">
        <v>0</v>
      </c>
      <c r="V352">
        <v>0.16698841341266241</v>
      </c>
      <c r="W352">
        <v>0</v>
      </c>
      <c r="X352">
        <v>0.16282020596611929</v>
      </c>
      <c r="Y352">
        <v>0</v>
      </c>
      <c r="Z352">
        <v>8.2644370765493441E-2</v>
      </c>
      <c r="AA352">
        <v>0</v>
      </c>
      <c r="AB352">
        <v>0</v>
      </c>
      <c r="AC352">
        <v>1.2460521351497517E-3</v>
      </c>
      <c r="AD352">
        <v>0.29666122819975205</v>
      </c>
      <c r="AE352">
        <v>0</v>
      </c>
      <c r="AF352">
        <v>0</v>
      </c>
      <c r="AG352">
        <v>0</v>
      </c>
      <c r="AH352">
        <v>0.70209271966509834</v>
      </c>
      <c r="AI352">
        <v>0</v>
      </c>
      <c r="AJ352">
        <v>0</v>
      </c>
      <c r="AK352">
        <v>0</v>
      </c>
      <c r="AL352">
        <v>0</v>
      </c>
      <c r="AM352">
        <v>0</v>
      </c>
    </row>
    <row r="353" spans="1:39" hidden="1" x14ac:dyDescent="0.25">
      <c r="A353" t="s">
        <v>128</v>
      </c>
      <c r="B353" t="s">
        <v>181</v>
      </c>
      <c r="C353" t="s">
        <v>117</v>
      </c>
      <c r="D353" s="12">
        <v>45572</v>
      </c>
      <c r="K353">
        <v>49.588604286188314</v>
      </c>
      <c r="N353">
        <v>58.899999999999991</v>
      </c>
      <c r="O353">
        <v>58.899999999999991</v>
      </c>
      <c r="P353">
        <v>46.208845811051681</v>
      </c>
      <c r="T353">
        <v>4.0259346088604283E-3</v>
      </c>
      <c r="U353">
        <v>0</v>
      </c>
      <c r="V353">
        <v>0.15831461024517121</v>
      </c>
      <c r="W353">
        <v>0</v>
      </c>
      <c r="X353">
        <v>7.8089070512525768E-2</v>
      </c>
      <c r="Y353">
        <v>0</v>
      </c>
      <c r="Z353">
        <v>3.4748107534684297E-2</v>
      </c>
      <c r="AA353">
        <v>0</v>
      </c>
      <c r="AB353">
        <v>7.1232174836065962E-2</v>
      </c>
      <c r="AC353">
        <v>2.0440075507410661E-2</v>
      </c>
      <c r="AD353">
        <v>0.13417099407329172</v>
      </c>
      <c r="AE353">
        <v>0</v>
      </c>
      <c r="AF353">
        <v>5.0848069406302369E-2</v>
      </c>
      <c r="AG353">
        <v>0</v>
      </c>
      <c r="AH353">
        <v>0.79454086101299515</v>
      </c>
      <c r="AI353">
        <v>0</v>
      </c>
      <c r="AJ353">
        <v>0</v>
      </c>
      <c r="AK353">
        <v>0</v>
      </c>
      <c r="AL353">
        <v>0</v>
      </c>
      <c r="AM353">
        <v>0</v>
      </c>
    </row>
    <row r="354" spans="1:39" hidden="1" x14ac:dyDescent="0.25">
      <c r="A354" t="s">
        <v>128</v>
      </c>
      <c r="B354" t="s">
        <v>181</v>
      </c>
      <c r="C354" t="s">
        <v>117</v>
      </c>
      <c r="D354" s="12">
        <v>45573</v>
      </c>
      <c r="K354">
        <v>49.588604286188307</v>
      </c>
      <c r="N354">
        <v>58.899999999999991</v>
      </c>
      <c r="O354">
        <v>58.899999999999991</v>
      </c>
      <c r="P354">
        <v>45.971390374331534</v>
      </c>
      <c r="T354">
        <v>5.2275034286996822E-3</v>
      </c>
      <c r="U354">
        <v>0</v>
      </c>
      <c r="V354">
        <v>0.13858184072696816</v>
      </c>
      <c r="W354">
        <v>0</v>
      </c>
      <c r="X354">
        <v>7.8664212715442702E-2</v>
      </c>
      <c r="Y354">
        <v>0</v>
      </c>
      <c r="Z354">
        <v>3.479118238834495E-2</v>
      </c>
      <c r="AA354">
        <v>0</v>
      </c>
      <c r="AB354">
        <v>7.5595794163150778E-2</v>
      </c>
      <c r="AC354">
        <v>4.4227536744620002E-2</v>
      </c>
      <c r="AD354">
        <v>9.5632599701541643E-2</v>
      </c>
      <c r="AE354">
        <v>0</v>
      </c>
      <c r="AF354">
        <v>9.5994757823598939E-2</v>
      </c>
      <c r="AG354">
        <v>0</v>
      </c>
      <c r="AH354">
        <v>0.76414510573023953</v>
      </c>
      <c r="AI354">
        <v>0</v>
      </c>
      <c r="AJ354">
        <v>0</v>
      </c>
      <c r="AK354">
        <v>0</v>
      </c>
      <c r="AL354">
        <v>0</v>
      </c>
      <c r="AM354">
        <v>0</v>
      </c>
    </row>
    <row r="355" spans="1:39" hidden="1" x14ac:dyDescent="0.25">
      <c r="A355" t="s">
        <v>128</v>
      </c>
      <c r="B355" t="s">
        <v>181</v>
      </c>
      <c r="C355" t="s">
        <v>117</v>
      </c>
      <c r="D355" s="12">
        <v>45574</v>
      </c>
      <c r="K355">
        <v>49.588604286188314</v>
      </c>
      <c r="N355">
        <v>56.05</v>
      </c>
      <c r="O355">
        <v>56.05</v>
      </c>
      <c r="P355">
        <v>45.954656862745097</v>
      </c>
      <c r="T355">
        <v>6.4745734833681651E-2</v>
      </c>
      <c r="U355">
        <v>0</v>
      </c>
      <c r="V355">
        <v>0.10493639517172587</v>
      </c>
      <c r="W355">
        <v>0</v>
      </c>
      <c r="X355">
        <v>4.3424254264130581E-2</v>
      </c>
      <c r="Y355">
        <v>6.4308914694037869E-3</v>
      </c>
      <c r="Z355">
        <v>2.8992947342149789E-2</v>
      </c>
      <c r="AA355">
        <v>0</v>
      </c>
      <c r="AB355">
        <v>8.9451228117445533E-2</v>
      </c>
      <c r="AC355">
        <v>5.0909071555069641E-4</v>
      </c>
      <c r="AD355">
        <v>0.13599572257801487</v>
      </c>
      <c r="AE355">
        <v>0</v>
      </c>
      <c r="AF355">
        <v>7.4449119568967978E-2</v>
      </c>
      <c r="AG355">
        <v>0</v>
      </c>
      <c r="AH355">
        <v>0.73792304840525647</v>
      </c>
      <c r="AI355">
        <v>0</v>
      </c>
      <c r="AJ355">
        <v>0</v>
      </c>
      <c r="AK355">
        <v>0</v>
      </c>
      <c r="AL355">
        <v>0</v>
      </c>
      <c r="AM355">
        <v>5.1123018732209924E-2</v>
      </c>
    </row>
    <row r="356" spans="1:39" hidden="1" x14ac:dyDescent="0.25">
      <c r="A356" t="s">
        <v>128</v>
      </c>
      <c r="B356" t="s">
        <v>181</v>
      </c>
      <c r="C356" t="s">
        <v>117</v>
      </c>
      <c r="D356" s="12">
        <v>45575</v>
      </c>
      <c r="K356">
        <v>49.588604286188314</v>
      </c>
      <c r="N356">
        <v>57</v>
      </c>
      <c r="O356">
        <v>57</v>
      </c>
      <c r="P356">
        <v>44.284425133689837</v>
      </c>
      <c r="T356">
        <v>7.9441516777901207E-4</v>
      </c>
      <c r="U356">
        <v>0</v>
      </c>
      <c r="V356">
        <v>5.7807003568412778E-2</v>
      </c>
      <c r="W356">
        <v>0</v>
      </c>
      <c r="X356">
        <v>4.580749976746764E-2</v>
      </c>
      <c r="Y356">
        <v>0</v>
      </c>
      <c r="Z356">
        <v>2.6950293862102622E-2</v>
      </c>
      <c r="AA356">
        <v>0</v>
      </c>
      <c r="AB356">
        <v>0.13487336150344303</v>
      </c>
      <c r="AC356">
        <v>1.8893421365821235E-2</v>
      </c>
      <c r="AD356">
        <v>9.7087098418432202E-2</v>
      </c>
      <c r="AE356">
        <v>0</v>
      </c>
      <c r="AF356">
        <v>8.3428781344260586E-2</v>
      </c>
      <c r="AG356">
        <v>0</v>
      </c>
      <c r="AH356">
        <v>0.80059069887148571</v>
      </c>
      <c r="AI356">
        <v>0</v>
      </c>
      <c r="AJ356">
        <v>0</v>
      </c>
      <c r="AK356">
        <v>0</v>
      </c>
      <c r="AL356">
        <v>0</v>
      </c>
      <c r="AM356">
        <v>0</v>
      </c>
    </row>
    <row r="357" spans="1:39" hidden="1" x14ac:dyDescent="0.25">
      <c r="A357" t="s">
        <v>128</v>
      </c>
      <c r="B357" t="s">
        <v>181</v>
      </c>
      <c r="C357" t="s">
        <v>117</v>
      </c>
      <c r="D357" s="12">
        <v>45576</v>
      </c>
      <c r="K357">
        <v>49.588604286188307</v>
      </c>
      <c r="N357">
        <v>59.849999999999994</v>
      </c>
      <c r="O357">
        <v>59.849999999999994</v>
      </c>
      <c r="P357">
        <v>45.482454286700005</v>
      </c>
      <c r="T357">
        <v>4.5472180418119788E-3</v>
      </c>
      <c r="U357">
        <v>0</v>
      </c>
      <c r="V357">
        <v>0.15597838564818081</v>
      </c>
      <c r="W357">
        <v>0</v>
      </c>
      <c r="X357">
        <v>8.1739508894703009E-2</v>
      </c>
      <c r="Y357">
        <v>0</v>
      </c>
      <c r="Z357">
        <v>3.1261396317082038E-2</v>
      </c>
      <c r="AA357">
        <v>0</v>
      </c>
      <c r="AB357">
        <v>9.3613670611917082E-2</v>
      </c>
      <c r="AC357">
        <v>2.0988197108007658E-2</v>
      </c>
      <c r="AD357">
        <v>0.13467424350084412</v>
      </c>
      <c r="AE357">
        <v>0</v>
      </c>
      <c r="AF357">
        <v>6.567818647997356E-2</v>
      </c>
      <c r="AG357">
        <v>0</v>
      </c>
      <c r="AH357">
        <v>0.77865937291117471</v>
      </c>
      <c r="AI357">
        <v>0</v>
      </c>
      <c r="AJ357">
        <v>0</v>
      </c>
      <c r="AK357">
        <v>0</v>
      </c>
      <c r="AL357">
        <v>0</v>
      </c>
      <c r="AM357">
        <v>0</v>
      </c>
    </row>
    <row r="358" spans="1:39" hidden="1" x14ac:dyDescent="0.25">
      <c r="A358" t="s">
        <v>128</v>
      </c>
      <c r="B358" t="s">
        <v>181</v>
      </c>
      <c r="C358" t="s">
        <v>117</v>
      </c>
      <c r="D358" s="12">
        <v>45577</v>
      </c>
      <c r="K358">
        <v>49.5886042861883</v>
      </c>
      <c r="N358">
        <v>60.79999999999999</v>
      </c>
      <c r="O358">
        <v>60.79999999999999</v>
      </c>
      <c r="P358">
        <v>48.583556149732608</v>
      </c>
      <c r="T358">
        <v>8.524685838859394E-3</v>
      </c>
      <c r="U358">
        <v>0</v>
      </c>
      <c r="V358">
        <v>7.1446983474977688E-2</v>
      </c>
      <c r="W358">
        <v>0</v>
      </c>
      <c r="X358">
        <v>7.5308617425299235E-2</v>
      </c>
      <c r="Y358">
        <v>0</v>
      </c>
      <c r="Z358">
        <v>3.4791182388344957E-2</v>
      </c>
      <c r="AA358">
        <v>0</v>
      </c>
      <c r="AB358">
        <v>0.12220663004337659</v>
      </c>
      <c r="AC358">
        <v>2.5701667192849477E-4</v>
      </c>
      <c r="AD358">
        <v>7.7408248481752553E-2</v>
      </c>
      <c r="AE358">
        <v>0</v>
      </c>
      <c r="AF358">
        <v>6.1483960994057528E-2</v>
      </c>
      <c r="AG358">
        <v>0</v>
      </c>
      <c r="AH358">
        <v>0.8608507738522615</v>
      </c>
      <c r="AI358">
        <v>0</v>
      </c>
      <c r="AJ358">
        <v>0</v>
      </c>
      <c r="AK358">
        <v>0</v>
      </c>
      <c r="AL358">
        <v>0</v>
      </c>
      <c r="AM358">
        <v>0</v>
      </c>
    </row>
    <row r="359" spans="1:39" hidden="1" x14ac:dyDescent="0.25">
      <c r="A359" t="s">
        <v>128</v>
      </c>
      <c r="B359" t="s">
        <v>181</v>
      </c>
      <c r="C359" t="s">
        <v>117</v>
      </c>
      <c r="D359" s="12">
        <v>45578</v>
      </c>
      <c r="K359">
        <v>49.588604286188314</v>
      </c>
      <c r="N359">
        <v>56.999999999999986</v>
      </c>
      <c r="O359">
        <v>56.999999999999986</v>
      </c>
      <c r="P359">
        <v>49.553966131907309</v>
      </c>
      <c r="T359">
        <v>4.2862472672384411E-2</v>
      </c>
      <c r="U359">
        <v>0</v>
      </c>
      <c r="V359">
        <v>3.4443828677187795E-2</v>
      </c>
      <c r="W359">
        <v>0</v>
      </c>
      <c r="X359">
        <v>6.0022416063397616E-2</v>
      </c>
      <c r="Y359">
        <v>0</v>
      </c>
      <c r="Z359">
        <v>3.479118238834495E-2</v>
      </c>
      <c r="AA359">
        <v>0</v>
      </c>
      <c r="AB359">
        <v>8.2063172779233098E-2</v>
      </c>
      <c r="AC359">
        <v>2.5701667192849466E-4</v>
      </c>
      <c r="AD359">
        <v>6.1605944319062377E-2</v>
      </c>
      <c r="AE359">
        <v>0</v>
      </c>
      <c r="AF359">
        <v>7.6768637174122384E-2</v>
      </c>
      <c r="AG359">
        <v>0</v>
      </c>
      <c r="AH359">
        <v>0.86136840183488661</v>
      </c>
      <c r="AI359">
        <v>0</v>
      </c>
      <c r="AJ359">
        <v>0</v>
      </c>
      <c r="AK359">
        <v>0</v>
      </c>
      <c r="AL359">
        <v>0</v>
      </c>
      <c r="AM359">
        <v>0</v>
      </c>
    </row>
    <row r="360" spans="1:39" hidden="1" x14ac:dyDescent="0.25">
      <c r="A360" t="s">
        <v>128</v>
      </c>
      <c r="B360" t="s">
        <v>181</v>
      </c>
      <c r="C360" t="s">
        <v>117</v>
      </c>
      <c r="D360" s="12">
        <v>45579</v>
      </c>
      <c r="K360">
        <v>49.588604286188314</v>
      </c>
      <c r="N360">
        <v>57.949999999999996</v>
      </c>
      <c r="O360">
        <v>57.949999999999996</v>
      </c>
      <c r="P360">
        <v>43.168284714611495</v>
      </c>
      <c r="T360">
        <v>5.6877387392399237E-4</v>
      </c>
      <c r="U360">
        <v>0</v>
      </c>
      <c r="V360">
        <v>0.19019897340633993</v>
      </c>
      <c r="W360">
        <v>0</v>
      </c>
      <c r="X360">
        <v>6.5362334666643346E-2</v>
      </c>
      <c r="Y360">
        <v>0</v>
      </c>
      <c r="Z360">
        <v>3.3288250785278549E-2</v>
      </c>
      <c r="AA360">
        <v>0</v>
      </c>
      <c r="AB360">
        <v>7.2692031585471703E-2</v>
      </c>
      <c r="AC360">
        <v>2.2149393810102273E-2</v>
      </c>
      <c r="AD360">
        <v>0.17077693040117256</v>
      </c>
      <c r="AE360">
        <v>0</v>
      </c>
      <c r="AF360">
        <v>5.7914102184996229E-2</v>
      </c>
      <c r="AG360">
        <v>0</v>
      </c>
      <c r="AH360">
        <v>0.74915957360372887</v>
      </c>
      <c r="AI360">
        <v>0</v>
      </c>
      <c r="AJ360">
        <v>0</v>
      </c>
      <c r="AK360">
        <v>0</v>
      </c>
      <c r="AL360">
        <v>0</v>
      </c>
      <c r="AM360">
        <v>0</v>
      </c>
    </row>
    <row r="361" spans="1:39" hidden="1" x14ac:dyDescent="0.25">
      <c r="A361" t="s">
        <v>128</v>
      </c>
      <c r="B361" t="s">
        <v>181</v>
      </c>
      <c r="C361" t="s">
        <v>117</v>
      </c>
      <c r="D361" s="12">
        <v>45580</v>
      </c>
      <c r="K361">
        <v>49.588604286188314</v>
      </c>
      <c r="N361">
        <v>58.899999999999991</v>
      </c>
      <c r="O361">
        <v>58.899999999999991</v>
      </c>
      <c r="P361">
        <v>42.872397105922936</v>
      </c>
      <c r="T361">
        <v>2.3787522048767363E-3</v>
      </c>
      <c r="U361">
        <v>0</v>
      </c>
      <c r="V361">
        <v>8.2423172566296249E-2</v>
      </c>
      <c r="W361">
        <v>0</v>
      </c>
      <c r="X361">
        <v>7.8664212715442688E-2</v>
      </c>
      <c r="Y361">
        <v>0</v>
      </c>
      <c r="Z361">
        <v>3.479118238834495E-2</v>
      </c>
      <c r="AA361">
        <v>0</v>
      </c>
      <c r="AB361">
        <v>9.0083884540654163E-2</v>
      </c>
      <c r="AC361">
        <v>3.9720758388950853E-4</v>
      </c>
      <c r="AD361">
        <v>9.779235107910364E-2</v>
      </c>
      <c r="AE361">
        <v>0</v>
      </c>
      <c r="AF361">
        <v>0.15348031636826973</v>
      </c>
      <c r="AG361">
        <v>0</v>
      </c>
      <c r="AH361">
        <v>0.74833012496873719</v>
      </c>
      <c r="AI361">
        <v>0</v>
      </c>
      <c r="AJ361">
        <v>0</v>
      </c>
      <c r="AK361">
        <v>0</v>
      </c>
      <c r="AL361">
        <v>0</v>
      </c>
      <c r="AM361">
        <v>0</v>
      </c>
    </row>
    <row r="362" spans="1:39" hidden="1" x14ac:dyDescent="0.25">
      <c r="A362" t="s">
        <v>128</v>
      </c>
      <c r="B362" t="s">
        <v>181</v>
      </c>
      <c r="C362" t="s">
        <v>117</v>
      </c>
      <c r="D362" s="12">
        <v>45581</v>
      </c>
      <c r="K362">
        <v>49.588604286188307</v>
      </c>
      <c r="N362">
        <v>57.95</v>
      </c>
      <c r="O362">
        <v>57.95</v>
      </c>
      <c r="P362">
        <v>43.867601155294651</v>
      </c>
      <c r="T362">
        <v>2.5626368970231714E-2</v>
      </c>
      <c r="U362">
        <v>0</v>
      </c>
      <c r="V362">
        <v>0.12409402248701208</v>
      </c>
      <c r="W362">
        <v>0</v>
      </c>
      <c r="X362">
        <v>4.3424254264130588E-2</v>
      </c>
      <c r="Y362">
        <v>0</v>
      </c>
      <c r="Z362">
        <v>2.8317216065280509E-2</v>
      </c>
      <c r="AA362">
        <v>0</v>
      </c>
      <c r="AB362">
        <v>9.0126959394314823E-2</v>
      </c>
      <c r="AC362">
        <v>4.1518077773066364E-4</v>
      </c>
      <c r="AD362">
        <v>0.11693200520054871</v>
      </c>
      <c r="AE362">
        <v>0</v>
      </c>
      <c r="AF362">
        <v>9.580514552145869E-2</v>
      </c>
      <c r="AG362">
        <v>0</v>
      </c>
      <c r="AH362">
        <v>0.786847668500262</v>
      </c>
      <c r="AI362">
        <v>0</v>
      </c>
      <c r="AJ362">
        <v>0</v>
      </c>
      <c r="AK362">
        <v>0</v>
      </c>
      <c r="AL362">
        <v>0</v>
      </c>
      <c r="AM362">
        <v>0</v>
      </c>
    </row>
    <row r="363" spans="1:39" hidden="1" x14ac:dyDescent="0.25">
      <c r="A363" t="s">
        <v>128</v>
      </c>
      <c r="B363" t="s">
        <v>181</v>
      </c>
      <c r="C363" t="s">
        <v>117</v>
      </c>
      <c r="D363" s="12">
        <v>45582</v>
      </c>
      <c r="K363">
        <v>49.588604286188307</v>
      </c>
      <c r="N363">
        <v>54.149999999999991</v>
      </c>
      <c r="O363">
        <v>54.149999999999991</v>
      </c>
      <c r="P363">
        <v>47.317481538069764</v>
      </c>
      <c r="T363">
        <v>4.2287330469467484E-2</v>
      </c>
      <c r="U363">
        <v>0</v>
      </c>
      <c r="V363">
        <v>6.0375027406911322E-2</v>
      </c>
      <c r="W363">
        <v>0</v>
      </c>
      <c r="X363">
        <v>5.4563058434147063E-2</v>
      </c>
      <c r="Y363">
        <v>0</v>
      </c>
      <c r="Z363">
        <v>3.5423838811553574E-2</v>
      </c>
      <c r="AA363">
        <v>0</v>
      </c>
      <c r="AB363">
        <v>7.6760979418241629E-2</v>
      </c>
      <c r="AC363">
        <v>2.0043705771655103E-2</v>
      </c>
      <c r="AD363">
        <v>0.11509444132788457</v>
      </c>
      <c r="AE363">
        <v>0</v>
      </c>
      <c r="AF363">
        <v>6.2979073961729484E-2</v>
      </c>
      <c r="AG363">
        <v>0</v>
      </c>
      <c r="AH363">
        <v>0.80188277893873094</v>
      </c>
      <c r="AI363">
        <v>0</v>
      </c>
      <c r="AJ363">
        <v>0</v>
      </c>
      <c r="AK363">
        <v>0</v>
      </c>
      <c r="AL363">
        <v>0</v>
      </c>
      <c r="AM363">
        <v>0</v>
      </c>
    </row>
    <row r="364" spans="1:39" hidden="1" x14ac:dyDescent="0.25">
      <c r="A364" t="s">
        <v>128</v>
      </c>
      <c r="B364" t="s">
        <v>181</v>
      </c>
      <c r="C364" t="s">
        <v>117</v>
      </c>
      <c r="D364" s="12">
        <v>45583</v>
      </c>
      <c r="K364">
        <v>49.588604286188314</v>
      </c>
      <c r="N364">
        <v>60.8</v>
      </c>
      <c r="O364">
        <v>60.8</v>
      </c>
      <c r="P364">
        <v>46.754656862745087</v>
      </c>
      <c r="T364">
        <v>5.816125526997484E-3</v>
      </c>
      <c r="U364">
        <v>0</v>
      </c>
      <c r="V364">
        <v>0.15905368182744101</v>
      </c>
      <c r="W364">
        <v>0</v>
      </c>
      <c r="X364">
        <v>7.8664212715442688E-2</v>
      </c>
      <c r="Y364">
        <v>0</v>
      </c>
      <c r="Z364">
        <v>3.479118238834495E-2</v>
      </c>
      <c r="AA364">
        <v>0</v>
      </c>
      <c r="AB364">
        <v>9.0083884540654163E-2</v>
      </c>
      <c r="AC364">
        <v>1.9811851571104218E-2</v>
      </c>
      <c r="AD364">
        <v>0.11669296172246134</v>
      </c>
      <c r="AE364">
        <v>0</v>
      </c>
      <c r="AF364">
        <v>5.972772582352473E-2</v>
      </c>
      <c r="AG364">
        <v>0</v>
      </c>
      <c r="AH364">
        <v>0.80376746088290973</v>
      </c>
      <c r="AI364">
        <v>0</v>
      </c>
      <c r="AJ364">
        <v>0</v>
      </c>
      <c r="AK364">
        <v>0</v>
      </c>
      <c r="AL364">
        <v>0</v>
      </c>
      <c r="AM364">
        <v>0</v>
      </c>
    </row>
    <row r="365" spans="1:39" hidden="1" x14ac:dyDescent="0.25">
      <c r="A365" t="s">
        <v>128</v>
      </c>
      <c r="B365" t="s">
        <v>181</v>
      </c>
      <c r="C365" t="s">
        <v>117</v>
      </c>
      <c r="D365" s="12">
        <v>45584</v>
      </c>
      <c r="K365">
        <v>49.588604286188314</v>
      </c>
      <c r="N365">
        <v>59.849999999999987</v>
      </c>
      <c r="O365">
        <v>59.849999999999987</v>
      </c>
      <c r="P365">
        <v>49.585338680926917</v>
      </c>
      <c r="T365">
        <v>2.5033064381959486E-2</v>
      </c>
      <c r="U365">
        <v>0</v>
      </c>
      <c r="V365">
        <v>5.4937761231228309E-2</v>
      </c>
      <c r="W365">
        <v>0</v>
      </c>
      <c r="X365">
        <v>6.0022416063397616E-2</v>
      </c>
      <c r="Y365">
        <v>0</v>
      </c>
      <c r="Z365">
        <v>3.5423838811553574E-2</v>
      </c>
      <c r="AA365">
        <v>0</v>
      </c>
      <c r="AB365">
        <v>0.13421176991053271</v>
      </c>
      <c r="AC365">
        <v>6.5422425581800319E-4</v>
      </c>
      <c r="AD365">
        <v>7.7011040897863009E-2</v>
      </c>
      <c r="AE365">
        <v>0</v>
      </c>
      <c r="AF365">
        <v>4.353413230489684E-2</v>
      </c>
      <c r="AG365">
        <v>0</v>
      </c>
      <c r="AH365">
        <v>0.878800602541422</v>
      </c>
      <c r="AI365">
        <v>0</v>
      </c>
      <c r="AJ365">
        <v>0</v>
      </c>
      <c r="AK365">
        <v>0</v>
      </c>
      <c r="AL365">
        <v>0</v>
      </c>
      <c r="AM365">
        <v>0</v>
      </c>
    </row>
    <row r="366" spans="1:39" hidden="1" x14ac:dyDescent="0.25">
      <c r="A366" t="s">
        <v>128</v>
      </c>
      <c r="B366" t="s">
        <v>181</v>
      </c>
      <c r="C366" t="s">
        <v>117</v>
      </c>
      <c r="D366" s="12">
        <v>45585</v>
      </c>
      <c r="K366">
        <v>49.588604286188314</v>
      </c>
      <c r="N366">
        <v>62.699999999999989</v>
      </c>
      <c r="O366">
        <v>62.699999999999989</v>
      </c>
      <c r="P366">
        <v>49.585338680926917</v>
      </c>
      <c r="T366">
        <v>2.5015091188118323E-2</v>
      </c>
      <c r="U366">
        <v>0</v>
      </c>
      <c r="V366">
        <v>9.456722964698748E-2</v>
      </c>
      <c r="W366">
        <v>0</v>
      </c>
      <c r="X366">
        <v>6.0022416063397616E-2</v>
      </c>
      <c r="Y366">
        <v>0</v>
      </c>
      <c r="Z366">
        <v>3.5423838811553574E-2</v>
      </c>
      <c r="AA366">
        <v>0</v>
      </c>
      <c r="AB366">
        <v>0.15205518344063218</v>
      </c>
      <c r="AC366">
        <v>6.7219744965915835E-4</v>
      </c>
      <c r="AD366">
        <v>7.6993067704021853E-2</v>
      </c>
      <c r="AE366">
        <v>0</v>
      </c>
      <c r="AF366">
        <v>4.3534132304896785E-2</v>
      </c>
      <c r="AG366">
        <v>0</v>
      </c>
      <c r="AH366">
        <v>0.878800602541422</v>
      </c>
      <c r="AI366">
        <v>0</v>
      </c>
      <c r="AJ366">
        <v>0</v>
      </c>
      <c r="AK366">
        <v>0</v>
      </c>
      <c r="AL366">
        <v>0</v>
      </c>
      <c r="AM366">
        <v>0</v>
      </c>
    </row>
    <row r="367" spans="1:39" x14ac:dyDescent="0.25">
      <c r="A367" t="s">
        <v>128</v>
      </c>
      <c r="B367" t="s">
        <v>181</v>
      </c>
      <c r="C367" t="s">
        <v>116</v>
      </c>
      <c r="D367" s="12"/>
      <c r="K367">
        <v>694.240460006636</v>
      </c>
      <c r="N367">
        <v>820.79999999999916</v>
      </c>
      <c r="O367">
        <v>820.79999999999916</v>
      </c>
      <c r="P367">
        <v>649.19039348865545</v>
      </c>
      <c r="T367">
        <v>1.8389533657689413E-2</v>
      </c>
      <c r="U367">
        <v>0</v>
      </c>
      <c r="V367">
        <v>0.10622563686320302</v>
      </c>
      <c r="W367">
        <v>0</v>
      </c>
      <c r="X367">
        <v>6.4555606040397756E-2</v>
      </c>
      <c r="Y367">
        <v>4.5934939067169932E-4</v>
      </c>
      <c r="Z367">
        <v>3.3127545734497374E-2</v>
      </c>
      <c r="AA367">
        <v>0</v>
      </c>
      <c r="AB367">
        <v>9.8217908920366706E-2</v>
      </c>
      <c r="AC367">
        <v>1.2122579714659016E-2</v>
      </c>
      <c r="AD367">
        <v>0.10770483210042826</v>
      </c>
      <c r="AE367">
        <v>0</v>
      </c>
      <c r="AF367">
        <v>7.325901009007546E-2</v>
      </c>
      <c r="AG367">
        <v>0</v>
      </c>
      <c r="AH367">
        <v>0.80326193389967915</v>
      </c>
      <c r="AI367">
        <v>0</v>
      </c>
      <c r="AJ367">
        <v>0</v>
      </c>
      <c r="AK367">
        <v>0</v>
      </c>
      <c r="AL367">
        <v>0</v>
      </c>
      <c r="AM367">
        <v>3.6516441951578537E-3</v>
      </c>
    </row>
    <row r="368" spans="1:39" hidden="1" x14ac:dyDescent="0.25">
      <c r="A368" t="s">
        <v>128</v>
      </c>
      <c r="C368" t="s">
        <v>110</v>
      </c>
      <c r="D368" s="12">
        <v>45572</v>
      </c>
      <c r="K368">
        <v>96.791611804985322</v>
      </c>
      <c r="N368">
        <v>106.39999999999998</v>
      </c>
      <c r="O368">
        <v>106.39999999999998</v>
      </c>
      <c r="P368">
        <v>88.096022966126782</v>
      </c>
      <c r="T368">
        <v>5.7320526261075751E-3</v>
      </c>
      <c r="U368">
        <v>0</v>
      </c>
      <c r="V368">
        <v>9.9877672788495436E-2</v>
      </c>
      <c r="W368">
        <v>0</v>
      </c>
      <c r="X368">
        <v>4.0006855392839422E-2</v>
      </c>
      <c r="Y368">
        <v>0</v>
      </c>
      <c r="Z368">
        <v>2.6705268604784293E-2</v>
      </c>
      <c r="AA368">
        <v>0</v>
      </c>
      <c r="AB368">
        <v>6.8507500491345505E-2</v>
      </c>
      <c r="AC368">
        <v>2.4003212340411077E-2</v>
      </c>
      <c r="AD368">
        <v>0.1014938003959887</v>
      </c>
      <c r="AE368">
        <v>0</v>
      </c>
      <c r="AF368">
        <v>6.0788624364144242E-2</v>
      </c>
      <c r="AG368">
        <v>0</v>
      </c>
      <c r="AH368">
        <v>0.80338288911415723</v>
      </c>
      <c r="AI368">
        <v>0</v>
      </c>
      <c r="AJ368">
        <v>0</v>
      </c>
      <c r="AK368">
        <v>0</v>
      </c>
      <c r="AL368">
        <v>1.0331473785298554E-2</v>
      </c>
      <c r="AM368">
        <v>0</v>
      </c>
    </row>
    <row r="369" spans="1:39" hidden="1" x14ac:dyDescent="0.25">
      <c r="A369" t="s">
        <v>128</v>
      </c>
      <c r="C369" t="s">
        <v>110</v>
      </c>
      <c r="D369" s="12">
        <v>45573</v>
      </c>
      <c r="K369">
        <v>96.791611804985308</v>
      </c>
      <c r="N369">
        <v>112.09999999999998</v>
      </c>
      <c r="O369">
        <v>112.09999999999998</v>
      </c>
      <c r="P369">
        <v>85.878749284845497</v>
      </c>
      <c r="T369">
        <v>9.2616797117409076E-3</v>
      </c>
      <c r="U369">
        <v>0</v>
      </c>
      <c r="V369">
        <v>0.10379346872074001</v>
      </c>
      <c r="W369">
        <v>0</v>
      </c>
      <c r="X369">
        <v>4.0301514181724937E-2</v>
      </c>
      <c r="Y369">
        <v>0</v>
      </c>
      <c r="Z369">
        <v>2.2531106260266602E-2</v>
      </c>
      <c r="AA369">
        <v>0</v>
      </c>
      <c r="AB369">
        <v>0.11737936715558507</v>
      </c>
      <c r="AC369">
        <v>2.2965637464336802E-2</v>
      </c>
      <c r="AD369">
        <v>9.25501337367131E-2</v>
      </c>
      <c r="AE369">
        <v>0</v>
      </c>
      <c r="AF369">
        <v>9.2290119466411025E-2</v>
      </c>
      <c r="AG369">
        <v>0</v>
      </c>
      <c r="AH369">
        <v>0.78186263554724023</v>
      </c>
      <c r="AI369">
        <v>0</v>
      </c>
      <c r="AJ369">
        <v>0</v>
      </c>
      <c r="AK369">
        <v>0</v>
      </c>
      <c r="AL369">
        <v>1.0331473785298556E-2</v>
      </c>
      <c r="AM369">
        <v>0</v>
      </c>
    </row>
    <row r="370" spans="1:39" hidden="1" x14ac:dyDescent="0.25">
      <c r="A370" t="s">
        <v>128</v>
      </c>
      <c r="C370" t="s">
        <v>110</v>
      </c>
      <c r="D370" s="12">
        <v>45574</v>
      </c>
      <c r="K370">
        <v>96.791611804985308</v>
      </c>
      <c r="N370">
        <v>108.29999999999998</v>
      </c>
      <c r="O370">
        <v>108.29999999999998</v>
      </c>
      <c r="P370">
        <v>86.295379485288208</v>
      </c>
      <c r="T370">
        <v>3.5147445740350065E-2</v>
      </c>
      <c r="U370">
        <v>0</v>
      </c>
      <c r="V370">
        <v>8.2345666108008184E-2</v>
      </c>
      <c r="W370">
        <v>0</v>
      </c>
      <c r="X370">
        <v>2.2247260077302357E-2</v>
      </c>
      <c r="Y370">
        <v>3.2946959590486272E-3</v>
      </c>
      <c r="Z370">
        <v>1.956053496899204E-2</v>
      </c>
      <c r="AA370">
        <v>0</v>
      </c>
      <c r="AB370">
        <v>0.11086196079914182</v>
      </c>
      <c r="AC370">
        <v>2.6081906859945145E-4</v>
      </c>
      <c r="AD370">
        <v>0.10552451815171278</v>
      </c>
      <c r="AE370">
        <v>0</v>
      </c>
      <c r="AF370">
        <v>7.9872271690285837E-2</v>
      </c>
      <c r="AG370">
        <v>0</v>
      </c>
      <c r="AH370">
        <v>0.77781940030638352</v>
      </c>
      <c r="AI370">
        <v>0</v>
      </c>
      <c r="AJ370">
        <v>0</v>
      </c>
      <c r="AK370">
        <v>0</v>
      </c>
      <c r="AL370">
        <v>1.0331473785298556E-2</v>
      </c>
      <c r="AM370">
        <v>2.6191516997719606E-2</v>
      </c>
    </row>
    <row r="371" spans="1:39" hidden="1" x14ac:dyDescent="0.25">
      <c r="A371" t="s">
        <v>128</v>
      </c>
      <c r="C371" t="s">
        <v>110</v>
      </c>
      <c r="D371" s="12">
        <v>45575</v>
      </c>
      <c r="K371">
        <v>96.791611804985322</v>
      </c>
      <c r="N371">
        <v>107.35000000000002</v>
      </c>
      <c r="O371">
        <v>107.35000000000002</v>
      </c>
      <c r="P371">
        <v>82.364367561018042</v>
      </c>
      <c r="T371">
        <v>3.7928606269368469E-3</v>
      </c>
      <c r="U371">
        <v>0</v>
      </c>
      <c r="V371">
        <v>4.3179035907880789E-2</v>
      </c>
      <c r="W371">
        <v>0</v>
      </c>
      <c r="X371">
        <v>2.3468252433746735E-2</v>
      </c>
      <c r="Y371">
        <v>0</v>
      </c>
      <c r="Z371">
        <v>2.2710266462592818E-2</v>
      </c>
      <c r="AA371">
        <v>0</v>
      </c>
      <c r="AB371">
        <v>0.14179222177404088</v>
      </c>
      <c r="AC371">
        <v>2.0464931738782062E-2</v>
      </c>
      <c r="AD371">
        <v>9.1269660202380545E-2</v>
      </c>
      <c r="AE371">
        <v>0</v>
      </c>
      <c r="AF371">
        <v>0.10775641502154323</v>
      </c>
      <c r="AG371">
        <v>0</v>
      </c>
      <c r="AH371">
        <v>0.77017751925199529</v>
      </c>
      <c r="AI371">
        <v>0</v>
      </c>
      <c r="AJ371">
        <v>0</v>
      </c>
      <c r="AK371">
        <v>0</v>
      </c>
      <c r="AL371">
        <v>1.0331473785298554E-2</v>
      </c>
      <c r="AM371">
        <v>0</v>
      </c>
    </row>
    <row r="372" spans="1:39" hidden="1" x14ac:dyDescent="0.25">
      <c r="A372" t="s">
        <v>128</v>
      </c>
      <c r="C372" t="s">
        <v>110</v>
      </c>
      <c r="D372" s="12">
        <v>45576</v>
      </c>
      <c r="K372">
        <v>96.791611804985322</v>
      </c>
      <c r="N372">
        <v>110.19999999999997</v>
      </c>
      <c r="O372">
        <v>110.19999999999997</v>
      </c>
      <c r="P372">
        <v>80.093443586832052</v>
      </c>
      <c r="T372">
        <v>3.9045594994514326E-3</v>
      </c>
      <c r="U372">
        <v>0</v>
      </c>
      <c r="V372">
        <v>9.3673908063156883E-2</v>
      </c>
      <c r="W372">
        <v>0</v>
      </c>
      <c r="X372">
        <v>4.1877060269369604E-2</v>
      </c>
      <c r="Y372">
        <v>0</v>
      </c>
      <c r="Z372">
        <v>2.0903631370220069E-2</v>
      </c>
      <c r="AA372">
        <v>0</v>
      </c>
      <c r="AB372">
        <v>0.11285147571904589</v>
      </c>
      <c r="AC372">
        <v>1.9967982770340134E-2</v>
      </c>
      <c r="AD372">
        <v>0.10047820772625286</v>
      </c>
      <c r="AE372">
        <v>0</v>
      </c>
      <c r="AF372">
        <v>0.13872373062114424</v>
      </c>
      <c r="AG372">
        <v>0</v>
      </c>
      <c r="AH372">
        <v>0.73049860509696396</v>
      </c>
      <c r="AI372">
        <v>0</v>
      </c>
      <c r="AJ372">
        <v>0</v>
      </c>
      <c r="AK372">
        <v>0</v>
      </c>
      <c r="AL372">
        <v>1.0331473785298554E-2</v>
      </c>
      <c r="AM372">
        <v>0</v>
      </c>
    </row>
    <row r="373" spans="1:39" hidden="1" x14ac:dyDescent="0.25">
      <c r="A373" t="s">
        <v>128</v>
      </c>
      <c r="C373" t="s">
        <v>110</v>
      </c>
      <c r="D373" s="12">
        <v>45577</v>
      </c>
      <c r="K373">
        <v>96.791611804985322</v>
      </c>
      <c r="N373">
        <v>118.75</v>
      </c>
      <c r="O373">
        <v>118.75</v>
      </c>
      <c r="P373">
        <v>86.709195092363984</v>
      </c>
      <c r="T373">
        <v>5.5370003785949968E-3</v>
      </c>
      <c r="U373">
        <v>0</v>
      </c>
      <c r="V373">
        <v>0.11176996214579533</v>
      </c>
      <c r="W373">
        <v>0</v>
      </c>
      <c r="X373">
        <v>3.8582364310320978E-2</v>
      </c>
      <c r="Y373">
        <v>0</v>
      </c>
      <c r="Z373">
        <v>2.2247497175964265E-2</v>
      </c>
      <c r="AA373">
        <v>0</v>
      </c>
      <c r="AB373">
        <v>0.1471908908138812</v>
      </c>
      <c r="AC373">
        <v>1.2471464991604305E-2</v>
      </c>
      <c r="AD373">
        <v>8.0456737450153942E-2</v>
      </c>
      <c r="AE373">
        <v>0</v>
      </c>
      <c r="AF373">
        <v>9.0076348373629531E-2</v>
      </c>
      <c r="AG373">
        <v>0</v>
      </c>
      <c r="AH373">
        <v>0.81699544918461209</v>
      </c>
      <c r="AI373">
        <v>0</v>
      </c>
      <c r="AJ373">
        <v>0</v>
      </c>
      <c r="AK373">
        <v>0</v>
      </c>
      <c r="AL373">
        <v>0</v>
      </c>
      <c r="AM373">
        <v>0</v>
      </c>
    </row>
    <row r="374" spans="1:39" hidden="1" x14ac:dyDescent="0.25">
      <c r="A374" t="s">
        <v>128</v>
      </c>
      <c r="C374" t="s">
        <v>110</v>
      </c>
      <c r="D374" s="12">
        <v>45578</v>
      </c>
      <c r="K374">
        <v>96.791611804985322</v>
      </c>
      <c r="N374">
        <v>105.45</v>
      </c>
      <c r="O374">
        <v>105.45</v>
      </c>
      <c r="P374">
        <v>85.279921400304119</v>
      </c>
      <c r="T374">
        <v>2.3407017189621626E-2</v>
      </c>
      <c r="U374">
        <v>0</v>
      </c>
      <c r="V374">
        <v>2.6863695218381556E-2</v>
      </c>
      <c r="W374">
        <v>0</v>
      </c>
      <c r="X374">
        <v>3.0750886186973015E-2</v>
      </c>
      <c r="Y374">
        <v>0</v>
      </c>
      <c r="Z374">
        <v>1.7824335641607549E-2</v>
      </c>
      <c r="AA374">
        <v>0</v>
      </c>
      <c r="AB374">
        <v>9.2197876662952108E-2</v>
      </c>
      <c r="AC374">
        <v>1.7140885986724527E-2</v>
      </c>
      <c r="AD374">
        <v>5.0710523278158427E-2</v>
      </c>
      <c r="AE374">
        <v>0</v>
      </c>
      <c r="AF374">
        <v>0.14020444338048033</v>
      </c>
      <c r="AG374">
        <v>0</v>
      </c>
      <c r="AH374">
        <v>0.78161267356933806</v>
      </c>
      <c r="AI374">
        <v>0</v>
      </c>
      <c r="AJ374">
        <v>0</v>
      </c>
      <c r="AK374">
        <v>0</v>
      </c>
      <c r="AL374">
        <v>1.0331473785298554E-2</v>
      </c>
      <c r="AM374">
        <v>0</v>
      </c>
    </row>
    <row r="375" spans="1:39" hidden="1" x14ac:dyDescent="0.25">
      <c r="A375" t="s">
        <v>128</v>
      </c>
      <c r="C375" t="s">
        <v>110</v>
      </c>
      <c r="D375" s="12">
        <v>45579</v>
      </c>
      <c r="K375">
        <v>96.791611804985322</v>
      </c>
      <c r="N375">
        <v>111.14999999999999</v>
      </c>
      <c r="O375">
        <v>111.14999999999999</v>
      </c>
      <c r="P375">
        <v>79.431239165235397</v>
      </c>
      <c r="T375">
        <v>2.4306259823410857E-3</v>
      </c>
      <c r="U375">
        <v>0</v>
      </c>
      <c r="V375">
        <v>0.11789085546143559</v>
      </c>
      <c r="W375">
        <v>0</v>
      </c>
      <c r="X375">
        <v>3.348665125585442E-2</v>
      </c>
      <c r="Y375">
        <v>0</v>
      </c>
      <c r="Z375">
        <v>2.0502242225797114E-2</v>
      </c>
      <c r="AA375">
        <v>0</v>
      </c>
      <c r="AB375">
        <v>0.11167153154727617</v>
      </c>
      <c r="AC375">
        <v>1.2241090444653579E-2</v>
      </c>
      <c r="AD375">
        <v>0.11263540502447666</v>
      </c>
      <c r="AE375">
        <v>0</v>
      </c>
      <c r="AF375">
        <v>0.12314234927010631</v>
      </c>
      <c r="AG375">
        <v>0</v>
      </c>
      <c r="AH375">
        <v>0.74164968147546462</v>
      </c>
      <c r="AI375">
        <v>0</v>
      </c>
      <c r="AJ375">
        <v>0</v>
      </c>
      <c r="AK375">
        <v>0</v>
      </c>
      <c r="AL375">
        <v>1.0331473785298554E-2</v>
      </c>
      <c r="AM375">
        <v>0</v>
      </c>
    </row>
    <row r="376" spans="1:39" hidden="1" x14ac:dyDescent="0.25">
      <c r="A376" t="s">
        <v>128</v>
      </c>
      <c r="C376" t="s">
        <v>110</v>
      </c>
      <c r="D376" s="12">
        <v>45580</v>
      </c>
      <c r="K376">
        <v>96.791611804985308</v>
      </c>
      <c r="N376">
        <v>110.19999999999997</v>
      </c>
      <c r="O376">
        <v>110.19999999999997</v>
      </c>
      <c r="P376">
        <v>80.253709164207336</v>
      </c>
      <c r="T376">
        <v>4.2009503101681986E-3</v>
      </c>
      <c r="U376">
        <v>0</v>
      </c>
      <c r="V376">
        <v>5.5989853766667062E-2</v>
      </c>
      <c r="W376">
        <v>0</v>
      </c>
      <c r="X376">
        <v>4.0301514181724937E-2</v>
      </c>
      <c r="Y376">
        <v>0</v>
      </c>
      <c r="Z376">
        <v>2.2531106260266602E-2</v>
      </c>
      <c r="AA376">
        <v>0</v>
      </c>
      <c r="AB376">
        <v>0.12420437127654363</v>
      </c>
      <c r="AC376">
        <v>3.0036024046571981E-3</v>
      </c>
      <c r="AD376">
        <v>0.10149483194064414</v>
      </c>
      <c r="AE376">
        <v>0</v>
      </c>
      <c r="AF376">
        <v>0.136399646408533</v>
      </c>
      <c r="AG376">
        <v>0</v>
      </c>
      <c r="AH376">
        <v>0.75910191924616555</v>
      </c>
      <c r="AI376">
        <v>0</v>
      </c>
      <c r="AJ376">
        <v>0</v>
      </c>
      <c r="AK376">
        <v>0</v>
      </c>
      <c r="AL376">
        <v>0</v>
      </c>
      <c r="AM376">
        <v>0</v>
      </c>
    </row>
    <row r="377" spans="1:39" hidden="1" x14ac:dyDescent="0.25">
      <c r="A377" t="s">
        <v>128</v>
      </c>
      <c r="C377" t="s">
        <v>110</v>
      </c>
      <c r="D377" s="12">
        <v>45581</v>
      </c>
      <c r="K377">
        <v>96.791611804985322</v>
      </c>
      <c r="N377">
        <v>109.25000000000001</v>
      </c>
      <c r="O377">
        <v>109.25000000000001</v>
      </c>
      <c r="P377">
        <v>78.202509249229109</v>
      </c>
      <c r="T377">
        <v>1.5237184514701137E-2</v>
      </c>
      <c r="U377">
        <v>0</v>
      </c>
      <c r="V377">
        <v>7.7139424511474597E-2</v>
      </c>
      <c r="W377">
        <v>0</v>
      </c>
      <c r="X377">
        <v>2.2247260077302353E-2</v>
      </c>
      <c r="Y377">
        <v>0</v>
      </c>
      <c r="Z377">
        <v>1.4507571428574605E-2</v>
      </c>
      <c r="AA377">
        <v>0</v>
      </c>
      <c r="AB377">
        <v>0.13093606603212646</v>
      </c>
      <c r="AC377">
        <v>3.5696537184930904E-3</v>
      </c>
      <c r="AD377">
        <v>0.11254715728711766</v>
      </c>
      <c r="AE377">
        <v>0</v>
      </c>
      <c r="AF377">
        <v>0.13149768448048199</v>
      </c>
      <c r="AG377">
        <v>0</v>
      </c>
      <c r="AH377">
        <v>0.75238550451390707</v>
      </c>
      <c r="AI377">
        <v>0</v>
      </c>
      <c r="AJ377">
        <v>0</v>
      </c>
      <c r="AK377">
        <v>0</v>
      </c>
      <c r="AL377">
        <v>0</v>
      </c>
      <c r="AM377">
        <v>0</v>
      </c>
    </row>
    <row r="378" spans="1:39" hidden="1" x14ac:dyDescent="0.25">
      <c r="A378" t="s">
        <v>128</v>
      </c>
      <c r="C378" t="s">
        <v>110</v>
      </c>
      <c r="D378" s="12">
        <v>45582</v>
      </c>
      <c r="K378">
        <v>96.791611804985308</v>
      </c>
      <c r="N378">
        <v>103.55000000000003</v>
      </c>
      <c r="O378">
        <v>103.55000000000003</v>
      </c>
      <c r="P378">
        <v>89.172075014745587</v>
      </c>
      <c r="T378">
        <v>2.4351451617335193E-2</v>
      </c>
      <c r="U378">
        <v>0</v>
      </c>
      <c r="V378">
        <v>5.263151617892925E-2</v>
      </c>
      <c r="W378">
        <v>0</v>
      </c>
      <c r="X378">
        <v>2.7953929714348749E-2</v>
      </c>
      <c r="Y378">
        <v>0</v>
      </c>
      <c r="Z378">
        <v>2.7967916556363548E-2</v>
      </c>
      <c r="AA378">
        <v>0</v>
      </c>
      <c r="AB378">
        <v>0.10613208428806302</v>
      </c>
      <c r="AC378">
        <v>3.957371497006841E-2</v>
      </c>
      <c r="AD378">
        <v>9.4956147514672129E-2</v>
      </c>
      <c r="AE378">
        <v>0</v>
      </c>
      <c r="AF378">
        <v>6.4038194977855151E-2</v>
      </c>
      <c r="AG378">
        <v>0</v>
      </c>
      <c r="AH378">
        <v>0.79110046875210571</v>
      </c>
      <c r="AI378">
        <v>0</v>
      </c>
      <c r="AJ378">
        <v>0</v>
      </c>
      <c r="AK378">
        <v>0</v>
      </c>
      <c r="AL378">
        <v>1.0331473785298556E-2</v>
      </c>
      <c r="AM378">
        <v>0</v>
      </c>
    </row>
    <row r="379" spans="1:39" hidden="1" x14ac:dyDescent="0.25">
      <c r="A379" t="s">
        <v>128</v>
      </c>
      <c r="C379" t="s">
        <v>110</v>
      </c>
      <c r="D379" s="12">
        <v>45583</v>
      </c>
      <c r="K379">
        <v>96.791611804985322</v>
      </c>
      <c r="N379">
        <v>109.24999999999997</v>
      </c>
      <c r="O379">
        <v>109.24999999999997</v>
      </c>
      <c r="P379">
        <v>86.895006329096177</v>
      </c>
      <c r="T379">
        <v>5.9316979620952738E-3</v>
      </c>
      <c r="U379">
        <v>0</v>
      </c>
      <c r="V379">
        <v>8.3756475614846393E-2</v>
      </c>
      <c r="W379">
        <v>0</v>
      </c>
      <c r="X379">
        <v>4.0301514181724937E-2</v>
      </c>
      <c r="Y379">
        <v>0</v>
      </c>
      <c r="Z379">
        <v>2.127222920239407E-2</v>
      </c>
      <c r="AA379">
        <v>0</v>
      </c>
      <c r="AB379">
        <v>0.10751152658227039</v>
      </c>
      <c r="AC379">
        <v>1.7179332368167929E-2</v>
      </c>
      <c r="AD379">
        <v>9.6617428383902096E-2</v>
      </c>
      <c r="AE379">
        <v>0</v>
      </c>
      <c r="AF379">
        <v>7.3134532999902954E-2</v>
      </c>
      <c r="AG379">
        <v>0</v>
      </c>
      <c r="AH379">
        <v>0.80273723246272821</v>
      </c>
      <c r="AI379">
        <v>0</v>
      </c>
      <c r="AJ379">
        <v>0</v>
      </c>
      <c r="AK379">
        <v>0</v>
      </c>
      <c r="AL379">
        <v>1.0331473785298554E-2</v>
      </c>
      <c r="AM379">
        <v>0</v>
      </c>
    </row>
    <row r="380" spans="1:39" hidden="1" x14ac:dyDescent="0.25">
      <c r="A380" t="s">
        <v>128</v>
      </c>
      <c r="C380" t="s">
        <v>110</v>
      </c>
      <c r="D380" s="12">
        <v>45584</v>
      </c>
      <c r="K380">
        <v>96.791611804985308</v>
      </c>
      <c r="N380">
        <v>113.99999999999999</v>
      </c>
      <c r="O380">
        <v>113.99999999999999</v>
      </c>
      <c r="P380">
        <v>89.721336685715599</v>
      </c>
      <c r="T380">
        <v>1.4272594734170498E-2</v>
      </c>
      <c r="U380">
        <v>0</v>
      </c>
      <c r="V380">
        <v>6.7824972468179742E-2</v>
      </c>
      <c r="W380">
        <v>0</v>
      </c>
      <c r="X380">
        <v>3.0750886186973019E-2</v>
      </c>
      <c r="Y380">
        <v>0</v>
      </c>
      <c r="Z380">
        <v>2.2855230928040673E-2</v>
      </c>
      <c r="AA380">
        <v>0</v>
      </c>
      <c r="AB380">
        <v>0.15034028116643713</v>
      </c>
      <c r="AC380">
        <v>1.7860958402063528E-2</v>
      </c>
      <c r="AD380">
        <v>7.6122400823531625E-2</v>
      </c>
      <c r="AE380">
        <v>0</v>
      </c>
      <c r="AF380">
        <v>6.4802673075236003E-2</v>
      </c>
      <c r="AG380">
        <v>0</v>
      </c>
      <c r="AH380">
        <v>0.8412139676991689</v>
      </c>
      <c r="AI380">
        <v>0</v>
      </c>
      <c r="AJ380">
        <v>0</v>
      </c>
      <c r="AK380">
        <v>0</v>
      </c>
      <c r="AL380">
        <v>0</v>
      </c>
      <c r="AM380">
        <v>0</v>
      </c>
    </row>
    <row r="381" spans="1:39" hidden="1" x14ac:dyDescent="0.25">
      <c r="A381" t="s">
        <v>128</v>
      </c>
      <c r="C381" t="s">
        <v>110</v>
      </c>
      <c r="D381" s="12">
        <v>45585</v>
      </c>
      <c r="K381">
        <v>96.791611804985308</v>
      </c>
      <c r="N381">
        <v>112.1</v>
      </c>
      <c r="O381">
        <v>112.1</v>
      </c>
      <c r="P381">
        <v>89.527195006827611</v>
      </c>
      <c r="T381">
        <v>1.2815815699089588E-2</v>
      </c>
      <c r="U381">
        <v>0</v>
      </c>
      <c r="V381">
        <v>5.2396637861786312E-2</v>
      </c>
      <c r="W381">
        <v>0</v>
      </c>
      <c r="X381">
        <v>3.0750886186973019E-2</v>
      </c>
      <c r="Y381">
        <v>0</v>
      </c>
      <c r="Z381">
        <v>2.0764156550732604E-2</v>
      </c>
      <c r="AA381">
        <v>0</v>
      </c>
      <c r="AB381">
        <v>0.14506441960656077</v>
      </c>
      <c r="AC381">
        <v>9.356117534121319E-3</v>
      </c>
      <c r="AD381">
        <v>8.1461771339963171E-2</v>
      </c>
      <c r="AE381">
        <v>0</v>
      </c>
      <c r="AF381">
        <v>5.7921218812480565E-2</v>
      </c>
      <c r="AG381">
        <v>0</v>
      </c>
      <c r="AH381">
        <v>0.85126089231343494</v>
      </c>
      <c r="AI381">
        <v>0</v>
      </c>
      <c r="AJ381">
        <v>0</v>
      </c>
      <c r="AK381">
        <v>0</v>
      </c>
      <c r="AL381">
        <v>0</v>
      </c>
      <c r="AM381">
        <v>0</v>
      </c>
    </row>
    <row r="382" spans="1:39" hidden="1" x14ac:dyDescent="0.25">
      <c r="A382" t="s">
        <v>128</v>
      </c>
      <c r="C382" t="s">
        <v>115</v>
      </c>
      <c r="D382" s="12"/>
      <c r="K382">
        <v>1355.0825652697931</v>
      </c>
      <c r="N382">
        <v>1538.0499999999995</v>
      </c>
      <c r="O382">
        <v>1538.0499999999995</v>
      </c>
      <c r="P382">
        <v>1187.9201499918349</v>
      </c>
      <c r="T382">
        <v>1.1858781185193177E-2</v>
      </c>
      <c r="U382">
        <v>0</v>
      </c>
      <c r="V382">
        <v>7.636665320112701E-2</v>
      </c>
      <c r="W382">
        <v>0</v>
      </c>
      <c r="X382">
        <v>3.3073345331227064E-2</v>
      </c>
      <c r="Y382">
        <v>2.3533542564633072E-4</v>
      </c>
      <c r="Z382">
        <v>2.1634506688328364E-2</v>
      </c>
      <c r="AA382">
        <v>0</v>
      </c>
      <c r="AB382">
        <v>0.11904582670823373</v>
      </c>
      <c r="AC382">
        <v>1.571852887164454E-2</v>
      </c>
      <c r="AD382">
        <v>9.2737051661119216E-2</v>
      </c>
      <c r="AE382">
        <v>0</v>
      </c>
      <c r="AF382">
        <v>9.718916092444542E-2</v>
      </c>
      <c r="AG382">
        <v>0</v>
      </c>
      <c r="AH382">
        <v>0.7858427741809767</v>
      </c>
      <c r="AI382">
        <v>0</v>
      </c>
      <c r="AJ382">
        <v>0</v>
      </c>
      <c r="AK382">
        <v>0</v>
      </c>
      <c r="AL382">
        <v>6.6416617191205063E-3</v>
      </c>
      <c r="AM382">
        <v>1.8708226426942592E-3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AB9E-7BB2-4FBF-A9F1-4832F9811283}">
  <dimension ref="A1:CE382"/>
  <sheetViews>
    <sheetView topLeftCell="A4" workbookViewId="0">
      <selection activeCell="U26" sqref="U26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10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8" bestFit="1" customWidth="1"/>
    <col min="9" max="9" width="17.140625" bestFit="1" customWidth="1"/>
    <col min="10" max="10" width="29" bestFit="1" customWidth="1"/>
    <col min="11" max="11" width="8" bestFit="1" customWidth="1"/>
    <col min="12" max="12" width="8.5703125" bestFit="1" customWidth="1"/>
    <col min="13" max="13" width="16.42578125" bestFit="1" customWidth="1"/>
    <col min="14" max="17" width="12" bestFit="1" customWidth="1"/>
    <col min="18" max="18" width="30.28515625" bestFit="1" customWidth="1"/>
    <col min="19" max="19" width="20" bestFit="1" customWidth="1"/>
    <col min="20" max="20" width="17.7109375" bestFit="1" customWidth="1"/>
    <col min="21" max="21" width="30.85546875" bestFit="1" customWidth="1"/>
    <col min="22" max="22" width="28.7109375" bestFit="1" customWidth="1"/>
    <col min="23" max="23" width="33.140625" bestFit="1" customWidth="1"/>
    <col min="24" max="24" width="29.42578125" bestFit="1" customWidth="1"/>
    <col min="25" max="25" width="20.7109375" bestFit="1" customWidth="1"/>
    <col min="26" max="26" width="18.42578125" bestFit="1" customWidth="1"/>
    <col min="27" max="27" width="44.85546875" bestFit="1" customWidth="1"/>
    <col min="28" max="28" width="26.5703125" bestFit="1" customWidth="1"/>
    <col min="29" max="29" width="22" bestFit="1" customWidth="1"/>
    <col min="30" max="30" width="19.85546875" bestFit="1" customWidth="1"/>
    <col min="31" max="31" width="24.7109375" bestFit="1" customWidth="1"/>
    <col min="32" max="32" width="22.42578125" bestFit="1" customWidth="1"/>
    <col min="33" max="33" width="25.42578125" bestFit="1" customWidth="1"/>
    <col min="34" max="34" width="12.7109375" bestFit="1" customWidth="1"/>
    <col min="35" max="35" width="23.85546875" bestFit="1" customWidth="1"/>
    <col min="36" max="36" width="29.28515625" bestFit="1" customWidth="1"/>
    <col min="37" max="37" width="14.28515625" bestFit="1" customWidth="1"/>
    <col min="38" max="40" width="12" bestFit="1" customWidth="1"/>
    <col min="41" max="41" width="29.85546875" bestFit="1" customWidth="1"/>
    <col min="42" max="42" width="19.5703125" bestFit="1" customWidth="1"/>
    <col min="43" max="43" width="17.28515625" bestFit="1" customWidth="1"/>
    <col min="44" max="44" width="30.42578125" bestFit="1" customWidth="1"/>
    <col min="45" max="45" width="28.28515625" bestFit="1" customWidth="1"/>
    <col min="46" max="46" width="32.7109375" bestFit="1" customWidth="1"/>
    <col min="47" max="47" width="29" bestFit="1" customWidth="1"/>
    <col min="48" max="48" width="20.28515625" bestFit="1" customWidth="1"/>
    <col min="49" max="49" width="18" bestFit="1" customWidth="1"/>
    <col min="50" max="50" width="44.42578125" bestFit="1" customWidth="1"/>
    <col min="51" max="51" width="26.140625" bestFit="1" customWidth="1"/>
    <col min="52" max="52" width="21.5703125" bestFit="1" customWidth="1"/>
    <col min="53" max="53" width="19.28515625" bestFit="1" customWidth="1"/>
    <col min="54" max="54" width="24.28515625" bestFit="1" customWidth="1"/>
    <col min="55" max="55" width="22" bestFit="1" customWidth="1"/>
    <col min="56" max="56" width="25" bestFit="1" customWidth="1"/>
    <col min="57" max="57" width="12.28515625" bestFit="1" customWidth="1"/>
    <col min="58" max="58" width="23.28515625" bestFit="1" customWidth="1"/>
    <col min="59" max="59" width="28.42578125" bestFit="1" customWidth="1"/>
    <col min="60" max="60" width="13.85546875" bestFit="1" customWidth="1"/>
    <col min="61" max="63" width="12" bestFit="1" customWidth="1"/>
    <col min="64" max="64" width="29.85546875" bestFit="1" customWidth="1"/>
    <col min="65" max="65" width="19.5703125" bestFit="1" customWidth="1"/>
    <col min="66" max="66" width="17.28515625" bestFit="1" customWidth="1"/>
    <col min="67" max="67" width="30.42578125" bestFit="1" customWidth="1"/>
    <col min="68" max="68" width="28.28515625" bestFit="1" customWidth="1"/>
    <col min="69" max="69" width="32.7109375" bestFit="1" customWidth="1"/>
    <col min="70" max="70" width="29" bestFit="1" customWidth="1"/>
    <col min="71" max="71" width="20.28515625" bestFit="1" customWidth="1"/>
    <col min="72" max="72" width="18" bestFit="1" customWidth="1"/>
    <col min="73" max="73" width="44.42578125" bestFit="1" customWidth="1"/>
    <col min="74" max="74" width="26.140625" bestFit="1" customWidth="1"/>
    <col min="75" max="75" width="21.5703125" bestFit="1" customWidth="1"/>
    <col min="76" max="76" width="19.28515625" bestFit="1" customWidth="1"/>
    <col min="77" max="77" width="24.28515625" bestFit="1" customWidth="1"/>
    <col min="78" max="78" width="22" bestFit="1" customWidth="1"/>
    <col min="79" max="79" width="25" bestFit="1" customWidth="1"/>
    <col min="80" max="80" width="12.28515625" bestFit="1" customWidth="1"/>
    <col min="81" max="81" width="23.28515625" bestFit="1" customWidth="1"/>
    <col min="82" max="82" width="28.42578125" bestFit="1" customWidth="1"/>
    <col min="83" max="84" width="13.85546875" customWidth="1"/>
    <col min="85" max="85" width="17" bestFit="1" customWidth="1"/>
  </cols>
  <sheetData>
    <row r="1" spans="1:83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101</v>
      </c>
      <c r="G1" t="s">
        <v>2</v>
      </c>
      <c r="H1" t="s">
        <v>3</v>
      </c>
      <c r="I1" t="s">
        <v>112</v>
      </c>
      <c r="J1" t="s">
        <v>129</v>
      </c>
      <c r="K1" t="s">
        <v>4</v>
      </c>
      <c r="L1" t="s">
        <v>180</v>
      </c>
      <c r="M1" t="s">
        <v>113</v>
      </c>
      <c r="N1" t="s">
        <v>5</v>
      </c>
      <c r="O1" t="s">
        <v>131</v>
      </c>
      <c r="P1" t="s">
        <v>132</v>
      </c>
      <c r="Q1" t="s">
        <v>133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48</v>
      </c>
      <c r="BI1" t="s">
        <v>49</v>
      </c>
      <c r="BJ1" t="s">
        <v>50</v>
      </c>
      <c r="BK1" t="s">
        <v>51</v>
      </c>
      <c r="BL1" t="s">
        <v>52</v>
      </c>
      <c r="BM1" t="s">
        <v>53</v>
      </c>
      <c r="BN1" t="s">
        <v>54</v>
      </c>
      <c r="BO1" t="s">
        <v>55</v>
      </c>
      <c r="BP1" t="s">
        <v>56</v>
      </c>
      <c r="BQ1" t="s">
        <v>57</v>
      </c>
      <c r="BR1" t="s">
        <v>58</v>
      </c>
      <c r="BS1" t="s">
        <v>59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69</v>
      </c>
      <c r="CD1" t="s">
        <v>70</v>
      </c>
      <c r="CE1" t="s">
        <v>71</v>
      </c>
    </row>
    <row r="2" spans="1:83" x14ac:dyDescent="0.25">
      <c r="A2" t="s">
        <v>128</v>
      </c>
      <c r="B2" t="s">
        <v>134</v>
      </c>
      <c r="C2" t="s">
        <v>72</v>
      </c>
      <c r="D2" s="12">
        <v>45572</v>
      </c>
      <c r="E2" t="s">
        <v>135</v>
      </c>
      <c r="F2" t="s">
        <v>73</v>
      </c>
      <c r="G2">
        <v>14.310060866451844</v>
      </c>
      <c r="H2">
        <v>13.3</v>
      </c>
      <c r="I2">
        <v>10</v>
      </c>
      <c r="J2">
        <v>1</v>
      </c>
      <c r="K2">
        <v>13.3</v>
      </c>
      <c r="L2">
        <v>45572</v>
      </c>
      <c r="M2" t="s">
        <v>136</v>
      </c>
      <c r="N2">
        <v>13.775401069518708</v>
      </c>
      <c r="O2">
        <v>0.92941603282626095</v>
      </c>
      <c r="P2">
        <v>0.92941603282626095</v>
      </c>
      <c r="Q2">
        <v>0.96263748967088048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3.3221456844619524E-2</v>
      </c>
      <c r="AB2">
        <v>3.7362510329119525E-2</v>
      </c>
      <c r="AC2">
        <v>0</v>
      </c>
      <c r="AD2">
        <v>0</v>
      </c>
      <c r="AE2">
        <v>0</v>
      </c>
      <c r="AF2">
        <v>0.92941603282626095</v>
      </c>
      <c r="AG2">
        <v>0</v>
      </c>
      <c r="AH2">
        <v>0</v>
      </c>
      <c r="AI2">
        <v>0</v>
      </c>
      <c r="AJ2">
        <v>0</v>
      </c>
      <c r="AK2">
        <v>0</v>
      </c>
      <c r="AL2">
        <v>1.075944426049011</v>
      </c>
      <c r="AM2">
        <v>1.075944426049011</v>
      </c>
      <c r="AN2">
        <v>1.0357444413171961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3.5744441317196118E-2</v>
      </c>
      <c r="AV2">
        <v>0</v>
      </c>
      <c r="AW2">
        <v>4.0199984731814853E-2</v>
      </c>
      <c r="AX2">
        <v>0</v>
      </c>
      <c r="AY2">
        <v>0</v>
      </c>
      <c r="AZ2">
        <v>0</v>
      </c>
      <c r="BA2">
        <v>0</v>
      </c>
      <c r="BB2">
        <v>0</v>
      </c>
      <c r="BC2">
        <v>1</v>
      </c>
      <c r="BD2">
        <v>0</v>
      </c>
      <c r="BE2">
        <v>0</v>
      </c>
      <c r="BF2">
        <v>0</v>
      </c>
      <c r="BG2">
        <v>0</v>
      </c>
      <c r="BH2">
        <v>0</v>
      </c>
      <c r="BI2">
        <v>0.96548913043478313</v>
      </c>
      <c r="BJ2">
        <v>0.96548913043478313</v>
      </c>
      <c r="BK2">
        <v>1.0388126483022113</v>
      </c>
      <c r="BL2">
        <v>3.8812648302211317E-2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7.0583967173739048E-2</v>
      </c>
      <c r="BV2">
        <v>0</v>
      </c>
      <c r="BW2">
        <v>0</v>
      </c>
      <c r="BX2">
        <v>0</v>
      </c>
      <c r="BY2">
        <v>0</v>
      </c>
      <c r="BZ2">
        <v>0.96548913043478313</v>
      </c>
      <c r="CA2">
        <v>0</v>
      </c>
      <c r="CB2">
        <v>0</v>
      </c>
      <c r="CC2">
        <v>0</v>
      </c>
      <c r="CD2">
        <v>0</v>
      </c>
      <c r="CE2">
        <v>0</v>
      </c>
    </row>
    <row r="3" spans="1:83" x14ac:dyDescent="0.25">
      <c r="A3" t="s">
        <v>128</v>
      </c>
      <c r="B3" t="s">
        <v>181</v>
      </c>
      <c r="C3" t="s">
        <v>72</v>
      </c>
      <c r="D3" s="12">
        <v>45572</v>
      </c>
      <c r="E3" t="s">
        <v>135</v>
      </c>
      <c r="F3" t="s">
        <v>73</v>
      </c>
      <c r="G3">
        <v>14.129216521561023</v>
      </c>
      <c r="H3">
        <v>22.799999999999997</v>
      </c>
      <c r="I3">
        <v>10</v>
      </c>
      <c r="K3">
        <v>22.799999999999997</v>
      </c>
      <c r="L3">
        <v>45572</v>
      </c>
      <c r="M3" t="s">
        <v>136</v>
      </c>
      <c r="N3">
        <v>12.620833333333332</v>
      </c>
      <c r="O3">
        <v>1.6136775853924707</v>
      </c>
      <c r="P3">
        <v>1.6136775853924707</v>
      </c>
      <c r="Q3">
        <v>0.89324367802518168</v>
      </c>
      <c r="R3">
        <v>0</v>
      </c>
      <c r="S3">
        <v>0</v>
      </c>
      <c r="T3">
        <v>0.36367758539247075</v>
      </c>
      <c r="U3">
        <v>0</v>
      </c>
      <c r="V3">
        <v>0</v>
      </c>
      <c r="W3">
        <v>0</v>
      </c>
      <c r="X3">
        <v>0</v>
      </c>
      <c r="Y3">
        <v>0</v>
      </c>
      <c r="Z3">
        <v>0.25</v>
      </c>
      <c r="AA3">
        <v>0</v>
      </c>
      <c r="AB3">
        <v>0</v>
      </c>
      <c r="AC3">
        <v>0</v>
      </c>
      <c r="AD3">
        <v>0.10675632197481832</v>
      </c>
      <c r="AE3">
        <v>0</v>
      </c>
      <c r="AF3">
        <v>0.89324367802518168</v>
      </c>
      <c r="AG3">
        <v>0</v>
      </c>
      <c r="AH3">
        <v>0</v>
      </c>
      <c r="AI3">
        <v>0</v>
      </c>
      <c r="AJ3">
        <v>0</v>
      </c>
      <c r="AK3">
        <v>0</v>
      </c>
      <c r="AL3">
        <v>0.61970247901583442</v>
      </c>
      <c r="AM3">
        <v>0.61970247901583442</v>
      </c>
      <c r="AN3">
        <v>0.55354532163742687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0.38029752098416558</v>
      </c>
      <c r="AZ3">
        <v>0</v>
      </c>
      <c r="BA3">
        <v>6.615715737840755E-2</v>
      </c>
      <c r="BB3">
        <v>0</v>
      </c>
      <c r="BC3">
        <v>0.55354532163742687</v>
      </c>
      <c r="BD3">
        <v>0</v>
      </c>
      <c r="BE3">
        <v>0</v>
      </c>
      <c r="BF3">
        <v>0</v>
      </c>
      <c r="BG3">
        <v>0</v>
      </c>
      <c r="BH3">
        <v>0</v>
      </c>
      <c r="BI3">
        <v>1.8065368108286564</v>
      </c>
      <c r="BJ3">
        <v>1.8065368108286564</v>
      </c>
      <c r="BK3">
        <v>1.1195153401038778</v>
      </c>
      <c r="CB3">
        <v>0</v>
      </c>
      <c r="CC3">
        <v>0</v>
      </c>
      <c r="CD3">
        <v>0</v>
      </c>
    </row>
    <row r="4" spans="1:83" x14ac:dyDescent="0.25">
      <c r="A4" t="s">
        <v>128</v>
      </c>
      <c r="B4" t="s">
        <v>134</v>
      </c>
      <c r="C4" t="s">
        <v>72</v>
      </c>
      <c r="D4" s="12">
        <v>45572</v>
      </c>
      <c r="E4" t="s">
        <v>135</v>
      </c>
      <c r="F4" t="s">
        <v>74</v>
      </c>
      <c r="G4">
        <v>5.3662728249194425</v>
      </c>
      <c r="H4">
        <v>5.6999999999999993</v>
      </c>
      <c r="I4">
        <v>10</v>
      </c>
      <c r="J4">
        <v>1</v>
      </c>
      <c r="K4">
        <v>5.6999999999999993</v>
      </c>
      <c r="L4">
        <v>45572</v>
      </c>
      <c r="M4" t="s">
        <v>137</v>
      </c>
      <c r="N4">
        <v>5.7943977591036422</v>
      </c>
      <c r="O4">
        <v>1.0621897518014409</v>
      </c>
      <c r="P4">
        <v>1.0621897518014409</v>
      </c>
      <c r="Q4">
        <v>1.0797806872949338</v>
      </c>
      <c r="R4">
        <v>1.7590935493492887E-2</v>
      </c>
      <c r="S4">
        <v>0</v>
      </c>
      <c r="T4">
        <v>0</v>
      </c>
      <c r="U4">
        <v>0</v>
      </c>
      <c r="V4">
        <v>0</v>
      </c>
      <c r="W4">
        <v>0</v>
      </c>
      <c r="X4">
        <v>6.2189751801440929E-2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1</v>
      </c>
      <c r="AG4">
        <v>0</v>
      </c>
      <c r="AH4">
        <v>0</v>
      </c>
      <c r="AI4">
        <v>0</v>
      </c>
      <c r="AJ4">
        <v>0</v>
      </c>
      <c r="AK4">
        <v>0</v>
      </c>
      <c r="AL4">
        <v>0.94145137279288471</v>
      </c>
      <c r="AM4">
        <v>0.94145137279288471</v>
      </c>
      <c r="AN4">
        <v>1.0165610103690601</v>
      </c>
      <c r="AO4">
        <v>1.6561010369060103E-2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0.94145137279288471</v>
      </c>
      <c r="BD4">
        <v>0</v>
      </c>
      <c r="BE4">
        <v>0</v>
      </c>
      <c r="BF4">
        <v>0</v>
      </c>
      <c r="BG4">
        <v>0</v>
      </c>
      <c r="BH4">
        <v>0</v>
      </c>
      <c r="BI4">
        <v>0.9837087885526441</v>
      </c>
      <c r="BJ4">
        <v>0.9837087885526441</v>
      </c>
      <c r="BK4">
        <v>0.9261139894113124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1.6291211447355902E-2</v>
      </c>
      <c r="BW4">
        <v>0</v>
      </c>
      <c r="BX4">
        <v>5.7594799141331698E-2</v>
      </c>
      <c r="BY4">
        <v>0</v>
      </c>
      <c r="BZ4">
        <v>0.9261139894113124</v>
      </c>
      <c r="CA4">
        <v>0</v>
      </c>
      <c r="CB4">
        <v>0</v>
      </c>
      <c r="CC4">
        <v>0</v>
      </c>
      <c r="CD4">
        <v>0</v>
      </c>
      <c r="CE4">
        <v>0</v>
      </c>
    </row>
    <row r="5" spans="1:83" x14ac:dyDescent="0.25">
      <c r="A5" t="s">
        <v>128</v>
      </c>
      <c r="B5" t="s">
        <v>181</v>
      </c>
      <c r="C5" t="s">
        <v>72</v>
      </c>
      <c r="D5" s="12">
        <v>45572</v>
      </c>
      <c r="E5" t="s">
        <v>135</v>
      </c>
      <c r="F5" t="s">
        <v>74</v>
      </c>
      <c r="G5">
        <v>3.5111676249447159</v>
      </c>
      <c r="H5">
        <v>9.5</v>
      </c>
      <c r="I5">
        <v>10</v>
      </c>
      <c r="K5">
        <v>9.5</v>
      </c>
      <c r="L5">
        <v>45572</v>
      </c>
      <c r="M5" t="s">
        <v>137</v>
      </c>
      <c r="N5">
        <v>6.7878787878787872</v>
      </c>
      <c r="O5">
        <v>2.7056526531254912</v>
      </c>
      <c r="P5">
        <v>2.7056526531254912</v>
      </c>
      <c r="Q5">
        <v>1.9332255001598404</v>
      </c>
      <c r="R5">
        <v>0</v>
      </c>
      <c r="S5">
        <v>0</v>
      </c>
      <c r="T5">
        <v>0.77242715296565079</v>
      </c>
      <c r="U5">
        <v>0</v>
      </c>
      <c r="V5">
        <v>0.6832255001598404</v>
      </c>
      <c r="W5">
        <v>0</v>
      </c>
      <c r="X5">
        <v>0.25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1</v>
      </c>
      <c r="AG5">
        <v>0</v>
      </c>
      <c r="AH5">
        <v>0</v>
      </c>
      <c r="AI5">
        <v>0</v>
      </c>
      <c r="AJ5">
        <v>0</v>
      </c>
      <c r="AK5">
        <v>0</v>
      </c>
      <c r="AL5">
        <v>0.36959659209944379</v>
      </c>
      <c r="AM5">
        <v>0.36959659209944379</v>
      </c>
      <c r="AN5">
        <v>0.71451355661881966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0.28548644338118034</v>
      </c>
      <c r="AZ5">
        <v>0</v>
      </c>
      <c r="BA5">
        <v>0</v>
      </c>
      <c r="BB5">
        <v>0</v>
      </c>
      <c r="BC5">
        <v>0.36959659209944379</v>
      </c>
      <c r="BD5">
        <v>0</v>
      </c>
      <c r="BE5">
        <v>0</v>
      </c>
      <c r="BF5">
        <v>0</v>
      </c>
      <c r="BG5">
        <v>0</v>
      </c>
      <c r="BH5">
        <v>0</v>
      </c>
      <c r="BI5">
        <v>1.3995535714285716</v>
      </c>
      <c r="BJ5">
        <v>1.3995535714285716</v>
      </c>
      <c r="BK5">
        <v>0.5172702304606055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0.39955357142857162</v>
      </c>
      <c r="BU5">
        <v>0</v>
      </c>
      <c r="BV5">
        <v>0</v>
      </c>
      <c r="BW5">
        <v>0</v>
      </c>
      <c r="BX5">
        <v>0.4827297695393945</v>
      </c>
      <c r="BY5">
        <v>0</v>
      </c>
      <c r="BZ5">
        <v>0.5172702304606055</v>
      </c>
      <c r="CA5">
        <v>0</v>
      </c>
      <c r="CB5">
        <v>0</v>
      </c>
      <c r="CC5">
        <v>0</v>
      </c>
      <c r="CD5">
        <v>0</v>
      </c>
      <c r="CE5">
        <v>0</v>
      </c>
    </row>
    <row r="6" spans="1:83" x14ac:dyDescent="0.25">
      <c r="A6" t="s">
        <v>128</v>
      </c>
      <c r="B6" t="s">
        <v>134</v>
      </c>
      <c r="C6" t="s">
        <v>72</v>
      </c>
      <c r="D6" s="12">
        <v>45572</v>
      </c>
      <c r="E6" t="s">
        <v>135</v>
      </c>
      <c r="F6" t="s">
        <v>75</v>
      </c>
      <c r="G6">
        <v>11.626924453992126</v>
      </c>
      <c r="H6">
        <v>16.149999999999999</v>
      </c>
      <c r="I6">
        <v>10</v>
      </c>
      <c r="J6">
        <v>1</v>
      </c>
      <c r="K6">
        <v>16.149999999999999</v>
      </c>
      <c r="L6">
        <v>45572</v>
      </c>
      <c r="M6" t="s">
        <v>138</v>
      </c>
      <c r="N6">
        <v>10.301555104800538</v>
      </c>
      <c r="O6">
        <v>1.3890173677403457</v>
      </c>
      <c r="P6">
        <v>1.3890173677403457</v>
      </c>
      <c r="Q6">
        <v>0.8860086040434777</v>
      </c>
      <c r="R6">
        <v>0</v>
      </c>
      <c r="S6">
        <v>0</v>
      </c>
      <c r="T6">
        <v>0.13901736774034568</v>
      </c>
      <c r="U6">
        <v>0</v>
      </c>
      <c r="V6">
        <v>0</v>
      </c>
      <c r="W6">
        <v>0</v>
      </c>
      <c r="X6">
        <v>0</v>
      </c>
      <c r="Y6">
        <v>0</v>
      </c>
      <c r="Z6">
        <v>0.25</v>
      </c>
      <c r="AA6">
        <v>0</v>
      </c>
      <c r="AB6">
        <v>0</v>
      </c>
      <c r="AC6">
        <v>0</v>
      </c>
      <c r="AD6">
        <v>0.1139913959565223</v>
      </c>
      <c r="AE6">
        <v>0</v>
      </c>
      <c r="AF6">
        <v>0.8860086040434777</v>
      </c>
      <c r="AG6">
        <v>0</v>
      </c>
      <c r="AH6">
        <v>0</v>
      </c>
      <c r="AI6">
        <v>0</v>
      </c>
      <c r="AJ6">
        <v>0</v>
      </c>
      <c r="AK6">
        <v>0</v>
      </c>
      <c r="AL6">
        <v>0.71993340272397077</v>
      </c>
      <c r="AM6">
        <v>0.71993340272397077</v>
      </c>
      <c r="AN6">
        <v>0.63786718915173624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0.28006659727602923</v>
      </c>
      <c r="AZ6">
        <v>0</v>
      </c>
      <c r="BA6">
        <v>8.2066213572234536E-2</v>
      </c>
      <c r="BB6">
        <v>0</v>
      </c>
      <c r="BC6">
        <v>0.63786718915173624</v>
      </c>
      <c r="BD6">
        <v>0</v>
      </c>
      <c r="BE6">
        <v>0</v>
      </c>
      <c r="BF6">
        <v>0</v>
      </c>
      <c r="BG6">
        <v>0</v>
      </c>
      <c r="BH6">
        <v>0</v>
      </c>
      <c r="BI6">
        <v>1.5677244683644003</v>
      </c>
      <c r="BJ6">
        <v>1.5677244683644003</v>
      </c>
      <c r="BK6">
        <v>1.1286572110432107</v>
      </c>
      <c r="CB6">
        <v>0</v>
      </c>
      <c r="CC6">
        <v>0</v>
      </c>
      <c r="CD6">
        <v>0</v>
      </c>
    </row>
    <row r="7" spans="1:83" x14ac:dyDescent="0.25">
      <c r="A7" t="s">
        <v>128</v>
      </c>
      <c r="B7" t="s">
        <v>181</v>
      </c>
      <c r="C7" t="s">
        <v>72</v>
      </c>
      <c r="D7" s="12">
        <v>45572</v>
      </c>
      <c r="E7" t="s">
        <v>135</v>
      </c>
      <c r="F7" t="s">
        <v>75</v>
      </c>
      <c r="G7">
        <v>12.417771069086861</v>
      </c>
      <c r="H7">
        <v>10.45</v>
      </c>
      <c r="I7">
        <v>10</v>
      </c>
      <c r="K7">
        <v>10.45</v>
      </c>
      <c r="L7">
        <v>45572</v>
      </c>
      <c r="M7" t="s">
        <v>138</v>
      </c>
      <c r="N7">
        <v>10.50868983957219</v>
      </c>
      <c r="O7">
        <v>0.84153588770971266</v>
      </c>
      <c r="P7">
        <v>0.84153588770971266</v>
      </c>
      <c r="Q7">
        <v>0.84626216581917912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4.7262781094664641E-3</v>
      </c>
      <c r="AB7">
        <v>0.15373783418082088</v>
      </c>
      <c r="AC7">
        <v>0</v>
      </c>
      <c r="AD7">
        <v>0</v>
      </c>
      <c r="AE7">
        <v>0</v>
      </c>
      <c r="AF7">
        <v>0.84153588770971266</v>
      </c>
      <c r="AG7">
        <v>0</v>
      </c>
      <c r="AH7">
        <v>0</v>
      </c>
      <c r="AI7">
        <v>0</v>
      </c>
      <c r="AJ7">
        <v>0</v>
      </c>
      <c r="AK7">
        <v>0</v>
      </c>
      <c r="AL7">
        <v>1.1883034515872595</v>
      </c>
      <c r="AM7">
        <v>1.1883034515872595</v>
      </c>
      <c r="AN7">
        <v>1.0056162525906402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5.6162525906402472E-3</v>
      </c>
      <c r="AV7">
        <v>0</v>
      </c>
      <c r="AW7">
        <v>0.18268719899661923</v>
      </c>
      <c r="AX7">
        <v>0</v>
      </c>
      <c r="AY7">
        <v>0</v>
      </c>
      <c r="AZ7">
        <v>0</v>
      </c>
      <c r="BA7">
        <v>0</v>
      </c>
      <c r="BB7">
        <v>0</v>
      </c>
      <c r="BC7">
        <v>1</v>
      </c>
      <c r="BD7">
        <v>0</v>
      </c>
      <c r="BE7">
        <v>0</v>
      </c>
      <c r="BF7">
        <v>0</v>
      </c>
      <c r="BG7">
        <v>0</v>
      </c>
      <c r="BH7">
        <v>0</v>
      </c>
      <c r="BI7">
        <v>0.99441511354239565</v>
      </c>
      <c r="BJ7">
        <v>0.99441511354239565</v>
      </c>
      <c r="BK7">
        <v>1.1816669117329655</v>
      </c>
      <c r="BL7">
        <v>0.18166691173296545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0.15846411229028734</v>
      </c>
      <c r="BV7">
        <v>0</v>
      </c>
      <c r="BW7">
        <v>0</v>
      </c>
      <c r="BX7">
        <v>0</v>
      </c>
      <c r="BY7">
        <v>0</v>
      </c>
      <c r="BZ7">
        <v>0.99441511354239565</v>
      </c>
      <c r="CA7">
        <v>0</v>
      </c>
      <c r="CB7">
        <v>0</v>
      </c>
      <c r="CC7">
        <v>0</v>
      </c>
      <c r="CD7">
        <v>0</v>
      </c>
      <c r="CE7">
        <v>0</v>
      </c>
    </row>
    <row r="8" spans="1:83" x14ac:dyDescent="0.25">
      <c r="A8" t="s">
        <v>128</v>
      </c>
      <c r="B8" t="s">
        <v>134</v>
      </c>
      <c r="C8" t="s">
        <v>72</v>
      </c>
      <c r="D8" s="12">
        <v>45573</v>
      </c>
      <c r="E8" t="s">
        <v>135</v>
      </c>
      <c r="F8" t="s">
        <v>73</v>
      </c>
      <c r="G8">
        <v>14.310060866451844</v>
      </c>
      <c r="H8">
        <v>19.95</v>
      </c>
      <c r="I8">
        <v>10</v>
      </c>
      <c r="J8">
        <v>1</v>
      </c>
      <c r="K8">
        <v>19.95</v>
      </c>
      <c r="L8">
        <v>45573</v>
      </c>
      <c r="M8" t="s">
        <v>139</v>
      </c>
      <c r="N8">
        <v>12.278380443086323</v>
      </c>
      <c r="O8">
        <v>1.3941240492393916</v>
      </c>
      <c r="P8">
        <v>1.3941240492393916</v>
      </c>
      <c r="Q8">
        <v>0.85802433390562705</v>
      </c>
      <c r="R8">
        <v>0</v>
      </c>
      <c r="S8">
        <v>0</v>
      </c>
      <c r="T8">
        <v>0.14412404923939159</v>
      </c>
      <c r="U8">
        <v>0</v>
      </c>
      <c r="V8">
        <v>0</v>
      </c>
      <c r="W8">
        <v>0</v>
      </c>
      <c r="X8">
        <v>0</v>
      </c>
      <c r="Y8">
        <v>0</v>
      </c>
      <c r="Z8">
        <v>0.25</v>
      </c>
      <c r="AA8">
        <v>0</v>
      </c>
      <c r="AB8">
        <v>0</v>
      </c>
      <c r="AC8">
        <v>0</v>
      </c>
      <c r="AD8">
        <v>0.14197566609437295</v>
      </c>
      <c r="AE8">
        <v>0</v>
      </c>
      <c r="AF8">
        <v>0.85802433390562705</v>
      </c>
      <c r="AG8">
        <v>0</v>
      </c>
      <c r="AH8">
        <v>0</v>
      </c>
      <c r="AI8">
        <v>0</v>
      </c>
      <c r="AJ8">
        <v>0</v>
      </c>
      <c r="AK8">
        <v>0</v>
      </c>
      <c r="AL8">
        <v>0.71729628403267387</v>
      </c>
      <c r="AM8">
        <v>0.71729628403267387</v>
      </c>
      <c r="AN8">
        <v>0.61545766632011645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0.28270371596732613</v>
      </c>
      <c r="AZ8">
        <v>0</v>
      </c>
      <c r="BA8">
        <v>0.10183861771255742</v>
      </c>
      <c r="BB8">
        <v>0</v>
      </c>
      <c r="BC8">
        <v>0.61545766632011645</v>
      </c>
      <c r="BD8">
        <v>0</v>
      </c>
      <c r="BE8">
        <v>0</v>
      </c>
      <c r="BF8">
        <v>0</v>
      </c>
      <c r="BG8">
        <v>0</v>
      </c>
      <c r="BH8">
        <v>0</v>
      </c>
      <c r="BI8">
        <v>1.6248071227694683</v>
      </c>
      <c r="BJ8">
        <v>1.6248071227694683</v>
      </c>
      <c r="BK8">
        <v>1.1654681114323602</v>
      </c>
      <c r="CB8">
        <v>0</v>
      </c>
      <c r="CC8">
        <v>0</v>
      </c>
      <c r="CD8">
        <v>0</v>
      </c>
    </row>
    <row r="9" spans="1:83" x14ac:dyDescent="0.25">
      <c r="A9" t="s">
        <v>128</v>
      </c>
      <c r="B9" t="s">
        <v>181</v>
      </c>
      <c r="C9" t="s">
        <v>72</v>
      </c>
      <c r="D9" s="12">
        <v>45573</v>
      </c>
      <c r="E9" t="s">
        <v>135</v>
      </c>
      <c r="F9" t="s">
        <v>73</v>
      </c>
      <c r="G9">
        <v>14.129216521561023</v>
      </c>
      <c r="H9">
        <v>23.75</v>
      </c>
      <c r="I9">
        <v>10</v>
      </c>
      <c r="K9">
        <v>23.75</v>
      </c>
      <c r="L9">
        <v>45573</v>
      </c>
      <c r="M9" t="s">
        <v>139</v>
      </c>
      <c r="N9">
        <v>12.040441176470583</v>
      </c>
      <c r="O9">
        <v>1.6809141514504906</v>
      </c>
      <c r="P9">
        <v>1.6809141514504906</v>
      </c>
      <c r="Q9">
        <v>0.85216623003101466</v>
      </c>
      <c r="R9">
        <v>0</v>
      </c>
      <c r="S9">
        <v>0</v>
      </c>
      <c r="T9">
        <v>0.43091415145049061</v>
      </c>
      <c r="U9">
        <v>0</v>
      </c>
      <c r="V9">
        <v>0</v>
      </c>
      <c r="W9">
        <v>0</v>
      </c>
      <c r="X9">
        <v>0</v>
      </c>
      <c r="Y9">
        <v>0</v>
      </c>
      <c r="Z9">
        <v>0.25</v>
      </c>
      <c r="AA9">
        <v>0</v>
      </c>
      <c r="AB9">
        <v>0</v>
      </c>
      <c r="AC9">
        <v>0</v>
      </c>
      <c r="AD9">
        <v>0.14783376996898534</v>
      </c>
      <c r="AE9">
        <v>0</v>
      </c>
      <c r="AF9">
        <v>0.85216623003101466</v>
      </c>
      <c r="AG9">
        <v>0</v>
      </c>
      <c r="AH9">
        <v>0</v>
      </c>
      <c r="AI9">
        <v>0</v>
      </c>
      <c r="AJ9">
        <v>0</v>
      </c>
      <c r="AK9">
        <v>0</v>
      </c>
      <c r="AL9">
        <v>0.59491437985520101</v>
      </c>
      <c r="AM9">
        <v>0.59491437985520101</v>
      </c>
      <c r="AN9">
        <v>0.50696594427244557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0.40508562014479899</v>
      </c>
      <c r="AZ9">
        <v>0</v>
      </c>
      <c r="BA9">
        <v>8.7948435582755446E-2</v>
      </c>
      <c r="BB9">
        <v>0</v>
      </c>
      <c r="BC9">
        <v>0.50696594427244557</v>
      </c>
      <c r="BD9">
        <v>0</v>
      </c>
      <c r="BE9">
        <v>0</v>
      </c>
      <c r="BF9">
        <v>0</v>
      </c>
      <c r="BG9">
        <v>0</v>
      </c>
      <c r="BH9">
        <v>0</v>
      </c>
      <c r="BI9">
        <v>1.9725190839694664</v>
      </c>
      <c r="BJ9">
        <v>1.9725190839694664</v>
      </c>
      <c r="BK9">
        <v>1.1734799675922443</v>
      </c>
      <c r="CB9">
        <v>0</v>
      </c>
      <c r="CC9">
        <v>0</v>
      </c>
      <c r="CD9">
        <v>0</v>
      </c>
    </row>
    <row r="10" spans="1:83" x14ac:dyDescent="0.25">
      <c r="A10" t="s">
        <v>128</v>
      </c>
      <c r="B10" t="s">
        <v>134</v>
      </c>
      <c r="C10" t="s">
        <v>72</v>
      </c>
      <c r="D10" s="12">
        <v>45573</v>
      </c>
      <c r="E10" t="s">
        <v>135</v>
      </c>
      <c r="F10" t="s">
        <v>74</v>
      </c>
      <c r="G10">
        <v>5.3662728249194425</v>
      </c>
      <c r="H10">
        <v>7.6</v>
      </c>
      <c r="I10">
        <v>10</v>
      </c>
      <c r="J10">
        <v>1</v>
      </c>
      <c r="K10">
        <v>7.6</v>
      </c>
      <c r="L10">
        <v>45573</v>
      </c>
      <c r="M10" t="s">
        <v>140</v>
      </c>
      <c r="N10">
        <v>5.8218487394957998</v>
      </c>
      <c r="O10">
        <v>1.4162530024019213</v>
      </c>
      <c r="P10">
        <v>1.4162530024019213</v>
      </c>
      <c r="Q10">
        <v>1.0848961522158904</v>
      </c>
      <c r="R10">
        <v>0</v>
      </c>
      <c r="S10">
        <v>0</v>
      </c>
      <c r="T10">
        <v>0.16625300240192131</v>
      </c>
      <c r="U10">
        <v>0</v>
      </c>
      <c r="V10">
        <v>0</v>
      </c>
      <c r="W10">
        <v>0</v>
      </c>
      <c r="X10">
        <v>8.4896152215890419E-2</v>
      </c>
      <c r="Y10">
        <v>0</v>
      </c>
      <c r="Z10">
        <v>0.16510384778410958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0.70608852959466351</v>
      </c>
      <c r="AM10">
        <v>0.70608852959466351</v>
      </c>
      <c r="AN10">
        <v>0.76603272888102636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0.23396727111897364</v>
      </c>
      <c r="AZ10">
        <v>0</v>
      </c>
      <c r="BA10">
        <v>0</v>
      </c>
      <c r="BB10">
        <v>0</v>
      </c>
      <c r="BC10">
        <v>0.70608852959466351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1.3054272517321013</v>
      </c>
      <c r="BJ10">
        <v>1.3054272517321013</v>
      </c>
      <c r="BK10">
        <v>0.92174720866832205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0.30542725173210128</v>
      </c>
      <c r="BU10">
        <v>0</v>
      </c>
      <c r="BV10">
        <v>0</v>
      </c>
      <c r="BW10">
        <v>0</v>
      </c>
      <c r="BX10">
        <v>7.8252791331677951E-2</v>
      </c>
      <c r="BY10">
        <v>0</v>
      </c>
      <c r="BZ10">
        <v>0.92174720866832205</v>
      </c>
      <c r="CA10">
        <v>0</v>
      </c>
      <c r="CB10">
        <v>0</v>
      </c>
      <c r="CC10">
        <v>0</v>
      </c>
      <c r="CD10">
        <v>0</v>
      </c>
      <c r="CE10">
        <v>0</v>
      </c>
    </row>
    <row r="11" spans="1:83" x14ac:dyDescent="0.25">
      <c r="A11" t="s">
        <v>128</v>
      </c>
      <c r="B11" t="s">
        <v>181</v>
      </c>
      <c r="C11" t="s">
        <v>72</v>
      </c>
      <c r="D11" s="12">
        <v>45573</v>
      </c>
      <c r="E11" t="s">
        <v>135</v>
      </c>
      <c r="F11" t="s">
        <v>74</v>
      </c>
      <c r="G11">
        <v>3.5111676249447159</v>
      </c>
      <c r="H11">
        <v>7.6</v>
      </c>
      <c r="I11">
        <v>10</v>
      </c>
      <c r="K11">
        <v>7.6</v>
      </c>
      <c r="L11">
        <v>45573</v>
      </c>
      <c r="M11" t="s">
        <v>140</v>
      </c>
      <c r="N11">
        <v>6.8163992869875214</v>
      </c>
      <c r="O11">
        <v>2.1645221225003928</v>
      </c>
      <c r="P11">
        <v>2.1645221225003928</v>
      </c>
      <c r="Q11">
        <v>1.9413482963789992</v>
      </c>
      <c r="R11">
        <v>0</v>
      </c>
      <c r="S11">
        <v>0</v>
      </c>
      <c r="T11">
        <v>0.22317382612139358</v>
      </c>
      <c r="U11">
        <v>0</v>
      </c>
      <c r="V11">
        <v>0.69134829637899919</v>
      </c>
      <c r="W11">
        <v>0</v>
      </c>
      <c r="X11">
        <v>0.25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1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0.46199574012430472</v>
      </c>
      <c r="AM11">
        <v>0.46199574012430472</v>
      </c>
      <c r="AN11">
        <v>0.89689464302467392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0.10310535697532608</v>
      </c>
      <c r="AZ11">
        <v>0</v>
      </c>
      <c r="BA11">
        <v>0</v>
      </c>
      <c r="BB11">
        <v>0</v>
      </c>
      <c r="BC11">
        <v>0.46199574012430472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1.114958158995816</v>
      </c>
      <c r="BJ11">
        <v>1.114958158995816</v>
      </c>
      <c r="BK11">
        <v>0.51510591987290422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0.11495815899581596</v>
      </c>
      <c r="BU11">
        <v>0</v>
      </c>
      <c r="BV11">
        <v>0</v>
      </c>
      <c r="BW11">
        <v>0</v>
      </c>
      <c r="BX11">
        <v>0.48489408012709578</v>
      </c>
      <c r="BY11">
        <v>0</v>
      </c>
      <c r="BZ11">
        <v>0.51510591987290422</v>
      </c>
      <c r="CA11">
        <v>0</v>
      </c>
      <c r="CB11">
        <v>0</v>
      </c>
      <c r="CC11">
        <v>0</v>
      </c>
      <c r="CD11">
        <v>0</v>
      </c>
      <c r="CE11">
        <v>0</v>
      </c>
    </row>
    <row r="12" spans="1:83" x14ac:dyDescent="0.25">
      <c r="A12" t="s">
        <v>128</v>
      </c>
      <c r="B12" t="s">
        <v>134</v>
      </c>
      <c r="C12" t="s">
        <v>72</v>
      </c>
      <c r="D12" s="12">
        <v>45573</v>
      </c>
      <c r="E12" t="s">
        <v>135</v>
      </c>
      <c r="F12" t="s">
        <v>75</v>
      </c>
      <c r="G12">
        <v>11.626924453992125</v>
      </c>
      <c r="H12">
        <v>14.25</v>
      </c>
      <c r="I12">
        <v>10</v>
      </c>
      <c r="J12">
        <v>1</v>
      </c>
      <c r="K12">
        <v>14.25</v>
      </c>
      <c r="L12">
        <v>45573</v>
      </c>
      <c r="M12" t="s">
        <v>141</v>
      </c>
      <c r="N12">
        <v>10.443813387423935</v>
      </c>
      <c r="O12">
        <v>1.2256035597708934</v>
      </c>
      <c r="P12">
        <v>1.2256035597708934</v>
      </c>
      <c r="Q12">
        <v>0.89824385019015363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0.22560355977089341</v>
      </c>
      <c r="AA12">
        <v>0</v>
      </c>
      <c r="AB12">
        <v>0</v>
      </c>
      <c r="AC12">
        <v>0</v>
      </c>
      <c r="AD12">
        <v>0.10175614980984637</v>
      </c>
      <c r="AE12">
        <v>0</v>
      </c>
      <c r="AF12">
        <v>0.89824385019015363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0.81592452308716668</v>
      </c>
      <c r="AM12">
        <v>0.81592452308716668</v>
      </c>
      <c r="AN12">
        <v>0.73289918508238139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0.18407547691283332</v>
      </c>
      <c r="AZ12">
        <v>0</v>
      </c>
      <c r="BA12">
        <v>8.3025338004785287E-2</v>
      </c>
      <c r="BB12">
        <v>0</v>
      </c>
      <c r="BC12">
        <v>0.73289918508238139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1.3644441423244251</v>
      </c>
      <c r="BJ12">
        <v>1.3644441423244251</v>
      </c>
      <c r="BK12">
        <v>1.1132834361051347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0.11328343610513469</v>
      </c>
      <c r="BS12">
        <v>0</v>
      </c>
      <c r="BT12">
        <v>0.25116070621929043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1</v>
      </c>
      <c r="CA12">
        <v>0</v>
      </c>
      <c r="CB12">
        <v>0</v>
      </c>
      <c r="CC12">
        <v>0</v>
      </c>
      <c r="CD12">
        <v>0</v>
      </c>
      <c r="CE12">
        <v>0</v>
      </c>
    </row>
    <row r="13" spans="1:83" x14ac:dyDescent="0.25">
      <c r="A13" t="s">
        <v>128</v>
      </c>
      <c r="B13" t="s">
        <v>181</v>
      </c>
      <c r="C13" t="s">
        <v>72</v>
      </c>
      <c r="D13" s="12">
        <v>45573</v>
      </c>
      <c r="E13" t="s">
        <v>135</v>
      </c>
      <c r="F13" t="s">
        <v>75</v>
      </c>
      <c r="G13">
        <v>12.417771069086861</v>
      </c>
      <c r="H13">
        <v>8.5499999999999989</v>
      </c>
      <c r="I13">
        <v>10</v>
      </c>
      <c r="K13">
        <v>8.5499999999999989</v>
      </c>
      <c r="L13">
        <v>45573</v>
      </c>
      <c r="M13" t="s">
        <v>141</v>
      </c>
      <c r="N13">
        <v>10.722593582887695</v>
      </c>
      <c r="O13">
        <v>0.68852936267158305</v>
      </c>
      <c r="P13">
        <v>0.68852936267158305</v>
      </c>
      <c r="Q13">
        <v>0.86348778079673361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0.17495841812515056</v>
      </c>
      <c r="AB13">
        <v>0.13651221920326639</v>
      </c>
      <c r="AC13">
        <v>0</v>
      </c>
      <c r="AD13">
        <v>0</v>
      </c>
      <c r="AE13">
        <v>0</v>
      </c>
      <c r="AF13">
        <v>0.68852936267158305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1.4523708852733173</v>
      </c>
      <c r="AM13">
        <v>1.4523708852733173</v>
      </c>
      <c r="AN13">
        <v>1.254104512618444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0.25410451261844402</v>
      </c>
      <c r="AV13">
        <v>0</v>
      </c>
      <c r="AW13">
        <v>0.19826637265487324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1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0.79738170936974029</v>
      </c>
      <c r="BJ13">
        <v>0.79738170936974029</v>
      </c>
      <c r="BK13">
        <v>1.1580939791380807</v>
      </c>
      <c r="BL13">
        <v>0.15809397913808065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0.31147063732841695</v>
      </c>
      <c r="BV13">
        <v>0</v>
      </c>
      <c r="BW13">
        <v>0</v>
      </c>
      <c r="BX13">
        <v>0</v>
      </c>
      <c r="BY13">
        <v>0</v>
      </c>
      <c r="BZ13">
        <v>0.79738170936974029</v>
      </c>
      <c r="CA13">
        <v>0</v>
      </c>
      <c r="CB13">
        <v>0</v>
      </c>
      <c r="CC13">
        <v>0</v>
      </c>
      <c r="CD13">
        <v>0</v>
      </c>
      <c r="CE13">
        <v>0</v>
      </c>
    </row>
    <row r="14" spans="1:83" x14ac:dyDescent="0.25">
      <c r="A14" t="s">
        <v>128</v>
      </c>
      <c r="B14" t="s">
        <v>134</v>
      </c>
      <c r="C14" t="s">
        <v>72</v>
      </c>
      <c r="D14" s="12">
        <v>45574</v>
      </c>
      <c r="E14" t="s">
        <v>135</v>
      </c>
      <c r="F14" t="s">
        <v>73</v>
      </c>
      <c r="G14">
        <v>14.310060866451844</v>
      </c>
      <c r="H14">
        <v>16.149999999999999</v>
      </c>
      <c r="I14">
        <v>10</v>
      </c>
      <c r="J14">
        <v>1</v>
      </c>
      <c r="K14">
        <v>16.149999999999999</v>
      </c>
      <c r="L14">
        <v>45574</v>
      </c>
      <c r="M14" t="s">
        <v>142</v>
      </c>
      <c r="N14">
        <v>12.4558696205755</v>
      </c>
      <c r="O14">
        <v>1.1285766112890312</v>
      </c>
      <c r="P14">
        <v>1.1285766112890312</v>
      </c>
      <c r="Q14">
        <v>0.8704274382072501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0.1285766112890312</v>
      </c>
      <c r="AA14">
        <v>0</v>
      </c>
      <c r="AB14">
        <v>0</v>
      </c>
      <c r="AC14">
        <v>0</v>
      </c>
      <c r="AD14">
        <v>0.1295725617927499</v>
      </c>
      <c r="AE14">
        <v>0</v>
      </c>
      <c r="AF14">
        <v>0.8704274382072501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0.88607188027565598</v>
      </c>
      <c r="AM14">
        <v>0.88607188027565598</v>
      </c>
      <c r="AN14">
        <v>0.77126127681582046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0.11392811972434402</v>
      </c>
      <c r="AZ14">
        <v>0</v>
      </c>
      <c r="BA14">
        <v>0.11481060345983551</v>
      </c>
      <c r="BB14">
        <v>0</v>
      </c>
      <c r="BC14">
        <v>0.77126127681582046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1.2965774764792231</v>
      </c>
      <c r="BJ14">
        <v>1.2965774764792231</v>
      </c>
      <c r="BK14">
        <v>1.1488608425070104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0.14886084250701037</v>
      </c>
      <c r="BS14">
        <v>0</v>
      </c>
      <c r="BT14">
        <v>0.14771663397221269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1</v>
      </c>
      <c r="CA14">
        <v>0</v>
      </c>
      <c r="CB14">
        <v>0</v>
      </c>
      <c r="CC14">
        <v>0</v>
      </c>
      <c r="CD14">
        <v>0</v>
      </c>
      <c r="CE14">
        <v>0</v>
      </c>
    </row>
    <row r="15" spans="1:83" x14ac:dyDescent="0.25">
      <c r="A15" t="s">
        <v>128</v>
      </c>
      <c r="B15" t="s">
        <v>181</v>
      </c>
      <c r="C15" t="s">
        <v>72</v>
      </c>
      <c r="D15" s="12">
        <v>45574</v>
      </c>
      <c r="E15" t="s">
        <v>135</v>
      </c>
      <c r="F15" t="s">
        <v>73</v>
      </c>
      <c r="G15">
        <v>14.129216521561023</v>
      </c>
      <c r="H15">
        <v>22.799999999999997</v>
      </c>
      <c r="I15">
        <v>10</v>
      </c>
      <c r="K15">
        <v>22.799999999999997</v>
      </c>
      <c r="L15">
        <v>45574</v>
      </c>
      <c r="M15" t="s">
        <v>142</v>
      </c>
      <c r="N15">
        <v>12.177941176470586</v>
      </c>
      <c r="O15">
        <v>1.6136775853924707</v>
      </c>
      <c r="P15">
        <v>1.6136775853924707</v>
      </c>
      <c r="Q15">
        <v>0.86189783827625455</v>
      </c>
      <c r="R15">
        <v>0</v>
      </c>
      <c r="S15">
        <v>0</v>
      </c>
      <c r="T15">
        <v>0.36367758539247075</v>
      </c>
      <c r="U15">
        <v>0</v>
      </c>
      <c r="V15">
        <v>0</v>
      </c>
      <c r="W15">
        <v>0</v>
      </c>
      <c r="X15">
        <v>0</v>
      </c>
      <c r="Y15">
        <v>0</v>
      </c>
      <c r="Z15">
        <v>0.25</v>
      </c>
      <c r="AA15">
        <v>0</v>
      </c>
      <c r="AB15">
        <v>0</v>
      </c>
      <c r="AC15">
        <v>0</v>
      </c>
      <c r="AD15">
        <v>0.13810216172374545</v>
      </c>
      <c r="AE15">
        <v>0</v>
      </c>
      <c r="AF15">
        <v>0.86189783827625455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0.61970247901583442</v>
      </c>
      <c r="AM15">
        <v>0.61970247901583442</v>
      </c>
      <c r="AN15">
        <v>0.53412022703818363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0.38029752098416558</v>
      </c>
      <c r="AZ15">
        <v>0</v>
      </c>
      <c r="BA15">
        <v>8.5582251977650792E-2</v>
      </c>
      <c r="BB15">
        <v>0</v>
      </c>
      <c r="BC15">
        <v>0.53412022703818363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1.8722376524574327</v>
      </c>
      <c r="BJ15">
        <v>1.8722376524574327</v>
      </c>
      <c r="BK15">
        <v>1.1602303145346573</v>
      </c>
      <c r="CB15">
        <v>0</v>
      </c>
      <c r="CC15">
        <v>0</v>
      </c>
      <c r="CD15">
        <v>0</v>
      </c>
    </row>
    <row r="16" spans="1:83" x14ac:dyDescent="0.25">
      <c r="A16" t="s">
        <v>128</v>
      </c>
      <c r="B16" t="s">
        <v>181</v>
      </c>
      <c r="C16" t="s">
        <v>72</v>
      </c>
      <c r="D16" s="12">
        <v>45574</v>
      </c>
      <c r="E16" t="s">
        <v>135</v>
      </c>
      <c r="F16" t="s">
        <v>74</v>
      </c>
      <c r="G16">
        <v>3.5111676249447159</v>
      </c>
      <c r="H16">
        <v>5.6999999999999993</v>
      </c>
      <c r="I16">
        <v>10</v>
      </c>
      <c r="K16">
        <v>5.6999999999999993</v>
      </c>
      <c r="L16">
        <v>45574</v>
      </c>
      <c r="M16" t="s">
        <v>143</v>
      </c>
      <c r="N16">
        <v>7.7290552584670227</v>
      </c>
      <c r="O16">
        <v>1.6233915918752946</v>
      </c>
      <c r="P16">
        <v>1.6233915918752946</v>
      </c>
      <c r="Q16">
        <v>2.2012777753920871</v>
      </c>
      <c r="R16">
        <v>0.57788618351679255</v>
      </c>
      <c r="S16">
        <v>0</v>
      </c>
      <c r="T16">
        <v>0</v>
      </c>
      <c r="U16">
        <v>0</v>
      </c>
      <c r="V16">
        <v>0.37339159187529458</v>
      </c>
      <c r="W16">
        <v>0</v>
      </c>
      <c r="X16">
        <v>0.25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1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0.61599432016573974</v>
      </c>
      <c r="AM16">
        <v>0.61599432016573974</v>
      </c>
      <c r="AN16">
        <v>1.3559746067486007</v>
      </c>
      <c r="AO16">
        <v>0.35597460674860071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0.61599432016573974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0.73747693726937269</v>
      </c>
      <c r="BJ16">
        <v>0.73747693726937269</v>
      </c>
      <c r="BK16">
        <v>0.45428160461115907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0.26252306273062731</v>
      </c>
      <c r="BW16">
        <v>0</v>
      </c>
      <c r="BX16">
        <v>0.28319533265821362</v>
      </c>
      <c r="BY16">
        <v>0</v>
      </c>
      <c r="BZ16">
        <v>0.45428160461115907</v>
      </c>
      <c r="CA16">
        <v>0</v>
      </c>
      <c r="CB16">
        <v>0</v>
      </c>
      <c r="CC16">
        <v>0</v>
      </c>
      <c r="CD16">
        <v>0</v>
      </c>
      <c r="CE16">
        <v>0</v>
      </c>
    </row>
    <row r="17" spans="1:83" x14ac:dyDescent="0.25">
      <c r="A17" t="s">
        <v>128</v>
      </c>
      <c r="B17" t="s">
        <v>134</v>
      </c>
      <c r="C17" t="s">
        <v>72</v>
      </c>
      <c r="D17" s="12">
        <v>45574</v>
      </c>
      <c r="E17" t="s">
        <v>135</v>
      </c>
      <c r="F17" t="s">
        <v>74</v>
      </c>
      <c r="G17">
        <v>5.3662728249194425</v>
      </c>
      <c r="H17">
        <v>6.6499999999999995</v>
      </c>
      <c r="I17">
        <v>10</v>
      </c>
      <c r="J17">
        <v>1</v>
      </c>
      <c r="K17">
        <v>6.6499999999999995</v>
      </c>
      <c r="L17">
        <v>45574</v>
      </c>
      <c r="M17" t="s">
        <v>143</v>
      </c>
      <c r="N17">
        <v>5.8218487394957998</v>
      </c>
      <c r="O17">
        <v>1.2392213771016811</v>
      </c>
      <c r="P17">
        <v>1.2392213771016811</v>
      </c>
      <c r="Q17">
        <v>1.0848961522158904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8.4896152215890419E-2</v>
      </c>
      <c r="Y17">
        <v>0</v>
      </c>
      <c r="Z17">
        <v>0.1543252248857907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0.80695831953675834</v>
      </c>
      <c r="AM17">
        <v>0.80695831953675834</v>
      </c>
      <c r="AN17">
        <v>0.87546597586403008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0.12453402413596992</v>
      </c>
      <c r="AZ17">
        <v>0</v>
      </c>
      <c r="BA17">
        <v>0</v>
      </c>
      <c r="BB17">
        <v>0</v>
      </c>
      <c r="BC17">
        <v>0.80695831953675834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1.1422488452655886</v>
      </c>
      <c r="BJ17">
        <v>1.1422488452655886</v>
      </c>
      <c r="BK17">
        <v>0.92174720866832205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0.14224884526558856</v>
      </c>
      <c r="BU17">
        <v>0</v>
      </c>
      <c r="BV17">
        <v>0</v>
      </c>
      <c r="BW17">
        <v>0</v>
      </c>
      <c r="BX17">
        <v>7.8252791331677951E-2</v>
      </c>
      <c r="BY17">
        <v>0</v>
      </c>
      <c r="BZ17">
        <v>0.92174720866832205</v>
      </c>
      <c r="CA17">
        <v>0</v>
      </c>
      <c r="CB17">
        <v>0</v>
      </c>
      <c r="CC17">
        <v>0</v>
      </c>
      <c r="CD17">
        <v>0</v>
      </c>
      <c r="CE17">
        <v>0</v>
      </c>
    </row>
    <row r="18" spans="1:83" x14ac:dyDescent="0.25">
      <c r="A18" t="s">
        <v>128</v>
      </c>
      <c r="B18" t="s">
        <v>181</v>
      </c>
      <c r="C18" t="s">
        <v>72</v>
      </c>
      <c r="D18" s="12">
        <v>45574</v>
      </c>
      <c r="E18" t="s">
        <v>135</v>
      </c>
      <c r="F18" t="s">
        <v>75</v>
      </c>
      <c r="G18">
        <v>12.417771069086861</v>
      </c>
      <c r="H18">
        <v>11.4</v>
      </c>
      <c r="I18">
        <v>10</v>
      </c>
      <c r="K18">
        <v>11.4</v>
      </c>
      <c r="L18">
        <v>45574</v>
      </c>
      <c r="M18" t="s">
        <v>144</v>
      </c>
      <c r="N18">
        <v>10.56550802139037</v>
      </c>
      <c r="O18">
        <v>0.91803915022877747</v>
      </c>
      <c r="P18">
        <v>0.91803915022877747</v>
      </c>
      <c r="Q18">
        <v>0.85083771979759193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8.1960849771222533E-2</v>
      </c>
      <c r="AC18">
        <v>0</v>
      </c>
      <c r="AD18">
        <v>6.7201430431185538E-2</v>
      </c>
      <c r="AE18">
        <v>0</v>
      </c>
      <c r="AF18">
        <v>0.85083771979759193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1.089278163954988</v>
      </c>
      <c r="AM18">
        <v>1.089278163954988</v>
      </c>
      <c r="AN18">
        <v>0.92679894924476935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8.9278163954987999E-2</v>
      </c>
      <c r="AX18">
        <v>0</v>
      </c>
      <c r="AY18">
        <v>0</v>
      </c>
      <c r="AZ18">
        <v>0</v>
      </c>
      <c r="BA18">
        <v>7.3201050755230646E-2</v>
      </c>
      <c r="BB18">
        <v>0</v>
      </c>
      <c r="BC18">
        <v>0.92679894924476935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1.0789826648108316</v>
      </c>
      <c r="BJ18">
        <v>1.0789826648108316</v>
      </c>
      <c r="BK18">
        <v>1.1753122560644029</v>
      </c>
      <c r="BL18">
        <v>9.6329591253571323E-2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7.8982664810831604E-2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1</v>
      </c>
      <c r="CA18">
        <v>0</v>
      </c>
      <c r="CB18">
        <v>0</v>
      </c>
      <c r="CC18">
        <v>0</v>
      </c>
      <c r="CD18">
        <v>0</v>
      </c>
      <c r="CE18">
        <v>0</v>
      </c>
    </row>
    <row r="19" spans="1:83" x14ac:dyDescent="0.25">
      <c r="A19" t="s">
        <v>128</v>
      </c>
      <c r="B19" t="s">
        <v>134</v>
      </c>
      <c r="C19" t="s">
        <v>72</v>
      </c>
      <c r="D19" s="12">
        <v>45574</v>
      </c>
      <c r="E19" t="s">
        <v>135</v>
      </c>
      <c r="F19" t="s">
        <v>75</v>
      </c>
      <c r="G19">
        <v>11.626924453992125</v>
      </c>
      <c r="H19">
        <v>16.149999999999999</v>
      </c>
      <c r="I19">
        <v>10</v>
      </c>
      <c r="J19">
        <v>1</v>
      </c>
      <c r="K19">
        <v>16.149999999999999</v>
      </c>
      <c r="L19">
        <v>45574</v>
      </c>
      <c r="M19" t="s">
        <v>144</v>
      </c>
      <c r="N19">
        <v>11.483222254419006</v>
      </c>
      <c r="O19">
        <v>1.3890173677403459</v>
      </c>
      <c r="P19">
        <v>1.3890173677403459</v>
      </c>
      <c r="Q19">
        <v>0.98764056650219501</v>
      </c>
      <c r="R19">
        <v>0</v>
      </c>
      <c r="S19">
        <v>0</v>
      </c>
      <c r="T19">
        <v>0.1390173677403459</v>
      </c>
      <c r="U19">
        <v>0</v>
      </c>
      <c r="V19">
        <v>0</v>
      </c>
      <c r="W19">
        <v>0</v>
      </c>
      <c r="X19">
        <v>0</v>
      </c>
      <c r="Y19">
        <v>0</v>
      </c>
      <c r="Z19">
        <v>0.25</v>
      </c>
      <c r="AA19">
        <v>0</v>
      </c>
      <c r="AB19">
        <v>0</v>
      </c>
      <c r="AC19">
        <v>0</v>
      </c>
      <c r="AD19">
        <v>1.2359433497804995E-2</v>
      </c>
      <c r="AE19">
        <v>0</v>
      </c>
      <c r="AF19">
        <v>0.98764056650219501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0.71993340272397066</v>
      </c>
      <c r="AM19">
        <v>0.71993340272397066</v>
      </c>
      <c r="AN19">
        <v>0.71103543371015521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0.28006659727602934</v>
      </c>
      <c r="AZ19">
        <v>0</v>
      </c>
      <c r="BA19">
        <v>8.8979690138154544E-3</v>
      </c>
      <c r="BB19">
        <v>0</v>
      </c>
      <c r="BC19">
        <v>0.71103543371015521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1.406399670944722</v>
      </c>
      <c r="BJ19">
        <v>1.406399670944722</v>
      </c>
      <c r="BK19">
        <v>1.0125141006931062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1.2514100693106212E-2</v>
      </c>
      <c r="BS19">
        <v>0</v>
      </c>
      <c r="BT19">
        <v>0.39388557025161575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1</v>
      </c>
      <c r="CA19">
        <v>0</v>
      </c>
      <c r="CB19">
        <v>0</v>
      </c>
      <c r="CC19">
        <v>0</v>
      </c>
      <c r="CD19">
        <v>0</v>
      </c>
      <c r="CE19">
        <v>0</v>
      </c>
    </row>
    <row r="20" spans="1:83" x14ac:dyDescent="0.25">
      <c r="A20" t="s">
        <v>128</v>
      </c>
      <c r="B20" t="s">
        <v>134</v>
      </c>
      <c r="C20" t="s">
        <v>72</v>
      </c>
      <c r="D20" s="12">
        <v>45575</v>
      </c>
      <c r="E20" t="s">
        <v>135</v>
      </c>
      <c r="F20" t="s">
        <v>73</v>
      </c>
      <c r="G20">
        <v>14.310060866451844</v>
      </c>
      <c r="H20">
        <v>18.05</v>
      </c>
      <c r="I20">
        <v>10</v>
      </c>
      <c r="J20">
        <v>1</v>
      </c>
      <c r="K20">
        <v>18.05</v>
      </c>
      <c r="L20">
        <v>45575</v>
      </c>
      <c r="M20" t="s">
        <v>145</v>
      </c>
      <c r="N20">
        <v>10.823834988540863</v>
      </c>
      <c r="O20">
        <v>1.2613503302642115</v>
      </c>
      <c r="P20">
        <v>1.2613503302642115</v>
      </c>
      <c r="Q20">
        <v>0.75637938158012985</v>
      </c>
      <c r="R20">
        <v>0</v>
      </c>
      <c r="S20">
        <v>0</v>
      </c>
      <c r="T20">
        <v>1.1350330264211506E-2</v>
      </c>
      <c r="U20">
        <v>0</v>
      </c>
      <c r="V20">
        <v>0</v>
      </c>
      <c r="W20">
        <v>0</v>
      </c>
      <c r="X20">
        <v>0</v>
      </c>
      <c r="Y20">
        <v>0</v>
      </c>
      <c r="Z20">
        <v>0.25</v>
      </c>
      <c r="AA20">
        <v>0</v>
      </c>
      <c r="AB20">
        <v>0</v>
      </c>
      <c r="AC20">
        <v>0</v>
      </c>
      <c r="AD20">
        <v>0.24362061841987015</v>
      </c>
      <c r="AE20">
        <v>0</v>
      </c>
      <c r="AF20">
        <v>0.75637938158012985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0.79280115603611323</v>
      </c>
      <c r="AM20">
        <v>0.79280115603611323</v>
      </c>
      <c r="AN20">
        <v>0.59965844811860736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0.20719884396388677</v>
      </c>
      <c r="AZ20">
        <v>0</v>
      </c>
      <c r="BA20">
        <v>0.19314270791750587</v>
      </c>
      <c r="BB20">
        <v>0</v>
      </c>
      <c r="BC20">
        <v>0.59965844811860736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1.6676159622822633</v>
      </c>
      <c r="BJ20">
        <v>1.6676159622822633</v>
      </c>
      <c r="BK20">
        <v>1.3220878627216537</v>
      </c>
      <c r="CB20">
        <v>0</v>
      </c>
      <c r="CC20">
        <v>0</v>
      </c>
      <c r="CD20">
        <v>0</v>
      </c>
    </row>
    <row r="21" spans="1:83" x14ac:dyDescent="0.25">
      <c r="A21" t="s">
        <v>128</v>
      </c>
      <c r="B21" t="s">
        <v>181</v>
      </c>
      <c r="C21" t="s">
        <v>72</v>
      </c>
      <c r="D21" s="12">
        <v>45575</v>
      </c>
      <c r="E21" t="s">
        <v>135</v>
      </c>
      <c r="F21" t="s">
        <v>73</v>
      </c>
      <c r="G21">
        <v>14.12921652156102</v>
      </c>
      <c r="H21">
        <v>18.05</v>
      </c>
      <c r="I21">
        <v>10</v>
      </c>
      <c r="K21">
        <v>18.05</v>
      </c>
      <c r="L21">
        <v>45575</v>
      </c>
      <c r="M21" t="s">
        <v>145</v>
      </c>
      <c r="N21">
        <v>13.875980392156862</v>
      </c>
      <c r="O21">
        <v>1.2774947551023732</v>
      </c>
      <c r="P21">
        <v>1.2774947551023732</v>
      </c>
      <c r="Q21">
        <v>0.98207712869162123</v>
      </c>
      <c r="R21">
        <v>0</v>
      </c>
      <c r="S21">
        <v>0</v>
      </c>
      <c r="T21">
        <v>2.7494755102373203E-2</v>
      </c>
      <c r="U21">
        <v>0</v>
      </c>
      <c r="V21">
        <v>0</v>
      </c>
      <c r="W21">
        <v>0</v>
      </c>
      <c r="X21">
        <v>0</v>
      </c>
      <c r="Y21">
        <v>0</v>
      </c>
      <c r="Z21">
        <v>0.25</v>
      </c>
      <c r="AA21">
        <v>0</v>
      </c>
      <c r="AB21">
        <v>0</v>
      </c>
      <c r="AC21">
        <v>0</v>
      </c>
      <c r="AD21">
        <v>1.7922871308378774E-2</v>
      </c>
      <c r="AE21">
        <v>0</v>
      </c>
      <c r="AF21">
        <v>0.98207712869162123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0.78278207875684314</v>
      </c>
      <c r="AM21">
        <v>0.78278207875684314</v>
      </c>
      <c r="AN21">
        <v>0.76875237629677906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0.21721792124315686</v>
      </c>
      <c r="AZ21">
        <v>0</v>
      </c>
      <c r="BA21">
        <v>1.4029702460064075E-2</v>
      </c>
      <c r="BB21">
        <v>0</v>
      </c>
      <c r="BC21">
        <v>0.76875237629677906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1.3008089871763169</v>
      </c>
      <c r="BJ21">
        <v>1.3008089871763169</v>
      </c>
      <c r="BK21">
        <v>1.0182499630474611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1.8249963047461071E-2</v>
      </c>
      <c r="BS21">
        <v>0</v>
      </c>
      <c r="BT21">
        <v>0.28255902412885581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1</v>
      </c>
      <c r="CA21">
        <v>0</v>
      </c>
      <c r="CB21">
        <v>0</v>
      </c>
      <c r="CC21">
        <v>0</v>
      </c>
      <c r="CD21">
        <v>0</v>
      </c>
      <c r="CE21">
        <v>0</v>
      </c>
    </row>
    <row r="22" spans="1:83" x14ac:dyDescent="0.25">
      <c r="A22" t="s">
        <v>128</v>
      </c>
      <c r="B22" t="s">
        <v>134</v>
      </c>
      <c r="C22" t="s">
        <v>72</v>
      </c>
      <c r="D22" s="12">
        <v>45575</v>
      </c>
      <c r="E22" t="s">
        <v>135</v>
      </c>
      <c r="F22" t="s">
        <v>74</v>
      </c>
      <c r="G22">
        <v>5.3662728249194425</v>
      </c>
      <c r="H22">
        <v>5.6999999999999993</v>
      </c>
      <c r="I22">
        <v>10</v>
      </c>
      <c r="J22">
        <v>1</v>
      </c>
      <c r="K22">
        <v>5.6999999999999993</v>
      </c>
      <c r="L22">
        <v>45575</v>
      </c>
      <c r="M22" t="s">
        <v>146</v>
      </c>
      <c r="N22">
        <v>5.7669467787114854</v>
      </c>
      <c r="O22">
        <v>1.0621897518014409</v>
      </c>
      <c r="P22">
        <v>1.0621897518014409</v>
      </c>
      <c r="Q22">
        <v>1.0746652223739777</v>
      </c>
      <c r="R22">
        <v>1.2475470572536729E-2</v>
      </c>
      <c r="S22">
        <v>0</v>
      </c>
      <c r="T22">
        <v>0</v>
      </c>
      <c r="U22">
        <v>0</v>
      </c>
      <c r="V22">
        <v>0</v>
      </c>
      <c r="W22">
        <v>0</v>
      </c>
      <c r="X22">
        <v>6.2189751801440929E-2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0.94145137279288471</v>
      </c>
      <c r="AM22">
        <v>0.94145137279288471</v>
      </c>
      <c r="AN22">
        <v>1.0117450488967519</v>
      </c>
      <c r="AO22">
        <v>1.1745048896751875E-2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0.94145137279288471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0.98839129590052432</v>
      </c>
      <c r="BJ22">
        <v>0.98839129590052432</v>
      </c>
      <c r="BK22">
        <v>0.93052234238208698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1.1608704099475675E-2</v>
      </c>
      <c r="BW22">
        <v>0</v>
      </c>
      <c r="BX22">
        <v>5.7868953518437349E-2</v>
      </c>
      <c r="BY22">
        <v>0</v>
      </c>
      <c r="BZ22">
        <v>0.93052234238208698</v>
      </c>
      <c r="CA22">
        <v>0</v>
      </c>
      <c r="CB22">
        <v>0</v>
      </c>
      <c r="CC22">
        <v>0</v>
      </c>
      <c r="CD22">
        <v>0</v>
      </c>
      <c r="CE22">
        <v>0</v>
      </c>
    </row>
    <row r="23" spans="1:83" x14ac:dyDescent="0.25">
      <c r="A23" t="s">
        <v>128</v>
      </c>
      <c r="B23" t="s">
        <v>181</v>
      </c>
      <c r="C23" t="s">
        <v>72</v>
      </c>
      <c r="D23" s="12">
        <v>45575</v>
      </c>
      <c r="E23" t="s">
        <v>135</v>
      </c>
      <c r="F23" t="s">
        <v>74</v>
      </c>
      <c r="G23">
        <v>3.5111676249447159</v>
      </c>
      <c r="H23">
        <v>6.6499999999999995</v>
      </c>
      <c r="I23">
        <v>10</v>
      </c>
      <c r="K23">
        <v>6.6499999999999995</v>
      </c>
      <c r="L23">
        <v>45575</v>
      </c>
      <c r="M23" t="s">
        <v>146</v>
      </c>
      <c r="N23">
        <v>5.8181818181818183</v>
      </c>
      <c r="O23">
        <v>1.8939568571878436</v>
      </c>
      <c r="P23">
        <v>1.8939568571878436</v>
      </c>
      <c r="Q23">
        <v>1.6570504287084349</v>
      </c>
      <c r="R23">
        <v>0</v>
      </c>
      <c r="S23">
        <v>0</v>
      </c>
      <c r="T23">
        <v>0.23690642847940868</v>
      </c>
      <c r="U23">
        <v>0</v>
      </c>
      <c r="V23">
        <v>0.40705042870843489</v>
      </c>
      <c r="W23">
        <v>0</v>
      </c>
      <c r="X23">
        <v>0.25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0.52799513157063405</v>
      </c>
      <c r="AM23">
        <v>0.52799513157063405</v>
      </c>
      <c r="AN23">
        <v>0.87491455912508553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0.12508544087491447</v>
      </c>
      <c r="AZ23">
        <v>0</v>
      </c>
      <c r="BA23">
        <v>0</v>
      </c>
      <c r="BB23">
        <v>0</v>
      </c>
      <c r="BC23">
        <v>0.52799513157063405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1.1429687499999999</v>
      </c>
      <c r="BJ23">
        <v>1.1429687499999999</v>
      </c>
      <c r="BK23">
        <v>0.60348193553737306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0.14296874999999987</v>
      </c>
      <c r="BU23">
        <v>0</v>
      </c>
      <c r="BV23">
        <v>0</v>
      </c>
      <c r="BW23">
        <v>0</v>
      </c>
      <c r="BX23">
        <v>0.39651806446262694</v>
      </c>
      <c r="BY23">
        <v>0</v>
      </c>
      <c r="BZ23">
        <v>0.60348193553737306</v>
      </c>
      <c r="CA23">
        <v>0</v>
      </c>
      <c r="CB23">
        <v>0</v>
      </c>
      <c r="CC23">
        <v>0</v>
      </c>
      <c r="CD23">
        <v>0</v>
      </c>
      <c r="CE23">
        <v>0</v>
      </c>
    </row>
    <row r="24" spans="1:83" x14ac:dyDescent="0.25">
      <c r="A24" t="s">
        <v>128</v>
      </c>
      <c r="B24" t="s">
        <v>134</v>
      </c>
      <c r="C24" t="s">
        <v>72</v>
      </c>
      <c r="D24" s="12">
        <v>45575</v>
      </c>
      <c r="E24" t="s">
        <v>135</v>
      </c>
      <c r="F24" t="s">
        <v>75</v>
      </c>
      <c r="G24">
        <v>11.626924453992126</v>
      </c>
      <c r="H24">
        <v>14.25</v>
      </c>
      <c r="I24">
        <v>10</v>
      </c>
      <c r="J24">
        <v>1</v>
      </c>
      <c r="K24">
        <v>14.25</v>
      </c>
      <c r="L24">
        <v>45575</v>
      </c>
      <c r="M24" t="s">
        <v>147</v>
      </c>
      <c r="N24">
        <v>10.094388100067611</v>
      </c>
      <c r="O24">
        <v>1.2256035597708932</v>
      </c>
      <c r="P24">
        <v>1.2256035597708932</v>
      </c>
      <c r="Q24">
        <v>0.86819073608082864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0.22560355977089319</v>
      </c>
      <c r="AA24">
        <v>0</v>
      </c>
      <c r="AB24">
        <v>0</v>
      </c>
      <c r="AC24">
        <v>0</v>
      </c>
      <c r="AD24">
        <v>0.13180926391917136</v>
      </c>
      <c r="AE24">
        <v>0</v>
      </c>
      <c r="AF24">
        <v>0.86819073608082864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0.81592452308716679</v>
      </c>
      <c r="AM24">
        <v>0.81592452308716679</v>
      </c>
      <c r="AN24">
        <v>0.70837811228544645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0.18407547691283321</v>
      </c>
      <c r="AZ24">
        <v>0</v>
      </c>
      <c r="BA24">
        <v>0.10754641080172034</v>
      </c>
      <c r="BB24">
        <v>0</v>
      </c>
      <c r="BC24">
        <v>0.70837811228544645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1.4116754635087345</v>
      </c>
      <c r="BJ24">
        <v>1.4116754635087345</v>
      </c>
      <c r="BK24">
        <v>1.1518206293172193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0.15182062931721929</v>
      </c>
      <c r="BS24">
        <v>0</v>
      </c>
      <c r="BT24">
        <v>0.25985483419151523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1</v>
      </c>
      <c r="CA24">
        <v>0</v>
      </c>
      <c r="CB24">
        <v>0</v>
      </c>
      <c r="CC24">
        <v>0</v>
      </c>
      <c r="CD24">
        <v>0</v>
      </c>
      <c r="CE24">
        <v>0</v>
      </c>
    </row>
    <row r="25" spans="1:83" x14ac:dyDescent="0.25">
      <c r="A25" t="s">
        <v>128</v>
      </c>
      <c r="B25" t="s">
        <v>181</v>
      </c>
      <c r="C25" t="s">
        <v>72</v>
      </c>
      <c r="D25" s="12">
        <v>45575</v>
      </c>
      <c r="E25" t="s">
        <v>135</v>
      </c>
      <c r="F25" t="s">
        <v>75</v>
      </c>
      <c r="G25">
        <v>12.417771069086861</v>
      </c>
      <c r="H25">
        <v>14.25</v>
      </c>
      <c r="I25">
        <v>10</v>
      </c>
      <c r="K25">
        <v>14.25</v>
      </c>
      <c r="L25">
        <v>45575</v>
      </c>
      <c r="M25" t="s">
        <v>147</v>
      </c>
      <c r="N25">
        <v>10.351604278074864</v>
      </c>
      <c r="O25">
        <v>1.147548937785972</v>
      </c>
      <c r="P25">
        <v>1.147548937785972</v>
      </c>
      <c r="Q25">
        <v>0.83361210482003745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0.147548937785972</v>
      </c>
      <c r="AA25">
        <v>0</v>
      </c>
      <c r="AB25">
        <v>0</v>
      </c>
      <c r="AC25">
        <v>0</v>
      </c>
      <c r="AD25">
        <v>0.16638789517996255</v>
      </c>
      <c r="AE25">
        <v>0</v>
      </c>
      <c r="AF25">
        <v>0.83361210482003745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0.87142253116399027</v>
      </c>
      <c r="AM25">
        <v>0.87142253116399027</v>
      </c>
      <c r="AN25">
        <v>0.72642837039121855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0.12857746883600973</v>
      </c>
      <c r="AZ25">
        <v>0</v>
      </c>
      <c r="BA25">
        <v>0.14499416077277172</v>
      </c>
      <c r="BB25">
        <v>0</v>
      </c>
      <c r="BC25">
        <v>0.72642837039121855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1.3765982177450602</v>
      </c>
      <c r="BJ25">
        <v>1.3765982177450602</v>
      </c>
      <c r="BK25">
        <v>1.1995987033032383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0.19959870330323826</v>
      </c>
      <c r="BS25">
        <v>0</v>
      </c>
      <c r="BT25">
        <v>0.17699951444182194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1</v>
      </c>
      <c r="CA25">
        <v>0</v>
      </c>
      <c r="CB25">
        <v>0</v>
      </c>
      <c r="CC25">
        <v>0</v>
      </c>
      <c r="CD25">
        <v>0</v>
      </c>
      <c r="CE25">
        <v>0</v>
      </c>
    </row>
    <row r="26" spans="1:83" x14ac:dyDescent="0.25">
      <c r="A26" t="s">
        <v>128</v>
      </c>
      <c r="B26" t="s">
        <v>134</v>
      </c>
      <c r="C26" t="s">
        <v>72</v>
      </c>
      <c r="D26" s="12">
        <v>45576</v>
      </c>
      <c r="E26" t="s">
        <v>135</v>
      </c>
      <c r="F26" t="s">
        <v>73</v>
      </c>
      <c r="G26">
        <v>14.310060866451844</v>
      </c>
      <c r="H26">
        <v>19</v>
      </c>
      <c r="I26">
        <v>10</v>
      </c>
      <c r="J26">
        <v>1</v>
      </c>
      <c r="K26">
        <v>19</v>
      </c>
      <c r="L26">
        <v>45576</v>
      </c>
      <c r="M26" t="s">
        <v>148</v>
      </c>
      <c r="N26">
        <v>8.0003055767761602</v>
      </c>
      <c r="O26">
        <v>1.3277371897518015</v>
      </c>
      <c r="P26">
        <v>1.3277371897518015</v>
      </c>
      <c r="Q26">
        <v>0.55906859177181289</v>
      </c>
      <c r="R26">
        <v>0</v>
      </c>
      <c r="S26">
        <v>0</v>
      </c>
      <c r="T26">
        <v>7.773718975180155E-2</v>
      </c>
      <c r="U26">
        <v>0</v>
      </c>
      <c r="V26">
        <v>0</v>
      </c>
      <c r="W26">
        <v>0</v>
      </c>
      <c r="X26">
        <v>0</v>
      </c>
      <c r="Y26">
        <v>0</v>
      </c>
      <c r="Z26">
        <v>0.25</v>
      </c>
      <c r="AA26">
        <v>0</v>
      </c>
      <c r="AB26">
        <v>0</v>
      </c>
      <c r="AC26">
        <v>0</v>
      </c>
      <c r="AD26">
        <v>0.44093140822818711</v>
      </c>
      <c r="AE26">
        <v>0</v>
      </c>
      <c r="AF26">
        <v>0.55906859177181289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0.75316109823430755</v>
      </c>
      <c r="AM26">
        <v>0.75316109823430755</v>
      </c>
      <c r="AN26">
        <v>0.42106871456716632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0.24683890176569245</v>
      </c>
      <c r="AZ26">
        <v>0</v>
      </c>
      <c r="BA26">
        <v>0.33209238366714122</v>
      </c>
      <c r="BB26">
        <v>0</v>
      </c>
      <c r="BC26">
        <v>0.42106871456716632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2.3749092853596134</v>
      </c>
      <c r="BJ26">
        <v>2.3749092853596134</v>
      </c>
      <c r="BK26">
        <v>1.788689285568301</v>
      </c>
      <c r="CB26">
        <v>0</v>
      </c>
      <c r="CC26">
        <v>0</v>
      </c>
      <c r="CD26">
        <v>0</v>
      </c>
    </row>
    <row r="27" spans="1:83" x14ac:dyDescent="0.25">
      <c r="A27" t="s">
        <v>128</v>
      </c>
      <c r="B27" t="s">
        <v>181</v>
      </c>
      <c r="C27" t="s">
        <v>72</v>
      </c>
      <c r="D27" s="12">
        <v>45576</v>
      </c>
      <c r="E27" t="s">
        <v>135</v>
      </c>
      <c r="F27" t="s">
        <v>73</v>
      </c>
      <c r="G27">
        <v>14.129216521561023</v>
      </c>
      <c r="H27">
        <v>24.7</v>
      </c>
      <c r="I27">
        <v>10</v>
      </c>
      <c r="K27">
        <v>24.7</v>
      </c>
      <c r="L27">
        <v>45576</v>
      </c>
      <c r="M27" t="s">
        <v>148</v>
      </c>
      <c r="N27">
        <v>12.009068627450976</v>
      </c>
      <c r="O27">
        <v>1.7481507175085103</v>
      </c>
      <c r="P27">
        <v>1.7481507175085103</v>
      </c>
      <c r="Q27">
        <v>0.84994582743673541</v>
      </c>
      <c r="R27">
        <v>0</v>
      </c>
      <c r="S27">
        <v>0</v>
      </c>
      <c r="T27">
        <v>0.49815071750851025</v>
      </c>
      <c r="U27">
        <v>0</v>
      </c>
      <c r="V27">
        <v>0</v>
      </c>
      <c r="W27">
        <v>0</v>
      </c>
      <c r="X27">
        <v>0</v>
      </c>
      <c r="Y27">
        <v>0</v>
      </c>
      <c r="Z27">
        <v>0.25</v>
      </c>
      <c r="AA27">
        <v>0</v>
      </c>
      <c r="AB27">
        <v>0</v>
      </c>
      <c r="AC27">
        <v>0</v>
      </c>
      <c r="AD27">
        <v>0.15005417256326459</v>
      </c>
      <c r="AE27">
        <v>0</v>
      </c>
      <c r="AF27">
        <v>0.84994582743673541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0.57203305755307787</v>
      </c>
      <c r="AM27">
        <v>0.57203305755307787</v>
      </c>
      <c r="AN27">
        <v>0.48619711042311642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0.42796694244692213</v>
      </c>
      <c r="AZ27">
        <v>0</v>
      </c>
      <c r="BA27">
        <v>8.5835947129961454E-2</v>
      </c>
      <c r="BB27">
        <v>0</v>
      </c>
      <c r="BC27">
        <v>0.48619711042311642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2.0567789864685602</v>
      </c>
      <c r="BJ27">
        <v>2.0567789864685602</v>
      </c>
      <c r="BK27">
        <v>1.1765455723405309</v>
      </c>
      <c r="CB27">
        <v>0</v>
      </c>
      <c r="CC27">
        <v>0</v>
      </c>
      <c r="CD27">
        <v>0</v>
      </c>
    </row>
    <row r="28" spans="1:83" x14ac:dyDescent="0.25">
      <c r="A28" t="s">
        <v>128</v>
      </c>
      <c r="B28" t="s">
        <v>134</v>
      </c>
      <c r="C28" t="s">
        <v>72</v>
      </c>
      <c r="D28" s="12">
        <v>45576</v>
      </c>
      <c r="E28" t="s">
        <v>135</v>
      </c>
      <c r="F28" t="s">
        <v>74</v>
      </c>
      <c r="G28">
        <v>5.3662728249194425</v>
      </c>
      <c r="H28">
        <v>6.6499999999999995</v>
      </c>
      <c r="I28">
        <v>10</v>
      </c>
      <c r="J28">
        <v>1</v>
      </c>
      <c r="K28">
        <v>6.6499999999999995</v>
      </c>
      <c r="L28">
        <v>45576</v>
      </c>
      <c r="M28" t="s">
        <v>149</v>
      </c>
      <c r="N28">
        <v>5.8393599864188106</v>
      </c>
      <c r="O28">
        <v>1.2392213771016811</v>
      </c>
      <c r="P28">
        <v>1.2392213771016811</v>
      </c>
      <c r="Q28">
        <v>1.0881593569567478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8.8159356956747814E-2</v>
      </c>
      <c r="Y28">
        <v>0</v>
      </c>
      <c r="Z28">
        <v>0.15106202014493331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0.80695831953675834</v>
      </c>
      <c r="AM28">
        <v>0.80695831953675834</v>
      </c>
      <c r="AN28">
        <v>0.8780992460780167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0.1219007539219833</v>
      </c>
      <c r="AZ28">
        <v>0</v>
      </c>
      <c r="BA28">
        <v>0</v>
      </c>
      <c r="BB28">
        <v>0</v>
      </c>
      <c r="BC28">
        <v>0.80695831953675834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1.1388234353536306</v>
      </c>
      <c r="BJ28">
        <v>1.1388234353536306</v>
      </c>
      <c r="BK28">
        <v>0.91898304564204392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0.13882343535363062</v>
      </c>
      <c r="BU28">
        <v>0</v>
      </c>
      <c r="BV28">
        <v>0</v>
      </c>
      <c r="BW28">
        <v>0</v>
      </c>
      <c r="BX28">
        <v>8.1016954357956084E-2</v>
      </c>
      <c r="BY28">
        <v>0</v>
      </c>
      <c r="BZ28">
        <v>0.91898304564204392</v>
      </c>
      <c r="CA28">
        <v>0</v>
      </c>
      <c r="CB28">
        <v>0</v>
      </c>
      <c r="CC28">
        <v>0</v>
      </c>
      <c r="CD28">
        <v>0</v>
      </c>
      <c r="CE28">
        <v>0</v>
      </c>
    </row>
    <row r="29" spans="1:83" x14ac:dyDescent="0.25">
      <c r="A29" t="s">
        <v>128</v>
      </c>
      <c r="B29" t="s">
        <v>181</v>
      </c>
      <c r="C29" t="s">
        <v>72</v>
      </c>
      <c r="D29" s="12">
        <v>45576</v>
      </c>
      <c r="E29" t="s">
        <v>135</v>
      </c>
      <c r="F29" t="s">
        <v>74</v>
      </c>
      <c r="G29">
        <v>3.5111676249447159</v>
      </c>
      <c r="H29">
        <v>7.6</v>
      </c>
      <c r="I29">
        <v>10</v>
      </c>
      <c r="K29">
        <v>7.6</v>
      </c>
      <c r="L29">
        <v>45576</v>
      </c>
      <c r="M29" t="s">
        <v>149</v>
      </c>
      <c r="N29">
        <v>7.757575757575756</v>
      </c>
      <c r="O29">
        <v>2.1645221225003928</v>
      </c>
      <c r="P29">
        <v>2.1645221225003928</v>
      </c>
      <c r="Q29">
        <v>2.2094005716112459</v>
      </c>
      <c r="R29">
        <v>4.4878449110853147E-2</v>
      </c>
      <c r="S29">
        <v>0</v>
      </c>
      <c r="T29">
        <v>0</v>
      </c>
      <c r="U29">
        <v>0</v>
      </c>
      <c r="V29">
        <v>0.91452212250039278</v>
      </c>
      <c r="W29">
        <v>0</v>
      </c>
      <c r="X29">
        <v>0.25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0.46199574012430472</v>
      </c>
      <c r="AM29">
        <v>0.46199574012430472</v>
      </c>
      <c r="AN29">
        <v>1.0207336523125996</v>
      </c>
      <c r="AO29">
        <v>2.0733652312599604E-2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0.46199574012430472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0.97968750000000016</v>
      </c>
      <c r="BJ29">
        <v>0.97968750000000016</v>
      </c>
      <c r="BK29">
        <v>0.45261145165302985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2.0312499999999845E-2</v>
      </c>
      <c r="BW29">
        <v>0</v>
      </c>
      <c r="BX29">
        <v>0.52707604834697031</v>
      </c>
      <c r="BY29">
        <v>0</v>
      </c>
      <c r="BZ29">
        <v>0.45261145165302985</v>
      </c>
      <c r="CA29">
        <v>0</v>
      </c>
      <c r="CB29">
        <v>0</v>
      </c>
      <c r="CC29">
        <v>0</v>
      </c>
      <c r="CD29">
        <v>0</v>
      </c>
      <c r="CE29">
        <v>0</v>
      </c>
    </row>
    <row r="30" spans="1:83" x14ac:dyDescent="0.25">
      <c r="A30" t="s">
        <v>128</v>
      </c>
      <c r="B30" t="s">
        <v>134</v>
      </c>
      <c r="C30" t="s">
        <v>72</v>
      </c>
      <c r="D30" s="12">
        <v>45576</v>
      </c>
      <c r="E30" t="s">
        <v>135</v>
      </c>
      <c r="F30" t="s">
        <v>75</v>
      </c>
      <c r="G30">
        <v>11.626924453992125</v>
      </c>
      <c r="H30">
        <v>12.35</v>
      </c>
      <c r="I30">
        <v>10</v>
      </c>
      <c r="J30">
        <v>1</v>
      </c>
      <c r="K30">
        <v>12.35</v>
      </c>
      <c r="L30">
        <v>45576</v>
      </c>
      <c r="M30" t="s">
        <v>150</v>
      </c>
      <c r="N30">
        <v>9.6140922408670875</v>
      </c>
      <c r="O30">
        <v>1.0621897518014409</v>
      </c>
      <c r="P30">
        <v>1.0621897518014409</v>
      </c>
      <c r="Q30">
        <v>0.82688180171034587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6.2189751801440929E-2</v>
      </c>
      <c r="AA30">
        <v>0</v>
      </c>
      <c r="AB30">
        <v>0</v>
      </c>
      <c r="AC30">
        <v>0</v>
      </c>
      <c r="AD30">
        <v>0.17311819828965413</v>
      </c>
      <c r="AE30">
        <v>0</v>
      </c>
      <c r="AF30">
        <v>0.82688180171034587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0.9414513727928846</v>
      </c>
      <c r="AM30">
        <v>0.9414513727928846</v>
      </c>
      <c r="AN30">
        <v>0.77846900735765889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5.85486272071154E-2</v>
      </c>
      <c r="AZ30">
        <v>0</v>
      </c>
      <c r="BA30">
        <v>0.16298236543522571</v>
      </c>
      <c r="BB30">
        <v>0</v>
      </c>
      <c r="BC30">
        <v>0.77846900735765889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1.2845726554924506</v>
      </c>
      <c r="BJ30">
        <v>1.2845726554924506</v>
      </c>
      <c r="BK30">
        <v>1.2093626899655689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0.20936268996556895</v>
      </c>
      <c r="BS30">
        <v>0</v>
      </c>
      <c r="BT30">
        <v>7.5209965526881639E-2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1</v>
      </c>
      <c r="CA30">
        <v>0</v>
      </c>
      <c r="CB30">
        <v>0</v>
      </c>
      <c r="CC30">
        <v>0</v>
      </c>
      <c r="CD30">
        <v>0</v>
      </c>
      <c r="CE30">
        <v>0</v>
      </c>
    </row>
    <row r="31" spans="1:83" x14ac:dyDescent="0.25">
      <c r="A31" t="s">
        <v>128</v>
      </c>
      <c r="B31" t="s">
        <v>181</v>
      </c>
      <c r="C31" t="s">
        <v>72</v>
      </c>
      <c r="D31" s="12">
        <v>45576</v>
      </c>
      <c r="E31" t="s">
        <v>135</v>
      </c>
      <c r="F31" t="s">
        <v>75</v>
      </c>
      <c r="G31">
        <v>12.417771069086861</v>
      </c>
      <c r="H31">
        <v>9.5</v>
      </c>
      <c r="I31">
        <v>10</v>
      </c>
      <c r="K31">
        <v>9.5</v>
      </c>
      <c r="L31">
        <v>45576</v>
      </c>
      <c r="M31" t="s">
        <v>150</v>
      </c>
      <c r="N31">
        <v>10.540775401069514</v>
      </c>
      <c r="O31">
        <v>0.76503262519064796</v>
      </c>
      <c r="P31">
        <v>0.76503262519064796</v>
      </c>
      <c r="Q31">
        <v>0.84884600806581212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8.3813382875164155E-2</v>
      </c>
      <c r="AB31">
        <v>0.15115399193418788</v>
      </c>
      <c r="AC31">
        <v>0</v>
      </c>
      <c r="AD31">
        <v>0</v>
      </c>
      <c r="AE31">
        <v>0</v>
      </c>
      <c r="AF31">
        <v>0.76503262519064796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1.3071337967459853</v>
      </c>
      <c r="AM31">
        <v>1.3071337967459853</v>
      </c>
      <c r="AN31">
        <v>1.1095553053757383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0.10955530537573832</v>
      </c>
      <c r="AV31">
        <v>0</v>
      </c>
      <c r="AW31">
        <v>0.19757849137024697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1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0.90126196968736172</v>
      </c>
      <c r="BJ31">
        <v>0.90126196968736172</v>
      </c>
      <c r="BK31">
        <v>1.1780699803002064</v>
      </c>
      <c r="BL31">
        <v>0.17806998030020638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0.23496737480935204</v>
      </c>
      <c r="BV31">
        <v>0</v>
      </c>
      <c r="BW31">
        <v>0</v>
      </c>
      <c r="BX31">
        <v>0</v>
      </c>
      <c r="BY31">
        <v>0</v>
      </c>
      <c r="BZ31">
        <v>0.90126196968736172</v>
      </c>
      <c r="CA31">
        <v>0</v>
      </c>
      <c r="CB31">
        <v>0</v>
      </c>
      <c r="CC31">
        <v>0</v>
      </c>
      <c r="CD31">
        <v>0</v>
      </c>
      <c r="CE31">
        <v>0</v>
      </c>
    </row>
    <row r="32" spans="1:83" x14ac:dyDescent="0.25">
      <c r="A32" t="s">
        <v>128</v>
      </c>
      <c r="B32" t="s">
        <v>181</v>
      </c>
      <c r="C32" t="s">
        <v>72</v>
      </c>
      <c r="D32" s="12">
        <v>45577</v>
      </c>
      <c r="E32" t="s">
        <v>135</v>
      </c>
      <c r="F32" t="s">
        <v>73</v>
      </c>
      <c r="G32">
        <v>14.12921652156102</v>
      </c>
      <c r="H32">
        <v>16.149999999999999</v>
      </c>
      <c r="I32">
        <v>10</v>
      </c>
      <c r="K32">
        <v>16.149999999999999</v>
      </c>
      <c r="L32">
        <v>45577</v>
      </c>
      <c r="M32" t="s">
        <v>151</v>
      </c>
      <c r="N32">
        <v>13.875980392156862</v>
      </c>
      <c r="O32">
        <v>1.1430216229863337</v>
      </c>
      <c r="P32">
        <v>1.1430216229863337</v>
      </c>
      <c r="Q32">
        <v>0.98207712869162123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0.1430216229863337</v>
      </c>
      <c r="AA32">
        <v>0</v>
      </c>
      <c r="AB32">
        <v>0</v>
      </c>
      <c r="AC32">
        <v>0</v>
      </c>
      <c r="AD32">
        <v>1.7922871308378774E-2</v>
      </c>
      <c r="AE32">
        <v>0</v>
      </c>
      <c r="AF32">
        <v>0.98207712869162123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0.87487408802235422</v>
      </c>
      <c r="AM32">
        <v>0.87487408802235422</v>
      </c>
      <c r="AN32">
        <v>0.85919383233169433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0.12512591197764578</v>
      </c>
      <c r="AZ32">
        <v>0</v>
      </c>
      <c r="BA32">
        <v>1.5680255690659894E-2</v>
      </c>
      <c r="BB32">
        <v>0</v>
      </c>
      <c r="BC32">
        <v>0.85919383233169433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1.1638817253682834</v>
      </c>
      <c r="BJ32">
        <v>1.1638817253682834</v>
      </c>
      <c r="BK32">
        <v>1.0182499630474611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1.8249963047461071E-2</v>
      </c>
      <c r="BS32">
        <v>0</v>
      </c>
      <c r="BT32">
        <v>0.14563176232082231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1</v>
      </c>
      <c r="CA32">
        <v>0</v>
      </c>
      <c r="CB32">
        <v>0</v>
      </c>
      <c r="CC32">
        <v>0</v>
      </c>
      <c r="CD32">
        <v>0</v>
      </c>
      <c r="CE32">
        <v>0</v>
      </c>
    </row>
    <row r="33" spans="1:83" x14ac:dyDescent="0.25">
      <c r="A33" t="s">
        <v>128</v>
      </c>
      <c r="B33" t="s">
        <v>134</v>
      </c>
      <c r="C33" t="s">
        <v>72</v>
      </c>
      <c r="D33" s="12">
        <v>45577</v>
      </c>
      <c r="E33" t="s">
        <v>135</v>
      </c>
      <c r="F33" t="s">
        <v>73</v>
      </c>
      <c r="G33">
        <v>14.310060866451844</v>
      </c>
      <c r="H33">
        <v>19.95</v>
      </c>
      <c r="I33">
        <v>10</v>
      </c>
      <c r="J33">
        <v>1</v>
      </c>
      <c r="K33">
        <v>19.95</v>
      </c>
      <c r="L33">
        <v>45577</v>
      </c>
      <c r="M33" t="s">
        <v>151</v>
      </c>
      <c r="N33">
        <v>12.799132141378117</v>
      </c>
      <c r="O33">
        <v>1.3941240492393916</v>
      </c>
      <c r="P33">
        <v>1.3941240492393916</v>
      </c>
      <c r="Q33">
        <v>0.89441493371870195</v>
      </c>
      <c r="R33">
        <v>0</v>
      </c>
      <c r="S33">
        <v>0</v>
      </c>
      <c r="T33">
        <v>0.14412404923939159</v>
      </c>
      <c r="U33">
        <v>0</v>
      </c>
      <c r="V33">
        <v>0</v>
      </c>
      <c r="W33">
        <v>0</v>
      </c>
      <c r="X33">
        <v>0</v>
      </c>
      <c r="Y33">
        <v>0</v>
      </c>
      <c r="Z33">
        <v>0.25</v>
      </c>
      <c r="AA33">
        <v>0</v>
      </c>
      <c r="AB33">
        <v>0</v>
      </c>
      <c r="AC33">
        <v>0</v>
      </c>
      <c r="AD33">
        <v>0.10558506628129805</v>
      </c>
      <c r="AE33">
        <v>0</v>
      </c>
      <c r="AF33">
        <v>0.89441493371870195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0.71729628403267387</v>
      </c>
      <c r="AM33">
        <v>0.71729628403267387</v>
      </c>
      <c r="AN33">
        <v>0.6415605083397552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0.28270371596732613</v>
      </c>
      <c r="AZ33">
        <v>0</v>
      </c>
      <c r="BA33">
        <v>7.5735775692918672E-2</v>
      </c>
      <c r="BB33">
        <v>0</v>
      </c>
      <c r="BC33">
        <v>0.6415605083397552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1.5586994320891456</v>
      </c>
      <c r="BJ33">
        <v>1.5586994320891456</v>
      </c>
      <c r="BK33">
        <v>1.1180493105613831</v>
      </c>
      <c r="CB33">
        <v>0</v>
      </c>
      <c r="CC33">
        <v>0</v>
      </c>
      <c r="CD33">
        <v>0</v>
      </c>
    </row>
    <row r="34" spans="1:83" x14ac:dyDescent="0.25">
      <c r="A34" t="s">
        <v>128</v>
      </c>
      <c r="B34" t="s">
        <v>181</v>
      </c>
      <c r="C34" t="s">
        <v>72</v>
      </c>
      <c r="D34" s="12">
        <v>45577</v>
      </c>
      <c r="E34" t="s">
        <v>135</v>
      </c>
      <c r="F34" t="s">
        <v>74</v>
      </c>
      <c r="G34">
        <v>3.5111676249447159</v>
      </c>
      <c r="H34">
        <v>6.6499999999999995</v>
      </c>
      <c r="I34">
        <v>10</v>
      </c>
      <c r="K34">
        <v>6.6499999999999995</v>
      </c>
      <c r="L34">
        <v>45577</v>
      </c>
      <c r="M34" t="s">
        <v>152</v>
      </c>
      <c r="N34">
        <v>6.8449197860962556</v>
      </c>
      <c r="O34">
        <v>1.8939568571878436</v>
      </c>
      <c r="P34">
        <v>1.8939568571878436</v>
      </c>
      <c r="Q34">
        <v>1.9494710925981582</v>
      </c>
      <c r="R34">
        <v>5.5514235410314638E-2</v>
      </c>
      <c r="S34">
        <v>0</v>
      </c>
      <c r="T34">
        <v>0</v>
      </c>
      <c r="U34">
        <v>0</v>
      </c>
      <c r="V34">
        <v>0.64395685718784357</v>
      </c>
      <c r="W34">
        <v>0</v>
      </c>
      <c r="X34">
        <v>0.25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0.52799513157063405</v>
      </c>
      <c r="AM34">
        <v>0.52799513157063405</v>
      </c>
      <c r="AN34">
        <v>1.0293112460295122</v>
      </c>
      <c r="AO34">
        <v>2.9311246029512183E-2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0.52799513157063405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0.97152343750000003</v>
      </c>
      <c r="BJ34">
        <v>0.97152343750000003</v>
      </c>
      <c r="BK34">
        <v>0.51295964520676718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2.8476562499999969E-2</v>
      </c>
      <c r="BW34">
        <v>0</v>
      </c>
      <c r="BX34">
        <v>0.45856379229323285</v>
      </c>
      <c r="BY34">
        <v>0</v>
      </c>
      <c r="BZ34">
        <v>0.51295964520676718</v>
      </c>
      <c r="CA34">
        <v>0</v>
      </c>
      <c r="CB34">
        <v>0</v>
      </c>
      <c r="CC34">
        <v>0</v>
      </c>
      <c r="CD34">
        <v>0</v>
      </c>
      <c r="CE34">
        <v>0</v>
      </c>
    </row>
    <row r="35" spans="1:83" x14ac:dyDescent="0.25">
      <c r="A35" t="s">
        <v>128</v>
      </c>
      <c r="B35" t="s">
        <v>134</v>
      </c>
      <c r="C35" t="s">
        <v>72</v>
      </c>
      <c r="D35" s="12">
        <v>45577</v>
      </c>
      <c r="E35" t="s">
        <v>135</v>
      </c>
      <c r="F35" t="s">
        <v>74</v>
      </c>
      <c r="G35">
        <v>5.3662728249194425</v>
      </c>
      <c r="H35">
        <v>7.6</v>
      </c>
      <c r="I35">
        <v>10</v>
      </c>
      <c r="J35">
        <v>1</v>
      </c>
      <c r="K35">
        <v>7.6</v>
      </c>
      <c r="L35">
        <v>45577</v>
      </c>
      <c r="M35" t="s">
        <v>152</v>
      </c>
      <c r="N35">
        <v>5.7943977591036422</v>
      </c>
      <c r="O35">
        <v>1.4162530024019213</v>
      </c>
      <c r="P35">
        <v>1.4162530024019213</v>
      </c>
      <c r="Q35">
        <v>1.0797806872949338</v>
      </c>
      <c r="R35">
        <v>0</v>
      </c>
      <c r="S35">
        <v>0</v>
      </c>
      <c r="T35">
        <v>0.16625300240192131</v>
      </c>
      <c r="U35">
        <v>0</v>
      </c>
      <c r="V35">
        <v>0</v>
      </c>
      <c r="W35">
        <v>0</v>
      </c>
      <c r="X35">
        <v>7.9780687294933816E-2</v>
      </c>
      <c r="Y35">
        <v>0</v>
      </c>
      <c r="Z35">
        <v>0.17021931270506618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0.70608852959466351</v>
      </c>
      <c r="AM35">
        <v>0.70608852959466351</v>
      </c>
      <c r="AN35">
        <v>0.76242075777679508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0.23757924222320492</v>
      </c>
      <c r="AZ35">
        <v>0</v>
      </c>
      <c r="BA35">
        <v>0</v>
      </c>
      <c r="BB35">
        <v>0</v>
      </c>
      <c r="BC35">
        <v>0.70608852959466351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1.3116117180701923</v>
      </c>
      <c r="BJ35">
        <v>1.3116117180701923</v>
      </c>
      <c r="BK35">
        <v>0.9261139894113124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0.31161171807019228</v>
      </c>
      <c r="BU35">
        <v>0</v>
      </c>
      <c r="BV35">
        <v>0</v>
      </c>
      <c r="BW35">
        <v>0</v>
      </c>
      <c r="BX35">
        <v>7.3886010588687601E-2</v>
      </c>
      <c r="BY35">
        <v>0</v>
      </c>
      <c r="BZ35">
        <v>0.9261139894113124</v>
      </c>
      <c r="CA35">
        <v>0</v>
      </c>
      <c r="CB35">
        <v>0</v>
      </c>
      <c r="CC35">
        <v>0</v>
      </c>
      <c r="CD35">
        <v>0</v>
      </c>
      <c r="CE35">
        <v>0</v>
      </c>
    </row>
    <row r="36" spans="1:83" x14ac:dyDescent="0.25">
      <c r="A36" t="s">
        <v>128</v>
      </c>
      <c r="B36" t="s">
        <v>134</v>
      </c>
      <c r="C36" t="s">
        <v>72</v>
      </c>
      <c r="D36" s="12">
        <v>45577</v>
      </c>
      <c r="E36" t="s">
        <v>135</v>
      </c>
      <c r="F36" t="s">
        <v>75</v>
      </c>
      <c r="G36">
        <v>11.626924453992126</v>
      </c>
      <c r="H36">
        <v>18.05</v>
      </c>
      <c r="I36">
        <v>10</v>
      </c>
      <c r="J36">
        <v>1</v>
      </c>
      <c r="K36">
        <v>18.05</v>
      </c>
      <c r="L36">
        <v>45577</v>
      </c>
      <c r="M36" t="s">
        <v>153</v>
      </c>
      <c r="N36">
        <v>10.056408770404715</v>
      </c>
      <c r="O36">
        <v>1.5524311757097982</v>
      </c>
      <c r="P36">
        <v>1.5524311757097982</v>
      </c>
      <c r="Q36">
        <v>0.86492423772064919</v>
      </c>
      <c r="R36">
        <v>0</v>
      </c>
      <c r="S36">
        <v>0</v>
      </c>
      <c r="T36">
        <v>0.30243117570979816</v>
      </c>
      <c r="U36">
        <v>0</v>
      </c>
      <c r="V36">
        <v>0</v>
      </c>
      <c r="W36">
        <v>0</v>
      </c>
      <c r="X36">
        <v>0</v>
      </c>
      <c r="Y36">
        <v>0</v>
      </c>
      <c r="Z36">
        <v>0.25</v>
      </c>
      <c r="AA36">
        <v>0</v>
      </c>
      <c r="AB36">
        <v>0</v>
      </c>
      <c r="AC36">
        <v>0</v>
      </c>
      <c r="AD36">
        <v>0.13507576227935081</v>
      </c>
      <c r="AE36">
        <v>0</v>
      </c>
      <c r="AF36">
        <v>0.86492423772064919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0.64415093927934219</v>
      </c>
      <c r="AM36">
        <v>0.64415093927934219</v>
      </c>
      <c r="AN36">
        <v>0.55714176013322525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0.35584906072065781</v>
      </c>
      <c r="AZ36">
        <v>0</v>
      </c>
      <c r="BA36">
        <v>8.7009179146116944E-2</v>
      </c>
      <c r="BB36">
        <v>0</v>
      </c>
      <c r="BC36">
        <v>0.55714176013322525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1.7948753289663251</v>
      </c>
      <c r="BJ36">
        <v>1.7948753289663251</v>
      </c>
      <c r="BK36">
        <v>1.1561706290429765</v>
      </c>
      <c r="CB36">
        <v>0</v>
      </c>
      <c r="CC36">
        <v>0</v>
      </c>
      <c r="CD36">
        <v>0</v>
      </c>
    </row>
    <row r="37" spans="1:83" x14ac:dyDescent="0.25">
      <c r="A37" t="s">
        <v>128</v>
      </c>
      <c r="B37" t="s">
        <v>181</v>
      </c>
      <c r="C37" t="s">
        <v>72</v>
      </c>
      <c r="D37" s="12">
        <v>45577</v>
      </c>
      <c r="E37" t="s">
        <v>135</v>
      </c>
      <c r="F37" t="s">
        <v>75</v>
      </c>
      <c r="G37">
        <v>12.417771069086861</v>
      </c>
      <c r="H37">
        <v>19</v>
      </c>
      <c r="I37">
        <v>10</v>
      </c>
      <c r="K37">
        <v>19</v>
      </c>
      <c r="L37">
        <v>45577</v>
      </c>
      <c r="M37" t="s">
        <v>153</v>
      </c>
      <c r="N37">
        <v>10.993315508021384</v>
      </c>
      <c r="O37">
        <v>1.5300652503812959</v>
      </c>
      <c r="P37">
        <v>1.5300652503812959</v>
      </c>
      <c r="Q37">
        <v>0.88528894975270112</v>
      </c>
      <c r="R37">
        <v>0</v>
      </c>
      <c r="S37">
        <v>0</v>
      </c>
      <c r="T37">
        <v>0.28006525038129593</v>
      </c>
      <c r="U37">
        <v>0</v>
      </c>
      <c r="V37">
        <v>0</v>
      </c>
      <c r="W37">
        <v>0</v>
      </c>
      <c r="X37">
        <v>0</v>
      </c>
      <c r="Y37">
        <v>0</v>
      </c>
      <c r="Z37">
        <v>0.25</v>
      </c>
      <c r="AA37">
        <v>0</v>
      </c>
      <c r="AB37">
        <v>0</v>
      </c>
      <c r="AC37">
        <v>0</v>
      </c>
      <c r="AD37">
        <v>0.11471105024729888</v>
      </c>
      <c r="AE37">
        <v>0</v>
      </c>
      <c r="AF37">
        <v>0.88528894975270112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0.65356689837299264</v>
      </c>
      <c r="AM37">
        <v>0.65356689837299264</v>
      </c>
      <c r="AN37">
        <v>0.57859555305375709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0.34643310162700736</v>
      </c>
      <c r="AZ37">
        <v>0</v>
      </c>
      <c r="BA37">
        <v>7.4971345319235549E-2</v>
      </c>
      <c r="BB37">
        <v>0</v>
      </c>
      <c r="BC37">
        <v>0.57859555305375709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1.7283229964733076</v>
      </c>
      <c r="BJ37">
        <v>1.7283229964733076</v>
      </c>
      <c r="BK37">
        <v>1.1295747001917764</v>
      </c>
      <c r="CB37">
        <v>0</v>
      </c>
      <c r="CC37">
        <v>0</v>
      </c>
      <c r="CD37">
        <v>0</v>
      </c>
    </row>
    <row r="38" spans="1:83" x14ac:dyDescent="0.25">
      <c r="A38" t="s">
        <v>128</v>
      </c>
      <c r="B38" t="s">
        <v>134</v>
      </c>
      <c r="C38" t="s">
        <v>72</v>
      </c>
      <c r="D38" s="12">
        <v>45578</v>
      </c>
      <c r="E38" t="s">
        <v>135</v>
      </c>
      <c r="F38" t="s">
        <v>73</v>
      </c>
      <c r="G38">
        <v>14.310060866451844</v>
      </c>
      <c r="H38">
        <v>16.149999999999999</v>
      </c>
      <c r="I38">
        <v>10</v>
      </c>
      <c r="J38">
        <v>1</v>
      </c>
      <c r="K38">
        <v>16.149999999999999</v>
      </c>
      <c r="L38">
        <v>45578</v>
      </c>
      <c r="M38" t="s">
        <v>154</v>
      </c>
      <c r="N38">
        <v>13.390151025445141</v>
      </c>
      <c r="O38">
        <v>1.1285766112890312</v>
      </c>
      <c r="P38">
        <v>1.1285766112890312</v>
      </c>
      <c r="Q38">
        <v>0.93571586804614393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0.1285766112890312</v>
      </c>
      <c r="AA38">
        <v>0</v>
      </c>
      <c r="AB38">
        <v>0</v>
      </c>
      <c r="AC38">
        <v>0</v>
      </c>
      <c r="AD38">
        <v>6.4284131953856072E-2</v>
      </c>
      <c r="AE38">
        <v>0</v>
      </c>
      <c r="AF38">
        <v>0.93571586804614393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0.88607188027565598</v>
      </c>
      <c r="AM38">
        <v>0.88607188027565598</v>
      </c>
      <c r="AN38">
        <v>0.82911151860341437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0.11392811972434402</v>
      </c>
      <c r="AZ38">
        <v>0</v>
      </c>
      <c r="BA38">
        <v>5.6960361672241611E-2</v>
      </c>
      <c r="BB38">
        <v>0</v>
      </c>
      <c r="BC38">
        <v>0.82911151860341437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1.2061103694282724</v>
      </c>
      <c r="BJ38">
        <v>1.2061103694282724</v>
      </c>
      <c r="BK38">
        <v>1.0687004828592754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6.8700482859275436E-2</v>
      </c>
      <c r="BS38">
        <v>0</v>
      </c>
      <c r="BT38">
        <v>0.137409886568997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1</v>
      </c>
      <c r="CA38">
        <v>0</v>
      </c>
      <c r="CB38">
        <v>0</v>
      </c>
      <c r="CC38">
        <v>0</v>
      </c>
      <c r="CD38">
        <v>0</v>
      </c>
      <c r="CE38">
        <v>0</v>
      </c>
    </row>
    <row r="39" spans="1:83" x14ac:dyDescent="0.25">
      <c r="A39" t="s">
        <v>128</v>
      </c>
      <c r="B39" t="s">
        <v>181</v>
      </c>
      <c r="C39" t="s">
        <v>72</v>
      </c>
      <c r="D39" s="12">
        <v>45578</v>
      </c>
      <c r="E39" t="s">
        <v>135</v>
      </c>
      <c r="F39" t="s">
        <v>73</v>
      </c>
      <c r="G39">
        <v>14.12921652156102</v>
      </c>
      <c r="H39">
        <v>16.149999999999999</v>
      </c>
      <c r="I39">
        <v>10</v>
      </c>
      <c r="K39">
        <v>16.149999999999999</v>
      </c>
      <c r="L39">
        <v>45578</v>
      </c>
      <c r="M39" t="s">
        <v>154</v>
      </c>
      <c r="N39">
        <v>13.844607843137254</v>
      </c>
      <c r="O39">
        <v>1.1430216229863337</v>
      </c>
      <c r="P39">
        <v>1.1430216229863337</v>
      </c>
      <c r="Q39">
        <v>0.97985672609734187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0.1430216229863337</v>
      </c>
      <c r="AA39">
        <v>0</v>
      </c>
      <c r="AB39">
        <v>0</v>
      </c>
      <c r="AC39">
        <v>0</v>
      </c>
      <c r="AD39">
        <v>2.0143273902658132E-2</v>
      </c>
      <c r="AE39">
        <v>0</v>
      </c>
      <c r="AF39">
        <v>0.97985672609734187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0.87487408802235422</v>
      </c>
      <c r="AM39">
        <v>0.87487408802235422</v>
      </c>
      <c r="AN39">
        <v>0.85725125963698179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0.12512591197764578</v>
      </c>
      <c r="AZ39">
        <v>0</v>
      </c>
      <c r="BA39">
        <v>1.7622828385372435E-2</v>
      </c>
      <c r="BB39">
        <v>0</v>
      </c>
      <c r="BC39">
        <v>0.85725125963698179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1.1665191374853945</v>
      </c>
      <c r="BJ39">
        <v>1.1665191374853945</v>
      </c>
      <c r="BK39">
        <v>1.0205573665681578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2.0557366568157764E-2</v>
      </c>
      <c r="BS39">
        <v>0</v>
      </c>
      <c r="BT39">
        <v>0.14596177091723672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1</v>
      </c>
      <c r="CA39">
        <v>0</v>
      </c>
      <c r="CB39">
        <v>0</v>
      </c>
      <c r="CC39">
        <v>0</v>
      </c>
      <c r="CD39">
        <v>0</v>
      </c>
      <c r="CE39">
        <v>0</v>
      </c>
    </row>
    <row r="40" spans="1:83" x14ac:dyDescent="0.25">
      <c r="A40" t="s">
        <v>128</v>
      </c>
      <c r="B40" t="s">
        <v>134</v>
      </c>
      <c r="C40" t="s">
        <v>72</v>
      </c>
      <c r="D40" s="12">
        <v>45578</v>
      </c>
      <c r="E40" t="s">
        <v>135</v>
      </c>
      <c r="F40" t="s">
        <v>74</v>
      </c>
      <c r="G40">
        <v>5.3662728249194425</v>
      </c>
      <c r="H40">
        <v>7.6</v>
      </c>
      <c r="I40">
        <v>10</v>
      </c>
      <c r="J40">
        <v>1</v>
      </c>
      <c r="K40">
        <v>7.6</v>
      </c>
      <c r="L40">
        <v>45578</v>
      </c>
      <c r="M40" t="s">
        <v>155</v>
      </c>
      <c r="N40">
        <v>4.8240896358543424</v>
      </c>
      <c r="O40">
        <v>1.4162530024019213</v>
      </c>
      <c r="P40">
        <v>1.4162530024019213</v>
      </c>
      <c r="Q40">
        <v>0.89896466192561886</v>
      </c>
      <c r="R40">
        <v>0</v>
      </c>
      <c r="S40">
        <v>0</v>
      </c>
      <c r="T40">
        <v>0.16625300240192131</v>
      </c>
      <c r="U40">
        <v>0</v>
      </c>
      <c r="V40">
        <v>0</v>
      </c>
      <c r="W40">
        <v>0</v>
      </c>
      <c r="X40">
        <v>0</v>
      </c>
      <c r="Y40">
        <v>0</v>
      </c>
      <c r="Z40">
        <v>0.25</v>
      </c>
      <c r="AA40">
        <v>0</v>
      </c>
      <c r="AB40">
        <v>0</v>
      </c>
      <c r="AC40">
        <v>0</v>
      </c>
      <c r="AD40">
        <v>0.10103533807438114</v>
      </c>
      <c r="AE40">
        <v>0</v>
      </c>
      <c r="AF40">
        <v>0.89896466192561886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0.70608852959466351</v>
      </c>
      <c r="AM40">
        <v>0.70608852959466351</v>
      </c>
      <c r="AN40">
        <v>0.63474863629662404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0.29391147040533649</v>
      </c>
      <c r="AZ40">
        <v>0</v>
      </c>
      <c r="BA40">
        <v>7.133989329803947E-2</v>
      </c>
      <c r="BB40">
        <v>0</v>
      </c>
      <c r="BC40">
        <v>0.63474863629662404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1.5754267797003829</v>
      </c>
      <c r="BJ40">
        <v>1.5754267797003829</v>
      </c>
      <c r="BK40">
        <v>1.1123907783626994</v>
      </c>
      <c r="CB40">
        <v>0</v>
      </c>
      <c r="CC40">
        <v>0</v>
      </c>
      <c r="CD40">
        <v>0</v>
      </c>
    </row>
    <row r="41" spans="1:83" x14ac:dyDescent="0.25">
      <c r="A41" t="s">
        <v>128</v>
      </c>
      <c r="B41" t="s">
        <v>181</v>
      </c>
      <c r="C41" t="s">
        <v>72</v>
      </c>
      <c r="D41" s="12">
        <v>45578</v>
      </c>
      <c r="E41" t="s">
        <v>135</v>
      </c>
      <c r="F41" t="s">
        <v>74</v>
      </c>
      <c r="G41">
        <v>3.5111676249447159</v>
      </c>
      <c r="H41">
        <v>5.6999999999999993</v>
      </c>
      <c r="I41">
        <v>10</v>
      </c>
      <c r="K41">
        <v>5.6999999999999993</v>
      </c>
      <c r="L41">
        <v>45578</v>
      </c>
      <c r="M41" t="s">
        <v>155</v>
      </c>
      <c r="N41">
        <v>7.7290552584670227</v>
      </c>
      <c r="O41">
        <v>1.6233915918752946</v>
      </c>
      <c r="P41">
        <v>1.6233915918752946</v>
      </c>
      <c r="Q41">
        <v>2.2012777753920871</v>
      </c>
      <c r="R41">
        <v>0.57788618351679255</v>
      </c>
      <c r="S41">
        <v>0</v>
      </c>
      <c r="T41">
        <v>0</v>
      </c>
      <c r="U41">
        <v>0</v>
      </c>
      <c r="V41">
        <v>0.37339159187529458</v>
      </c>
      <c r="W41">
        <v>0</v>
      </c>
      <c r="X41">
        <v>0.25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0.61599432016573974</v>
      </c>
      <c r="AM41">
        <v>0.61599432016573974</v>
      </c>
      <c r="AN41">
        <v>1.3559746067486007</v>
      </c>
      <c r="AO41">
        <v>0.35597460674860071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0.61599432016573974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0.73747693726937269</v>
      </c>
      <c r="BJ41">
        <v>0.73747693726937269</v>
      </c>
      <c r="BK41">
        <v>0.45428160461115907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0.26252306273062731</v>
      </c>
      <c r="BW41">
        <v>0</v>
      </c>
      <c r="BX41">
        <v>0.28319533265821362</v>
      </c>
      <c r="BY41">
        <v>0</v>
      </c>
      <c r="BZ41">
        <v>0.45428160461115907</v>
      </c>
      <c r="CA41">
        <v>0</v>
      </c>
      <c r="CB41">
        <v>0</v>
      </c>
      <c r="CC41">
        <v>0</v>
      </c>
      <c r="CD41">
        <v>0</v>
      </c>
      <c r="CE41">
        <v>0</v>
      </c>
    </row>
    <row r="42" spans="1:83" x14ac:dyDescent="0.25">
      <c r="A42" t="s">
        <v>128</v>
      </c>
      <c r="B42" t="s">
        <v>134</v>
      </c>
      <c r="C42" t="s">
        <v>72</v>
      </c>
      <c r="D42" s="12">
        <v>45578</v>
      </c>
      <c r="E42" t="s">
        <v>135</v>
      </c>
      <c r="F42" t="s">
        <v>75</v>
      </c>
      <c r="G42">
        <v>11.626924453992126</v>
      </c>
      <c r="H42">
        <v>13.3</v>
      </c>
      <c r="I42">
        <v>10</v>
      </c>
      <c r="J42">
        <v>1</v>
      </c>
      <c r="K42">
        <v>13.3</v>
      </c>
      <c r="L42">
        <v>45578</v>
      </c>
      <c r="M42" t="s">
        <v>156</v>
      </c>
      <c r="N42">
        <v>7.5878905408317197</v>
      </c>
      <c r="O42">
        <v>1.1438966557861669</v>
      </c>
      <c r="P42">
        <v>1.1438966557861669</v>
      </c>
      <c r="Q42">
        <v>0.6526137303856312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0.14389665578616695</v>
      </c>
      <c r="AA42">
        <v>0</v>
      </c>
      <c r="AB42">
        <v>0</v>
      </c>
      <c r="AC42">
        <v>0</v>
      </c>
      <c r="AD42">
        <v>0.3473862696143688</v>
      </c>
      <c r="AE42">
        <v>0</v>
      </c>
      <c r="AF42">
        <v>0.6526137303856312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0.87420484616482164</v>
      </c>
      <c r="AM42">
        <v>0.87420484616482164</v>
      </c>
      <c r="AN42">
        <v>0.57051808577682106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0.12579515383517836</v>
      </c>
      <c r="AZ42">
        <v>0</v>
      </c>
      <c r="BA42">
        <v>0.30368676038800058</v>
      </c>
      <c r="BB42">
        <v>0</v>
      </c>
      <c r="BC42">
        <v>0.57051808577682106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1.7527928122355554</v>
      </c>
      <c r="BJ42">
        <v>1.7527928122355554</v>
      </c>
      <c r="BK42">
        <v>1.5322999707791887</v>
      </c>
      <c r="CB42">
        <v>0</v>
      </c>
      <c r="CC42">
        <v>0</v>
      </c>
      <c r="CD42">
        <v>0</v>
      </c>
    </row>
    <row r="43" spans="1:83" x14ac:dyDescent="0.25">
      <c r="A43" t="s">
        <v>128</v>
      </c>
      <c r="B43" t="s">
        <v>181</v>
      </c>
      <c r="C43" t="s">
        <v>72</v>
      </c>
      <c r="D43" s="12">
        <v>45578</v>
      </c>
      <c r="E43" t="s">
        <v>135</v>
      </c>
      <c r="F43" t="s">
        <v>75</v>
      </c>
      <c r="G43">
        <v>12.417771069086861</v>
      </c>
      <c r="H43">
        <v>14.25</v>
      </c>
      <c r="I43">
        <v>10</v>
      </c>
      <c r="K43">
        <v>14.25</v>
      </c>
      <c r="L43">
        <v>45578</v>
      </c>
      <c r="M43" t="s">
        <v>156</v>
      </c>
      <c r="N43">
        <v>10.56550802139037</v>
      </c>
      <c r="O43">
        <v>1.147548937785972</v>
      </c>
      <c r="P43">
        <v>1.147548937785972</v>
      </c>
      <c r="Q43">
        <v>0.85083771979759193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0.147548937785972</v>
      </c>
      <c r="AA43">
        <v>0</v>
      </c>
      <c r="AB43">
        <v>0</v>
      </c>
      <c r="AC43">
        <v>0</v>
      </c>
      <c r="AD43">
        <v>0.14916228020240807</v>
      </c>
      <c r="AE43">
        <v>0</v>
      </c>
      <c r="AF43">
        <v>0.85083771979759193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0.87142253116399027</v>
      </c>
      <c r="AM43">
        <v>0.87142253116399027</v>
      </c>
      <c r="AN43">
        <v>0.74143915939581539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0.12857746883600973</v>
      </c>
      <c r="AZ43">
        <v>0</v>
      </c>
      <c r="BA43">
        <v>0.12998337176817487</v>
      </c>
      <c r="BB43">
        <v>0</v>
      </c>
      <c r="BC43">
        <v>0.74143915939581539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1.3487283310135398</v>
      </c>
      <c r="BJ43">
        <v>1.3487283310135398</v>
      </c>
      <c r="BK43">
        <v>1.1753122560644029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0.17531225606440293</v>
      </c>
      <c r="BS43">
        <v>0</v>
      </c>
      <c r="BT43">
        <v>0.17341607494913691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1</v>
      </c>
      <c r="CA43">
        <v>0</v>
      </c>
      <c r="CB43">
        <v>0</v>
      </c>
      <c r="CC43">
        <v>0</v>
      </c>
      <c r="CD43">
        <v>0</v>
      </c>
      <c r="CE43">
        <v>0</v>
      </c>
    </row>
    <row r="44" spans="1:83" x14ac:dyDescent="0.25">
      <c r="A44" t="s">
        <v>128</v>
      </c>
      <c r="B44" t="s">
        <v>134</v>
      </c>
      <c r="C44" t="s">
        <v>72</v>
      </c>
      <c r="D44" s="12">
        <v>45579</v>
      </c>
      <c r="E44" t="s">
        <v>135</v>
      </c>
      <c r="F44" t="s">
        <v>73</v>
      </c>
      <c r="G44">
        <v>14.310060866451844</v>
      </c>
      <c r="H44">
        <v>19</v>
      </c>
      <c r="I44">
        <v>10</v>
      </c>
      <c r="J44">
        <v>1</v>
      </c>
      <c r="K44">
        <v>19</v>
      </c>
      <c r="L44">
        <v>45579</v>
      </c>
      <c r="M44" t="s">
        <v>157</v>
      </c>
      <c r="N44">
        <v>9.2765469824293305</v>
      </c>
      <c r="O44">
        <v>1.3277371897518015</v>
      </c>
      <c r="P44">
        <v>1.3277371897518015</v>
      </c>
      <c r="Q44">
        <v>0.64825349584480385</v>
      </c>
      <c r="R44">
        <v>0</v>
      </c>
      <c r="S44">
        <v>0</v>
      </c>
      <c r="T44">
        <v>7.773718975180155E-2</v>
      </c>
      <c r="U44">
        <v>0</v>
      </c>
      <c r="V44">
        <v>0</v>
      </c>
      <c r="W44">
        <v>0</v>
      </c>
      <c r="X44">
        <v>0</v>
      </c>
      <c r="Y44">
        <v>0</v>
      </c>
      <c r="Z44">
        <v>0.25</v>
      </c>
      <c r="AA44">
        <v>0</v>
      </c>
      <c r="AB44">
        <v>0</v>
      </c>
      <c r="AC44">
        <v>0</v>
      </c>
      <c r="AD44">
        <v>0.35174650415519615</v>
      </c>
      <c r="AE44">
        <v>0</v>
      </c>
      <c r="AF44">
        <v>0.64825349584480385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0.75316109823430755</v>
      </c>
      <c r="AM44">
        <v>0.75316109823430755</v>
      </c>
      <c r="AN44">
        <v>0.48823931486470162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0.24683890176569245</v>
      </c>
      <c r="AZ44">
        <v>0</v>
      </c>
      <c r="BA44">
        <v>0.26492178336960592</v>
      </c>
      <c r="BB44">
        <v>0</v>
      </c>
      <c r="BC44">
        <v>0.48823931486470162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2.0481759038128975</v>
      </c>
      <c r="BJ44">
        <v>2.0481759038128975</v>
      </c>
      <c r="BK44">
        <v>1.5426064130927672</v>
      </c>
      <c r="CB44">
        <v>0</v>
      </c>
      <c r="CC44">
        <v>0</v>
      </c>
      <c r="CD44">
        <v>0</v>
      </c>
    </row>
    <row r="45" spans="1:83" x14ac:dyDescent="0.25">
      <c r="A45" t="s">
        <v>128</v>
      </c>
      <c r="B45" t="s">
        <v>181</v>
      </c>
      <c r="C45" t="s">
        <v>72</v>
      </c>
      <c r="D45" s="12">
        <v>45579</v>
      </c>
      <c r="E45" t="s">
        <v>135</v>
      </c>
      <c r="F45" t="s">
        <v>73</v>
      </c>
      <c r="G45">
        <v>14.129216521561023</v>
      </c>
      <c r="H45">
        <v>23.75</v>
      </c>
      <c r="I45">
        <v>10</v>
      </c>
      <c r="K45">
        <v>23.75</v>
      </c>
      <c r="L45">
        <v>45579</v>
      </c>
      <c r="M45" t="s">
        <v>157</v>
      </c>
      <c r="N45">
        <v>13.137885154061616</v>
      </c>
      <c r="O45">
        <v>1.6809141514504906</v>
      </c>
      <c r="P45">
        <v>1.6809141514504906</v>
      </c>
      <c r="Q45">
        <v>0.92983819265656753</v>
      </c>
      <c r="R45">
        <v>0</v>
      </c>
      <c r="S45">
        <v>0</v>
      </c>
      <c r="T45">
        <v>0.43091415145049061</v>
      </c>
      <c r="U45">
        <v>0</v>
      </c>
      <c r="V45">
        <v>0</v>
      </c>
      <c r="W45">
        <v>0</v>
      </c>
      <c r="X45">
        <v>0</v>
      </c>
      <c r="Y45">
        <v>0</v>
      </c>
      <c r="Z45">
        <v>0.25</v>
      </c>
      <c r="AA45">
        <v>0</v>
      </c>
      <c r="AB45">
        <v>0</v>
      </c>
      <c r="AC45">
        <v>0</v>
      </c>
      <c r="AD45">
        <v>7.016180734343247E-2</v>
      </c>
      <c r="AE45">
        <v>0</v>
      </c>
      <c r="AF45">
        <v>0.92983819265656753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0.59491437985520101</v>
      </c>
      <c r="AM45">
        <v>0.59491437985520101</v>
      </c>
      <c r="AN45">
        <v>0.55317411174996278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0.40508562014479899</v>
      </c>
      <c r="AZ45">
        <v>0</v>
      </c>
      <c r="BA45">
        <v>4.1740268105238232E-2</v>
      </c>
      <c r="BB45">
        <v>0</v>
      </c>
      <c r="BC45">
        <v>0.55317411174996278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1.8077490951926625</v>
      </c>
      <c r="BJ45">
        <v>1.8077490951926625</v>
      </c>
      <c r="BK45">
        <v>1.0754559319003436</v>
      </c>
      <c r="CB45">
        <v>0</v>
      </c>
      <c r="CC45">
        <v>0</v>
      </c>
      <c r="CD45">
        <v>0</v>
      </c>
    </row>
    <row r="46" spans="1:83" x14ac:dyDescent="0.25">
      <c r="A46" t="s">
        <v>128</v>
      </c>
      <c r="B46" t="s">
        <v>181</v>
      </c>
      <c r="C46" t="s">
        <v>72</v>
      </c>
      <c r="D46" s="12">
        <v>45579</v>
      </c>
      <c r="E46" t="s">
        <v>135</v>
      </c>
      <c r="F46" t="s">
        <v>74</v>
      </c>
      <c r="G46">
        <v>3.5111676249447159</v>
      </c>
      <c r="H46">
        <v>9.5</v>
      </c>
      <c r="I46">
        <v>10</v>
      </c>
      <c r="K46">
        <v>9.5</v>
      </c>
      <c r="L46">
        <v>45579</v>
      </c>
      <c r="M46" t="s">
        <v>158</v>
      </c>
      <c r="N46">
        <v>6.7878787878787872</v>
      </c>
      <c r="O46">
        <v>2.7056526531254912</v>
      </c>
      <c r="P46">
        <v>2.7056526531254912</v>
      </c>
      <c r="Q46">
        <v>1.9332255001598404</v>
      </c>
      <c r="R46">
        <v>0</v>
      </c>
      <c r="S46">
        <v>0</v>
      </c>
      <c r="T46">
        <v>0.77242715296565079</v>
      </c>
      <c r="U46">
        <v>0</v>
      </c>
      <c r="V46">
        <v>0.6832255001598404</v>
      </c>
      <c r="W46">
        <v>0</v>
      </c>
      <c r="X46">
        <v>0.25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0.36959659209944379</v>
      </c>
      <c r="AM46">
        <v>0.36959659209944379</v>
      </c>
      <c r="AN46">
        <v>0.71451355661881966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0.28548644338118034</v>
      </c>
      <c r="AZ46">
        <v>0</v>
      </c>
      <c r="BA46">
        <v>0</v>
      </c>
      <c r="BB46">
        <v>0</v>
      </c>
      <c r="BC46">
        <v>0.36959659209944379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1.3995535714285716</v>
      </c>
      <c r="BJ46">
        <v>1.3995535714285716</v>
      </c>
      <c r="BK46">
        <v>0.5172702304606055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0.39955357142857162</v>
      </c>
      <c r="BU46">
        <v>0</v>
      </c>
      <c r="BV46">
        <v>0</v>
      </c>
      <c r="BW46">
        <v>0</v>
      </c>
      <c r="BX46">
        <v>0.4827297695393945</v>
      </c>
      <c r="BY46">
        <v>0</v>
      </c>
      <c r="BZ46">
        <v>0.5172702304606055</v>
      </c>
      <c r="CA46">
        <v>0</v>
      </c>
      <c r="CB46">
        <v>0</v>
      </c>
      <c r="CC46">
        <v>0</v>
      </c>
      <c r="CD46">
        <v>0</v>
      </c>
      <c r="CE46">
        <v>0</v>
      </c>
    </row>
    <row r="47" spans="1:83" x14ac:dyDescent="0.25">
      <c r="A47" t="s">
        <v>128</v>
      </c>
      <c r="B47" t="s">
        <v>134</v>
      </c>
      <c r="C47" t="s">
        <v>72</v>
      </c>
      <c r="D47" s="12">
        <v>45579</v>
      </c>
      <c r="E47" t="s">
        <v>135</v>
      </c>
      <c r="F47" t="s">
        <v>74</v>
      </c>
      <c r="G47">
        <v>5.3662728249194425</v>
      </c>
      <c r="H47">
        <v>5.6999999999999993</v>
      </c>
      <c r="I47">
        <v>10</v>
      </c>
      <c r="J47">
        <v>1</v>
      </c>
      <c r="K47">
        <v>5.6999999999999993</v>
      </c>
      <c r="L47">
        <v>45579</v>
      </c>
      <c r="M47" t="s">
        <v>158</v>
      </c>
      <c r="N47">
        <v>5.7669467787114854</v>
      </c>
      <c r="O47">
        <v>1.0621897518014409</v>
      </c>
      <c r="P47">
        <v>1.0621897518014409</v>
      </c>
      <c r="Q47">
        <v>1.0746652223739777</v>
      </c>
      <c r="R47">
        <v>1.2475470572536729E-2</v>
      </c>
      <c r="S47">
        <v>0</v>
      </c>
      <c r="T47">
        <v>0</v>
      </c>
      <c r="U47">
        <v>0</v>
      </c>
      <c r="V47">
        <v>0</v>
      </c>
      <c r="W47">
        <v>0</v>
      </c>
      <c r="X47">
        <v>6.2189751801440929E-2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0.94145137279288471</v>
      </c>
      <c r="AM47">
        <v>0.94145137279288471</v>
      </c>
      <c r="AN47">
        <v>1.0117450488967519</v>
      </c>
      <c r="AO47">
        <v>1.1745048896751875E-2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0.94145137279288471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0.98839129590052432</v>
      </c>
      <c r="BJ47">
        <v>0.98839129590052432</v>
      </c>
      <c r="BK47">
        <v>0.93052234238208698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1.1608704099475675E-2</v>
      </c>
      <c r="BW47">
        <v>0</v>
      </c>
      <c r="BX47">
        <v>5.7868953518437349E-2</v>
      </c>
      <c r="BY47">
        <v>0</v>
      </c>
      <c r="BZ47">
        <v>0.93052234238208698</v>
      </c>
      <c r="CA47">
        <v>0</v>
      </c>
      <c r="CB47">
        <v>0</v>
      </c>
      <c r="CC47">
        <v>0</v>
      </c>
      <c r="CD47">
        <v>0</v>
      </c>
      <c r="CE47">
        <v>0</v>
      </c>
    </row>
    <row r="48" spans="1:83" x14ac:dyDescent="0.25">
      <c r="A48" t="s">
        <v>128</v>
      </c>
      <c r="B48" t="s">
        <v>181</v>
      </c>
      <c r="C48" t="s">
        <v>72</v>
      </c>
      <c r="D48" s="12">
        <v>45579</v>
      </c>
      <c r="E48" t="s">
        <v>135</v>
      </c>
      <c r="F48" t="s">
        <v>75</v>
      </c>
      <c r="G48">
        <v>12.417771069086861</v>
      </c>
      <c r="H48">
        <v>9.5</v>
      </c>
      <c r="I48">
        <v>10</v>
      </c>
      <c r="K48">
        <v>9.5</v>
      </c>
      <c r="L48">
        <v>45579</v>
      </c>
      <c r="M48" t="s">
        <v>159</v>
      </c>
      <c r="N48">
        <v>10.569837025719377</v>
      </c>
      <c r="O48">
        <v>0.76503262519064796</v>
      </c>
      <c r="P48">
        <v>0.76503262519064796</v>
      </c>
      <c r="Q48">
        <v>0.8511863334340426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8.6153708243394633E-2</v>
      </c>
      <c r="AB48">
        <v>0.1488136665659574</v>
      </c>
      <c r="AC48">
        <v>0</v>
      </c>
      <c r="AD48">
        <v>0</v>
      </c>
      <c r="AE48">
        <v>0</v>
      </c>
      <c r="AF48">
        <v>0.76503262519064796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1.3071337967459853</v>
      </c>
      <c r="AM48">
        <v>1.3071337967459853</v>
      </c>
      <c r="AN48">
        <v>1.1126144237599345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0.11261442375993447</v>
      </c>
      <c r="AV48">
        <v>0</v>
      </c>
      <c r="AW48">
        <v>0.19451937298605082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1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0.89878396203118716</v>
      </c>
      <c r="BJ48">
        <v>0.89878396203118716</v>
      </c>
      <c r="BK48">
        <v>1.1748308927442253</v>
      </c>
      <c r="BL48">
        <v>0.17483089274422525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0.23496737480935204</v>
      </c>
      <c r="BV48">
        <v>0</v>
      </c>
      <c r="BW48">
        <v>0</v>
      </c>
      <c r="BX48">
        <v>0</v>
      </c>
      <c r="BY48">
        <v>0</v>
      </c>
      <c r="BZ48">
        <v>0.89878396203118716</v>
      </c>
      <c r="CA48">
        <v>0</v>
      </c>
      <c r="CB48">
        <v>0</v>
      </c>
      <c r="CC48">
        <v>0</v>
      </c>
      <c r="CD48">
        <v>0</v>
      </c>
      <c r="CE48">
        <v>0</v>
      </c>
    </row>
    <row r="49" spans="1:83" x14ac:dyDescent="0.25">
      <c r="A49" t="s">
        <v>128</v>
      </c>
      <c r="B49" t="s">
        <v>134</v>
      </c>
      <c r="C49" t="s">
        <v>72</v>
      </c>
      <c r="D49" s="12">
        <v>45579</v>
      </c>
      <c r="E49" t="s">
        <v>135</v>
      </c>
      <c r="F49" t="s">
        <v>75</v>
      </c>
      <c r="G49">
        <v>11.626924453992126</v>
      </c>
      <c r="H49">
        <v>15.2</v>
      </c>
      <c r="I49">
        <v>10</v>
      </c>
      <c r="J49">
        <v>1</v>
      </c>
      <c r="K49">
        <v>15.2</v>
      </c>
      <c r="L49">
        <v>45579</v>
      </c>
      <c r="M49" t="s">
        <v>159</v>
      </c>
      <c r="N49">
        <v>10.029479377958076</v>
      </c>
      <c r="O49">
        <v>1.3073104637556194</v>
      </c>
      <c r="P49">
        <v>1.3073104637556194</v>
      </c>
      <c r="Q49">
        <v>0.86260811426485484</v>
      </c>
      <c r="R49">
        <v>0</v>
      </c>
      <c r="S49">
        <v>0</v>
      </c>
      <c r="T49">
        <v>5.7310463755619434E-2</v>
      </c>
      <c r="U49">
        <v>0</v>
      </c>
      <c r="V49">
        <v>0</v>
      </c>
      <c r="W49">
        <v>0</v>
      </c>
      <c r="X49">
        <v>0</v>
      </c>
      <c r="Y49">
        <v>0</v>
      </c>
      <c r="Z49">
        <v>0.25</v>
      </c>
      <c r="AA49">
        <v>0</v>
      </c>
      <c r="AB49">
        <v>0</v>
      </c>
      <c r="AC49">
        <v>0</v>
      </c>
      <c r="AD49">
        <v>0.13739188573514516</v>
      </c>
      <c r="AE49">
        <v>0</v>
      </c>
      <c r="AF49">
        <v>0.86260811426485484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0.76492924039421883</v>
      </c>
      <c r="AM49">
        <v>0.76492924039421883</v>
      </c>
      <c r="AN49">
        <v>0.65983416960250496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0.23507075960578117</v>
      </c>
      <c r="AZ49">
        <v>0</v>
      </c>
      <c r="BA49">
        <v>0.10509507079171387</v>
      </c>
      <c r="BB49">
        <v>0</v>
      </c>
      <c r="BC49">
        <v>0.65983416960250496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1.5155323050372134</v>
      </c>
      <c r="BJ49">
        <v>1.5155323050372134</v>
      </c>
      <c r="BK49">
        <v>1.1592749748850153</v>
      </c>
      <c r="CB49">
        <v>0</v>
      </c>
      <c r="CC49">
        <v>0</v>
      </c>
      <c r="CD49">
        <v>0</v>
      </c>
    </row>
    <row r="50" spans="1:83" x14ac:dyDescent="0.25">
      <c r="A50" t="s">
        <v>128</v>
      </c>
      <c r="B50" t="s">
        <v>134</v>
      </c>
      <c r="C50" t="s">
        <v>72</v>
      </c>
      <c r="D50" s="12">
        <v>45580</v>
      </c>
      <c r="E50" t="s">
        <v>135</v>
      </c>
      <c r="F50" t="s">
        <v>73</v>
      </c>
      <c r="G50">
        <v>14.310060866451844</v>
      </c>
      <c r="H50">
        <v>19</v>
      </c>
      <c r="I50">
        <v>10</v>
      </c>
      <c r="J50">
        <v>1</v>
      </c>
      <c r="K50">
        <v>19</v>
      </c>
      <c r="L50">
        <v>45580</v>
      </c>
      <c r="M50" t="s">
        <v>160</v>
      </c>
      <c r="N50">
        <v>11.7650114591291</v>
      </c>
      <c r="O50">
        <v>1.3277371897518015</v>
      </c>
      <c r="P50">
        <v>1.3277371897518015</v>
      </c>
      <c r="Q50">
        <v>0.82214964484956909</v>
      </c>
      <c r="R50">
        <v>0</v>
      </c>
      <c r="S50">
        <v>0</v>
      </c>
      <c r="T50">
        <v>7.773718975180155E-2</v>
      </c>
      <c r="U50">
        <v>0</v>
      </c>
      <c r="V50">
        <v>0</v>
      </c>
      <c r="W50">
        <v>0</v>
      </c>
      <c r="X50">
        <v>0</v>
      </c>
      <c r="Y50">
        <v>0</v>
      </c>
      <c r="Z50">
        <v>0.25</v>
      </c>
      <c r="AA50">
        <v>0</v>
      </c>
      <c r="AB50">
        <v>0</v>
      </c>
      <c r="AC50">
        <v>0</v>
      </c>
      <c r="AD50">
        <v>0.17785035515043091</v>
      </c>
      <c r="AE50">
        <v>0</v>
      </c>
      <c r="AF50">
        <v>0.82214964484956909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0.75316109823430755</v>
      </c>
      <c r="AM50">
        <v>0.75316109823430755</v>
      </c>
      <c r="AN50">
        <v>0.6192111294278474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0.24683890176569245</v>
      </c>
      <c r="AZ50">
        <v>0</v>
      </c>
      <c r="BA50">
        <v>0.13394996880646015</v>
      </c>
      <c r="BB50">
        <v>0</v>
      </c>
      <c r="BC50">
        <v>0.6192111294278474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1.6149580530375842</v>
      </c>
      <c r="BJ50">
        <v>1.6149580530375842</v>
      </c>
      <c r="BK50">
        <v>1.2163235808281261</v>
      </c>
      <c r="CB50">
        <v>0</v>
      </c>
      <c r="CC50">
        <v>0</v>
      </c>
      <c r="CD50">
        <v>0</v>
      </c>
    </row>
    <row r="51" spans="1:83" x14ac:dyDescent="0.25">
      <c r="A51" t="s">
        <v>128</v>
      </c>
      <c r="B51" t="s">
        <v>181</v>
      </c>
      <c r="C51" t="s">
        <v>72</v>
      </c>
      <c r="D51" s="12">
        <v>45580</v>
      </c>
      <c r="E51" t="s">
        <v>135</v>
      </c>
      <c r="F51" t="s">
        <v>73</v>
      </c>
      <c r="G51">
        <v>14.129216521561023</v>
      </c>
      <c r="H51">
        <v>20.9</v>
      </c>
      <c r="I51">
        <v>10</v>
      </c>
      <c r="K51">
        <v>20.9</v>
      </c>
      <c r="L51">
        <v>45580</v>
      </c>
      <c r="M51" t="s">
        <v>160</v>
      </c>
      <c r="N51">
        <v>11.1740522875817</v>
      </c>
      <c r="O51">
        <v>1.4792044532764317</v>
      </c>
      <c r="P51">
        <v>1.4792044532764317</v>
      </c>
      <c r="Q51">
        <v>0.79084726817868667</v>
      </c>
      <c r="R51">
        <v>0</v>
      </c>
      <c r="S51">
        <v>0</v>
      </c>
      <c r="T51">
        <v>0.22920445327643169</v>
      </c>
      <c r="U51">
        <v>0</v>
      </c>
      <c r="V51">
        <v>0</v>
      </c>
      <c r="W51">
        <v>0</v>
      </c>
      <c r="X51">
        <v>0</v>
      </c>
      <c r="Y51">
        <v>0</v>
      </c>
      <c r="Z51">
        <v>0.25</v>
      </c>
      <c r="AA51">
        <v>0</v>
      </c>
      <c r="AB51">
        <v>0</v>
      </c>
      <c r="AC51">
        <v>0</v>
      </c>
      <c r="AD51">
        <v>0.20915273182131333</v>
      </c>
      <c r="AE51">
        <v>0</v>
      </c>
      <c r="AF51">
        <v>0.79084726817868667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0.67603906801727387</v>
      </c>
      <c r="AM51">
        <v>0.67603906801727387</v>
      </c>
      <c r="AN51">
        <v>0.53464365012352633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0.32396093198272613</v>
      </c>
      <c r="AZ51">
        <v>0</v>
      </c>
      <c r="BA51">
        <v>0.14139541789374754</v>
      </c>
      <c r="BB51">
        <v>0</v>
      </c>
      <c r="BC51">
        <v>0.53464365012352633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1.8704047074513195</v>
      </c>
      <c r="BJ51">
        <v>1.8704047074513195</v>
      </c>
      <c r="BK51">
        <v>1.2644666552405119</v>
      </c>
      <c r="CB51">
        <v>0</v>
      </c>
      <c r="CC51">
        <v>0</v>
      </c>
      <c r="CD51">
        <v>0</v>
      </c>
    </row>
    <row r="52" spans="1:83" x14ac:dyDescent="0.25">
      <c r="A52" t="s">
        <v>128</v>
      </c>
      <c r="B52" t="s">
        <v>134</v>
      </c>
      <c r="C52" t="s">
        <v>72</v>
      </c>
      <c r="D52" s="12">
        <v>45580</v>
      </c>
      <c r="E52" t="s">
        <v>135</v>
      </c>
      <c r="F52" t="s">
        <v>74</v>
      </c>
      <c r="G52">
        <v>5.3662728249194425</v>
      </c>
      <c r="H52">
        <v>6.6499999999999995</v>
      </c>
      <c r="I52">
        <v>10</v>
      </c>
      <c r="J52">
        <v>1</v>
      </c>
      <c r="K52">
        <v>6.6499999999999995</v>
      </c>
      <c r="L52">
        <v>45580</v>
      </c>
      <c r="M52" t="s">
        <v>161</v>
      </c>
      <c r="N52">
        <v>5.8218487394957998</v>
      </c>
      <c r="O52">
        <v>1.2392213771016811</v>
      </c>
      <c r="P52">
        <v>1.2392213771016811</v>
      </c>
      <c r="Q52">
        <v>1.0848961522158904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8.4896152215890419E-2</v>
      </c>
      <c r="Y52">
        <v>0</v>
      </c>
      <c r="Z52">
        <v>0.1543252248857907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0.80695831953675834</v>
      </c>
      <c r="AM52">
        <v>0.80695831953675834</v>
      </c>
      <c r="AN52">
        <v>0.87546597586403008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0.12453402413596992</v>
      </c>
      <c r="AZ52">
        <v>0</v>
      </c>
      <c r="BA52">
        <v>0</v>
      </c>
      <c r="BB52">
        <v>0</v>
      </c>
      <c r="BC52">
        <v>0.80695831953675834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1.1422488452655886</v>
      </c>
      <c r="BJ52">
        <v>1.1422488452655886</v>
      </c>
      <c r="BK52">
        <v>0.92174720866832205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0.14224884526558856</v>
      </c>
      <c r="BU52">
        <v>0</v>
      </c>
      <c r="BV52">
        <v>0</v>
      </c>
      <c r="BW52">
        <v>0</v>
      </c>
      <c r="BX52">
        <v>7.8252791331677951E-2</v>
      </c>
      <c r="BY52">
        <v>0</v>
      </c>
      <c r="BZ52">
        <v>0.92174720866832205</v>
      </c>
      <c r="CA52">
        <v>0</v>
      </c>
      <c r="CB52">
        <v>0</v>
      </c>
      <c r="CC52">
        <v>0</v>
      </c>
      <c r="CD52">
        <v>0</v>
      </c>
      <c r="CE52">
        <v>0</v>
      </c>
    </row>
    <row r="53" spans="1:83" x14ac:dyDescent="0.25">
      <c r="A53" t="s">
        <v>128</v>
      </c>
      <c r="B53" t="s">
        <v>181</v>
      </c>
      <c r="C53" t="s">
        <v>72</v>
      </c>
      <c r="D53" s="12">
        <v>45580</v>
      </c>
      <c r="E53" t="s">
        <v>135</v>
      </c>
      <c r="F53" t="s">
        <v>74</v>
      </c>
      <c r="G53">
        <v>3.5111676249447159</v>
      </c>
      <c r="H53">
        <v>7.6</v>
      </c>
      <c r="I53">
        <v>10</v>
      </c>
      <c r="K53">
        <v>7.6</v>
      </c>
      <c r="L53">
        <v>45580</v>
      </c>
      <c r="M53" t="s">
        <v>161</v>
      </c>
      <c r="N53">
        <v>6.8163992869875214</v>
      </c>
      <c r="O53">
        <v>2.1645221225003928</v>
      </c>
      <c r="P53">
        <v>2.1645221225003928</v>
      </c>
      <c r="Q53">
        <v>1.9413482963789992</v>
      </c>
      <c r="R53">
        <v>0</v>
      </c>
      <c r="S53">
        <v>0</v>
      </c>
      <c r="T53">
        <v>0.22317382612139358</v>
      </c>
      <c r="U53">
        <v>0</v>
      </c>
      <c r="V53">
        <v>0.69134829637899919</v>
      </c>
      <c r="W53">
        <v>0</v>
      </c>
      <c r="X53">
        <v>0.25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0.46199574012430472</v>
      </c>
      <c r="AM53">
        <v>0.46199574012430472</v>
      </c>
      <c r="AN53">
        <v>0.89689464302467392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0.10310535697532608</v>
      </c>
      <c r="AZ53">
        <v>0</v>
      </c>
      <c r="BA53">
        <v>0</v>
      </c>
      <c r="BB53">
        <v>0</v>
      </c>
      <c r="BC53">
        <v>0.46199574012430472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1.114958158995816</v>
      </c>
      <c r="BJ53">
        <v>1.114958158995816</v>
      </c>
      <c r="BK53">
        <v>0.51510591987290422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0.11495815899581596</v>
      </c>
      <c r="BU53">
        <v>0</v>
      </c>
      <c r="BV53">
        <v>0</v>
      </c>
      <c r="BW53">
        <v>0</v>
      </c>
      <c r="BX53">
        <v>0.48489408012709578</v>
      </c>
      <c r="BY53">
        <v>0</v>
      </c>
      <c r="BZ53">
        <v>0.51510591987290422</v>
      </c>
      <c r="CA53">
        <v>0</v>
      </c>
      <c r="CB53">
        <v>0</v>
      </c>
      <c r="CC53">
        <v>0</v>
      </c>
      <c r="CD53">
        <v>0</v>
      </c>
      <c r="CE53">
        <v>0</v>
      </c>
    </row>
    <row r="54" spans="1:83" x14ac:dyDescent="0.25">
      <c r="A54" t="s">
        <v>128</v>
      </c>
      <c r="B54" t="s">
        <v>134</v>
      </c>
      <c r="C54" t="s">
        <v>72</v>
      </c>
      <c r="D54" s="12">
        <v>45580</v>
      </c>
      <c r="E54" t="s">
        <v>135</v>
      </c>
      <c r="F54" t="s">
        <v>75</v>
      </c>
      <c r="G54">
        <v>11.626924453992126</v>
      </c>
      <c r="H54">
        <v>14.25</v>
      </c>
      <c r="I54">
        <v>10</v>
      </c>
      <c r="J54">
        <v>1</v>
      </c>
      <c r="K54">
        <v>14.25</v>
      </c>
      <c r="L54">
        <v>45580</v>
      </c>
      <c r="M54" t="s">
        <v>162</v>
      </c>
      <c r="N54">
        <v>11.234888438133879</v>
      </c>
      <c r="O54">
        <v>1.2256035597708932</v>
      </c>
      <c r="P54">
        <v>1.2256035597708932</v>
      </c>
      <c r="Q54">
        <v>0.96628205357233221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0.22560355977089319</v>
      </c>
      <c r="AA54">
        <v>0</v>
      </c>
      <c r="AB54">
        <v>0</v>
      </c>
      <c r="AC54">
        <v>0</v>
      </c>
      <c r="AD54">
        <v>3.3717946427667789E-2</v>
      </c>
      <c r="AE54">
        <v>0</v>
      </c>
      <c r="AF54">
        <v>0.96628205357233221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0.81592452308716679</v>
      </c>
      <c r="AM54">
        <v>0.81592452308716679</v>
      </c>
      <c r="AN54">
        <v>0.78841322372869327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0.18407547691283321</v>
      </c>
      <c r="AZ54">
        <v>0</v>
      </c>
      <c r="BA54">
        <v>2.7511299358473518E-2</v>
      </c>
      <c r="BB54">
        <v>0</v>
      </c>
      <c r="BC54">
        <v>0.78841322372869327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1.2683704051419074</v>
      </c>
      <c r="BJ54">
        <v>1.2683704051419074</v>
      </c>
      <c r="BK54">
        <v>1.0348945179132873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3.4894517913287348E-2</v>
      </c>
      <c r="BS54">
        <v>0</v>
      </c>
      <c r="BT54">
        <v>0.23347588722862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1</v>
      </c>
      <c r="CA54">
        <v>0</v>
      </c>
      <c r="CB54">
        <v>0</v>
      </c>
      <c r="CC54">
        <v>0</v>
      </c>
      <c r="CD54">
        <v>0</v>
      </c>
      <c r="CE54">
        <v>0</v>
      </c>
    </row>
    <row r="55" spans="1:83" x14ac:dyDescent="0.25">
      <c r="A55" t="s">
        <v>128</v>
      </c>
      <c r="B55" t="s">
        <v>181</v>
      </c>
      <c r="C55" t="s">
        <v>72</v>
      </c>
      <c r="D55" s="12">
        <v>45580</v>
      </c>
      <c r="E55" t="s">
        <v>135</v>
      </c>
      <c r="F55" t="s">
        <v>75</v>
      </c>
      <c r="G55">
        <v>12.417771069086861</v>
      </c>
      <c r="H55">
        <v>11.4</v>
      </c>
      <c r="I55">
        <v>10</v>
      </c>
      <c r="K55">
        <v>11.4</v>
      </c>
      <c r="L55">
        <v>45580</v>
      </c>
      <c r="M55" t="s">
        <v>162</v>
      </c>
      <c r="N55">
        <v>10.722341057635171</v>
      </c>
      <c r="O55">
        <v>0.91803915022877747</v>
      </c>
      <c r="P55">
        <v>0.91803915022877747</v>
      </c>
      <c r="Q55">
        <v>0.86346744500127404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8.1960849771222533E-2</v>
      </c>
      <c r="AC55">
        <v>0</v>
      </c>
      <c r="AD55">
        <v>5.4571705227503431E-2</v>
      </c>
      <c r="AE55">
        <v>0</v>
      </c>
      <c r="AF55">
        <v>0.86346744500127404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1.089278163954988</v>
      </c>
      <c r="AM55">
        <v>1.089278163954988</v>
      </c>
      <c r="AN55">
        <v>0.94055623312589232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8.9278163954987999E-2</v>
      </c>
      <c r="AX55">
        <v>0</v>
      </c>
      <c r="AY55">
        <v>0</v>
      </c>
      <c r="AZ55">
        <v>0</v>
      </c>
      <c r="BA55">
        <v>5.9443766874107684E-2</v>
      </c>
      <c r="BB55">
        <v>0</v>
      </c>
      <c r="BC55">
        <v>0.94055623312589232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1.0632006516787935</v>
      </c>
      <c r="BJ55">
        <v>1.0632006516787935</v>
      </c>
      <c r="BK55">
        <v>1.1581212537764229</v>
      </c>
      <c r="BL55">
        <v>9.4920602097629425E-2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6.3200651678793518E-2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1</v>
      </c>
      <c r="CA55">
        <v>0</v>
      </c>
      <c r="CB55">
        <v>0</v>
      </c>
      <c r="CC55">
        <v>0</v>
      </c>
      <c r="CD55">
        <v>0</v>
      </c>
      <c r="CE55">
        <v>0</v>
      </c>
    </row>
    <row r="56" spans="1:83" x14ac:dyDescent="0.25">
      <c r="A56" t="s">
        <v>128</v>
      </c>
      <c r="B56" t="s">
        <v>134</v>
      </c>
      <c r="C56" t="s">
        <v>72</v>
      </c>
      <c r="D56" s="12">
        <v>45581</v>
      </c>
      <c r="E56" t="s">
        <v>135</v>
      </c>
      <c r="F56" t="s">
        <v>73</v>
      </c>
      <c r="G56">
        <v>14.310060866451844</v>
      </c>
      <c r="H56">
        <v>18.05</v>
      </c>
      <c r="I56">
        <v>10</v>
      </c>
      <c r="J56">
        <v>1</v>
      </c>
      <c r="K56">
        <v>18.05</v>
      </c>
      <c r="L56">
        <v>45581</v>
      </c>
      <c r="M56" t="s">
        <v>163</v>
      </c>
      <c r="N56">
        <v>9.8826585179526294</v>
      </c>
      <c r="O56">
        <v>1.2613503302642115</v>
      </c>
      <c r="P56">
        <v>1.2613503302642115</v>
      </c>
      <c r="Q56">
        <v>0.69060911831069094</v>
      </c>
      <c r="R56">
        <v>0</v>
      </c>
      <c r="S56">
        <v>0</v>
      </c>
      <c r="T56">
        <v>1.1350330264211506E-2</v>
      </c>
      <c r="U56">
        <v>0</v>
      </c>
      <c r="V56">
        <v>0</v>
      </c>
      <c r="W56">
        <v>0</v>
      </c>
      <c r="X56">
        <v>0</v>
      </c>
      <c r="Y56">
        <v>0</v>
      </c>
      <c r="Z56">
        <v>0.25</v>
      </c>
      <c r="AA56">
        <v>0</v>
      </c>
      <c r="AB56">
        <v>0</v>
      </c>
      <c r="AC56">
        <v>0</v>
      </c>
      <c r="AD56">
        <v>0.30939088168930906</v>
      </c>
      <c r="AE56">
        <v>0</v>
      </c>
      <c r="AF56">
        <v>0.69060911831069094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0.79280115603611323</v>
      </c>
      <c r="AM56">
        <v>0.79280115603611323</v>
      </c>
      <c r="AN56">
        <v>0.54751570736579658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0.20719884396388677</v>
      </c>
      <c r="AZ56">
        <v>0</v>
      </c>
      <c r="BA56">
        <v>0.24528544867031665</v>
      </c>
      <c r="BB56">
        <v>0</v>
      </c>
      <c r="BC56">
        <v>0.54751570736579658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1.8264316193067636</v>
      </c>
      <c r="BJ56">
        <v>1.8264316193067636</v>
      </c>
      <c r="BK56">
        <v>1.4479970992073123</v>
      </c>
      <c r="CB56">
        <v>0</v>
      </c>
      <c r="CC56">
        <v>0</v>
      </c>
      <c r="CD56">
        <v>0</v>
      </c>
    </row>
    <row r="57" spans="1:83" x14ac:dyDescent="0.25">
      <c r="A57" t="s">
        <v>128</v>
      </c>
      <c r="B57" t="s">
        <v>181</v>
      </c>
      <c r="C57" t="s">
        <v>72</v>
      </c>
      <c r="D57" s="12">
        <v>45581</v>
      </c>
      <c r="E57" t="s">
        <v>135</v>
      </c>
      <c r="F57" t="s">
        <v>73</v>
      </c>
      <c r="G57">
        <v>14.129216521561023</v>
      </c>
      <c r="H57">
        <v>21.85</v>
      </c>
      <c r="I57">
        <v>10</v>
      </c>
      <c r="K57">
        <v>21.85</v>
      </c>
      <c r="L57">
        <v>45581</v>
      </c>
      <c r="M57" t="s">
        <v>163</v>
      </c>
      <c r="N57">
        <v>12.2953283945157</v>
      </c>
      <c r="O57">
        <v>1.5464410193344511</v>
      </c>
      <c r="P57">
        <v>1.5464410193344511</v>
      </c>
      <c r="Q57">
        <v>0.87020595768726239</v>
      </c>
      <c r="R57">
        <v>0</v>
      </c>
      <c r="S57">
        <v>0</v>
      </c>
      <c r="T57">
        <v>0.29644101933445111</v>
      </c>
      <c r="U57">
        <v>0</v>
      </c>
      <c r="V57">
        <v>0</v>
      </c>
      <c r="W57">
        <v>0</v>
      </c>
      <c r="X57">
        <v>0</v>
      </c>
      <c r="Y57">
        <v>0</v>
      </c>
      <c r="Z57">
        <v>0.25</v>
      </c>
      <c r="AA57">
        <v>0</v>
      </c>
      <c r="AB57">
        <v>0</v>
      </c>
      <c r="AC57">
        <v>0</v>
      </c>
      <c r="AD57">
        <v>0.12979404231273761</v>
      </c>
      <c r="AE57">
        <v>0</v>
      </c>
      <c r="AF57">
        <v>0.87020595768726239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0.64664606506000111</v>
      </c>
      <c r="AM57">
        <v>0.64664606506000111</v>
      </c>
      <c r="AN57">
        <v>0.56271525833023806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0.35335393493999889</v>
      </c>
      <c r="AZ57">
        <v>0</v>
      </c>
      <c r="BA57">
        <v>8.3930806729763052E-2</v>
      </c>
      <c r="BB57">
        <v>0</v>
      </c>
      <c r="BC57">
        <v>0.56271525833023806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1.7770977154010896</v>
      </c>
      <c r="BJ57">
        <v>1.7770977154010896</v>
      </c>
      <c r="BK57">
        <v>1.1491532448912325</v>
      </c>
      <c r="CB57">
        <v>0</v>
      </c>
      <c r="CC57">
        <v>0</v>
      </c>
      <c r="CD57">
        <v>0</v>
      </c>
    </row>
    <row r="58" spans="1:83" x14ac:dyDescent="0.25">
      <c r="A58" t="s">
        <v>128</v>
      </c>
      <c r="B58" t="s">
        <v>134</v>
      </c>
      <c r="C58" t="s">
        <v>72</v>
      </c>
      <c r="D58" s="12">
        <v>45581</v>
      </c>
      <c r="E58" t="s">
        <v>135</v>
      </c>
      <c r="F58" t="s">
        <v>74</v>
      </c>
      <c r="G58">
        <v>5.3662728249194425</v>
      </c>
      <c r="H58">
        <v>6.6499999999999995</v>
      </c>
      <c r="I58">
        <v>10</v>
      </c>
      <c r="J58">
        <v>1</v>
      </c>
      <c r="K58">
        <v>6.6499999999999995</v>
      </c>
      <c r="L58">
        <v>45581</v>
      </c>
      <c r="M58" t="s">
        <v>164</v>
      </c>
      <c r="N58">
        <v>4.8515406162465</v>
      </c>
      <c r="O58">
        <v>1.2392213771016811</v>
      </c>
      <c r="P58">
        <v>1.2392213771016811</v>
      </c>
      <c r="Q58">
        <v>0.90408012684657535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0.23922137710168112</v>
      </c>
      <c r="AA58">
        <v>0</v>
      </c>
      <c r="AB58">
        <v>0</v>
      </c>
      <c r="AC58">
        <v>0</v>
      </c>
      <c r="AD58">
        <v>9.5919873153424651E-2</v>
      </c>
      <c r="AE58">
        <v>0</v>
      </c>
      <c r="AF58">
        <v>0.90408012684657535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0.80695831953675834</v>
      </c>
      <c r="AM58">
        <v>0.80695831953675834</v>
      </c>
      <c r="AN58">
        <v>0.72955497988669182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0.19304168046324166</v>
      </c>
      <c r="AZ58">
        <v>0</v>
      </c>
      <c r="BA58">
        <v>7.7403339650066516E-2</v>
      </c>
      <c r="BB58">
        <v>0</v>
      </c>
      <c r="BC58">
        <v>0.72955497988669182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1.3706986143187061</v>
      </c>
      <c r="BJ58">
        <v>1.3706986143187061</v>
      </c>
      <c r="BK58">
        <v>1.1060966504019865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0.10609665040198646</v>
      </c>
      <c r="BS58">
        <v>0</v>
      </c>
      <c r="BT58">
        <v>0.26460196391671964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1</v>
      </c>
      <c r="CA58">
        <v>0</v>
      </c>
      <c r="CB58">
        <v>0</v>
      </c>
      <c r="CC58">
        <v>0</v>
      </c>
      <c r="CD58">
        <v>0</v>
      </c>
      <c r="CE58">
        <v>0</v>
      </c>
    </row>
    <row r="59" spans="1:83" x14ac:dyDescent="0.25">
      <c r="A59" t="s">
        <v>128</v>
      </c>
      <c r="B59" t="s">
        <v>181</v>
      </c>
      <c r="C59" t="s">
        <v>72</v>
      </c>
      <c r="D59" s="12">
        <v>45581</v>
      </c>
      <c r="E59" t="s">
        <v>135</v>
      </c>
      <c r="F59" t="s">
        <v>74</v>
      </c>
      <c r="G59">
        <v>3.5111676249447159</v>
      </c>
      <c r="H59">
        <v>5.6999999999999993</v>
      </c>
      <c r="I59">
        <v>10</v>
      </c>
      <c r="K59">
        <v>5.6999999999999993</v>
      </c>
      <c r="L59">
        <v>45581</v>
      </c>
      <c r="M59" t="s">
        <v>164</v>
      </c>
      <c r="N59">
        <v>6.7880664227413456</v>
      </c>
      <c r="O59">
        <v>1.6233915918752946</v>
      </c>
      <c r="P59">
        <v>1.6233915918752946</v>
      </c>
      <c r="Q59">
        <v>1.9332789396086509</v>
      </c>
      <c r="R59">
        <v>0.30988734773335636</v>
      </c>
      <c r="S59">
        <v>0</v>
      </c>
      <c r="T59">
        <v>0</v>
      </c>
      <c r="U59">
        <v>0</v>
      </c>
      <c r="V59">
        <v>0.37339159187529458</v>
      </c>
      <c r="W59">
        <v>0</v>
      </c>
      <c r="X59">
        <v>0.25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0.61599432016573974</v>
      </c>
      <c r="AM59">
        <v>0.61599432016573974</v>
      </c>
      <c r="AN59">
        <v>1.1908888460949731</v>
      </c>
      <c r="AO59">
        <v>0.19088884609497314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0.61599432016573974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0.83970893108881317</v>
      </c>
      <c r="BJ59">
        <v>0.83970893108881317</v>
      </c>
      <c r="BK59">
        <v>0.51725593214315346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0.16029106891118683</v>
      </c>
      <c r="BW59">
        <v>0</v>
      </c>
      <c r="BX59">
        <v>0.32245299894565971</v>
      </c>
      <c r="BY59">
        <v>0</v>
      </c>
      <c r="BZ59">
        <v>0.51725593214315346</v>
      </c>
      <c r="CA59">
        <v>0</v>
      </c>
      <c r="CB59">
        <v>0</v>
      </c>
      <c r="CC59">
        <v>0</v>
      </c>
      <c r="CD59">
        <v>0</v>
      </c>
      <c r="CE59">
        <v>0</v>
      </c>
    </row>
    <row r="60" spans="1:83" x14ac:dyDescent="0.25">
      <c r="A60" t="s">
        <v>128</v>
      </c>
      <c r="B60" t="s">
        <v>181</v>
      </c>
      <c r="C60" t="s">
        <v>72</v>
      </c>
      <c r="D60" s="12">
        <v>45581</v>
      </c>
      <c r="E60" t="s">
        <v>135</v>
      </c>
      <c r="F60" t="s">
        <v>75</v>
      </c>
      <c r="G60">
        <v>12.417771069086861</v>
      </c>
      <c r="H60">
        <v>11.4</v>
      </c>
      <c r="I60">
        <v>10</v>
      </c>
      <c r="K60">
        <v>11.4</v>
      </c>
      <c r="L60">
        <v>45581</v>
      </c>
      <c r="M60" t="s">
        <v>165</v>
      </c>
      <c r="N60">
        <v>10.519210794365591</v>
      </c>
      <c r="O60">
        <v>0.91803915022877747</v>
      </c>
      <c r="P60">
        <v>0.91803915022877747</v>
      </c>
      <c r="Q60">
        <v>0.84710941567866416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8.1960849771222533E-2</v>
      </c>
      <c r="AC60">
        <v>0</v>
      </c>
      <c r="AD60">
        <v>7.092973455011331E-2</v>
      </c>
      <c r="AE60">
        <v>0</v>
      </c>
      <c r="AF60">
        <v>0.84710941567866416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1.089278163954988</v>
      </c>
      <c r="AM60">
        <v>1.089278163954988</v>
      </c>
      <c r="AN60">
        <v>0.92273778897943792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8.9278163954987999E-2</v>
      </c>
      <c r="AX60">
        <v>0</v>
      </c>
      <c r="AY60">
        <v>0</v>
      </c>
      <c r="AZ60">
        <v>0</v>
      </c>
      <c r="BA60">
        <v>7.7262211020562077E-2</v>
      </c>
      <c r="BB60">
        <v>0</v>
      </c>
      <c r="BC60">
        <v>0.92273778897943792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1.0837314911596014</v>
      </c>
      <c r="BJ60">
        <v>1.0837314911596014</v>
      </c>
      <c r="BK60">
        <v>1.1804850489105321</v>
      </c>
      <c r="BL60">
        <v>9.6753557750930641E-2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8.3731491159601434E-2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1</v>
      </c>
      <c r="CA60">
        <v>0</v>
      </c>
      <c r="CB60">
        <v>0</v>
      </c>
      <c r="CC60">
        <v>0</v>
      </c>
      <c r="CD60">
        <v>0</v>
      </c>
      <c r="CE60">
        <v>0</v>
      </c>
    </row>
    <row r="61" spans="1:83" x14ac:dyDescent="0.25">
      <c r="A61" t="s">
        <v>128</v>
      </c>
      <c r="B61" t="s">
        <v>134</v>
      </c>
      <c r="C61" t="s">
        <v>72</v>
      </c>
      <c r="D61" s="12">
        <v>45581</v>
      </c>
      <c r="E61" t="s">
        <v>135</v>
      </c>
      <c r="F61" t="s">
        <v>75</v>
      </c>
      <c r="G61">
        <v>11.626924453992125</v>
      </c>
      <c r="H61">
        <v>14.25</v>
      </c>
      <c r="I61">
        <v>10</v>
      </c>
      <c r="J61">
        <v>1</v>
      </c>
      <c r="K61">
        <v>14.25</v>
      </c>
      <c r="L61">
        <v>45581</v>
      </c>
      <c r="M61" t="s">
        <v>165</v>
      </c>
      <c r="N61">
        <v>10.236646382691006</v>
      </c>
      <c r="O61">
        <v>1.2256035597708934</v>
      </c>
      <c r="P61">
        <v>1.2256035597708934</v>
      </c>
      <c r="Q61">
        <v>0.88042598222750434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0.22560355977089341</v>
      </c>
      <c r="AA61">
        <v>0</v>
      </c>
      <c r="AB61">
        <v>0</v>
      </c>
      <c r="AC61">
        <v>0</v>
      </c>
      <c r="AD61">
        <v>0.11957401777249566</v>
      </c>
      <c r="AE61">
        <v>0</v>
      </c>
      <c r="AF61">
        <v>0.88042598222750434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0.81592452308716668</v>
      </c>
      <c r="AM61">
        <v>0.81592452308716668</v>
      </c>
      <c r="AN61">
        <v>0.71836114966252673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0.18407547691283332</v>
      </c>
      <c r="AZ61">
        <v>0</v>
      </c>
      <c r="BA61">
        <v>9.7563373424639943E-2</v>
      </c>
      <c r="BB61">
        <v>0</v>
      </c>
      <c r="BC61">
        <v>0.71836114966252673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1.3920574636723912</v>
      </c>
      <c r="BJ61">
        <v>1.3920574636723912</v>
      </c>
      <c r="BK61">
        <v>1.1358138221568266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0.13581382215682658</v>
      </c>
      <c r="BS61">
        <v>0</v>
      </c>
      <c r="BT61">
        <v>0.25624364151556467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1</v>
      </c>
      <c r="CA61">
        <v>0</v>
      </c>
      <c r="CB61">
        <v>0</v>
      </c>
      <c r="CC61">
        <v>0</v>
      </c>
      <c r="CD61">
        <v>0</v>
      </c>
      <c r="CE61">
        <v>0</v>
      </c>
    </row>
    <row r="62" spans="1:83" x14ac:dyDescent="0.25">
      <c r="A62" t="s">
        <v>128</v>
      </c>
      <c r="B62" t="s">
        <v>181</v>
      </c>
      <c r="C62" t="s">
        <v>72</v>
      </c>
      <c r="D62" s="12">
        <v>45582</v>
      </c>
      <c r="E62" t="s">
        <v>135</v>
      </c>
      <c r="F62" t="s">
        <v>73</v>
      </c>
      <c r="G62">
        <v>14.12921652156102</v>
      </c>
      <c r="H62">
        <v>16.149999999999999</v>
      </c>
      <c r="I62">
        <v>10</v>
      </c>
      <c r="K62">
        <v>16.149999999999999</v>
      </c>
      <c r="L62">
        <v>45582</v>
      </c>
      <c r="M62" t="s">
        <v>166</v>
      </c>
      <c r="N62">
        <v>13.835679271708679</v>
      </c>
      <c r="O62">
        <v>1.1430216229863337</v>
      </c>
      <c r="P62">
        <v>1.1430216229863337</v>
      </c>
      <c r="Q62">
        <v>0.97922480348401442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0.1430216229863337</v>
      </c>
      <c r="AA62">
        <v>0</v>
      </c>
      <c r="AB62">
        <v>0</v>
      </c>
      <c r="AC62">
        <v>0</v>
      </c>
      <c r="AD62">
        <v>2.0775196515985583E-2</v>
      </c>
      <c r="AE62">
        <v>0</v>
      </c>
      <c r="AF62">
        <v>0.97922480348401442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0.87487408802235422</v>
      </c>
      <c r="AM62">
        <v>0.87487408802235422</v>
      </c>
      <c r="AN62">
        <v>0.85669840691694621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0.12512591197764578</v>
      </c>
      <c r="AZ62">
        <v>0</v>
      </c>
      <c r="BA62">
        <v>1.8175681105408015E-2</v>
      </c>
      <c r="BB62">
        <v>0</v>
      </c>
      <c r="BC62">
        <v>0.85669840691694621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1.1672719266500824</v>
      </c>
      <c r="BJ62">
        <v>1.1672719266500824</v>
      </c>
      <c r="BK62">
        <v>1.0212159623020871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2.121596230208711E-2</v>
      </c>
      <c r="BS62">
        <v>0</v>
      </c>
      <c r="BT62">
        <v>0.14605596434799528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1</v>
      </c>
      <c r="CA62">
        <v>0</v>
      </c>
      <c r="CB62">
        <v>0</v>
      </c>
      <c r="CC62">
        <v>0</v>
      </c>
      <c r="CD62">
        <v>0</v>
      </c>
      <c r="CE62">
        <v>0</v>
      </c>
    </row>
    <row r="63" spans="1:83" x14ac:dyDescent="0.25">
      <c r="A63" t="s">
        <v>128</v>
      </c>
      <c r="B63" t="s">
        <v>134</v>
      </c>
      <c r="C63" t="s">
        <v>72</v>
      </c>
      <c r="D63" s="12">
        <v>45582</v>
      </c>
      <c r="E63" t="s">
        <v>135</v>
      </c>
      <c r="F63" t="s">
        <v>73</v>
      </c>
      <c r="G63">
        <v>14.310060866451844</v>
      </c>
      <c r="H63">
        <v>17.099999999999998</v>
      </c>
      <c r="I63">
        <v>10</v>
      </c>
      <c r="J63">
        <v>1</v>
      </c>
      <c r="K63">
        <v>17.099999999999998</v>
      </c>
      <c r="L63">
        <v>45582</v>
      </c>
      <c r="M63" t="s">
        <v>166</v>
      </c>
      <c r="N63">
        <v>12.961613971101633</v>
      </c>
      <c r="O63">
        <v>1.1949634707766212</v>
      </c>
      <c r="P63">
        <v>1.1949634707766212</v>
      </c>
      <c r="Q63">
        <v>0.90576931098095625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0.19496347077662124</v>
      </c>
      <c r="AA63">
        <v>0</v>
      </c>
      <c r="AB63">
        <v>0</v>
      </c>
      <c r="AC63">
        <v>0</v>
      </c>
      <c r="AD63">
        <v>9.4230689019043745E-2</v>
      </c>
      <c r="AE63">
        <v>0</v>
      </c>
      <c r="AF63">
        <v>0.90576931098095625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0.83684566470478627</v>
      </c>
      <c r="AM63">
        <v>0.83684566470478627</v>
      </c>
      <c r="AN63">
        <v>0.75798912111705463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0.16315433529521373</v>
      </c>
      <c r="AZ63">
        <v>0</v>
      </c>
      <c r="BA63">
        <v>7.8856543587731642E-2</v>
      </c>
      <c r="BB63">
        <v>0</v>
      </c>
      <c r="BC63">
        <v>0.75798912111705463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1.3192801481455196</v>
      </c>
      <c r="BJ63">
        <v>1.3192801481455196</v>
      </c>
      <c r="BK63">
        <v>1.1040338725066663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0.10403387250666629</v>
      </c>
      <c r="BS63">
        <v>0</v>
      </c>
      <c r="BT63">
        <v>0.21524627563885335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1</v>
      </c>
      <c r="CA63">
        <v>0</v>
      </c>
      <c r="CB63">
        <v>0</v>
      </c>
      <c r="CC63">
        <v>0</v>
      </c>
      <c r="CD63">
        <v>0</v>
      </c>
      <c r="CE63">
        <v>0</v>
      </c>
    </row>
    <row r="64" spans="1:83" x14ac:dyDescent="0.25">
      <c r="A64" t="s">
        <v>128</v>
      </c>
      <c r="B64" t="s">
        <v>181</v>
      </c>
      <c r="C64" t="s">
        <v>72</v>
      </c>
      <c r="D64" s="12">
        <v>45582</v>
      </c>
      <c r="E64" t="s">
        <v>135</v>
      </c>
      <c r="F64" t="s">
        <v>74</v>
      </c>
      <c r="G64">
        <v>3.5111676249447159</v>
      </c>
      <c r="H64">
        <v>5.6999999999999993</v>
      </c>
      <c r="I64">
        <v>10</v>
      </c>
      <c r="K64">
        <v>5.6999999999999993</v>
      </c>
      <c r="L64">
        <v>45582</v>
      </c>
      <c r="M64" t="s">
        <v>167</v>
      </c>
      <c r="N64">
        <v>7.7290552584670227</v>
      </c>
      <c r="O64">
        <v>1.6233915918752946</v>
      </c>
      <c r="P64">
        <v>1.6233915918752946</v>
      </c>
      <c r="Q64">
        <v>2.2012777753920871</v>
      </c>
      <c r="R64">
        <v>0.57788618351679255</v>
      </c>
      <c r="S64">
        <v>0</v>
      </c>
      <c r="T64">
        <v>0</v>
      </c>
      <c r="U64">
        <v>0</v>
      </c>
      <c r="V64">
        <v>0.37339159187529458</v>
      </c>
      <c r="W64">
        <v>0</v>
      </c>
      <c r="X64">
        <v>0.25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1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0.61599432016573974</v>
      </c>
      <c r="AM64">
        <v>0.61599432016573974</v>
      </c>
      <c r="AN64">
        <v>1.3559746067486007</v>
      </c>
      <c r="AO64">
        <v>0.35597460674860071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0.61599432016573974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0.73747693726937269</v>
      </c>
      <c r="BJ64">
        <v>0.73747693726937269</v>
      </c>
      <c r="BK64">
        <v>0.45428160461115907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0.26252306273062731</v>
      </c>
      <c r="BW64">
        <v>0</v>
      </c>
      <c r="BX64">
        <v>0.28319533265821362</v>
      </c>
      <c r="BY64">
        <v>0</v>
      </c>
      <c r="BZ64">
        <v>0.45428160461115907</v>
      </c>
      <c r="CA64">
        <v>0</v>
      </c>
      <c r="CB64">
        <v>0</v>
      </c>
      <c r="CC64">
        <v>0</v>
      </c>
      <c r="CD64">
        <v>0</v>
      </c>
      <c r="CE64">
        <v>0</v>
      </c>
    </row>
    <row r="65" spans="1:83" x14ac:dyDescent="0.25">
      <c r="A65" t="s">
        <v>128</v>
      </c>
      <c r="B65" t="s">
        <v>134</v>
      </c>
      <c r="C65" t="s">
        <v>72</v>
      </c>
      <c r="D65" s="12">
        <v>45582</v>
      </c>
      <c r="E65" t="s">
        <v>135</v>
      </c>
      <c r="F65" t="s">
        <v>74</v>
      </c>
      <c r="G65">
        <v>5.3662728249194425</v>
      </c>
      <c r="H65">
        <v>6.6499999999999995</v>
      </c>
      <c r="I65">
        <v>10</v>
      </c>
      <c r="J65">
        <v>1</v>
      </c>
      <c r="K65">
        <v>6.6499999999999995</v>
      </c>
      <c r="L65">
        <v>45582</v>
      </c>
      <c r="M65" t="s">
        <v>167</v>
      </c>
      <c r="N65">
        <v>5.7943977591036422</v>
      </c>
      <c r="O65">
        <v>1.2392213771016811</v>
      </c>
      <c r="P65">
        <v>1.2392213771016811</v>
      </c>
      <c r="Q65">
        <v>1.0797806872949338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7.9780687294933816E-2</v>
      </c>
      <c r="Y65">
        <v>0</v>
      </c>
      <c r="Z65">
        <v>0.1594406898067473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0.80695831953675834</v>
      </c>
      <c r="AM65">
        <v>0.80695831953675834</v>
      </c>
      <c r="AN65">
        <v>0.8713380088877658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0.1286619911122342</v>
      </c>
      <c r="AZ65">
        <v>0</v>
      </c>
      <c r="BA65">
        <v>0</v>
      </c>
      <c r="BB65">
        <v>0</v>
      </c>
      <c r="BC65">
        <v>0.80695831953675834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1.1476602533114182</v>
      </c>
      <c r="BJ65">
        <v>1.1476602533114182</v>
      </c>
      <c r="BK65">
        <v>0.9261139894113124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0.14766025331141819</v>
      </c>
      <c r="BU65">
        <v>0</v>
      </c>
      <c r="BV65">
        <v>0</v>
      </c>
      <c r="BW65">
        <v>0</v>
      </c>
      <c r="BX65">
        <v>7.3886010588687601E-2</v>
      </c>
      <c r="BY65">
        <v>0</v>
      </c>
      <c r="BZ65">
        <v>0.9261139894113124</v>
      </c>
      <c r="CA65">
        <v>0</v>
      </c>
      <c r="CB65">
        <v>0</v>
      </c>
      <c r="CC65">
        <v>0</v>
      </c>
      <c r="CD65">
        <v>0</v>
      </c>
      <c r="CE65">
        <v>0</v>
      </c>
    </row>
    <row r="66" spans="1:83" x14ac:dyDescent="0.25">
      <c r="A66" t="s">
        <v>128</v>
      </c>
      <c r="B66" t="s">
        <v>134</v>
      </c>
      <c r="C66" t="s">
        <v>72</v>
      </c>
      <c r="D66" s="12">
        <v>45582</v>
      </c>
      <c r="E66" t="s">
        <v>135</v>
      </c>
      <c r="F66" t="s">
        <v>75</v>
      </c>
      <c r="G66">
        <v>11.626924453992126</v>
      </c>
      <c r="H66">
        <v>14.25</v>
      </c>
      <c r="I66">
        <v>10</v>
      </c>
      <c r="J66">
        <v>1</v>
      </c>
      <c r="K66">
        <v>14.25</v>
      </c>
      <c r="L66">
        <v>45582</v>
      </c>
      <c r="M66" t="s">
        <v>168</v>
      </c>
      <c r="N66">
        <v>11.010839931078101</v>
      </c>
      <c r="O66">
        <v>1.2256035597708932</v>
      </c>
      <c r="P66">
        <v>1.2256035597708932</v>
      </c>
      <c r="Q66">
        <v>0.94701225372609243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0.22560355977089319</v>
      </c>
      <c r="AA66">
        <v>0</v>
      </c>
      <c r="AB66">
        <v>0</v>
      </c>
      <c r="AC66">
        <v>0</v>
      </c>
      <c r="AD66">
        <v>5.2987746273907566E-2</v>
      </c>
      <c r="AE66">
        <v>0</v>
      </c>
      <c r="AF66">
        <v>0.94701225372609243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0.81592452308716679</v>
      </c>
      <c r="AM66">
        <v>0.81592452308716679</v>
      </c>
      <c r="AN66">
        <v>0.77269052147916495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0.18407547691283321</v>
      </c>
      <c r="AZ66">
        <v>0</v>
      </c>
      <c r="BA66">
        <v>4.3234001608001837E-2</v>
      </c>
      <c r="BB66">
        <v>0</v>
      </c>
      <c r="BC66">
        <v>0.77269052147916495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1.2941791987893103</v>
      </c>
      <c r="BJ66">
        <v>1.2941791987893103</v>
      </c>
      <c r="BK66">
        <v>1.0559525455614995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5.5952545561499534E-2</v>
      </c>
      <c r="BS66">
        <v>0</v>
      </c>
      <c r="BT66">
        <v>0.23822665322781078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1</v>
      </c>
      <c r="CA66">
        <v>0</v>
      </c>
      <c r="CB66">
        <v>0</v>
      </c>
      <c r="CC66">
        <v>0</v>
      </c>
      <c r="CD66">
        <v>0</v>
      </c>
      <c r="CE66">
        <v>0</v>
      </c>
    </row>
    <row r="67" spans="1:83" x14ac:dyDescent="0.25">
      <c r="A67" t="s">
        <v>128</v>
      </c>
      <c r="B67" t="s">
        <v>181</v>
      </c>
      <c r="C67" t="s">
        <v>72</v>
      </c>
      <c r="D67" s="12">
        <v>45582</v>
      </c>
      <c r="E67" t="s">
        <v>135</v>
      </c>
      <c r="F67" t="s">
        <v>75</v>
      </c>
      <c r="G67">
        <v>12.417771069086861</v>
      </c>
      <c r="H67">
        <v>13.3</v>
      </c>
      <c r="I67">
        <v>10</v>
      </c>
      <c r="K67">
        <v>13.3</v>
      </c>
      <c r="L67">
        <v>45582</v>
      </c>
      <c r="M67" t="s">
        <v>168</v>
      </c>
      <c r="N67">
        <v>10.513018843901197</v>
      </c>
      <c r="O67">
        <v>1.0710456752669071</v>
      </c>
      <c r="P67">
        <v>1.0710456752669071</v>
      </c>
      <c r="Q67">
        <v>0.84661077945562979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7.1045675266907082E-2</v>
      </c>
      <c r="AA67">
        <v>0</v>
      </c>
      <c r="AB67">
        <v>0</v>
      </c>
      <c r="AC67">
        <v>0</v>
      </c>
      <c r="AD67">
        <v>0.15338922054437021</v>
      </c>
      <c r="AE67">
        <v>0</v>
      </c>
      <c r="AF67">
        <v>0.84661077945562979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0.93366699767570394</v>
      </c>
      <c r="AM67">
        <v>0.93366699767570394</v>
      </c>
      <c r="AN67">
        <v>0.79045254465422543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6.6333002324296064E-2</v>
      </c>
      <c r="AZ67">
        <v>0</v>
      </c>
      <c r="BA67">
        <v>0.1432144530214785</v>
      </c>
      <c r="BB67">
        <v>0</v>
      </c>
      <c r="BC67">
        <v>0.79045254465422543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1.2650980843352699</v>
      </c>
      <c r="BJ67">
        <v>1.2650980843352699</v>
      </c>
      <c r="BK67">
        <v>1.181180330166596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0.18118033016659596</v>
      </c>
      <c r="BS67">
        <v>0</v>
      </c>
      <c r="BT67">
        <v>8.3917754168673975E-2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1</v>
      </c>
      <c r="CA67">
        <v>0</v>
      </c>
      <c r="CB67">
        <v>0</v>
      </c>
      <c r="CC67">
        <v>0</v>
      </c>
      <c r="CD67">
        <v>0</v>
      </c>
      <c r="CE67">
        <v>0</v>
      </c>
    </row>
    <row r="68" spans="1:83" x14ac:dyDescent="0.25">
      <c r="A68" t="s">
        <v>128</v>
      </c>
      <c r="B68" t="s">
        <v>134</v>
      </c>
      <c r="C68" t="s">
        <v>72</v>
      </c>
      <c r="D68" s="12">
        <v>45583</v>
      </c>
      <c r="E68" t="s">
        <v>135</v>
      </c>
      <c r="F68" t="s">
        <v>73</v>
      </c>
      <c r="G68">
        <v>14.310060866451844</v>
      </c>
      <c r="H68">
        <v>17.099999999999998</v>
      </c>
      <c r="I68">
        <v>10</v>
      </c>
      <c r="J68">
        <v>1</v>
      </c>
      <c r="K68">
        <v>17.099999999999998</v>
      </c>
      <c r="L68">
        <v>45583</v>
      </c>
      <c r="M68" t="s">
        <v>169</v>
      </c>
      <c r="N68">
        <v>13.219556913674561</v>
      </c>
      <c r="O68">
        <v>1.1949634707766212</v>
      </c>
      <c r="P68">
        <v>1.1949634707766212</v>
      </c>
      <c r="Q68">
        <v>0.92379459717506629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0.19496347077662124</v>
      </c>
      <c r="AA68">
        <v>0</v>
      </c>
      <c r="AB68">
        <v>0</v>
      </c>
      <c r="AC68">
        <v>0</v>
      </c>
      <c r="AD68">
        <v>7.620540282493371E-2</v>
      </c>
      <c r="AE68">
        <v>0</v>
      </c>
      <c r="AF68">
        <v>0.92379459717506629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0.83684566470478627</v>
      </c>
      <c r="AM68">
        <v>0.83684566470478627</v>
      </c>
      <c r="AN68">
        <v>0.77307350372365857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0.16315433529521373</v>
      </c>
      <c r="AZ68">
        <v>0</v>
      </c>
      <c r="BA68">
        <v>6.3772160981127701E-2</v>
      </c>
      <c r="BB68">
        <v>0</v>
      </c>
      <c r="BC68">
        <v>0.77307350372365857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1.2935380596842421</v>
      </c>
      <c r="BJ68">
        <v>1.2935380596842421</v>
      </c>
      <c r="BK68">
        <v>1.0824917173773989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8.249171737739891E-2</v>
      </c>
      <c r="BS68">
        <v>0</v>
      </c>
      <c r="BT68">
        <v>0.21104634230684316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1</v>
      </c>
      <c r="CA68">
        <v>0</v>
      </c>
      <c r="CB68">
        <v>0</v>
      </c>
      <c r="CC68">
        <v>0</v>
      </c>
      <c r="CD68">
        <v>0</v>
      </c>
      <c r="CE68">
        <v>0</v>
      </c>
    </row>
    <row r="69" spans="1:83" x14ac:dyDescent="0.25">
      <c r="A69" t="s">
        <v>128</v>
      </c>
      <c r="B69" t="s">
        <v>181</v>
      </c>
      <c r="C69" t="s">
        <v>72</v>
      </c>
      <c r="D69" s="12">
        <v>45583</v>
      </c>
      <c r="E69" t="s">
        <v>135</v>
      </c>
      <c r="F69" t="s">
        <v>73</v>
      </c>
      <c r="G69">
        <v>14.129216521561023</v>
      </c>
      <c r="H69">
        <v>22.799999999999997</v>
      </c>
      <c r="I69">
        <v>10</v>
      </c>
      <c r="K69">
        <v>22.799999999999997</v>
      </c>
      <c r="L69">
        <v>45583</v>
      </c>
      <c r="M69" t="s">
        <v>169</v>
      </c>
      <c r="N69">
        <v>12.071813725490191</v>
      </c>
      <c r="O69">
        <v>1.6136775853924707</v>
      </c>
      <c r="P69">
        <v>1.6136775853924707</v>
      </c>
      <c r="Q69">
        <v>0.85438663262529391</v>
      </c>
      <c r="R69">
        <v>0</v>
      </c>
      <c r="S69">
        <v>0</v>
      </c>
      <c r="T69">
        <v>0.36367758539247075</v>
      </c>
      <c r="U69">
        <v>0</v>
      </c>
      <c r="V69">
        <v>0</v>
      </c>
      <c r="W69">
        <v>0</v>
      </c>
      <c r="X69">
        <v>0</v>
      </c>
      <c r="Y69">
        <v>0</v>
      </c>
      <c r="Z69">
        <v>0.25</v>
      </c>
      <c r="AA69">
        <v>0</v>
      </c>
      <c r="AB69">
        <v>0</v>
      </c>
      <c r="AC69">
        <v>0</v>
      </c>
      <c r="AD69">
        <v>0.14561336737470609</v>
      </c>
      <c r="AE69">
        <v>0</v>
      </c>
      <c r="AF69">
        <v>0.85438663262529391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0.61970247901583442</v>
      </c>
      <c r="AM69">
        <v>0.61970247901583442</v>
      </c>
      <c r="AN69">
        <v>0.52946551427588562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0.38029752098416558</v>
      </c>
      <c r="AZ69">
        <v>0</v>
      </c>
      <c r="BA69">
        <v>9.02369647399488E-2</v>
      </c>
      <c r="BB69">
        <v>0</v>
      </c>
      <c r="BC69">
        <v>0.52946551427588562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1.8886971351998869</v>
      </c>
      <c r="BJ69">
        <v>1.8886971351998869</v>
      </c>
      <c r="BK69">
        <v>1.1704302967934745</v>
      </c>
      <c r="CB69">
        <v>0</v>
      </c>
      <c r="CC69">
        <v>0</v>
      </c>
      <c r="CD69">
        <v>0</v>
      </c>
    </row>
    <row r="70" spans="1:83" x14ac:dyDescent="0.25">
      <c r="A70" t="s">
        <v>128</v>
      </c>
      <c r="B70" t="s">
        <v>134</v>
      </c>
      <c r="C70" t="s">
        <v>72</v>
      </c>
      <c r="D70" s="12">
        <v>45583</v>
      </c>
      <c r="E70" t="s">
        <v>135</v>
      </c>
      <c r="F70" t="s">
        <v>74</v>
      </c>
      <c r="G70">
        <v>5.3662728249194425</v>
      </c>
      <c r="H70">
        <v>5.6999999999999993</v>
      </c>
      <c r="I70">
        <v>10</v>
      </c>
      <c r="J70">
        <v>1</v>
      </c>
      <c r="K70">
        <v>5.6999999999999993</v>
      </c>
      <c r="L70">
        <v>45583</v>
      </c>
      <c r="M70" t="s">
        <v>170</v>
      </c>
      <c r="N70">
        <v>5.7943977591036422</v>
      </c>
      <c r="O70">
        <v>1.0621897518014409</v>
      </c>
      <c r="P70">
        <v>1.0621897518014409</v>
      </c>
      <c r="Q70">
        <v>1.0797806872949338</v>
      </c>
      <c r="R70">
        <v>1.7590935493492887E-2</v>
      </c>
      <c r="S70">
        <v>0</v>
      </c>
      <c r="T70">
        <v>0</v>
      </c>
      <c r="U70">
        <v>0</v>
      </c>
      <c r="V70">
        <v>0</v>
      </c>
      <c r="W70">
        <v>0</v>
      </c>
      <c r="X70">
        <v>6.2189751801440929E-2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0.94145137279288471</v>
      </c>
      <c r="AM70">
        <v>0.94145137279288471</v>
      </c>
      <c r="AN70">
        <v>1.0165610103690601</v>
      </c>
      <c r="AO70">
        <v>1.6561010369060103E-2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0.94145137279288471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0.9837087885526441</v>
      </c>
      <c r="BJ70">
        <v>0.9837087885526441</v>
      </c>
      <c r="BK70">
        <v>0.9261139894113124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1.6291211447355902E-2</v>
      </c>
      <c r="BW70">
        <v>0</v>
      </c>
      <c r="BX70">
        <v>5.7594799141331698E-2</v>
      </c>
      <c r="BY70">
        <v>0</v>
      </c>
      <c r="BZ70">
        <v>0.9261139894113124</v>
      </c>
      <c r="CA70">
        <v>0</v>
      </c>
      <c r="CB70">
        <v>0</v>
      </c>
      <c r="CC70">
        <v>0</v>
      </c>
      <c r="CD70">
        <v>0</v>
      </c>
      <c r="CE70">
        <v>0</v>
      </c>
    </row>
    <row r="71" spans="1:83" x14ac:dyDescent="0.25">
      <c r="A71" t="s">
        <v>128</v>
      </c>
      <c r="B71" t="s">
        <v>181</v>
      </c>
      <c r="C71" t="s">
        <v>72</v>
      </c>
      <c r="D71" s="12">
        <v>45583</v>
      </c>
      <c r="E71" t="s">
        <v>135</v>
      </c>
      <c r="F71" t="s">
        <v>74</v>
      </c>
      <c r="G71">
        <v>3.5111676249447159</v>
      </c>
      <c r="H71">
        <v>7.6</v>
      </c>
      <c r="I71">
        <v>10</v>
      </c>
      <c r="K71">
        <v>7.6</v>
      </c>
      <c r="L71">
        <v>45583</v>
      </c>
      <c r="M71" t="s">
        <v>170</v>
      </c>
      <c r="N71">
        <v>6.8163992869875214</v>
      </c>
      <c r="O71">
        <v>2.1645221225003928</v>
      </c>
      <c r="P71">
        <v>2.1645221225003928</v>
      </c>
      <c r="Q71">
        <v>1.9413482963789992</v>
      </c>
      <c r="R71">
        <v>0</v>
      </c>
      <c r="S71">
        <v>0</v>
      </c>
      <c r="T71">
        <v>0.22317382612139358</v>
      </c>
      <c r="U71">
        <v>0</v>
      </c>
      <c r="V71">
        <v>0.69134829637899919</v>
      </c>
      <c r="W71">
        <v>0</v>
      </c>
      <c r="X71">
        <v>0.25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0.46199574012430472</v>
      </c>
      <c r="AM71">
        <v>0.46199574012430472</v>
      </c>
      <c r="AN71">
        <v>0.89689464302467392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0.10310535697532608</v>
      </c>
      <c r="AZ71">
        <v>0</v>
      </c>
      <c r="BA71">
        <v>0</v>
      </c>
      <c r="BB71">
        <v>0</v>
      </c>
      <c r="BC71">
        <v>0.46199574012430472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1.114958158995816</v>
      </c>
      <c r="BJ71">
        <v>1.114958158995816</v>
      </c>
      <c r="BK71">
        <v>0.51510591987290422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0.11495815899581596</v>
      </c>
      <c r="BU71">
        <v>0</v>
      </c>
      <c r="BV71">
        <v>0</v>
      </c>
      <c r="BW71">
        <v>0</v>
      </c>
      <c r="BX71">
        <v>0.48489408012709578</v>
      </c>
      <c r="BY71">
        <v>0</v>
      </c>
      <c r="BZ71">
        <v>0.51510591987290422</v>
      </c>
      <c r="CA71">
        <v>0</v>
      </c>
      <c r="CB71">
        <v>0</v>
      </c>
      <c r="CC71">
        <v>0</v>
      </c>
      <c r="CD71">
        <v>0</v>
      </c>
      <c r="CE71">
        <v>0</v>
      </c>
    </row>
    <row r="72" spans="1:83" x14ac:dyDescent="0.25">
      <c r="A72" t="s">
        <v>128</v>
      </c>
      <c r="B72" t="s">
        <v>134</v>
      </c>
      <c r="C72" t="s">
        <v>72</v>
      </c>
      <c r="D72" s="12">
        <v>45583</v>
      </c>
      <c r="E72" t="s">
        <v>135</v>
      </c>
      <c r="F72" t="s">
        <v>75</v>
      </c>
      <c r="G72">
        <v>11.626924453992125</v>
      </c>
      <c r="H72">
        <v>14.25</v>
      </c>
      <c r="I72">
        <v>10</v>
      </c>
      <c r="J72">
        <v>1</v>
      </c>
      <c r="K72">
        <v>14.25</v>
      </c>
      <c r="L72">
        <v>45583</v>
      </c>
      <c r="M72" t="s">
        <v>171</v>
      </c>
      <c r="N72">
        <v>10.301555104800537</v>
      </c>
      <c r="O72">
        <v>1.2256035597708934</v>
      </c>
      <c r="P72">
        <v>1.2256035597708934</v>
      </c>
      <c r="Q72">
        <v>0.8860086040434777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0.22560355977089341</v>
      </c>
      <c r="AA72">
        <v>0</v>
      </c>
      <c r="AB72">
        <v>0</v>
      </c>
      <c r="AC72">
        <v>0</v>
      </c>
      <c r="AD72">
        <v>0.1139913959565223</v>
      </c>
      <c r="AE72">
        <v>0</v>
      </c>
      <c r="AF72">
        <v>0.8860086040434777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0.81592452308716668</v>
      </c>
      <c r="AM72">
        <v>0.81592452308716668</v>
      </c>
      <c r="AN72">
        <v>0.72291614770530077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0.18407547691283332</v>
      </c>
      <c r="AZ72">
        <v>0</v>
      </c>
      <c r="BA72">
        <v>9.3008375381865904E-2</v>
      </c>
      <c r="BB72">
        <v>0</v>
      </c>
      <c r="BC72">
        <v>0.72291614770530077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1.3832862956156478</v>
      </c>
      <c r="BJ72">
        <v>1.3832862956156478</v>
      </c>
      <c r="BK72">
        <v>1.1286572110432107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0.12865721104321071</v>
      </c>
      <c r="BS72">
        <v>0</v>
      </c>
      <c r="BT72">
        <v>0.25462908457243705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1</v>
      </c>
      <c r="CA72">
        <v>0</v>
      </c>
      <c r="CB72">
        <v>0</v>
      </c>
      <c r="CC72">
        <v>0</v>
      </c>
      <c r="CD72">
        <v>0</v>
      </c>
      <c r="CE72">
        <v>0</v>
      </c>
    </row>
    <row r="73" spans="1:83" x14ac:dyDescent="0.25">
      <c r="A73" t="s">
        <v>128</v>
      </c>
      <c r="B73" t="s">
        <v>181</v>
      </c>
      <c r="C73" t="s">
        <v>72</v>
      </c>
      <c r="D73" s="12">
        <v>45583</v>
      </c>
      <c r="E73" t="s">
        <v>135</v>
      </c>
      <c r="F73" t="s">
        <v>75</v>
      </c>
      <c r="G73">
        <v>12.417771069086861</v>
      </c>
      <c r="H73">
        <v>11.4</v>
      </c>
      <c r="I73">
        <v>10</v>
      </c>
      <c r="K73">
        <v>11.4</v>
      </c>
      <c r="L73">
        <v>45583</v>
      </c>
      <c r="M73" t="s">
        <v>171</v>
      </c>
      <c r="N73">
        <v>10.722593582887695</v>
      </c>
      <c r="O73">
        <v>0.91803915022877747</v>
      </c>
      <c r="P73">
        <v>0.91803915022877747</v>
      </c>
      <c r="Q73">
        <v>0.86348778079673361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8.1960849771222533E-2</v>
      </c>
      <c r="AC73">
        <v>0</v>
      </c>
      <c r="AD73">
        <v>5.4551369432043861E-2</v>
      </c>
      <c r="AE73">
        <v>0</v>
      </c>
      <c r="AF73">
        <v>0.86348778079673361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1.089278163954988</v>
      </c>
      <c r="AM73">
        <v>1.089278163954988</v>
      </c>
      <c r="AN73">
        <v>0.94057838446383302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8.9278163954987999E-2</v>
      </c>
      <c r="AX73">
        <v>0</v>
      </c>
      <c r="AY73">
        <v>0</v>
      </c>
      <c r="AZ73">
        <v>0</v>
      </c>
      <c r="BA73">
        <v>5.9421615536166983E-2</v>
      </c>
      <c r="BB73">
        <v>0</v>
      </c>
      <c r="BC73">
        <v>0.94057838446383302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1.0631756124929872</v>
      </c>
      <c r="BJ73">
        <v>1.0631756124929872</v>
      </c>
      <c r="BK73">
        <v>1.1580939791380807</v>
      </c>
      <c r="BL73">
        <v>9.4918366645093455E-2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6.3175612492987199E-2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1</v>
      </c>
      <c r="CA73">
        <v>0</v>
      </c>
      <c r="CB73">
        <v>0</v>
      </c>
      <c r="CC73">
        <v>0</v>
      </c>
      <c r="CD73">
        <v>0</v>
      </c>
      <c r="CE73">
        <v>0</v>
      </c>
    </row>
    <row r="74" spans="1:83" x14ac:dyDescent="0.25">
      <c r="A74" t="s">
        <v>128</v>
      </c>
      <c r="B74" t="s">
        <v>134</v>
      </c>
      <c r="C74" t="s">
        <v>72</v>
      </c>
      <c r="D74" s="12">
        <v>45584</v>
      </c>
      <c r="E74" t="s">
        <v>135</v>
      </c>
      <c r="F74" t="s">
        <v>73</v>
      </c>
      <c r="G74">
        <v>14.310060866451844</v>
      </c>
      <c r="H74">
        <v>18.05</v>
      </c>
      <c r="I74">
        <v>10</v>
      </c>
      <c r="J74">
        <v>1</v>
      </c>
      <c r="K74">
        <v>18.05</v>
      </c>
      <c r="L74">
        <v>45584</v>
      </c>
      <c r="M74" t="s">
        <v>172</v>
      </c>
      <c r="N74">
        <v>13.935477731762557</v>
      </c>
      <c r="O74">
        <v>1.2613503302642115</v>
      </c>
      <c r="P74">
        <v>1.2613503302642115</v>
      </c>
      <c r="Q74">
        <v>0.97382379165364352</v>
      </c>
      <c r="R74">
        <v>0</v>
      </c>
      <c r="S74">
        <v>0</v>
      </c>
      <c r="T74">
        <v>1.1350330264211506E-2</v>
      </c>
      <c r="U74">
        <v>0</v>
      </c>
      <c r="V74">
        <v>0</v>
      </c>
      <c r="W74">
        <v>0</v>
      </c>
      <c r="X74">
        <v>0</v>
      </c>
      <c r="Y74">
        <v>0</v>
      </c>
      <c r="Z74">
        <v>0.25</v>
      </c>
      <c r="AA74">
        <v>0</v>
      </c>
      <c r="AB74">
        <v>0</v>
      </c>
      <c r="AC74">
        <v>0</v>
      </c>
      <c r="AD74">
        <v>2.6176208346356478E-2</v>
      </c>
      <c r="AE74">
        <v>0</v>
      </c>
      <c r="AF74">
        <v>0.97382379165364352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0.79280115603611323</v>
      </c>
      <c r="AM74">
        <v>0.79280115603611323</v>
      </c>
      <c r="AN74">
        <v>0.7720486277984796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0.20719884396388677</v>
      </c>
      <c r="AZ74">
        <v>0</v>
      </c>
      <c r="BA74">
        <v>2.0752528237633627E-2</v>
      </c>
      <c r="BB74">
        <v>0</v>
      </c>
      <c r="BC74">
        <v>0.7720486277984796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1.2952552002475943</v>
      </c>
      <c r="BJ74">
        <v>1.2952552002475943</v>
      </c>
      <c r="BK74">
        <v>1.02687982011808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2.6879820118079989E-2</v>
      </c>
      <c r="BS74">
        <v>0</v>
      </c>
      <c r="BT74">
        <v>0.26837538012951434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1</v>
      </c>
      <c r="CA74">
        <v>0</v>
      </c>
      <c r="CB74">
        <v>0</v>
      </c>
      <c r="CC74">
        <v>0</v>
      </c>
      <c r="CD74">
        <v>0</v>
      </c>
      <c r="CE74">
        <v>0</v>
      </c>
    </row>
    <row r="75" spans="1:83" x14ac:dyDescent="0.25">
      <c r="A75" t="s">
        <v>128</v>
      </c>
      <c r="B75" t="s">
        <v>181</v>
      </c>
      <c r="C75" t="s">
        <v>72</v>
      </c>
      <c r="D75" s="12">
        <v>45584</v>
      </c>
      <c r="E75" t="s">
        <v>135</v>
      </c>
      <c r="F75" t="s">
        <v>73</v>
      </c>
      <c r="G75">
        <v>14.12921652156102</v>
      </c>
      <c r="H75">
        <v>18.05</v>
      </c>
      <c r="I75">
        <v>10</v>
      </c>
      <c r="K75">
        <v>18.05</v>
      </c>
      <c r="L75">
        <v>45584</v>
      </c>
      <c r="M75" t="s">
        <v>172</v>
      </c>
      <c r="N75">
        <v>13.844607843137254</v>
      </c>
      <c r="O75">
        <v>1.2774947551023732</v>
      </c>
      <c r="P75">
        <v>1.2774947551023732</v>
      </c>
      <c r="Q75">
        <v>0.97985672609734187</v>
      </c>
      <c r="R75">
        <v>0</v>
      </c>
      <c r="S75">
        <v>0</v>
      </c>
      <c r="T75">
        <v>2.7494755102373203E-2</v>
      </c>
      <c r="U75">
        <v>0</v>
      </c>
      <c r="V75">
        <v>0</v>
      </c>
      <c r="W75">
        <v>0</v>
      </c>
      <c r="X75">
        <v>0</v>
      </c>
      <c r="Y75">
        <v>0</v>
      </c>
      <c r="Z75">
        <v>0.25</v>
      </c>
      <c r="AA75">
        <v>0</v>
      </c>
      <c r="AB75">
        <v>0</v>
      </c>
      <c r="AC75">
        <v>0</v>
      </c>
      <c r="AD75">
        <v>2.0143273902658132E-2</v>
      </c>
      <c r="AE75">
        <v>0</v>
      </c>
      <c r="AF75">
        <v>0.97985672609734187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0.78278207875684314</v>
      </c>
      <c r="AM75">
        <v>0.78278207875684314</v>
      </c>
      <c r="AN75">
        <v>0.767014284938352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0.21721792124315686</v>
      </c>
      <c r="AZ75">
        <v>0</v>
      </c>
      <c r="BA75">
        <v>1.5767793818491138E-2</v>
      </c>
      <c r="BB75">
        <v>0</v>
      </c>
      <c r="BC75">
        <v>0.767014284938352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1.3037566830719118</v>
      </c>
      <c r="BJ75">
        <v>1.3037566830719118</v>
      </c>
      <c r="BK75">
        <v>1.0205573665681578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2.0557366568157764E-2</v>
      </c>
      <c r="BS75">
        <v>0</v>
      </c>
      <c r="BT75">
        <v>0.28319931650375407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1</v>
      </c>
      <c r="CA75">
        <v>0</v>
      </c>
      <c r="CB75">
        <v>0</v>
      </c>
      <c r="CC75">
        <v>0</v>
      </c>
      <c r="CD75">
        <v>0</v>
      </c>
      <c r="CE75">
        <v>0</v>
      </c>
    </row>
    <row r="76" spans="1:83" x14ac:dyDescent="0.25">
      <c r="A76" t="s">
        <v>128</v>
      </c>
      <c r="B76" t="s">
        <v>134</v>
      </c>
      <c r="C76" t="s">
        <v>72</v>
      </c>
      <c r="D76" s="12">
        <v>45584</v>
      </c>
      <c r="E76" t="s">
        <v>135</v>
      </c>
      <c r="F76" t="s">
        <v>74</v>
      </c>
      <c r="G76">
        <v>5.3662728249194425</v>
      </c>
      <c r="H76">
        <v>7.6</v>
      </c>
      <c r="I76">
        <v>10</v>
      </c>
      <c r="J76">
        <v>1</v>
      </c>
      <c r="K76">
        <v>7.6</v>
      </c>
      <c r="L76">
        <v>45584</v>
      </c>
      <c r="M76" t="s">
        <v>173</v>
      </c>
      <c r="N76">
        <v>5.8218487394957998</v>
      </c>
      <c r="O76">
        <v>1.4162530024019213</v>
      </c>
      <c r="P76">
        <v>1.4162530024019213</v>
      </c>
      <c r="Q76">
        <v>1.0848961522158904</v>
      </c>
      <c r="R76">
        <v>0</v>
      </c>
      <c r="S76">
        <v>0</v>
      </c>
      <c r="T76">
        <v>0.16625300240192131</v>
      </c>
      <c r="U76">
        <v>0</v>
      </c>
      <c r="V76">
        <v>0</v>
      </c>
      <c r="W76">
        <v>0</v>
      </c>
      <c r="X76">
        <v>8.4896152215890419E-2</v>
      </c>
      <c r="Y76">
        <v>0</v>
      </c>
      <c r="Z76">
        <v>0.16510384778410958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1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0.70608852959466351</v>
      </c>
      <c r="AM76">
        <v>0.70608852959466351</v>
      </c>
      <c r="AN76">
        <v>0.76603272888102636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0.23396727111897364</v>
      </c>
      <c r="AZ76">
        <v>0</v>
      </c>
      <c r="BA76">
        <v>0</v>
      </c>
      <c r="BB76">
        <v>0</v>
      </c>
      <c r="BC76">
        <v>0.70608852959466351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1.3054272517321013</v>
      </c>
      <c r="BJ76">
        <v>1.3054272517321013</v>
      </c>
      <c r="BK76">
        <v>0.92174720866832205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0.30542725173210128</v>
      </c>
      <c r="BU76">
        <v>0</v>
      </c>
      <c r="BV76">
        <v>0</v>
      </c>
      <c r="BW76">
        <v>0</v>
      </c>
      <c r="BX76">
        <v>7.8252791331677951E-2</v>
      </c>
      <c r="BY76">
        <v>0</v>
      </c>
      <c r="BZ76">
        <v>0.92174720866832205</v>
      </c>
      <c r="CA76">
        <v>0</v>
      </c>
      <c r="CB76">
        <v>0</v>
      </c>
      <c r="CC76">
        <v>0</v>
      </c>
      <c r="CD76">
        <v>0</v>
      </c>
      <c r="CE76">
        <v>0</v>
      </c>
    </row>
    <row r="77" spans="1:83" x14ac:dyDescent="0.25">
      <c r="A77" t="s">
        <v>128</v>
      </c>
      <c r="B77" t="s">
        <v>181</v>
      </c>
      <c r="C77" t="s">
        <v>72</v>
      </c>
      <c r="D77" s="12">
        <v>45584</v>
      </c>
      <c r="E77" t="s">
        <v>135</v>
      </c>
      <c r="F77" t="s">
        <v>74</v>
      </c>
      <c r="G77">
        <v>3.5111676249447159</v>
      </c>
      <c r="H77">
        <v>5.6999999999999993</v>
      </c>
      <c r="I77">
        <v>10</v>
      </c>
      <c r="K77">
        <v>5.6999999999999993</v>
      </c>
      <c r="L77">
        <v>45584</v>
      </c>
      <c r="M77" t="s">
        <v>173</v>
      </c>
      <c r="N77">
        <v>6.8449197860962556</v>
      </c>
      <c r="O77">
        <v>1.6233915918752946</v>
      </c>
      <c r="P77">
        <v>1.6233915918752946</v>
      </c>
      <c r="Q77">
        <v>1.9494710925981582</v>
      </c>
      <c r="R77">
        <v>0.32607950072286362</v>
      </c>
      <c r="S77">
        <v>0</v>
      </c>
      <c r="T77">
        <v>0</v>
      </c>
      <c r="U77">
        <v>0</v>
      </c>
      <c r="V77">
        <v>0.37339159187529458</v>
      </c>
      <c r="W77">
        <v>0</v>
      </c>
      <c r="X77">
        <v>0.25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0.61599432016573974</v>
      </c>
      <c r="AM77">
        <v>0.61599432016573974</v>
      </c>
      <c r="AN77">
        <v>1.2008631203677642</v>
      </c>
      <c r="AO77">
        <v>0.20086312036776421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0.61599432016573974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0.83273437500000003</v>
      </c>
      <c r="BJ77">
        <v>0.83273437500000003</v>
      </c>
      <c r="BK77">
        <v>0.51295964520676718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0.16726562499999997</v>
      </c>
      <c r="BW77">
        <v>0</v>
      </c>
      <c r="BX77">
        <v>0.31977472979323285</v>
      </c>
      <c r="BY77">
        <v>0</v>
      </c>
      <c r="BZ77">
        <v>0.51295964520676718</v>
      </c>
      <c r="CA77">
        <v>0</v>
      </c>
      <c r="CB77">
        <v>0</v>
      </c>
      <c r="CC77">
        <v>0</v>
      </c>
      <c r="CD77">
        <v>0</v>
      </c>
      <c r="CE77">
        <v>0</v>
      </c>
    </row>
    <row r="78" spans="1:83" x14ac:dyDescent="0.25">
      <c r="A78" t="s">
        <v>128</v>
      </c>
      <c r="B78" t="s">
        <v>181</v>
      </c>
      <c r="C78" t="s">
        <v>72</v>
      </c>
      <c r="D78" s="12">
        <v>45584</v>
      </c>
      <c r="E78" t="s">
        <v>135</v>
      </c>
      <c r="F78" t="s">
        <v>75</v>
      </c>
      <c r="G78">
        <v>12.417771069086861</v>
      </c>
      <c r="H78">
        <v>17.099999999999998</v>
      </c>
      <c r="I78">
        <v>10</v>
      </c>
      <c r="K78">
        <v>17.099999999999998</v>
      </c>
      <c r="L78">
        <v>45584</v>
      </c>
      <c r="M78" t="s">
        <v>174</v>
      </c>
      <c r="N78">
        <v>10.993315508021386</v>
      </c>
      <c r="O78">
        <v>1.3770587253431661</v>
      </c>
      <c r="P78">
        <v>1.3770587253431661</v>
      </c>
      <c r="Q78">
        <v>0.88528894975270134</v>
      </c>
      <c r="R78">
        <v>0</v>
      </c>
      <c r="S78">
        <v>0</v>
      </c>
      <c r="T78">
        <v>0.12705872534316609</v>
      </c>
      <c r="U78">
        <v>0</v>
      </c>
      <c r="V78">
        <v>0</v>
      </c>
      <c r="W78">
        <v>0</v>
      </c>
      <c r="X78">
        <v>0</v>
      </c>
      <c r="Y78">
        <v>0</v>
      </c>
      <c r="Z78">
        <v>0.25</v>
      </c>
      <c r="AA78">
        <v>0</v>
      </c>
      <c r="AB78">
        <v>0</v>
      </c>
      <c r="AC78">
        <v>0</v>
      </c>
      <c r="AD78">
        <v>0.11471105024729866</v>
      </c>
      <c r="AE78">
        <v>0</v>
      </c>
      <c r="AF78">
        <v>0.88528894975270134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0.72618544263665863</v>
      </c>
      <c r="AM78">
        <v>0.72618544263665863</v>
      </c>
      <c r="AN78">
        <v>0.64288394783750802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0.27381455736334137</v>
      </c>
      <c r="AZ78">
        <v>0</v>
      </c>
      <c r="BA78">
        <v>8.3301494799150611E-2</v>
      </c>
      <c r="BB78">
        <v>0</v>
      </c>
      <c r="BC78">
        <v>0.64288394783750802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1.5554906968259763</v>
      </c>
      <c r="BJ78">
        <v>1.5554906968259763</v>
      </c>
      <c r="BK78">
        <v>1.1295747001917762</v>
      </c>
      <c r="CB78">
        <v>0</v>
      </c>
      <c r="CC78">
        <v>0</v>
      </c>
      <c r="CD78">
        <v>0</v>
      </c>
    </row>
    <row r="79" spans="1:83" x14ac:dyDescent="0.25">
      <c r="A79" t="s">
        <v>128</v>
      </c>
      <c r="B79" t="s">
        <v>134</v>
      </c>
      <c r="C79" t="s">
        <v>72</v>
      </c>
      <c r="D79" s="12">
        <v>45584</v>
      </c>
      <c r="E79" t="s">
        <v>135</v>
      </c>
      <c r="F79" t="s">
        <v>75</v>
      </c>
      <c r="G79">
        <v>11.626924453992126</v>
      </c>
      <c r="H79">
        <v>17.099999999999998</v>
      </c>
      <c r="I79">
        <v>10</v>
      </c>
      <c r="J79">
        <v>1</v>
      </c>
      <c r="K79">
        <v>17.099999999999998</v>
      </c>
      <c r="L79">
        <v>45584</v>
      </c>
      <c r="M79" t="s">
        <v>174</v>
      </c>
      <c r="N79">
        <v>10.454702679619944</v>
      </c>
      <c r="O79">
        <v>1.4707242717250717</v>
      </c>
      <c r="P79">
        <v>1.4707242717250717</v>
      </c>
      <c r="Q79">
        <v>0.89918040845533331</v>
      </c>
      <c r="R79">
        <v>0</v>
      </c>
      <c r="S79">
        <v>0</v>
      </c>
      <c r="T79">
        <v>0.2207242717250717</v>
      </c>
      <c r="U79">
        <v>0</v>
      </c>
      <c r="V79">
        <v>0</v>
      </c>
      <c r="W79">
        <v>0</v>
      </c>
      <c r="X79">
        <v>0</v>
      </c>
      <c r="Y79">
        <v>0</v>
      </c>
      <c r="Z79">
        <v>0.25</v>
      </c>
      <c r="AA79">
        <v>0</v>
      </c>
      <c r="AB79">
        <v>0</v>
      </c>
      <c r="AC79">
        <v>0</v>
      </c>
      <c r="AD79">
        <v>0.10081959154466669</v>
      </c>
      <c r="AE79">
        <v>0</v>
      </c>
      <c r="AF79">
        <v>0.89918040845533331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0.67993710257263906</v>
      </c>
      <c r="AM79">
        <v>0.67993710257263906</v>
      </c>
      <c r="AN79">
        <v>0.61138612161520145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0.32006289742736094</v>
      </c>
      <c r="AZ79">
        <v>0</v>
      </c>
      <c r="BA79">
        <v>6.8550980957437613E-2</v>
      </c>
      <c r="BB79">
        <v>0</v>
      </c>
      <c r="BC79">
        <v>0.61138612161520145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1.6356275758405048</v>
      </c>
      <c r="BJ79">
        <v>1.6356275758405048</v>
      </c>
      <c r="BK79">
        <v>1.1121238748049023</v>
      </c>
      <c r="CB79">
        <v>0</v>
      </c>
      <c r="CC79">
        <v>0</v>
      </c>
      <c r="CD79">
        <v>0</v>
      </c>
    </row>
    <row r="80" spans="1:83" x14ac:dyDescent="0.25">
      <c r="A80" t="s">
        <v>128</v>
      </c>
      <c r="B80" t="s">
        <v>134</v>
      </c>
      <c r="C80" t="s">
        <v>72</v>
      </c>
      <c r="D80" s="12">
        <v>45585</v>
      </c>
      <c r="E80" t="s">
        <v>135</v>
      </c>
      <c r="F80" t="s">
        <v>73</v>
      </c>
      <c r="G80">
        <v>14.31006086645184</v>
      </c>
      <c r="H80">
        <v>18.05</v>
      </c>
      <c r="I80">
        <v>10</v>
      </c>
      <c r="J80">
        <v>1</v>
      </c>
      <c r="K80">
        <v>18.05</v>
      </c>
      <c r="L80">
        <v>45585</v>
      </c>
      <c r="M80" t="s">
        <v>175</v>
      </c>
      <c r="N80">
        <v>13.20820500448983</v>
      </c>
      <c r="O80">
        <v>1.2613503302642117</v>
      </c>
      <c r="P80">
        <v>1.2613503302642117</v>
      </c>
      <c r="Q80">
        <v>0.92300131549089537</v>
      </c>
      <c r="R80">
        <v>0</v>
      </c>
      <c r="S80">
        <v>0</v>
      </c>
      <c r="T80">
        <v>1.1350330264211728E-2</v>
      </c>
      <c r="U80">
        <v>0</v>
      </c>
      <c r="V80">
        <v>0</v>
      </c>
      <c r="W80">
        <v>0</v>
      </c>
      <c r="X80">
        <v>0</v>
      </c>
      <c r="Y80">
        <v>0</v>
      </c>
      <c r="Z80">
        <v>0.25</v>
      </c>
      <c r="AA80">
        <v>0</v>
      </c>
      <c r="AB80">
        <v>0</v>
      </c>
      <c r="AC80">
        <v>0</v>
      </c>
      <c r="AD80">
        <v>7.6998684509104631E-2</v>
      </c>
      <c r="AE80">
        <v>0</v>
      </c>
      <c r="AF80">
        <v>0.92300131549089537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0.79280115603611301</v>
      </c>
      <c r="AM80">
        <v>0.79280115603611301</v>
      </c>
      <c r="AN80">
        <v>0.73175650994403485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0.20719884396388699</v>
      </c>
      <c r="AZ80">
        <v>0</v>
      </c>
      <c r="BA80">
        <v>6.1044646092078159E-2</v>
      </c>
      <c r="BB80">
        <v>0</v>
      </c>
      <c r="BC80">
        <v>0.73175650994403485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1.3665747914924331</v>
      </c>
      <c r="BJ80">
        <v>1.3665747914924331</v>
      </c>
      <c r="BK80">
        <v>1.0834220745050109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8.3422074505010935E-2</v>
      </c>
      <c r="BS80">
        <v>0</v>
      </c>
      <c r="BT80">
        <v>0.28315271698742217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1</v>
      </c>
      <c r="CA80">
        <v>0</v>
      </c>
      <c r="CB80">
        <v>0</v>
      </c>
      <c r="CC80">
        <v>0</v>
      </c>
      <c r="CD80">
        <v>0</v>
      </c>
      <c r="CE80">
        <v>0</v>
      </c>
    </row>
    <row r="81" spans="1:83" x14ac:dyDescent="0.25">
      <c r="A81" t="s">
        <v>128</v>
      </c>
      <c r="B81" t="s">
        <v>181</v>
      </c>
      <c r="C81" t="s">
        <v>72</v>
      </c>
      <c r="D81" s="12">
        <v>45585</v>
      </c>
      <c r="E81" t="s">
        <v>135</v>
      </c>
      <c r="F81" t="s">
        <v>73</v>
      </c>
      <c r="G81">
        <v>14.12921652156102</v>
      </c>
      <c r="H81">
        <v>19.95</v>
      </c>
      <c r="I81">
        <v>10</v>
      </c>
      <c r="K81">
        <v>19.95</v>
      </c>
      <c r="L81">
        <v>45585</v>
      </c>
      <c r="M81" t="s">
        <v>175</v>
      </c>
      <c r="N81">
        <v>13.844607843137254</v>
      </c>
      <c r="O81">
        <v>1.4119678872184125</v>
      </c>
      <c r="P81">
        <v>1.4119678872184125</v>
      </c>
      <c r="Q81">
        <v>0.97985672609734187</v>
      </c>
      <c r="R81">
        <v>0</v>
      </c>
      <c r="S81">
        <v>0</v>
      </c>
      <c r="T81">
        <v>0.16196788721841249</v>
      </c>
      <c r="U81">
        <v>0</v>
      </c>
      <c r="V81">
        <v>0</v>
      </c>
      <c r="W81">
        <v>0</v>
      </c>
      <c r="X81">
        <v>0</v>
      </c>
      <c r="Y81">
        <v>0</v>
      </c>
      <c r="Z81">
        <v>0.25</v>
      </c>
      <c r="AA81">
        <v>0</v>
      </c>
      <c r="AB81">
        <v>0</v>
      </c>
      <c r="AC81">
        <v>0</v>
      </c>
      <c r="AD81">
        <v>2.0143273902658132E-2</v>
      </c>
      <c r="AE81">
        <v>0</v>
      </c>
      <c r="AF81">
        <v>0.97985672609734187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0.70823140458952483</v>
      </c>
      <c r="AM81">
        <v>0.70823140458952483</v>
      </c>
      <c r="AN81">
        <v>0.69396530542041379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0.29176859541047517</v>
      </c>
      <c r="AZ81">
        <v>0</v>
      </c>
      <c r="BA81">
        <v>1.4266099169111035E-2</v>
      </c>
      <c r="BB81">
        <v>0</v>
      </c>
      <c r="BC81">
        <v>0.69396530542041379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1.4409942286584287</v>
      </c>
      <c r="BJ81">
        <v>1.4409942286584287</v>
      </c>
      <c r="BK81">
        <v>1.0205573665681578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2.0557366568157764E-2</v>
      </c>
      <c r="BS81">
        <v>0</v>
      </c>
      <c r="BT81">
        <v>0.42043686209027098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1</v>
      </c>
      <c r="CA81">
        <v>0</v>
      </c>
      <c r="CB81">
        <v>0</v>
      </c>
      <c r="CC81">
        <v>0</v>
      </c>
      <c r="CD81">
        <v>0</v>
      </c>
      <c r="CE81">
        <v>0</v>
      </c>
    </row>
    <row r="82" spans="1:83" x14ac:dyDescent="0.25">
      <c r="A82" t="s">
        <v>128</v>
      </c>
      <c r="B82" t="s">
        <v>134</v>
      </c>
      <c r="C82" t="s">
        <v>72</v>
      </c>
      <c r="D82" s="12">
        <v>45585</v>
      </c>
      <c r="E82" t="s">
        <v>135</v>
      </c>
      <c r="F82" t="s">
        <v>74</v>
      </c>
      <c r="G82">
        <v>5.3662728249194425</v>
      </c>
      <c r="H82">
        <v>5.6999999999999993</v>
      </c>
      <c r="I82">
        <v>10</v>
      </c>
      <c r="J82">
        <v>1</v>
      </c>
      <c r="K82">
        <v>5.6999999999999993</v>
      </c>
      <c r="L82">
        <v>45585</v>
      </c>
      <c r="M82" t="s">
        <v>176</v>
      </c>
      <c r="N82">
        <v>5.6194502801120452</v>
      </c>
      <c r="O82">
        <v>1.0621897518014409</v>
      </c>
      <c r="P82">
        <v>1.0621897518014409</v>
      </c>
      <c r="Q82">
        <v>1.047179385665395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4.7179385665395035E-2</v>
      </c>
      <c r="Y82">
        <v>0</v>
      </c>
      <c r="Z82">
        <v>1.5010366136045894E-2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1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0.94145137279288471</v>
      </c>
      <c r="AM82">
        <v>0.94145137279288471</v>
      </c>
      <c r="AN82">
        <v>0.98586847019509571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1.4131529804904286E-2</v>
      </c>
      <c r="AZ82">
        <v>0</v>
      </c>
      <c r="BA82">
        <v>0</v>
      </c>
      <c r="BB82">
        <v>0</v>
      </c>
      <c r="BC82">
        <v>0.94145137279288471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1.0143340924597251</v>
      </c>
      <c r="BJ82">
        <v>1.0143340924597251</v>
      </c>
      <c r="BK82">
        <v>0.95494622381683314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1.4334092459725056E-2</v>
      </c>
      <c r="BU82">
        <v>0</v>
      </c>
      <c r="BV82">
        <v>0</v>
      </c>
      <c r="BW82">
        <v>0</v>
      </c>
      <c r="BX82">
        <v>4.505377618316686E-2</v>
      </c>
      <c r="BY82">
        <v>0</v>
      </c>
      <c r="BZ82">
        <v>0.95494622381683314</v>
      </c>
      <c r="CA82">
        <v>0</v>
      </c>
      <c r="CB82">
        <v>0</v>
      </c>
      <c r="CC82">
        <v>0</v>
      </c>
      <c r="CD82">
        <v>0</v>
      </c>
      <c r="CE82">
        <v>0</v>
      </c>
    </row>
    <row r="83" spans="1:83" x14ac:dyDescent="0.25">
      <c r="A83" t="s">
        <v>128</v>
      </c>
      <c r="B83" t="s">
        <v>181</v>
      </c>
      <c r="C83" t="s">
        <v>72</v>
      </c>
      <c r="D83" s="12">
        <v>45585</v>
      </c>
      <c r="E83" t="s">
        <v>135</v>
      </c>
      <c r="F83" t="s">
        <v>74</v>
      </c>
      <c r="G83">
        <v>3.5111676249447159</v>
      </c>
      <c r="H83">
        <v>5.6999999999999993</v>
      </c>
      <c r="I83">
        <v>10</v>
      </c>
      <c r="K83">
        <v>5.6999999999999993</v>
      </c>
      <c r="L83">
        <v>45585</v>
      </c>
      <c r="M83" t="s">
        <v>176</v>
      </c>
      <c r="N83">
        <v>6.8163992869875214</v>
      </c>
      <c r="O83">
        <v>1.6233915918752946</v>
      </c>
      <c r="P83">
        <v>1.6233915918752946</v>
      </c>
      <c r="Q83">
        <v>1.9413482963789992</v>
      </c>
      <c r="R83">
        <v>0.31795670450370461</v>
      </c>
      <c r="S83">
        <v>0</v>
      </c>
      <c r="T83">
        <v>0</v>
      </c>
      <c r="U83">
        <v>0</v>
      </c>
      <c r="V83">
        <v>0.37339159187529458</v>
      </c>
      <c r="W83">
        <v>0</v>
      </c>
      <c r="X83">
        <v>0.25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1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0.61599432016573974</v>
      </c>
      <c r="AM83">
        <v>0.61599432016573974</v>
      </c>
      <c r="AN83">
        <v>1.1958595240328986</v>
      </c>
      <c r="AO83">
        <v>0.19585952403289864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0.61599432016573974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0.83621861924686192</v>
      </c>
      <c r="BJ83">
        <v>0.83621861924686192</v>
      </c>
      <c r="BK83">
        <v>0.51510591987290422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0.16378138075313808</v>
      </c>
      <c r="BW83">
        <v>0</v>
      </c>
      <c r="BX83">
        <v>0.3211126993739577</v>
      </c>
      <c r="BY83">
        <v>0</v>
      </c>
      <c r="BZ83">
        <v>0.51510591987290422</v>
      </c>
      <c r="CA83">
        <v>0</v>
      </c>
      <c r="CB83">
        <v>0</v>
      </c>
      <c r="CC83">
        <v>0</v>
      </c>
      <c r="CD83">
        <v>0</v>
      </c>
      <c r="CE83">
        <v>0</v>
      </c>
    </row>
    <row r="84" spans="1:83" x14ac:dyDescent="0.25">
      <c r="A84" t="s">
        <v>128</v>
      </c>
      <c r="B84" t="s">
        <v>134</v>
      </c>
      <c r="C84" t="s">
        <v>72</v>
      </c>
      <c r="D84" s="12">
        <v>45585</v>
      </c>
      <c r="E84" t="s">
        <v>135</v>
      </c>
      <c r="F84" t="s">
        <v>75</v>
      </c>
      <c r="G84">
        <v>11.626924453992126</v>
      </c>
      <c r="H84">
        <v>13.3</v>
      </c>
      <c r="I84">
        <v>10</v>
      </c>
      <c r="J84">
        <v>1</v>
      </c>
      <c r="K84">
        <v>13.3</v>
      </c>
      <c r="L84">
        <v>45585</v>
      </c>
      <c r="M84" t="s">
        <v>177</v>
      </c>
      <c r="N84">
        <v>11.217490035941784</v>
      </c>
      <c r="O84">
        <v>1.1438966557861669</v>
      </c>
      <c r="P84">
        <v>1.1438966557861669</v>
      </c>
      <c r="Q84">
        <v>0.96478566454349313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0.14389665578616695</v>
      </c>
      <c r="AA84">
        <v>0</v>
      </c>
      <c r="AB84">
        <v>0</v>
      </c>
      <c r="AC84">
        <v>0</v>
      </c>
      <c r="AD84">
        <v>3.5214335456506873E-2</v>
      </c>
      <c r="AE84">
        <v>0</v>
      </c>
      <c r="AF84">
        <v>0.96478566454349313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0.87420484616482164</v>
      </c>
      <c r="AM84">
        <v>0.87420484616482164</v>
      </c>
      <c r="AN84">
        <v>0.84342030345426955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0.12579515383517836</v>
      </c>
      <c r="AZ84">
        <v>0</v>
      </c>
      <c r="BA84">
        <v>3.0784542710552087E-2</v>
      </c>
      <c r="BB84">
        <v>0</v>
      </c>
      <c r="BC84">
        <v>0.84342030345426955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1.1856484790613298</v>
      </c>
      <c r="BJ84">
        <v>1.1856484790613298</v>
      </c>
      <c r="BK84">
        <v>1.0364996462433647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3.6499646243364658E-2</v>
      </c>
      <c r="BS84">
        <v>0</v>
      </c>
      <c r="BT84">
        <v>0.14914883281796509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1</v>
      </c>
      <c r="CA84">
        <v>0</v>
      </c>
      <c r="CB84">
        <v>0</v>
      </c>
      <c r="CC84">
        <v>0</v>
      </c>
      <c r="CD84">
        <v>0</v>
      </c>
      <c r="CE84">
        <v>0</v>
      </c>
    </row>
    <row r="85" spans="1:83" x14ac:dyDescent="0.25">
      <c r="A85" t="s">
        <v>128</v>
      </c>
      <c r="B85" t="s">
        <v>181</v>
      </c>
      <c r="C85" t="s">
        <v>72</v>
      </c>
      <c r="D85" s="12">
        <v>45585</v>
      </c>
      <c r="E85" t="s">
        <v>135</v>
      </c>
      <c r="F85" t="s">
        <v>75</v>
      </c>
      <c r="G85">
        <v>12.417771069086861</v>
      </c>
      <c r="H85">
        <v>16.149999999999999</v>
      </c>
      <c r="I85">
        <v>10</v>
      </c>
      <c r="K85">
        <v>16.149999999999999</v>
      </c>
      <c r="L85">
        <v>45585</v>
      </c>
      <c r="M85" t="s">
        <v>177</v>
      </c>
      <c r="N85">
        <v>10.77941176470588</v>
      </c>
      <c r="O85">
        <v>1.3005554628241014</v>
      </c>
      <c r="P85">
        <v>1.3005554628241014</v>
      </c>
      <c r="Q85">
        <v>0.86806333477514686</v>
      </c>
      <c r="R85">
        <v>0</v>
      </c>
      <c r="S85">
        <v>0</v>
      </c>
      <c r="T85">
        <v>5.0555462824101394E-2</v>
      </c>
      <c r="U85">
        <v>0</v>
      </c>
      <c r="V85">
        <v>0</v>
      </c>
      <c r="W85">
        <v>0</v>
      </c>
      <c r="X85">
        <v>0</v>
      </c>
      <c r="Y85">
        <v>0</v>
      </c>
      <c r="Z85">
        <v>0.25</v>
      </c>
      <c r="AA85">
        <v>0</v>
      </c>
      <c r="AB85">
        <v>0</v>
      </c>
      <c r="AC85">
        <v>0</v>
      </c>
      <c r="AD85">
        <v>0.13193666522485314</v>
      </c>
      <c r="AE85">
        <v>0</v>
      </c>
      <c r="AF85">
        <v>0.86806333477514686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0.76890223337999142</v>
      </c>
      <c r="AM85">
        <v>0.76890223337999142</v>
      </c>
      <c r="AN85">
        <v>0.66745583682389353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0.23109776662000858</v>
      </c>
      <c r="AZ85">
        <v>0</v>
      </c>
      <c r="BA85">
        <v>0.10144639655609788</v>
      </c>
      <c r="BB85">
        <v>0</v>
      </c>
      <c r="BC85">
        <v>0.66745583682389353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1.4982264665757163</v>
      </c>
      <c r="BJ85">
        <v>1.4982264665757163</v>
      </c>
      <c r="BK85">
        <v>1.1519896762590813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0.15198967625908133</v>
      </c>
      <c r="BS85">
        <v>0</v>
      </c>
      <c r="BT85">
        <v>0.34623679031663501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1</v>
      </c>
      <c r="CA85">
        <v>0</v>
      </c>
      <c r="CB85">
        <v>0</v>
      </c>
      <c r="CC85">
        <v>0</v>
      </c>
      <c r="CD85">
        <v>0</v>
      </c>
      <c r="CE85">
        <v>0</v>
      </c>
    </row>
    <row r="86" spans="1:83" x14ac:dyDescent="0.25">
      <c r="A86" t="s">
        <v>128</v>
      </c>
      <c r="B86" t="s">
        <v>134</v>
      </c>
      <c r="C86" t="s">
        <v>72</v>
      </c>
      <c r="D86" s="12">
        <v>45572</v>
      </c>
      <c r="E86" t="s">
        <v>179</v>
      </c>
      <c r="F86" t="s">
        <v>73</v>
      </c>
      <c r="G86">
        <v>3.1563909774436096</v>
      </c>
      <c r="H86">
        <v>2.8499999999999996</v>
      </c>
      <c r="I86">
        <v>10</v>
      </c>
      <c r="J86">
        <v>1</v>
      </c>
      <c r="K86">
        <v>2.8499999999999996</v>
      </c>
      <c r="L86">
        <v>45572</v>
      </c>
      <c r="M86" t="s">
        <v>136</v>
      </c>
      <c r="N86">
        <v>1.882352941176471</v>
      </c>
      <c r="O86">
        <v>0.90292996665078584</v>
      </c>
      <c r="P86">
        <v>0.90292996665078584</v>
      </c>
      <c r="Q86">
        <v>0.59636241347420338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9.7070033349214158E-2</v>
      </c>
      <c r="AC86">
        <v>0</v>
      </c>
      <c r="AD86">
        <v>0.30656755317658246</v>
      </c>
      <c r="AE86">
        <v>0</v>
      </c>
      <c r="AF86">
        <v>0.59636241347420338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1.1075056061205648</v>
      </c>
      <c r="AM86">
        <v>1.1075056061205648</v>
      </c>
      <c r="AN86">
        <v>0.66047471620227061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0.10750560612056481</v>
      </c>
      <c r="AX86">
        <v>0</v>
      </c>
      <c r="AY86">
        <v>0</v>
      </c>
      <c r="AZ86">
        <v>0</v>
      </c>
      <c r="BA86">
        <v>0.33952528379772939</v>
      </c>
      <c r="BB86">
        <v>0</v>
      </c>
      <c r="BC86">
        <v>0.66047471620227061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1.5140624999999994</v>
      </c>
      <c r="BJ86">
        <v>1.5140624999999994</v>
      </c>
      <c r="BK86">
        <v>1.6768327067669173</v>
      </c>
      <c r="CB86">
        <v>0</v>
      </c>
      <c r="CC86">
        <v>0</v>
      </c>
      <c r="CD86">
        <v>0</v>
      </c>
    </row>
    <row r="87" spans="1:83" x14ac:dyDescent="0.25">
      <c r="A87" t="s">
        <v>128</v>
      </c>
      <c r="B87" t="s">
        <v>181</v>
      </c>
      <c r="C87" t="s">
        <v>72</v>
      </c>
      <c r="D87" s="12">
        <v>45572</v>
      </c>
      <c r="E87" t="s">
        <v>179</v>
      </c>
      <c r="F87" t="s">
        <v>73</v>
      </c>
      <c r="G87">
        <v>3.7478639781271368</v>
      </c>
      <c r="H87">
        <v>2.8499999999999996</v>
      </c>
      <c r="I87">
        <v>10</v>
      </c>
      <c r="K87">
        <v>2.8499999999999996</v>
      </c>
      <c r="L87">
        <v>45572</v>
      </c>
      <c r="M87" t="s">
        <v>136</v>
      </c>
      <c r="N87">
        <v>3.75</v>
      </c>
      <c r="O87">
        <v>0.76043314715604671</v>
      </c>
      <c r="P87">
        <v>0.76043314715604671</v>
      </c>
      <c r="Q87">
        <v>1.0005699304684827</v>
      </c>
      <c r="R87">
        <v>5.6993046848274886E-4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0.23956685284395329</v>
      </c>
      <c r="AB87">
        <v>0</v>
      </c>
      <c r="AC87">
        <v>0</v>
      </c>
      <c r="AD87">
        <v>0</v>
      </c>
      <c r="AE87">
        <v>0</v>
      </c>
      <c r="AF87">
        <v>0.76043314715604671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1.3150399923253113</v>
      </c>
      <c r="AM87">
        <v>1.3150399923253113</v>
      </c>
      <c r="AN87">
        <v>1.3157894736842106</v>
      </c>
      <c r="AO87">
        <v>7.4948135889929546E-4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0.31503999232531132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1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0.7599999999999999</v>
      </c>
      <c r="BJ87">
        <v>0.7599999999999999</v>
      </c>
      <c r="BK87">
        <v>0.99943039416723645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5.6960583276355337E-4</v>
      </c>
      <c r="BW87">
        <v>0</v>
      </c>
      <c r="BX87">
        <v>0</v>
      </c>
      <c r="BY87">
        <v>0</v>
      </c>
      <c r="BZ87">
        <v>0.7599999999999999</v>
      </c>
      <c r="CA87">
        <v>0</v>
      </c>
      <c r="CB87">
        <v>0</v>
      </c>
      <c r="CC87">
        <v>0</v>
      </c>
      <c r="CD87">
        <v>0</v>
      </c>
      <c r="CE87">
        <v>0</v>
      </c>
    </row>
    <row r="88" spans="1:83" x14ac:dyDescent="0.25">
      <c r="A88" t="s">
        <v>128</v>
      </c>
      <c r="B88" t="s">
        <v>134</v>
      </c>
      <c r="C88" t="s">
        <v>72</v>
      </c>
      <c r="D88" s="12">
        <v>45572</v>
      </c>
      <c r="E88" t="s">
        <v>179</v>
      </c>
      <c r="F88" t="s">
        <v>74</v>
      </c>
      <c r="G88">
        <v>1</v>
      </c>
      <c r="H88">
        <v>0</v>
      </c>
      <c r="I88">
        <v>10</v>
      </c>
      <c r="J88">
        <v>1</v>
      </c>
      <c r="K88">
        <v>0</v>
      </c>
      <c r="L88">
        <v>45572</v>
      </c>
      <c r="M88" t="s">
        <v>137</v>
      </c>
      <c r="N88">
        <v>2.7450980392156862E-2</v>
      </c>
      <c r="O88">
        <v>0</v>
      </c>
      <c r="P88">
        <v>0</v>
      </c>
      <c r="Q88">
        <v>2.7450980392156862E-2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2.7450980392156862E-2</v>
      </c>
      <c r="AB88">
        <v>0.97254901960784312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I88">
        <v>0</v>
      </c>
      <c r="BJ88">
        <v>0</v>
      </c>
      <c r="BK88">
        <v>36.428571428571431</v>
      </c>
      <c r="BL88">
        <v>35.428571428571431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</row>
    <row r="89" spans="1:83" x14ac:dyDescent="0.25">
      <c r="A89" t="s">
        <v>128</v>
      </c>
      <c r="B89" t="s">
        <v>181</v>
      </c>
      <c r="C89" t="s">
        <v>72</v>
      </c>
      <c r="D89" s="12">
        <v>45572</v>
      </c>
      <c r="E89" t="s">
        <v>179</v>
      </c>
      <c r="F89" t="s">
        <v>74</v>
      </c>
      <c r="G89">
        <v>0.97058823529411775</v>
      </c>
      <c r="H89">
        <v>0</v>
      </c>
      <c r="I89">
        <v>10</v>
      </c>
      <c r="K89">
        <v>0</v>
      </c>
      <c r="L89">
        <v>45572</v>
      </c>
      <c r="M89" t="s">
        <v>137</v>
      </c>
      <c r="N89">
        <v>5.7040998217468802E-2</v>
      </c>
      <c r="O89">
        <v>0</v>
      </c>
      <c r="P89">
        <v>0</v>
      </c>
      <c r="Q89">
        <v>5.8769513314967853E-2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5.8769513314967853E-2</v>
      </c>
      <c r="AB89">
        <v>0.94123048668503217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I89">
        <v>0</v>
      </c>
      <c r="BJ89">
        <v>0</v>
      </c>
      <c r="BK89">
        <v>17.015625000000004</v>
      </c>
      <c r="BL89">
        <v>16.015625000000004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</row>
    <row r="90" spans="1:83" x14ac:dyDescent="0.25">
      <c r="A90" t="s">
        <v>128</v>
      </c>
      <c r="B90" t="s">
        <v>134</v>
      </c>
      <c r="C90" t="s">
        <v>72</v>
      </c>
      <c r="D90" s="12">
        <v>45572</v>
      </c>
      <c r="E90" t="s">
        <v>179</v>
      </c>
      <c r="F90" t="s">
        <v>75</v>
      </c>
      <c r="G90">
        <v>2.1042606516290729</v>
      </c>
      <c r="H90">
        <v>0.95</v>
      </c>
      <c r="I90">
        <v>10</v>
      </c>
      <c r="J90">
        <v>1</v>
      </c>
      <c r="K90">
        <v>0.95</v>
      </c>
      <c r="L90">
        <v>45572</v>
      </c>
      <c r="M90" t="s">
        <v>138</v>
      </c>
      <c r="N90">
        <v>1.7568627450980394</v>
      </c>
      <c r="O90">
        <v>0.45146498332539298</v>
      </c>
      <c r="P90">
        <v>0.45146498332539298</v>
      </c>
      <c r="Q90">
        <v>0.83490737886388477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0.3834423955384918</v>
      </c>
      <c r="AB90">
        <v>0.16509262113611523</v>
      </c>
      <c r="AC90">
        <v>0</v>
      </c>
      <c r="AD90">
        <v>0</v>
      </c>
      <c r="AE90">
        <v>0</v>
      </c>
      <c r="AF90">
        <v>0.45146498332539298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2.2150112122411296</v>
      </c>
      <c r="AM90">
        <v>2.2150112122411296</v>
      </c>
      <c r="AN90">
        <v>1.8493292053663573</v>
      </c>
      <c r="BE90">
        <v>0</v>
      </c>
      <c r="BF90">
        <v>0</v>
      </c>
      <c r="BG90">
        <v>0</v>
      </c>
      <c r="BI90">
        <v>0.5407366071428571</v>
      </c>
      <c r="BJ90">
        <v>0.5407366071428571</v>
      </c>
      <c r="BK90">
        <v>1.1977376476906552</v>
      </c>
      <c r="BL90">
        <v>0.19773764769065516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0.54853501667460702</v>
      </c>
      <c r="BV90">
        <v>0</v>
      </c>
      <c r="BW90">
        <v>0</v>
      </c>
      <c r="BX90">
        <v>0</v>
      </c>
      <c r="BY90">
        <v>0</v>
      </c>
      <c r="BZ90">
        <v>0.5407366071428571</v>
      </c>
      <c r="CA90">
        <v>0</v>
      </c>
      <c r="CB90">
        <v>0</v>
      </c>
      <c r="CC90">
        <v>0</v>
      </c>
      <c r="CD90">
        <v>0</v>
      </c>
      <c r="CE90">
        <v>0</v>
      </c>
    </row>
    <row r="91" spans="1:83" x14ac:dyDescent="0.25">
      <c r="A91" t="s">
        <v>128</v>
      </c>
      <c r="B91" t="s">
        <v>181</v>
      </c>
      <c r="C91" t="s">
        <v>72</v>
      </c>
      <c r="D91" s="12">
        <v>45572</v>
      </c>
      <c r="E91" t="s">
        <v>179</v>
      </c>
      <c r="F91" t="s">
        <v>75</v>
      </c>
      <c r="G91">
        <v>4.5836142079336275</v>
      </c>
      <c r="H91">
        <v>3.8</v>
      </c>
      <c r="I91">
        <v>10</v>
      </c>
      <c r="K91">
        <v>3.8</v>
      </c>
      <c r="L91">
        <v>45572</v>
      </c>
      <c r="M91" t="s">
        <v>138</v>
      </c>
      <c r="N91">
        <v>2.8368983957219247</v>
      </c>
      <c r="O91">
        <v>0.82904010407828488</v>
      </c>
      <c r="P91">
        <v>0.82904010407828488</v>
      </c>
      <c r="Q91">
        <v>0.61892172138126944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0.17095989592171512</v>
      </c>
      <c r="AC91">
        <v>0</v>
      </c>
      <c r="AD91">
        <v>0.21011838269701544</v>
      </c>
      <c r="AE91">
        <v>0</v>
      </c>
      <c r="AF91">
        <v>0.61892172138126944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1.2062142652456915</v>
      </c>
      <c r="AM91">
        <v>1.2062142652456915</v>
      </c>
      <c r="AN91">
        <v>0.74655220940050648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0.20621426524569153</v>
      </c>
      <c r="AX91">
        <v>0</v>
      </c>
      <c r="AY91">
        <v>0</v>
      </c>
      <c r="AZ91">
        <v>0</v>
      </c>
      <c r="BA91">
        <v>0.25344779059949352</v>
      </c>
      <c r="BB91">
        <v>0</v>
      </c>
      <c r="BC91">
        <v>0.74655220940050648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1.3394910461828464</v>
      </c>
      <c r="BJ91">
        <v>1.3394910461828464</v>
      </c>
      <c r="BK91">
        <v>1.6157132080746248</v>
      </c>
      <c r="BL91">
        <v>0.27622216189177839</v>
      </c>
      <c r="BM91">
        <v>0</v>
      </c>
      <c r="BN91">
        <v>0</v>
      </c>
      <c r="BO91">
        <v>0</v>
      </c>
      <c r="BP91">
        <v>0</v>
      </c>
      <c r="BQ91">
        <v>0.16050895381715358</v>
      </c>
      <c r="BR91">
        <v>0.33949104618284642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</row>
    <row r="92" spans="1:83" x14ac:dyDescent="0.25">
      <c r="A92" t="s">
        <v>128</v>
      </c>
      <c r="B92" t="s">
        <v>134</v>
      </c>
      <c r="C92" t="s">
        <v>72</v>
      </c>
      <c r="D92" s="12">
        <v>45573</v>
      </c>
      <c r="E92" t="s">
        <v>179</v>
      </c>
      <c r="F92" t="s">
        <v>73</v>
      </c>
      <c r="G92">
        <v>3.1563909774436096</v>
      </c>
      <c r="H92">
        <v>1.9</v>
      </c>
      <c r="I92">
        <v>10</v>
      </c>
      <c r="J92">
        <v>1</v>
      </c>
      <c r="K92">
        <v>1.9</v>
      </c>
      <c r="L92">
        <v>45573</v>
      </c>
      <c r="M92" t="s">
        <v>139</v>
      </c>
      <c r="N92">
        <v>1.7290552584670236</v>
      </c>
      <c r="O92">
        <v>0.60195331110052397</v>
      </c>
      <c r="P92">
        <v>0.60195331110052397</v>
      </c>
      <c r="Q92">
        <v>0.54779501995263002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0.39804668889947603</v>
      </c>
      <c r="AC92">
        <v>0</v>
      </c>
      <c r="AD92">
        <v>5.4158291147893944E-2</v>
      </c>
      <c r="AE92">
        <v>0</v>
      </c>
      <c r="AF92">
        <v>0.54779501995263002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1.6612584091808473</v>
      </c>
      <c r="AM92">
        <v>1.6612584091808473</v>
      </c>
      <c r="AN92">
        <v>0.9100290834036967</v>
      </c>
      <c r="BE92">
        <v>0</v>
      </c>
      <c r="BF92">
        <v>0</v>
      </c>
      <c r="BG92">
        <v>0</v>
      </c>
      <c r="BI92">
        <v>1.098865979381443</v>
      </c>
      <c r="BJ92">
        <v>1.098865979381443</v>
      </c>
      <c r="BK92">
        <v>1.8255003488101698</v>
      </c>
      <c r="BL92">
        <v>0.72663436942872672</v>
      </c>
      <c r="BM92">
        <v>0</v>
      </c>
      <c r="BN92">
        <v>0</v>
      </c>
      <c r="BO92">
        <v>0</v>
      </c>
      <c r="BP92">
        <v>0</v>
      </c>
      <c r="BQ92">
        <v>0.40113402061855696</v>
      </c>
      <c r="BR92">
        <v>9.8865979381443037E-2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</row>
    <row r="93" spans="1:83" x14ac:dyDescent="0.25">
      <c r="A93" t="s">
        <v>128</v>
      </c>
      <c r="B93" t="s">
        <v>181</v>
      </c>
      <c r="C93" t="s">
        <v>72</v>
      </c>
      <c r="D93" s="12">
        <v>45573</v>
      </c>
      <c r="E93" t="s">
        <v>179</v>
      </c>
      <c r="F93" t="s">
        <v>73</v>
      </c>
      <c r="G93">
        <v>3.7478639781271368</v>
      </c>
      <c r="H93">
        <v>3.8</v>
      </c>
      <c r="I93">
        <v>10</v>
      </c>
      <c r="K93">
        <v>3.8</v>
      </c>
      <c r="L93">
        <v>45573</v>
      </c>
      <c r="M93" t="s">
        <v>139</v>
      </c>
      <c r="N93">
        <v>3.75</v>
      </c>
      <c r="O93">
        <v>1.0139108628747291</v>
      </c>
      <c r="P93">
        <v>1.0139108628747291</v>
      </c>
      <c r="Q93">
        <v>1.0005699304684827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5.6993046848274886E-4</v>
      </c>
      <c r="Y93">
        <v>0</v>
      </c>
      <c r="Z93">
        <v>1.3340932406246342E-2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0.98627999424398338</v>
      </c>
      <c r="AM93">
        <v>0.98627999424398338</v>
      </c>
      <c r="AN93">
        <v>0.98684210526315796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1.3157894736842035E-2</v>
      </c>
      <c r="AZ93">
        <v>0</v>
      </c>
      <c r="BA93">
        <v>0</v>
      </c>
      <c r="BB93">
        <v>0</v>
      </c>
      <c r="BC93">
        <v>0.98627999424398338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1.0133333333333332</v>
      </c>
      <c r="BJ93">
        <v>1.0133333333333332</v>
      </c>
      <c r="BK93">
        <v>0.99943039416723645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1.3333333333333197E-2</v>
      </c>
      <c r="BU93">
        <v>0</v>
      </c>
      <c r="BV93">
        <v>0</v>
      </c>
      <c r="BW93">
        <v>0</v>
      </c>
      <c r="BX93">
        <v>5.6960583276355337E-4</v>
      </c>
      <c r="BY93">
        <v>0</v>
      </c>
      <c r="BZ93">
        <v>0.99943039416723645</v>
      </c>
      <c r="CA93">
        <v>0</v>
      </c>
      <c r="CB93">
        <v>0</v>
      </c>
      <c r="CC93">
        <v>0</v>
      </c>
      <c r="CD93">
        <v>0</v>
      </c>
      <c r="CE93">
        <v>0</v>
      </c>
    </row>
    <row r="94" spans="1:83" x14ac:dyDescent="0.25">
      <c r="A94" t="s">
        <v>128</v>
      </c>
      <c r="B94" t="s">
        <v>181</v>
      </c>
      <c r="C94" t="s">
        <v>72</v>
      </c>
      <c r="D94" s="12">
        <v>45573</v>
      </c>
      <c r="E94" t="s">
        <v>179</v>
      </c>
      <c r="F94" t="s">
        <v>74</v>
      </c>
      <c r="G94">
        <v>0.97058823529411775</v>
      </c>
      <c r="H94">
        <v>0.95</v>
      </c>
      <c r="I94">
        <v>10</v>
      </c>
      <c r="K94">
        <v>0.95</v>
      </c>
      <c r="L94">
        <v>45573</v>
      </c>
      <c r="M94" t="s">
        <v>140</v>
      </c>
      <c r="N94">
        <v>0.99821746880570394</v>
      </c>
      <c r="O94">
        <v>0.97878787878787865</v>
      </c>
      <c r="P94">
        <v>0.97878787878787865</v>
      </c>
      <c r="Q94">
        <v>1.0284664830119372</v>
      </c>
      <c r="R94">
        <v>2.8466483011937216E-2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2.1212121212121349E-2</v>
      </c>
      <c r="AB94">
        <v>0</v>
      </c>
      <c r="AC94">
        <v>0</v>
      </c>
      <c r="AD94">
        <v>0</v>
      </c>
      <c r="AE94">
        <v>0</v>
      </c>
      <c r="AF94">
        <v>0.97878787878787865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1.0216718266253872</v>
      </c>
      <c r="AM94">
        <v>1.0216718266253872</v>
      </c>
      <c r="AN94">
        <v>1.0507552303217937</v>
      </c>
      <c r="AO94">
        <v>2.9083403696406496E-2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2.1671826625387247E-2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1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0.95169642857142867</v>
      </c>
      <c r="BJ94">
        <v>0.95169642857142867</v>
      </c>
      <c r="BK94">
        <v>0.97232142857142878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2.7678571428571219E-2</v>
      </c>
      <c r="BW94">
        <v>0</v>
      </c>
      <c r="BX94">
        <v>0</v>
      </c>
      <c r="BY94">
        <v>0</v>
      </c>
      <c r="BZ94">
        <v>0.95169642857142867</v>
      </c>
      <c r="CA94">
        <v>0</v>
      </c>
      <c r="CB94">
        <v>0</v>
      </c>
      <c r="CC94">
        <v>0</v>
      </c>
      <c r="CD94">
        <v>0</v>
      </c>
      <c r="CE94">
        <v>0</v>
      </c>
    </row>
    <row r="95" spans="1:83" x14ac:dyDescent="0.25">
      <c r="A95" t="s">
        <v>128</v>
      </c>
      <c r="B95" t="s">
        <v>134</v>
      </c>
      <c r="C95" t="s">
        <v>72</v>
      </c>
      <c r="D95" s="12">
        <v>45573</v>
      </c>
      <c r="E95" t="s">
        <v>179</v>
      </c>
      <c r="F95" t="s">
        <v>74</v>
      </c>
      <c r="G95">
        <v>1</v>
      </c>
      <c r="H95">
        <v>0</v>
      </c>
      <c r="I95">
        <v>10</v>
      </c>
      <c r="J95">
        <v>1</v>
      </c>
      <c r="K95">
        <v>0</v>
      </c>
      <c r="L95">
        <v>45573</v>
      </c>
      <c r="M95" t="s">
        <v>140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1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</row>
    <row r="96" spans="1:83" x14ac:dyDescent="0.25">
      <c r="A96" t="s">
        <v>128</v>
      </c>
      <c r="B96" t="s">
        <v>181</v>
      </c>
      <c r="C96" t="s">
        <v>72</v>
      </c>
      <c r="D96" s="12">
        <v>45573</v>
      </c>
      <c r="E96" t="s">
        <v>179</v>
      </c>
      <c r="F96" t="s">
        <v>75</v>
      </c>
      <c r="G96">
        <v>4.5836142079336275</v>
      </c>
      <c r="H96">
        <v>4.75</v>
      </c>
      <c r="I96">
        <v>10</v>
      </c>
      <c r="K96">
        <v>4.75</v>
      </c>
      <c r="L96">
        <v>45573</v>
      </c>
      <c r="M96" t="s">
        <v>141</v>
      </c>
      <c r="N96">
        <v>2.8368983957219247</v>
      </c>
      <c r="O96">
        <v>1.036300130097856</v>
      </c>
      <c r="P96">
        <v>1.036300130097856</v>
      </c>
      <c r="Q96">
        <v>0.61892172138126944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3.6300130097856043E-2</v>
      </c>
      <c r="AA96">
        <v>0</v>
      </c>
      <c r="AB96">
        <v>0</v>
      </c>
      <c r="AC96">
        <v>0</v>
      </c>
      <c r="AD96">
        <v>0.38107827861873056</v>
      </c>
      <c r="AE96">
        <v>0</v>
      </c>
      <c r="AF96">
        <v>0.61892172138126944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0.96497141219655314</v>
      </c>
      <c r="AM96">
        <v>0.96497141219655314</v>
      </c>
      <c r="AN96">
        <v>0.59724176752040525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3.5028587803446865E-2</v>
      </c>
      <c r="AZ96">
        <v>0</v>
      </c>
      <c r="BA96">
        <v>0.36772964467614788</v>
      </c>
      <c r="BB96">
        <v>0</v>
      </c>
      <c r="BC96">
        <v>0.59724176752040525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1.6743638077285583</v>
      </c>
      <c r="BJ96">
        <v>1.6743638077285583</v>
      </c>
      <c r="BK96">
        <v>1.6157132080746248</v>
      </c>
      <c r="CB96">
        <v>0</v>
      </c>
      <c r="CC96">
        <v>0</v>
      </c>
      <c r="CD96">
        <v>0</v>
      </c>
    </row>
    <row r="97" spans="1:83" x14ac:dyDescent="0.25">
      <c r="A97" t="s">
        <v>128</v>
      </c>
      <c r="B97" t="s">
        <v>134</v>
      </c>
      <c r="C97" t="s">
        <v>72</v>
      </c>
      <c r="D97" s="12">
        <v>45573</v>
      </c>
      <c r="E97" t="s">
        <v>179</v>
      </c>
      <c r="F97" t="s">
        <v>75</v>
      </c>
      <c r="G97">
        <v>2.1042606516290729</v>
      </c>
      <c r="H97">
        <v>2.8499999999999996</v>
      </c>
      <c r="I97">
        <v>10</v>
      </c>
      <c r="J97">
        <v>1</v>
      </c>
      <c r="K97">
        <v>2.8499999999999996</v>
      </c>
      <c r="L97">
        <v>45573</v>
      </c>
      <c r="M97" t="s">
        <v>141</v>
      </c>
      <c r="N97">
        <v>1.5496957403651117</v>
      </c>
      <c r="O97">
        <v>1.3543949499761787</v>
      </c>
      <c r="P97">
        <v>1.3543949499761787</v>
      </c>
      <c r="Q97">
        <v>0.73645617008775544</v>
      </c>
      <c r="R97">
        <v>0</v>
      </c>
      <c r="S97">
        <v>0</v>
      </c>
      <c r="T97">
        <v>0.10439494997617871</v>
      </c>
      <c r="U97">
        <v>0</v>
      </c>
      <c r="V97">
        <v>0</v>
      </c>
      <c r="W97">
        <v>0</v>
      </c>
      <c r="X97">
        <v>0</v>
      </c>
      <c r="Y97">
        <v>0</v>
      </c>
      <c r="Z97">
        <v>0.25</v>
      </c>
      <c r="AA97">
        <v>0</v>
      </c>
      <c r="AB97">
        <v>0</v>
      </c>
      <c r="AC97">
        <v>0</v>
      </c>
      <c r="AD97">
        <v>0.26354382991224456</v>
      </c>
      <c r="AE97">
        <v>0</v>
      </c>
      <c r="AF97">
        <v>0.73645617008775544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0.73833707074704324</v>
      </c>
      <c r="AM97">
        <v>0.73833707074704324</v>
      </c>
      <c r="AN97">
        <v>0.54375289135617966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0.26166292925295676</v>
      </c>
      <c r="AZ97">
        <v>0</v>
      </c>
      <c r="BA97">
        <v>0.19458417939086359</v>
      </c>
      <c r="BB97">
        <v>0</v>
      </c>
      <c r="BC97">
        <v>0.54375289135617966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1.8390706806282719</v>
      </c>
      <c r="BJ97">
        <v>1.8390706806282719</v>
      </c>
      <c r="BK97">
        <v>1.3578540592318493</v>
      </c>
      <c r="CB97">
        <v>0</v>
      </c>
      <c r="CC97">
        <v>0</v>
      </c>
      <c r="CD97">
        <v>0</v>
      </c>
    </row>
    <row r="98" spans="1:83" x14ac:dyDescent="0.25">
      <c r="A98" t="s">
        <v>128</v>
      </c>
      <c r="B98" t="s">
        <v>134</v>
      </c>
      <c r="C98" t="s">
        <v>72</v>
      </c>
      <c r="D98" s="12">
        <v>45574</v>
      </c>
      <c r="E98" t="s">
        <v>179</v>
      </c>
      <c r="F98" t="s">
        <v>73</v>
      </c>
      <c r="G98">
        <v>3.1563909774436096</v>
      </c>
      <c r="H98">
        <v>2.8499999999999996</v>
      </c>
      <c r="I98">
        <v>10</v>
      </c>
      <c r="J98">
        <v>1</v>
      </c>
      <c r="K98">
        <v>2.8499999999999996</v>
      </c>
      <c r="L98">
        <v>45574</v>
      </c>
      <c r="M98" t="s">
        <v>142</v>
      </c>
      <c r="N98">
        <v>1.7290552584670236</v>
      </c>
      <c r="O98">
        <v>0.90292996665078584</v>
      </c>
      <c r="P98">
        <v>0.90292996665078584</v>
      </c>
      <c r="Q98">
        <v>0.54779501995263002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9.7070033349214158E-2</v>
      </c>
      <c r="AC98">
        <v>0</v>
      </c>
      <c r="AD98">
        <v>0.35513494669815582</v>
      </c>
      <c r="AE98">
        <v>0</v>
      </c>
      <c r="AF98">
        <v>0.54779501995263002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1.1075056061205648</v>
      </c>
      <c r="AM98">
        <v>1.1075056061205648</v>
      </c>
      <c r="AN98">
        <v>0.60668605560246447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0.10750560612056481</v>
      </c>
      <c r="AX98">
        <v>0</v>
      </c>
      <c r="AY98">
        <v>0</v>
      </c>
      <c r="AZ98">
        <v>0</v>
      </c>
      <c r="BA98">
        <v>0.39331394439753553</v>
      </c>
      <c r="BB98">
        <v>0</v>
      </c>
      <c r="BC98">
        <v>0.60668605560246447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1.6482989690721643</v>
      </c>
      <c r="BJ98">
        <v>1.6482989690721643</v>
      </c>
      <c r="BK98">
        <v>1.8255003488101698</v>
      </c>
      <c r="CB98">
        <v>0</v>
      </c>
      <c r="CC98">
        <v>0</v>
      </c>
      <c r="CD98">
        <v>0</v>
      </c>
    </row>
    <row r="99" spans="1:83" x14ac:dyDescent="0.25">
      <c r="A99" t="s">
        <v>128</v>
      </c>
      <c r="B99" t="s">
        <v>181</v>
      </c>
      <c r="C99" t="s">
        <v>72</v>
      </c>
      <c r="D99" s="12">
        <v>45574</v>
      </c>
      <c r="E99" t="s">
        <v>179</v>
      </c>
      <c r="F99" t="s">
        <v>73</v>
      </c>
      <c r="G99">
        <v>3.7478639781271368</v>
      </c>
      <c r="H99">
        <v>4.75</v>
      </c>
      <c r="I99">
        <v>10</v>
      </c>
      <c r="K99">
        <v>4.75</v>
      </c>
      <c r="L99">
        <v>45574</v>
      </c>
      <c r="M99" t="s">
        <v>142</v>
      </c>
      <c r="N99">
        <v>3.7813725490196082</v>
      </c>
      <c r="O99">
        <v>1.2673885785934114</v>
      </c>
      <c r="P99">
        <v>1.2673885785934114</v>
      </c>
      <c r="Q99">
        <v>1.0089407115861275</v>
      </c>
      <c r="R99">
        <v>0</v>
      </c>
      <c r="S99">
        <v>0</v>
      </c>
      <c r="T99">
        <v>1.7388578593411363E-2</v>
      </c>
      <c r="U99">
        <v>0</v>
      </c>
      <c r="V99">
        <v>0</v>
      </c>
      <c r="W99">
        <v>0</v>
      </c>
      <c r="X99">
        <v>8.9407115861275255E-3</v>
      </c>
      <c r="Y99">
        <v>0</v>
      </c>
      <c r="Z99">
        <v>0.24105928841387247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0.78902399539518664</v>
      </c>
      <c r="AM99">
        <v>0.78902399539518664</v>
      </c>
      <c r="AN99">
        <v>0.79607843137254908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0.20392156862745092</v>
      </c>
      <c r="AZ99">
        <v>0</v>
      </c>
      <c r="BA99">
        <v>0</v>
      </c>
      <c r="BB99">
        <v>0</v>
      </c>
      <c r="BC99">
        <v>0.78902399539518664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1.2561576354679802</v>
      </c>
      <c r="BJ99">
        <v>1.2561576354679802</v>
      </c>
      <c r="BK99">
        <v>0.99113851638311623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0.2561576354679802</v>
      </c>
      <c r="BU99">
        <v>0</v>
      </c>
      <c r="BV99">
        <v>0</v>
      </c>
      <c r="BW99">
        <v>0</v>
      </c>
      <c r="BX99">
        <v>8.8614836168837696E-3</v>
      </c>
      <c r="BY99">
        <v>0</v>
      </c>
      <c r="BZ99">
        <v>0.99113851638311623</v>
      </c>
      <c r="CA99">
        <v>0</v>
      </c>
      <c r="CB99">
        <v>0</v>
      </c>
      <c r="CC99">
        <v>0</v>
      </c>
      <c r="CD99">
        <v>0</v>
      </c>
      <c r="CE99">
        <v>0</v>
      </c>
    </row>
    <row r="100" spans="1:83" x14ac:dyDescent="0.25">
      <c r="A100" t="s">
        <v>128</v>
      </c>
      <c r="B100" t="s">
        <v>134</v>
      </c>
      <c r="C100" t="s">
        <v>72</v>
      </c>
      <c r="D100" s="12">
        <v>45574</v>
      </c>
      <c r="E100" t="s">
        <v>179</v>
      </c>
      <c r="F100" t="s">
        <v>74</v>
      </c>
      <c r="G100">
        <v>1</v>
      </c>
      <c r="H100">
        <v>0</v>
      </c>
      <c r="I100">
        <v>10</v>
      </c>
      <c r="J100">
        <v>1</v>
      </c>
      <c r="K100">
        <v>0</v>
      </c>
      <c r="L100">
        <v>45574</v>
      </c>
      <c r="M100" t="s">
        <v>143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1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</row>
    <row r="101" spans="1:83" x14ac:dyDescent="0.25">
      <c r="A101" t="s">
        <v>128</v>
      </c>
      <c r="B101" t="s">
        <v>181</v>
      </c>
      <c r="C101" t="s">
        <v>72</v>
      </c>
      <c r="D101" s="12">
        <v>45574</v>
      </c>
      <c r="E101" t="s">
        <v>179</v>
      </c>
      <c r="F101" t="s">
        <v>74</v>
      </c>
      <c r="G101">
        <v>0.97058823529411775</v>
      </c>
      <c r="H101">
        <v>0.95</v>
      </c>
      <c r="I101">
        <v>10</v>
      </c>
      <c r="K101">
        <v>0.95</v>
      </c>
      <c r="L101">
        <v>45574</v>
      </c>
      <c r="M101" t="s">
        <v>143</v>
      </c>
      <c r="N101">
        <v>5.7040998217468802E-2</v>
      </c>
      <c r="O101">
        <v>0.97878787878787865</v>
      </c>
      <c r="P101">
        <v>0.97878787878787865</v>
      </c>
      <c r="Q101">
        <v>5.8769513314967853E-2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2.1212121212121349E-2</v>
      </c>
      <c r="AC101">
        <v>0</v>
      </c>
      <c r="AD101">
        <v>0.92001836547291083</v>
      </c>
      <c r="AE101">
        <v>0</v>
      </c>
      <c r="AF101">
        <v>5.8769513314967853E-2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1.0216718266253872</v>
      </c>
      <c r="AM101">
        <v>1.0216718266253872</v>
      </c>
      <c r="AN101">
        <v>6.0043156018388215E-2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2.1671826625387247E-2</v>
      </c>
      <c r="AX101">
        <v>0</v>
      </c>
      <c r="AY101">
        <v>0</v>
      </c>
      <c r="AZ101">
        <v>0</v>
      </c>
      <c r="BA101">
        <v>0.93995684398161183</v>
      </c>
      <c r="BB101">
        <v>0</v>
      </c>
      <c r="BC101">
        <v>6.0043156018388215E-2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16.654687500000001</v>
      </c>
      <c r="BJ101">
        <v>16.654687500000001</v>
      </c>
      <c r="BK101">
        <v>17.015625000000004</v>
      </c>
      <c r="CB101">
        <v>0</v>
      </c>
      <c r="CC101">
        <v>0</v>
      </c>
      <c r="CD101">
        <v>0</v>
      </c>
    </row>
    <row r="102" spans="1:83" x14ac:dyDescent="0.25">
      <c r="A102" t="s">
        <v>128</v>
      </c>
      <c r="B102" t="s">
        <v>134</v>
      </c>
      <c r="C102" t="s">
        <v>72</v>
      </c>
      <c r="D102" s="12">
        <v>45574</v>
      </c>
      <c r="E102" t="s">
        <v>179</v>
      </c>
      <c r="F102" t="s">
        <v>75</v>
      </c>
      <c r="G102">
        <v>2.1042606516290729</v>
      </c>
      <c r="H102">
        <v>1.9</v>
      </c>
      <c r="I102">
        <v>10</v>
      </c>
      <c r="J102">
        <v>1</v>
      </c>
      <c r="K102">
        <v>1.9</v>
      </c>
      <c r="L102">
        <v>45574</v>
      </c>
      <c r="M102" t="s">
        <v>144</v>
      </c>
      <c r="N102">
        <v>1.5496957403651113</v>
      </c>
      <c r="O102">
        <v>0.90292996665078595</v>
      </c>
      <c r="P102">
        <v>0.90292996665078595</v>
      </c>
      <c r="Q102">
        <v>0.73645617008775521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9.7070033349214047E-2</v>
      </c>
      <c r="AC102">
        <v>0</v>
      </c>
      <c r="AD102">
        <v>0.16647379656303074</v>
      </c>
      <c r="AE102">
        <v>0</v>
      </c>
      <c r="AF102">
        <v>0.73645617008775521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1.1075056061205648</v>
      </c>
      <c r="AM102">
        <v>1.1075056061205648</v>
      </c>
      <c r="AN102">
        <v>0.8156293370342691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0.10750560612056481</v>
      </c>
      <c r="AX102">
        <v>0</v>
      </c>
      <c r="AY102">
        <v>0</v>
      </c>
      <c r="AZ102">
        <v>0</v>
      </c>
      <c r="BA102">
        <v>0.1843706629657309</v>
      </c>
      <c r="BB102">
        <v>0</v>
      </c>
      <c r="BC102">
        <v>0.8156293370342691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1.2260471204188483</v>
      </c>
      <c r="BJ102">
        <v>1.2260471204188483</v>
      </c>
      <c r="BK102">
        <v>1.3578540592318498</v>
      </c>
      <c r="BL102">
        <v>0.13180693881300143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0.22604712041884834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1</v>
      </c>
      <c r="CA102">
        <v>0</v>
      </c>
      <c r="CB102">
        <v>0</v>
      </c>
      <c r="CC102">
        <v>0</v>
      </c>
      <c r="CD102">
        <v>0</v>
      </c>
      <c r="CE102">
        <v>0</v>
      </c>
    </row>
    <row r="103" spans="1:83" x14ac:dyDescent="0.25">
      <c r="A103" t="s">
        <v>128</v>
      </c>
      <c r="B103" t="s">
        <v>181</v>
      </c>
      <c r="C103" t="s">
        <v>72</v>
      </c>
      <c r="D103" s="12">
        <v>45574</v>
      </c>
      <c r="E103" t="s">
        <v>179</v>
      </c>
      <c r="F103" t="s">
        <v>75</v>
      </c>
      <c r="G103">
        <v>4.5836142079336275</v>
      </c>
      <c r="H103">
        <v>2.8499999999999996</v>
      </c>
      <c r="I103">
        <v>10</v>
      </c>
      <c r="K103">
        <v>2.8499999999999996</v>
      </c>
      <c r="L103">
        <v>45574</v>
      </c>
      <c r="M103" t="s">
        <v>144</v>
      </c>
      <c r="N103">
        <v>2.8368983957219247</v>
      </c>
      <c r="O103">
        <v>0.6217800780587136</v>
      </c>
      <c r="P103">
        <v>0.6217800780587136</v>
      </c>
      <c r="Q103">
        <v>0.61892172138126944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0.3782199219412864</v>
      </c>
      <c r="AC103">
        <v>0</v>
      </c>
      <c r="AD103">
        <v>2.8583566774441627E-3</v>
      </c>
      <c r="AE103">
        <v>0</v>
      </c>
      <c r="AF103">
        <v>0.61892172138126944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1.6082856869942554</v>
      </c>
      <c r="AM103">
        <v>1.6082856869942554</v>
      </c>
      <c r="AN103">
        <v>0.99540294586734213</v>
      </c>
      <c r="BE103">
        <v>0</v>
      </c>
      <c r="BF103">
        <v>0</v>
      </c>
      <c r="BG103">
        <v>0</v>
      </c>
      <c r="BI103">
        <v>1.0046182846371348</v>
      </c>
      <c r="BJ103">
        <v>1.0046182846371348</v>
      </c>
      <c r="BK103">
        <v>1.6157132080746248</v>
      </c>
      <c r="BL103">
        <v>0.61109492343749006</v>
      </c>
      <c r="BM103">
        <v>0</v>
      </c>
      <c r="BN103">
        <v>0</v>
      </c>
      <c r="BO103">
        <v>0</v>
      </c>
      <c r="BP103">
        <v>0</v>
      </c>
      <c r="BQ103">
        <v>0.49538171536286524</v>
      </c>
      <c r="BR103">
        <v>4.6182846371347619E-3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</row>
    <row r="104" spans="1:83" x14ac:dyDescent="0.25">
      <c r="A104" t="s">
        <v>128</v>
      </c>
      <c r="B104" t="s">
        <v>134</v>
      </c>
      <c r="C104" t="s">
        <v>72</v>
      </c>
      <c r="D104" s="12">
        <v>45575</v>
      </c>
      <c r="E104" t="s">
        <v>179</v>
      </c>
      <c r="F104" t="s">
        <v>73</v>
      </c>
      <c r="G104">
        <v>3.1563909774436087</v>
      </c>
      <c r="H104">
        <v>3.8</v>
      </c>
      <c r="I104">
        <v>10</v>
      </c>
      <c r="J104">
        <v>1</v>
      </c>
      <c r="K104">
        <v>3.8</v>
      </c>
      <c r="L104">
        <v>45575</v>
      </c>
      <c r="M104" t="s">
        <v>145</v>
      </c>
      <c r="N104">
        <v>1.882352941176471</v>
      </c>
      <c r="O104">
        <v>1.2039066222010482</v>
      </c>
      <c r="P104">
        <v>1.2039066222010482</v>
      </c>
      <c r="Q104">
        <v>0.5963624134742036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0.20390662220104816</v>
      </c>
      <c r="AA104">
        <v>0</v>
      </c>
      <c r="AB104">
        <v>0</v>
      </c>
      <c r="AC104">
        <v>0</v>
      </c>
      <c r="AD104">
        <v>0.4036375865257964</v>
      </c>
      <c r="AE104">
        <v>0</v>
      </c>
      <c r="AF104">
        <v>0.5963624134742036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0.83062920459042344</v>
      </c>
      <c r="AM104">
        <v>0.83062920459042344</v>
      </c>
      <c r="AN104">
        <v>0.4953560371517029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0.16937079540957656</v>
      </c>
      <c r="AZ104">
        <v>0</v>
      </c>
      <c r="BA104">
        <v>0.33527316743872054</v>
      </c>
      <c r="BB104">
        <v>0</v>
      </c>
      <c r="BC104">
        <v>0.4953560371517029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2.0187499999999994</v>
      </c>
      <c r="BJ104">
        <v>2.0187499999999994</v>
      </c>
      <c r="BK104">
        <v>1.6768327067669169</v>
      </c>
      <c r="CB104">
        <v>0</v>
      </c>
      <c r="CC104">
        <v>0</v>
      </c>
      <c r="CD104">
        <v>0</v>
      </c>
    </row>
    <row r="105" spans="1:83" x14ac:dyDescent="0.25">
      <c r="A105" t="s">
        <v>128</v>
      </c>
      <c r="B105" t="s">
        <v>181</v>
      </c>
      <c r="C105" t="s">
        <v>72</v>
      </c>
      <c r="D105" s="12">
        <v>45575</v>
      </c>
      <c r="E105" t="s">
        <v>179</v>
      </c>
      <c r="F105" t="s">
        <v>73</v>
      </c>
      <c r="G105">
        <v>3.7478639781271368</v>
      </c>
      <c r="H105">
        <v>4.75</v>
      </c>
      <c r="I105">
        <v>10</v>
      </c>
      <c r="K105">
        <v>4.75</v>
      </c>
      <c r="L105">
        <v>45575</v>
      </c>
      <c r="M105" t="s">
        <v>145</v>
      </c>
      <c r="N105">
        <v>3.75</v>
      </c>
      <c r="O105">
        <v>1.2673885785934114</v>
      </c>
      <c r="P105">
        <v>1.2673885785934114</v>
      </c>
      <c r="Q105">
        <v>1.0005699304684827</v>
      </c>
      <c r="R105">
        <v>0</v>
      </c>
      <c r="S105">
        <v>0</v>
      </c>
      <c r="T105">
        <v>1.7388578593411363E-2</v>
      </c>
      <c r="U105">
        <v>0</v>
      </c>
      <c r="V105">
        <v>0</v>
      </c>
      <c r="W105">
        <v>0</v>
      </c>
      <c r="X105">
        <v>5.6993046848274886E-4</v>
      </c>
      <c r="Y105">
        <v>0</v>
      </c>
      <c r="Z105">
        <v>0.24943006953151725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0.78902399539518664</v>
      </c>
      <c r="AM105">
        <v>0.78902399539518664</v>
      </c>
      <c r="AN105">
        <v>0.78947368421052633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0.21052631578947367</v>
      </c>
      <c r="AZ105">
        <v>0</v>
      </c>
      <c r="BA105">
        <v>0</v>
      </c>
      <c r="BB105">
        <v>0</v>
      </c>
      <c r="BC105">
        <v>0.78902399539518664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1.2666666666666666</v>
      </c>
      <c r="BJ105">
        <v>1.2666666666666666</v>
      </c>
      <c r="BK105">
        <v>0.99943039416723645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0.26666666666666661</v>
      </c>
      <c r="BU105">
        <v>0</v>
      </c>
      <c r="BV105">
        <v>0</v>
      </c>
      <c r="BW105">
        <v>0</v>
      </c>
      <c r="BX105">
        <v>5.6960583276355337E-4</v>
      </c>
      <c r="BY105">
        <v>0</v>
      </c>
      <c r="BZ105">
        <v>0.99943039416723645</v>
      </c>
      <c r="CA105">
        <v>0</v>
      </c>
      <c r="CB105">
        <v>0</v>
      </c>
      <c r="CC105">
        <v>0</v>
      </c>
      <c r="CD105">
        <v>0</v>
      </c>
      <c r="CE105">
        <v>0</v>
      </c>
    </row>
    <row r="106" spans="1:83" x14ac:dyDescent="0.25">
      <c r="A106" t="s">
        <v>128</v>
      </c>
      <c r="B106" t="s">
        <v>134</v>
      </c>
      <c r="C106" t="s">
        <v>72</v>
      </c>
      <c r="D106" s="12">
        <v>45575</v>
      </c>
      <c r="E106" t="s">
        <v>179</v>
      </c>
      <c r="F106" t="s">
        <v>74</v>
      </c>
      <c r="G106">
        <v>1</v>
      </c>
      <c r="H106">
        <v>0</v>
      </c>
      <c r="I106">
        <v>10</v>
      </c>
      <c r="J106">
        <v>1</v>
      </c>
      <c r="K106">
        <v>0</v>
      </c>
      <c r="L106">
        <v>45575</v>
      </c>
      <c r="M106" t="s">
        <v>146</v>
      </c>
      <c r="N106">
        <v>5.4901960784313725E-2</v>
      </c>
      <c r="O106">
        <v>0</v>
      </c>
      <c r="P106">
        <v>0</v>
      </c>
      <c r="Q106">
        <v>5.4901960784313725E-2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5.4901960784313725E-2</v>
      </c>
      <c r="AB106">
        <v>0.94509803921568625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I106">
        <v>0</v>
      </c>
      <c r="BJ106">
        <v>0</v>
      </c>
      <c r="BK106">
        <v>18.214285714285715</v>
      </c>
      <c r="BL106">
        <v>17.214285714285715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</row>
    <row r="107" spans="1:83" x14ac:dyDescent="0.25">
      <c r="A107" t="s">
        <v>128</v>
      </c>
      <c r="B107" t="s">
        <v>181</v>
      </c>
      <c r="C107" t="s">
        <v>72</v>
      </c>
      <c r="D107" s="12">
        <v>45575</v>
      </c>
      <c r="E107" t="s">
        <v>179</v>
      </c>
      <c r="F107" t="s">
        <v>74</v>
      </c>
      <c r="G107">
        <v>0.97058823529411775</v>
      </c>
      <c r="H107">
        <v>0.95</v>
      </c>
      <c r="I107">
        <v>10</v>
      </c>
      <c r="K107">
        <v>0.95</v>
      </c>
      <c r="L107">
        <v>45575</v>
      </c>
      <c r="M107" t="s">
        <v>146</v>
      </c>
      <c r="N107">
        <v>5.7040998217468802E-2</v>
      </c>
      <c r="O107">
        <v>0.97878787878787865</v>
      </c>
      <c r="P107">
        <v>0.97878787878787865</v>
      </c>
      <c r="Q107">
        <v>5.8769513314967853E-2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2.1212121212121349E-2</v>
      </c>
      <c r="AC107">
        <v>0</v>
      </c>
      <c r="AD107">
        <v>0.92001836547291083</v>
      </c>
      <c r="AE107">
        <v>0</v>
      </c>
      <c r="AF107">
        <v>5.8769513314967853E-2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1.0216718266253872</v>
      </c>
      <c r="AM107">
        <v>1.0216718266253872</v>
      </c>
      <c r="AN107">
        <v>6.0043156018388215E-2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2.1671826625387247E-2</v>
      </c>
      <c r="AX107">
        <v>0</v>
      </c>
      <c r="AY107">
        <v>0</v>
      </c>
      <c r="AZ107">
        <v>0</v>
      </c>
      <c r="BA107">
        <v>0.93995684398161183</v>
      </c>
      <c r="BB107">
        <v>0</v>
      </c>
      <c r="BC107">
        <v>6.0043156018388215E-2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16.654687500000001</v>
      </c>
      <c r="BJ107">
        <v>16.654687500000001</v>
      </c>
      <c r="BK107">
        <v>17.015625000000004</v>
      </c>
      <c r="CB107">
        <v>0</v>
      </c>
      <c r="CC107">
        <v>0</v>
      </c>
      <c r="CD107">
        <v>0</v>
      </c>
    </row>
    <row r="108" spans="1:83" x14ac:dyDescent="0.25">
      <c r="A108" t="s">
        <v>128</v>
      </c>
      <c r="B108" t="s">
        <v>134</v>
      </c>
      <c r="C108" t="s">
        <v>72</v>
      </c>
      <c r="D108" s="12">
        <v>45575</v>
      </c>
      <c r="E108" t="s">
        <v>179</v>
      </c>
      <c r="F108" t="s">
        <v>75</v>
      </c>
      <c r="G108">
        <v>2.1042606516290729</v>
      </c>
      <c r="H108">
        <v>1.9</v>
      </c>
      <c r="I108">
        <v>10</v>
      </c>
      <c r="J108">
        <v>1</v>
      </c>
      <c r="K108">
        <v>1.9</v>
      </c>
      <c r="L108">
        <v>45575</v>
      </c>
      <c r="M108" t="s">
        <v>147</v>
      </c>
      <c r="N108">
        <v>1.9315753887761999</v>
      </c>
      <c r="O108">
        <v>0.90292996665078595</v>
      </c>
      <c r="P108">
        <v>0.90292996665078595</v>
      </c>
      <c r="Q108">
        <v>0.91793542177430165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1.5005455123515699E-2</v>
      </c>
      <c r="AB108">
        <v>8.2064578225698348E-2</v>
      </c>
      <c r="AC108">
        <v>0</v>
      </c>
      <c r="AD108">
        <v>0</v>
      </c>
      <c r="AE108">
        <v>0</v>
      </c>
      <c r="AF108">
        <v>0.90292996665078595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1.1075056061205648</v>
      </c>
      <c r="AM108">
        <v>1.1075056061205648</v>
      </c>
      <c r="AN108">
        <v>1.0166186256716843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1.6618625671684262E-2</v>
      </c>
      <c r="AV108">
        <v>0</v>
      </c>
      <c r="AW108">
        <v>9.088698044888055E-2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1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0.98365303836460383</v>
      </c>
      <c r="BJ108">
        <v>0.98365303836460383</v>
      </c>
      <c r="BK108">
        <v>1.0894012544663256</v>
      </c>
      <c r="BL108">
        <v>8.940125446632563E-2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9.7070033349214047E-2</v>
      </c>
      <c r="BV108">
        <v>0</v>
      </c>
      <c r="BW108">
        <v>0</v>
      </c>
      <c r="BX108">
        <v>0</v>
      </c>
      <c r="BY108">
        <v>0</v>
      </c>
      <c r="BZ108">
        <v>0.98365303836460383</v>
      </c>
      <c r="CA108">
        <v>0</v>
      </c>
      <c r="CB108">
        <v>0</v>
      </c>
      <c r="CC108">
        <v>0</v>
      </c>
      <c r="CD108">
        <v>0</v>
      </c>
      <c r="CE108">
        <v>0</v>
      </c>
    </row>
    <row r="109" spans="1:83" x14ac:dyDescent="0.25">
      <c r="A109" t="s">
        <v>128</v>
      </c>
      <c r="B109" t="s">
        <v>181</v>
      </c>
      <c r="C109" t="s">
        <v>72</v>
      </c>
      <c r="D109" s="12">
        <v>45575</v>
      </c>
      <c r="E109" t="s">
        <v>179</v>
      </c>
      <c r="F109" t="s">
        <v>75</v>
      </c>
      <c r="G109">
        <v>4.5836142079336275</v>
      </c>
      <c r="H109">
        <v>1.9</v>
      </c>
      <c r="I109">
        <v>10</v>
      </c>
      <c r="K109">
        <v>1.9</v>
      </c>
      <c r="L109">
        <v>45575</v>
      </c>
      <c r="M109" t="s">
        <v>147</v>
      </c>
      <c r="N109">
        <v>2.8368983957219247</v>
      </c>
      <c r="O109">
        <v>0.41452005203914244</v>
      </c>
      <c r="P109">
        <v>0.41452005203914244</v>
      </c>
      <c r="Q109">
        <v>0.61892172138126944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0.204401669342127</v>
      </c>
      <c r="AB109">
        <v>0.38107827861873056</v>
      </c>
      <c r="AC109">
        <v>0</v>
      </c>
      <c r="AD109">
        <v>0</v>
      </c>
      <c r="AE109">
        <v>0</v>
      </c>
      <c r="AF109">
        <v>0.41452005203914244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2.4124285304913831</v>
      </c>
      <c r="AM109">
        <v>2.4124285304913831</v>
      </c>
      <c r="AN109">
        <v>1.493104418801013</v>
      </c>
      <c r="BE109">
        <v>0</v>
      </c>
      <c r="BF109">
        <v>0</v>
      </c>
      <c r="BG109">
        <v>0</v>
      </c>
      <c r="BI109">
        <v>0.66974552309142321</v>
      </c>
      <c r="BJ109">
        <v>0.66974552309142321</v>
      </c>
      <c r="BK109">
        <v>1.6157132080746248</v>
      </c>
      <c r="BL109">
        <v>0.61571320807462482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0.58547994796085756</v>
      </c>
      <c r="BV109">
        <v>0</v>
      </c>
      <c r="BW109">
        <v>0</v>
      </c>
      <c r="BX109">
        <v>0</v>
      </c>
      <c r="BY109">
        <v>0</v>
      </c>
      <c r="BZ109">
        <v>0.66974552309142321</v>
      </c>
      <c r="CA109">
        <v>0</v>
      </c>
      <c r="CB109">
        <v>0</v>
      </c>
      <c r="CC109">
        <v>0</v>
      </c>
      <c r="CD109">
        <v>0</v>
      </c>
      <c r="CE109">
        <v>0</v>
      </c>
    </row>
    <row r="110" spans="1:83" x14ac:dyDescent="0.25">
      <c r="A110" t="s">
        <v>128</v>
      </c>
      <c r="B110" t="s">
        <v>181</v>
      </c>
      <c r="C110" t="s">
        <v>72</v>
      </c>
      <c r="D110" s="12">
        <v>45576</v>
      </c>
      <c r="E110" t="s">
        <v>179</v>
      </c>
      <c r="F110" t="s">
        <v>73</v>
      </c>
      <c r="G110">
        <v>3.7478639781271368</v>
      </c>
      <c r="H110">
        <v>4.75</v>
      </c>
      <c r="I110">
        <v>10</v>
      </c>
      <c r="K110">
        <v>4.75</v>
      </c>
      <c r="L110">
        <v>45576</v>
      </c>
      <c r="M110" t="s">
        <v>148</v>
      </c>
      <c r="N110">
        <v>3.75</v>
      </c>
      <c r="O110">
        <v>1.2673885785934114</v>
      </c>
      <c r="P110">
        <v>1.2673885785934114</v>
      </c>
      <c r="Q110">
        <v>1.0005699304684827</v>
      </c>
      <c r="R110">
        <v>0</v>
      </c>
      <c r="S110">
        <v>0</v>
      </c>
      <c r="T110">
        <v>1.7388578593411363E-2</v>
      </c>
      <c r="U110">
        <v>0</v>
      </c>
      <c r="V110">
        <v>0</v>
      </c>
      <c r="W110">
        <v>0</v>
      </c>
      <c r="X110">
        <v>5.6993046848274886E-4</v>
      </c>
      <c r="Y110">
        <v>0</v>
      </c>
      <c r="Z110">
        <v>0.24943006953151725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1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0.78902399539518664</v>
      </c>
      <c r="AM110">
        <v>0.78902399539518664</v>
      </c>
      <c r="AN110">
        <v>0.78947368421052633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0.21052631578947367</v>
      </c>
      <c r="AZ110">
        <v>0</v>
      </c>
      <c r="BA110">
        <v>0</v>
      </c>
      <c r="BB110">
        <v>0</v>
      </c>
      <c r="BC110">
        <v>0.78902399539518664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1.2666666666666666</v>
      </c>
      <c r="BJ110">
        <v>1.2666666666666666</v>
      </c>
      <c r="BK110">
        <v>0.99943039416723645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0.26666666666666661</v>
      </c>
      <c r="BU110">
        <v>0</v>
      </c>
      <c r="BV110">
        <v>0</v>
      </c>
      <c r="BW110">
        <v>0</v>
      </c>
      <c r="BX110">
        <v>5.6960583276355337E-4</v>
      </c>
      <c r="BY110">
        <v>0</v>
      </c>
      <c r="BZ110">
        <v>0.99943039416723645</v>
      </c>
      <c r="CA110">
        <v>0</v>
      </c>
      <c r="CB110">
        <v>0</v>
      </c>
      <c r="CC110">
        <v>0</v>
      </c>
      <c r="CD110">
        <v>0</v>
      </c>
      <c r="CE110">
        <v>0</v>
      </c>
    </row>
    <row r="111" spans="1:83" x14ac:dyDescent="0.25">
      <c r="A111" t="s">
        <v>128</v>
      </c>
      <c r="B111" t="s">
        <v>134</v>
      </c>
      <c r="C111" t="s">
        <v>72</v>
      </c>
      <c r="D111" s="12">
        <v>45576</v>
      </c>
      <c r="E111" t="s">
        <v>179</v>
      </c>
      <c r="F111" t="s">
        <v>73</v>
      </c>
      <c r="G111">
        <v>3.1563909774436087</v>
      </c>
      <c r="H111">
        <v>3.8</v>
      </c>
      <c r="I111">
        <v>10</v>
      </c>
      <c r="J111">
        <v>1</v>
      </c>
      <c r="K111">
        <v>3.8</v>
      </c>
      <c r="L111">
        <v>45576</v>
      </c>
      <c r="M111" t="s">
        <v>148</v>
      </c>
      <c r="N111">
        <v>1.882352941176471</v>
      </c>
      <c r="O111">
        <v>1.2039066222010482</v>
      </c>
      <c r="P111">
        <v>1.2039066222010482</v>
      </c>
      <c r="Q111">
        <v>0.5963624134742036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0.20390662220104816</v>
      </c>
      <c r="AA111">
        <v>0</v>
      </c>
      <c r="AB111">
        <v>0</v>
      </c>
      <c r="AC111">
        <v>0</v>
      </c>
      <c r="AD111">
        <v>0.4036375865257964</v>
      </c>
      <c r="AE111">
        <v>0</v>
      </c>
      <c r="AF111">
        <v>0.5963624134742036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0.83062920459042344</v>
      </c>
      <c r="AM111">
        <v>0.83062920459042344</v>
      </c>
      <c r="AN111">
        <v>0.4953560371517029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0.16937079540957656</v>
      </c>
      <c r="AZ111">
        <v>0</v>
      </c>
      <c r="BA111">
        <v>0.33527316743872054</v>
      </c>
      <c r="BB111">
        <v>0</v>
      </c>
      <c r="BC111">
        <v>0.4953560371517029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2.0187499999999994</v>
      </c>
      <c r="BJ111">
        <v>2.0187499999999994</v>
      </c>
      <c r="BK111">
        <v>1.6768327067669169</v>
      </c>
      <c r="CB111">
        <v>0</v>
      </c>
      <c r="CC111">
        <v>0</v>
      </c>
      <c r="CD111">
        <v>0</v>
      </c>
    </row>
    <row r="112" spans="1:83" x14ac:dyDescent="0.25">
      <c r="A112" t="s">
        <v>128</v>
      </c>
      <c r="B112" t="s">
        <v>181</v>
      </c>
      <c r="C112" t="s">
        <v>72</v>
      </c>
      <c r="D112" s="12">
        <v>45576</v>
      </c>
      <c r="E112" t="s">
        <v>179</v>
      </c>
      <c r="F112" t="s">
        <v>74</v>
      </c>
      <c r="G112">
        <v>0.97058823529411775</v>
      </c>
      <c r="H112">
        <v>0.95</v>
      </c>
      <c r="I112">
        <v>10</v>
      </c>
      <c r="K112">
        <v>0.95</v>
      </c>
      <c r="L112">
        <v>45576</v>
      </c>
      <c r="M112" t="s">
        <v>149</v>
      </c>
      <c r="N112">
        <v>5.7040998217468802E-2</v>
      </c>
      <c r="O112">
        <v>0.97878787878787865</v>
      </c>
      <c r="P112">
        <v>0.97878787878787865</v>
      </c>
      <c r="Q112">
        <v>5.8769513314967853E-2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2.1212121212121349E-2</v>
      </c>
      <c r="AC112">
        <v>0</v>
      </c>
      <c r="AD112">
        <v>0.92001836547291083</v>
      </c>
      <c r="AE112">
        <v>0</v>
      </c>
      <c r="AF112">
        <v>5.8769513314967853E-2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1.0216718266253872</v>
      </c>
      <c r="AM112">
        <v>1.0216718266253872</v>
      </c>
      <c r="AN112">
        <v>6.0043156018388215E-2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2.1671826625387247E-2</v>
      </c>
      <c r="AX112">
        <v>0</v>
      </c>
      <c r="AY112">
        <v>0</v>
      </c>
      <c r="AZ112">
        <v>0</v>
      </c>
      <c r="BA112">
        <v>0.93995684398161183</v>
      </c>
      <c r="BB112">
        <v>0</v>
      </c>
      <c r="BC112">
        <v>6.0043156018388215E-2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16.654687500000001</v>
      </c>
      <c r="BJ112">
        <v>16.654687500000001</v>
      </c>
      <c r="BK112">
        <v>17.015625000000004</v>
      </c>
      <c r="CB112">
        <v>0</v>
      </c>
      <c r="CC112">
        <v>0</v>
      </c>
      <c r="CD112">
        <v>0</v>
      </c>
    </row>
    <row r="113" spans="1:83" x14ac:dyDescent="0.25">
      <c r="A113" t="s">
        <v>128</v>
      </c>
      <c r="B113" t="s">
        <v>134</v>
      </c>
      <c r="C113" t="s">
        <v>72</v>
      </c>
      <c r="D113" s="12">
        <v>45576</v>
      </c>
      <c r="E113" t="s">
        <v>179</v>
      </c>
      <c r="F113" t="s">
        <v>74</v>
      </c>
      <c r="G113">
        <v>1</v>
      </c>
      <c r="H113">
        <v>0</v>
      </c>
      <c r="I113">
        <v>10</v>
      </c>
      <c r="J113">
        <v>1</v>
      </c>
      <c r="K113">
        <v>0</v>
      </c>
      <c r="L113">
        <v>45576</v>
      </c>
      <c r="M113" t="s">
        <v>149</v>
      </c>
      <c r="N113">
        <v>2.7450980392156862E-2</v>
      </c>
      <c r="O113">
        <v>0</v>
      </c>
      <c r="P113">
        <v>0</v>
      </c>
      <c r="Q113">
        <v>2.7450980392156862E-2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2.7450980392156862E-2</v>
      </c>
      <c r="AB113">
        <v>0.97254901960784312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I113">
        <v>0</v>
      </c>
      <c r="BJ113">
        <v>0</v>
      </c>
      <c r="BK113">
        <v>36.428571428571431</v>
      </c>
      <c r="BL113">
        <v>35.428571428571431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</row>
    <row r="114" spans="1:83" x14ac:dyDescent="0.25">
      <c r="A114" t="s">
        <v>128</v>
      </c>
      <c r="B114" t="s">
        <v>134</v>
      </c>
      <c r="C114" t="s">
        <v>72</v>
      </c>
      <c r="D114" s="12">
        <v>45576</v>
      </c>
      <c r="E114" t="s">
        <v>179</v>
      </c>
      <c r="F114" t="s">
        <v>75</v>
      </c>
      <c r="G114">
        <v>2.1042606516290729</v>
      </c>
      <c r="H114">
        <v>2.8499999999999996</v>
      </c>
      <c r="I114">
        <v>10</v>
      </c>
      <c r="J114">
        <v>1</v>
      </c>
      <c r="K114">
        <v>2.8499999999999996</v>
      </c>
      <c r="L114">
        <v>45576</v>
      </c>
      <c r="M114" t="s">
        <v>150</v>
      </c>
      <c r="N114">
        <v>1.7568627450980387</v>
      </c>
      <c r="O114">
        <v>1.3543949499761787</v>
      </c>
      <c r="P114">
        <v>1.3543949499761787</v>
      </c>
      <c r="Q114">
        <v>0.83490737886388444</v>
      </c>
      <c r="R114">
        <v>0</v>
      </c>
      <c r="S114">
        <v>0</v>
      </c>
      <c r="T114">
        <v>0.10439494997617871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0.25</v>
      </c>
      <c r="AA114">
        <v>0</v>
      </c>
      <c r="AB114">
        <v>0</v>
      </c>
      <c r="AC114">
        <v>0</v>
      </c>
      <c r="AD114">
        <v>0.16509262113611556</v>
      </c>
      <c r="AE114">
        <v>0</v>
      </c>
      <c r="AF114">
        <v>0.83490737886388444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0.73833707074704324</v>
      </c>
      <c r="AM114">
        <v>0.73833707074704324</v>
      </c>
      <c r="AN114">
        <v>0.61644306845545227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0.26166292925295676</v>
      </c>
      <c r="AZ114">
        <v>0</v>
      </c>
      <c r="BA114">
        <v>0.12189400229159097</v>
      </c>
      <c r="BB114">
        <v>0</v>
      </c>
      <c r="BC114">
        <v>0.61644306845545227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1.6222098214285716</v>
      </c>
      <c r="BJ114">
        <v>1.6222098214285716</v>
      </c>
      <c r="BK114">
        <v>1.1977376476906556</v>
      </c>
      <c r="CB114">
        <v>0</v>
      </c>
      <c r="CC114">
        <v>0</v>
      </c>
      <c r="CD114">
        <v>0</v>
      </c>
    </row>
    <row r="115" spans="1:83" x14ac:dyDescent="0.25">
      <c r="A115" t="s">
        <v>128</v>
      </c>
      <c r="B115" t="s">
        <v>181</v>
      </c>
      <c r="C115" t="s">
        <v>72</v>
      </c>
      <c r="D115" s="12">
        <v>45576</v>
      </c>
      <c r="E115" t="s">
        <v>179</v>
      </c>
      <c r="F115" t="s">
        <v>75</v>
      </c>
      <c r="G115">
        <v>4.5836142079336275</v>
      </c>
      <c r="H115">
        <v>3.8</v>
      </c>
      <c r="I115">
        <v>10</v>
      </c>
      <c r="K115">
        <v>3.8</v>
      </c>
      <c r="L115">
        <v>45576</v>
      </c>
      <c r="M115" t="s">
        <v>150</v>
      </c>
      <c r="N115">
        <v>3.5641711229946522</v>
      </c>
      <c r="O115">
        <v>0.82904010407828488</v>
      </c>
      <c r="P115">
        <v>0.82904010407828488</v>
      </c>
      <c r="Q115">
        <v>0.77758968388429051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0.17095989592171512</v>
      </c>
      <c r="AC115">
        <v>0</v>
      </c>
      <c r="AD115">
        <v>5.1450420193994373E-2</v>
      </c>
      <c r="AE115">
        <v>0</v>
      </c>
      <c r="AF115">
        <v>0.77758968388429051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1.2062142652456915</v>
      </c>
      <c r="AM115">
        <v>1.2062142652456915</v>
      </c>
      <c r="AN115">
        <v>0.93793976920911903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0.20621426524569153</v>
      </c>
      <c r="AX115">
        <v>0</v>
      </c>
      <c r="AY115">
        <v>0</v>
      </c>
      <c r="AZ115">
        <v>0</v>
      </c>
      <c r="BA115">
        <v>6.2060230790880966E-2</v>
      </c>
      <c r="BB115">
        <v>0</v>
      </c>
      <c r="BC115">
        <v>0.93793976920911903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1.0661665416354089</v>
      </c>
      <c r="BJ115">
        <v>1.0661665416354089</v>
      </c>
      <c r="BK115">
        <v>1.2860252916482946</v>
      </c>
      <c r="BL115">
        <v>0.21985875001288568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6.6166541635408915E-2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1</v>
      </c>
      <c r="CA115">
        <v>0</v>
      </c>
      <c r="CB115">
        <v>0</v>
      </c>
      <c r="CC115">
        <v>0</v>
      </c>
      <c r="CD115">
        <v>0</v>
      </c>
      <c r="CE115">
        <v>0</v>
      </c>
    </row>
    <row r="116" spans="1:83" x14ac:dyDescent="0.25">
      <c r="A116" t="s">
        <v>128</v>
      </c>
      <c r="B116" t="s">
        <v>134</v>
      </c>
      <c r="C116" t="s">
        <v>72</v>
      </c>
      <c r="D116" s="12">
        <v>45577</v>
      </c>
      <c r="E116" t="s">
        <v>179</v>
      </c>
      <c r="F116" t="s">
        <v>73</v>
      </c>
      <c r="G116">
        <v>3.1563909774436096</v>
      </c>
      <c r="H116">
        <v>4.75</v>
      </c>
      <c r="I116">
        <v>10</v>
      </c>
      <c r="J116">
        <v>1</v>
      </c>
      <c r="K116">
        <v>4.75</v>
      </c>
      <c r="L116">
        <v>45577</v>
      </c>
      <c r="M116" t="s">
        <v>151</v>
      </c>
      <c r="N116">
        <v>1.882352941176471</v>
      </c>
      <c r="O116">
        <v>1.5048832777513099</v>
      </c>
      <c r="P116">
        <v>1.5048832777513099</v>
      </c>
      <c r="Q116">
        <v>0.59636241347420338</v>
      </c>
      <c r="R116">
        <v>0</v>
      </c>
      <c r="S116">
        <v>0</v>
      </c>
      <c r="T116">
        <v>0.25488327775130992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0.25</v>
      </c>
      <c r="AA116">
        <v>0</v>
      </c>
      <c r="AB116">
        <v>0</v>
      </c>
      <c r="AC116">
        <v>0</v>
      </c>
      <c r="AD116">
        <v>0.40363758652579662</v>
      </c>
      <c r="AE116">
        <v>0</v>
      </c>
      <c r="AF116">
        <v>0.59636241347420338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0.66450336367233886</v>
      </c>
      <c r="AM116">
        <v>0.66450336367233886</v>
      </c>
      <c r="AN116">
        <v>0.39628482972136231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0.33549663632766114</v>
      </c>
      <c r="AZ116">
        <v>0</v>
      </c>
      <c r="BA116">
        <v>0.26821853395097656</v>
      </c>
      <c r="BB116">
        <v>0</v>
      </c>
      <c r="BC116">
        <v>0.39628482972136231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2.5234374999999996</v>
      </c>
      <c r="BJ116">
        <v>2.5234374999999996</v>
      </c>
      <c r="BK116">
        <v>1.6768327067669173</v>
      </c>
      <c r="CB116">
        <v>0</v>
      </c>
      <c r="CC116">
        <v>0</v>
      </c>
      <c r="CD116">
        <v>0</v>
      </c>
    </row>
    <row r="117" spans="1:83" x14ac:dyDescent="0.25">
      <c r="A117" t="s">
        <v>128</v>
      </c>
      <c r="B117" t="s">
        <v>181</v>
      </c>
      <c r="C117" t="s">
        <v>72</v>
      </c>
      <c r="D117" s="12">
        <v>45577</v>
      </c>
      <c r="E117" t="s">
        <v>179</v>
      </c>
      <c r="F117" t="s">
        <v>73</v>
      </c>
      <c r="G117">
        <v>3.7478639781271368</v>
      </c>
      <c r="H117">
        <v>4.75</v>
      </c>
      <c r="I117">
        <v>10</v>
      </c>
      <c r="K117">
        <v>4.75</v>
      </c>
      <c r="L117">
        <v>45577</v>
      </c>
      <c r="M117" t="s">
        <v>151</v>
      </c>
      <c r="N117">
        <v>3.75</v>
      </c>
      <c r="O117">
        <v>1.2673885785934114</v>
      </c>
      <c r="P117">
        <v>1.2673885785934114</v>
      </c>
      <c r="Q117">
        <v>1.0005699304684827</v>
      </c>
      <c r="R117">
        <v>0</v>
      </c>
      <c r="S117">
        <v>0</v>
      </c>
      <c r="T117">
        <v>1.7388578593411363E-2</v>
      </c>
      <c r="U117">
        <v>0</v>
      </c>
      <c r="V117">
        <v>0</v>
      </c>
      <c r="W117">
        <v>0</v>
      </c>
      <c r="X117">
        <v>5.6993046848274886E-4</v>
      </c>
      <c r="Y117">
        <v>0</v>
      </c>
      <c r="Z117">
        <v>0.24943006953151725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0.78902399539518664</v>
      </c>
      <c r="AM117">
        <v>0.78902399539518664</v>
      </c>
      <c r="AN117">
        <v>0.78947368421052633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0.21052631578947367</v>
      </c>
      <c r="AZ117">
        <v>0</v>
      </c>
      <c r="BA117">
        <v>0</v>
      </c>
      <c r="BB117">
        <v>0</v>
      </c>
      <c r="BC117">
        <v>0.78902399539518664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1.2666666666666666</v>
      </c>
      <c r="BJ117">
        <v>1.2666666666666666</v>
      </c>
      <c r="BK117">
        <v>0.99943039416723645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0.26666666666666661</v>
      </c>
      <c r="BU117">
        <v>0</v>
      </c>
      <c r="BV117">
        <v>0</v>
      </c>
      <c r="BW117">
        <v>0</v>
      </c>
      <c r="BX117">
        <v>5.6960583276355337E-4</v>
      </c>
      <c r="BY117">
        <v>0</v>
      </c>
      <c r="BZ117">
        <v>0.99943039416723645</v>
      </c>
      <c r="CA117">
        <v>0</v>
      </c>
      <c r="CB117">
        <v>0</v>
      </c>
      <c r="CC117">
        <v>0</v>
      </c>
      <c r="CD117">
        <v>0</v>
      </c>
      <c r="CE117">
        <v>0</v>
      </c>
    </row>
    <row r="118" spans="1:83" x14ac:dyDescent="0.25">
      <c r="A118" t="s">
        <v>128</v>
      </c>
      <c r="B118" t="s">
        <v>134</v>
      </c>
      <c r="C118" t="s">
        <v>72</v>
      </c>
      <c r="D118" s="12">
        <v>45577</v>
      </c>
      <c r="E118" t="s">
        <v>179</v>
      </c>
      <c r="F118" t="s">
        <v>74</v>
      </c>
      <c r="G118">
        <v>1</v>
      </c>
      <c r="H118">
        <v>0</v>
      </c>
      <c r="I118">
        <v>10</v>
      </c>
      <c r="J118">
        <v>1</v>
      </c>
      <c r="K118">
        <v>0</v>
      </c>
      <c r="L118">
        <v>45577</v>
      </c>
      <c r="M118" t="s">
        <v>152</v>
      </c>
      <c r="N118">
        <v>2.7450980392156862E-2</v>
      </c>
      <c r="O118">
        <v>0</v>
      </c>
      <c r="P118">
        <v>0</v>
      </c>
      <c r="Q118">
        <v>2.7450980392156862E-2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2.7450980392156862E-2</v>
      </c>
      <c r="AB118">
        <v>0.97254901960784312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I118">
        <v>0</v>
      </c>
      <c r="BJ118">
        <v>0</v>
      </c>
      <c r="BK118">
        <v>36.428571428571431</v>
      </c>
      <c r="BL118">
        <v>35.428571428571431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</row>
    <row r="119" spans="1:83" x14ac:dyDescent="0.25">
      <c r="A119" t="s">
        <v>128</v>
      </c>
      <c r="B119" t="s">
        <v>181</v>
      </c>
      <c r="C119" t="s">
        <v>72</v>
      </c>
      <c r="D119" s="12">
        <v>45577</v>
      </c>
      <c r="E119" t="s">
        <v>179</v>
      </c>
      <c r="F119" t="s">
        <v>74</v>
      </c>
      <c r="G119">
        <v>0.97058823529411775</v>
      </c>
      <c r="H119">
        <v>0.95</v>
      </c>
      <c r="I119">
        <v>10</v>
      </c>
      <c r="K119">
        <v>0.95</v>
      </c>
      <c r="L119">
        <v>45577</v>
      </c>
      <c r="M119" t="s">
        <v>152</v>
      </c>
      <c r="N119">
        <v>2.8520499108734401E-2</v>
      </c>
      <c r="O119">
        <v>0.97878787878787865</v>
      </c>
      <c r="P119">
        <v>0.97878787878787865</v>
      </c>
      <c r="Q119">
        <v>2.9384756657483926E-2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2.1212121212121349E-2</v>
      </c>
      <c r="AC119">
        <v>0</v>
      </c>
      <c r="AD119">
        <v>0.94940312213039468</v>
      </c>
      <c r="AE119">
        <v>0</v>
      </c>
      <c r="AF119">
        <v>2.9384756657483926E-2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1.0216718266253872</v>
      </c>
      <c r="AM119">
        <v>1.0216718266253872</v>
      </c>
      <c r="AN119">
        <v>3.0021578009194107E-2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2.1671826625387247E-2</v>
      </c>
      <c r="AX119">
        <v>0</v>
      </c>
      <c r="AY119">
        <v>0</v>
      </c>
      <c r="AZ119">
        <v>0</v>
      </c>
      <c r="BA119">
        <v>0.96997842199080586</v>
      </c>
      <c r="BB119">
        <v>0</v>
      </c>
      <c r="BC119">
        <v>3.0021578009194107E-2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33.309375000000003</v>
      </c>
      <c r="BJ119">
        <v>33.309375000000003</v>
      </c>
      <c r="BK119">
        <v>34.031250000000007</v>
      </c>
      <c r="CB119">
        <v>0</v>
      </c>
      <c r="CC119">
        <v>0</v>
      </c>
      <c r="CD119">
        <v>0</v>
      </c>
    </row>
    <row r="120" spans="1:83" x14ac:dyDescent="0.25">
      <c r="A120" t="s">
        <v>128</v>
      </c>
      <c r="B120" t="s">
        <v>134</v>
      </c>
      <c r="C120" t="s">
        <v>72</v>
      </c>
      <c r="D120" s="12">
        <v>45577</v>
      </c>
      <c r="E120" t="s">
        <v>179</v>
      </c>
      <c r="F120" t="s">
        <v>75</v>
      </c>
      <c r="G120">
        <v>2.1042606516290729</v>
      </c>
      <c r="H120">
        <v>1.9</v>
      </c>
      <c r="I120">
        <v>10</v>
      </c>
      <c r="J120">
        <v>1</v>
      </c>
      <c r="K120">
        <v>1.9</v>
      </c>
      <c r="L120">
        <v>45577</v>
      </c>
      <c r="M120" t="s">
        <v>153</v>
      </c>
      <c r="N120">
        <v>1.7568627450980394</v>
      </c>
      <c r="O120">
        <v>0.90292996665078595</v>
      </c>
      <c r="P120">
        <v>0.90292996665078595</v>
      </c>
      <c r="Q120">
        <v>0.83490737886388477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9.7070033349214047E-2</v>
      </c>
      <c r="AC120">
        <v>0</v>
      </c>
      <c r="AD120">
        <v>6.8022587786901179E-2</v>
      </c>
      <c r="AE120">
        <v>0</v>
      </c>
      <c r="AF120">
        <v>0.83490737886388477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1.1075056061205648</v>
      </c>
      <c r="AM120">
        <v>1.1075056061205648</v>
      </c>
      <c r="AN120">
        <v>0.92466460268317863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0.10750560612056481</v>
      </c>
      <c r="AX120">
        <v>0</v>
      </c>
      <c r="AY120">
        <v>0</v>
      </c>
      <c r="AZ120">
        <v>0</v>
      </c>
      <c r="BA120">
        <v>7.5335397316821373E-2</v>
      </c>
      <c r="BB120">
        <v>0</v>
      </c>
      <c r="BC120">
        <v>0.92466460268317863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1.0814732142857142</v>
      </c>
      <c r="BJ120">
        <v>1.0814732142857142</v>
      </c>
      <c r="BK120">
        <v>1.1977376476906552</v>
      </c>
      <c r="BL120">
        <v>0.11626443340494097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8.1473214285714191E-2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1</v>
      </c>
      <c r="CA120">
        <v>0</v>
      </c>
      <c r="CB120">
        <v>0</v>
      </c>
      <c r="CC120">
        <v>0</v>
      </c>
      <c r="CD120">
        <v>0</v>
      </c>
      <c r="CE120">
        <v>0</v>
      </c>
    </row>
    <row r="121" spans="1:83" x14ac:dyDescent="0.25">
      <c r="A121" t="s">
        <v>128</v>
      </c>
      <c r="B121" t="s">
        <v>181</v>
      </c>
      <c r="C121" t="s">
        <v>72</v>
      </c>
      <c r="D121" s="12">
        <v>45577</v>
      </c>
      <c r="E121" t="s">
        <v>179</v>
      </c>
      <c r="F121" t="s">
        <v>75</v>
      </c>
      <c r="G121">
        <v>4.5836142079336275</v>
      </c>
      <c r="H121">
        <v>3.8</v>
      </c>
      <c r="I121">
        <v>10</v>
      </c>
      <c r="K121">
        <v>3.8</v>
      </c>
      <c r="L121">
        <v>45577</v>
      </c>
      <c r="M121" t="s">
        <v>153</v>
      </c>
      <c r="N121">
        <v>3.3502673796791447</v>
      </c>
      <c r="O121">
        <v>0.82904010407828488</v>
      </c>
      <c r="P121">
        <v>0.82904010407828488</v>
      </c>
      <c r="Q121">
        <v>0.73092263608928443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0.17095989592171512</v>
      </c>
      <c r="AC121">
        <v>0</v>
      </c>
      <c r="AD121">
        <v>9.8117467989000451E-2</v>
      </c>
      <c r="AE121">
        <v>0</v>
      </c>
      <c r="AF121">
        <v>0.73092263608928443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1.2062142652456915</v>
      </c>
      <c r="AM121">
        <v>1.2062142652456915</v>
      </c>
      <c r="AN121">
        <v>0.88164931044188022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0.20621426524569153</v>
      </c>
      <c r="AX121">
        <v>0</v>
      </c>
      <c r="AY121">
        <v>0</v>
      </c>
      <c r="AZ121">
        <v>0</v>
      </c>
      <c r="BA121">
        <v>0.11835068955811978</v>
      </c>
      <c r="BB121">
        <v>0</v>
      </c>
      <c r="BC121">
        <v>0.88164931044188022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1.134237829209896</v>
      </c>
      <c r="BJ121">
        <v>1.134237829209896</v>
      </c>
      <c r="BK121">
        <v>1.368133849774283</v>
      </c>
      <c r="BL121">
        <v>0.23389602056438696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0.13423782920989602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1</v>
      </c>
      <c r="CA121">
        <v>0</v>
      </c>
      <c r="CB121">
        <v>0</v>
      </c>
      <c r="CC121">
        <v>0</v>
      </c>
      <c r="CD121">
        <v>0</v>
      </c>
      <c r="CE121">
        <v>0</v>
      </c>
    </row>
    <row r="122" spans="1:83" x14ac:dyDescent="0.25">
      <c r="A122" t="s">
        <v>128</v>
      </c>
      <c r="B122" t="s">
        <v>181</v>
      </c>
      <c r="C122" t="s">
        <v>72</v>
      </c>
      <c r="D122" s="12">
        <v>45578</v>
      </c>
      <c r="E122" t="s">
        <v>179</v>
      </c>
      <c r="F122" t="s">
        <v>73</v>
      </c>
      <c r="G122">
        <v>3.7478639781271368</v>
      </c>
      <c r="H122">
        <v>3.8</v>
      </c>
      <c r="I122">
        <v>10</v>
      </c>
      <c r="K122">
        <v>3.8</v>
      </c>
      <c r="L122">
        <v>45578</v>
      </c>
      <c r="M122" t="s">
        <v>154</v>
      </c>
      <c r="N122">
        <v>3.75</v>
      </c>
      <c r="O122">
        <v>1.0139108628747291</v>
      </c>
      <c r="P122">
        <v>1.0139108628747291</v>
      </c>
      <c r="Q122">
        <v>1.0005699304684827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5.6993046848274886E-4</v>
      </c>
      <c r="Y122">
        <v>0</v>
      </c>
      <c r="Z122">
        <v>1.3340932406246342E-2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1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0.98627999424398338</v>
      </c>
      <c r="AM122">
        <v>0.98627999424398338</v>
      </c>
      <c r="AN122">
        <v>0.98684210526315796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1.3157894736842035E-2</v>
      </c>
      <c r="AZ122">
        <v>0</v>
      </c>
      <c r="BA122">
        <v>0</v>
      </c>
      <c r="BB122">
        <v>0</v>
      </c>
      <c r="BC122">
        <v>0.98627999424398338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1.0133333333333332</v>
      </c>
      <c r="BJ122">
        <v>1.0133333333333332</v>
      </c>
      <c r="BK122">
        <v>0.99943039416723645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1.3333333333333197E-2</v>
      </c>
      <c r="BU122">
        <v>0</v>
      </c>
      <c r="BV122">
        <v>0</v>
      </c>
      <c r="BW122">
        <v>0</v>
      </c>
      <c r="BX122">
        <v>5.6960583276355337E-4</v>
      </c>
      <c r="BY122">
        <v>0</v>
      </c>
      <c r="BZ122">
        <v>0.99943039416723645</v>
      </c>
      <c r="CA122">
        <v>0</v>
      </c>
      <c r="CB122">
        <v>0</v>
      </c>
      <c r="CC122">
        <v>0</v>
      </c>
      <c r="CD122">
        <v>0</v>
      </c>
      <c r="CE122">
        <v>0</v>
      </c>
    </row>
    <row r="123" spans="1:83" x14ac:dyDescent="0.25">
      <c r="A123" t="s">
        <v>128</v>
      </c>
      <c r="B123" t="s">
        <v>134</v>
      </c>
      <c r="C123" t="s">
        <v>72</v>
      </c>
      <c r="D123" s="12">
        <v>45578</v>
      </c>
      <c r="E123" t="s">
        <v>179</v>
      </c>
      <c r="F123" t="s">
        <v>73</v>
      </c>
      <c r="G123">
        <v>3.1563909774436096</v>
      </c>
      <c r="H123">
        <v>2.8499999999999996</v>
      </c>
      <c r="I123">
        <v>10</v>
      </c>
      <c r="J123">
        <v>1</v>
      </c>
      <c r="K123">
        <v>2.8499999999999996</v>
      </c>
      <c r="L123">
        <v>45578</v>
      </c>
      <c r="M123" t="s">
        <v>154</v>
      </c>
      <c r="N123">
        <v>1.882352941176471</v>
      </c>
      <c r="O123">
        <v>0.90292996665078584</v>
      </c>
      <c r="P123">
        <v>0.90292996665078584</v>
      </c>
      <c r="Q123">
        <v>0.59636241347420338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9.7070033349214158E-2</v>
      </c>
      <c r="AC123">
        <v>0</v>
      </c>
      <c r="AD123">
        <v>0.30656755317658246</v>
      </c>
      <c r="AE123">
        <v>0</v>
      </c>
      <c r="AF123">
        <v>0.59636241347420338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1.1075056061205648</v>
      </c>
      <c r="AM123">
        <v>1.1075056061205648</v>
      </c>
      <c r="AN123">
        <v>0.66047471620227061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0.10750560612056481</v>
      </c>
      <c r="AX123">
        <v>0</v>
      </c>
      <c r="AY123">
        <v>0</v>
      </c>
      <c r="AZ123">
        <v>0</v>
      </c>
      <c r="BA123">
        <v>0.33952528379772939</v>
      </c>
      <c r="BB123">
        <v>0</v>
      </c>
      <c r="BC123">
        <v>0.66047471620227061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1.5140624999999994</v>
      </c>
      <c r="BJ123">
        <v>1.5140624999999994</v>
      </c>
      <c r="BK123">
        <v>1.6768327067669173</v>
      </c>
      <c r="CB123">
        <v>0</v>
      </c>
      <c r="CC123">
        <v>0</v>
      </c>
      <c r="CD123">
        <v>0</v>
      </c>
    </row>
    <row r="124" spans="1:83" x14ac:dyDescent="0.25">
      <c r="A124" t="s">
        <v>128</v>
      </c>
      <c r="B124" t="s">
        <v>134</v>
      </c>
      <c r="C124" t="s">
        <v>72</v>
      </c>
      <c r="D124" s="12">
        <v>45578</v>
      </c>
      <c r="E124" t="s">
        <v>179</v>
      </c>
      <c r="F124" t="s">
        <v>74</v>
      </c>
      <c r="G124">
        <v>1</v>
      </c>
      <c r="H124">
        <v>0</v>
      </c>
      <c r="I124">
        <v>10</v>
      </c>
      <c r="J124">
        <v>1</v>
      </c>
      <c r="K124">
        <v>0</v>
      </c>
      <c r="L124">
        <v>45578</v>
      </c>
      <c r="M124" t="s">
        <v>155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1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1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</row>
    <row r="125" spans="1:83" x14ac:dyDescent="0.25">
      <c r="A125" t="s">
        <v>128</v>
      </c>
      <c r="B125" t="s">
        <v>181</v>
      </c>
      <c r="C125" t="s">
        <v>72</v>
      </c>
      <c r="D125" s="12">
        <v>45578</v>
      </c>
      <c r="E125" t="s">
        <v>179</v>
      </c>
      <c r="F125" t="s">
        <v>74</v>
      </c>
      <c r="G125">
        <v>0.97058823529411775</v>
      </c>
      <c r="H125">
        <v>0.95</v>
      </c>
      <c r="I125">
        <v>10</v>
      </c>
      <c r="K125">
        <v>0.95</v>
      </c>
      <c r="L125">
        <v>45578</v>
      </c>
      <c r="M125" t="s">
        <v>155</v>
      </c>
      <c r="N125">
        <v>8.5561497326203204E-2</v>
      </c>
      <c r="O125">
        <v>0.97878787878787865</v>
      </c>
      <c r="P125">
        <v>0.97878787878787865</v>
      </c>
      <c r="Q125">
        <v>8.8154269972451779E-2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2.1212121212121349E-2</v>
      </c>
      <c r="AC125">
        <v>0</v>
      </c>
      <c r="AD125">
        <v>0.89063360881542686</v>
      </c>
      <c r="AE125">
        <v>0</v>
      </c>
      <c r="AF125">
        <v>8.8154269972451779E-2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1.0216718266253872</v>
      </c>
      <c r="AM125">
        <v>1.0216718266253872</v>
      </c>
      <c r="AN125">
        <v>9.0064734027582319E-2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2.1671826625387247E-2</v>
      </c>
      <c r="AX125">
        <v>0</v>
      </c>
      <c r="AY125">
        <v>0</v>
      </c>
      <c r="AZ125">
        <v>0</v>
      </c>
      <c r="BA125">
        <v>0.9099352659724177</v>
      </c>
      <c r="BB125">
        <v>0</v>
      </c>
      <c r="BC125">
        <v>9.0064734027582319E-2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11.103125</v>
      </c>
      <c r="BJ125">
        <v>11.103125</v>
      </c>
      <c r="BK125">
        <v>11.343750000000002</v>
      </c>
      <c r="CB125">
        <v>0</v>
      </c>
      <c r="CC125">
        <v>0</v>
      </c>
      <c r="CD125">
        <v>0</v>
      </c>
    </row>
    <row r="126" spans="1:83" x14ac:dyDescent="0.25">
      <c r="A126" t="s">
        <v>128</v>
      </c>
      <c r="B126" t="s">
        <v>181</v>
      </c>
      <c r="C126" t="s">
        <v>72</v>
      </c>
      <c r="D126" s="12">
        <v>45578</v>
      </c>
      <c r="E126" t="s">
        <v>179</v>
      </c>
      <c r="F126" t="s">
        <v>75</v>
      </c>
      <c r="G126">
        <v>4.5836142079336275</v>
      </c>
      <c r="H126">
        <v>4.75</v>
      </c>
      <c r="I126">
        <v>10</v>
      </c>
      <c r="K126">
        <v>4.75</v>
      </c>
      <c r="L126">
        <v>45578</v>
      </c>
      <c r="M126" t="s">
        <v>156</v>
      </c>
      <c r="N126">
        <v>3.7780748663101602</v>
      </c>
      <c r="O126">
        <v>1.036300130097856</v>
      </c>
      <c r="P126">
        <v>1.036300130097856</v>
      </c>
      <c r="Q126">
        <v>0.82425673167929669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3.6300130097856043E-2</v>
      </c>
      <c r="AA126">
        <v>0</v>
      </c>
      <c r="AB126">
        <v>0</v>
      </c>
      <c r="AC126">
        <v>0</v>
      </c>
      <c r="AD126">
        <v>0.17574326832070331</v>
      </c>
      <c r="AE126">
        <v>0</v>
      </c>
      <c r="AF126">
        <v>0.82425673167929669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0.96497141219655314</v>
      </c>
      <c r="AM126">
        <v>0.96497141219655314</v>
      </c>
      <c r="AN126">
        <v>0.79538418238108632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3.5028587803446865E-2</v>
      </c>
      <c r="AZ126">
        <v>0</v>
      </c>
      <c r="BA126">
        <v>0.16958722981546681</v>
      </c>
      <c r="BB126">
        <v>0</v>
      </c>
      <c r="BC126">
        <v>0.79538418238108632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1.2572540693559802</v>
      </c>
      <c r="BJ126">
        <v>1.2572540693559802</v>
      </c>
      <c r="BK126">
        <v>1.2132142347963035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0.21321423479630353</v>
      </c>
      <c r="BS126">
        <v>0</v>
      </c>
      <c r="BT126">
        <v>4.4039834559676638E-2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1</v>
      </c>
      <c r="CA126">
        <v>0</v>
      </c>
      <c r="CB126">
        <v>0</v>
      </c>
      <c r="CC126">
        <v>0</v>
      </c>
      <c r="CD126">
        <v>0</v>
      </c>
      <c r="CE126">
        <v>0</v>
      </c>
    </row>
    <row r="127" spans="1:83" x14ac:dyDescent="0.25">
      <c r="A127" t="s">
        <v>128</v>
      </c>
      <c r="B127" t="s">
        <v>134</v>
      </c>
      <c r="C127" t="s">
        <v>72</v>
      </c>
      <c r="D127" s="12">
        <v>45578</v>
      </c>
      <c r="E127" t="s">
        <v>179</v>
      </c>
      <c r="F127" t="s">
        <v>75</v>
      </c>
      <c r="G127">
        <v>2.1042606516290729</v>
      </c>
      <c r="H127">
        <v>1.9</v>
      </c>
      <c r="I127">
        <v>10</v>
      </c>
      <c r="J127">
        <v>1</v>
      </c>
      <c r="K127">
        <v>1.9</v>
      </c>
      <c r="L127">
        <v>45578</v>
      </c>
      <c r="M127" t="s">
        <v>156</v>
      </c>
      <c r="N127">
        <v>1.5821501014198778</v>
      </c>
      <c r="O127">
        <v>0.90292996665078595</v>
      </c>
      <c r="P127">
        <v>0.90292996665078595</v>
      </c>
      <c r="Q127">
        <v>0.75187933595346734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9.7070033349214047E-2</v>
      </c>
      <c r="AC127">
        <v>0</v>
      </c>
      <c r="AD127">
        <v>0.15105063069731861</v>
      </c>
      <c r="AE127">
        <v>0</v>
      </c>
      <c r="AF127">
        <v>0.75187933595346734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1.1075056061205648</v>
      </c>
      <c r="AM127">
        <v>1.1075056061205648</v>
      </c>
      <c r="AN127">
        <v>0.83271057969467255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0.10750560612056481</v>
      </c>
      <c r="AX127">
        <v>0</v>
      </c>
      <c r="AY127">
        <v>0</v>
      </c>
      <c r="AZ127">
        <v>0</v>
      </c>
      <c r="BA127">
        <v>0.16728942030532745</v>
      </c>
      <c r="BB127">
        <v>0</v>
      </c>
      <c r="BC127">
        <v>0.83271057969467255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1.2008974358974362</v>
      </c>
      <c r="BJ127">
        <v>1.2008974358974362</v>
      </c>
      <c r="BK127">
        <v>1.3300006426322222</v>
      </c>
      <c r="BL127">
        <v>0.12910320673478592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0.20089743589743625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1</v>
      </c>
      <c r="CA127">
        <v>0</v>
      </c>
      <c r="CB127">
        <v>0</v>
      </c>
      <c r="CC127">
        <v>0</v>
      </c>
      <c r="CD127">
        <v>0</v>
      </c>
      <c r="CE127">
        <v>0</v>
      </c>
    </row>
    <row r="128" spans="1:83" x14ac:dyDescent="0.25">
      <c r="A128" t="s">
        <v>128</v>
      </c>
      <c r="B128" t="s">
        <v>134</v>
      </c>
      <c r="C128" t="s">
        <v>72</v>
      </c>
      <c r="D128" s="12">
        <v>45579</v>
      </c>
      <c r="E128" t="s">
        <v>179</v>
      </c>
      <c r="F128" t="s">
        <v>73</v>
      </c>
      <c r="G128">
        <v>3.1563909774436096</v>
      </c>
      <c r="H128">
        <v>2.8499999999999996</v>
      </c>
      <c r="I128">
        <v>10</v>
      </c>
      <c r="J128">
        <v>1</v>
      </c>
      <c r="K128">
        <v>2.8499999999999996</v>
      </c>
      <c r="L128">
        <v>45579</v>
      </c>
      <c r="M128" t="s">
        <v>157</v>
      </c>
      <c r="N128">
        <v>1.882352941176471</v>
      </c>
      <c r="O128">
        <v>0.90292996665078584</v>
      </c>
      <c r="P128">
        <v>0.90292996665078584</v>
      </c>
      <c r="Q128">
        <v>0.59636241347420338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9.7070033349214158E-2</v>
      </c>
      <c r="AC128">
        <v>0</v>
      </c>
      <c r="AD128">
        <v>0.30656755317658246</v>
      </c>
      <c r="AE128">
        <v>0</v>
      </c>
      <c r="AF128">
        <v>0.59636241347420338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1.1075056061205648</v>
      </c>
      <c r="AM128">
        <v>1.1075056061205648</v>
      </c>
      <c r="AN128">
        <v>0.66047471620227061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0.10750560612056481</v>
      </c>
      <c r="AX128">
        <v>0</v>
      </c>
      <c r="AY128">
        <v>0</v>
      </c>
      <c r="AZ128">
        <v>0</v>
      </c>
      <c r="BA128">
        <v>0.33952528379772939</v>
      </c>
      <c r="BB128">
        <v>0</v>
      </c>
      <c r="BC128">
        <v>0.66047471620227061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1.5140624999999994</v>
      </c>
      <c r="BJ128">
        <v>1.5140624999999994</v>
      </c>
      <c r="BK128">
        <v>1.6768327067669173</v>
      </c>
      <c r="CB128">
        <v>0</v>
      </c>
      <c r="CC128">
        <v>0</v>
      </c>
      <c r="CD128">
        <v>0</v>
      </c>
    </row>
    <row r="129" spans="1:83" x14ac:dyDescent="0.25">
      <c r="A129" t="s">
        <v>128</v>
      </c>
      <c r="B129" t="s">
        <v>181</v>
      </c>
      <c r="C129" t="s">
        <v>72</v>
      </c>
      <c r="D129" s="12">
        <v>45579</v>
      </c>
      <c r="E129" t="s">
        <v>179</v>
      </c>
      <c r="F129" t="s">
        <v>73</v>
      </c>
      <c r="G129">
        <v>3.7478639781271377</v>
      </c>
      <c r="H129">
        <v>2.8499999999999996</v>
      </c>
      <c r="I129">
        <v>10</v>
      </c>
      <c r="K129">
        <v>2.8499999999999996</v>
      </c>
      <c r="L129">
        <v>45579</v>
      </c>
      <c r="M129" t="s">
        <v>157</v>
      </c>
      <c r="N129">
        <v>2.8125</v>
      </c>
      <c r="O129">
        <v>0.76043314715604649</v>
      </c>
      <c r="P129">
        <v>0.76043314715604649</v>
      </c>
      <c r="Q129">
        <v>0.75042744785136184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0.23956685284395351</v>
      </c>
      <c r="AC129">
        <v>0</v>
      </c>
      <c r="AD129">
        <v>1.0005699304684645E-2</v>
      </c>
      <c r="AE129">
        <v>0</v>
      </c>
      <c r="AF129">
        <v>0.75042744785136184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1.3150399923253115</v>
      </c>
      <c r="AM129">
        <v>1.3150399923253115</v>
      </c>
      <c r="AN129">
        <v>0.98684210526315796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0.31503999232531155</v>
      </c>
      <c r="AX129">
        <v>0</v>
      </c>
      <c r="AY129">
        <v>0</v>
      </c>
      <c r="AZ129">
        <v>0</v>
      </c>
      <c r="BA129">
        <v>1.3157894736842035E-2</v>
      </c>
      <c r="BB129">
        <v>0</v>
      </c>
      <c r="BC129">
        <v>0.98684210526315796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1.0133333333333332</v>
      </c>
      <c r="BJ129">
        <v>1.0133333333333332</v>
      </c>
      <c r="BK129">
        <v>1.332573858889649</v>
      </c>
      <c r="BL129">
        <v>0.31924052555631577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1.3333333333333197E-2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1</v>
      </c>
      <c r="CA129">
        <v>0</v>
      </c>
      <c r="CB129">
        <v>0</v>
      </c>
      <c r="CC129">
        <v>0</v>
      </c>
      <c r="CD129">
        <v>0</v>
      </c>
      <c r="CE129">
        <v>0</v>
      </c>
    </row>
    <row r="130" spans="1:83" x14ac:dyDescent="0.25">
      <c r="A130" t="s">
        <v>128</v>
      </c>
      <c r="B130" t="s">
        <v>134</v>
      </c>
      <c r="C130" t="s">
        <v>72</v>
      </c>
      <c r="D130" s="12">
        <v>45579</v>
      </c>
      <c r="E130" t="s">
        <v>179</v>
      </c>
      <c r="F130" t="s">
        <v>74</v>
      </c>
      <c r="G130">
        <v>1</v>
      </c>
      <c r="H130">
        <v>0</v>
      </c>
      <c r="I130">
        <v>10</v>
      </c>
      <c r="J130">
        <v>1</v>
      </c>
      <c r="K130">
        <v>0</v>
      </c>
      <c r="L130">
        <v>45579</v>
      </c>
      <c r="M130" t="s">
        <v>158</v>
      </c>
      <c r="N130">
        <v>5.4901960784313725E-2</v>
      </c>
      <c r="O130">
        <v>0</v>
      </c>
      <c r="P130">
        <v>0</v>
      </c>
      <c r="Q130">
        <v>5.4901960784313725E-2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5.4901960784313725E-2</v>
      </c>
      <c r="AB130">
        <v>0.94509803921568625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I130">
        <v>0</v>
      </c>
      <c r="BJ130">
        <v>0</v>
      </c>
      <c r="BK130">
        <v>18.214285714285715</v>
      </c>
      <c r="BL130">
        <v>17.214285714285715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</row>
    <row r="131" spans="1:83" x14ac:dyDescent="0.25">
      <c r="A131" t="s">
        <v>128</v>
      </c>
      <c r="B131" t="s">
        <v>181</v>
      </c>
      <c r="C131" t="s">
        <v>72</v>
      </c>
      <c r="D131" s="12">
        <v>45579</v>
      </c>
      <c r="E131" t="s">
        <v>179</v>
      </c>
      <c r="F131" t="s">
        <v>74</v>
      </c>
      <c r="G131">
        <v>0.97058823529411775</v>
      </c>
      <c r="H131">
        <v>0</v>
      </c>
      <c r="I131">
        <v>10</v>
      </c>
      <c r="K131">
        <v>0</v>
      </c>
      <c r="L131">
        <v>45579</v>
      </c>
      <c r="M131" t="s">
        <v>158</v>
      </c>
      <c r="N131">
        <v>2.8520499108734401E-2</v>
      </c>
      <c r="O131">
        <v>0</v>
      </c>
      <c r="P131">
        <v>0</v>
      </c>
      <c r="Q131">
        <v>2.9384756657483926E-2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2.9384756657483926E-2</v>
      </c>
      <c r="AB131">
        <v>0.97061524334251603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I131">
        <v>0</v>
      </c>
      <c r="BJ131">
        <v>0</v>
      </c>
      <c r="BK131">
        <v>34.031250000000007</v>
      </c>
      <c r="BL131">
        <v>33.031250000000007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</row>
    <row r="132" spans="1:83" x14ac:dyDescent="0.25">
      <c r="A132" t="s">
        <v>128</v>
      </c>
      <c r="B132" t="s">
        <v>134</v>
      </c>
      <c r="C132" t="s">
        <v>72</v>
      </c>
      <c r="D132" s="12">
        <v>45579</v>
      </c>
      <c r="E132" t="s">
        <v>179</v>
      </c>
      <c r="F132" t="s">
        <v>75</v>
      </c>
      <c r="G132">
        <v>2.1042606516290729</v>
      </c>
      <c r="H132">
        <v>1.9</v>
      </c>
      <c r="I132">
        <v>10</v>
      </c>
      <c r="J132">
        <v>1</v>
      </c>
      <c r="K132">
        <v>1.9</v>
      </c>
      <c r="L132">
        <v>45579</v>
      </c>
      <c r="M132" t="s">
        <v>159</v>
      </c>
      <c r="N132">
        <v>1.9315753887761999</v>
      </c>
      <c r="O132">
        <v>0.90292996665078595</v>
      </c>
      <c r="P132">
        <v>0.90292996665078595</v>
      </c>
      <c r="Q132">
        <v>0.91793542177430165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1.5005455123515699E-2</v>
      </c>
      <c r="AB132">
        <v>8.2064578225698348E-2</v>
      </c>
      <c r="AC132">
        <v>0</v>
      </c>
      <c r="AD132">
        <v>0</v>
      </c>
      <c r="AE132">
        <v>0</v>
      </c>
      <c r="AF132">
        <v>0.90292996665078595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1.1075056061205648</v>
      </c>
      <c r="AM132">
        <v>1.1075056061205648</v>
      </c>
      <c r="AN132">
        <v>1.0166186256716843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1.6618625671684262E-2</v>
      </c>
      <c r="AV132">
        <v>0</v>
      </c>
      <c r="AW132">
        <v>9.088698044888055E-2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1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0.98365303836460383</v>
      </c>
      <c r="BJ132">
        <v>0.98365303836460383</v>
      </c>
      <c r="BK132">
        <v>1.0894012544663256</v>
      </c>
      <c r="BL132">
        <v>8.940125446632563E-2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9.7070033349214047E-2</v>
      </c>
      <c r="BV132">
        <v>0</v>
      </c>
      <c r="BW132">
        <v>0</v>
      </c>
      <c r="BX132">
        <v>0</v>
      </c>
      <c r="BY132">
        <v>0</v>
      </c>
      <c r="BZ132">
        <v>0.98365303836460383</v>
      </c>
      <c r="CA132">
        <v>0</v>
      </c>
      <c r="CB132">
        <v>0</v>
      </c>
      <c r="CC132">
        <v>0</v>
      </c>
      <c r="CD132">
        <v>0</v>
      </c>
      <c r="CE132">
        <v>0</v>
      </c>
    </row>
    <row r="133" spans="1:83" x14ac:dyDescent="0.25">
      <c r="A133" t="s">
        <v>128</v>
      </c>
      <c r="B133" t="s">
        <v>181</v>
      </c>
      <c r="C133" t="s">
        <v>72</v>
      </c>
      <c r="D133" s="12">
        <v>45579</v>
      </c>
      <c r="E133" t="s">
        <v>179</v>
      </c>
      <c r="F133" t="s">
        <v>75</v>
      </c>
      <c r="G133">
        <v>4.5836142079336275</v>
      </c>
      <c r="H133">
        <v>2.8499999999999996</v>
      </c>
      <c r="I133">
        <v>10</v>
      </c>
      <c r="K133">
        <v>2.8499999999999996</v>
      </c>
      <c r="L133">
        <v>45579</v>
      </c>
      <c r="M133" t="s">
        <v>159</v>
      </c>
      <c r="N133">
        <v>2.5661764705882355</v>
      </c>
      <c r="O133">
        <v>0.6217800780587136</v>
      </c>
      <c r="P133">
        <v>0.6217800780587136</v>
      </c>
      <c r="Q133">
        <v>0.55985873901571492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0.3782199219412864</v>
      </c>
      <c r="AC133">
        <v>0</v>
      </c>
      <c r="AD133">
        <v>6.192133904299868E-2</v>
      </c>
      <c r="AE133">
        <v>0</v>
      </c>
      <c r="AF133">
        <v>0.55985873901571492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1.6082856869942554</v>
      </c>
      <c r="AM133">
        <v>1.6082856869942554</v>
      </c>
      <c r="AN133">
        <v>0.90041279669762664</v>
      </c>
      <c r="BE133">
        <v>0</v>
      </c>
      <c r="BF133">
        <v>0</v>
      </c>
      <c r="BG133">
        <v>0</v>
      </c>
      <c r="BI133">
        <v>1.1106017191977076</v>
      </c>
      <c r="BJ133">
        <v>1.1106017191977076</v>
      </c>
      <c r="BK133">
        <v>1.7861648489368862</v>
      </c>
      <c r="BL133">
        <v>0.67556312973917865</v>
      </c>
      <c r="BM133">
        <v>0</v>
      </c>
      <c r="BN133">
        <v>0</v>
      </c>
      <c r="BO133">
        <v>0</v>
      </c>
      <c r="BP133">
        <v>0</v>
      </c>
      <c r="BQ133">
        <v>0.38939828080229244</v>
      </c>
      <c r="BR133">
        <v>0.11060171919770756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</row>
    <row r="134" spans="1:83" x14ac:dyDescent="0.25">
      <c r="A134" t="s">
        <v>128</v>
      </c>
      <c r="B134" t="s">
        <v>134</v>
      </c>
      <c r="C134" t="s">
        <v>72</v>
      </c>
      <c r="D134" s="12">
        <v>45580</v>
      </c>
      <c r="E134" t="s">
        <v>179</v>
      </c>
      <c r="F134" t="s">
        <v>73</v>
      </c>
      <c r="G134">
        <v>3.1563909774436087</v>
      </c>
      <c r="H134">
        <v>1.9</v>
      </c>
      <c r="I134">
        <v>10</v>
      </c>
      <c r="J134">
        <v>1</v>
      </c>
      <c r="K134">
        <v>1.9</v>
      </c>
      <c r="L134">
        <v>45580</v>
      </c>
      <c r="M134" t="s">
        <v>160</v>
      </c>
      <c r="N134">
        <v>0.78787878787878785</v>
      </c>
      <c r="O134">
        <v>0.60195331110052408</v>
      </c>
      <c r="P134">
        <v>0.60195331110052408</v>
      </c>
      <c r="Q134">
        <v>0.24961381321552834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0.39804668889947592</v>
      </c>
      <c r="AC134">
        <v>0</v>
      </c>
      <c r="AD134">
        <v>0.35233949788499574</v>
      </c>
      <c r="AE134">
        <v>0</v>
      </c>
      <c r="AF134">
        <v>0.24961381321552834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1.6612584091808469</v>
      </c>
      <c r="AM134">
        <v>1.6612584091808469</v>
      </c>
      <c r="AN134">
        <v>0.41467304625199364</v>
      </c>
      <c r="BE134">
        <v>0</v>
      </c>
      <c r="BF134">
        <v>0</v>
      </c>
      <c r="BG134">
        <v>0</v>
      </c>
      <c r="BI134">
        <v>2.4115384615384614</v>
      </c>
      <c r="BJ134">
        <v>2.4115384615384614</v>
      </c>
      <c r="BK134">
        <v>4.0061885482938111</v>
      </c>
      <c r="CB134">
        <v>0</v>
      </c>
      <c r="CC134">
        <v>0</v>
      </c>
      <c r="CD134">
        <v>0</v>
      </c>
    </row>
    <row r="135" spans="1:83" x14ac:dyDescent="0.25">
      <c r="A135" t="s">
        <v>128</v>
      </c>
      <c r="B135" t="s">
        <v>181</v>
      </c>
      <c r="C135" t="s">
        <v>72</v>
      </c>
      <c r="D135" s="12">
        <v>45580</v>
      </c>
      <c r="E135" t="s">
        <v>179</v>
      </c>
      <c r="F135" t="s">
        <v>73</v>
      </c>
      <c r="G135">
        <v>3.7478639781271368</v>
      </c>
      <c r="H135">
        <v>4.75</v>
      </c>
      <c r="I135">
        <v>10</v>
      </c>
      <c r="K135">
        <v>4.75</v>
      </c>
      <c r="L135">
        <v>45580</v>
      </c>
      <c r="M135" t="s">
        <v>160</v>
      </c>
      <c r="N135">
        <v>3.75</v>
      </c>
      <c r="O135">
        <v>1.2673885785934114</v>
      </c>
      <c r="P135">
        <v>1.2673885785934114</v>
      </c>
      <c r="Q135">
        <v>1.0005699304684827</v>
      </c>
      <c r="R135">
        <v>0</v>
      </c>
      <c r="S135">
        <v>0</v>
      </c>
      <c r="T135">
        <v>1.7388578593411363E-2</v>
      </c>
      <c r="U135">
        <v>0</v>
      </c>
      <c r="V135">
        <v>0</v>
      </c>
      <c r="W135">
        <v>0</v>
      </c>
      <c r="X135">
        <v>5.6993046848274886E-4</v>
      </c>
      <c r="Y135">
        <v>0</v>
      </c>
      <c r="Z135">
        <v>0.24943006953151725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0.78902399539518664</v>
      </c>
      <c r="AM135">
        <v>0.78902399539518664</v>
      </c>
      <c r="AN135">
        <v>0.78947368421052633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0.21052631578947367</v>
      </c>
      <c r="AZ135">
        <v>0</v>
      </c>
      <c r="BA135">
        <v>0</v>
      </c>
      <c r="BB135">
        <v>0</v>
      </c>
      <c r="BC135">
        <v>0.78902399539518664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1.2666666666666666</v>
      </c>
      <c r="BJ135">
        <v>1.2666666666666666</v>
      </c>
      <c r="BK135">
        <v>0.99943039416723645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0.26666666666666661</v>
      </c>
      <c r="BU135">
        <v>0</v>
      </c>
      <c r="BV135">
        <v>0</v>
      </c>
      <c r="BW135">
        <v>0</v>
      </c>
      <c r="BX135">
        <v>5.6960583276355337E-4</v>
      </c>
      <c r="BY135">
        <v>0</v>
      </c>
      <c r="BZ135">
        <v>0.99943039416723645</v>
      </c>
      <c r="CA135">
        <v>0</v>
      </c>
      <c r="CB135">
        <v>0</v>
      </c>
      <c r="CC135">
        <v>0</v>
      </c>
      <c r="CD135">
        <v>0</v>
      </c>
      <c r="CE135">
        <v>0</v>
      </c>
    </row>
    <row r="136" spans="1:83" x14ac:dyDescent="0.25">
      <c r="A136" t="s">
        <v>128</v>
      </c>
      <c r="B136" t="s">
        <v>181</v>
      </c>
      <c r="C136" t="s">
        <v>72</v>
      </c>
      <c r="D136" s="12">
        <v>45580</v>
      </c>
      <c r="E136" t="s">
        <v>179</v>
      </c>
      <c r="F136" t="s">
        <v>74</v>
      </c>
      <c r="G136">
        <v>0.97058823529411775</v>
      </c>
      <c r="H136">
        <v>0.95</v>
      </c>
      <c r="I136">
        <v>10</v>
      </c>
      <c r="K136">
        <v>0.95</v>
      </c>
      <c r="L136">
        <v>45580</v>
      </c>
      <c r="M136" t="s">
        <v>161</v>
      </c>
      <c r="N136">
        <v>0.96969696969696972</v>
      </c>
      <c r="O136">
        <v>0.97878787878787865</v>
      </c>
      <c r="P136">
        <v>0.97878787878787865</v>
      </c>
      <c r="Q136">
        <v>0.99908172635445358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2.029384756657493E-2</v>
      </c>
      <c r="AB136">
        <v>9.182736455464191E-4</v>
      </c>
      <c r="AC136">
        <v>0</v>
      </c>
      <c r="AD136">
        <v>0</v>
      </c>
      <c r="AE136">
        <v>0</v>
      </c>
      <c r="AF136">
        <v>0.97878787878787865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1.0216718266253872</v>
      </c>
      <c r="AM136">
        <v>1.0216718266253872</v>
      </c>
      <c r="AN136">
        <v>1.0207336523125998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2.0733652312599826E-2</v>
      </c>
      <c r="AV136">
        <v>0</v>
      </c>
      <c r="AW136">
        <v>9.3817431278742092E-4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0.97968749999999993</v>
      </c>
      <c r="BJ136">
        <v>0.97968749999999993</v>
      </c>
      <c r="BK136">
        <v>1.0009191176470589</v>
      </c>
      <c r="BL136">
        <v>9.1911764705887578E-4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2.1212121212121349E-2</v>
      </c>
      <c r="BV136">
        <v>0</v>
      </c>
      <c r="BW136">
        <v>0</v>
      </c>
      <c r="BX136">
        <v>0</v>
      </c>
      <c r="BY136">
        <v>0</v>
      </c>
      <c r="BZ136">
        <v>0.97968749999999993</v>
      </c>
      <c r="CA136">
        <v>0</v>
      </c>
      <c r="CB136">
        <v>0</v>
      </c>
      <c r="CC136">
        <v>0</v>
      </c>
      <c r="CD136">
        <v>0</v>
      </c>
      <c r="CE136">
        <v>0</v>
      </c>
    </row>
    <row r="137" spans="1:83" x14ac:dyDescent="0.25">
      <c r="A137" t="s">
        <v>128</v>
      </c>
      <c r="B137" t="s">
        <v>134</v>
      </c>
      <c r="C137" t="s">
        <v>72</v>
      </c>
      <c r="D137" s="12">
        <v>45580</v>
      </c>
      <c r="E137" t="s">
        <v>179</v>
      </c>
      <c r="F137" t="s">
        <v>74</v>
      </c>
      <c r="G137">
        <v>1</v>
      </c>
      <c r="H137">
        <v>0</v>
      </c>
      <c r="I137">
        <v>10</v>
      </c>
      <c r="J137">
        <v>1</v>
      </c>
      <c r="K137">
        <v>0</v>
      </c>
      <c r="L137">
        <v>45580</v>
      </c>
      <c r="M137" t="s">
        <v>161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1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1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</row>
    <row r="138" spans="1:83" x14ac:dyDescent="0.25">
      <c r="A138" t="s">
        <v>128</v>
      </c>
      <c r="B138" t="s">
        <v>181</v>
      </c>
      <c r="C138" t="s">
        <v>72</v>
      </c>
      <c r="D138" s="12">
        <v>45580</v>
      </c>
      <c r="E138" t="s">
        <v>179</v>
      </c>
      <c r="F138" t="s">
        <v>75</v>
      </c>
      <c r="G138">
        <v>4.5836142079336275</v>
      </c>
      <c r="H138">
        <v>3.8</v>
      </c>
      <c r="I138">
        <v>10</v>
      </c>
      <c r="K138">
        <v>3.8</v>
      </c>
      <c r="L138">
        <v>45580</v>
      </c>
      <c r="M138" t="s">
        <v>162</v>
      </c>
      <c r="N138">
        <v>2.6229946524064167</v>
      </c>
      <c r="O138">
        <v>0.82904010407828488</v>
      </c>
      <c r="P138">
        <v>0.82904010407828488</v>
      </c>
      <c r="Q138">
        <v>0.57225467358626325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0.17095989592171512</v>
      </c>
      <c r="AC138">
        <v>0</v>
      </c>
      <c r="AD138">
        <v>0.25678543049202163</v>
      </c>
      <c r="AE138">
        <v>0</v>
      </c>
      <c r="AF138">
        <v>0.57225467358626325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1.2062142652456915</v>
      </c>
      <c r="AM138">
        <v>1.2062142652456915</v>
      </c>
      <c r="AN138">
        <v>0.69026175063326756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0.20621426524569153</v>
      </c>
      <c r="AX138">
        <v>0</v>
      </c>
      <c r="AY138">
        <v>0</v>
      </c>
      <c r="AZ138">
        <v>0</v>
      </c>
      <c r="BA138">
        <v>0.30973824936673244</v>
      </c>
      <c r="BB138">
        <v>0</v>
      </c>
      <c r="BC138">
        <v>0.69026175063326756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1.4487257900101937</v>
      </c>
      <c r="BJ138">
        <v>1.4487257900101937</v>
      </c>
      <c r="BK138">
        <v>1.7474737143396299</v>
      </c>
      <c r="BL138">
        <v>0.2987479243294362</v>
      </c>
      <c r="BM138">
        <v>0</v>
      </c>
      <c r="BN138">
        <v>0</v>
      </c>
      <c r="BO138">
        <v>0</v>
      </c>
      <c r="BP138">
        <v>0</v>
      </c>
      <c r="BQ138">
        <v>5.1274209989806252E-2</v>
      </c>
      <c r="BR138">
        <v>0.44872579001019375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</row>
    <row r="139" spans="1:83" x14ac:dyDescent="0.25">
      <c r="A139" t="s">
        <v>128</v>
      </c>
      <c r="B139" t="s">
        <v>134</v>
      </c>
      <c r="C139" t="s">
        <v>72</v>
      </c>
      <c r="D139" s="12">
        <v>45580</v>
      </c>
      <c r="E139" t="s">
        <v>179</v>
      </c>
      <c r="F139" t="s">
        <v>75</v>
      </c>
      <c r="G139">
        <v>2.1042606516290729</v>
      </c>
      <c r="H139">
        <v>2.8499999999999996</v>
      </c>
      <c r="I139">
        <v>10</v>
      </c>
      <c r="J139">
        <v>1</v>
      </c>
      <c r="K139">
        <v>2.8499999999999996</v>
      </c>
      <c r="L139">
        <v>45580</v>
      </c>
      <c r="M139" t="s">
        <v>162</v>
      </c>
      <c r="N139">
        <v>1.5172413793103443</v>
      </c>
      <c r="O139">
        <v>1.3543949499761787</v>
      </c>
      <c r="P139">
        <v>1.3543949499761787</v>
      </c>
      <c r="Q139">
        <v>0.72103300422204297</v>
      </c>
      <c r="R139">
        <v>0</v>
      </c>
      <c r="S139">
        <v>0</v>
      </c>
      <c r="T139">
        <v>0.10439494997617871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0.25</v>
      </c>
      <c r="AA139">
        <v>0</v>
      </c>
      <c r="AB139">
        <v>0</v>
      </c>
      <c r="AC139">
        <v>0</v>
      </c>
      <c r="AD139">
        <v>0.27896699577795703</v>
      </c>
      <c r="AE139">
        <v>0</v>
      </c>
      <c r="AF139">
        <v>0.72103300422204297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0.73833707074704324</v>
      </c>
      <c r="AM139">
        <v>0.73833707074704324</v>
      </c>
      <c r="AN139">
        <v>0.53236539624924373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0.26166292925295676</v>
      </c>
      <c r="AZ139">
        <v>0</v>
      </c>
      <c r="BA139">
        <v>0.20597167449779952</v>
      </c>
      <c r="BB139">
        <v>0</v>
      </c>
      <c r="BC139">
        <v>0.53236539624924373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1.8784090909090914</v>
      </c>
      <c r="BJ139">
        <v>1.8784090909090914</v>
      </c>
      <c r="BK139">
        <v>1.3868990658464349</v>
      </c>
      <c r="CB139">
        <v>0</v>
      </c>
      <c r="CC139">
        <v>0</v>
      </c>
      <c r="CD139">
        <v>0</v>
      </c>
    </row>
    <row r="140" spans="1:83" x14ac:dyDescent="0.25">
      <c r="A140" t="s">
        <v>128</v>
      </c>
      <c r="B140" t="s">
        <v>134</v>
      </c>
      <c r="C140" t="s">
        <v>72</v>
      </c>
      <c r="D140" s="12">
        <v>45581</v>
      </c>
      <c r="E140" t="s">
        <v>179</v>
      </c>
      <c r="F140" t="s">
        <v>73</v>
      </c>
      <c r="G140">
        <v>3.1563909774436087</v>
      </c>
      <c r="H140">
        <v>1.9</v>
      </c>
      <c r="I140">
        <v>10</v>
      </c>
      <c r="J140">
        <v>1</v>
      </c>
      <c r="K140">
        <v>1.9</v>
      </c>
      <c r="L140">
        <v>45581</v>
      </c>
      <c r="M140" t="s">
        <v>163</v>
      </c>
      <c r="N140">
        <v>1.7290552584670236</v>
      </c>
      <c r="O140">
        <v>0.60195331110052408</v>
      </c>
      <c r="P140">
        <v>0.60195331110052408</v>
      </c>
      <c r="Q140">
        <v>0.54779501995263025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0.39804668889947592</v>
      </c>
      <c r="AC140">
        <v>0</v>
      </c>
      <c r="AD140">
        <v>5.4158291147893833E-2</v>
      </c>
      <c r="AE140">
        <v>0</v>
      </c>
      <c r="AF140">
        <v>0.54779501995263025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1.6612584091808469</v>
      </c>
      <c r="AM140">
        <v>1.6612584091808469</v>
      </c>
      <c r="AN140">
        <v>0.9100290834036967</v>
      </c>
      <c r="BE140">
        <v>0</v>
      </c>
      <c r="BF140">
        <v>0</v>
      </c>
      <c r="BG140">
        <v>0</v>
      </c>
      <c r="BI140">
        <v>1.098865979381443</v>
      </c>
      <c r="BJ140">
        <v>1.098865979381443</v>
      </c>
      <c r="BK140">
        <v>1.8255003488101691</v>
      </c>
      <c r="BL140">
        <v>0.72663436942872606</v>
      </c>
      <c r="BM140">
        <v>0</v>
      </c>
      <c r="BN140">
        <v>0</v>
      </c>
      <c r="BO140">
        <v>0</v>
      </c>
      <c r="BP140">
        <v>0</v>
      </c>
      <c r="BQ140">
        <v>0.40113402061855696</v>
      </c>
      <c r="BR140">
        <v>9.8865979381443037E-2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</row>
    <row r="141" spans="1:83" x14ac:dyDescent="0.25">
      <c r="A141" t="s">
        <v>128</v>
      </c>
      <c r="B141" t="s">
        <v>181</v>
      </c>
      <c r="C141" t="s">
        <v>72</v>
      </c>
      <c r="D141" s="12">
        <v>45581</v>
      </c>
      <c r="E141" t="s">
        <v>179</v>
      </c>
      <c r="F141" t="s">
        <v>73</v>
      </c>
      <c r="G141">
        <v>3.7478639781271368</v>
      </c>
      <c r="H141">
        <v>6.6499999999999995</v>
      </c>
      <c r="I141">
        <v>10</v>
      </c>
      <c r="K141">
        <v>6.6499999999999995</v>
      </c>
      <c r="L141">
        <v>45581</v>
      </c>
      <c r="M141" t="s">
        <v>163</v>
      </c>
      <c r="N141">
        <v>3.643872549019608</v>
      </c>
      <c r="O141">
        <v>1.7743440100307757</v>
      </c>
      <c r="P141">
        <v>1.7743440100307757</v>
      </c>
      <c r="Q141">
        <v>0.97225314746894986</v>
      </c>
      <c r="R141">
        <v>0</v>
      </c>
      <c r="S141">
        <v>0</v>
      </c>
      <c r="T141">
        <v>0.52434401003077569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0.25</v>
      </c>
      <c r="AA141">
        <v>0</v>
      </c>
      <c r="AB141">
        <v>0</v>
      </c>
      <c r="AC141">
        <v>0</v>
      </c>
      <c r="AD141">
        <v>2.7746852531050137E-2</v>
      </c>
      <c r="AE141">
        <v>0</v>
      </c>
      <c r="AF141">
        <v>0.97225314746894986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0.56358856813941915</v>
      </c>
      <c r="AM141">
        <v>0.56358856813941915</v>
      </c>
      <c r="AN141">
        <v>0.54795075925106895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0.43641143186058085</v>
      </c>
      <c r="AZ141">
        <v>0</v>
      </c>
      <c r="BA141">
        <v>1.5637808888350202E-2</v>
      </c>
      <c r="BB141">
        <v>0</v>
      </c>
      <c r="BC141">
        <v>0.54795075925106895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1.824981502656891</v>
      </c>
      <c r="BJ141">
        <v>1.824981502656891</v>
      </c>
      <c r="BK141">
        <v>1.0285387119633227</v>
      </c>
      <c r="CB141">
        <v>0</v>
      </c>
      <c r="CC141">
        <v>0</v>
      </c>
      <c r="CD141">
        <v>0</v>
      </c>
    </row>
    <row r="142" spans="1:83" x14ac:dyDescent="0.25">
      <c r="A142" t="s">
        <v>128</v>
      </c>
      <c r="B142" t="s">
        <v>134</v>
      </c>
      <c r="C142" t="s">
        <v>72</v>
      </c>
      <c r="D142" s="12">
        <v>45581</v>
      </c>
      <c r="E142" t="s">
        <v>179</v>
      </c>
      <c r="F142" t="s">
        <v>74</v>
      </c>
      <c r="G142">
        <v>1</v>
      </c>
      <c r="H142">
        <v>0</v>
      </c>
      <c r="I142">
        <v>10</v>
      </c>
      <c r="J142">
        <v>1</v>
      </c>
      <c r="K142">
        <v>0</v>
      </c>
      <c r="L142">
        <v>45581</v>
      </c>
      <c r="M142" t="s">
        <v>164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1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</row>
    <row r="143" spans="1:83" x14ac:dyDescent="0.25">
      <c r="A143" t="s">
        <v>128</v>
      </c>
      <c r="B143" t="s">
        <v>181</v>
      </c>
      <c r="C143" t="s">
        <v>72</v>
      </c>
      <c r="D143" s="12">
        <v>45581</v>
      </c>
      <c r="E143" t="s">
        <v>179</v>
      </c>
      <c r="F143" t="s">
        <v>74</v>
      </c>
      <c r="G143">
        <v>0.97058823529411775</v>
      </c>
      <c r="H143">
        <v>0.95</v>
      </c>
      <c r="I143">
        <v>10</v>
      </c>
      <c r="K143">
        <v>0.95</v>
      </c>
      <c r="L143">
        <v>45581</v>
      </c>
      <c r="M143" t="s">
        <v>164</v>
      </c>
      <c r="N143">
        <v>0.99821746880570394</v>
      </c>
      <c r="O143">
        <v>0.97878787878787865</v>
      </c>
      <c r="P143">
        <v>0.97878787878787865</v>
      </c>
      <c r="Q143">
        <v>1.0284664830119372</v>
      </c>
      <c r="R143">
        <v>2.8466483011937216E-2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2.1212121212121349E-2</v>
      </c>
      <c r="AB143">
        <v>0</v>
      </c>
      <c r="AC143">
        <v>0</v>
      </c>
      <c r="AD143">
        <v>0</v>
      </c>
      <c r="AE143">
        <v>0</v>
      </c>
      <c r="AF143">
        <v>0.97878787878787865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1.0216718266253872</v>
      </c>
      <c r="AM143">
        <v>1.0216718266253872</v>
      </c>
      <c r="AN143">
        <v>1.0507552303217937</v>
      </c>
      <c r="AO143">
        <v>2.9083403696406496E-2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2.1671826625387247E-2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1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0.95169642857142867</v>
      </c>
      <c r="BJ143">
        <v>0.95169642857142867</v>
      </c>
      <c r="BK143">
        <v>0.97232142857142878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2.7678571428571219E-2</v>
      </c>
      <c r="BW143">
        <v>0</v>
      </c>
      <c r="BX143">
        <v>0</v>
      </c>
      <c r="BY143">
        <v>0</v>
      </c>
      <c r="BZ143">
        <v>0.95169642857142867</v>
      </c>
      <c r="CA143">
        <v>0</v>
      </c>
      <c r="CB143">
        <v>0</v>
      </c>
      <c r="CC143">
        <v>0</v>
      </c>
      <c r="CD143">
        <v>0</v>
      </c>
      <c r="CE143">
        <v>0</v>
      </c>
    </row>
    <row r="144" spans="1:83" x14ac:dyDescent="0.25">
      <c r="A144" t="s">
        <v>128</v>
      </c>
      <c r="B144" t="s">
        <v>134</v>
      </c>
      <c r="C144" t="s">
        <v>72</v>
      </c>
      <c r="D144" s="12">
        <v>45581</v>
      </c>
      <c r="E144" t="s">
        <v>179</v>
      </c>
      <c r="F144" t="s">
        <v>75</v>
      </c>
      <c r="G144">
        <v>2.1042606516290729</v>
      </c>
      <c r="H144">
        <v>1.9</v>
      </c>
      <c r="I144">
        <v>10</v>
      </c>
      <c r="J144">
        <v>1</v>
      </c>
      <c r="K144">
        <v>1.9</v>
      </c>
      <c r="L144">
        <v>45581</v>
      </c>
      <c r="M144" t="s">
        <v>165</v>
      </c>
      <c r="N144">
        <v>2.3083164300202839</v>
      </c>
      <c r="O144">
        <v>0.90292996665078595</v>
      </c>
      <c r="P144">
        <v>0.90292996665078595</v>
      </c>
      <c r="Q144">
        <v>1.0969726721987769</v>
      </c>
      <c r="R144">
        <v>9.6972672198776921E-2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9.7070033349214047E-2</v>
      </c>
      <c r="AB144">
        <v>0</v>
      </c>
      <c r="AC144">
        <v>0</v>
      </c>
      <c r="AD144">
        <v>0</v>
      </c>
      <c r="AE144">
        <v>0</v>
      </c>
      <c r="AF144">
        <v>0.90292996665078595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1.1075056061205648</v>
      </c>
      <c r="AM144">
        <v>1.1075056061205648</v>
      </c>
      <c r="AN144">
        <v>1.214903384221202</v>
      </c>
      <c r="AO144">
        <v>0.10739777810063722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0.10750560612056481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1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0.82311072056239021</v>
      </c>
      <c r="BJ144">
        <v>0.82311072056239021</v>
      </c>
      <c r="BK144">
        <v>0.91159973748078471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8.8400262519215289E-2</v>
      </c>
      <c r="BW144">
        <v>0</v>
      </c>
      <c r="BX144">
        <v>0</v>
      </c>
      <c r="BY144">
        <v>0</v>
      </c>
      <c r="BZ144">
        <v>0.82311072056239021</v>
      </c>
      <c r="CA144">
        <v>0</v>
      </c>
      <c r="CB144">
        <v>0</v>
      </c>
      <c r="CC144">
        <v>0</v>
      </c>
      <c r="CD144">
        <v>0</v>
      </c>
      <c r="CE144">
        <v>0</v>
      </c>
    </row>
    <row r="145" spans="1:83" x14ac:dyDescent="0.25">
      <c r="A145" t="s">
        <v>128</v>
      </c>
      <c r="B145" t="s">
        <v>181</v>
      </c>
      <c r="C145" t="s">
        <v>72</v>
      </c>
      <c r="D145" s="12">
        <v>45581</v>
      </c>
      <c r="E145" t="s">
        <v>179</v>
      </c>
      <c r="F145" t="s">
        <v>75</v>
      </c>
      <c r="G145">
        <v>4.5836142079336275</v>
      </c>
      <c r="H145">
        <v>2.8499999999999996</v>
      </c>
      <c r="I145">
        <v>10</v>
      </c>
      <c r="K145">
        <v>2.8499999999999996</v>
      </c>
      <c r="L145">
        <v>45581</v>
      </c>
      <c r="M145" t="s">
        <v>165</v>
      </c>
      <c r="N145">
        <v>2.780080213903743</v>
      </c>
      <c r="O145">
        <v>0.6217800780587136</v>
      </c>
      <c r="P145">
        <v>0.6217800780587136</v>
      </c>
      <c r="Q145">
        <v>0.606525786810721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0.3782199219412864</v>
      </c>
      <c r="AC145">
        <v>0</v>
      </c>
      <c r="AD145">
        <v>1.5254291247992602E-2</v>
      </c>
      <c r="AE145">
        <v>0</v>
      </c>
      <c r="AF145">
        <v>0.606525786810721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1.6082856869942554</v>
      </c>
      <c r="AM145">
        <v>1.6082856869942554</v>
      </c>
      <c r="AN145">
        <v>0.97546674172061176</v>
      </c>
      <c r="BE145">
        <v>0</v>
      </c>
      <c r="BF145">
        <v>0</v>
      </c>
      <c r="BG145">
        <v>0</v>
      </c>
      <c r="BI145">
        <v>1.0251502765087761</v>
      </c>
      <c r="BJ145">
        <v>1.0251502765087761</v>
      </c>
      <c r="BK145">
        <v>1.648734516727268</v>
      </c>
      <c r="BL145">
        <v>0.6235842402184919</v>
      </c>
      <c r="BM145">
        <v>0</v>
      </c>
      <c r="BN145">
        <v>0</v>
      </c>
      <c r="BO145">
        <v>0</v>
      </c>
      <c r="BP145">
        <v>0</v>
      </c>
      <c r="BQ145">
        <v>0.4748497234912239</v>
      </c>
      <c r="BR145">
        <v>2.5150276508776104E-2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</row>
    <row r="146" spans="1:83" x14ac:dyDescent="0.25">
      <c r="A146" t="s">
        <v>128</v>
      </c>
      <c r="B146" t="s">
        <v>134</v>
      </c>
      <c r="C146" t="s">
        <v>72</v>
      </c>
      <c r="D146" s="12">
        <v>45582</v>
      </c>
      <c r="E146" t="s">
        <v>179</v>
      </c>
      <c r="F146" t="s">
        <v>73</v>
      </c>
      <c r="G146">
        <v>3.1563909774436087</v>
      </c>
      <c r="H146">
        <v>2.8499999999999996</v>
      </c>
      <c r="I146">
        <v>10</v>
      </c>
      <c r="J146">
        <v>1</v>
      </c>
      <c r="K146">
        <v>2.8499999999999996</v>
      </c>
      <c r="L146">
        <v>45582</v>
      </c>
      <c r="M146" t="s">
        <v>166</v>
      </c>
      <c r="N146">
        <v>1.882352941176471</v>
      </c>
      <c r="O146">
        <v>0.90292996665078606</v>
      </c>
      <c r="P146">
        <v>0.90292996665078606</v>
      </c>
      <c r="Q146">
        <v>0.5963624134742036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9.7070033349213936E-2</v>
      </c>
      <c r="AC146">
        <v>0</v>
      </c>
      <c r="AD146">
        <v>0.30656755317658246</v>
      </c>
      <c r="AE146">
        <v>0</v>
      </c>
      <c r="AF146">
        <v>0.5963624134742036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1.1075056061205646</v>
      </c>
      <c r="AM146">
        <v>1.1075056061205646</v>
      </c>
      <c r="AN146">
        <v>0.66047471620227061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0.10750560612056459</v>
      </c>
      <c r="AX146">
        <v>0</v>
      </c>
      <c r="AY146">
        <v>0</v>
      </c>
      <c r="AZ146">
        <v>0</v>
      </c>
      <c r="BA146">
        <v>0.33952528379772939</v>
      </c>
      <c r="BB146">
        <v>0</v>
      </c>
      <c r="BC146">
        <v>0.66047471620227061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1.5140624999999994</v>
      </c>
      <c r="BJ146">
        <v>1.5140624999999994</v>
      </c>
      <c r="BK146">
        <v>1.6768327067669169</v>
      </c>
      <c r="CB146">
        <v>0</v>
      </c>
      <c r="CC146">
        <v>0</v>
      </c>
      <c r="CD146">
        <v>0</v>
      </c>
    </row>
    <row r="147" spans="1:83" x14ac:dyDescent="0.25">
      <c r="A147" t="s">
        <v>128</v>
      </c>
      <c r="B147" t="s">
        <v>181</v>
      </c>
      <c r="C147" t="s">
        <v>72</v>
      </c>
      <c r="D147" s="12">
        <v>45582</v>
      </c>
      <c r="E147" t="s">
        <v>179</v>
      </c>
      <c r="F147" t="s">
        <v>73</v>
      </c>
      <c r="G147">
        <v>3.7478639781271368</v>
      </c>
      <c r="H147">
        <v>6.6499999999999995</v>
      </c>
      <c r="I147">
        <v>10</v>
      </c>
      <c r="K147">
        <v>6.6499999999999995</v>
      </c>
      <c r="L147">
        <v>45582</v>
      </c>
      <c r="M147" t="s">
        <v>166</v>
      </c>
      <c r="N147">
        <v>3.7813725490196082</v>
      </c>
      <c r="O147">
        <v>1.7743440100307757</v>
      </c>
      <c r="P147">
        <v>1.7743440100307757</v>
      </c>
      <c r="Q147">
        <v>1.0089407115861275</v>
      </c>
      <c r="R147">
        <v>0</v>
      </c>
      <c r="S147">
        <v>0</v>
      </c>
      <c r="T147">
        <v>0.52434401003077569</v>
      </c>
      <c r="U147">
        <v>0</v>
      </c>
      <c r="V147">
        <v>0</v>
      </c>
      <c r="W147">
        <v>0</v>
      </c>
      <c r="X147">
        <v>8.9407115861275255E-3</v>
      </c>
      <c r="Y147">
        <v>0</v>
      </c>
      <c r="Z147">
        <v>0.24105928841387247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1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0.56358856813941915</v>
      </c>
      <c r="AM147">
        <v>0.56358856813941915</v>
      </c>
      <c r="AN147">
        <v>0.56862745098039225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0.43137254901960775</v>
      </c>
      <c r="AZ147">
        <v>0</v>
      </c>
      <c r="BA147">
        <v>0</v>
      </c>
      <c r="BB147">
        <v>0</v>
      </c>
      <c r="BC147">
        <v>0.56358856813941915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1.7586206896551722</v>
      </c>
      <c r="BJ147">
        <v>1.7586206896551722</v>
      </c>
      <c r="BK147">
        <v>0.99113851638311623</v>
      </c>
      <c r="CB147">
        <v>0</v>
      </c>
      <c r="CC147">
        <v>0</v>
      </c>
      <c r="CD147">
        <v>0</v>
      </c>
    </row>
    <row r="148" spans="1:83" x14ac:dyDescent="0.25">
      <c r="A148" t="s">
        <v>128</v>
      </c>
      <c r="B148" t="s">
        <v>134</v>
      </c>
      <c r="C148" t="s">
        <v>72</v>
      </c>
      <c r="D148" s="12">
        <v>45582</v>
      </c>
      <c r="E148" t="s">
        <v>179</v>
      </c>
      <c r="F148" t="s">
        <v>74</v>
      </c>
      <c r="G148">
        <v>1</v>
      </c>
      <c r="H148">
        <v>0</v>
      </c>
      <c r="I148">
        <v>10</v>
      </c>
      <c r="J148">
        <v>1</v>
      </c>
      <c r="K148">
        <v>0</v>
      </c>
      <c r="L148">
        <v>45582</v>
      </c>
      <c r="M148" t="s">
        <v>167</v>
      </c>
      <c r="N148">
        <v>2.7450980392156862E-2</v>
      </c>
      <c r="O148">
        <v>0</v>
      </c>
      <c r="P148">
        <v>0</v>
      </c>
      <c r="Q148">
        <v>2.7450980392156862E-2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2.7450980392156862E-2</v>
      </c>
      <c r="AB148">
        <v>0.97254901960784312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I148">
        <v>0</v>
      </c>
      <c r="BJ148">
        <v>0</v>
      </c>
      <c r="BK148">
        <v>36.428571428571431</v>
      </c>
      <c r="BL148">
        <v>35.428571428571431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</row>
    <row r="149" spans="1:83" x14ac:dyDescent="0.25">
      <c r="A149" t="s">
        <v>128</v>
      </c>
      <c r="B149" t="s">
        <v>181</v>
      </c>
      <c r="C149" t="s">
        <v>72</v>
      </c>
      <c r="D149" s="12">
        <v>45582</v>
      </c>
      <c r="E149" t="s">
        <v>179</v>
      </c>
      <c r="F149" t="s">
        <v>74</v>
      </c>
      <c r="G149">
        <v>0.97058823529411775</v>
      </c>
      <c r="H149">
        <v>0</v>
      </c>
      <c r="I149">
        <v>10</v>
      </c>
      <c r="K149">
        <v>0</v>
      </c>
      <c r="L149">
        <v>45582</v>
      </c>
      <c r="M149" t="s">
        <v>167</v>
      </c>
      <c r="N149">
        <v>5.7040998217468802E-2</v>
      </c>
      <c r="O149">
        <v>0</v>
      </c>
      <c r="P149">
        <v>0</v>
      </c>
      <c r="Q149">
        <v>5.8769513314967853E-2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5.8769513314967853E-2</v>
      </c>
      <c r="AB149">
        <v>0.94123048668503217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I149">
        <v>0</v>
      </c>
      <c r="BJ149">
        <v>0</v>
      </c>
      <c r="BK149">
        <v>17.015625000000004</v>
      </c>
      <c r="BL149">
        <v>16.015625000000004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</row>
    <row r="150" spans="1:83" x14ac:dyDescent="0.25">
      <c r="A150" t="s">
        <v>128</v>
      </c>
      <c r="B150" t="s">
        <v>134</v>
      </c>
      <c r="C150" t="s">
        <v>72</v>
      </c>
      <c r="D150" s="12">
        <v>45582</v>
      </c>
      <c r="E150" t="s">
        <v>179</v>
      </c>
      <c r="F150" t="s">
        <v>75</v>
      </c>
      <c r="G150">
        <v>2.1042606516290729</v>
      </c>
      <c r="H150">
        <v>1.9</v>
      </c>
      <c r="I150">
        <v>10</v>
      </c>
      <c r="J150">
        <v>1</v>
      </c>
      <c r="K150">
        <v>1.9</v>
      </c>
      <c r="L150">
        <v>45582</v>
      </c>
      <c r="M150" t="s">
        <v>168</v>
      </c>
      <c r="N150">
        <v>1.7568627450980394</v>
      </c>
      <c r="O150">
        <v>0.90292996665078595</v>
      </c>
      <c r="P150">
        <v>0.90292996665078595</v>
      </c>
      <c r="Q150">
        <v>0.83490737886388477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9.7070033349214047E-2</v>
      </c>
      <c r="AC150">
        <v>0</v>
      </c>
      <c r="AD150">
        <v>6.8022587786901179E-2</v>
      </c>
      <c r="AE150">
        <v>0</v>
      </c>
      <c r="AF150">
        <v>0.83490737886388477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1.1075056061205648</v>
      </c>
      <c r="AM150">
        <v>1.1075056061205648</v>
      </c>
      <c r="AN150">
        <v>0.92466460268317863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0.10750560612056481</v>
      </c>
      <c r="AX150">
        <v>0</v>
      </c>
      <c r="AY150">
        <v>0</v>
      </c>
      <c r="AZ150">
        <v>0</v>
      </c>
      <c r="BA150">
        <v>7.5335397316821373E-2</v>
      </c>
      <c r="BB150">
        <v>0</v>
      </c>
      <c r="BC150">
        <v>0.92466460268317863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1.0814732142857142</v>
      </c>
      <c r="BJ150">
        <v>1.0814732142857142</v>
      </c>
      <c r="BK150">
        <v>1.1977376476906552</v>
      </c>
      <c r="BL150">
        <v>0.11626443340494097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8.1473214285714191E-2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1</v>
      </c>
      <c r="CA150">
        <v>0</v>
      </c>
      <c r="CB150">
        <v>0</v>
      </c>
      <c r="CC150">
        <v>0</v>
      </c>
      <c r="CD150">
        <v>0</v>
      </c>
      <c r="CE150">
        <v>0</v>
      </c>
    </row>
    <row r="151" spans="1:83" x14ac:dyDescent="0.25">
      <c r="A151" t="s">
        <v>128</v>
      </c>
      <c r="B151" t="s">
        <v>181</v>
      </c>
      <c r="C151" t="s">
        <v>72</v>
      </c>
      <c r="D151" s="12">
        <v>45582</v>
      </c>
      <c r="E151" t="s">
        <v>179</v>
      </c>
      <c r="F151" t="s">
        <v>75</v>
      </c>
      <c r="G151">
        <v>4.5836142079336275</v>
      </c>
      <c r="H151">
        <v>1.9</v>
      </c>
      <c r="I151">
        <v>10</v>
      </c>
      <c r="K151">
        <v>1.9</v>
      </c>
      <c r="L151">
        <v>45582</v>
      </c>
      <c r="M151" t="s">
        <v>168</v>
      </c>
      <c r="N151">
        <v>2.8368983957219247</v>
      </c>
      <c r="O151">
        <v>0.41452005203914244</v>
      </c>
      <c r="P151">
        <v>0.41452005203914244</v>
      </c>
      <c r="Q151">
        <v>0.61892172138126944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0.204401669342127</v>
      </c>
      <c r="AB151">
        <v>0.38107827861873056</v>
      </c>
      <c r="AC151">
        <v>0</v>
      </c>
      <c r="AD151">
        <v>0</v>
      </c>
      <c r="AE151">
        <v>0</v>
      </c>
      <c r="AF151">
        <v>0.41452005203914244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2.4124285304913831</v>
      </c>
      <c r="AM151">
        <v>2.4124285304913831</v>
      </c>
      <c r="AN151">
        <v>1.493104418801013</v>
      </c>
      <c r="BE151">
        <v>0</v>
      </c>
      <c r="BF151">
        <v>0</v>
      </c>
      <c r="BG151">
        <v>0</v>
      </c>
      <c r="BI151">
        <v>0.66974552309142321</v>
      </c>
      <c r="BJ151">
        <v>0.66974552309142321</v>
      </c>
      <c r="BK151">
        <v>1.6157132080746248</v>
      </c>
      <c r="BL151">
        <v>0.61571320807462482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0.58547994796085756</v>
      </c>
      <c r="BV151">
        <v>0</v>
      </c>
      <c r="BW151">
        <v>0</v>
      </c>
      <c r="BX151">
        <v>0</v>
      </c>
      <c r="BY151">
        <v>0</v>
      </c>
      <c r="BZ151">
        <v>0.66974552309142321</v>
      </c>
      <c r="CA151">
        <v>0</v>
      </c>
      <c r="CB151">
        <v>0</v>
      </c>
      <c r="CC151">
        <v>0</v>
      </c>
      <c r="CD151">
        <v>0</v>
      </c>
      <c r="CE151">
        <v>0</v>
      </c>
    </row>
    <row r="152" spans="1:83" x14ac:dyDescent="0.25">
      <c r="A152" t="s">
        <v>128</v>
      </c>
      <c r="B152" t="s">
        <v>134</v>
      </c>
      <c r="C152" t="s">
        <v>72</v>
      </c>
      <c r="D152" s="12">
        <v>45583</v>
      </c>
      <c r="E152" t="s">
        <v>179</v>
      </c>
      <c r="F152" t="s">
        <v>73</v>
      </c>
      <c r="G152">
        <v>3.1563909774436096</v>
      </c>
      <c r="H152">
        <v>2.8499999999999996</v>
      </c>
      <c r="I152">
        <v>10</v>
      </c>
      <c r="J152">
        <v>1</v>
      </c>
      <c r="K152">
        <v>2.8499999999999996</v>
      </c>
      <c r="L152">
        <v>45583</v>
      </c>
      <c r="M152" t="s">
        <v>169</v>
      </c>
      <c r="N152">
        <v>1.882352941176471</v>
      </c>
      <c r="O152">
        <v>0.90292996665078584</v>
      </c>
      <c r="P152">
        <v>0.90292996665078584</v>
      </c>
      <c r="Q152">
        <v>0.59636241347420338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9.7070033349214158E-2</v>
      </c>
      <c r="AC152">
        <v>0</v>
      </c>
      <c r="AD152">
        <v>0.30656755317658246</v>
      </c>
      <c r="AE152">
        <v>0</v>
      </c>
      <c r="AF152">
        <v>0.59636241347420338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1.1075056061205648</v>
      </c>
      <c r="AM152">
        <v>1.1075056061205648</v>
      </c>
      <c r="AN152">
        <v>0.66047471620227061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0.10750560612056481</v>
      </c>
      <c r="AX152">
        <v>0</v>
      </c>
      <c r="AY152">
        <v>0</v>
      </c>
      <c r="AZ152">
        <v>0</v>
      </c>
      <c r="BA152">
        <v>0.33952528379772939</v>
      </c>
      <c r="BB152">
        <v>0</v>
      </c>
      <c r="BC152">
        <v>0.66047471620227061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1.5140624999999994</v>
      </c>
      <c r="BJ152">
        <v>1.5140624999999994</v>
      </c>
      <c r="BK152">
        <v>1.6768327067669173</v>
      </c>
      <c r="CB152">
        <v>0</v>
      </c>
      <c r="CC152">
        <v>0</v>
      </c>
      <c r="CD152">
        <v>0</v>
      </c>
    </row>
    <row r="153" spans="1:83" x14ac:dyDescent="0.25">
      <c r="A153" t="s">
        <v>128</v>
      </c>
      <c r="B153" t="s">
        <v>181</v>
      </c>
      <c r="C153" t="s">
        <v>72</v>
      </c>
      <c r="D153" s="12">
        <v>45583</v>
      </c>
      <c r="E153" t="s">
        <v>179</v>
      </c>
      <c r="F153" t="s">
        <v>73</v>
      </c>
      <c r="G153">
        <v>3.7478639781271368</v>
      </c>
      <c r="H153">
        <v>6.6499999999999995</v>
      </c>
      <c r="I153">
        <v>10</v>
      </c>
      <c r="K153">
        <v>6.6499999999999995</v>
      </c>
      <c r="L153">
        <v>45583</v>
      </c>
      <c r="M153" t="s">
        <v>169</v>
      </c>
      <c r="N153">
        <v>3.75</v>
      </c>
      <c r="O153">
        <v>1.7743440100307757</v>
      </c>
      <c r="P153">
        <v>1.7743440100307757</v>
      </c>
      <c r="Q153">
        <v>1.0005699304684827</v>
      </c>
      <c r="R153">
        <v>0</v>
      </c>
      <c r="S153">
        <v>0</v>
      </c>
      <c r="T153">
        <v>0.52434401003077569</v>
      </c>
      <c r="U153">
        <v>0</v>
      </c>
      <c r="V153">
        <v>0</v>
      </c>
      <c r="W153">
        <v>0</v>
      </c>
      <c r="X153">
        <v>5.6993046848274886E-4</v>
      </c>
      <c r="Y153">
        <v>0</v>
      </c>
      <c r="Z153">
        <v>0.24943006953151725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0.56358856813941915</v>
      </c>
      <c r="AM153">
        <v>0.56358856813941915</v>
      </c>
      <c r="AN153">
        <v>0.56390977443609025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0.43609022556390975</v>
      </c>
      <c r="AZ153">
        <v>0</v>
      </c>
      <c r="BA153">
        <v>0</v>
      </c>
      <c r="BB153">
        <v>0</v>
      </c>
      <c r="BC153">
        <v>0.56358856813941915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1.7733333333333332</v>
      </c>
      <c r="BJ153">
        <v>1.7733333333333332</v>
      </c>
      <c r="BK153">
        <v>0.99943039416723645</v>
      </c>
      <c r="CB153">
        <v>0</v>
      </c>
      <c r="CC153">
        <v>0</v>
      </c>
      <c r="CD153">
        <v>0</v>
      </c>
    </row>
    <row r="154" spans="1:83" x14ac:dyDescent="0.25">
      <c r="A154" t="s">
        <v>128</v>
      </c>
      <c r="B154" t="s">
        <v>181</v>
      </c>
      <c r="C154" t="s">
        <v>72</v>
      </c>
      <c r="D154" s="12">
        <v>45583</v>
      </c>
      <c r="E154" t="s">
        <v>179</v>
      </c>
      <c r="F154" t="s">
        <v>74</v>
      </c>
      <c r="G154">
        <v>0.97058823529411775</v>
      </c>
      <c r="H154">
        <v>0.95</v>
      </c>
      <c r="I154">
        <v>10</v>
      </c>
      <c r="K154">
        <v>0.95</v>
      </c>
      <c r="L154">
        <v>45583</v>
      </c>
      <c r="M154" t="s">
        <v>170</v>
      </c>
      <c r="N154">
        <v>0.96969696969696972</v>
      </c>
      <c r="O154">
        <v>0.97878787878787865</v>
      </c>
      <c r="P154">
        <v>0.97878787878787865</v>
      </c>
      <c r="Q154">
        <v>0.99908172635445358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2.029384756657493E-2</v>
      </c>
      <c r="AB154">
        <v>9.182736455464191E-4</v>
      </c>
      <c r="AC154">
        <v>0</v>
      </c>
      <c r="AD154">
        <v>0</v>
      </c>
      <c r="AE154">
        <v>0</v>
      </c>
      <c r="AF154">
        <v>0.97878787878787865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1.0216718266253872</v>
      </c>
      <c r="AM154">
        <v>1.0216718266253872</v>
      </c>
      <c r="AN154">
        <v>1.0207336523125998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2.0733652312599826E-2</v>
      </c>
      <c r="AV154">
        <v>0</v>
      </c>
      <c r="AW154">
        <v>9.3817431278742092E-4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1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0.97968749999999993</v>
      </c>
      <c r="BJ154">
        <v>0.97968749999999993</v>
      </c>
      <c r="BK154">
        <v>1.0009191176470589</v>
      </c>
      <c r="BL154">
        <v>9.1911764705887578E-4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2.1212121212121349E-2</v>
      </c>
      <c r="BV154">
        <v>0</v>
      </c>
      <c r="BW154">
        <v>0</v>
      </c>
      <c r="BX154">
        <v>0</v>
      </c>
      <c r="BY154">
        <v>0</v>
      </c>
      <c r="BZ154">
        <v>0.97968749999999993</v>
      </c>
      <c r="CA154">
        <v>0</v>
      </c>
      <c r="CB154">
        <v>0</v>
      </c>
      <c r="CC154">
        <v>0</v>
      </c>
      <c r="CD154">
        <v>0</v>
      </c>
      <c r="CE154">
        <v>0</v>
      </c>
    </row>
    <row r="155" spans="1:83" x14ac:dyDescent="0.25">
      <c r="A155" t="s">
        <v>128</v>
      </c>
      <c r="B155" t="s">
        <v>134</v>
      </c>
      <c r="C155" t="s">
        <v>72</v>
      </c>
      <c r="D155" s="12">
        <v>45583</v>
      </c>
      <c r="E155" t="s">
        <v>179</v>
      </c>
      <c r="F155" t="s">
        <v>74</v>
      </c>
      <c r="G155">
        <v>1</v>
      </c>
      <c r="H155">
        <v>0</v>
      </c>
      <c r="I155">
        <v>10</v>
      </c>
      <c r="J155">
        <v>1</v>
      </c>
      <c r="K155">
        <v>0</v>
      </c>
      <c r="L155">
        <v>45583</v>
      </c>
      <c r="M155" t="s">
        <v>170</v>
      </c>
      <c r="N155">
        <v>2.7450980392156862E-2</v>
      </c>
      <c r="O155">
        <v>0</v>
      </c>
      <c r="P155">
        <v>0</v>
      </c>
      <c r="Q155">
        <v>2.7450980392156862E-2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2.7450980392156862E-2</v>
      </c>
      <c r="AB155">
        <v>0.97254901960784312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I155">
        <v>0</v>
      </c>
      <c r="BJ155">
        <v>0</v>
      </c>
      <c r="BK155">
        <v>36.428571428571431</v>
      </c>
      <c r="BL155">
        <v>35.428571428571431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</row>
    <row r="156" spans="1:83" x14ac:dyDescent="0.25">
      <c r="A156" t="s">
        <v>128</v>
      </c>
      <c r="B156" t="s">
        <v>181</v>
      </c>
      <c r="C156" t="s">
        <v>72</v>
      </c>
      <c r="D156" s="12">
        <v>45583</v>
      </c>
      <c r="E156" t="s">
        <v>179</v>
      </c>
      <c r="F156" t="s">
        <v>75</v>
      </c>
      <c r="G156">
        <v>4.5836142079336275</v>
      </c>
      <c r="H156">
        <v>2.8499999999999996</v>
      </c>
      <c r="I156">
        <v>10</v>
      </c>
      <c r="K156">
        <v>2.8499999999999996</v>
      </c>
      <c r="L156">
        <v>45583</v>
      </c>
      <c r="M156" t="s">
        <v>171</v>
      </c>
      <c r="N156">
        <v>2.6229946524064167</v>
      </c>
      <c r="O156">
        <v>0.6217800780587136</v>
      </c>
      <c r="P156">
        <v>0.6217800780587136</v>
      </c>
      <c r="Q156">
        <v>0.57225467358626325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0.3782199219412864</v>
      </c>
      <c r="AC156">
        <v>0</v>
      </c>
      <c r="AD156">
        <v>4.9525404472450352E-2</v>
      </c>
      <c r="AE156">
        <v>0</v>
      </c>
      <c r="AF156">
        <v>0.57225467358626325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1.6082856869942554</v>
      </c>
      <c r="AM156">
        <v>1.6082856869942554</v>
      </c>
      <c r="AN156">
        <v>0.92034900084435689</v>
      </c>
      <c r="BE156">
        <v>0</v>
      </c>
      <c r="BF156">
        <v>0</v>
      </c>
      <c r="BG156">
        <v>0</v>
      </c>
      <c r="BI156">
        <v>1.0865443425076453</v>
      </c>
      <c r="BJ156">
        <v>1.0865443425076453</v>
      </c>
      <c r="BK156">
        <v>1.7474737143396299</v>
      </c>
      <c r="BL156">
        <v>0.66092937183198464</v>
      </c>
      <c r="BM156">
        <v>0</v>
      </c>
      <c r="BN156">
        <v>0</v>
      </c>
      <c r="BO156">
        <v>0</v>
      </c>
      <c r="BP156">
        <v>0</v>
      </c>
      <c r="BQ156">
        <v>0.41345565749235469</v>
      </c>
      <c r="BR156">
        <v>8.6544342507645311E-2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</row>
    <row r="157" spans="1:83" x14ac:dyDescent="0.25">
      <c r="A157" t="s">
        <v>128</v>
      </c>
      <c r="B157" t="s">
        <v>134</v>
      </c>
      <c r="C157" t="s">
        <v>72</v>
      </c>
      <c r="D157" s="12">
        <v>45583</v>
      </c>
      <c r="E157" t="s">
        <v>179</v>
      </c>
      <c r="F157" t="s">
        <v>75</v>
      </c>
      <c r="G157">
        <v>2.1042606516290729</v>
      </c>
      <c r="H157">
        <v>2.8499999999999996</v>
      </c>
      <c r="I157">
        <v>10</v>
      </c>
      <c r="J157">
        <v>1</v>
      </c>
      <c r="K157">
        <v>2.8499999999999996</v>
      </c>
      <c r="L157">
        <v>45583</v>
      </c>
      <c r="M157" t="s">
        <v>171</v>
      </c>
      <c r="N157">
        <v>1.7568627450980387</v>
      </c>
      <c r="O157">
        <v>1.3543949499761787</v>
      </c>
      <c r="P157">
        <v>1.3543949499761787</v>
      </c>
      <c r="Q157">
        <v>0.83490737886388444</v>
      </c>
      <c r="R157">
        <v>0</v>
      </c>
      <c r="S157">
        <v>0</v>
      </c>
      <c r="T157">
        <v>0.10439494997617871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0.25</v>
      </c>
      <c r="AA157">
        <v>0</v>
      </c>
      <c r="AB157">
        <v>0</v>
      </c>
      <c r="AC157">
        <v>0</v>
      </c>
      <c r="AD157">
        <v>0.16509262113611556</v>
      </c>
      <c r="AE157">
        <v>0</v>
      </c>
      <c r="AF157">
        <v>0.83490737886388444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0.73833707074704324</v>
      </c>
      <c r="AM157">
        <v>0.73833707074704324</v>
      </c>
      <c r="AN157">
        <v>0.61644306845545227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0.26166292925295676</v>
      </c>
      <c r="AZ157">
        <v>0</v>
      </c>
      <c r="BA157">
        <v>0.12189400229159097</v>
      </c>
      <c r="BB157">
        <v>0</v>
      </c>
      <c r="BC157">
        <v>0.61644306845545227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1.6222098214285716</v>
      </c>
      <c r="BJ157">
        <v>1.6222098214285716</v>
      </c>
      <c r="BK157">
        <v>1.1977376476906556</v>
      </c>
      <c r="CB157">
        <v>0</v>
      </c>
      <c r="CC157">
        <v>0</v>
      </c>
      <c r="CD157">
        <v>0</v>
      </c>
    </row>
    <row r="158" spans="1:83" x14ac:dyDescent="0.25">
      <c r="A158" t="s">
        <v>128</v>
      </c>
      <c r="B158" t="s">
        <v>181</v>
      </c>
      <c r="C158" t="s">
        <v>72</v>
      </c>
      <c r="D158" s="12">
        <v>45584</v>
      </c>
      <c r="E158" t="s">
        <v>179</v>
      </c>
      <c r="F158" t="s">
        <v>73</v>
      </c>
      <c r="G158">
        <v>3.7478639781271368</v>
      </c>
      <c r="H158">
        <v>3.8</v>
      </c>
      <c r="I158">
        <v>10</v>
      </c>
      <c r="K158">
        <v>3.8</v>
      </c>
      <c r="L158">
        <v>45584</v>
      </c>
      <c r="M158" t="s">
        <v>172</v>
      </c>
      <c r="N158">
        <v>3.7813725490196082</v>
      </c>
      <c r="O158">
        <v>1.0139108628747291</v>
      </c>
      <c r="P158">
        <v>1.0139108628747291</v>
      </c>
      <c r="Q158">
        <v>1.0089407115861275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8.9407115861275255E-3</v>
      </c>
      <c r="Y158">
        <v>0</v>
      </c>
      <c r="Z158">
        <v>4.9701512886015653E-3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0.98627999424398338</v>
      </c>
      <c r="AM158">
        <v>0.98627999424398338</v>
      </c>
      <c r="AN158">
        <v>0.9950980392156864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4.9019607843135971E-3</v>
      </c>
      <c r="AZ158">
        <v>0</v>
      </c>
      <c r="BA158">
        <v>0</v>
      </c>
      <c r="BB158">
        <v>0</v>
      </c>
      <c r="BC158">
        <v>0.98627999424398338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1.0049261083743841</v>
      </c>
      <c r="BJ158">
        <v>1.0049261083743841</v>
      </c>
      <c r="BK158">
        <v>0.99113851638311623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4.9261083743841194E-3</v>
      </c>
      <c r="BU158">
        <v>0</v>
      </c>
      <c r="BV158">
        <v>0</v>
      </c>
      <c r="BW158">
        <v>0</v>
      </c>
      <c r="BX158">
        <v>8.8614836168837696E-3</v>
      </c>
      <c r="BY158">
        <v>0</v>
      </c>
      <c r="BZ158">
        <v>0.99113851638311623</v>
      </c>
      <c r="CA158">
        <v>0</v>
      </c>
      <c r="CB158">
        <v>0</v>
      </c>
      <c r="CC158">
        <v>0</v>
      </c>
      <c r="CD158">
        <v>0</v>
      </c>
      <c r="CE158">
        <v>0</v>
      </c>
    </row>
    <row r="159" spans="1:83" x14ac:dyDescent="0.25">
      <c r="A159" t="s">
        <v>128</v>
      </c>
      <c r="B159" t="s">
        <v>134</v>
      </c>
      <c r="C159" t="s">
        <v>72</v>
      </c>
      <c r="D159" s="12">
        <v>45584</v>
      </c>
      <c r="E159" t="s">
        <v>179</v>
      </c>
      <c r="F159" t="s">
        <v>73</v>
      </c>
      <c r="G159">
        <v>3.1563909774436096</v>
      </c>
      <c r="H159">
        <v>2.8499999999999996</v>
      </c>
      <c r="I159">
        <v>10</v>
      </c>
      <c r="J159">
        <v>1</v>
      </c>
      <c r="K159">
        <v>2.8499999999999996</v>
      </c>
      <c r="L159">
        <v>45584</v>
      </c>
      <c r="M159" t="s">
        <v>172</v>
      </c>
      <c r="N159">
        <v>1.882352941176471</v>
      </c>
      <c r="O159">
        <v>0.90292996665078584</v>
      </c>
      <c r="P159">
        <v>0.90292996665078584</v>
      </c>
      <c r="Q159">
        <v>0.59636241347420338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9.7070033349214158E-2</v>
      </c>
      <c r="AC159">
        <v>0</v>
      </c>
      <c r="AD159">
        <v>0.30656755317658246</v>
      </c>
      <c r="AE159">
        <v>0</v>
      </c>
      <c r="AF159">
        <v>0.59636241347420338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1.1075056061205648</v>
      </c>
      <c r="AM159">
        <v>1.1075056061205648</v>
      </c>
      <c r="AN159">
        <v>0.66047471620227061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0.10750560612056481</v>
      </c>
      <c r="AX159">
        <v>0</v>
      </c>
      <c r="AY159">
        <v>0</v>
      </c>
      <c r="AZ159">
        <v>0</v>
      </c>
      <c r="BA159">
        <v>0.33952528379772939</v>
      </c>
      <c r="BB159">
        <v>0</v>
      </c>
      <c r="BC159">
        <v>0.66047471620227061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1.5140624999999994</v>
      </c>
      <c r="BJ159">
        <v>1.5140624999999994</v>
      </c>
      <c r="BK159">
        <v>1.6768327067669173</v>
      </c>
      <c r="CB159">
        <v>0</v>
      </c>
      <c r="CC159">
        <v>0</v>
      </c>
      <c r="CD159">
        <v>0</v>
      </c>
    </row>
    <row r="160" spans="1:83" x14ac:dyDescent="0.25">
      <c r="A160" t="s">
        <v>128</v>
      </c>
      <c r="B160" t="s">
        <v>134</v>
      </c>
      <c r="C160" t="s">
        <v>72</v>
      </c>
      <c r="D160" s="12">
        <v>45584</v>
      </c>
      <c r="E160" t="s">
        <v>179</v>
      </c>
      <c r="F160" t="s">
        <v>74</v>
      </c>
      <c r="G160">
        <v>1</v>
      </c>
      <c r="H160">
        <v>0</v>
      </c>
      <c r="I160">
        <v>10</v>
      </c>
      <c r="J160">
        <v>1</v>
      </c>
      <c r="K160">
        <v>0</v>
      </c>
      <c r="L160">
        <v>45584</v>
      </c>
      <c r="M160" t="s">
        <v>173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1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</row>
    <row r="161" spans="1:83" x14ac:dyDescent="0.25">
      <c r="A161" t="s">
        <v>128</v>
      </c>
      <c r="B161" t="s">
        <v>181</v>
      </c>
      <c r="C161" t="s">
        <v>72</v>
      </c>
      <c r="D161" s="12">
        <v>45584</v>
      </c>
      <c r="E161" t="s">
        <v>179</v>
      </c>
      <c r="F161" t="s">
        <v>74</v>
      </c>
      <c r="G161">
        <v>0.97058823529411775</v>
      </c>
      <c r="H161">
        <v>0.95</v>
      </c>
      <c r="I161">
        <v>10</v>
      </c>
      <c r="K161">
        <v>0.95</v>
      </c>
      <c r="L161">
        <v>45584</v>
      </c>
      <c r="M161" t="s">
        <v>173</v>
      </c>
      <c r="N161">
        <v>0.96969696969696972</v>
      </c>
      <c r="O161">
        <v>0.97878787878787865</v>
      </c>
      <c r="P161">
        <v>0.97878787878787865</v>
      </c>
      <c r="Q161">
        <v>0.99908172635445358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2.029384756657493E-2</v>
      </c>
      <c r="AB161">
        <v>9.182736455464191E-4</v>
      </c>
      <c r="AC161">
        <v>0</v>
      </c>
      <c r="AD161">
        <v>0</v>
      </c>
      <c r="AE161">
        <v>0</v>
      </c>
      <c r="AF161">
        <v>0.97878787878787865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1.0216718266253872</v>
      </c>
      <c r="AM161">
        <v>1.0216718266253872</v>
      </c>
      <c r="AN161">
        <v>1.0207336523125998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2.0733652312599826E-2</v>
      </c>
      <c r="AV161">
        <v>0</v>
      </c>
      <c r="AW161">
        <v>9.3817431278742092E-4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1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0.97968749999999993</v>
      </c>
      <c r="BJ161">
        <v>0.97968749999999993</v>
      </c>
      <c r="BK161">
        <v>1.0009191176470589</v>
      </c>
      <c r="BL161">
        <v>9.1911764705887578E-4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2.1212121212121349E-2</v>
      </c>
      <c r="BV161">
        <v>0</v>
      </c>
      <c r="BW161">
        <v>0</v>
      </c>
      <c r="BX161">
        <v>0</v>
      </c>
      <c r="BY161">
        <v>0</v>
      </c>
      <c r="BZ161">
        <v>0.97968749999999993</v>
      </c>
      <c r="CA161">
        <v>0</v>
      </c>
      <c r="CB161">
        <v>0</v>
      </c>
      <c r="CC161">
        <v>0</v>
      </c>
      <c r="CD161">
        <v>0</v>
      </c>
      <c r="CE161">
        <v>0</v>
      </c>
    </row>
    <row r="162" spans="1:83" x14ac:dyDescent="0.25">
      <c r="A162" t="s">
        <v>128</v>
      </c>
      <c r="B162" t="s">
        <v>134</v>
      </c>
      <c r="C162" t="s">
        <v>72</v>
      </c>
      <c r="D162" s="12">
        <v>45584</v>
      </c>
      <c r="E162" t="s">
        <v>179</v>
      </c>
      <c r="F162" t="s">
        <v>75</v>
      </c>
      <c r="G162">
        <v>2.1042606516290729</v>
      </c>
      <c r="H162">
        <v>2.8499999999999996</v>
      </c>
      <c r="I162">
        <v>10</v>
      </c>
      <c r="J162">
        <v>1</v>
      </c>
      <c r="K162">
        <v>2.8499999999999996</v>
      </c>
      <c r="L162">
        <v>45584</v>
      </c>
      <c r="M162" t="s">
        <v>174</v>
      </c>
      <c r="N162">
        <v>1.5821501014198782</v>
      </c>
      <c r="O162">
        <v>1.3543949499761787</v>
      </c>
      <c r="P162">
        <v>1.3543949499761787</v>
      </c>
      <c r="Q162">
        <v>0.75187933595346756</v>
      </c>
      <c r="R162">
        <v>0</v>
      </c>
      <c r="S162">
        <v>0</v>
      </c>
      <c r="T162">
        <v>0.10439494997617871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0.25</v>
      </c>
      <c r="AA162">
        <v>0</v>
      </c>
      <c r="AB162">
        <v>0</v>
      </c>
      <c r="AC162">
        <v>0</v>
      </c>
      <c r="AD162">
        <v>0.24812066404653244</v>
      </c>
      <c r="AE162">
        <v>0</v>
      </c>
      <c r="AF162">
        <v>0.75187933595346756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0.73833707074704324</v>
      </c>
      <c r="AM162">
        <v>0.73833707074704324</v>
      </c>
      <c r="AN162">
        <v>0.55514038646311525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0.26166292925295676</v>
      </c>
      <c r="AZ162">
        <v>0</v>
      </c>
      <c r="BA162">
        <v>0.18319668428392799</v>
      </c>
      <c r="BB162">
        <v>0</v>
      </c>
      <c r="BC162">
        <v>0.55514038646311525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1.8013461538461537</v>
      </c>
      <c r="BJ162">
        <v>1.8013461538461537</v>
      </c>
      <c r="BK162">
        <v>1.3300006426322217</v>
      </c>
      <c r="CB162">
        <v>0</v>
      </c>
      <c r="CC162">
        <v>0</v>
      </c>
      <c r="CD162">
        <v>0</v>
      </c>
    </row>
    <row r="163" spans="1:83" x14ac:dyDescent="0.25">
      <c r="A163" t="s">
        <v>128</v>
      </c>
      <c r="B163" t="s">
        <v>181</v>
      </c>
      <c r="C163" t="s">
        <v>72</v>
      </c>
      <c r="D163" s="12">
        <v>45584</v>
      </c>
      <c r="E163" t="s">
        <v>179</v>
      </c>
      <c r="F163" t="s">
        <v>75</v>
      </c>
      <c r="G163">
        <v>4.5836142079336275</v>
      </c>
      <c r="H163">
        <v>3.8</v>
      </c>
      <c r="I163">
        <v>10</v>
      </c>
      <c r="K163">
        <v>3.8</v>
      </c>
      <c r="L163">
        <v>45584</v>
      </c>
      <c r="M163" t="s">
        <v>174</v>
      </c>
      <c r="N163">
        <v>3.3502673796791438</v>
      </c>
      <c r="O163">
        <v>0.82904010407828488</v>
      </c>
      <c r="P163">
        <v>0.82904010407828488</v>
      </c>
      <c r="Q163">
        <v>0.73092263608928432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0.17095989592171512</v>
      </c>
      <c r="AC163">
        <v>0</v>
      </c>
      <c r="AD163">
        <v>9.8117467989000562E-2</v>
      </c>
      <c r="AE163">
        <v>0</v>
      </c>
      <c r="AF163">
        <v>0.73092263608928432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1.2062142652456915</v>
      </c>
      <c r="AM163">
        <v>1.2062142652456915</v>
      </c>
      <c r="AN163">
        <v>0.88164931044188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0.20621426524569153</v>
      </c>
      <c r="AX163">
        <v>0</v>
      </c>
      <c r="AY163">
        <v>0</v>
      </c>
      <c r="AZ163">
        <v>0</v>
      </c>
      <c r="BA163">
        <v>0.11835068955812</v>
      </c>
      <c r="BB163">
        <v>0</v>
      </c>
      <c r="BC163">
        <v>0.88164931044188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1.1342378292098965</v>
      </c>
      <c r="BJ163">
        <v>1.1342378292098965</v>
      </c>
      <c r="BK163">
        <v>1.3681338497742832</v>
      </c>
      <c r="BL163">
        <v>0.23389602056438674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0.13423782920989646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1</v>
      </c>
      <c r="CA163">
        <v>0</v>
      </c>
      <c r="CB163">
        <v>0</v>
      </c>
      <c r="CC163">
        <v>0</v>
      </c>
      <c r="CD163">
        <v>0</v>
      </c>
      <c r="CE163">
        <v>0</v>
      </c>
    </row>
    <row r="164" spans="1:83" x14ac:dyDescent="0.25">
      <c r="A164" t="s">
        <v>128</v>
      </c>
      <c r="B164" t="s">
        <v>134</v>
      </c>
      <c r="C164" t="s">
        <v>72</v>
      </c>
      <c r="D164" s="12">
        <v>45585</v>
      </c>
      <c r="E164" t="s">
        <v>179</v>
      </c>
      <c r="F164" t="s">
        <v>73</v>
      </c>
      <c r="G164">
        <v>3.1563909774436087</v>
      </c>
      <c r="H164">
        <v>3.8</v>
      </c>
      <c r="I164">
        <v>10</v>
      </c>
      <c r="J164">
        <v>1</v>
      </c>
      <c r="K164">
        <v>3.8</v>
      </c>
      <c r="L164">
        <v>45585</v>
      </c>
      <c r="M164" t="s">
        <v>175</v>
      </c>
      <c r="N164">
        <v>2.8121775025799796</v>
      </c>
      <c r="O164">
        <v>1.2039066222010482</v>
      </c>
      <c r="P164">
        <v>1.2039066222010482</v>
      </c>
      <c r="Q164">
        <v>0.89094713635811651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0.20390662220104816</v>
      </c>
      <c r="AA164">
        <v>0</v>
      </c>
      <c r="AB164">
        <v>0</v>
      </c>
      <c r="AC164">
        <v>0</v>
      </c>
      <c r="AD164">
        <v>0.10905286364188349</v>
      </c>
      <c r="AE164">
        <v>0</v>
      </c>
      <c r="AF164">
        <v>0.89094713635811651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0.83062920459042344</v>
      </c>
      <c r="AM164">
        <v>0.83062920459042344</v>
      </c>
      <c r="AN164">
        <v>0.74004671120525778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0.16937079540957656</v>
      </c>
      <c r="AZ164">
        <v>0</v>
      </c>
      <c r="BA164">
        <v>9.0582493385165663E-2</v>
      </c>
      <c r="BB164">
        <v>0</v>
      </c>
      <c r="BC164">
        <v>0.74004671120525778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1.3512660550458715</v>
      </c>
      <c r="BJ164">
        <v>1.3512660550458715</v>
      </c>
      <c r="BK164">
        <v>1.1224010484927915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0.12240104849279154</v>
      </c>
      <c r="BS164">
        <v>0</v>
      </c>
      <c r="BT164">
        <v>0.22886500655307995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1</v>
      </c>
      <c r="CA164">
        <v>0</v>
      </c>
      <c r="CB164">
        <v>0</v>
      </c>
      <c r="CC164">
        <v>0</v>
      </c>
      <c r="CD164">
        <v>0</v>
      </c>
      <c r="CE164">
        <v>0</v>
      </c>
    </row>
    <row r="165" spans="1:83" x14ac:dyDescent="0.25">
      <c r="A165" t="s">
        <v>128</v>
      </c>
      <c r="B165" t="s">
        <v>181</v>
      </c>
      <c r="C165" t="s">
        <v>72</v>
      </c>
      <c r="D165" s="12">
        <v>45585</v>
      </c>
      <c r="E165" t="s">
        <v>179</v>
      </c>
      <c r="F165" t="s">
        <v>73</v>
      </c>
      <c r="G165">
        <v>3.7478639781271368</v>
      </c>
      <c r="H165">
        <v>4.75</v>
      </c>
      <c r="I165">
        <v>10</v>
      </c>
      <c r="K165">
        <v>4.75</v>
      </c>
      <c r="L165">
        <v>45585</v>
      </c>
      <c r="M165" t="s">
        <v>175</v>
      </c>
      <c r="N165">
        <v>3.7813725490196082</v>
      </c>
      <c r="O165">
        <v>1.2673885785934114</v>
      </c>
      <c r="P165">
        <v>1.2673885785934114</v>
      </c>
      <c r="Q165">
        <v>1.0089407115861275</v>
      </c>
      <c r="R165">
        <v>0</v>
      </c>
      <c r="S165">
        <v>0</v>
      </c>
      <c r="T165">
        <v>1.7388578593411363E-2</v>
      </c>
      <c r="U165">
        <v>0</v>
      </c>
      <c r="V165">
        <v>0</v>
      </c>
      <c r="W165">
        <v>0</v>
      </c>
      <c r="X165">
        <v>8.9407115861275255E-3</v>
      </c>
      <c r="Y165">
        <v>0</v>
      </c>
      <c r="Z165">
        <v>0.24105928841387247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0.78902399539518664</v>
      </c>
      <c r="AM165">
        <v>0.78902399539518664</v>
      </c>
      <c r="AN165">
        <v>0.79607843137254908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0.20392156862745092</v>
      </c>
      <c r="AZ165">
        <v>0</v>
      </c>
      <c r="BA165">
        <v>0</v>
      </c>
      <c r="BB165">
        <v>0</v>
      </c>
      <c r="BC165">
        <v>0.78902399539518664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1.2561576354679802</v>
      </c>
      <c r="BJ165">
        <v>1.2561576354679802</v>
      </c>
      <c r="BK165">
        <v>0.99113851638311623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0.2561576354679802</v>
      </c>
      <c r="BU165">
        <v>0</v>
      </c>
      <c r="BV165">
        <v>0</v>
      </c>
      <c r="BW165">
        <v>0</v>
      </c>
      <c r="BX165">
        <v>8.8614836168837696E-3</v>
      </c>
      <c r="BY165">
        <v>0</v>
      </c>
      <c r="BZ165">
        <v>0.99113851638311623</v>
      </c>
      <c r="CA165">
        <v>0</v>
      </c>
      <c r="CB165">
        <v>0</v>
      </c>
      <c r="CC165">
        <v>0</v>
      </c>
      <c r="CD165">
        <v>0</v>
      </c>
      <c r="CE165">
        <v>0</v>
      </c>
    </row>
    <row r="166" spans="1:83" x14ac:dyDescent="0.25">
      <c r="A166" t="s">
        <v>128</v>
      </c>
      <c r="B166" t="s">
        <v>134</v>
      </c>
      <c r="C166" t="s">
        <v>72</v>
      </c>
      <c r="D166" s="12">
        <v>45585</v>
      </c>
      <c r="E166" t="s">
        <v>179</v>
      </c>
      <c r="F166" t="s">
        <v>74</v>
      </c>
      <c r="G166">
        <v>1</v>
      </c>
      <c r="H166">
        <v>0</v>
      </c>
      <c r="I166">
        <v>10</v>
      </c>
      <c r="J166">
        <v>1</v>
      </c>
      <c r="K166">
        <v>0</v>
      </c>
      <c r="L166">
        <v>45585</v>
      </c>
      <c r="M166" t="s">
        <v>176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1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</row>
    <row r="167" spans="1:83" x14ac:dyDescent="0.25">
      <c r="A167" t="s">
        <v>128</v>
      </c>
      <c r="B167" t="s">
        <v>181</v>
      </c>
      <c r="C167" t="s">
        <v>72</v>
      </c>
      <c r="D167" s="12">
        <v>45585</v>
      </c>
      <c r="E167" t="s">
        <v>179</v>
      </c>
      <c r="F167" t="s">
        <v>74</v>
      </c>
      <c r="G167">
        <v>0.97058823529411775</v>
      </c>
      <c r="H167">
        <v>0.95</v>
      </c>
      <c r="I167">
        <v>10</v>
      </c>
      <c r="K167">
        <v>0.95</v>
      </c>
      <c r="L167">
        <v>45585</v>
      </c>
      <c r="M167" t="s">
        <v>176</v>
      </c>
      <c r="N167">
        <v>0.99821746880570394</v>
      </c>
      <c r="O167">
        <v>0.97878787878787865</v>
      </c>
      <c r="P167">
        <v>0.97878787878787865</v>
      </c>
      <c r="Q167">
        <v>1.0284664830119372</v>
      </c>
      <c r="R167">
        <v>2.8466483011937216E-2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2.1212121212121349E-2</v>
      </c>
      <c r="AB167">
        <v>0</v>
      </c>
      <c r="AC167">
        <v>0</v>
      </c>
      <c r="AD167">
        <v>0</v>
      </c>
      <c r="AE167">
        <v>0</v>
      </c>
      <c r="AF167">
        <v>0.97878787878787865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1.0216718266253872</v>
      </c>
      <c r="AM167">
        <v>1.0216718266253872</v>
      </c>
      <c r="AN167">
        <v>1.0507552303217937</v>
      </c>
      <c r="AO167">
        <v>2.9083403696406496E-2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2.1671826625387247E-2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1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0.95169642857142867</v>
      </c>
      <c r="BJ167">
        <v>0.95169642857142867</v>
      </c>
      <c r="BK167">
        <v>0.97232142857142878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2.7678571428571219E-2</v>
      </c>
      <c r="BW167">
        <v>0</v>
      </c>
      <c r="BX167">
        <v>0</v>
      </c>
      <c r="BY167">
        <v>0</v>
      </c>
      <c r="BZ167">
        <v>0.95169642857142867</v>
      </c>
      <c r="CA167">
        <v>0</v>
      </c>
      <c r="CB167">
        <v>0</v>
      </c>
      <c r="CC167">
        <v>0</v>
      </c>
      <c r="CD167">
        <v>0</v>
      </c>
      <c r="CE167">
        <v>0</v>
      </c>
    </row>
    <row r="168" spans="1:83" x14ac:dyDescent="0.25">
      <c r="A168" t="s">
        <v>128</v>
      </c>
      <c r="B168" t="s">
        <v>134</v>
      </c>
      <c r="C168" t="s">
        <v>72</v>
      </c>
      <c r="D168" s="12">
        <v>45585</v>
      </c>
      <c r="E168" t="s">
        <v>179</v>
      </c>
      <c r="F168" t="s">
        <v>75</v>
      </c>
      <c r="G168">
        <v>2.1042606516290729</v>
      </c>
      <c r="H168">
        <v>2.8499999999999996</v>
      </c>
      <c r="I168">
        <v>10</v>
      </c>
      <c r="J168">
        <v>1</v>
      </c>
      <c r="K168">
        <v>2.8499999999999996</v>
      </c>
      <c r="L168">
        <v>45585</v>
      </c>
      <c r="M168" t="s">
        <v>177</v>
      </c>
      <c r="N168">
        <v>1.5930393936158855</v>
      </c>
      <c r="O168">
        <v>1.3543949499761787</v>
      </c>
      <c r="P168">
        <v>1.3543949499761787</v>
      </c>
      <c r="Q168">
        <v>0.75705421397419992</v>
      </c>
      <c r="R168">
        <v>0</v>
      </c>
      <c r="S168">
        <v>0</v>
      </c>
      <c r="T168">
        <v>0.10439494997617871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0.25</v>
      </c>
      <c r="AA168">
        <v>0</v>
      </c>
      <c r="AB168">
        <v>0</v>
      </c>
      <c r="AC168">
        <v>0</v>
      </c>
      <c r="AD168">
        <v>0.24294578602580008</v>
      </c>
      <c r="AE168">
        <v>0</v>
      </c>
      <c r="AF168">
        <v>0.75705421397419992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0.73833707074704324</v>
      </c>
      <c r="AM168">
        <v>0.73833707074704324</v>
      </c>
      <c r="AN168">
        <v>0.55896119074241601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0.26166292925295676</v>
      </c>
      <c r="AZ168">
        <v>0</v>
      </c>
      <c r="BA168">
        <v>0.17937588000462723</v>
      </c>
      <c r="BB168">
        <v>0</v>
      </c>
      <c r="BC168">
        <v>0.55896119074241601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1.7890329714515478</v>
      </c>
      <c r="BJ168">
        <v>1.7890329714515478</v>
      </c>
      <c r="BK168">
        <v>1.3209093636114144</v>
      </c>
      <c r="CB168">
        <v>0</v>
      </c>
      <c r="CC168">
        <v>0</v>
      </c>
      <c r="CD168">
        <v>0</v>
      </c>
    </row>
    <row r="169" spans="1:83" x14ac:dyDescent="0.25">
      <c r="A169" t="s">
        <v>128</v>
      </c>
      <c r="B169" t="s">
        <v>181</v>
      </c>
      <c r="C169" t="s">
        <v>72</v>
      </c>
      <c r="D169" s="12">
        <v>45585</v>
      </c>
      <c r="E169" t="s">
        <v>179</v>
      </c>
      <c r="F169" t="s">
        <v>75</v>
      </c>
      <c r="G169">
        <v>4.5836142079336275</v>
      </c>
      <c r="H169">
        <v>3.8</v>
      </c>
      <c r="I169">
        <v>10</v>
      </c>
      <c r="K169">
        <v>3.8</v>
      </c>
      <c r="L169">
        <v>45585</v>
      </c>
      <c r="M169" t="s">
        <v>177</v>
      </c>
      <c r="N169">
        <v>3.5641711229946522</v>
      </c>
      <c r="O169">
        <v>0.82904010407828488</v>
      </c>
      <c r="P169">
        <v>0.82904010407828488</v>
      </c>
      <c r="Q169">
        <v>0.77758968388429051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0.17095989592171512</v>
      </c>
      <c r="AC169">
        <v>0</v>
      </c>
      <c r="AD169">
        <v>5.1450420193994373E-2</v>
      </c>
      <c r="AE169">
        <v>0</v>
      </c>
      <c r="AF169">
        <v>0.77758968388429051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1.2062142652456915</v>
      </c>
      <c r="AM169">
        <v>1.2062142652456915</v>
      </c>
      <c r="AN169">
        <v>0.93793976920911903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0.20621426524569153</v>
      </c>
      <c r="AX169">
        <v>0</v>
      </c>
      <c r="AY169">
        <v>0</v>
      </c>
      <c r="AZ169">
        <v>0</v>
      </c>
      <c r="BA169">
        <v>6.2060230790880966E-2</v>
      </c>
      <c r="BB169">
        <v>0</v>
      </c>
      <c r="BC169">
        <v>0.93793976920911903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1.0661665416354089</v>
      </c>
      <c r="BJ169">
        <v>1.0661665416354089</v>
      </c>
      <c r="BK169">
        <v>1.2860252916482946</v>
      </c>
      <c r="BL169">
        <v>0.21985875001288568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6.6166541635408915E-2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1</v>
      </c>
      <c r="CA169">
        <v>0</v>
      </c>
      <c r="CB169">
        <v>0</v>
      </c>
      <c r="CC169">
        <v>0</v>
      </c>
      <c r="CD169">
        <v>0</v>
      </c>
      <c r="CE169">
        <v>0</v>
      </c>
    </row>
    <row r="170" spans="1:83" x14ac:dyDescent="0.25">
      <c r="A170" t="s">
        <v>128</v>
      </c>
      <c r="B170" t="s">
        <v>134</v>
      </c>
      <c r="C170" t="s">
        <v>72</v>
      </c>
      <c r="D170" s="12">
        <v>45572</v>
      </c>
      <c r="E170" t="s">
        <v>178</v>
      </c>
      <c r="F170" t="s">
        <v>73</v>
      </c>
      <c r="G170">
        <v>5.7593984962406006</v>
      </c>
      <c r="H170">
        <v>4.75</v>
      </c>
      <c r="I170">
        <v>10</v>
      </c>
      <c r="J170">
        <v>1</v>
      </c>
      <c r="K170">
        <v>4.75</v>
      </c>
      <c r="L170">
        <v>45572</v>
      </c>
      <c r="M170" t="s">
        <v>136</v>
      </c>
      <c r="N170">
        <v>3.6806722689075615</v>
      </c>
      <c r="O170">
        <v>0.82473890339425604</v>
      </c>
      <c r="P170">
        <v>0.82473890339425604</v>
      </c>
      <c r="Q170">
        <v>0.63907233911841477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0.17526109660574396</v>
      </c>
      <c r="AC170">
        <v>0</v>
      </c>
      <c r="AD170">
        <v>0.18566656427584127</v>
      </c>
      <c r="AE170">
        <v>0</v>
      </c>
      <c r="AF170">
        <v>0.63907233911841477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1.2125049465769686</v>
      </c>
      <c r="AM170">
        <v>1.2125049465769686</v>
      </c>
      <c r="AN170">
        <v>0.77487837240159185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0.21250494657696861</v>
      </c>
      <c r="AX170">
        <v>0</v>
      </c>
      <c r="AY170">
        <v>0</v>
      </c>
      <c r="AZ170">
        <v>0</v>
      </c>
      <c r="BA170">
        <v>0.22512162759840815</v>
      </c>
      <c r="BB170">
        <v>0</v>
      </c>
      <c r="BC170">
        <v>0.77487837240159185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1.2905251141552516</v>
      </c>
      <c r="BJ170">
        <v>1.2905251141552516</v>
      </c>
      <c r="BK170">
        <v>1.5647680845950498</v>
      </c>
      <c r="BL170">
        <v>0.27424297043979817</v>
      </c>
      <c r="BM170">
        <v>0</v>
      </c>
      <c r="BN170">
        <v>0</v>
      </c>
      <c r="BO170">
        <v>0</v>
      </c>
      <c r="BP170">
        <v>0</v>
      </c>
      <c r="BQ170">
        <v>0.20947488584474838</v>
      </c>
      <c r="BR170">
        <v>0.29052511415525162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</row>
    <row r="171" spans="1:83" x14ac:dyDescent="0.25">
      <c r="A171" t="s">
        <v>128</v>
      </c>
      <c r="B171" t="s">
        <v>181</v>
      </c>
      <c r="C171" t="s">
        <v>72</v>
      </c>
      <c r="D171" s="12">
        <v>45572</v>
      </c>
      <c r="E171" t="s">
        <v>178</v>
      </c>
      <c r="F171" t="s">
        <v>73</v>
      </c>
      <c r="G171">
        <v>6.8471096572600336</v>
      </c>
      <c r="H171">
        <v>3.8</v>
      </c>
      <c r="I171">
        <v>10</v>
      </c>
      <c r="K171">
        <v>3.8</v>
      </c>
      <c r="L171">
        <v>45572</v>
      </c>
      <c r="M171" t="s">
        <v>136</v>
      </c>
      <c r="N171">
        <v>3.75</v>
      </c>
      <c r="O171">
        <v>0.55497869761306307</v>
      </c>
      <c r="P171">
        <v>0.55497869761306307</v>
      </c>
      <c r="Q171">
        <v>0.54767634632868067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0.44502130238693693</v>
      </c>
      <c r="AC171">
        <v>0</v>
      </c>
      <c r="AD171">
        <v>7.3023512843823912E-3</v>
      </c>
      <c r="AE171">
        <v>0</v>
      </c>
      <c r="AF171">
        <v>0.54767634632868067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1.801870962436851</v>
      </c>
      <c r="AM171">
        <v>1.801870962436851</v>
      </c>
      <c r="AN171">
        <v>0.98684210526315796</v>
      </c>
      <c r="BE171">
        <v>0</v>
      </c>
      <c r="BF171">
        <v>0</v>
      </c>
      <c r="BG171">
        <v>0</v>
      </c>
      <c r="BI171">
        <v>1.0133333333333332</v>
      </c>
      <c r="BJ171">
        <v>1.0133333333333332</v>
      </c>
      <c r="BK171">
        <v>1.8258959086026756</v>
      </c>
      <c r="BL171">
        <v>0.81256257526934239</v>
      </c>
      <c r="BM171">
        <v>0</v>
      </c>
      <c r="BN171">
        <v>0</v>
      </c>
      <c r="BO171">
        <v>0</v>
      </c>
      <c r="BP171">
        <v>0</v>
      </c>
      <c r="BQ171">
        <v>0.4866666666666668</v>
      </c>
      <c r="BR171">
        <v>1.3333333333333197E-2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</row>
    <row r="172" spans="1:83" x14ac:dyDescent="0.25">
      <c r="A172" t="s">
        <v>128</v>
      </c>
      <c r="B172" t="s">
        <v>181</v>
      </c>
      <c r="C172" t="s">
        <v>72</v>
      </c>
      <c r="D172" s="12">
        <v>45572</v>
      </c>
      <c r="E172" t="s">
        <v>178</v>
      </c>
      <c r="F172" t="s">
        <v>74</v>
      </c>
      <c r="G172">
        <v>0.84615384615384603</v>
      </c>
      <c r="H172">
        <v>1.9</v>
      </c>
      <c r="I172">
        <v>10</v>
      </c>
      <c r="K172">
        <v>1.9</v>
      </c>
      <c r="L172">
        <v>45572</v>
      </c>
      <c r="M172" t="s">
        <v>137</v>
      </c>
      <c r="N172">
        <v>1.9962624345926052</v>
      </c>
      <c r="O172">
        <v>2.2454545454545456</v>
      </c>
      <c r="P172">
        <v>2.2454545454545456</v>
      </c>
      <c r="Q172">
        <v>2.3592192408821702</v>
      </c>
      <c r="R172">
        <v>0.11376469542762457</v>
      </c>
      <c r="S172">
        <v>0</v>
      </c>
      <c r="T172">
        <v>0</v>
      </c>
      <c r="U172">
        <v>0</v>
      </c>
      <c r="V172">
        <v>0.99545454545454559</v>
      </c>
      <c r="W172">
        <v>0</v>
      </c>
      <c r="X172">
        <v>0.25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1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0.44534412955465585</v>
      </c>
      <c r="AM172">
        <v>0.44534412955465585</v>
      </c>
      <c r="AN172">
        <v>1.0506644392592659</v>
      </c>
      <c r="AO172">
        <v>5.0664439259265892E-2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0.44534412955465585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0.95177866751159379</v>
      </c>
      <c r="BJ172">
        <v>0.95177866751159379</v>
      </c>
      <c r="BK172">
        <v>0.4238690422116409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4.822133248840621E-2</v>
      </c>
      <c r="BW172">
        <v>0</v>
      </c>
      <c r="BX172">
        <v>0.52790962529995289</v>
      </c>
      <c r="BY172">
        <v>0</v>
      </c>
      <c r="BZ172">
        <v>0.4238690422116409</v>
      </c>
      <c r="CA172">
        <v>0</v>
      </c>
      <c r="CB172">
        <v>0</v>
      </c>
      <c r="CC172">
        <v>0</v>
      </c>
      <c r="CD172">
        <v>0</v>
      </c>
      <c r="CE172">
        <v>0</v>
      </c>
    </row>
    <row r="173" spans="1:83" x14ac:dyDescent="0.25">
      <c r="A173" t="s">
        <v>128</v>
      </c>
      <c r="B173" t="s">
        <v>134</v>
      </c>
      <c r="C173" t="s">
        <v>72</v>
      </c>
      <c r="D173" s="12">
        <v>45572</v>
      </c>
      <c r="E173" t="s">
        <v>178</v>
      </c>
      <c r="F173" t="s">
        <v>74</v>
      </c>
      <c r="G173">
        <v>1</v>
      </c>
      <c r="H173">
        <v>0</v>
      </c>
      <c r="I173">
        <v>10</v>
      </c>
      <c r="J173">
        <v>1</v>
      </c>
      <c r="K173">
        <v>0</v>
      </c>
      <c r="L173">
        <v>45572</v>
      </c>
      <c r="M173" t="s">
        <v>137</v>
      </c>
      <c r="N173">
        <v>1.2607763753274592</v>
      </c>
      <c r="O173">
        <v>0</v>
      </c>
      <c r="P173">
        <v>0</v>
      </c>
      <c r="Q173">
        <v>1.2607763753274592</v>
      </c>
      <c r="R173">
        <v>0.26077637532745923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1</v>
      </c>
      <c r="AK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1</v>
      </c>
      <c r="BH173">
        <v>1</v>
      </c>
      <c r="BI173">
        <v>0</v>
      </c>
      <c r="BJ173">
        <v>0</v>
      </c>
      <c r="BK173">
        <v>0.79316207026822794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0.20683792973177206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0.79316207026822794</v>
      </c>
      <c r="CE173">
        <v>0</v>
      </c>
    </row>
    <row r="174" spans="1:83" x14ac:dyDescent="0.25">
      <c r="A174" t="s">
        <v>128</v>
      </c>
      <c r="B174" t="s">
        <v>181</v>
      </c>
      <c r="C174" t="s">
        <v>72</v>
      </c>
      <c r="D174" s="12">
        <v>45572</v>
      </c>
      <c r="E174" t="s">
        <v>178</v>
      </c>
      <c r="F174" t="s">
        <v>75</v>
      </c>
      <c r="G174">
        <v>2.5351191458269504</v>
      </c>
      <c r="H174">
        <v>3.8</v>
      </c>
      <c r="I174">
        <v>10</v>
      </c>
      <c r="K174">
        <v>3.8</v>
      </c>
      <c r="L174">
        <v>45572</v>
      </c>
      <c r="M174" t="s">
        <v>138</v>
      </c>
      <c r="N174">
        <v>3.9012420217353809</v>
      </c>
      <c r="O174">
        <v>1.498943355879413</v>
      </c>
      <c r="P174">
        <v>1.498943355879413</v>
      </c>
      <c r="Q174">
        <v>1.538879160041531</v>
      </c>
      <c r="R174">
        <v>3.993580416211806E-2</v>
      </c>
      <c r="S174">
        <v>0</v>
      </c>
      <c r="T174">
        <v>0</v>
      </c>
      <c r="U174">
        <v>0</v>
      </c>
      <c r="V174">
        <v>0.24894335587941296</v>
      </c>
      <c r="W174">
        <v>0</v>
      </c>
      <c r="X174">
        <v>0.25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1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0.66713661732288176</v>
      </c>
      <c r="AM174">
        <v>0.66713661732288176</v>
      </c>
      <c r="AN174">
        <v>1.0266426372987845</v>
      </c>
      <c r="AO174">
        <v>2.6642637298784466E-2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0.66713661732288176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0.97404877186000738</v>
      </c>
      <c r="BJ174">
        <v>0.97404877186000738</v>
      </c>
      <c r="BK174">
        <v>0.64982360276619267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2.5951228139992621E-2</v>
      </c>
      <c r="BW174">
        <v>0</v>
      </c>
      <c r="BX174">
        <v>0.32422516909381471</v>
      </c>
      <c r="BY174">
        <v>0</v>
      </c>
      <c r="BZ174">
        <v>0.64982360276619267</v>
      </c>
      <c r="CA174">
        <v>0</v>
      </c>
      <c r="CB174">
        <v>0</v>
      </c>
      <c r="CC174">
        <v>0</v>
      </c>
      <c r="CD174">
        <v>0</v>
      </c>
      <c r="CE174">
        <v>0</v>
      </c>
    </row>
    <row r="175" spans="1:83" x14ac:dyDescent="0.25">
      <c r="A175" t="s">
        <v>128</v>
      </c>
      <c r="B175" t="s">
        <v>134</v>
      </c>
      <c r="C175" t="s">
        <v>72</v>
      </c>
      <c r="D175" s="12">
        <v>45572</v>
      </c>
      <c r="E175" t="s">
        <v>178</v>
      </c>
      <c r="F175" t="s">
        <v>75</v>
      </c>
      <c r="G175">
        <v>2.8796992481203003</v>
      </c>
      <c r="H175">
        <v>3.8</v>
      </c>
      <c r="I175">
        <v>10</v>
      </c>
      <c r="J175">
        <v>1</v>
      </c>
      <c r="K175">
        <v>3.8</v>
      </c>
      <c r="L175">
        <v>45572</v>
      </c>
      <c r="M175" t="s">
        <v>138</v>
      </c>
      <c r="N175">
        <v>3.4077079107505077</v>
      </c>
      <c r="O175">
        <v>1.3195822454308095</v>
      </c>
      <c r="P175">
        <v>1.3195822454308095</v>
      </c>
      <c r="Q175">
        <v>1.183355488589602</v>
      </c>
      <c r="R175">
        <v>0</v>
      </c>
      <c r="S175">
        <v>0</v>
      </c>
      <c r="T175">
        <v>6.9582245430809486E-2</v>
      </c>
      <c r="U175">
        <v>0</v>
      </c>
      <c r="V175">
        <v>0</v>
      </c>
      <c r="W175">
        <v>0</v>
      </c>
      <c r="X175">
        <v>0.18335548858960204</v>
      </c>
      <c r="Y175">
        <v>0</v>
      </c>
      <c r="Z175">
        <v>6.6644511410397955E-2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1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0.75781559161060541</v>
      </c>
      <c r="AM175">
        <v>0.75781559161060541</v>
      </c>
      <c r="AN175">
        <v>0.89676523967118627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0.10323476032881373</v>
      </c>
      <c r="AZ175">
        <v>0</v>
      </c>
      <c r="BA175">
        <v>0</v>
      </c>
      <c r="BB175">
        <v>0</v>
      </c>
      <c r="BC175">
        <v>0.75781559161060541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1.1151190476190473</v>
      </c>
      <c r="BJ175">
        <v>1.1151190476190473</v>
      </c>
      <c r="BK175">
        <v>0.84505460078768324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0.11511904761904734</v>
      </c>
      <c r="BU175">
        <v>0</v>
      </c>
      <c r="BV175">
        <v>0</v>
      </c>
      <c r="BW175">
        <v>0</v>
      </c>
      <c r="BX175">
        <v>0.15494539921231676</v>
      </c>
      <c r="BY175">
        <v>0</v>
      </c>
      <c r="BZ175">
        <v>0.84505460078768324</v>
      </c>
      <c r="CA175">
        <v>0</v>
      </c>
      <c r="CB175">
        <v>0</v>
      </c>
      <c r="CC175">
        <v>0</v>
      </c>
      <c r="CD175">
        <v>0</v>
      </c>
      <c r="CE175">
        <v>0</v>
      </c>
    </row>
    <row r="176" spans="1:83" x14ac:dyDescent="0.25">
      <c r="A176" t="s">
        <v>128</v>
      </c>
      <c r="B176" t="s">
        <v>134</v>
      </c>
      <c r="C176" t="s">
        <v>72</v>
      </c>
      <c r="D176" s="12">
        <v>45573</v>
      </c>
      <c r="E176" t="s">
        <v>178</v>
      </c>
      <c r="F176" t="s">
        <v>73</v>
      </c>
      <c r="G176">
        <v>5.7593984962406006</v>
      </c>
      <c r="H176">
        <v>3.8</v>
      </c>
      <c r="I176">
        <v>10</v>
      </c>
      <c r="J176">
        <v>1</v>
      </c>
      <c r="K176">
        <v>3.8</v>
      </c>
      <c r="L176">
        <v>45573</v>
      </c>
      <c r="M176" t="s">
        <v>139</v>
      </c>
      <c r="N176">
        <v>3.5676377851649996</v>
      </c>
      <c r="O176">
        <v>0.65979112271540474</v>
      </c>
      <c r="P176">
        <v>0.65979112271540474</v>
      </c>
      <c r="Q176">
        <v>0.61944624729366193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0.34020887728459526</v>
      </c>
      <c r="AC176">
        <v>0</v>
      </c>
      <c r="AD176">
        <v>4.034487542174281E-2</v>
      </c>
      <c r="AE176">
        <v>0</v>
      </c>
      <c r="AF176">
        <v>0.61944624729366193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1.5156311832212108</v>
      </c>
      <c r="AM176">
        <v>1.5156311832212108</v>
      </c>
      <c r="AN176">
        <v>0.93885204872763151</v>
      </c>
      <c r="BE176">
        <v>0</v>
      </c>
      <c r="BF176">
        <v>0</v>
      </c>
      <c r="BG176">
        <v>0</v>
      </c>
      <c r="BI176">
        <v>1.0651305510332949</v>
      </c>
      <c r="BJ176">
        <v>1.0651305510332949</v>
      </c>
      <c r="BK176">
        <v>1.6143450773476529</v>
      </c>
      <c r="BL176">
        <v>0.54921452631435796</v>
      </c>
      <c r="BM176">
        <v>0</v>
      </c>
      <c r="BN176">
        <v>0</v>
      </c>
      <c r="BO176">
        <v>0</v>
      </c>
      <c r="BP176">
        <v>0</v>
      </c>
      <c r="BQ176">
        <v>0.4348694489667051</v>
      </c>
      <c r="BR176">
        <v>6.5130551033294903E-2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</row>
    <row r="177" spans="1:83" x14ac:dyDescent="0.25">
      <c r="A177" t="s">
        <v>128</v>
      </c>
      <c r="B177" t="s">
        <v>181</v>
      </c>
      <c r="C177" t="s">
        <v>72</v>
      </c>
      <c r="D177" s="12">
        <v>45573</v>
      </c>
      <c r="E177" t="s">
        <v>178</v>
      </c>
      <c r="F177" t="s">
        <v>73</v>
      </c>
      <c r="G177">
        <v>6.8471096572600336</v>
      </c>
      <c r="H177">
        <v>3.8</v>
      </c>
      <c r="I177">
        <v>10</v>
      </c>
      <c r="K177">
        <v>3.8</v>
      </c>
      <c r="L177">
        <v>45573</v>
      </c>
      <c r="M177" t="s">
        <v>139</v>
      </c>
      <c r="N177">
        <v>2.8752450980392155</v>
      </c>
      <c r="O177">
        <v>0.55497869761306307</v>
      </c>
      <c r="P177">
        <v>0.55497869761306307</v>
      </c>
      <c r="Q177">
        <v>0.41992099469161781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0.44502130238693693</v>
      </c>
      <c r="AC177">
        <v>0</v>
      </c>
      <c r="AD177">
        <v>0.13505770292144526</v>
      </c>
      <c r="AE177">
        <v>0</v>
      </c>
      <c r="AF177">
        <v>0.41992099469161781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1.801870962436851</v>
      </c>
      <c r="AM177">
        <v>1.801870962436851</v>
      </c>
      <c r="AN177">
        <v>0.75664344685242513</v>
      </c>
      <c r="BE177">
        <v>0</v>
      </c>
      <c r="BF177">
        <v>0</v>
      </c>
      <c r="BG177">
        <v>0</v>
      </c>
      <c r="BI177">
        <v>1.3216264598073482</v>
      </c>
      <c r="BJ177">
        <v>1.3216264598073482</v>
      </c>
      <c r="BK177">
        <v>2.3814003411150746</v>
      </c>
      <c r="BL177">
        <v>1.0597738813077264</v>
      </c>
      <c r="BM177">
        <v>0</v>
      </c>
      <c r="BN177">
        <v>0</v>
      </c>
      <c r="BO177">
        <v>0</v>
      </c>
      <c r="BP177">
        <v>0</v>
      </c>
      <c r="BQ177">
        <v>0.17837354019265184</v>
      </c>
      <c r="BR177">
        <v>0.32162645980734816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</row>
    <row r="178" spans="1:83" x14ac:dyDescent="0.25">
      <c r="A178" t="s">
        <v>128</v>
      </c>
      <c r="B178" t="s">
        <v>134</v>
      </c>
      <c r="C178" t="s">
        <v>72</v>
      </c>
      <c r="D178" s="12">
        <v>45573</v>
      </c>
      <c r="E178" t="s">
        <v>178</v>
      </c>
      <c r="F178" t="s">
        <v>74</v>
      </c>
      <c r="G178">
        <v>1</v>
      </c>
      <c r="H178">
        <v>0</v>
      </c>
      <c r="I178">
        <v>10</v>
      </c>
      <c r="J178">
        <v>1</v>
      </c>
      <c r="K178">
        <v>0</v>
      </c>
      <c r="L178">
        <v>45573</v>
      </c>
      <c r="M178" t="s">
        <v>140</v>
      </c>
      <c r="N178">
        <v>1.3112611297620786</v>
      </c>
      <c r="O178">
        <v>0</v>
      </c>
      <c r="P178">
        <v>0</v>
      </c>
      <c r="Q178">
        <v>1.3112611297620786</v>
      </c>
      <c r="R178">
        <v>0.31126112976207865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1</v>
      </c>
      <c r="AK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1</v>
      </c>
      <c r="BH178">
        <v>1</v>
      </c>
      <c r="BI178">
        <v>0</v>
      </c>
      <c r="BJ178">
        <v>0</v>
      </c>
      <c r="BK178">
        <v>0.76262460413315591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0.23737539586684409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0.76262460413315591</v>
      </c>
      <c r="CE178">
        <v>0</v>
      </c>
    </row>
    <row r="179" spans="1:83" x14ac:dyDescent="0.25">
      <c r="A179" t="s">
        <v>128</v>
      </c>
      <c r="B179" t="s">
        <v>181</v>
      </c>
      <c r="C179" t="s">
        <v>72</v>
      </c>
      <c r="D179" s="12">
        <v>45573</v>
      </c>
      <c r="E179" t="s">
        <v>178</v>
      </c>
      <c r="F179" t="s">
        <v>74</v>
      </c>
      <c r="G179">
        <v>0.84615384615384603</v>
      </c>
      <c r="H179">
        <v>1.9</v>
      </c>
      <c r="I179">
        <v>10</v>
      </c>
      <c r="K179">
        <v>1.9</v>
      </c>
      <c r="L179">
        <v>45573</v>
      </c>
      <c r="M179" t="s">
        <v>140</v>
      </c>
      <c r="N179">
        <v>1.9964349376114079</v>
      </c>
      <c r="O179">
        <v>2.2454545454545456</v>
      </c>
      <c r="P179">
        <v>2.2454545454545456</v>
      </c>
      <c r="Q179">
        <v>2.3594231080862098</v>
      </c>
      <c r="R179">
        <v>0.11396856263166422</v>
      </c>
      <c r="S179">
        <v>0</v>
      </c>
      <c r="T179">
        <v>0</v>
      </c>
      <c r="U179">
        <v>0</v>
      </c>
      <c r="V179">
        <v>0.99545454545454559</v>
      </c>
      <c r="W179">
        <v>0</v>
      </c>
      <c r="X179">
        <v>0.25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0.44534412955465585</v>
      </c>
      <c r="AM179">
        <v>0.44534412955465585</v>
      </c>
      <c r="AN179">
        <v>1.0507552303217937</v>
      </c>
      <c r="AO179">
        <v>5.0755230321793743E-2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0.44534412955465585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0.95169642857142867</v>
      </c>
      <c r="BJ179">
        <v>0.95169642857142867</v>
      </c>
      <c r="BK179">
        <v>0.42383241758241758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4.8303571428571335E-2</v>
      </c>
      <c r="BW179">
        <v>0</v>
      </c>
      <c r="BX179">
        <v>0.52786401098901115</v>
      </c>
      <c r="BY179">
        <v>0</v>
      </c>
      <c r="BZ179">
        <v>0.42383241758241758</v>
      </c>
      <c r="CA179">
        <v>0</v>
      </c>
      <c r="CB179">
        <v>0</v>
      </c>
      <c r="CC179">
        <v>0</v>
      </c>
      <c r="CD179">
        <v>0</v>
      </c>
      <c r="CE179">
        <v>0</v>
      </c>
    </row>
    <row r="180" spans="1:83" x14ac:dyDescent="0.25">
      <c r="A180" t="s">
        <v>128</v>
      </c>
      <c r="B180" t="s">
        <v>134</v>
      </c>
      <c r="C180" t="s">
        <v>72</v>
      </c>
      <c r="D180" s="12">
        <v>45573</v>
      </c>
      <c r="E180" t="s">
        <v>178</v>
      </c>
      <c r="F180" t="s">
        <v>75</v>
      </c>
      <c r="G180">
        <v>2.8796992481203003</v>
      </c>
      <c r="H180">
        <v>2.8499999999999996</v>
      </c>
      <c r="I180">
        <v>10</v>
      </c>
      <c r="J180">
        <v>1</v>
      </c>
      <c r="K180">
        <v>2.8499999999999996</v>
      </c>
      <c r="L180">
        <v>45573</v>
      </c>
      <c r="M180" t="s">
        <v>141</v>
      </c>
      <c r="N180">
        <v>3.205666426748675</v>
      </c>
      <c r="O180">
        <v>0.98968668407310711</v>
      </c>
      <c r="P180">
        <v>0.98968668407310711</v>
      </c>
      <c r="Q180">
        <v>1.1131948688187305</v>
      </c>
      <c r="R180">
        <v>0.11319486881873053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1.0313315926892885E-2</v>
      </c>
      <c r="AB180">
        <v>0</v>
      </c>
      <c r="AC180">
        <v>0</v>
      </c>
      <c r="AD180">
        <v>0</v>
      </c>
      <c r="AE180">
        <v>0</v>
      </c>
      <c r="AF180">
        <v>0.98968668407310711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1.0104207888141405</v>
      </c>
      <c r="AM180">
        <v>1.0104207888141405</v>
      </c>
      <c r="AN180">
        <v>1.1247952374556756</v>
      </c>
      <c r="AO180">
        <v>0.11437444864153501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1.0420788814140547E-2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1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0.88905070603075587</v>
      </c>
      <c r="BJ180">
        <v>0.88905070603075587</v>
      </c>
      <c r="BK180">
        <v>0.89831531568336487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0.10168468431663513</v>
      </c>
      <c r="BW180">
        <v>0</v>
      </c>
      <c r="BX180">
        <v>0</v>
      </c>
      <c r="BY180">
        <v>0</v>
      </c>
      <c r="BZ180">
        <v>0.88905070603075587</v>
      </c>
      <c r="CA180">
        <v>0</v>
      </c>
      <c r="CB180">
        <v>0</v>
      </c>
      <c r="CC180">
        <v>0</v>
      </c>
      <c r="CD180">
        <v>0</v>
      </c>
      <c r="CE180">
        <v>0</v>
      </c>
    </row>
    <row r="181" spans="1:83" x14ac:dyDescent="0.25">
      <c r="A181" t="s">
        <v>128</v>
      </c>
      <c r="B181" t="s">
        <v>181</v>
      </c>
      <c r="C181" t="s">
        <v>72</v>
      </c>
      <c r="D181" s="12">
        <v>45573</v>
      </c>
      <c r="E181" t="s">
        <v>178</v>
      </c>
      <c r="F181" t="s">
        <v>75</v>
      </c>
      <c r="G181">
        <v>2.5351191458269504</v>
      </c>
      <c r="H181">
        <v>3.8</v>
      </c>
      <c r="I181">
        <v>10</v>
      </c>
      <c r="K181">
        <v>3.8</v>
      </c>
      <c r="L181">
        <v>45573</v>
      </c>
      <c r="M181" t="s">
        <v>141</v>
      </c>
      <c r="N181">
        <v>3.9351604278074865</v>
      </c>
      <c r="O181">
        <v>1.498943355879413</v>
      </c>
      <c r="P181">
        <v>1.498943355879413</v>
      </c>
      <c r="Q181">
        <v>1.5522585730477949</v>
      </c>
      <c r="R181">
        <v>5.3315217168381945E-2</v>
      </c>
      <c r="S181">
        <v>0</v>
      </c>
      <c r="T181">
        <v>0</v>
      </c>
      <c r="U181">
        <v>0</v>
      </c>
      <c r="V181">
        <v>0.24894335587941296</v>
      </c>
      <c r="W181">
        <v>0</v>
      </c>
      <c r="X181">
        <v>0.25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0.66713661732288176</v>
      </c>
      <c r="AM181">
        <v>0.66713661732288176</v>
      </c>
      <c r="AN181">
        <v>1.0355685336335492</v>
      </c>
      <c r="AO181">
        <v>3.5568533633549171E-2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0.66713661732288176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0.9656531340241209</v>
      </c>
      <c r="BJ181">
        <v>0.9656531340241209</v>
      </c>
      <c r="BK181">
        <v>0.64422256534009137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3.4346865975879104E-2</v>
      </c>
      <c r="BW181">
        <v>0</v>
      </c>
      <c r="BX181">
        <v>0.32143056868402953</v>
      </c>
      <c r="BY181">
        <v>0</v>
      </c>
      <c r="BZ181">
        <v>0.64422256534009137</v>
      </c>
      <c r="CA181">
        <v>0</v>
      </c>
      <c r="CB181">
        <v>0</v>
      </c>
      <c r="CC181">
        <v>0</v>
      </c>
      <c r="CD181">
        <v>0</v>
      </c>
      <c r="CE181">
        <v>0</v>
      </c>
    </row>
    <row r="182" spans="1:83" x14ac:dyDescent="0.25">
      <c r="A182" t="s">
        <v>128</v>
      </c>
      <c r="B182" t="s">
        <v>181</v>
      </c>
      <c r="C182" t="s">
        <v>72</v>
      </c>
      <c r="D182" s="12">
        <v>45574</v>
      </c>
      <c r="E182" t="s">
        <v>178</v>
      </c>
      <c r="F182" t="s">
        <v>73</v>
      </c>
      <c r="G182">
        <v>6.8471096572600336</v>
      </c>
      <c r="H182">
        <v>2.8499999999999996</v>
      </c>
      <c r="I182">
        <v>10</v>
      </c>
      <c r="K182">
        <v>2.8499999999999996</v>
      </c>
      <c r="L182">
        <v>45574</v>
      </c>
      <c r="M182" t="s">
        <v>142</v>
      </c>
      <c r="N182">
        <v>2.8752450980392155</v>
      </c>
      <c r="O182">
        <v>0.41623402320979724</v>
      </c>
      <c r="P182">
        <v>0.41623402320979724</v>
      </c>
      <c r="Q182">
        <v>0.41992099469161781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3.6869714818205668E-3</v>
      </c>
      <c r="AB182">
        <v>0.58007900530838219</v>
      </c>
      <c r="AC182">
        <v>0</v>
      </c>
      <c r="AD182">
        <v>0</v>
      </c>
      <c r="AE182">
        <v>0</v>
      </c>
      <c r="AF182">
        <v>0.41623402320979724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2.4024946165824681</v>
      </c>
      <c r="AM182">
        <v>2.4024946165824681</v>
      </c>
      <c r="AN182">
        <v>1.0088579291365669</v>
      </c>
      <c r="BE182">
        <v>0</v>
      </c>
      <c r="BF182">
        <v>0</v>
      </c>
      <c r="BG182">
        <v>0</v>
      </c>
      <c r="BI182">
        <v>0.99121984485551096</v>
      </c>
      <c r="BJ182">
        <v>0.99121984485551096</v>
      </c>
      <c r="BK182">
        <v>2.3814003411150746</v>
      </c>
      <c r="BL182">
        <v>1.3814003411150746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0.58376597679020281</v>
      </c>
      <c r="BV182">
        <v>0</v>
      </c>
      <c r="BW182">
        <v>0</v>
      </c>
      <c r="BX182">
        <v>0</v>
      </c>
      <c r="BY182">
        <v>0</v>
      </c>
      <c r="BZ182">
        <v>0.99121984485551096</v>
      </c>
      <c r="CA182">
        <v>0</v>
      </c>
      <c r="CB182">
        <v>0</v>
      </c>
      <c r="CC182">
        <v>0</v>
      </c>
      <c r="CD182">
        <v>0</v>
      </c>
      <c r="CE182">
        <v>0</v>
      </c>
    </row>
    <row r="183" spans="1:83" x14ac:dyDescent="0.25">
      <c r="A183" t="s">
        <v>128</v>
      </c>
      <c r="B183" t="s">
        <v>134</v>
      </c>
      <c r="C183" t="s">
        <v>72</v>
      </c>
      <c r="D183" s="12">
        <v>45574</v>
      </c>
      <c r="E183" t="s">
        <v>178</v>
      </c>
      <c r="F183" t="s">
        <v>73</v>
      </c>
      <c r="G183">
        <v>5.7593984962406006</v>
      </c>
      <c r="H183">
        <v>3.8</v>
      </c>
      <c r="I183">
        <v>10</v>
      </c>
      <c r="J183">
        <v>1</v>
      </c>
      <c r="K183">
        <v>3.8</v>
      </c>
      <c r="L183">
        <v>45574</v>
      </c>
      <c r="M183" t="s">
        <v>142</v>
      </c>
      <c r="N183">
        <v>3.6431722689075623</v>
      </c>
      <c r="O183">
        <v>0.65979112271540474</v>
      </c>
      <c r="P183">
        <v>0.65979112271540474</v>
      </c>
      <c r="Q183">
        <v>0.63256124251267087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0.34020887728459526</v>
      </c>
      <c r="AC183">
        <v>0</v>
      </c>
      <c r="AD183">
        <v>2.7229880202733869E-2</v>
      </c>
      <c r="AE183">
        <v>0</v>
      </c>
      <c r="AF183">
        <v>0.63256124251267087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1.5156311832212108</v>
      </c>
      <c r="AM183">
        <v>1.5156311832212108</v>
      </c>
      <c r="AN183">
        <v>0.95872954444935854</v>
      </c>
      <c r="BE183">
        <v>0</v>
      </c>
      <c r="BF183">
        <v>0</v>
      </c>
      <c r="BG183">
        <v>0</v>
      </c>
      <c r="BI183">
        <v>1.04304702592048</v>
      </c>
      <c r="BJ183">
        <v>1.04304702592048</v>
      </c>
      <c r="BK183">
        <v>1.580874598051222</v>
      </c>
      <c r="BL183">
        <v>0.53782757213074195</v>
      </c>
      <c r="BM183">
        <v>0</v>
      </c>
      <c r="BN183">
        <v>0</v>
      </c>
      <c r="BO183">
        <v>0</v>
      </c>
      <c r="BP183">
        <v>0</v>
      </c>
      <c r="BQ183">
        <v>0.45695297407951996</v>
      </c>
      <c r="BR183">
        <v>4.3047025920480042E-2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</row>
    <row r="184" spans="1:83" x14ac:dyDescent="0.25">
      <c r="A184" t="s">
        <v>128</v>
      </c>
      <c r="B184" t="s">
        <v>134</v>
      </c>
      <c r="C184" t="s">
        <v>72</v>
      </c>
      <c r="D184" s="12">
        <v>45574</v>
      </c>
      <c r="E184" t="s">
        <v>178</v>
      </c>
      <c r="F184" t="s">
        <v>74</v>
      </c>
      <c r="G184">
        <v>1</v>
      </c>
      <c r="H184">
        <v>0</v>
      </c>
      <c r="I184">
        <v>10</v>
      </c>
      <c r="J184">
        <v>1</v>
      </c>
      <c r="K184">
        <v>0</v>
      </c>
      <c r="L184">
        <v>45574</v>
      </c>
      <c r="M184" t="s">
        <v>143</v>
      </c>
      <c r="N184">
        <v>1.1913273001508298</v>
      </c>
      <c r="O184">
        <v>0</v>
      </c>
      <c r="P184">
        <v>0</v>
      </c>
      <c r="Q184">
        <v>1.1913273001508298</v>
      </c>
      <c r="R184">
        <v>0.19132730015082977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1</v>
      </c>
      <c r="AK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1</v>
      </c>
      <c r="BH184">
        <v>1</v>
      </c>
      <c r="BI184">
        <v>0</v>
      </c>
      <c r="BJ184">
        <v>0</v>
      </c>
      <c r="BK184">
        <v>0.83939988605431393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0.16060011394568607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0.83939988605431393</v>
      </c>
      <c r="CE184">
        <v>0</v>
      </c>
    </row>
    <row r="185" spans="1:83" x14ac:dyDescent="0.25">
      <c r="A185" t="s">
        <v>128</v>
      </c>
      <c r="B185" t="s">
        <v>181</v>
      </c>
      <c r="C185" t="s">
        <v>72</v>
      </c>
      <c r="D185" s="12">
        <v>45574</v>
      </c>
      <c r="E185" t="s">
        <v>178</v>
      </c>
      <c r="F185" t="s">
        <v>74</v>
      </c>
      <c r="G185">
        <v>0.84615384615384603</v>
      </c>
      <c r="H185">
        <v>1.9</v>
      </c>
      <c r="I185">
        <v>10</v>
      </c>
      <c r="K185">
        <v>1.9</v>
      </c>
      <c r="L185">
        <v>45574</v>
      </c>
      <c r="M185" t="s">
        <v>143</v>
      </c>
      <c r="N185">
        <v>1.9964349376114079</v>
      </c>
      <c r="O185">
        <v>2.2454545454545456</v>
      </c>
      <c r="P185">
        <v>2.2454545454545456</v>
      </c>
      <c r="Q185">
        <v>2.3594231080862098</v>
      </c>
      <c r="R185">
        <v>0.11396856263166422</v>
      </c>
      <c r="S185">
        <v>0</v>
      </c>
      <c r="T185">
        <v>0</v>
      </c>
      <c r="U185">
        <v>0</v>
      </c>
      <c r="V185">
        <v>0.99545454545454559</v>
      </c>
      <c r="W185">
        <v>0</v>
      </c>
      <c r="X185">
        <v>0.25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1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0.44534412955465585</v>
      </c>
      <c r="AM185">
        <v>0.44534412955465585</v>
      </c>
      <c r="AN185">
        <v>1.0507552303217937</v>
      </c>
      <c r="AO185">
        <v>5.0755230321793743E-2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0.44534412955465585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0.95169642857142867</v>
      </c>
      <c r="BJ185">
        <v>0.95169642857142867</v>
      </c>
      <c r="BK185">
        <v>0.42383241758241758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4.8303571428571335E-2</v>
      </c>
      <c r="BW185">
        <v>0</v>
      </c>
      <c r="BX185">
        <v>0.52786401098901115</v>
      </c>
      <c r="BY185">
        <v>0</v>
      </c>
      <c r="BZ185">
        <v>0.42383241758241758</v>
      </c>
      <c r="CA185">
        <v>0</v>
      </c>
      <c r="CB185">
        <v>0</v>
      </c>
      <c r="CC185">
        <v>0</v>
      </c>
      <c r="CD185">
        <v>0</v>
      </c>
      <c r="CE185">
        <v>0</v>
      </c>
    </row>
    <row r="186" spans="1:83" x14ac:dyDescent="0.25">
      <c r="A186" t="s">
        <v>128</v>
      </c>
      <c r="B186" t="s">
        <v>181</v>
      </c>
      <c r="C186" t="s">
        <v>72</v>
      </c>
      <c r="D186" s="12">
        <v>45574</v>
      </c>
      <c r="E186" t="s">
        <v>178</v>
      </c>
      <c r="F186" t="s">
        <v>75</v>
      </c>
      <c r="G186">
        <v>2.5351191458269504</v>
      </c>
      <c r="H186">
        <v>2.8499999999999996</v>
      </c>
      <c r="I186">
        <v>10</v>
      </c>
      <c r="K186">
        <v>2.8499999999999996</v>
      </c>
      <c r="L186">
        <v>45574</v>
      </c>
      <c r="M186" t="s">
        <v>144</v>
      </c>
      <c r="N186">
        <v>3.9351604278074865</v>
      </c>
      <c r="O186">
        <v>1.1242075169095596</v>
      </c>
      <c r="P186">
        <v>1.1242075169095596</v>
      </c>
      <c r="Q186">
        <v>1.5522585730477949</v>
      </c>
      <c r="R186">
        <v>0.42805105613823535</v>
      </c>
      <c r="S186">
        <v>0</v>
      </c>
      <c r="T186">
        <v>0</v>
      </c>
      <c r="U186">
        <v>0</v>
      </c>
      <c r="V186">
        <v>0</v>
      </c>
      <c r="W186">
        <v>0.12579248309044044</v>
      </c>
      <c r="X186">
        <v>0.12420751690955956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1</v>
      </c>
      <c r="AL186">
        <v>0.88951548976384232</v>
      </c>
      <c r="AM186">
        <v>0.88951548976384232</v>
      </c>
      <c r="AN186">
        <v>1.3807580448447323</v>
      </c>
      <c r="AO186">
        <v>0.3807580448447323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0.88951548976384232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0.72423985051809059</v>
      </c>
      <c r="BJ186">
        <v>0.72423985051809059</v>
      </c>
      <c r="BK186">
        <v>0.64422256534009137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0.27576014948190941</v>
      </c>
      <c r="BW186">
        <v>0</v>
      </c>
      <c r="BX186">
        <v>8.001728517799922E-2</v>
      </c>
      <c r="BY186">
        <v>0</v>
      </c>
      <c r="BZ186">
        <v>0.64422256534009137</v>
      </c>
      <c r="CA186">
        <v>0</v>
      </c>
      <c r="CB186">
        <v>0</v>
      </c>
      <c r="CC186">
        <v>0</v>
      </c>
      <c r="CD186">
        <v>0</v>
      </c>
      <c r="CE186">
        <v>0</v>
      </c>
    </row>
    <row r="187" spans="1:83" x14ac:dyDescent="0.25">
      <c r="A187" t="s">
        <v>128</v>
      </c>
      <c r="B187" t="s">
        <v>134</v>
      </c>
      <c r="C187" t="s">
        <v>72</v>
      </c>
      <c r="D187" s="12">
        <v>45574</v>
      </c>
      <c r="E187" t="s">
        <v>178</v>
      </c>
      <c r="F187" t="s">
        <v>75</v>
      </c>
      <c r="G187">
        <v>2.8796992481203008</v>
      </c>
      <c r="H187">
        <v>4.75</v>
      </c>
      <c r="I187">
        <v>10</v>
      </c>
      <c r="J187">
        <v>1</v>
      </c>
      <c r="K187">
        <v>4.75</v>
      </c>
      <c r="L187">
        <v>45574</v>
      </c>
      <c r="M187" t="s">
        <v>144</v>
      </c>
      <c r="N187">
        <v>2.4665314401622722</v>
      </c>
      <c r="O187">
        <v>1.6494778067885116</v>
      </c>
      <c r="P187">
        <v>1.6494778067885116</v>
      </c>
      <c r="Q187">
        <v>0.85652397269342617</v>
      </c>
      <c r="R187">
        <v>0</v>
      </c>
      <c r="S187">
        <v>0</v>
      </c>
      <c r="T187">
        <v>0.39947780678851164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0.25</v>
      </c>
      <c r="AA187">
        <v>0</v>
      </c>
      <c r="AB187">
        <v>0</v>
      </c>
      <c r="AC187">
        <v>0</v>
      </c>
      <c r="AD187">
        <v>0.14347602730657383</v>
      </c>
      <c r="AE187">
        <v>0</v>
      </c>
      <c r="AF187">
        <v>0.85652397269342617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0.60625247328848442</v>
      </c>
      <c r="AM187">
        <v>0.60625247328848442</v>
      </c>
      <c r="AN187">
        <v>0.51926977687626785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0.39374752671151558</v>
      </c>
      <c r="AZ187">
        <v>0</v>
      </c>
      <c r="BA187">
        <v>8.6982696412216565E-2</v>
      </c>
      <c r="BB187">
        <v>0</v>
      </c>
      <c r="BC187">
        <v>0.51926977687626785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1.9257812499999998</v>
      </c>
      <c r="BJ187">
        <v>1.9257812499999998</v>
      </c>
      <c r="BK187">
        <v>1.1675096458250889</v>
      </c>
      <c r="CB187">
        <v>0</v>
      </c>
      <c r="CC187">
        <v>0</v>
      </c>
      <c r="CD187">
        <v>0</v>
      </c>
    </row>
    <row r="188" spans="1:83" x14ac:dyDescent="0.25">
      <c r="A188" t="s">
        <v>128</v>
      </c>
      <c r="B188" t="s">
        <v>134</v>
      </c>
      <c r="C188" t="s">
        <v>72</v>
      </c>
      <c r="D188" s="12">
        <v>45575</v>
      </c>
      <c r="E188" t="s">
        <v>178</v>
      </c>
      <c r="F188" t="s">
        <v>73</v>
      </c>
      <c r="G188">
        <v>5.7593984962406006</v>
      </c>
      <c r="H188">
        <v>1.9</v>
      </c>
      <c r="I188">
        <v>10</v>
      </c>
      <c r="J188">
        <v>1</v>
      </c>
      <c r="K188">
        <v>1.9</v>
      </c>
      <c r="L188">
        <v>45575</v>
      </c>
      <c r="M188" t="s">
        <v>145</v>
      </c>
      <c r="N188">
        <v>2.857457983193278</v>
      </c>
      <c r="O188">
        <v>0.32989556135770237</v>
      </c>
      <c r="P188">
        <v>0.32989556135770237</v>
      </c>
      <c r="Q188">
        <v>0.49613826601136557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0.1662427046536632</v>
      </c>
      <c r="AB188">
        <v>0.50386173398863443</v>
      </c>
      <c r="AC188">
        <v>0</v>
      </c>
      <c r="AD188">
        <v>0</v>
      </c>
      <c r="AE188">
        <v>0</v>
      </c>
      <c r="AF188">
        <v>0.32989556135770237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3.0312623664424216</v>
      </c>
      <c r="AM188">
        <v>3.0312623664424216</v>
      </c>
      <c r="AN188">
        <v>1.5039252543122517</v>
      </c>
      <c r="BE188">
        <v>0</v>
      </c>
      <c r="BF188">
        <v>0</v>
      </c>
      <c r="BG188">
        <v>0</v>
      </c>
      <c r="BI188">
        <v>0.66492666250045929</v>
      </c>
      <c r="BJ188">
        <v>0.66492666250045929</v>
      </c>
      <c r="BK188">
        <v>2.0155671684818035</v>
      </c>
      <c r="BL188">
        <v>1.0155671684818035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0.67010443864229763</v>
      </c>
      <c r="BV188">
        <v>0</v>
      </c>
      <c r="BW188">
        <v>0</v>
      </c>
      <c r="BX188">
        <v>0</v>
      </c>
      <c r="BY188">
        <v>0</v>
      </c>
      <c r="BZ188">
        <v>0.66492666250045929</v>
      </c>
      <c r="CA188">
        <v>0</v>
      </c>
      <c r="CB188">
        <v>0</v>
      </c>
      <c r="CC188">
        <v>0</v>
      </c>
      <c r="CD188">
        <v>0</v>
      </c>
      <c r="CE188">
        <v>0</v>
      </c>
    </row>
    <row r="189" spans="1:83" x14ac:dyDescent="0.25">
      <c r="A189" t="s">
        <v>128</v>
      </c>
      <c r="B189" t="s">
        <v>181</v>
      </c>
      <c r="C189" t="s">
        <v>72</v>
      </c>
      <c r="D189" s="12">
        <v>45575</v>
      </c>
      <c r="E189" t="s">
        <v>178</v>
      </c>
      <c r="F189" t="s">
        <v>73</v>
      </c>
      <c r="G189">
        <v>6.8471096572600327</v>
      </c>
      <c r="H189">
        <v>3.8</v>
      </c>
      <c r="I189">
        <v>10</v>
      </c>
      <c r="K189">
        <v>3.8</v>
      </c>
      <c r="L189">
        <v>45575</v>
      </c>
      <c r="M189" t="s">
        <v>145</v>
      </c>
      <c r="N189">
        <v>2.8752450980392155</v>
      </c>
      <c r="O189">
        <v>0.55497869761306307</v>
      </c>
      <c r="P189">
        <v>0.55497869761306307</v>
      </c>
      <c r="Q189">
        <v>0.41992099469161787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0.44502130238693693</v>
      </c>
      <c r="AC189">
        <v>0</v>
      </c>
      <c r="AD189">
        <v>0.1350577029214452</v>
      </c>
      <c r="AE189">
        <v>0</v>
      </c>
      <c r="AF189">
        <v>0.41992099469161787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1.8018709624368507</v>
      </c>
      <c r="AM189">
        <v>1.8018709624368507</v>
      </c>
      <c r="AN189">
        <v>0.75664344685242513</v>
      </c>
      <c r="BE189">
        <v>0</v>
      </c>
      <c r="BF189">
        <v>0</v>
      </c>
      <c r="BG189">
        <v>0</v>
      </c>
      <c r="BI189">
        <v>1.3216264598073482</v>
      </c>
      <c r="BJ189">
        <v>1.3216264598073482</v>
      </c>
      <c r="BK189">
        <v>2.3814003411150741</v>
      </c>
      <c r="BL189">
        <v>1.059773881307726</v>
      </c>
      <c r="BM189">
        <v>0</v>
      </c>
      <c r="BN189">
        <v>0</v>
      </c>
      <c r="BO189">
        <v>0</v>
      </c>
      <c r="BP189">
        <v>0</v>
      </c>
      <c r="BQ189">
        <v>0.17837354019265184</v>
      </c>
      <c r="BR189">
        <v>0.32162645980734816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</row>
    <row r="190" spans="1:83" x14ac:dyDescent="0.25">
      <c r="A190" t="s">
        <v>128</v>
      </c>
      <c r="B190" t="s">
        <v>134</v>
      </c>
      <c r="C190" t="s">
        <v>72</v>
      </c>
      <c r="D190" s="12">
        <v>45575</v>
      </c>
      <c r="E190" t="s">
        <v>178</v>
      </c>
      <c r="F190" t="s">
        <v>74</v>
      </c>
      <c r="G190">
        <v>1</v>
      </c>
      <c r="H190">
        <v>0</v>
      </c>
      <c r="I190">
        <v>10</v>
      </c>
      <c r="J190">
        <v>1</v>
      </c>
      <c r="K190">
        <v>0</v>
      </c>
      <c r="L190">
        <v>45575</v>
      </c>
      <c r="M190" t="s">
        <v>146</v>
      </c>
      <c r="N190">
        <v>1.2607763753274592</v>
      </c>
      <c r="O190">
        <v>0</v>
      </c>
      <c r="P190">
        <v>0</v>
      </c>
      <c r="Q190">
        <v>1.2607763753274592</v>
      </c>
      <c r="R190">
        <v>0.26077637532745923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1</v>
      </c>
      <c r="AK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1</v>
      </c>
      <c r="BH190">
        <v>1</v>
      </c>
      <c r="BI190">
        <v>0</v>
      </c>
      <c r="BJ190">
        <v>0</v>
      </c>
      <c r="BK190">
        <v>0.79316207026822794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0.20683792973177206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0.79316207026822794</v>
      </c>
      <c r="CE190">
        <v>0</v>
      </c>
    </row>
    <row r="191" spans="1:83" x14ac:dyDescent="0.25">
      <c r="A191" t="s">
        <v>128</v>
      </c>
      <c r="B191" t="s">
        <v>181</v>
      </c>
      <c r="C191" t="s">
        <v>72</v>
      </c>
      <c r="D191" s="12">
        <v>45575</v>
      </c>
      <c r="E191" t="s">
        <v>178</v>
      </c>
      <c r="F191" t="s">
        <v>74</v>
      </c>
      <c r="G191">
        <v>0.84615384615384603</v>
      </c>
      <c r="H191">
        <v>1.9</v>
      </c>
      <c r="I191">
        <v>10</v>
      </c>
      <c r="K191">
        <v>1.9</v>
      </c>
      <c r="L191">
        <v>45575</v>
      </c>
      <c r="M191" t="s">
        <v>146</v>
      </c>
      <c r="N191">
        <v>1.9393939393939392</v>
      </c>
      <c r="O191">
        <v>2.2454545454545456</v>
      </c>
      <c r="P191">
        <v>2.2454545454545456</v>
      </c>
      <c r="Q191">
        <v>2.2920110192837466</v>
      </c>
      <c r="R191">
        <v>4.6556473829201028E-2</v>
      </c>
      <c r="S191">
        <v>0</v>
      </c>
      <c r="T191">
        <v>0</v>
      </c>
      <c r="U191">
        <v>0</v>
      </c>
      <c r="V191">
        <v>0.99545454545454559</v>
      </c>
      <c r="W191">
        <v>0</v>
      </c>
      <c r="X191">
        <v>0.25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1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0.44534412955465585</v>
      </c>
      <c r="AM191">
        <v>0.44534412955465585</v>
      </c>
      <c r="AN191">
        <v>1.0207336523125996</v>
      </c>
      <c r="AO191">
        <v>2.0733652312599604E-2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0.44534412955465585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0.97968750000000004</v>
      </c>
      <c r="BJ191">
        <v>0.97968750000000004</v>
      </c>
      <c r="BK191">
        <v>0.43629807692307687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2.0312499999999956E-2</v>
      </c>
      <c r="BW191">
        <v>0</v>
      </c>
      <c r="BX191">
        <v>0.54338942307692317</v>
      </c>
      <c r="BY191">
        <v>0</v>
      </c>
      <c r="BZ191">
        <v>0.43629807692307687</v>
      </c>
      <c r="CA191">
        <v>0</v>
      </c>
      <c r="CB191">
        <v>0</v>
      </c>
      <c r="CC191">
        <v>0</v>
      </c>
      <c r="CD191">
        <v>0</v>
      </c>
      <c r="CE191">
        <v>0</v>
      </c>
    </row>
    <row r="192" spans="1:83" x14ac:dyDescent="0.25">
      <c r="A192" t="s">
        <v>128</v>
      </c>
      <c r="B192" t="s">
        <v>181</v>
      </c>
      <c r="C192" t="s">
        <v>72</v>
      </c>
      <c r="D192" s="12">
        <v>45575</v>
      </c>
      <c r="E192" t="s">
        <v>178</v>
      </c>
      <c r="F192" t="s">
        <v>75</v>
      </c>
      <c r="G192">
        <v>2.5351191458269504</v>
      </c>
      <c r="H192">
        <v>4.75</v>
      </c>
      <c r="I192">
        <v>10</v>
      </c>
      <c r="K192">
        <v>4.75</v>
      </c>
      <c r="L192">
        <v>45575</v>
      </c>
      <c r="M192" t="s">
        <v>147</v>
      </c>
      <c r="N192">
        <v>2.780080213903743</v>
      </c>
      <c r="O192">
        <v>1.8736791948492661</v>
      </c>
      <c r="P192">
        <v>1.8736791948492661</v>
      </c>
      <c r="Q192">
        <v>1.0966270435375876</v>
      </c>
      <c r="R192">
        <v>0</v>
      </c>
      <c r="S192">
        <v>0</v>
      </c>
      <c r="T192">
        <v>0.62367919484926615</v>
      </c>
      <c r="U192">
        <v>0</v>
      </c>
      <c r="V192">
        <v>0</v>
      </c>
      <c r="W192">
        <v>0</v>
      </c>
      <c r="X192">
        <v>9.6627043537587554E-2</v>
      </c>
      <c r="Y192">
        <v>0</v>
      </c>
      <c r="Z192">
        <v>0.15337295646241245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1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0.53370929385830534</v>
      </c>
      <c r="AM192">
        <v>0.53370929385830534</v>
      </c>
      <c r="AN192">
        <v>0.58528004503236697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0.41471995496763303</v>
      </c>
      <c r="AZ192">
        <v>0</v>
      </c>
      <c r="BA192">
        <v>0</v>
      </c>
      <c r="BB192">
        <v>0</v>
      </c>
      <c r="BC192">
        <v>0.53370929385830534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1.7085837941812938</v>
      </c>
      <c r="BJ192">
        <v>1.7085837941812938</v>
      </c>
      <c r="BK192">
        <v>0.91188705029024242</v>
      </c>
      <c r="CB192">
        <v>0</v>
      </c>
      <c r="CC192">
        <v>0</v>
      </c>
      <c r="CD192">
        <v>0</v>
      </c>
    </row>
    <row r="193" spans="1:83" x14ac:dyDescent="0.25">
      <c r="A193" t="s">
        <v>128</v>
      </c>
      <c r="B193" t="s">
        <v>134</v>
      </c>
      <c r="C193" t="s">
        <v>72</v>
      </c>
      <c r="D193" s="12">
        <v>45575</v>
      </c>
      <c r="E193" t="s">
        <v>178</v>
      </c>
      <c r="F193" t="s">
        <v>75</v>
      </c>
      <c r="G193">
        <v>2.8796992481203003</v>
      </c>
      <c r="H193">
        <v>4.75</v>
      </c>
      <c r="I193">
        <v>10</v>
      </c>
      <c r="J193">
        <v>1</v>
      </c>
      <c r="K193">
        <v>4.75</v>
      </c>
      <c r="L193">
        <v>45575</v>
      </c>
      <c r="M193" t="s">
        <v>147</v>
      </c>
      <c r="N193">
        <v>3.4077079107505077</v>
      </c>
      <c r="O193">
        <v>1.6494778067885121</v>
      </c>
      <c r="P193">
        <v>1.6494778067885121</v>
      </c>
      <c r="Q193">
        <v>1.183355488589602</v>
      </c>
      <c r="R193">
        <v>0</v>
      </c>
      <c r="S193">
        <v>0</v>
      </c>
      <c r="T193">
        <v>0.39947780678851208</v>
      </c>
      <c r="U193">
        <v>0</v>
      </c>
      <c r="V193">
        <v>0</v>
      </c>
      <c r="W193">
        <v>0</v>
      </c>
      <c r="X193">
        <v>0.18335548858960204</v>
      </c>
      <c r="Y193">
        <v>0</v>
      </c>
      <c r="Z193">
        <v>6.6644511410397955E-2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1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0.60625247328848431</v>
      </c>
      <c r="AM193">
        <v>0.60625247328848431</v>
      </c>
      <c r="AN193">
        <v>0.71741219173694903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0.28258780826305097</v>
      </c>
      <c r="AZ193">
        <v>0</v>
      </c>
      <c r="BA193">
        <v>0</v>
      </c>
      <c r="BB193">
        <v>0</v>
      </c>
      <c r="BC193">
        <v>0.60625247328848431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1.3938988095238092</v>
      </c>
      <c r="BJ193">
        <v>1.3938988095238092</v>
      </c>
      <c r="BK193">
        <v>0.84505460078768324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0.39389880952380918</v>
      </c>
      <c r="BU193">
        <v>0</v>
      </c>
      <c r="BV193">
        <v>0</v>
      </c>
      <c r="BW193">
        <v>0</v>
      </c>
      <c r="BX193">
        <v>0.15494539921231676</v>
      </c>
      <c r="BY193">
        <v>0</v>
      </c>
      <c r="BZ193">
        <v>0.84505460078768324</v>
      </c>
      <c r="CA193">
        <v>0</v>
      </c>
      <c r="CB193">
        <v>0</v>
      </c>
      <c r="CC193">
        <v>0</v>
      </c>
      <c r="CD193">
        <v>0</v>
      </c>
      <c r="CE193">
        <v>0</v>
      </c>
    </row>
    <row r="194" spans="1:83" x14ac:dyDescent="0.25">
      <c r="A194" t="s">
        <v>128</v>
      </c>
      <c r="B194" t="s">
        <v>134</v>
      </c>
      <c r="C194" t="s">
        <v>72</v>
      </c>
      <c r="D194" s="12">
        <v>45576</v>
      </c>
      <c r="E194" t="s">
        <v>178</v>
      </c>
      <c r="F194" t="s">
        <v>73</v>
      </c>
      <c r="G194">
        <v>5.7593984962406006</v>
      </c>
      <c r="H194">
        <v>2.8499999999999996</v>
      </c>
      <c r="I194">
        <v>10</v>
      </c>
      <c r="J194">
        <v>1</v>
      </c>
      <c r="K194">
        <v>2.8499999999999996</v>
      </c>
      <c r="L194">
        <v>45576</v>
      </c>
      <c r="M194" t="s">
        <v>148</v>
      </c>
      <c r="N194">
        <v>3.714506855373727</v>
      </c>
      <c r="O194">
        <v>0.49484334203655356</v>
      </c>
      <c r="P194">
        <v>0.49484334203655356</v>
      </c>
      <c r="Q194">
        <v>0.64494701274765764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0.15010367071110409</v>
      </c>
      <c r="AB194">
        <v>0.35505298725234236</v>
      </c>
      <c r="AC194">
        <v>0</v>
      </c>
      <c r="AD194">
        <v>0</v>
      </c>
      <c r="AE194">
        <v>0</v>
      </c>
      <c r="AF194">
        <v>0.49484334203655356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2.0208415776282811</v>
      </c>
      <c r="AM194">
        <v>2.0208415776282811</v>
      </c>
      <c r="AN194">
        <v>1.3033357387276236</v>
      </c>
      <c r="BE194">
        <v>0</v>
      </c>
      <c r="BF194">
        <v>0</v>
      </c>
      <c r="BG194">
        <v>0</v>
      </c>
      <c r="BI194">
        <v>0.76726201107340619</v>
      </c>
      <c r="BJ194">
        <v>0.76726201107340619</v>
      </c>
      <c r="BK194">
        <v>1.5505149729118299</v>
      </c>
      <c r="BL194">
        <v>0.55051497291182994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0.50515665796344644</v>
      </c>
      <c r="BV194">
        <v>0</v>
      </c>
      <c r="BW194">
        <v>0</v>
      </c>
      <c r="BX194">
        <v>0</v>
      </c>
      <c r="BY194">
        <v>0</v>
      </c>
      <c r="BZ194">
        <v>0.76726201107340619</v>
      </c>
      <c r="CA194">
        <v>0</v>
      </c>
      <c r="CB194">
        <v>0</v>
      </c>
      <c r="CC194">
        <v>0</v>
      </c>
      <c r="CD194">
        <v>0</v>
      </c>
      <c r="CE194">
        <v>0</v>
      </c>
    </row>
    <row r="195" spans="1:83" x14ac:dyDescent="0.25">
      <c r="A195" t="s">
        <v>128</v>
      </c>
      <c r="B195" t="s">
        <v>181</v>
      </c>
      <c r="C195" t="s">
        <v>72</v>
      </c>
      <c r="D195" s="12">
        <v>45576</v>
      </c>
      <c r="E195" t="s">
        <v>178</v>
      </c>
      <c r="F195" t="s">
        <v>73</v>
      </c>
      <c r="G195">
        <v>6.8471096572600336</v>
      </c>
      <c r="H195">
        <v>2.8499999999999996</v>
      </c>
      <c r="I195">
        <v>10</v>
      </c>
      <c r="K195">
        <v>2.8499999999999996</v>
      </c>
      <c r="L195">
        <v>45576</v>
      </c>
      <c r="M195" t="s">
        <v>148</v>
      </c>
      <c r="N195">
        <v>2.8420461733080331</v>
      </c>
      <c r="O195">
        <v>0.41623402320979724</v>
      </c>
      <c r="P195">
        <v>0.41623402320979724</v>
      </c>
      <c r="Q195">
        <v>0.41507239047860051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0.58376597679020281</v>
      </c>
      <c r="AC195">
        <v>0</v>
      </c>
      <c r="AD195">
        <v>1.1616327311967378E-3</v>
      </c>
      <c r="AE195">
        <v>0</v>
      </c>
      <c r="AF195">
        <v>0.41507239047860051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2.4024946165824681</v>
      </c>
      <c r="AM195">
        <v>2.4024946165824681</v>
      </c>
      <c r="AN195">
        <v>0.99720918361685384</v>
      </c>
      <c r="BE195">
        <v>0</v>
      </c>
      <c r="BF195">
        <v>0</v>
      </c>
      <c r="BG195">
        <v>0</v>
      </c>
      <c r="BI195">
        <v>1.0027986268367726</v>
      </c>
      <c r="BJ195">
        <v>1.0027986268367726</v>
      </c>
      <c r="BK195">
        <v>2.4092183024916376</v>
      </c>
      <c r="BL195">
        <v>1.406419675654865</v>
      </c>
      <c r="BM195">
        <v>0</v>
      </c>
      <c r="BN195">
        <v>0</v>
      </c>
      <c r="BO195">
        <v>0</v>
      </c>
      <c r="BP195">
        <v>0</v>
      </c>
      <c r="BQ195">
        <v>0.49720137316322743</v>
      </c>
      <c r="BR195">
        <v>2.7986268367725664E-3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</row>
    <row r="196" spans="1:83" x14ac:dyDescent="0.25">
      <c r="A196" t="s">
        <v>128</v>
      </c>
      <c r="B196" t="s">
        <v>134</v>
      </c>
      <c r="C196" t="s">
        <v>72</v>
      </c>
      <c r="D196" s="12">
        <v>45576</v>
      </c>
      <c r="E196" t="s">
        <v>178</v>
      </c>
      <c r="F196" t="s">
        <v>74</v>
      </c>
      <c r="G196">
        <v>1</v>
      </c>
      <c r="H196">
        <v>0</v>
      </c>
      <c r="I196">
        <v>10</v>
      </c>
      <c r="J196">
        <v>1</v>
      </c>
      <c r="K196">
        <v>0</v>
      </c>
      <c r="L196">
        <v>45576</v>
      </c>
      <c r="M196" t="s">
        <v>149</v>
      </c>
      <c r="N196">
        <v>1.1524384112619406</v>
      </c>
      <c r="O196">
        <v>0</v>
      </c>
      <c r="P196">
        <v>0</v>
      </c>
      <c r="Q196">
        <v>1.1524384112619406</v>
      </c>
      <c r="R196">
        <v>0.15243841126194058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1</v>
      </c>
      <c r="AK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1</v>
      </c>
      <c r="BH196">
        <v>1</v>
      </c>
      <c r="BI196">
        <v>0</v>
      </c>
      <c r="BJ196">
        <v>0</v>
      </c>
      <c r="BK196">
        <v>0.86772532937789026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0.13227467062210974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0.86772532937789026</v>
      </c>
      <c r="CE196">
        <v>0</v>
      </c>
    </row>
    <row r="197" spans="1:83" x14ac:dyDescent="0.25">
      <c r="A197" t="s">
        <v>128</v>
      </c>
      <c r="B197" t="s">
        <v>181</v>
      </c>
      <c r="C197" t="s">
        <v>72</v>
      </c>
      <c r="D197" s="12">
        <v>45576</v>
      </c>
      <c r="E197" t="s">
        <v>178</v>
      </c>
      <c r="F197" t="s">
        <v>74</v>
      </c>
      <c r="G197">
        <v>0.84615384615384603</v>
      </c>
      <c r="H197">
        <v>1.9</v>
      </c>
      <c r="I197">
        <v>10</v>
      </c>
      <c r="K197">
        <v>1.9</v>
      </c>
      <c r="L197">
        <v>45576</v>
      </c>
      <c r="M197" t="s">
        <v>149</v>
      </c>
      <c r="N197">
        <v>1.9679144385026737</v>
      </c>
      <c r="O197">
        <v>2.2454545454545456</v>
      </c>
      <c r="P197">
        <v>2.2454545454545456</v>
      </c>
      <c r="Q197">
        <v>2.3257170636849782</v>
      </c>
      <c r="R197">
        <v>8.0262518230432622E-2</v>
      </c>
      <c r="S197">
        <v>0</v>
      </c>
      <c r="T197">
        <v>0</v>
      </c>
      <c r="U197">
        <v>0</v>
      </c>
      <c r="V197">
        <v>0.99545454545454559</v>
      </c>
      <c r="W197">
        <v>0</v>
      </c>
      <c r="X197">
        <v>0.25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1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0.44534412955465585</v>
      </c>
      <c r="AM197">
        <v>0.44534412955465585</v>
      </c>
      <c r="AN197">
        <v>1.0357444413171968</v>
      </c>
      <c r="AO197">
        <v>3.5744441317196785E-2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0.44534412955465585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0.96548913043478257</v>
      </c>
      <c r="BJ197">
        <v>0.96548913043478257</v>
      </c>
      <c r="BK197">
        <v>0.42997491638795982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3.4510869565217428E-2</v>
      </c>
      <c r="BW197">
        <v>0</v>
      </c>
      <c r="BX197">
        <v>0.53551421404682276</v>
      </c>
      <c r="BY197">
        <v>0</v>
      </c>
      <c r="BZ197">
        <v>0.42997491638795982</v>
      </c>
      <c r="CA197">
        <v>0</v>
      </c>
      <c r="CB197">
        <v>0</v>
      </c>
      <c r="CC197">
        <v>0</v>
      </c>
      <c r="CD197">
        <v>0</v>
      </c>
      <c r="CE197">
        <v>0</v>
      </c>
    </row>
    <row r="198" spans="1:83" x14ac:dyDescent="0.25">
      <c r="A198" t="s">
        <v>128</v>
      </c>
      <c r="B198" t="s">
        <v>134</v>
      </c>
      <c r="C198" t="s">
        <v>72</v>
      </c>
      <c r="D198" s="12">
        <v>45576</v>
      </c>
      <c r="E198" t="s">
        <v>178</v>
      </c>
      <c r="F198" t="s">
        <v>75</v>
      </c>
      <c r="G198">
        <v>2.8796992481203008</v>
      </c>
      <c r="H198">
        <v>2.8499999999999996</v>
      </c>
      <c r="I198">
        <v>10</v>
      </c>
      <c r="J198">
        <v>1</v>
      </c>
      <c r="K198">
        <v>2.8499999999999996</v>
      </c>
      <c r="L198">
        <v>45576</v>
      </c>
      <c r="M198" t="s">
        <v>150</v>
      </c>
      <c r="N198">
        <v>2.6236195627676362</v>
      </c>
      <c r="O198">
        <v>0.98968668407310689</v>
      </c>
      <c r="P198">
        <v>0.98968668407310689</v>
      </c>
      <c r="Q198">
        <v>0.91107415626134625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1.0313315926893107E-2</v>
      </c>
      <c r="AC198">
        <v>0</v>
      </c>
      <c r="AD198">
        <v>7.8612527811760646E-2</v>
      </c>
      <c r="AE198">
        <v>0</v>
      </c>
      <c r="AF198">
        <v>0.91107415626134625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1.0104207888141408</v>
      </c>
      <c r="AM198">
        <v>1.0104207888141408</v>
      </c>
      <c r="AN198">
        <v>0.92056826763776722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1.0420788814140769E-2</v>
      </c>
      <c r="AX198">
        <v>0</v>
      </c>
      <c r="AY198">
        <v>0</v>
      </c>
      <c r="AZ198">
        <v>0</v>
      </c>
      <c r="BA198">
        <v>7.9431732362232776E-2</v>
      </c>
      <c r="BB198">
        <v>0</v>
      </c>
      <c r="BC198">
        <v>0.92056826763776722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1.0862855424791682</v>
      </c>
      <c r="BJ198">
        <v>1.0862855424791682</v>
      </c>
      <c r="BK198">
        <v>1.0976054947091978</v>
      </c>
      <c r="BL198">
        <v>1.1319952230029573E-2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8.6285542479168198E-2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1</v>
      </c>
      <c r="CA198">
        <v>0</v>
      </c>
      <c r="CB198">
        <v>0</v>
      </c>
      <c r="CC198">
        <v>0</v>
      </c>
      <c r="CD198">
        <v>0</v>
      </c>
      <c r="CE198">
        <v>0</v>
      </c>
    </row>
    <row r="199" spans="1:83" x14ac:dyDescent="0.25">
      <c r="A199" t="s">
        <v>128</v>
      </c>
      <c r="B199" t="s">
        <v>181</v>
      </c>
      <c r="C199" t="s">
        <v>72</v>
      </c>
      <c r="D199" s="12">
        <v>45576</v>
      </c>
      <c r="E199" t="s">
        <v>178</v>
      </c>
      <c r="F199" t="s">
        <v>75</v>
      </c>
      <c r="G199">
        <v>2.5351191458269504</v>
      </c>
      <c r="H199">
        <v>3.8</v>
      </c>
      <c r="I199">
        <v>10</v>
      </c>
      <c r="K199">
        <v>3.8</v>
      </c>
      <c r="L199">
        <v>45576</v>
      </c>
      <c r="M199" t="s">
        <v>150</v>
      </c>
      <c r="N199">
        <v>2.993861767580932</v>
      </c>
      <c r="O199">
        <v>1.498943355879413</v>
      </c>
      <c r="P199">
        <v>1.498943355879413</v>
      </c>
      <c r="Q199">
        <v>1.1809550539307456</v>
      </c>
      <c r="R199">
        <v>0</v>
      </c>
      <c r="S199">
        <v>0</v>
      </c>
      <c r="T199">
        <v>0.24894335587941296</v>
      </c>
      <c r="U199">
        <v>0</v>
      </c>
      <c r="V199">
        <v>0</v>
      </c>
      <c r="W199">
        <v>0</v>
      </c>
      <c r="X199">
        <v>0.18095505393074562</v>
      </c>
      <c r="Y199">
        <v>0</v>
      </c>
      <c r="Z199">
        <v>6.9044946069254376E-2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0.66713661732288176</v>
      </c>
      <c r="AM199">
        <v>0.66713661732288176</v>
      </c>
      <c r="AN199">
        <v>0.78785835988971897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0.21214164011028103</v>
      </c>
      <c r="AZ199">
        <v>0</v>
      </c>
      <c r="BA199">
        <v>0</v>
      </c>
      <c r="BB199">
        <v>0</v>
      </c>
      <c r="BC199">
        <v>0.66713661732288176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1.2692636784865439</v>
      </c>
      <c r="BJ199">
        <v>1.2692636784865439</v>
      </c>
      <c r="BK199">
        <v>0.84677227695631052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0.26926367848654387</v>
      </c>
      <c r="BU199">
        <v>0</v>
      </c>
      <c r="BV199">
        <v>0</v>
      </c>
      <c r="BW199">
        <v>0</v>
      </c>
      <c r="BX199">
        <v>0.15322772304368948</v>
      </c>
      <c r="BY199">
        <v>0</v>
      </c>
      <c r="BZ199">
        <v>0.84677227695631052</v>
      </c>
      <c r="CA199">
        <v>0</v>
      </c>
      <c r="CB199">
        <v>0</v>
      </c>
      <c r="CC199">
        <v>0</v>
      </c>
      <c r="CD199">
        <v>0</v>
      </c>
      <c r="CE199">
        <v>0</v>
      </c>
    </row>
    <row r="200" spans="1:83" x14ac:dyDescent="0.25">
      <c r="A200" t="s">
        <v>128</v>
      </c>
      <c r="B200" t="s">
        <v>134</v>
      </c>
      <c r="C200" t="s">
        <v>72</v>
      </c>
      <c r="D200" s="12">
        <v>45577</v>
      </c>
      <c r="E200" t="s">
        <v>178</v>
      </c>
      <c r="F200" t="s">
        <v>73</v>
      </c>
      <c r="G200">
        <v>5.7593984962406006</v>
      </c>
      <c r="H200">
        <v>3.8</v>
      </c>
      <c r="I200">
        <v>10</v>
      </c>
      <c r="J200">
        <v>1</v>
      </c>
      <c r="K200">
        <v>3.8</v>
      </c>
      <c r="L200">
        <v>45577</v>
      </c>
      <c r="M200" t="s">
        <v>151</v>
      </c>
      <c r="N200">
        <v>2.6288885669210211</v>
      </c>
      <c r="O200">
        <v>0.65979112271540474</v>
      </c>
      <c r="P200">
        <v>0.65979112271540474</v>
      </c>
      <c r="Q200">
        <v>0.45645193133224005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0.34020887728459526</v>
      </c>
      <c r="AC200">
        <v>0</v>
      </c>
      <c r="AD200">
        <v>0.2033391913831647</v>
      </c>
      <c r="AE200">
        <v>0</v>
      </c>
      <c r="AF200">
        <v>0.45645193133224005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1.5156311832212108</v>
      </c>
      <c r="AM200">
        <v>1.5156311832212108</v>
      </c>
      <c r="AN200">
        <v>0.69181278076868979</v>
      </c>
      <c r="BE200">
        <v>0</v>
      </c>
      <c r="BF200">
        <v>0</v>
      </c>
      <c r="BG200">
        <v>0</v>
      </c>
      <c r="BI200">
        <v>1.4454777763557303</v>
      </c>
      <c r="BJ200">
        <v>1.4454777763557303</v>
      </c>
      <c r="BK200">
        <v>2.1908111924979998</v>
      </c>
      <c r="BL200">
        <v>0.74533341614226956</v>
      </c>
      <c r="BM200">
        <v>0</v>
      </c>
      <c r="BN200">
        <v>0</v>
      </c>
      <c r="BO200">
        <v>0</v>
      </c>
      <c r="BP200">
        <v>0</v>
      </c>
      <c r="BQ200">
        <v>5.4522223644269729E-2</v>
      </c>
      <c r="BR200">
        <v>0.44547777635573027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</row>
    <row r="201" spans="1:83" x14ac:dyDescent="0.25">
      <c r="A201" t="s">
        <v>128</v>
      </c>
      <c r="B201" t="s">
        <v>181</v>
      </c>
      <c r="C201" t="s">
        <v>72</v>
      </c>
      <c r="D201" s="12">
        <v>45577</v>
      </c>
      <c r="E201" t="s">
        <v>178</v>
      </c>
      <c r="F201" t="s">
        <v>73</v>
      </c>
      <c r="G201">
        <v>6.8471096572600327</v>
      </c>
      <c r="H201">
        <v>3.8</v>
      </c>
      <c r="I201">
        <v>10</v>
      </c>
      <c r="K201">
        <v>3.8</v>
      </c>
      <c r="L201">
        <v>45577</v>
      </c>
      <c r="M201" t="s">
        <v>151</v>
      </c>
      <c r="N201">
        <v>3.812745098039215</v>
      </c>
      <c r="O201">
        <v>0.55497869761306307</v>
      </c>
      <c r="P201">
        <v>0.55497869761306307</v>
      </c>
      <c r="Q201">
        <v>0.55684008127378792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1.8613836607248579E-3</v>
      </c>
      <c r="AB201">
        <v>0.44315991872621208</v>
      </c>
      <c r="AC201">
        <v>0</v>
      </c>
      <c r="AD201">
        <v>0</v>
      </c>
      <c r="AE201">
        <v>0</v>
      </c>
      <c r="AF201">
        <v>0.55497869761306307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1.8018709624368507</v>
      </c>
      <c r="AM201">
        <v>1.8018709624368507</v>
      </c>
      <c r="AN201">
        <v>1.0033539731682146</v>
      </c>
      <c r="BE201">
        <v>0</v>
      </c>
      <c r="BF201">
        <v>0</v>
      </c>
      <c r="BG201">
        <v>0</v>
      </c>
      <c r="BI201">
        <v>0.99665723836461828</v>
      </c>
      <c r="BJ201">
        <v>0.99665723836461828</v>
      </c>
      <c r="BK201">
        <v>1.7958477373117085</v>
      </c>
      <c r="BL201">
        <v>0.79584773731170855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0.44502130238693693</v>
      </c>
      <c r="BV201">
        <v>0</v>
      </c>
      <c r="BW201">
        <v>0</v>
      </c>
      <c r="BX201">
        <v>0</v>
      </c>
      <c r="BY201">
        <v>0</v>
      </c>
      <c r="BZ201">
        <v>0.99665723836461828</v>
      </c>
      <c r="CA201">
        <v>0</v>
      </c>
      <c r="CB201">
        <v>0</v>
      </c>
      <c r="CC201">
        <v>0</v>
      </c>
      <c r="CD201">
        <v>0</v>
      </c>
      <c r="CE201">
        <v>0</v>
      </c>
    </row>
    <row r="202" spans="1:83" x14ac:dyDescent="0.25">
      <c r="A202" t="s">
        <v>128</v>
      </c>
      <c r="B202" t="s">
        <v>134</v>
      </c>
      <c r="C202" t="s">
        <v>72</v>
      </c>
      <c r="D202" s="12">
        <v>45577</v>
      </c>
      <c r="E202" t="s">
        <v>178</v>
      </c>
      <c r="F202" t="s">
        <v>74</v>
      </c>
      <c r="G202">
        <v>1</v>
      </c>
      <c r="H202">
        <v>0.95</v>
      </c>
      <c r="I202">
        <v>10</v>
      </c>
      <c r="J202">
        <v>1</v>
      </c>
      <c r="K202">
        <v>0.95</v>
      </c>
      <c r="L202">
        <v>45577</v>
      </c>
      <c r="M202" t="s">
        <v>152</v>
      </c>
      <c r="N202">
        <v>1.113207918481752</v>
      </c>
      <c r="O202">
        <v>0.95</v>
      </c>
      <c r="P202">
        <v>0.95</v>
      </c>
      <c r="Q202">
        <v>1.113207918481752</v>
      </c>
      <c r="R202">
        <v>0.11320791848175205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5.0000000000000044E-2</v>
      </c>
      <c r="AB202">
        <v>0</v>
      </c>
      <c r="AC202">
        <v>0</v>
      </c>
      <c r="AD202">
        <v>0</v>
      </c>
      <c r="AE202">
        <v>0</v>
      </c>
      <c r="AF202">
        <v>0.95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1.0526315789473684</v>
      </c>
      <c r="AM202">
        <v>1.0526315789473684</v>
      </c>
      <c r="AN202">
        <v>1.1717978089281602</v>
      </c>
      <c r="AO202">
        <v>0.11916622998079185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5.2631578947368363E-2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1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0.85338954585919302</v>
      </c>
      <c r="BJ202">
        <v>0.85338954585919302</v>
      </c>
      <c r="BK202">
        <v>0.89830478511494005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0.10169521488505995</v>
      </c>
      <c r="BW202">
        <v>0</v>
      </c>
      <c r="BX202">
        <v>0</v>
      </c>
      <c r="BY202">
        <v>0</v>
      </c>
      <c r="BZ202">
        <v>0.85338954585919302</v>
      </c>
      <c r="CA202">
        <v>0</v>
      </c>
      <c r="CB202">
        <v>0</v>
      </c>
      <c r="CC202">
        <v>0</v>
      </c>
      <c r="CD202">
        <v>0</v>
      </c>
      <c r="CE202">
        <v>0</v>
      </c>
    </row>
    <row r="203" spans="1:83" x14ac:dyDescent="0.25">
      <c r="A203" t="s">
        <v>128</v>
      </c>
      <c r="B203" t="s">
        <v>181</v>
      </c>
      <c r="C203" t="s">
        <v>72</v>
      </c>
      <c r="D203" s="12">
        <v>45577</v>
      </c>
      <c r="E203" t="s">
        <v>178</v>
      </c>
      <c r="F203" t="s">
        <v>74</v>
      </c>
      <c r="G203">
        <v>0.84615384615384603</v>
      </c>
      <c r="H203">
        <v>1.9</v>
      </c>
      <c r="I203">
        <v>10</v>
      </c>
      <c r="K203">
        <v>1.9</v>
      </c>
      <c r="L203">
        <v>45577</v>
      </c>
      <c r="M203" t="s">
        <v>152</v>
      </c>
      <c r="N203">
        <v>1.9963235294117645</v>
      </c>
      <c r="O203">
        <v>2.2454545454545456</v>
      </c>
      <c r="P203">
        <v>2.2454545454545456</v>
      </c>
      <c r="Q203">
        <v>2.3592914438502675</v>
      </c>
      <c r="R203">
        <v>0.11383689839572186</v>
      </c>
      <c r="S203">
        <v>0</v>
      </c>
      <c r="T203">
        <v>0</v>
      </c>
      <c r="U203">
        <v>0</v>
      </c>
      <c r="V203">
        <v>0.99545454545454559</v>
      </c>
      <c r="W203">
        <v>0</v>
      </c>
      <c r="X203">
        <v>0.25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0.44534412955465585</v>
      </c>
      <c r="AM203">
        <v>0.44534412955465585</v>
      </c>
      <c r="AN203">
        <v>1.0506965944272446</v>
      </c>
      <c r="AO203">
        <v>5.0696594427244612E-2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0.44534412955465585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0.95174953959484354</v>
      </c>
      <c r="BJ203">
        <v>0.95174953959484354</v>
      </c>
      <c r="BK203">
        <v>0.42385607026491001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4.8250460405156459E-2</v>
      </c>
      <c r="BW203">
        <v>0</v>
      </c>
      <c r="BX203">
        <v>0.52789346932993353</v>
      </c>
      <c r="BY203">
        <v>0</v>
      </c>
      <c r="BZ203">
        <v>0.42385607026491001</v>
      </c>
      <c r="CA203">
        <v>0</v>
      </c>
      <c r="CB203">
        <v>0</v>
      </c>
      <c r="CC203">
        <v>0</v>
      </c>
      <c r="CD203">
        <v>0</v>
      </c>
      <c r="CE203">
        <v>0</v>
      </c>
    </row>
    <row r="204" spans="1:83" x14ac:dyDescent="0.25">
      <c r="A204" t="s">
        <v>128</v>
      </c>
      <c r="B204" t="s">
        <v>181</v>
      </c>
      <c r="C204" t="s">
        <v>72</v>
      </c>
      <c r="D204" s="12">
        <v>45577</v>
      </c>
      <c r="E204" t="s">
        <v>178</v>
      </c>
      <c r="F204" t="s">
        <v>75</v>
      </c>
      <c r="G204">
        <v>2.5351191458269504</v>
      </c>
      <c r="H204">
        <v>3.8</v>
      </c>
      <c r="I204">
        <v>10</v>
      </c>
      <c r="K204">
        <v>3.8</v>
      </c>
      <c r="L204">
        <v>45577</v>
      </c>
      <c r="M204" t="s">
        <v>153</v>
      </c>
      <c r="N204">
        <v>3.9314839572192506</v>
      </c>
      <c r="O204">
        <v>1.498943355879413</v>
      </c>
      <c r="P204">
        <v>1.498943355879413</v>
      </c>
      <c r="Q204">
        <v>1.55080835695271</v>
      </c>
      <c r="R204">
        <v>5.1865001073297057E-2</v>
      </c>
      <c r="S204">
        <v>0</v>
      </c>
      <c r="T204">
        <v>0</v>
      </c>
      <c r="U204">
        <v>0</v>
      </c>
      <c r="V204">
        <v>0.24894335587941296</v>
      </c>
      <c r="W204">
        <v>0</v>
      </c>
      <c r="X204">
        <v>0.25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0.66713661732288176</v>
      </c>
      <c r="AM204">
        <v>0.66713661732288176</v>
      </c>
      <c r="AN204">
        <v>1.034601041373487</v>
      </c>
      <c r="AO204">
        <v>3.4601041373486963E-2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0.66713661732288176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0.96655615064184319</v>
      </c>
      <c r="BJ204">
        <v>0.96655615064184319</v>
      </c>
      <c r="BK204">
        <v>0.64482500079182492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3.3443849358156807E-2</v>
      </c>
      <c r="BW204">
        <v>0</v>
      </c>
      <c r="BX204">
        <v>0.32173114985001827</v>
      </c>
      <c r="BY204">
        <v>0</v>
      </c>
      <c r="BZ204">
        <v>0.64482500079182492</v>
      </c>
      <c r="CA204">
        <v>0</v>
      </c>
      <c r="CB204">
        <v>0</v>
      </c>
      <c r="CC204">
        <v>0</v>
      </c>
      <c r="CD204">
        <v>0</v>
      </c>
      <c r="CE204">
        <v>0</v>
      </c>
    </row>
    <row r="205" spans="1:83" x14ac:dyDescent="0.25">
      <c r="A205" t="s">
        <v>128</v>
      </c>
      <c r="B205" t="s">
        <v>134</v>
      </c>
      <c r="C205" t="s">
        <v>72</v>
      </c>
      <c r="D205" s="12">
        <v>45577</v>
      </c>
      <c r="E205" t="s">
        <v>178</v>
      </c>
      <c r="F205" t="s">
        <v>75</v>
      </c>
      <c r="G205">
        <v>2.8796992481203008</v>
      </c>
      <c r="H205">
        <v>0.95</v>
      </c>
      <c r="I205">
        <v>10</v>
      </c>
      <c r="J205">
        <v>1</v>
      </c>
      <c r="K205">
        <v>0.95</v>
      </c>
      <c r="L205">
        <v>45577</v>
      </c>
      <c r="M205" t="s">
        <v>153</v>
      </c>
      <c r="N205">
        <v>2.0669371196754565</v>
      </c>
      <c r="O205">
        <v>0.32989556135770232</v>
      </c>
      <c r="P205">
        <v>0.32989556135770232</v>
      </c>
      <c r="Q205">
        <v>0.71776145409095482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0.3878658927332525</v>
      </c>
      <c r="AB205">
        <v>0.28223854590904518</v>
      </c>
      <c r="AC205">
        <v>0</v>
      </c>
      <c r="AD205">
        <v>0</v>
      </c>
      <c r="AE205">
        <v>0</v>
      </c>
      <c r="AF205">
        <v>0.32989556135770232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3.0312623664424221</v>
      </c>
      <c r="AM205">
        <v>3.0312623664424221</v>
      </c>
      <c r="AN205">
        <v>2.1757232838689018</v>
      </c>
      <c r="BE205">
        <v>0</v>
      </c>
      <c r="BF205">
        <v>0</v>
      </c>
      <c r="BG205">
        <v>0</v>
      </c>
      <c r="BI205">
        <v>0.45961727183513246</v>
      </c>
      <c r="BJ205">
        <v>0.45961727183513246</v>
      </c>
      <c r="BK205">
        <v>1.3932205390807735</v>
      </c>
      <c r="BL205">
        <v>0.39322053908077348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0.67010443864229763</v>
      </c>
      <c r="BV205">
        <v>0</v>
      </c>
      <c r="BW205">
        <v>0</v>
      </c>
      <c r="BX205">
        <v>0</v>
      </c>
      <c r="BY205">
        <v>0</v>
      </c>
      <c r="BZ205">
        <v>0.45961727183513246</v>
      </c>
      <c r="CA205">
        <v>0</v>
      </c>
      <c r="CB205">
        <v>0</v>
      </c>
      <c r="CC205">
        <v>0</v>
      </c>
      <c r="CD205">
        <v>0</v>
      </c>
      <c r="CE205">
        <v>0</v>
      </c>
    </row>
    <row r="206" spans="1:83" x14ac:dyDescent="0.25">
      <c r="A206" t="s">
        <v>128</v>
      </c>
      <c r="B206" t="s">
        <v>134</v>
      </c>
      <c r="C206" t="s">
        <v>72</v>
      </c>
      <c r="D206" s="12">
        <v>45578</v>
      </c>
      <c r="E206" t="s">
        <v>178</v>
      </c>
      <c r="F206" t="s">
        <v>73</v>
      </c>
      <c r="G206">
        <v>5.7593984962406006</v>
      </c>
      <c r="H206">
        <v>5.6999999999999993</v>
      </c>
      <c r="I206">
        <v>10</v>
      </c>
      <c r="J206">
        <v>1</v>
      </c>
      <c r="K206">
        <v>5.6999999999999993</v>
      </c>
      <c r="L206">
        <v>45578</v>
      </c>
      <c r="M206" t="s">
        <v>154</v>
      </c>
      <c r="N206">
        <v>2.7228594140358848</v>
      </c>
      <c r="O206">
        <v>0.98968668407310711</v>
      </c>
      <c r="P206">
        <v>0.98968668407310711</v>
      </c>
      <c r="Q206">
        <v>0.47276801836393306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1.0313315926892885E-2</v>
      </c>
      <c r="AC206">
        <v>0</v>
      </c>
      <c r="AD206">
        <v>0.516918665709174</v>
      </c>
      <c r="AE206">
        <v>0</v>
      </c>
      <c r="AF206">
        <v>0.47276801836393306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1.0104207888141405</v>
      </c>
      <c r="AM206">
        <v>1.0104207888141405</v>
      </c>
      <c r="AN206">
        <v>0.47769463404138335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1.0420788814140547E-2</v>
      </c>
      <c r="AX206">
        <v>0</v>
      </c>
      <c r="AY206">
        <v>0</v>
      </c>
      <c r="AZ206">
        <v>0</v>
      </c>
      <c r="BA206">
        <v>0.52230536595861665</v>
      </c>
      <c r="BB206">
        <v>0</v>
      </c>
      <c r="BC206">
        <v>0.47769463404138335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2.0933875508289015</v>
      </c>
      <c r="BJ206">
        <v>2.0933875508289015</v>
      </c>
      <c r="BK206">
        <v>2.1152023004022404</v>
      </c>
      <c r="CB206">
        <v>0</v>
      </c>
      <c r="CC206">
        <v>0</v>
      </c>
      <c r="CD206">
        <v>0</v>
      </c>
    </row>
    <row r="207" spans="1:83" x14ac:dyDescent="0.25">
      <c r="A207" t="s">
        <v>128</v>
      </c>
      <c r="B207" t="s">
        <v>181</v>
      </c>
      <c r="C207" t="s">
        <v>72</v>
      </c>
      <c r="D207" s="12">
        <v>45578</v>
      </c>
      <c r="E207" t="s">
        <v>178</v>
      </c>
      <c r="F207" t="s">
        <v>73</v>
      </c>
      <c r="G207">
        <v>6.8471096572600327</v>
      </c>
      <c r="H207">
        <v>3.8</v>
      </c>
      <c r="I207">
        <v>10</v>
      </c>
      <c r="K207">
        <v>3.8</v>
      </c>
      <c r="L207">
        <v>45578</v>
      </c>
      <c r="M207" t="s">
        <v>154</v>
      </c>
      <c r="N207">
        <v>3.812745098039215</v>
      </c>
      <c r="O207">
        <v>0.55497869761306307</v>
      </c>
      <c r="P207">
        <v>0.55497869761306307</v>
      </c>
      <c r="Q207">
        <v>0.55684008127378792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1.8613836607248579E-3</v>
      </c>
      <c r="AB207">
        <v>0.44315991872621208</v>
      </c>
      <c r="AC207">
        <v>0</v>
      </c>
      <c r="AD207">
        <v>0</v>
      </c>
      <c r="AE207">
        <v>0</v>
      </c>
      <c r="AF207">
        <v>0.55497869761306307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1.8018709624368507</v>
      </c>
      <c r="AM207">
        <v>1.8018709624368507</v>
      </c>
      <c r="AN207">
        <v>1.0033539731682146</v>
      </c>
      <c r="BE207">
        <v>0</v>
      </c>
      <c r="BF207">
        <v>0</v>
      </c>
      <c r="BG207">
        <v>0</v>
      </c>
      <c r="BI207">
        <v>0.99665723836461828</v>
      </c>
      <c r="BJ207">
        <v>0.99665723836461828</v>
      </c>
      <c r="BK207">
        <v>1.7958477373117085</v>
      </c>
      <c r="BL207">
        <v>0.79584773731170855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0.44502130238693693</v>
      </c>
      <c r="BV207">
        <v>0</v>
      </c>
      <c r="BW207">
        <v>0</v>
      </c>
      <c r="BX207">
        <v>0</v>
      </c>
      <c r="BY207">
        <v>0</v>
      </c>
      <c r="BZ207">
        <v>0.99665723836461828</v>
      </c>
      <c r="CA207">
        <v>0</v>
      </c>
      <c r="CB207">
        <v>0</v>
      </c>
      <c r="CC207">
        <v>0</v>
      </c>
      <c r="CD207">
        <v>0</v>
      </c>
      <c r="CE207">
        <v>0</v>
      </c>
    </row>
    <row r="208" spans="1:83" x14ac:dyDescent="0.25">
      <c r="A208" t="s">
        <v>128</v>
      </c>
      <c r="B208" t="s">
        <v>134</v>
      </c>
      <c r="C208" t="s">
        <v>72</v>
      </c>
      <c r="D208" s="12">
        <v>45578</v>
      </c>
      <c r="E208" t="s">
        <v>178</v>
      </c>
      <c r="F208" t="s">
        <v>74</v>
      </c>
      <c r="G208">
        <v>1</v>
      </c>
      <c r="H208">
        <v>0</v>
      </c>
      <c r="I208">
        <v>10</v>
      </c>
      <c r="J208">
        <v>1</v>
      </c>
      <c r="K208">
        <v>0</v>
      </c>
      <c r="L208">
        <v>45578</v>
      </c>
      <c r="M208" t="s">
        <v>155</v>
      </c>
      <c r="N208">
        <v>1.1401127252520442</v>
      </c>
      <c r="O208">
        <v>0</v>
      </c>
      <c r="P208">
        <v>0</v>
      </c>
      <c r="Q208">
        <v>1.1401127252520442</v>
      </c>
      <c r="R208">
        <v>0.14011272525204421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1</v>
      </c>
      <c r="AK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1</v>
      </c>
      <c r="BH208">
        <v>1</v>
      </c>
      <c r="BI208">
        <v>0</v>
      </c>
      <c r="BJ208">
        <v>0</v>
      </c>
      <c r="BK208">
        <v>0.8771062526110569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0.1228937473889431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0.8771062526110569</v>
      </c>
      <c r="CE208">
        <v>0</v>
      </c>
    </row>
    <row r="209" spans="1:83" x14ac:dyDescent="0.25">
      <c r="A209" t="s">
        <v>128</v>
      </c>
      <c r="B209" t="s">
        <v>181</v>
      </c>
      <c r="C209" t="s">
        <v>72</v>
      </c>
      <c r="D209" s="12">
        <v>45578</v>
      </c>
      <c r="E209" t="s">
        <v>178</v>
      </c>
      <c r="F209" t="s">
        <v>74</v>
      </c>
      <c r="G209">
        <v>0.84615384615384603</v>
      </c>
      <c r="H209">
        <v>1.9</v>
      </c>
      <c r="I209">
        <v>10</v>
      </c>
      <c r="K209">
        <v>1.9</v>
      </c>
      <c r="L209">
        <v>45578</v>
      </c>
      <c r="M209" t="s">
        <v>155</v>
      </c>
      <c r="N209">
        <v>1.9964349376114079</v>
      </c>
      <c r="O209">
        <v>2.2454545454545456</v>
      </c>
      <c r="P209">
        <v>2.2454545454545456</v>
      </c>
      <c r="Q209">
        <v>2.3594231080862098</v>
      </c>
      <c r="R209">
        <v>0.11396856263166422</v>
      </c>
      <c r="S209">
        <v>0</v>
      </c>
      <c r="T209">
        <v>0</v>
      </c>
      <c r="U209">
        <v>0</v>
      </c>
      <c r="V209">
        <v>0.99545454545454559</v>
      </c>
      <c r="W209">
        <v>0</v>
      </c>
      <c r="X209">
        <v>0.25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0.44534412955465585</v>
      </c>
      <c r="AM209">
        <v>0.44534412955465585</v>
      </c>
      <c r="AN209">
        <v>1.0507552303217937</v>
      </c>
      <c r="AO209">
        <v>5.0755230321793743E-2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0.44534412955465585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0.95169642857142867</v>
      </c>
      <c r="BJ209">
        <v>0.95169642857142867</v>
      </c>
      <c r="BK209">
        <v>0.42383241758241758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4.8303571428571335E-2</v>
      </c>
      <c r="BW209">
        <v>0</v>
      </c>
      <c r="BX209">
        <v>0.52786401098901115</v>
      </c>
      <c r="BY209">
        <v>0</v>
      </c>
      <c r="BZ209">
        <v>0.42383241758241758</v>
      </c>
      <c r="CA209">
        <v>0</v>
      </c>
      <c r="CB209">
        <v>0</v>
      </c>
      <c r="CC209">
        <v>0</v>
      </c>
      <c r="CD209">
        <v>0</v>
      </c>
      <c r="CE209">
        <v>0</v>
      </c>
    </row>
    <row r="210" spans="1:83" x14ac:dyDescent="0.25">
      <c r="A210" t="s">
        <v>128</v>
      </c>
      <c r="B210" t="s">
        <v>134</v>
      </c>
      <c r="C210" t="s">
        <v>72</v>
      </c>
      <c r="D210" s="12">
        <v>45578</v>
      </c>
      <c r="E210" t="s">
        <v>178</v>
      </c>
      <c r="F210" t="s">
        <v>75</v>
      </c>
      <c r="G210">
        <v>2.8796992481203003</v>
      </c>
      <c r="H210">
        <v>0.95</v>
      </c>
      <c r="I210">
        <v>10</v>
      </c>
      <c r="J210">
        <v>1</v>
      </c>
      <c r="K210">
        <v>0.95</v>
      </c>
      <c r="L210">
        <v>45578</v>
      </c>
      <c r="M210" t="s">
        <v>156</v>
      </c>
      <c r="N210">
        <v>2.5963488843813378</v>
      </c>
      <c r="O210">
        <v>0.32989556135770237</v>
      </c>
      <c r="P210">
        <v>0.32989556135770237</v>
      </c>
      <c r="Q210">
        <v>0.90160418178255353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0.57170862042485115</v>
      </c>
      <c r="AB210">
        <v>9.8395818217446473E-2</v>
      </c>
      <c r="AC210">
        <v>0</v>
      </c>
      <c r="AD210">
        <v>0</v>
      </c>
      <c r="AE210">
        <v>0</v>
      </c>
      <c r="AF210">
        <v>0.32989556135770237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3.0312623664424216</v>
      </c>
      <c r="AM210">
        <v>3.0312623664424216</v>
      </c>
      <c r="AN210">
        <v>2.7329988256645663</v>
      </c>
      <c r="BE210">
        <v>0</v>
      </c>
      <c r="BF210">
        <v>0</v>
      </c>
      <c r="BG210">
        <v>0</v>
      </c>
      <c r="BI210">
        <v>0.36589843750000012</v>
      </c>
      <c r="BJ210">
        <v>0.36589843750000012</v>
      </c>
      <c r="BK210">
        <v>1.1091341635338348</v>
      </c>
      <c r="BL210">
        <v>0.10913416353383476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0.67010443864229763</v>
      </c>
      <c r="BV210">
        <v>0</v>
      </c>
      <c r="BW210">
        <v>0</v>
      </c>
      <c r="BX210">
        <v>0</v>
      </c>
      <c r="BY210">
        <v>0</v>
      </c>
      <c r="BZ210">
        <v>0.36589843750000012</v>
      </c>
      <c r="CA210">
        <v>0</v>
      </c>
      <c r="CB210">
        <v>0</v>
      </c>
      <c r="CC210">
        <v>0</v>
      </c>
      <c r="CD210">
        <v>0</v>
      </c>
      <c r="CE210">
        <v>0</v>
      </c>
    </row>
    <row r="211" spans="1:83" x14ac:dyDescent="0.25">
      <c r="A211" t="s">
        <v>128</v>
      </c>
      <c r="B211" t="s">
        <v>181</v>
      </c>
      <c r="C211" t="s">
        <v>72</v>
      </c>
      <c r="D211" s="12">
        <v>45578</v>
      </c>
      <c r="E211" t="s">
        <v>178</v>
      </c>
      <c r="F211" t="s">
        <v>75</v>
      </c>
      <c r="G211">
        <v>2.5351191458269504</v>
      </c>
      <c r="H211">
        <v>5.6999999999999993</v>
      </c>
      <c r="I211">
        <v>10</v>
      </c>
      <c r="K211">
        <v>5.6999999999999993</v>
      </c>
      <c r="L211">
        <v>45578</v>
      </c>
      <c r="M211" t="s">
        <v>156</v>
      </c>
      <c r="N211">
        <v>3.9919786096256682</v>
      </c>
      <c r="O211">
        <v>2.2484150338191191</v>
      </c>
      <c r="P211">
        <v>2.2484150338191191</v>
      </c>
      <c r="Q211">
        <v>1.5746710036081928</v>
      </c>
      <c r="R211">
        <v>0</v>
      </c>
      <c r="S211">
        <v>0</v>
      </c>
      <c r="T211">
        <v>0.67374403021092633</v>
      </c>
      <c r="U211">
        <v>0</v>
      </c>
      <c r="V211">
        <v>0.32467100360819279</v>
      </c>
      <c r="W211">
        <v>0</v>
      </c>
      <c r="X211">
        <v>0.25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0.44475774488192116</v>
      </c>
      <c r="AM211">
        <v>0.44475774488192116</v>
      </c>
      <c r="AN211">
        <v>0.70034712449573133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0.29965287550426867</v>
      </c>
      <c r="AZ211">
        <v>0</v>
      </c>
      <c r="BA211">
        <v>0</v>
      </c>
      <c r="BB211">
        <v>0</v>
      </c>
      <c r="BC211">
        <v>0.44475774488192116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1.4278633623576691</v>
      </c>
      <c r="BJ211">
        <v>1.4278633623576691</v>
      </c>
      <c r="BK211">
        <v>0.63505328904171432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0.42786336235766909</v>
      </c>
      <c r="BU211">
        <v>0</v>
      </c>
      <c r="BV211">
        <v>0</v>
      </c>
      <c r="BW211">
        <v>0</v>
      </c>
      <c r="BX211">
        <v>0.36494671095828568</v>
      </c>
      <c r="BY211">
        <v>0</v>
      </c>
      <c r="BZ211">
        <v>0.63505328904171432</v>
      </c>
      <c r="CA211">
        <v>0</v>
      </c>
      <c r="CB211">
        <v>0</v>
      </c>
      <c r="CC211">
        <v>0</v>
      </c>
      <c r="CD211">
        <v>0</v>
      </c>
      <c r="CE211">
        <v>0</v>
      </c>
    </row>
    <row r="212" spans="1:83" x14ac:dyDescent="0.25">
      <c r="A212" t="s">
        <v>128</v>
      </c>
      <c r="B212" t="s">
        <v>134</v>
      </c>
      <c r="C212" t="s">
        <v>72</v>
      </c>
      <c r="D212" s="12">
        <v>45579</v>
      </c>
      <c r="E212" t="s">
        <v>178</v>
      </c>
      <c r="F212" t="s">
        <v>73</v>
      </c>
      <c r="G212">
        <v>5.7593984962406006</v>
      </c>
      <c r="H212">
        <v>4.75</v>
      </c>
      <c r="I212">
        <v>10</v>
      </c>
      <c r="J212">
        <v>1</v>
      </c>
      <c r="K212">
        <v>4.75</v>
      </c>
      <c r="L212">
        <v>45579</v>
      </c>
      <c r="M212" t="s">
        <v>157</v>
      </c>
      <c r="N212">
        <v>3.714506855373727</v>
      </c>
      <c r="O212">
        <v>0.82473890339425604</v>
      </c>
      <c r="P212">
        <v>0.82473890339425604</v>
      </c>
      <c r="Q212">
        <v>0.64494701274765764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0.17526109660574396</v>
      </c>
      <c r="AC212">
        <v>0</v>
      </c>
      <c r="AD212">
        <v>0.1797918906465984</v>
      </c>
      <c r="AE212">
        <v>0</v>
      </c>
      <c r="AF212">
        <v>0.64494701274765764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1.2125049465769686</v>
      </c>
      <c r="AM212">
        <v>1.2125049465769686</v>
      </c>
      <c r="AN212">
        <v>0.78200144323657417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0.21250494657696861</v>
      </c>
      <c r="AX212">
        <v>0</v>
      </c>
      <c r="AY212">
        <v>0</v>
      </c>
      <c r="AZ212">
        <v>0</v>
      </c>
      <c r="BA212">
        <v>0.21799855676342583</v>
      </c>
      <c r="BB212">
        <v>0</v>
      </c>
      <c r="BC212">
        <v>0.78200144323657417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1.2787700184556772</v>
      </c>
      <c r="BJ212">
        <v>1.2787700184556772</v>
      </c>
      <c r="BK212">
        <v>1.5505149729118299</v>
      </c>
      <c r="BL212">
        <v>0.27174495445615277</v>
      </c>
      <c r="BM212">
        <v>0</v>
      </c>
      <c r="BN212">
        <v>0</v>
      </c>
      <c r="BO212">
        <v>0</v>
      </c>
      <c r="BP212">
        <v>0</v>
      </c>
      <c r="BQ212">
        <v>0.22122998154432283</v>
      </c>
      <c r="BR212">
        <v>0.27877001845567717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</row>
    <row r="213" spans="1:83" x14ac:dyDescent="0.25">
      <c r="A213" t="s">
        <v>128</v>
      </c>
      <c r="B213" t="s">
        <v>181</v>
      </c>
      <c r="C213" t="s">
        <v>72</v>
      </c>
      <c r="D213" s="12">
        <v>45579</v>
      </c>
      <c r="E213" t="s">
        <v>178</v>
      </c>
      <c r="F213" t="s">
        <v>73</v>
      </c>
      <c r="G213">
        <v>6.8471096572600345</v>
      </c>
      <c r="H213">
        <v>3.8</v>
      </c>
      <c r="I213">
        <v>10</v>
      </c>
      <c r="K213">
        <v>3.8</v>
      </c>
      <c r="L213">
        <v>45579</v>
      </c>
      <c r="M213" t="s">
        <v>157</v>
      </c>
      <c r="N213">
        <v>2.2407754010695187</v>
      </c>
      <c r="O213">
        <v>0.55497869761306295</v>
      </c>
      <c r="P213">
        <v>0.55497869761306295</v>
      </c>
      <c r="Q213">
        <v>0.32725858256025009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0.44502130238693705</v>
      </c>
      <c r="AC213">
        <v>0</v>
      </c>
      <c r="AD213">
        <v>0.22772011505281287</v>
      </c>
      <c r="AE213">
        <v>0</v>
      </c>
      <c r="AF213">
        <v>0.32725858256025009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1.8018709624368512</v>
      </c>
      <c r="AM213">
        <v>1.8018709624368512</v>
      </c>
      <c r="AN213">
        <v>0.58967773712355753</v>
      </c>
      <c r="BE213">
        <v>0</v>
      </c>
      <c r="BF213">
        <v>0</v>
      </c>
      <c r="BG213">
        <v>0</v>
      </c>
      <c r="BI213">
        <v>1.6958415369011395</v>
      </c>
      <c r="BJ213">
        <v>1.6958415369011395</v>
      </c>
      <c r="BK213">
        <v>3.0556876222364453</v>
      </c>
      <c r="CB213">
        <v>0</v>
      </c>
      <c r="CC213">
        <v>0</v>
      </c>
      <c r="CD213">
        <v>0</v>
      </c>
    </row>
    <row r="214" spans="1:83" x14ac:dyDescent="0.25">
      <c r="A214" t="s">
        <v>128</v>
      </c>
      <c r="B214" t="s">
        <v>181</v>
      </c>
      <c r="C214" t="s">
        <v>72</v>
      </c>
      <c r="D214" s="12">
        <v>45579</v>
      </c>
      <c r="E214" t="s">
        <v>178</v>
      </c>
      <c r="F214" t="s">
        <v>74</v>
      </c>
      <c r="G214">
        <v>0.84615384615384603</v>
      </c>
      <c r="H214">
        <v>1.9</v>
      </c>
      <c r="I214">
        <v>10</v>
      </c>
      <c r="K214">
        <v>1.9</v>
      </c>
      <c r="L214">
        <v>45579</v>
      </c>
      <c r="M214" t="s">
        <v>158</v>
      </c>
      <c r="N214">
        <v>1.9282047025623392</v>
      </c>
      <c r="O214">
        <v>2.2454545454545456</v>
      </c>
      <c r="P214">
        <v>2.2454545454545456</v>
      </c>
      <c r="Q214">
        <v>2.278787375755492</v>
      </c>
      <c r="R214">
        <v>3.3332830300946359E-2</v>
      </c>
      <c r="S214">
        <v>0</v>
      </c>
      <c r="T214">
        <v>0</v>
      </c>
      <c r="U214">
        <v>0</v>
      </c>
      <c r="V214">
        <v>0.99545454545454559</v>
      </c>
      <c r="W214">
        <v>0</v>
      </c>
      <c r="X214">
        <v>0.25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0.44534412955465585</v>
      </c>
      <c r="AM214">
        <v>0.44534412955465585</v>
      </c>
      <c r="AN214">
        <v>1.014844580295968</v>
      </c>
      <c r="AO214">
        <v>1.4844580295968024E-2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0.44534412955465585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0.98537255794218381</v>
      </c>
      <c r="BJ214">
        <v>0.98537255794218381</v>
      </c>
      <c r="BK214">
        <v>0.43882988410380652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1.4627442057816187E-2</v>
      </c>
      <c r="BW214">
        <v>0</v>
      </c>
      <c r="BX214">
        <v>0.54654267383837729</v>
      </c>
      <c r="BY214">
        <v>0</v>
      </c>
      <c r="BZ214">
        <v>0.43882988410380652</v>
      </c>
      <c r="CA214">
        <v>0</v>
      </c>
      <c r="CB214">
        <v>0</v>
      </c>
      <c r="CC214">
        <v>0</v>
      </c>
      <c r="CD214">
        <v>0</v>
      </c>
      <c r="CE214">
        <v>0</v>
      </c>
    </row>
    <row r="215" spans="1:83" x14ac:dyDescent="0.25">
      <c r="A215" t="s">
        <v>128</v>
      </c>
      <c r="B215" t="s">
        <v>134</v>
      </c>
      <c r="C215" t="s">
        <v>72</v>
      </c>
      <c r="D215" s="12">
        <v>45579</v>
      </c>
      <c r="E215" t="s">
        <v>178</v>
      </c>
      <c r="F215" t="s">
        <v>74</v>
      </c>
      <c r="G215">
        <v>1</v>
      </c>
      <c r="H215">
        <v>0</v>
      </c>
      <c r="I215">
        <v>10</v>
      </c>
      <c r="J215">
        <v>1</v>
      </c>
      <c r="K215">
        <v>0</v>
      </c>
      <c r="L215">
        <v>45579</v>
      </c>
      <c r="M215" t="s">
        <v>158</v>
      </c>
      <c r="N215">
        <v>1.1401127252520442</v>
      </c>
      <c r="O215">
        <v>0</v>
      </c>
      <c r="P215">
        <v>0</v>
      </c>
      <c r="Q215">
        <v>1.1401127252520442</v>
      </c>
      <c r="R215">
        <v>0.14011272525204421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1</v>
      </c>
      <c r="AK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1</v>
      </c>
      <c r="BH215">
        <v>1</v>
      </c>
      <c r="BI215">
        <v>0</v>
      </c>
      <c r="BJ215">
        <v>0</v>
      </c>
      <c r="BK215">
        <v>0.8771062526110569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0.1228937473889431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0.8771062526110569</v>
      </c>
      <c r="CE215">
        <v>0</v>
      </c>
    </row>
    <row r="216" spans="1:83" x14ac:dyDescent="0.25">
      <c r="A216" t="s">
        <v>128</v>
      </c>
      <c r="B216" t="s">
        <v>134</v>
      </c>
      <c r="C216" t="s">
        <v>72</v>
      </c>
      <c r="D216" s="12">
        <v>45579</v>
      </c>
      <c r="E216" t="s">
        <v>178</v>
      </c>
      <c r="F216" t="s">
        <v>75</v>
      </c>
      <c r="G216">
        <v>2.8796992481203003</v>
      </c>
      <c r="H216">
        <v>3.8</v>
      </c>
      <c r="I216">
        <v>10</v>
      </c>
      <c r="J216">
        <v>1</v>
      </c>
      <c r="K216">
        <v>3.8</v>
      </c>
      <c r="L216">
        <v>45579</v>
      </c>
      <c r="M216" t="s">
        <v>159</v>
      </c>
      <c r="N216">
        <v>2.4665314401622722</v>
      </c>
      <c r="O216">
        <v>1.3195822454308095</v>
      </c>
      <c r="P216">
        <v>1.3195822454308095</v>
      </c>
      <c r="Q216">
        <v>0.85652397269342628</v>
      </c>
      <c r="R216">
        <v>0</v>
      </c>
      <c r="S216">
        <v>0</v>
      </c>
      <c r="T216">
        <v>6.9582245430809486E-2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0.25</v>
      </c>
      <c r="AA216">
        <v>0</v>
      </c>
      <c r="AB216">
        <v>0</v>
      </c>
      <c r="AC216">
        <v>0</v>
      </c>
      <c r="AD216">
        <v>0.14347602730657372</v>
      </c>
      <c r="AE216">
        <v>0</v>
      </c>
      <c r="AF216">
        <v>0.85652397269342628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0.75781559161060541</v>
      </c>
      <c r="AM216">
        <v>0.75781559161060541</v>
      </c>
      <c r="AN216">
        <v>0.64908722109533479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0.24218440838939459</v>
      </c>
      <c r="AZ216">
        <v>0</v>
      </c>
      <c r="BA216">
        <v>0.10872837051527062</v>
      </c>
      <c r="BB216">
        <v>0</v>
      </c>
      <c r="BC216">
        <v>0.64908722109533479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1.5406249999999997</v>
      </c>
      <c r="BJ216">
        <v>1.5406249999999997</v>
      </c>
      <c r="BK216">
        <v>1.1675096458250886</v>
      </c>
      <c r="CB216">
        <v>0</v>
      </c>
      <c r="CC216">
        <v>0</v>
      </c>
      <c r="CD216">
        <v>0</v>
      </c>
    </row>
    <row r="217" spans="1:83" x14ac:dyDescent="0.25">
      <c r="A217" t="s">
        <v>128</v>
      </c>
      <c r="B217" t="s">
        <v>181</v>
      </c>
      <c r="C217" t="s">
        <v>72</v>
      </c>
      <c r="D217" s="12">
        <v>45579</v>
      </c>
      <c r="E217" t="s">
        <v>178</v>
      </c>
      <c r="F217" t="s">
        <v>75</v>
      </c>
      <c r="G217">
        <v>2.5351191458269504</v>
      </c>
      <c r="H217">
        <v>3.8</v>
      </c>
      <c r="I217">
        <v>10</v>
      </c>
      <c r="K217">
        <v>3.8</v>
      </c>
      <c r="L217">
        <v>45579</v>
      </c>
      <c r="M217" t="s">
        <v>159</v>
      </c>
      <c r="N217">
        <v>3.0965066736228852</v>
      </c>
      <c r="O217">
        <v>1.498943355879413</v>
      </c>
      <c r="P217">
        <v>1.498943355879413</v>
      </c>
      <c r="Q217">
        <v>1.2214442381219173</v>
      </c>
      <c r="R217">
        <v>0</v>
      </c>
      <c r="S217">
        <v>0</v>
      </c>
      <c r="T217">
        <v>0.24894335587941296</v>
      </c>
      <c r="U217">
        <v>0</v>
      </c>
      <c r="V217">
        <v>0</v>
      </c>
      <c r="W217">
        <v>0</v>
      </c>
      <c r="X217">
        <v>0.22144423812191727</v>
      </c>
      <c r="Y217">
        <v>0</v>
      </c>
      <c r="Z217">
        <v>2.855576187808273E-2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0.66713661732288176</v>
      </c>
      <c r="AM217">
        <v>0.66713661732288176</v>
      </c>
      <c r="AN217">
        <v>0.81487017726918032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0.18512982273081968</v>
      </c>
      <c r="AZ217">
        <v>0</v>
      </c>
      <c r="BA217">
        <v>0</v>
      </c>
      <c r="BB217">
        <v>0</v>
      </c>
      <c r="BC217">
        <v>0.66713661732288176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1.2271893461007897</v>
      </c>
      <c r="BJ217">
        <v>1.2271893461007897</v>
      </c>
      <c r="BK217">
        <v>0.81870294917235997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0.22718934610078967</v>
      </c>
      <c r="BU217">
        <v>0</v>
      </c>
      <c r="BV217">
        <v>0</v>
      </c>
      <c r="BW217">
        <v>0</v>
      </c>
      <c r="BX217">
        <v>0.18129705082764003</v>
      </c>
      <c r="BY217">
        <v>0</v>
      </c>
      <c r="BZ217">
        <v>0.81870294917235997</v>
      </c>
      <c r="CA217">
        <v>0</v>
      </c>
      <c r="CB217">
        <v>0</v>
      </c>
      <c r="CC217">
        <v>0</v>
      </c>
      <c r="CD217">
        <v>0</v>
      </c>
      <c r="CE217">
        <v>0</v>
      </c>
    </row>
    <row r="218" spans="1:83" x14ac:dyDescent="0.25">
      <c r="A218" t="s">
        <v>128</v>
      </c>
      <c r="B218" t="s">
        <v>181</v>
      </c>
      <c r="C218" t="s">
        <v>72</v>
      </c>
      <c r="D218" s="12">
        <v>45580</v>
      </c>
      <c r="E218" t="s">
        <v>178</v>
      </c>
      <c r="F218" t="s">
        <v>73</v>
      </c>
      <c r="G218">
        <v>6.8471096572600336</v>
      </c>
      <c r="H218">
        <v>3.8</v>
      </c>
      <c r="I218">
        <v>10</v>
      </c>
      <c r="K218">
        <v>3.8</v>
      </c>
      <c r="L218">
        <v>45580</v>
      </c>
      <c r="M218" t="s">
        <v>160</v>
      </c>
      <c r="N218">
        <v>0.99895384983261604</v>
      </c>
      <c r="O218">
        <v>0.55497869761306307</v>
      </c>
      <c r="P218">
        <v>0.55497869761306307</v>
      </c>
      <c r="Q218">
        <v>0.14589423856727912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0.44502130238693693</v>
      </c>
      <c r="AC218">
        <v>0</v>
      </c>
      <c r="AD218">
        <v>0.40908445904578394</v>
      </c>
      <c r="AE218">
        <v>0</v>
      </c>
      <c r="AF218">
        <v>0.14589423856727912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1.801870962436851</v>
      </c>
      <c r="AM218">
        <v>1.801870962436851</v>
      </c>
      <c r="AN218">
        <v>0.26288259206121478</v>
      </c>
      <c r="BE218">
        <v>0</v>
      </c>
      <c r="BF218">
        <v>0</v>
      </c>
      <c r="BG218">
        <v>0</v>
      </c>
      <c r="BI218">
        <v>3.8039795338260372</v>
      </c>
      <c r="BJ218">
        <v>3.8039795338260372</v>
      </c>
      <c r="BK218">
        <v>6.8542802637052054</v>
      </c>
      <c r="CB218">
        <v>0</v>
      </c>
      <c r="CC218">
        <v>0</v>
      </c>
      <c r="CD218">
        <v>0</v>
      </c>
    </row>
    <row r="219" spans="1:83" x14ac:dyDescent="0.25">
      <c r="A219" t="s">
        <v>128</v>
      </c>
      <c r="B219" t="s">
        <v>134</v>
      </c>
      <c r="C219" t="s">
        <v>72</v>
      </c>
      <c r="D219" s="12">
        <v>45580</v>
      </c>
      <c r="E219" t="s">
        <v>178</v>
      </c>
      <c r="F219" t="s">
        <v>73</v>
      </c>
      <c r="G219">
        <v>5.7593984962406006</v>
      </c>
      <c r="H219">
        <v>3.8</v>
      </c>
      <c r="I219">
        <v>10</v>
      </c>
      <c r="J219">
        <v>1</v>
      </c>
      <c r="K219">
        <v>3.8</v>
      </c>
      <c r="L219">
        <v>45580</v>
      </c>
      <c r="M219" t="s">
        <v>160</v>
      </c>
      <c r="N219">
        <v>2.8447589562140649</v>
      </c>
      <c r="O219">
        <v>0.65979112271540474</v>
      </c>
      <c r="P219">
        <v>0.65979112271540474</v>
      </c>
      <c r="Q219">
        <v>0.49393334357241603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0.34020887728459526</v>
      </c>
      <c r="AC219">
        <v>0</v>
      </c>
      <c r="AD219">
        <v>0.16585777914298871</v>
      </c>
      <c r="AE219">
        <v>0</v>
      </c>
      <c r="AF219">
        <v>0.49393334357241603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1.5156311832212108</v>
      </c>
      <c r="AM219">
        <v>1.5156311832212108</v>
      </c>
      <c r="AN219">
        <v>0.74862077795106974</v>
      </c>
      <c r="BE219">
        <v>0</v>
      </c>
      <c r="BF219">
        <v>0</v>
      </c>
      <c r="BG219">
        <v>0</v>
      </c>
      <c r="BI219">
        <v>1.3357898009950246</v>
      </c>
      <c r="BJ219">
        <v>1.3357898009950246</v>
      </c>
      <c r="BK219">
        <v>2.0245646766169147</v>
      </c>
      <c r="BL219">
        <v>0.6887748756218901</v>
      </c>
      <c r="BM219">
        <v>0</v>
      </c>
      <c r="BN219">
        <v>0</v>
      </c>
      <c r="BO219">
        <v>0</v>
      </c>
      <c r="BP219">
        <v>0</v>
      </c>
      <c r="BQ219">
        <v>0.16421019900497535</v>
      </c>
      <c r="BR219">
        <v>0.33578980099502465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</row>
    <row r="220" spans="1:83" x14ac:dyDescent="0.25">
      <c r="A220" t="s">
        <v>128</v>
      </c>
      <c r="B220" t="s">
        <v>134</v>
      </c>
      <c r="C220" t="s">
        <v>72</v>
      </c>
      <c r="D220" s="12">
        <v>45580</v>
      </c>
      <c r="E220" t="s">
        <v>178</v>
      </c>
      <c r="F220" t="s">
        <v>74</v>
      </c>
      <c r="G220">
        <v>1</v>
      </c>
      <c r="H220">
        <v>0</v>
      </c>
      <c r="I220">
        <v>10</v>
      </c>
      <c r="J220">
        <v>1</v>
      </c>
      <c r="K220">
        <v>0</v>
      </c>
      <c r="L220">
        <v>45580</v>
      </c>
      <c r="M220" t="s">
        <v>161</v>
      </c>
      <c r="N220">
        <v>0.24132730015082957</v>
      </c>
      <c r="O220">
        <v>0</v>
      </c>
      <c r="P220">
        <v>0</v>
      </c>
      <c r="Q220">
        <v>0.24132730015082957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0.24132730015082957</v>
      </c>
      <c r="AB220">
        <v>0.75867269984917041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I220">
        <v>0</v>
      </c>
      <c r="BJ220">
        <v>0</v>
      </c>
      <c r="BK220">
        <v>4.1437499999999998</v>
      </c>
      <c r="BL220">
        <v>3.1437499999999998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</row>
    <row r="221" spans="1:83" x14ac:dyDescent="0.25">
      <c r="A221" t="s">
        <v>128</v>
      </c>
      <c r="B221" t="s">
        <v>181</v>
      </c>
      <c r="C221" t="s">
        <v>72</v>
      </c>
      <c r="D221" s="12">
        <v>45580</v>
      </c>
      <c r="E221" t="s">
        <v>178</v>
      </c>
      <c r="F221" t="s">
        <v>74</v>
      </c>
      <c r="G221">
        <v>0.84615384615384603</v>
      </c>
      <c r="H221">
        <v>1.9</v>
      </c>
      <c r="I221">
        <v>10</v>
      </c>
      <c r="K221">
        <v>1.9</v>
      </c>
      <c r="L221">
        <v>45580</v>
      </c>
      <c r="M221" t="s">
        <v>161</v>
      </c>
      <c r="N221">
        <v>1.9964349376114079</v>
      </c>
      <c r="O221">
        <v>2.2454545454545456</v>
      </c>
      <c r="P221">
        <v>2.2454545454545456</v>
      </c>
      <c r="Q221">
        <v>2.3594231080862098</v>
      </c>
      <c r="R221">
        <v>0.11396856263166422</v>
      </c>
      <c r="S221">
        <v>0</v>
      </c>
      <c r="T221">
        <v>0</v>
      </c>
      <c r="U221">
        <v>0</v>
      </c>
      <c r="V221">
        <v>0.99545454545454559</v>
      </c>
      <c r="W221">
        <v>0</v>
      </c>
      <c r="X221">
        <v>0.25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0.44534412955465585</v>
      </c>
      <c r="AM221">
        <v>0.44534412955465585</v>
      </c>
      <c r="AN221">
        <v>1.0507552303217937</v>
      </c>
      <c r="AO221">
        <v>5.0755230321793743E-2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0.44534412955465585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0.95169642857142867</v>
      </c>
      <c r="BJ221">
        <v>0.95169642857142867</v>
      </c>
      <c r="BK221">
        <v>0.42383241758241758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4.8303571428571335E-2</v>
      </c>
      <c r="BW221">
        <v>0</v>
      </c>
      <c r="BX221">
        <v>0.52786401098901115</v>
      </c>
      <c r="BY221">
        <v>0</v>
      </c>
      <c r="BZ221">
        <v>0.42383241758241758</v>
      </c>
      <c r="CA221">
        <v>0</v>
      </c>
      <c r="CB221">
        <v>0</v>
      </c>
      <c r="CC221">
        <v>0</v>
      </c>
      <c r="CD221">
        <v>0</v>
      </c>
      <c r="CE221">
        <v>0</v>
      </c>
    </row>
    <row r="222" spans="1:83" x14ac:dyDescent="0.25">
      <c r="A222" t="s">
        <v>128</v>
      </c>
      <c r="B222" t="s">
        <v>134</v>
      </c>
      <c r="C222" t="s">
        <v>72</v>
      </c>
      <c r="D222" s="12">
        <v>45580</v>
      </c>
      <c r="E222" t="s">
        <v>178</v>
      </c>
      <c r="F222" t="s">
        <v>75</v>
      </c>
      <c r="G222">
        <v>2.8796992481203003</v>
      </c>
      <c r="H222">
        <v>2.8499999999999996</v>
      </c>
      <c r="I222">
        <v>10</v>
      </c>
      <c r="J222">
        <v>1</v>
      </c>
      <c r="K222">
        <v>2.8499999999999996</v>
      </c>
      <c r="L222">
        <v>45580</v>
      </c>
      <c r="M222" t="s">
        <v>162</v>
      </c>
      <c r="N222">
        <v>3.1683569979716029</v>
      </c>
      <c r="O222">
        <v>0.98968668407310711</v>
      </c>
      <c r="P222">
        <v>0.98968668407310711</v>
      </c>
      <c r="Q222">
        <v>1.1002388530815228</v>
      </c>
      <c r="R222">
        <v>0.10023885308152281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1.0313315926892885E-2</v>
      </c>
      <c r="AB222">
        <v>0</v>
      </c>
      <c r="AC222">
        <v>0</v>
      </c>
      <c r="AD222">
        <v>0</v>
      </c>
      <c r="AE222">
        <v>0</v>
      </c>
      <c r="AF222">
        <v>0.98968668407310711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1.0104207888141405</v>
      </c>
      <c r="AM222">
        <v>1.0104207888141405</v>
      </c>
      <c r="AN222">
        <v>1.1117042098145977</v>
      </c>
      <c r="AO222">
        <v>0.10128342100045717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1.0420788814140547E-2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1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0.89951984635083204</v>
      </c>
      <c r="BJ222">
        <v>0.89951984635083204</v>
      </c>
      <c r="BK222">
        <v>0.90889355270378225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9.1106447296217752E-2</v>
      </c>
      <c r="BW222">
        <v>0</v>
      </c>
      <c r="BX222">
        <v>0</v>
      </c>
      <c r="BY222">
        <v>0</v>
      </c>
      <c r="BZ222">
        <v>0.89951984635083204</v>
      </c>
      <c r="CA222">
        <v>0</v>
      </c>
      <c r="CB222">
        <v>0</v>
      </c>
      <c r="CC222">
        <v>0</v>
      </c>
      <c r="CD222">
        <v>0</v>
      </c>
      <c r="CE222">
        <v>0</v>
      </c>
    </row>
    <row r="223" spans="1:83" x14ac:dyDescent="0.25">
      <c r="A223" t="s">
        <v>128</v>
      </c>
      <c r="B223" t="s">
        <v>181</v>
      </c>
      <c r="C223" t="s">
        <v>72</v>
      </c>
      <c r="D223" s="12">
        <v>45580</v>
      </c>
      <c r="E223" t="s">
        <v>178</v>
      </c>
      <c r="F223" t="s">
        <v>75</v>
      </c>
      <c r="G223">
        <v>2.5351191458269504</v>
      </c>
      <c r="H223">
        <v>3.8</v>
      </c>
      <c r="I223">
        <v>10</v>
      </c>
      <c r="K223">
        <v>3.8</v>
      </c>
      <c r="L223">
        <v>45580</v>
      </c>
      <c r="M223" t="s">
        <v>162</v>
      </c>
      <c r="N223">
        <v>3.8215240641711223</v>
      </c>
      <c r="O223">
        <v>1.498943355879413</v>
      </c>
      <c r="P223">
        <v>1.498943355879413</v>
      </c>
      <c r="Q223">
        <v>1.5074337119269987</v>
      </c>
      <c r="R223">
        <v>8.4903560475857454E-3</v>
      </c>
      <c r="S223">
        <v>0</v>
      </c>
      <c r="T223">
        <v>0</v>
      </c>
      <c r="U223">
        <v>0</v>
      </c>
      <c r="V223">
        <v>0.24894335587941296</v>
      </c>
      <c r="W223">
        <v>0</v>
      </c>
      <c r="X223">
        <v>0.25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0.66713661732288176</v>
      </c>
      <c r="AM223">
        <v>0.66713661732288176</v>
      </c>
      <c r="AN223">
        <v>1.0056642274134533</v>
      </c>
      <c r="AO223">
        <v>5.6642274134532933E-3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0.66713661732288176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0.99436767535420689</v>
      </c>
      <c r="BJ223">
        <v>0.99436767535420689</v>
      </c>
      <c r="BK223">
        <v>0.66337908731102302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5.6323246457931075E-3</v>
      </c>
      <c r="BW223">
        <v>0</v>
      </c>
      <c r="BX223">
        <v>0.33098858804318387</v>
      </c>
      <c r="BY223">
        <v>0</v>
      </c>
      <c r="BZ223">
        <v>0.66337908731102302</v>
      </c>
      <c r="CA223">
        <v>0</v>
      </c>
      <c r="CB223">
        <v>0</v>
      </c>
      <c r="CC223">
        <v>0</v>
      </c>
      <c r="CD223">
        <v>0</v>
      </c>
      <c r="CE223">
        <v>0</v>
      </c>
    </row>
    <row r="224" spans="1:83" x14ac:dyDescent="0.25">
      <c r="A224" t="s">
        <v>128</v>
      </c>
      <c r="B224" t="s">
        <v>134</v>
      </c>
      <c r="C224" t="s">
        <v>72</v>
      </c>
      <c r="D224" s="12">
        <v>45581</v>
      </c>
      <c r="E224" t="s">
        <v>178</v>
      </c>
      <c r="F224" t="s">
        <v>73</v>
      </c>
      <c r="G224">
        <v>5.7593984962406006</v>
      </c>
      <c r="H224">
        <v>3.8</v>
      </c>
      <c r="I224">
        <v>10</v>
      </c>
      <c r="J224">
        <v>1</v>
      </c>
      <c r="K224">
        <v>3.8</v>
      </c>
      <c r="L224">
        <v>45581</v>
      </c>
      <c r="M224" t="s">
        <v>163</v>
      </c>
      <c r="N224">
        <v>3.6806722689075615</v>
      </c>
      <c r="O224">
        <v>0.65979112271540474</v>
      </c>
      <c r="P224">
        <v>0.65979112271540474</v>
      </c>
      <c r="Q224">
        <v>0.63907233911841477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0.34020887728459526</v>
      </c>
      <c r="AC224">
        <v>0</v>
      </c>
      <c r="AD224">
        <v>2.0718783596989976E-2</v>
      </c>
      <c r="AE224">
        <v>0</v>
      </c>
      <c r="AF224">
        <v>0.63907233911841477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1.5156311832212108</v>
      </c>
      <c r="AM224">
        <v>1.5156311832212108</v>
      </c>
      <c r="AN224">
        <v>0.96859796550198995</v>
      </c>
      <c r="BE224">
        <v>0</v>
      </c>
      <c r="BF224">
        <v>0</v>
      </c>
      <c r="BG224">
        <v>0</v>
      </c>
      <c r="BI224">
        <v>1.0324200913242012</v>
      </c>
      <c r="BJ224">
        <v>1.0324200913242012</v>
      </c>
      <c r="BK224">
        <v>1.5647680845950498</v>
      </c>
      <c r="BL224">
        <v>0.53234799327084859</v>
      </c>
      <c r="BM224">
        <v>0</v>
      </c>
      <c r="BN224">
        <v>0</v>
      </c>
      <c r="BO224">
        <v>0</v>
      </c>
      <c r="BP224">
        <v>0</v>
      </c>
      <c r="BQ224">
        <v>0.46757990867579879</v>
      </c>
      <c r="BR224">
        <v>3.2420091324201206E-2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</row>
    <row r="225" spans="1:83" x14ac:dyDescent="0.25">
      <c r="A225" t="s">
        <v>128</v>
      </c>
      <c r="B225" t="s">
        <v>181</v>
      </c>
      <c r="C225" t="s">
        <v>72</v>
      </c>
      <c r="D225" s="12">
        <v>45581</v>
      </c>
      <c r="E225" t="s">
        <v>178</v>
      </c>
      <c r="F225" t="s">
        <v>73</v>
      </c>
      <c r="G225">
        <v>6.8471096572600336</v>
      </c>
      <c r="H225">
        <v>3.8</v>
      </c>
      <c r="I225">
        <v>10</v>
      </c>
      <c r="K225">
        <v>3.8</v>
      </c>
      <c r="L225">
        <v>45581</v>
      </c>
      <c r="M225" t="s">
        <v>163</v>
      </c>
      <c r="N225">
        <v>1.9377450980392157</v>
      </c>
      <c r="O225">
        <v>0.55497869761306307</v>
      </c>
      <c r="P225">
        <v>0.55497869761306307</v>
      </c>
      <c r="Q225">
        <v>0.28300190810944764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0.44502130238693693</v>
      </c>
      <c r="AC225">
        <v>0</v>
      </c>
      <c r="AD225">
        <v>0.27197678950361542</v>
      </c>
      <c r="AE225">
        <v>0</v>
      </c>
      <c r="AF225">
        <v>0.28300190810944764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1.801870962436851</v>
      </c>
      <c r="AM225">
        <v>1.801870962436851</v>
      </c>
      <c r="AN225">
        <v>0.50993292053663575</v>
      </c>
      <c r="BE225">
        <v>0</v>
      </c>
      <c r="BF225">
        <v>0</v>
      </c>
      <c r="BG225">
        <v>0</v>
      </c>
      <c r="BI225">
        <v>1.9610422463951429</v>
      </c>
      <c r="BJ225">
        <v>1.9610422463951429</v>
      </c>
      <c r="BK225">
        <v>3.5335450798913404</v>
      </c>
      <c r="CB225">
        <v>0</v>
      </c>
      <c r="CC225">
        <v>0</v>
      </c>
      <c r="CD225">
        <v>0</v>
      </c>
    </row>
    <row r="226" spans="1:83" x14ac:dyDescent="0.25">
      <c r="A226" t="s">
        <v>128</v>
      </c>
      <c r="B226" t="s">
        <v>134</v>
      </c>
      <c r="C226" t="s">
        <v>72</v>
      </c>
      <c r="D226" s="12">
        <v>45581</v>
      </c>
      <c r="E226" t="s">
        <v>178</v>
      </c>
      <c r="F226" t="s">
        <v>74</v>
      </c>
      <c r="G226">
        <v>1</v>
      </c>
      <c r="H226">
        <v>0</v>
      </c>
      <c r="I226">
        <v>10</v>
      </c>
      <c r="J226">
        <v>1</v>
      </c>
      <c r="K226">
        <v>0</v>
      </c>
      <c r="L226">
        <v>45581</v>
      </c>
      <c r="M226" t="s">
        <v>164</v>
      </c>
      <c r="N226">
        <v>0.12066365007541478</v>
      </c>
      <c r="O226">
        <v>0</v>
      </c>
      <c r="P226">
        <v>0</v>
      </c>
      <c r="Q226">
        <v>0.12066365007541478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0.12066365007541478</v>
      </c>
      <c r="AB226">
        <v>0.8793363499245852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I226">
        <v>0</v>
      </c>
      <c r="BJ226">
        <v>0</v>
      </c>
      <c r="BK226">
        <v>8.2874999999999996</v>
      </c>
      <c r="BL226">
        <v>7.2874999999999996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</row>
    <row r="227" spans="1:83" x14ac:dyDescent="0.25">
      <c r="A227" t="s">
        <v>128</v>
      </c>
      <c r="B227" t="s">
        <v>181</v>
      </c>
      <c r="C227" t="s">
        <v>72</v>
      </c>
      <c r="D227" s="12">
        <v>45581</v>
      </c>
      <c r="E227" t="s">
        <v>178</v>
      </c>
      <c r="F227" t="s">
        <v>74</v>
      </c>
      <c r="G227">
        <v>0.84615384615384603</v>
      </c>
      <c r="H227">
        <v>1.9</v>
      </c>
      <c r="I227">
        <v>10</v>
      </c>
      <c r="K227">
        <v>1.9</v>
      </c>
      <c r="L227">
        <v>45581</v>
      </c>
      <c r="M227" t="s">
        <v>164</v>
      </c>
      <c r="N227">
        <v>1.9679144385026737</v>
      </c>
      <c r="O227">
        <v>2.2454545454545456</v>
      </c>
      <c r="P227">
        <v>2.2454545454545456</v>
      </c>
      <c r="Q227">
        <v>2.3257170636849782</v>
      </c>
      <c r="R227">
        <v>8.0262518230432622E-2</v>
      </c>
      <c r="S227">
        <v>0</v>
      </c>
      <c r="T227">
        <v>0</v>
      </c>
      <c r="U227">
        <v>0</v>
      </c>
      <c r="V227">
        <v>0.99545454545454559</v>
      </c>
      <c r="W227">
        <v>0</v>
      </c>
      <c r="X227">
        <v>0.25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0.44534412955465585</v>
      </c>
      <c r="AM227">
        <v>0.44534412955465585</v>
      </c>
      <c r="AN227">
        <v>1.0357444413171968</v>
      </c>
      <c r="AO227">
        <v>3.5744441317196785E-2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0.44534412955465585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0.96548913043478257</v>
      </c>
      <c r="BJ227">
        <v>0.96548913043478257</v>
      </c>
      <c r="BK227">
        <v>0.42997491638795982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3.4510869565217428E-2</v>
      </c>
      <c r="BW227">
        <v>0</v>
      </c>
      <c r="BX227">
        <v>0.53551421404682276</v>
      </c>
      <c r="BY227">
        <v>0</v>
      </c>
      <c r="BZ227">
        <v>0.42997491638795982</v>
      </c>
      <c r="CA227">
        <v>0</v>
      </c>
      <c r="CB227">
        <v>0</v>
      </c>
      <c r="CC227">
        <v>0</v>
      </c>
      <c r="CD227">
        <v>0</v>
      </c>
      <c r="CE227">
        <v>0</v>
      </c>
    </row>
    <row r="228" spans="1:83" x14ac:dyDescent="0.25">
      <c r="A228" t="s">
        <v>128</v>
      </c>
      <c r="B228" t="s">
        <v>134</v>
      </c>
      <c r="C228" t="s">
        <v>72</v>
      </c>
      <c r="D228" s="12">
        <v>45581</v>
      </c>
      <c r="E228" t="s">
        <v>178</v>
      </c>
      <c r="F228" t="s">
        <v>75</v>
      </c>
      <c r="G228">
        <v>2.8796992481203003</v>
      </c>
      <c r="H228">
        <v>4.75</v>
      </c>
      <c r="I228">
        <v>10</v>
      </c>
      <c r="J228">
        <v>1</v>
      </c>
      <c r="K228">
        <v>4.75</v>
      </c>
      <c r="L228">
        <v>45581</v>
      </c>
      <c r="M228" t="s">
        <v>165</v>
      </c>
      <c r="N228">
        <v>1.5253549695740365</v>
      </c>
      <c r="O228">
        <v>1.6494778067885121</v>
      </c>
      <c r="P228">
        <v>1.6494778067885121</v>
      </c>
      <c r="Q228">
        <v>0.5296924567972503</v>
      </c>
      <c r="R228">
        <v>0</v>
      </c>
      <c r="S228">
        <v>0</v>
      </c>
      <c r="T228">
        <v>0.39947780678851208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0.25</v>
      </c>
      <c r="AA228">
        <v>0</v>
      </c>
      <c r="AB228">
        <v>0</v>
      </c>
      <c r="AC228">
        <v>0</v>
      </c>
      <c r="AD228">
        <v>0.4703075432027497</v>
      </c>
      <c r="AE228">
        <v>0</v>
      </c>
      <c r="AF228">
        <v>0.5296924567972503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0.60625247328848431</v>
      </c>
      <c r="AM228">
        <v>0.60625247328848431</v>
      </c>
      <c r="AN228">
        <v>0.32112736201558661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0.39374752671151569</v>
      </c>
      <c r="AZ228">
        <v>0</v>
      </c>
      <c r="BA228">
        <v>0.28512511127289769</v>
      </c>
      <c r="BB228">
        <v>0</v>
      </c>
      <c r="BC228">
        <v>0.32112736201558661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3.1140292553191489</v>
      </c>
      <c r="BJ228">
        <v>3.1140292553191489</v>
      </c>
      <c r="BK228">
        <v>1.8878879379299309</v>
      </c>
      <c r="CB228">
        <v>0</v>
      </c>
      <c r="CC228">
        <v>0</v>
      </c>
      <c r="CD228">
        <v>0</v>
      </c>
    </row>
    <row r="229" spans="1:83" x14ac:dyDescent="0.25">
      <c r="A229" t="s">
        <v>128</v>
      </c>
      <c r="B229" t="s">
        <v>181</v>
      </c>
      <c r="C229" t="s">
        <v>72</v>
      </c>
      <c r="D229" s="12">
        <v>45581</v>
      </c>
      <c r="E229" t="s">
        <v>178</v>
      </c>
      <c r="F229" t="s">
        <v>75</v>
      </c>
      <c r="G229">
        <v>2.5351191458269504</v>
      </c>
      <c r="H229">
        <v>2.8499999999999996</v>
      </c>
      <c r="I229">
        <v>10</v>
      </c>
      <c r="K229">
        <v>2.8499999999999996</v>
      </c>
      <c r="L229">
        <v>45581</v>
      </c>
      <c r="M229" t="s">
        <v>165</v>
      </c>
      <c r="N229">
        <v>2.9371657754010689</v>
      </c>
      <c r="O229">
        <v>1.1242075169095596</v>
      </c>
      <c r="P229">
        <v>1.1242075169095596</v>
      </c>
      <c r="Q229">
        <v>1.1585908221457464</v>
      </c>
      <c r="R229">
        <v>3.4383305236186823E-2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0.12420751690955956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1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0.88951548976384232</v>
      </c>
      <c r="AM229">
        <v>0.88951548976384232</v>
      </c>
      <c r="AN229">
        <v>1.0305844825968664</v>
      </c>
      <c r="AO229">
        <v>3.0584482596866414E-2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0.88951548976384232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0.97032316795630413</v>
      </c>
      <c r="BJ229">
        <v>0.97032316795630413</v>
      </c>
      <c r="BK229">
        <v>0.8631174879738549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2.9676832043695867E-2</v>
      </c>
      <c r="BW229">
        <v>0</v>
      </c>
      <c r="BX229">
        <v>0.10720567998244923</v>
      </c>
      <c r="BY229">
        <v>0</v>
      </c>
      <c r="BZ229">
        <v>0.8631174879738549</v>
      </c>
      <c r="CA229">
        <v>0</v>
      </c>
      <c r="CB229">
        <v>0</v>
      </c>
      <c r="CC229">
        <v>0</v>
      </c>
      <c r="CD229">
        <v>0</v>
      </c>
      <c r="CE229">
        <v>0</v>
      </c>
    </row>
    <row r="230" spans="1:83" x14ac:dyDescent="0.25">
      <c r="A230" t="s">
        <v>128</v>
      </c>
      <c r="B230" t="s">
        <v>181</v>
      </c>
      <c r="C230" t="s">
        <v>72</v>
      </c>
      <c r="D230" s="12">
        <v>45582</v>
      </c>
      <c r="E230" t="s">
        <v>178</v>
      </c>
      <c r="F230" t="s">
        <v>73</v>
      </c>
      <c r="G230">
        <v>6.8471096572600327</v>
      </c>
      <c r="H230">
        <v>3.8</v>
      </c>
      <c r="I230">
        <v>10</v>
      </c>
      <c r="K230">
        <v>3.8</v>
      </c>
      <c r="L230">
        <v>45582</v>
      </c>
      <c r="M230" t="s">
        <v>166</v>
      </c>
      <c r="N230">
        <v>2.8752450980392155</v>
      </c>
      <c r="O230">
        <v>0.55497869761306307</v>
      </c>
      <c r="P230">
        <v>0.55497869761306307</v>
      </c>
      <c r="Q230">
        <v>0.41992099469161787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0.44502130238693693</v>
      </c>
      <c r="AC230">
        <v>0</v>
      </c>
      <c r="AD230">
        <v>0.1350577029214452</v>
      </c>
      <c r="AE230">
        <v>0</v>
      </c>
      <c r="AF230">
        <v>0.41992099469161787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1.8018709624368507</v>
      </c>
      <c r="AM230">
        <v>1.8018709624368507</v>
      </c>
      <c r="AN230">
        <v>0.75664344685242513</v>
      </c>
      <c r="BE230">
        <v>0</v>
      </c>
      <c r="BF230">
        <v>0</v>
      </c>
      <c r="BG230">
        <v>0</v>
      </c>
      <c r="BI230">
        <v>1.3216264598073482</v>
      </c>
      <c r="BJ230">
        <v>1.3216264598073482</v>
      </c>
      <c r="BK230">
        <v>2.3814003411150741</v>
      </c>
      <c r="BL230">
        <v>1.059773881307726</v>
      </c>
      <c r="BM230">
        <v>0</v>
      </c>
      <c r="BN230">
        <v>0</v>
      </c>
      <c r="BO230">
        <v>0</v>
      </c>
      <c r="BP230">
        <v>0</v>
      </c>
      <c r="BQ230">
        <v>0.17837354019265184</v>
      </c>
      <c r="BR230">
        <v>0.32162645980734816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</row>
    <row r="231" spans="1:83" x14ac:dyDescent="0.25">
      <c r="A231" t="s">
        <v>128</v>
      </c>
      <c r="B231" t="s">
        <v>134</v>
      </c>
      <c r="C231" t="s">
        <v>72</v>
      </c>
      <c r="D231" s="12">
        <v>45582</v>
      </c>
      <c r="E231" t="s">
        <v>178</v>
      </c>
      <c r="F231" t="s">
        <v>73</v>
      </c>
      <c r="G231">
        <v>5.7593984962406006</v>
      </c>
      <c r="H231">
        <v>0.95</v>
      </c>
      <c r="I231">
        <v>10</v>
      </c>
      <c r="J231">
        <v>1</v>
      </c>
      <c r="K231">
        <v>0.95</v>
      </c>
      <c r="L231">
        <v>45582</v>
      </c>
      <c r="M231" t="s">
        <v>166</v>
      </c>
      <c r="N231">
        <v>3.7590132827324472</v>
      </c>
      <c r="O231">
        <v>0.16494778067885119</v>
      </c>
      <c r="P231">
        <v>0.16494778067885119</v>
      </c>
      <c r="Q231">
        <v>0.65267463003056858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0.4877268493517174</v>
      </c>
      <c r="AB231">
        <v>0.34732536996943142</v>
      </c>
      <c r="AC231">
        <v>0</v>
      </c>
      <c r="AD231">
        <v>0</v>
      </c>
      <c r="AE231">
        <v>0</v>
      </c>
      <c r="AF231">
        <v>0.16494778067885119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6.0625247328848433</v>
      </c>
      <c r="AM231">
        <v>6.0625247328848433</v>
      </c>
      <c r="AN231">
        <v>3.9568560870867868</v>
      </c>
      <c r="BE231">
        <v>0</v>
      </c>
      <c r="BF231">
        <v>0</v>
      </c>
      <c r="BG231">
        <v>0</v>
      </c>
      <c r="BI231">
        <v>0.25272589601211515</v>
      </c>
      <c r="BJ231">
        <v>0.25272589601211515</v>
      </c>
      <c r="BK231">
        <v>1.5321569952139309</v>
      </c>
      <c r="BL231">
        <v>0.53215699521393089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0.83505221932114881</v>
      </c>
      <c r="BV231">
        <v>0</v>
      </c>
      <c r="BW231">
        <v>0</v>
      </c>
      <c r="BX231">
        <v>0</v>
      </c>
      <c r="BY231">
        <v>0</v>
      </c>
      <c r="BZ231">
        <v>0.25272589601211515</v>
      </c>
      <c r="CA231">
        <v>0</v>
      </c>
      <c r="CB231">
        <v>0</v>
      </c>
      <c r="CC231">
        <v>0</v>
      </c>
      <c r="CD231">
        <v>0</v>
      </c>
      <c r="CE231">
        <v>0</v>
      </c>
    </row>
    <row r="232" spans="1:83" x14ac:dyDescent="0.25">
      <c r="A232" t="s">
        <v>128</v>
      </c>
      <c r="B232" t="s">
        <v>181</v>
      </c>
      <c r="C232" t="s">
        <v>72</v>
      </c>
      <c r="D232" s="12">
        <v>45582</v>
      </c>
      <c r="E232" t="s">
        <v>178</v>
      </c>
      <c r="F232" t="s">
        <v>74</v>
      </c>
      <c r="G232">
        <v>0.84615384615384603</v>
      </c>
      <c r="H232">
        <v>1.9</v>
      </c>
      <c r="I232">
        <v>10</v>
      </c>
      <c r="K232">
        <v>1.9</v>
      </c>
      <c r="L232">
        <v>45582</v>
      </c>
      <c r="M232" t="s">
        <v>167</v>
      </c>
      <c r="N232">
        <v>1.9679144385026737</v>
      </c>
      <c r="O232">
        <v>2.2454545454545456</v>
      </c>
      <c r="P232">
        <v>2.2454545454545456</v>
      </c>
      <c r="Q232">
        <v>2.3257170636849782</v>
      </c>
      <c r="R232">
        <v>8.0262518230432622E-2</v>
      </c>
      <c r="S232">
        <v>0</v>
      </c>
      <c r="T232">
        <v>0</v>
      </c>
      <c r="U232">
        <v>0</v>
      </c>
      <c r="V232">
        <v>0.99545454545454559</v>
      </c>
      <c r="W232">
        <v>0</v>
      </c>
      <c r="X232">
        <v>0.25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1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0.44534412955465585</v>
      </c>
      <c r="AM232">
        <v>0.44534412955465585</v>
      </c>
      <c r="AN232">
        <v>1.0357444413171968</v>
      </c>
      <c r="AO232">
        <v>3.5744441317196785E-2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0.44534412955465585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0.96548913043478257</v>
      </c>
      <c r="BJ232">
        <v>0.96548913043478257</v>
      </c>
      <c r="BK232">
        <v>0.42997491638795982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3.4510869565217428E-2</v>
      </c>
      <c r="BW232">
        <v>0</v>
      </c>
      <c r="BX232">
        <v>0.53551421404682276</v>
      </c>
      <c r="BY232">
        <v>0</v>
      </c>
      <c r="BZ232">
        <v>0.42997491638795982</v>
      </c>
      <c r="CA232">
        <v>0</v>
      </c>
      <c r="CB232">
        <v>0</v>
      </c>
      <c r="CC232">
        <v>0</v>
      </c>
      <c r="CD232">
        <v>0</v>
      </c>
      <c r="CE232">
        <v>0</v>
      </c>
    </row>
    <row r="233" spans="1:83" x14ac:dyDescent="0.25">
      <c r="A233" t="s">
        <v>128</v>
      </c>
      <c r="B233" t="s">
        <v>134</v>
      </c>
      <c r="C233" t="s">
        <v>72</v>
      </c>
      <c r="D233" s="12">
        <v>45582</v>
      </c>
      <c r="E233" t="s">
        <v>178</v>
      </c>
      <c r="F233" t="s">
        <v>74</v>
      </c>
      <c r="G233">
        <v>1</v>
      </c>
      <c r="H233">
        <v>0</v>
      </c>
      <c r="I233">
        <v>10</v>
      </c>
      <c r="J233">
        <v>1</v>
      </c>
      <c r="K233">
        <v>0</v>
      </c>
      <c r="L233">
        <v>45582</v>
      </c>
      <c r="M233" t="s">
        <v>167</v>
      </c>
      <c r="N233">
        <v>1.2600465548632931</v>
      </c>
      <c r="O233">
        <v>0</v>
      </c>
      <c r="P233">
        <v>0</v>
      </c>
      <c r="Q233">
        <v>1.2600465548632931</v>
      </c>
      <c r="R233">
        <v>0.26004655486329309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1</v>
      </c>
      <c r="AK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1</v>
      </c>
      <c r="BH233">
        <v>1</v>
      </c>
      <c r="BI233">
        <v>0</v>
      </c>
      <c r="BJ233">
        <v>0</v>
      </c>
      <c r="BK233">
        <v>0.79362147068327449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0.20637852931672551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0.79362147068327449</v>
      </c>
      <c r="CE233">
        <v>0</v>
      </c>
    </row>
    <row r="234" spans="1:83" x14ac:dyDescent="0.25">
      <c r="A234" t="s">
        <v>128</v>
      </c>
      <c r="B234" t="s">
        <v>181</v>
      </c>
      <c r="C234" t="s">
        <v>72</v>
      </c>
      <c r="D234" s="12">
        <v>45582</v>
      </c>
      <c r="E234" t="s">
        <v>178</v>
      </c>
      <c r="F234" t="s">
        <v>75</v>
      </c>
      <c r="G234">
        <v>2.5351191458269504</v>
      </c>
      <c r="H234">
        <v>4.75</v>
      </c>
      <c r="I234">
        <v>10</v>
      </c>
      <c r="K234">
        <v>4.75</v>
      </c>
      <c r="L234">
        <v>45582</v>
      </c>
      <c r="M234" t="s">
        <v>168</v>
      </c>
      <c r="N234">
        <v>3.7212566844919786</v>
      </c>
      <c r="O234">
        <v>1.8736791948492661</v>
      </c>
      <c r="P234">
        <v>1.8736791948492661</v>
      </c>
      <c r="Q234">
        <v>1.467882363879238</v>
      </c>
      <c r="R234">
        <v>0</v>
      </c>
      <c r="S234">
        <v>0</v>
      </c>
      <c r="T234">
        <v>0.40579683097002817</v>
      </c>
      <c r="U234">
        <v>0</v>
      </c>
      <c r="V234">
        <v>0.21788236387923798</v>
      </c>
      <c r="W234">
        <v>0</v>
      </c>
      <c r="X234">
        <v>0.25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1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0.53370929385830534</v>
      </c>
      <c r="AM234">
        <v>0.53370929385830534</v>
      </c>
      <c r="AN234">
        <v>0.78342245989304815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0.21657754010695185</v>
      </c>
      <c r="AZ234">
        <v>0</v>
      </c>
      <c r="BA234">
        <v>0</v>
      </c>
      <c r="BB234">
        <v>0</v>
      </c>
      <c r="BC234">
        <v>0.53370929385830534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1.2764505119453926</v>
      </c>
      <c r="BJ234">
        <v>1.2764505119453926</v>
      </c>
      <c r="BK234">
        <v>0.68125350137544782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0.27645051194539261</v>
      </c>
      <c r="BU234">
        <v>0</v>
      </c>
      <c r="BV234">
        <v>0</v>
      </c>
      <c r="BW234">
        <v>0</v>
      </c>
      <c r="BX234">
        <v>0.31874649862455218</v>
      </c>
      <c r="BY234">
        <v>0</v>
      </c>
      <c r="BZ234">
        <v>0.68125350137544782</v>
      </c>
      <c r="CA234">
        <v>0</v>
      </c>
      <c r="CB234">
        <v>0</v>
      </c>
      <c r="CC234">
        <v>0</v>
      </c>
      <c r="CD234">
        <v>0</v>
      </c>
      <c r="CE234">
        <v>0</v>
      </c>
    </row>
    <row r="235" spans="1:83" x14ac:dyDescent="0.25">
      <c r="A235" t="s">
        <v>128</v>
      </c>
      <c r="B235" t="s">
        <v>134</v>
      </c>
      <c r="C235" t="s">
        <v>72</v>
      </c>
      <c r="D235" s="12">
        <v>45582</v>
      </c>
      <c r="E235" t="s">
        <v>178</v>
      </c>
      <c r="F235" t="s">
        <v>75</v>
      </c>
      <c r="G235">
        <v>2.8796992481203003</v>
      </c>
      <c r="H235">
        <v>5.6999999999999993</v>
      </c>
      <c r="I235">
        <v>10</v>
      </c>
      <c r="J235">
        <v>1</v>
      </c>
      <c r="K235">
        <v>5.6999999999999993</v>
      </c>
      <c r="L235">
        <v>45582</v>
      </c>
      <c r="M235" t="s">
        <v>168</v>
      </c>
      <c r="N235">
        <v>3.4020153111300142</v>
      </c>
      <c r="O235">
        <v>1.9793733681462142</v>
      </c>
      <c r="P235">
        <v>1.9793733681462142</v>
      </c>
      <c r="Q235">
        <v>1.1813786850660364</v>
      </c>
      <c r="R235">
        <v>0</v>
      </c>
      <c r="S235">
        <v>0</v>
      </c>
      <c r="T235">
        <v>0.72937336814621423</v>
      </c>
      <c r="U235">
        <v>0</v>
      </c>
      <c r="V235">
        <v>0</v>
      </c>
      <c r="W235">
        <v>0</v>
      </c>
      <c r="X235">
        <v>0.18137868506603638</v>
      </c>
      <c r="Y235">
        <v>0</v>
      </c>
      <c r="Z235">
        <v>6.8621314933963617E-2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1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0.50521039440707027</v>
      </c>
      <c r="AM235">
        <v>0.50521039440707027</v>
      </c>
      <c r="AN235">
        <v>0.59684479142631841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0.40315520857368159</v>
      </c>
      <c r="AZ235">
        <v>0</v>
      </c>
      <c r="BA235">
        <v>0</v>
      </c>
      <c r="BB235">
        <v>0</v>
      </c>
      <c r="BC235">
        <v>0.50521039440707027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1.6754774681207081</v>
      </c>
      <c r="BJ235">
        <v>1.6754774681207081</v>
      </c>
      <c r="BK235">
        <v>0.8464686324894225</v>
      </c>
      <c r="CB235">
        <v>0</v>
      </c>
      <c r="CC235">
        <v>0</v>
      </c>
      <c r="CD235">
        <v>0</v>
      </c>
    </row>
    <row r="236" spans="1:83" x14ac:dyDescent="0.25">
      <c r="A236" t="s">
        <v>128</v>
      </c>
      <c r="B236" t="s">
        <v>134</v>
      </c>
      <c r="C236" t="s">
        <v>72</v>
      </c>
      <c r="D236" s="12">
        <v>45583</v>
      </c>
      <c r="E236" t="s">
        <v>178</v>
      </c>
      <c r="F236" t="s">
        <v>73</v>
      </c>
      <c r="G236">
        <v>5.7593984962406006</v>
      </c>
      <c r="H236">
        <v>2.8499999999999996</v>
      </c>
      <c r="I236">
        <v>10</v>
      </c>
      <c r="J236">
        <v>1</v>
      </c>
      <c r="K236">
        <v>2.8499999999999996</v>
      </c>
      <c r="L236">
        <v>45583</v>
      </c>
      <c r="M236" t="s">
        <v>169</v>
      </c>
      <c r="N236">
        <v>3.502922221520187</v>
      </c>
      <c r="O236">
        <v>0.49484334203655356</v>
      </c>
      <c r="P236">
        <v>0.49484334203655356</v>
      </c>
      <c r="Q236">
        <v>0.60820973297935366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0.1133663909428001</v>
      </c>
      <c r="AB236">
        <v>0.39179026702064634</v>
      </c>
      <c r="AC236">
        <v>0</v>
      </c>
      <c r="AD236">
        <v>0</v>
      </c>
      <c r="AE236">
        <v>0</v>
      </c>
      <c r="AF236">
        <v>0.49484334203655356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2.0208415776282811</v>
      </c>
      <c r="AM236">
        <v>2.0208415776282811</v>
      </c>
      <c r="AN236">
        <v>1.2290955163228727</v>
      </c>
      <c r="BE236">
        <v>0</v>
      </c>
      <c r="BF236">
        <v>0</v>
      </c>
      <c r="BG236">
        <v>0</v>
      </c>
      <c r="BI236">
        <v>0.81360641766209862</v>
      </c>
      <c r="BJ236">
        <v>0.81360641766209862</v>
      </c>
      <c r="BK236">
        <v>1.6441696766367697</v>
      </c>
      <c r="BL236">
        <v>0.64416967663676972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0.50515665796344644</v>
      </c>
      <c r="BV236">
        <v>0</v>
      </c>
      <c r="BW236">
        <v>0</v>
      </c>
      <c r="BX236">
        <v>0</v>
      </c>
      <c r="BY236">
        <v>0</v>
      </c>
      <c r="BZ236">
        <v>0.81360641766209862</v>
      </c>
      <c r="CA236">
        <v>0</v>
      </c>
      <c r="CB236">
        <v>0</v>
      </c>
      <c r="CC236">
        <v>0</v>
      </c>
      <c r="CD236">
        <v>0</v>
      </c>
      <c r="CE236">
        <v>0</v>
      </c>
    </row>
    <row r="237" spans="1:83" x14ac:dyDescent="0.25">
      <c r="A237" t="s">
        <v>128</v>
      </c>
      <c r="B237" t="s">
        <v>181</v>
      </c>
      <c r="C237" t="s">
        <v>72</v>
      </c>
      <c r="D237" s="12">
        <v>45583</v>
      </c>
      <c r="E237" t="s">
        <v>178</v>
      </c>
      <c r="F237" t="s">
        <v>73</v>
      </c>
      <c r="G237">
        <v>6.8471096572600336</v>
      </c>
      <c r="H237">
        <v>2.8499999999999996</v>
      </c>
      <c r="I237">
        <v>10</v>
      </c>
      <c r="K237">
        <v>2.8499999999999996</v>
      </c>
      <c r="L237">
        <v>45583</v>
      </c>
      <c r="M237" t="s">
        <v>169</v>
      </c>
      <c r="N237">
        <v>3.812745098039215</v>
      </c>
      <c r="O237">
        <v>0.41623402320979724</v>
      </c>
      <c r="P237">
        <v>0.41623402320979724</v>
      </c>
      <c r="Q237">
        <v>0.55684008127378792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0.14060605806399068</v>
      </c>
      <c r="AB237">
        <v>0.44315991872621208</v>
      </c>
      <c r="AC237">
        <v>0</v>
      </c>
      <c r="AD237">
        <v>0</v>
      </c>
      <c r="AE237">
        <v>0</v>
      </c>
      <c r="AF237">
        <v>0.41623402320979724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2.4024946165824681</v>
      </c>
      <c r="AM237">
        <v>2.4024946165824681</v>
      </c>
      <c r="AN237">
        <v>1.3378052975576196</v>
      </c>
      <c r="BE237">
        <v>0</v>
      </c>
      <c r="BF237">
        <v>0</v>
      </c>
      <c r="BG237">
        <v>0</v>
      </c>
      <c r="BI237">
        <v>0.74749292877346363</v>
      </c>
      <c r="BJ237">
        <v>0.74749292877346363</v>
      </c>
      <c r="BK237">
        <v>1.7958477373117088</v>
      </c>
      <c r="BL237">
        <v>0.79584773731170877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0.58376597679020281</v>
      </c>
      <c r="BV237">
        <v>0</v>
      </c>
      <c r="BW237">
        <v>0</v>
      </c>
      <c r="BX237">
        <v>0</v>
      </c>
      <c r="BY237">
        <v>0</v>
      </c>
      <c r="BZ237">
        <v>0.74749292877346363</v>
      </c>
      <c r="CA237">
        <v>0</v>
      </c>
      <c r="CB237">
        <v>0</v>
      </c>
      <c r="CC237">
        <v>0</v>
      </c>
      <c r="CD237">
        <v>0</v>
      </c>
      <c r="CE237">
        <v>0</v>
      </c>
    </row>
    <row r="238" spans="1:83" x14ac:dyDescent="0.25">
      <c r="A238" t="s">
        <v>128</v>
      </c>
      <c r="B238" t="s">
        <v>134</v>
      </c>
      <c r="C238" t="s">
        <v>72</v>
      </c>
      <c r="D238" s="12">
        <v>45583</v>
      </c>
      <c r="E238" t="s">
        <v>178</v>
      </c>
      <c r="F238" t="s">
        <v>74</v>
      </c>
      <c r="G238">
        <v>1</v>
      </c>
      <c r="H238">
        <v>0</v>
      </c>
      <c r="I238">
        <v>10</v>
      </c>
      <c r="J238">
        <v>1</v>
      </c>
      <c r="K238">
        <v>0</v>
      </c>
      <c r="L238">
        <v>45583</v>
      </c>
      <c r="M238" t="s">
        <v>170</v>
      </c>
      <c r="N238">
        <v>1.1913273001508298</v>
      </c>
      <c r="O238">
        <v>0</v>
      </c>
      <c r="P238">
        <v>0</v>
      </c>
      <c r="Q238">
        <v>1.1913273001508298</v>
      </c>
      <c r="R238">
        <v>0.19132730015082977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1</v>
      </c>
      <c r="AK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1</v>
      </c>
      <c r="BH238">
        <v>1</v>
      </c>
      <c r="BI238">
        <v>0</v>
      </c>
      <c r="BJ238">
        <v>0</v>
      </c>
      <c r="BK238">
        <v>0.83939988605431393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0.16060011394568607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0.83939988605431393</v>
      </c>
      <c r="CE238">
        <v>0</v>
      </c>
    </row>
    <row r="239" spans="1:83" x14ac:dyDescent="0.25">
      <c r="A239" t="s">
        <v>128</v>
      </c>
      <c r="B239" t="s">
        <v>181</v>
      </c>
      <c r="C239" t="s">
        <v>72</v>
      </c>
      <c r="D239" s="12">
        <v>45583</v>
      </c>
      <c r="E239" t="s">
        <v>178</v>
      </c>
      <c r="F239" t="s">
        <v>74</v>
      </c>
      <c r="G239">
        <v>0.84615384615384603</v>
      </c>
      <c r="H239">
        <v>1.9</v>
      </c>
      <c r="I239">
        <v>10</v>
      </c>
      <c r="K239">
        <v>1.9</v>
      </c>
      <c r="L239">
        <v>45583</v>
      </c>
      <c r="M239" t="s">
        <v>170</v>
      </c>
      <c r="N239">
        <v>1.9964349376114079</v>
      </c>
      <c r="O239">
        <v>2.2454545454545456</v>
      </c>
      <c r="P239">
        <v>2.2454545454545456</v>
      </c>
      <c r="Q239">
        <v>2.3594231080862098</v>
      </c>
      <c r="R239">
        <v>0.11396856263166422</v>
      </c>
      <c r="S239">
        <v>0</v>
      </c>
      <c r="T239">
        <v>0</v>
      </c>
      <c r="U239">
        <v>0</v>
      </c>
      <c r="V239">
        <v>0.99545454545454559</v>
      </c>
      <c r="W239">
        <v>0</v>
      </c>
      <c r="X239">
        <v>0.25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0.44534412955465585</v>
      </c>
      <c r="AM239">
        <v>0.44534412955465585</v>
      </c>
      <c r="AN239">
        <v>1.0507552303217937</v>
      </c>
      <c r="AO239">
        <v>5.0755230321793743E-2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0.44534412955465585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0.95169642857142867</v>
      </c>
      <c r="BJ239">
        <v>0.95169642857142867</v>
      </c>
      <c r="BK239">
        <v>0.42383241758241758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4.8303571428571335E-2</v>
      </c>
      <c r="BW239">
        <v>0</v>
      </c>
      <c r="BX239">
        <v>0.52786401098901115</v>
      </c>
      <c r="BY239">
        <v>0</v>
      </c>
      <c r="BZ239">
        <v>0.42383241758241758</v>
      </c>
      <c r="CA239">
        <v>0</v>
      </c>
      <c r="CB239">
        <v>0</v>
      </c>
      <c r="CC239">
        <v>0</v>
      </c>
      <c r="CD239">
        <v>0</v>
      </c>
      <c r="CE239">
        <v>0</v>
      </c>
    </row>
    <row r="240" spans="1:83" x14ac:dyDescent="0.25">
      <c r="A240" t="s">
        <v>128</v>
      </c>
      <c r="B240" t="s">
        <v>134</v>
      </c>
      <c r="C240" t="s">
        <v>72</v>
      </c>
      <c r="D240" s="12">
        <v>45583</v>
      </c>
      <c r="E240" t="s">
        <v>178</v>
      </c>
      <c r="F240" t="s">
        <v>75</v>
      </c>
      <c r="G240">
        <v>2.8796992481203003</v>
      </c>
      <c r="H240">
        <v>2.8499999999999996</v>
      </c>
      <c r="I240">
        <v>10</v>
      </c>
      <c r="J240">
        <v>1</v>
      </c>
      <c r="K240">
        <v>2.8499999999999996</v>
      </c>
      <c r="L240">
        <v>45583</v>
      </c>
      <c r="M240" t="s">
        <v>171</v>
      </c>
      <c r="N240">
        <v>2.4639235004346567</v>
      </c>
      <c r="O240">
        <v>0.98968668407310711</v>
      </c>
      <c r="P240">
        <v>0.98968668407310711</v>
      </c>
      <c r="Q240">
        <v>0.85561834349297494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1.0313315926892885E-2</v>
      </c>
      <c r="AC240">
        <v>0</v>
      </c>
      <c r="AD240">
        <v>0.13406834058013217</v>
      </c>
      <c r="AE240">
        <v>0</v>
      </c>
      <c r="AF240">
        <v>0.85561834349297494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1.0104207888141405</v>
      </c>
      <c r="AM240">
        <v>1.0104207888141405</v>
      </c>
      <c r="AN240">
        <v>0.86453456155602004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1.0420788814140547E-2</v>
      </c>
      <c r="AX240">
        <v>0</v>
      </c>
      <c r="AY240">
        <v>0</v>
      </c>
      <c r="AZ240">
        <v>0</v>
      </c>
      <c r="BA240">
        <v>0.13546543844397996</v>
      </c>
      <c r="BB240">
        <v>0</v>
      </c>
      <c r="BC240">
        <v>0.86453456155602004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1.156691755850876</v>
      </c>
      <c r="BJ240">
        <v>1.156691755850876</v>
      </c>
      <c r="BK240">
        <v>1.1687453963616554</v>
      </c>
      <c r="BL240">
        <v>1.2053640510779395E-2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0.15669175585087602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1</v>
      </c>
      <c r="CA240">
        <v>0</v>
      </c>
      <c r="CB240">
        <v>0</v>
      </c>
      <c r="CC240">
        <v>0</v>
      </c>
      <c r="CD240">
        <v>0</v>
      </c>
      <c r="CE240">
        <v>0</v>
      </c>
    </row>
    <row r="241" spans="1:83" x14ac:dyDescent="0.25">
      <c r="A241" t="s">
        <v>128</v>
      </c>
      <c r="B241" t="s">
        <v>181</v>
      </c>
      <c r="C241" t="s">
        <v>72</v>
      </c>
      <c r="D241" s="12">
        <v>45583</v>
      </c>
      <c r="E241" t="s">
        <v>178</v>
      </c>
      <c r="F241" t="s">
        <v>75</v>
      </c>
      <c r="G241">
        <v>2.5351191458269504</v>
      </c>
      <c r="H241">
        <v>3.8</v>
      </c>
      <c r="I241">
        <v>10</v>
      </c>
      <c r="K241">
        <v>3.8</v>
      </c>
      <c r="L241">
        <v>45583</v>
      </c>
      <c r="M241" t="s">
        <v>171</v>
      </c>
      <c r="N241">
        <v>3.9919786096256682</v>
      </c>
      <c r="O241">
        <v>1.498943355879413</v>
      </c>
      <c r="P241">
        <v>1.498943355879413</v>
      </c>
      <c r="Q241">
        <v>1.5746710036081928</v>
      </c>
      <c r="R241">
        <v>7.5727647728779823E-2</v>
      </c>
      <c r="S241">
        <v>0</v>
      </c>
      <c r="T241">
        <v>0</v>
      </c>
      <c r="U241">
        <v>0</v>
      </c>
      <c r="V241">
        <v>0.24894335587941296</v>
      </c>
      <c r="W241">
        <v>0</v>
      </c>
      <c r="X241">
        <v>0.25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0.66713661732288176</v>
      </c>
      <c r="AM241">
        <v>0.66713661732288176</v>
      </c>
      <c r="AN241">
        <v>1.050520686743597</v>
      </c>
      <c r="AO241">
        <v>5.0520686743596999E-2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0.66713661732288176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0.95190890823844609</v>
      </c>
      <c r="BJ241">
        <v>0.95190890823844609</v>
      </c>
      <c r="BK241">
        <v>0.63505328904171432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4.8091091761553906E-2</v>
      </c>
      <c r="BW241">
        <v>0</v>
      </c>
      <c r="BX241">
        <v>0.31685561919673177</v>
      </c>
      <c r="BY241">
        <v>0</v>
      </c>
      <c r="BZ241">
        <v>0.63505328904171432</v>
      </c>
      <c r="CA241">
        <v>0</v>
      </c>
      <c r="CB241">
        <v>0</v>
      </c>
      <c r="CC241">
        <v>0</v>
      </c>
      <c r="CD241">
        <v>0</v>
      </c>
      <c r="CE241">
        <v>0</v>
      </c>
    </row>
    <row r="242" spans="1:83" x14ac:dyDescent="0.25">
      <c r="A242" t="s">
        <v>128</v>
      </c>
      <c r="B242" t="s">
        <v>181</v>
      </c>
      <c r="C242" t="s">
        <v>72</v>
      </c>
      <c r="D242" s="12">
        <v>45584</v>
      </c>
      <c r="E242" t="s">
        <v>178</v>
      </c>
      <c r="F242" t="s">
        <v>73</v>
      </c>
      <c r="G242">
        <v>6.8471096572600327</v>
      </c>
      <c r="H242">
        <v>3.8</v>
      </c>
      <c r="I242">
        <v>10</v>
      </c>
      <c r="K242">
        <v>3.8</v>
      </c>
      <c r="L242">
        <v>45584</v>
      </c>
      <c r="M242" t="s">
        <v>172</v>
      </c>
      <c r="N242">
        <v>3.812745098039215</v>
      </c>
      <c r="O242">
        <v>0.55497869761306307</v>
      </c>
      <c r="P242">
        <v>0.55497869761306307</v>
      </c>
      <c r="Q242">
        <v>0.55684008127378792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1.8613836607248579E-3</v>
      </c>
      <c r="AB242">
        <v>0.44315991872621208</v>
      </c>
      <c r="AC242">
        <v>0</v>
      </c>
      <c r="AD242">
        <v>0</v>
      </c>
      <c r="AE242">
        <v>0</v>
      </c>
      <c r="AF242">
        <v>0.55497869761306307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1.8018709624368507</v>
      </c>
      <c r="AM242">
        <v>1.8018709624368507</v>
      </c>
      <c r="AN242">
        <v>1.0033539731682146</v>
      </c>
      <c r="BE242">
        <v>0</v>
      </c>
      <c r="BF242">
        <v>0</v>
      </c>
      <c r="BG242">
        <v>0</v>
      </c>
      <c r="BI242">
        <v>0.99665723836461828</v>
      </c>
      <c r="BJ242">
        <v>0.99665723836461828</v>
      </c>
      <c r="BK242">
        <v>1.7958477373117085</v>
      </c>
      <c r="BL242">
        <v>0.79584773731170855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0.44502130238693693</v>
      </c>
      <c r="BV242">
        <v>0</v>
      </c>
      <c r="BW242">
        <v>0</v>
      </c>
      <c r="BX242">
        <v>0</v>
      </c>
      <c r="BY242">
        <v>0</v>
      </c>
      <c r="BZ242">
        <v>0.99665723836461828</v>
      </c>
      <c r="CA242">
        <v>0</v>
      </c>
      <c r="CB242">
        <v>0</v>
      </c>
      <c r="CC242">
        <v>0</v>
      </c>
      <c r="CD242">
        <v>0</v>
      </c>
      <c r="CE242">
        <v>0</v>
      </c>
    </row>
    <row r="243" spans="1:83" x14ac:dyDescent="0.25">
      <c r="A243" t="s">
        <v>128</v>
      </c>
      <c r="B243" t="s">
        <v>134</v>
      </c>
      <c r="C243" t="s">
        <v>72</v>
      </c>
      <c r="D243" s="12">
        <v>45584</v>
      </c>
      <c r="E243" t="s">
        <v>178</v>
      </c>
      <c r="F243" t="s">
        <v>73</v>
      </c>
      <c r="G243">
        <v>5.7593984962406006</v>
      </c>
      <c r="H243">
        <v>3.8</v>
      </c>
      <c r="I243">
        <v>10</v>
      </c>
      <c r="J243">
        <v>1</v>
      </c>
      <c r="K243">
        <v>3.8</v>
      </c>
      <c r="L243">
        <v>45584</v>
      </c>
      <c r="M243" t="s">
        <v>172</v>
      </c>
      <c r="N243">
        <v>2.723004201680673</v>
      </c>
      <c r="O243">
        <v>0.65979112271540474</v>
      </c>
      <c r="P243">
        <v>0.65979112271540474</v>
      </c>
      <c r="Q243">
        <v>0.47279315773306735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0.34020887728459526</v>
      </c>
      <c r="AC243">
        <v>0</v>
      </c>
      <c r="AD243">
        <v>0.18699796498233739</v>
      </c>
      <c r="AE243">
        <v>0</v>
      </c>
      <c r="AF243">
        <v>0.47279315773306735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1.5156311832212108</v>
      </c>
      <c r="AM243">
        <v>1.5156311832212108</v>
      </c>
      <c r="AN243">
        <v>0.71658005307386141</v>
      </c>
      <c r="BE243">
        <v>0</v>
      </c>
      <c r="BF243">
        <v>0</v>
      </c>
      <c r="BG243">
        <v>0</v>
      </c>
      <c r="BI243">
        <v>1.3955174941171928</v>
      </c>
      <c r="BJ243">
        <v>1.3955174941171928</v>
      </c>
      <c r="BK243">
        <v>2.1150898308147399</v>
      </c>
      <c r="BL243">
        <v>0.71957233669754705</v>
      </c>
      <c r="BM243">
        <v>0</v>
      </c>
      <c r="BN243">
        <v>0</v>
      </c>
      <c r="BO243">
        <v>0</v>
      </c>
      <c r="BP243">
        <v>0</v>
      </c>
      <c r="BQ243">
        <v>0.10448250588280716</v>
      </c>
      <c r="BR243">
        <v>0.39551749411719284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</row>
    <row r="244" spans="1:83" x14ac:dyDescent="0.25">
      <c r="A244" t="s">
        <v>128</v>
      </c>
      <c r="B244" t="s">
        <v>134</v>
      </c>
      <c r="C244" t="s">
        <v>72</v>
      </c>
      <c r="D244" s="12">
        <v>45584</v>
      </c>
      <c r="E244" t="s">
        <v>178</v>
      </c>
      <c r="F244" t="s">
        <v>74</v>
      </c>
      <c r="G244">
        <v>1</v>
      </c>
      <c r="H244">
        <v>0.95</v>
      </c>
      <c r="I244">
        <v>10</v>
      </c>
      <c r="J244">
        <v>1</v>
      </c>
      <c r="K244">
        <v>0.95</v>
      </c>
      <c r="L244">
        <v>45584</v>
      </c>
      <c r="M244" t="s">
        <v>173</v>
      </c>
      <c r="N244">
        <v>1.1401127252520442</v>
      </c>
      <c r="O244">
        <v>0.95</v>
      </c>
      <c r="P244">
        <v>0.95</v>
      </c>
      <c r="Q244">
        <v>1.1401127252520442</v>
      </c>
      <c r="R244">
        <v>0.14011272525204421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5.0000000000000044E-2</v>
      </c>
      <c r="AB244">
        <v>0</v>
      </c>
      <c r="AC244">
        <v>0</v>
      </c>
      <c r="AD244">
        <v>0</v>
      </c>
      <c r="AE244">
        <v>0</v>
      </c>
      <c r="AF244">
        <v>0.95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1.0526315789473684</v>
      </c>
      <c r="AM244">
        <v>1.0526315789473684</v>
      </c>
      <c r="AN244">
        <v>1.2001186581600467</v>
      </c>
      <c r="AO244">
        <v>0.14748707921267834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5.2631578947368363E-2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1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0.83325093998050404</v>
      </c>
      <c r="BJ244">
        <v>0.83325093998050404</v>
      </c>
      <c r="BK244">
        <v>0.8771062526110569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0.1228937473889431</v>
      </c>
      <c r="BW244">
        <v>0</v>
      </c>
      <c r="BX244">
        <v>0</v>
      </c>
      <c r="BY244">
        <v>0</v>
      </c>
      <c r="BZ244">
        <v>0.83325093998050404</v>
      </c>
      <c r="CA244">
        <v>0</v>
      </c>
      <c r="CB244">
        <v>0</v>
      </c>
      <c r="CC244">
        <v>0</v>
      </c>
      <c r="CD244">
        <v>0</v>
      </c>
      <c r="CE244">
        <v>0</v>
      </c>
    </row>
    <row r="245" spans="1:83" x14ac:dyDescent="0.25">
      <c r="A245" t="s">
        <v>128</v>
      </c>
      <c r="B245" t="s">
        <v>181</v>
      </c>
      <c r="C245" t="s">
        <v>72</v>
      </c>
      <c r="D245" s="12">
        <v>45584</v>
      </c>
      <c r="E245" t="s">
        <v>178</v>
      </c>
      <c r="F245" t="s">
        <v>74</v>
      </c>
      <c r="G245">
        <v>0.84615384615384603</v>
      </c>
      <c r="H245">
        <v>1.9</v>
      </c>
      <c r="I245">
        <v>10</v>
      </c>
      <c r="K245">
        <v>1.9</v>
      </c>
      <c r="L245">
        <v>45584</v>
      </c>
      <c r="M245" t="s">
        <v>173</v>
      </c>
      <c r="N245">
        <v>1.9964349376114079</v>
      </c>
      <c r="O245">
        <v>2.2454545454545456</v>
      </c>
      <c r="P245">
        <v>2.2454545454545456</v>
      </c>
      <c r="Q245">
        <v>2.3594231080862098</v>
      </c>
      <c r="R245">
        <v>0.11396856263166422</v>
      </c>
      <c r="S245">
        <v>0</v>
      </c>
      <c r="T245">
        <v>0</v>
      </c>
      <c r="U245">
        <v>0</v>
      </c>
      <c r="V245">
        <v>0.99545454545454559</v>
      </c>
      <c r="W245">
        <v>0</v>
      </c>
      <c r="X245">
        <v>0.25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1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0.44534412955465585</v>
      </c>
      <c r="AM245">
        <v>0.44534412955465585</v>
      </c>
      <c r="AN245">
        <v>1.0507552303217937</v>
      </c>
      <c r="AO245">
        <v>5.0755230321793743E-2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0.44534412955465585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0.95169642857142867</v>
      </c>
      <c r="BJ245">
        <v>0.95169642857142867</v>
      </c>
      <c r="BK245">
        <v>0.42383241758241758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4.8303571428571335E-2</v>
      </c>
      <c r="BW245">
        <v>0</v>
      </c>
      <c r="BX245">
        <v>0.52786401098901115</v>
      </c>
      <c r="BY245">
        <v>0</v>
      </c>
      <c r="BZ245">
        <v>0.42383241758241758</v>
      </c>
      <c r="CA245">
        <v>0</v>
      </c>
      <c r="CB245">
        <v>0</v>
      </c>
      <c r="CC245">
        <v>0</v>
      </c>
      <c r="CD245">
        <v>0</v>
      </c>
      <c r="CE245">
        <v>0</v>
      </c>
    </row>
    <row r="246" spans="1:83" x14ac:dyDescent="0.25">
      <c r="A246" t="s">
        <v>128</v>
      </c>
      <c r="B246" t="s">
        <v>134</v>
      </c>
      <c r="C246" t="s">
        <v>72</v>
      </c>
      <c r="D246" s="12">
        <v>45584</v>
      </c>
      <c r="E246" t="s">
        <v>178</v>
      </c>
      <c r="F246" t="s">
        <v>75</v>
      </c>
      <c r="G246">
        <v>2.8796992481203003</v>
      </c>
      <c r="H246">
        <v>0.95</v>
      </c>
      <c r="I246">
        <v>10</v>
      </c>
      <c r="J246">
        <v>1</v>
      </c>
      <c r="K246">
        <v>0.95</v>
      </c>
      <c r="L246">
        <v>45584</v>
      </c>
      <c r="M246" t="s">
        <v>174</v>
      </c>
      <c r="N246">
        <v>2.5963488843813387</v>
      </c>
      <c r="O246">
        <v>0.32989556135770237</v>
      </c>
      <c r="P246">
        <v>0.32989556135770237</v>
      </c>
      <c r="Q246">
        <v>0.90160418178255375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0.57170862042485138</v>
      </c>
      <c r="AB246">
        <v>9.8395818217446251E-2</v>
      </c>
      <c r="AC246">
        <v>0</v>
      </c>
      <c r="AD246">
        <v>0</v>
      </c>
      <c r="AE246">
        <v>0</v>
      </c>
      <c r="AF246">
        <v>0.32989556135770237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3.0312623664424216</v>
      </c>
      <c r="AM246">
        <v>3.0312623664424216</v>
      </c>
      <c r="AN246">
        <v>2.7329988256645672</v>
      </c>
      <c r="BE246">
        <v>0</v>
      </c>
      <c r="BF246">
        <v>0</v>
      </c>
      <c r="BG246">
        <v>0</v>
      </c>
      <c r="BI246">
        <v>0.36589843750000001</v>
      </c>
      <c r="BJ246">
        <v>0.36589843750000001</v>
      </c>
      <c r="BK246">
        <v>1.1091341635338345</v>
      </c>
      <c r="BL246">
        <v>0.10913416353383454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0.67010443864229763</v>
      </c>
      <c r="BV246">
        <v>0</v>
      </c>
      <c r="BW246">
        <v>0</v>
      </c>
      <c r="BX246">
        <v>0</v>
      </c>
      <c r="BY246">
        <v>0</v>
      </c>
      <c r="BZ246">
        <v>0.36589843750000001</v>
      </c>
      <c r="CA246">
        <v>0</v>
      </c>
      <c r="CB246">
        <v>0</v>
      </c>
      <c r="CC246">
        <v>0</v>
      </c>
      <c r="CD246">
        <v>0</v>
      </c>
      <c r="CE246">
        <v>0</v>
      </c>
    </row>
    <row r="247" spans="1:83" x14ac:dyDescent="0.25">
      <c r="A247" t="s">
        <v>128</v>
      </c>
      <c r="B247" t="s">
        <v>181</v>
      </c>
      <c r="C247" t="s">
        <v>72</v>
      </c>
      <c r="D247" s="12">
        <v>45584</v>
      </c>
      <c r="E247" t="s">
        <v>178</v>
      </c>
      <c r="F247" t="s">
        <v>75</v>
      </c>
      <c r="G247">
        <v>2.5351191458269504</v>
      </c>
      <c r="H247">
        <v>4.75</v>
      </c>
      <c r="I247">
        <v>10</v>
      </c>
      <c r="K247">
        <v>4.75</v>
      </c>
      <c r="L247">
        <v>45584</v>
      </c>
      <c r="M247" t="s">
        <v>174</v>
      </c>
      <c r="N247">
        <v>3.9919786096256682</v>
      </c>
      <c r="O247">
        <v>1.8736791948492661</v>
      </c>
      <c r="P247">
        <v>1.8736791948492661</v>
      </c>
      <c r="Q247">
        <v>1.5746710036081928</v>
      </c>
      <c r="R247">
        <v>0</v>
      </c>
      <c r="S247">
        <v>0</v>
      </c>
      <c r="T247">
        <v>0.29900819124107336</v>
      </c>
      <c r="U247">
        <v>0</v>
      </c>
      <c r="V247">
        <v>0.32467100360819279</v>
      </c>
      <c r="W247">
        <v>0</v>
      </c>
      <c r="X247">
        <v>0.25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1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0.53370929385830534</v>
      </c>
      <c r="AM247">
        <v>0.53370929385830534</v>
      </c>
      <c r="AN247">
        <v>0.84041654939487753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0.15958345060512247</v>
      </c>
      <c r="AZ247">
        <v>0</v>
      </c>
      <c r="BA247">
        <v>0</v>
      </c>
      <c r="BB247">
        <v>0</v>
      </c>
      <c r="BC247">
        <v>0.53370929385830534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1.1898861352980576</v>
      </c>
      <c r="BJ247">
        <v>1.1898861352980576</v>
      </c>
      <c r="BK247">
        <v>0.63505328904171432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0.18988613529805765</v>
      </c>
      <c r="BU247">
        <v>0</v>
      </c>
      <c r="BV247">
        <v>0</v>
      </c>
      <c r="BW247">
        <v>0</v>
      </c>
      <c r="BX247">
        <v>0.36494671095828568</v>
      </c>
      <c r="BY247">
        <v>0</v>
      </c>
      <c r="BZ247">
        <v>0.63505328904171432</v>
      </c>
      <c r="CA247">
        <v>0</v>
      </c>
      <c r="CB247">
        <v>0</v>
      </c>
      <c r="CC247">
        <v>0</v>
      </c>
      <c r="CD247">
        <v>0</v>
      </c>
      <c r="CE247">
        <v>0</v>
      </c>
    </row>
    <row r="248" spans="1:83" x14ac:dyDescent="0.25">
      <c r="A248" t="s">
        <v>128</v>
      </c>
      <c r="B248" t="s">
        <v>134</v>
      </c>
      <c r="C248" t="s">
        <v>72</v>
      </c>
      <c r="D248" s="12">
        <v>45585</v>
      </c>
      <c r="E248" t="s">
        <v>178</v>
      </c>
      <c r="F248" t="s">
        <v>73</v>
      </c>
      <c r="G248">
        <v>5.7593984962406006</v>
      </c>
      <c r="H248">
        <v>3.8</v>
      </c>
      <c r="I248">
        <v>10</v>
      </c>
      <c r="J248">
        <v>1</v>
      </c>
      <c r="K248">
        <v>3.8</v>
      </c>
      <c r="L248">
        <v>45585</v>
      </c>
      <c r="M248" t="s">
        <v>175</v>
      </c>
      <c r="N248">
        <v>2.7192337461300311</v>
      </c>
      <c r="O248">
        <v>0.65979112271540474</v>
      </c>
      <c r="P248">
        <v>0.65979112271540474</v>
      </c>
      <c r="Q248">
        <v>0.47213849639072347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0.34020887728459526</v>
      </c>
      <c r="AC248">
        <v>0</v>
      </c>
      <c r="AD248">
        <v>0.18765262632468127</v>
      </c>
      <c r="AE248">
        <v>0</v>
      </c>
      <c r="AF248">
        <v>0.47213849639072347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1.5156311832212108</v>
      </c>
      <c r="AM248">
        <v>1.5156311832212108</v>
      </c>
      <c r="AN248">
        <v>0.71558782792895559</v>
      </c>
      <c r="BE248">
        <v>0</v>
      </c>
      <c r="BF248">
        <v>0</v>
      </c>
      <c r="BG248">
        <v>0</v>
      </c>
      <c r="BI248">
        <v>1.3974525012452856</v>
      </c>
      <c r="BJ248">
        <v>1.3974525012452856</v>
      </c>
      <c r="BK248">
        <v>2.1180225879578325</v>
      </c>
      <c r="BL248">
        <v>0.72057008671254685</v>
      </c>
      <c r="BM248">
        <v>0</v>
      </c>
      <c r="BN248">
        <v>0</v>
      </c>
      <c r="BO248">
        <v>0</v>
      </c>
      <c r="BP248">
        <v>0</v>
      </c>
      <c r="BQ248">
        <v>0.10254749875471436</v>
      </c>
      <c r="BR248">
        <v>0.39745250124528564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</row>
    <row r="249" spans="1:83" x14ac:dyDescent="0.25">
      <c r="A249" t="s">
        <v>128</v>
      </c>
      <c r="B249" t="s">
        <v>181</v>
      </c>
      <c r="C249" t="s">
        <v>72</v>
      </c>
      <c r="D249" s="12">
        <v>45585</v>
      </c>
      <c r="E249" t="s">
        <v>178</v>
      </c>
      <c r="F249" t="s">
        <v>73</v>
      </c>
      <c r="G249">
        <v>6.8471096572600327</v>
      </c>
      <c r="H249">
        <v>3.8</v>
      </c>
      <c r="I249">
        <v>10</v>
      </c>
      <c r="K249">
        <v>3.8</v>
      </c>
      <c r="L249">
        <v>45585</v>
      </c>
      <c r="M249" t="s">
        <v>175</v>
      </c>
      <c r="N249">
        <v>3.812745098039215</v>
      </c>
      <c r="O249">
        <v>0.55497869761306307</v>
      </c>
      <c r="P249">
        <v>0.55497869761306307</v>
      </c>
      <c r="Q249">
        <v>0.55684008127378792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1.8613836607248579E-3</v>
      </c>
      <c r="AB249">
        <v>0.44315991872621208</v>
      </c>
      <c r="AC249">
        <v>0</v>
      </c>
      <c r="AD249">
        <v>0</v>
      </c>
      <c r="AE249">
        <v>0</v>
      </c>
      <c r="AF249">
        <v>0.55497869761306307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1.8018709624368507</v>
      </c>
      <c r="AM249">
        <v>1.8018709624368507</v>
      </c>
      <c r="AN249">
        <v>1.0033539731682146</v>
      </c>
      <c r="BE249">
        <v>0</v>
      </c>
      <c r="BF249">
        <v>0</v>
      </c>
      <c r="BG249">
        <v>0</v>
      </c>
      <c r="BI249">
        <v>0.99665723836461828</v>
      </c>
      <c r="BJ249">
        <v>0.99665723836461828</v>
      </c>
      <c r="BK249">
        <v>1.7958477373117085</v>
      </c>
      <c r="BL249">
        <v>0.79584773731170855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0.44502130238693693</v>
      </c>
      <c r="BV249">
        <v>0</v>
      </c>
      <c r="BW249">
        <v>0</v>
      </c>
      <c r="BX249">
        <v>0</v>
      </c>
      <c r="BY249">
        <v>0</v>
      </c>
      <c r="BZ249">
        <v>0.99665723836461828</v>
      </c>
      <c r="CA249">
        <v>0</v>
      </c>
      <c r="CB249">
        <v>0</v>
      </c>
      <c r="CC249">
        <v>0</v>
      </c>
      <c r="CD249">
        <v>0</v>
      </c>
      <c r="CE249">
        <v>0</v>
      </c>
    </row>
    <row r="250" spans="1:83" x14ac:dyDescent="0.25">
      <c r="A250" t="s">
        <v>128</v>
      </c>
      <c r="B250" t="s">
        <v>134</v>
      </c>
      <c r="C250" t="s">
        <v>72</v>
      </c>
      <c r="D250" s="12">
        <v>45585</v>
      </c>
      <c r="E250" t="s">
        <v>178</v>
      </c>
      <c r="F250" t="s">
        <v>74</v>
      </c>
      <c r="G250">
        <v>1</v>
      </c>
      <c r="H250">
        <v>0</v>
      </c>
      <c r="I250">
        <v>10</v>
      </c>
      <c r="J250">
        <v>1</v>
      </c>
      <c r="K250">
        <v>0</v>
      </c>
      <c r="L250">
        <v>45585</v>
      </c>
      <c r="M250" t="s">
        <v>176</v>
      </c>
      <c r="N250">
        <v>0.24132730015082957</v>
      </c>
      <c r="O250">
        <v>0</v>
      </c>
      <c r="P250">
        <v>0</v>
      </c>
      <c r="Q250">
        <v>0.24132730015082957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0.24132730015082957</v>
      </c>
      <c r="AB250">
        <v>0.75867269984917041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I250">
        <v>0</v>
      </c>
      <c r="BJ250">
        <v>0</v>
      </c>
      <c r="BK250">
        <v>4.1437499999999998</v>
      </c>
      <c r="BL250">
        <v>3.1437499999999998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0</v>
      </c>
    </row>
    <row r="251" spans="1:83" x14ac:dyDescent="0.25">
      <c r="A251" t="s">
        <v>128</v>
      </c>
      <c r="B251" t="s">
        <v>181</v>
      </c>
      <c r="C251" t="s">
        <v>72</v>
      </c>
      <c r="D251" s="12">
        <v>45585</v>
      </c>
      <c r="E251" t="s">
        <v>178</v>
      </c>
      <c r="F251" t="s">
        <v>74</v>
      </c>
      <c r="G251">
        <v>0.84615384615384603</v>
      </c>
      <c r="H251">
        <v>1.9</v>
      </c>
      <c r="I251">
        <v>10</v>
      </c>
      <c r="K251">
        <v>1.9</v>
      </c>
      <c r="L251">
        <v>45585</v>
      </c>
      <c r="M251" t="s">
        <v>176</v>
      </c>
      <c r="N251">
        <v>1.9964349376114079</v>
      </c>
      <c r="O251">
        <v>2.2454545454545456</v>
      </c>
      <c r="P251">
        <v>2.2454545454545456</v>
      </c>
      <c r="Q251">
        <v>2.3594231080862098</v>
      </c>
      <c r="R251">
        <v>0.11396856263166422</v>
      </c>
      <c r="S251">
        <v>0</v>
      </c>
      <c r="T251">
        <v>0</v>
      </c>
      <c r="U251">
        <v>0</v>
      </c>
      <c r="V251">
        <v>0.99545454545454559</v>
      </c>
      <c r="W251">
        <v>0</v>
      </c>
      <c r="X251">
        <v>0.25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1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0.44534412955465585</v>
      </c>
      <c r="AM251">
        <v>0.44534412955465585</v>
      </c>
      <c r="AN251">
        <v>1.0507552303217937</v>
      </c>
      <c r="AO251">
        <v>5.0755230321793743E-2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0.44534412955465585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0.95169642857142867</v>
      </c>
      <c r="BJ251">
        <v>0.95169642857142867</v>
      </c>
      <c r="BK251">
        <v>0.42383241758241758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4.8303571428571335E-2</v>
      </c>
      <c r="BW251">
        <v>0</v>
      </c>
      <c r="BX251">
        <v>0.52786401098901115</v>
      </c>
      <c r="BY251">
        <v>0</v>
      </c>
      <c r="BZ251">
        <v>0.42383241758241758</v>
      </c>
      <c r="CA251">
        <v>0</v>
      </c>
      <c r="CB251">
        <v>0</v>
      </c>
      <c r="CC251">
        <v>0</v>
      </c>
      <c r="CD251">
        <v>0</v>
      </c>
      <c r="CE251">
        <v>0</v>
      </c>
    </row>
    <row r="252" spans="1:83" x14ac:dyDescent="0.25">
      <c r="A252" t="s">
        <v>128</v>
      </c>
      <c r="B252" t="s">
        <v>134</v>
      </c>
      <c r="C252" t="s">
        <v>72</v>
      </c>
      <c r="D252" s="12">
        <v>45585</v>
      </c>
      <c r="E252" t="s">
        <v>178</v>
      </c>
      <c r="F252" t="s">
        <v>75</v>
      </c>
      <c r="G252">
        <v>2.8796992481203003</v>
      </c>
      <c r="H252">
        <v>1.9</v>
      </c>
      <c r="I252">
        <v>10</v>
      </c>
      <c r="J252">
        <v>1</v>
      </c>
      <c r="K252">
        <v>1.9</v>
      </c>
      <c r="L252">
        <v>45585</v>
      </c>
      <c r="M252" t="s">
        <v>177</v>
      </c>
      <c r="N252">
        <v>2.5309330628803242</v>
      </c>
      <c r="O252">
        <v>0.65979112271540474</v>
      </c>
      <c r="P252">
        <v>0.65979112271540474</v>
      </c>
      <c r="Q252">
        <v>0.87888798267123547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0.21909685995583073</v>
      </c>
      <c r="AB252">
        <v>0.12111201732876453</v>
      </c>
      <c r="AC252">
        <v>0</v>
      </c>
      <c r="AD252">
        <v>0</v>
      </c>
      <c r="AE252">
        <v>0</v>
      </c>
      <c r="AF252">
        <v>0.65979112271540474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1.5156311832212108</v>
      </c>
      <c r="AM252">
        <v>1.5156311832212108</v>
      </c>
      <c r="AN252">
        <v>1.3320700330949076</v>
      </c>
      <c r="BE252">
        <v>0</v>
      </c>
      <c r="BF252">
        <v>0</v>
      </c>
      <c r="BG252">
        <v>0</v>
      </c>
      <c r="BI252">
        <v>0.75071128030454826</v>
      </c>
      <c r="BJ252">
        <v>0.75071128030454826</v>
      </c>
      <c r="BK252">
        <v>1.1378014260254925</v>
      </c>
      <c r="BL252">
        <v>0.1378014260254925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0.34020887728459526</v>
      </c>
      <c r="BV252">
        <v>0</v>
      </c>
      <c r="BW252">
        <v>0</v>
      </c>
      <c r="BX252">
        <v>0</v>
      </c>
      <c r="BY252">
        <v>0</v>
      </c>
      <c r="BZ252">
        <v>0.75071128030454826</v>
      </c>
      <c r="CA252">
        <v>0</v>
      </c>
      <c r="CB252">
        <v>0</v>
      </c>
      <c r="CC252">
        <v>0</v>
      </c>
      <c r="CD252">
        <v>0</v>
      </c>
      <c r="CE252">
        <v>0</v>
      </c>
    </row>
    <row r="253" spans="1:83" x14ac:dyDescent="0.25">
      <c r="A253" t="s">
        <v>128</v>
      </c>
      <c r="B253" t="s">
        <v>181</v>
      </c>
      <c r="C253" t="s">
        <v>72</v>
      </c>
      <c r="D253" s="12">
        <v>45585</v>
      </c>
      <c r="E253" t="s">
        <v>178</v>
      </c>
      <c r="F253" t="s">
        <v>75</v>
      </c>
      <c r="G253">
        <v>2.5351191458269504</v>
      </c>
      <c r="H253">
        <v>5.6999999999999993</v>
      </c>
      <c r="I253">
        <v>10</v>
      </c>
      <c r="K253">
        <v>5.6999999999999993</v>
      </c>
      <c r="L253">
        <v>45585</v>
      </c>
      <c r="M253" t="s">
        <v>177</v>
      </c>
      <c r="N253">
        <v>3.9919786096256682</v>
      </c>
      <c r="O253">
        <v>2.2484150338191191</v>
      </c>
      <c r="P253">
        <v>2.2484150338191191</v>
      </c>
      <c r="Q253">
        <v>1.5746710036081928</v>
      </c>
      <c r="R253">
        <v>0</v>
      </c>
      <c r="S253">
        <v>0</v>
      </c>
      <c r="T253">
        <v>0.67374403021092633</v>
      </c>
      <c r="U253">
        <v>0</v>
      </c>
      <c r="V253">
        <v>0.32467100360819279</v>
      </c>
      <c r="W253">
        <v>0</v>
      </c>
      <c r="X253">
        <v>0.25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1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0.44475774488192116</v>
      </c>
      <c r="AM253">
        <v>0.44475774488192116</v>
      </c>
      <c r="AN253">
        <v>0.70034712449573133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0.29965287550426867</v>
      </c>
      <c r="AZ253">
        <v>0</v>
      </c>
      <c r="BA253">
        <v>0</v>
      </c>
      <c r="BB253">
        <v>0</v>
      </c>
      <c r="BC253">
        <v>0.44475774488192116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1.4278633623576691</v>
      </c>
      <c r="BJ253">
        <v>1.4278633623576691</v>
      </c>
      <c r="BK253">
        <v>0.63505328904171432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0.42786336235766909</v>
      </c>
      <c r="BU253">
        <v>0</v>
      </c>
      <c r="BV253">
        <v>0</v>
      </c>
      <c r="BW253">
        <v>0</v>
      </c>
      <c r="BX253">
        <v>0.36494671095828568</v>
      </c>
      <c r="BY253">
        <v>0</v>
      </c>
      <c r="BZ253">
        <v>0.63505328904171432</v>
      </c>
      <c r="CA253">
        <v>0</v>
      </c>
      <c r="CB253">
        <v>0</v>
      </c>
      <c r="CC253">
        <v>0</v>
      </c>
      <c r="CD253">
        <v>0</v>
      </c>
      <c r="CE253">
        <v>0</v>
      </c>
    </row>
    <row r="254" spans="1:83" x14ac:dyDescent="0.25">
      <c r="A254" t="s">
        <v>128</v>
      </c>
      <c r="B254" t="s">
        <v>134</v>
      </c>
      <c r="C254" t="s">
        <v>109</v>
      </c>
      <c r="D254" s="12">
        <v>45572</v>
      </c>
      <c r="E254" t="s">
        <v>135</v>
      </c>
      <c r="G254">
        <v>31.303258145363415</v>
      </c>
      <c r="H254">
        <v>35.15</v>
      </c>
      <c r="K254">
        <v>35.15</v>
      </c>
      <c r="N254">
        <v>29.871353933422888</v>
      </c>
      <c r="R254">
        <v>3.0155889417416378E-3</v>
      </c>
      <c r="S254">
        <v>0</v>
      </c>
      <c r="T254">
        <v>5.1635022303556967E-2</v>
      </c>
      <c r="U254">
        <v>0</v>
      </c>
      <c r="V254">
        <v>0</v>
      </c>
      <c r="W254">
        <v>0</v>
      </c>
      <c r="X254">
        <v>1.0661100308818445E-2</v>
      </c>
      <c r="Y254">
        <v>0</v>
      </c>
      <c r="Z254">
        <v>9.285714285714286E-2</v>
      </c>
      <c r="AA254">
        <v>1.5186951700397492E-2</v>
      </c>
      <c r="AB254">
        <v>1.7080004721883209E-2</v>
      </c>
      <c r="AC254">
        <v>0</v>
      </c>
      <c r="AD254">
        <v>4.2339661355279716E-2</v>
      </c>
      <c r="AE254">
        <v>0</v>
      </c>
      <c r="AF254">
        <v>0.9253933822224395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83" x14ac:dyDescent="0.25">
      <c r="A255" t="s">
        <v>128</v>
      </c>
      <c r="B255" t="s">
        <v>181</v>
      </c>
      <c r="C255" t="s">
        <v>109</v>
      </c>
      <c r="D255" s="12">
        <v>45572</v>
      </c>
      <c r="E255" t="s">
        <v>135</v>
      </c>
      <c r="G255">
        <v>30.058155215592599</v>
      </c>
      <c r="H255">
        <v>42.75</v>
      </c>
      <c r="K255">
        <v>42.75</v>
      </c>
      <c r="N255">
        <v>29.917401960784311</v>
      </c>
      <c r="R255">
        <v>0</v>
      </c>
      <c r="S255">
        <v>0</v>
      </c>
      <c r="T255">
        <v>0.2611803852851704</v>
      </c>
      <c r="U255">
        <v>0</v>
      </c>
      <c r="V255">
        <v>7.9809264390698825E-2</v>
      </c>
      <c r="W255">
        <v>0</v>
      </c>
      <c r="X255">
        <v>2.9203119750370658E-2</v>
      </c>
      <c r="Y255">
        <v>0</v>
      </c>
      <c r="Z255">
        <v>0.11751566604985396</v>
      </c>
      <c r="AA255">
        <v>1.9525429671660615E-3</v>
      </c>
      <c r="AB255">
        <v>6.3512920730555644E-2</v>
      </c>
      <c r="AC255">
        <v>0</v>
      </c>
      <c r="AD255">
        <v>5.0182161127613742E-2</v>
      </c>
      <c r="AE255">
        <v>0</v>
      </c>
      <c r="AF255">
        <v>0.88435237517466447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83" x14ac:dyDescent="0.25">
      <c r="A256" t="s">
        <v>128</v>
      </c>
      <c r="B256" t="s">
        <v>134</v>
      </c>
      <c r="C256" t="s">
        <v>109</v>
      </c>
      <c r="D256" s="12">
        <v>45572</v>
      </c>
      <c r="E256" t="s">
        <v>179</v>
      </c>
      <c r="G256">
        <v>6.260651629072683</v>
      </c>
      <c r="H256">
        <v>3.8</v>
      </c>
      <c r="K256">
        <v>3.8</v>
      </c>
      <c r="N256">
        <v>3.666666666666667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0.13326308105307777</v>
      </c>
      <c r="AB256">
        <v>0.25977134648895595</v>
      </c>
      <c r="AC256">
        <v>0</v>
      </c>
      <c r="AD256">
        <v>0.15456011868318173</v>
      </c>
      <c r="AE256">
        <v>0</v>
      </c>
      <c r="AF256">
        <v>0.45240545377478447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25">
      <c r="A257" t="s">
        <v>128</v>
      </c>
      <c r="B257" t="s">
        <v>181</v>
      </c>
      <c r="C257" t="s">
        <v>109</v>
      </c>
      <c r="D257" s="12">
        <v>45572</v>
      </c>
      <c r="E257" t="s">
        <v>179</v>
      </c>
      <c r="G257">
        <v>9.3020664213548816</v>
      </c>
      <c r="H257">
        <v>6.6499999999999995</v>
      </c>
      <c r="K257">
        <v>6.6499999999999995</v>
      </c>
      <c r="N257">
        <v>6.6439393939393927</v>
      </c>
      <c r="R257">
        <v>2.2962874872188864E-4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0.10265514489903205</v>
      </c>
      <c r="AB257">
        <v>0.18244993833994561</v>
      </c>
      <c r="AC257">
        <v>0</v>
      </c>
      <c r="AD257">
        <v>0.10353630695079426</v>
      </c>
      <c r="AE257">
        <v>0</v>
      </c>
      <c r="AF257">
        <v>0.61135860981022805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25">
      <c r="A258" t="s">
        <v>128</v>
      </c>
      <c r="B258" t="s">
        <v>134</v>
      </c>
      <c r="C258" t="s">
        <v>109</v>
      </c>
      <c r="D258" s="12">
        <v>45572</v>
      </c>
      <c r="E258" t="s">
        <v>178</v>
      </c>
      <c r="G258">
        <v>9.6390977443609014</v>
      </c>
      <c r="H258">
        <v>8.5500000000000007</v>
      </c>
      <c r="K258">
        <v>8.5500000000000007</v>
      </c>
      <c r="N258">
        <v>8.3491565549855284</v>
      </c>
      <c r="R258">
        <v>2.7054023337404118E-2</v>
      </c>
      <c r="S258">
        <v>0</v>
      </c>
      <c r="T258">
        <v>2.0787831513260555E-2</v>
      </c>
      <c r="U258">
        <v>0</v>
      </c>
      <c r="V258">
        <v>0</v>
      </c>
      <c r="W258">
        <v>0</v>
      </c>
      <c r="X258">
        <v>5.4777809773648656E-2</v>
      </c>
      <c r="Y258">
        <v>0</v>
      </c>
      <c r="Z258">
        <v>1.9910177745852117E-2</v>
      </c>
      <c r="AA258">
        <v>0</v>
      </c>
      <c r="AB258">
        <v>0.1047191887675506</v>
      </c>
      <c r="AC258">
        <v>0</v>
      </c>
      <c r="AD258">
        <v>0.11093649628338097</v>
      </c>
      <c r="AE258">
        <v>0</v>
      </c>
      <c r="AF258">
        <v>0.68060016518307775</v>
      </c>
      <c r="AG258">
        <v>0</v>
      </c>
      <c r="AH258">
        <v>0</v>
      </c>
      <c r="AI258">
        <v>0</v>
      </c>
      <c r="AJ258">
        <v>0.10374414976599065</v>
      </c>
      <c r="AK258">
        <v>0</v>
      </c>
    </row>
    <row r="259" spans="1:37" x14ac:dyDescent="0.25">
      <c r="A259" t="s">
        <v>128</v>
      </c>
      <c r="B259" t="s">
        <v>181</v>
      </c>
      <c r="C259" t="s">
        <v>109</v>
      </c>
      <c r="D259" s="12">
        <v>45572</v>
      </c>
      <c r="E259" t="s">
        <v>178</v>
      </c>
      <c r="G259">
        <v>10.22838264924083</v>
      </c>
      <c r="H259">
        <v>9.5</v>
      </c>
      <c r="K259">
        <v>9.5</v>
      </c>
      <c r="N259">
        <v>9.6475044563279866</v>
      </c>
      <c r="R259">
        <v>1.930945126917457E-2</v>
      </c>
      <c r="S259">
        <v>0</v>
      </c>
      <c r="T259">
        <v>0</v>
      </c>
      <c r="U259">
        <v>0</v>
      </c>
      <c r="V259">
        <v>0.14405100107721952</v>
      </c>
      <c r="W259">
        <v>0</v>
      </c>
      <c r="X259">
        <v>8.2644370765493427E-2</v>
      </c>
      <c r="Y259">
        <v>0</v>
      </c>
      <c r="Z259">
        <v>0</v>
      </c>
      <c r="AA259">
        <v>0</v>
      </c>
      <c r="AB259">
        <v>0.29790728033490177</v>
      </c>
      <c r="AC259">
        <v>0</v>
      </c>
      <c r="AD259">
        <v>4.888358376356889E-3</v>
      </c>
      <c r="AE259">
        <v>0</v>
      </c>
      <c r="AF259">
        <v>0.6972043612887413</v>
      </c>
      <c r="AG259">
        <v>0</v>
      </c>
      <c r="AH259">
        <v>0</v>
      </c>
      <c r="AI259">
        <v>0</v>
      </c>
      <c r="AJ259">
        <v>0</v>
      </c>
      <c r="AK259">
        <v>0</v>
      </c>
    </row>
    <row r="260" spans="1:37" x14ac:dyDescent="0.25">
      <c r="A260" t="s">
        <v>128</v>
      </c>
      <c r="B260" t="s">
        <v>134</v>
      </c>
      <c r="C260" t="s">
        <v>109</v>
      </c>
      <c r="D260" s="12">
        <v>45573</v>
      </c>
      <c r="E260" t="s">
        <v>135</v>
      </c>
      <c r="G260">
        <v>31.303258145363408</v>
      </c>
      <c r="H260">
        <v>41.8</v>
      </c>
      <c r="K260">
        <v>41.8</v>
      </c>
      <c r="N260">
        <v>28.544042570006059</v>
      </c>
      <c r="R260">
        <v>0</v>
      </c>
      <c r="S260">
        <v>0</v>
      </c>
      <c r="T260">
        <v>9.4385794349765531E-2</v>
      </c>
      <c r="U260">
        <v>0</v>
      </c>
      <c r="V260">
        <v>0</v>
      </c>
      <c r="W260">
        <v>0</v>
      </c>
      <c r="X260">
        <v>1.4553626094152646E-2</v>
      </c>
      <c r="Y260">
        <v>0</v>
      </c>
      <c r="Z260">
        <v>0.22638483896360778</v>
      </c>
      <c r="AA260">
        <v>0</v>
      </c>
      <c r="AB260">
        <v>0</v>
      </c>
      <c r="AC260">
        <v>0</v>
      </c>
      <c r="AD260">
        <v>0.10269830300108486</v>
      </c>
      <c r="AE260">
        <v>0</v>
      </c>
      <c r="AF260">
        <v>0.89730169699891527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25">
      <c r="A261" t="s">
        <v>128</v>
      </c>
      <c r="B261" t="s">
        <v>181</v>
      </c>
      <c r="C261" t="s">
        <v>109</v>
      </c>
      <c r="D261" s="12">
        <v>45573</v>
      </c>
      <c r="E261" t="s">
        <v>135</v>
      </c>
      <c r="G261">
        <v>30.058155215592599</v>
      </c>
      <c r="H261">
        <v>39.9</v>
      </c>
      <c r="K261">
        <v>39.9</v>
      </c>
      <c r="N261">
        <v>29.579434046345799</v>
      </c>
      <c r="R261">
        <v>0</v>
      </c>
      <c r="S261">
        <v>0</v>
      </c>
      <c r="T261">
        <v>0.22862614194953398</v>
      </c>
      <c r="U261">
        <v>0</v>
      </c>
      <c r="V261">
        <v>8.0758108353482641E-2</v>
      </c>
      <c r="W261">
        <v>0</v>
      </c>
      <c r="X261">
        <v>2.9203119750370658E-2</v>
      </c>
      <c r="Y261">
        <v>0</v>
      </c>
      <c r="Z261">
        <v>0.11751566604985396</v>
      </c>
      <c r="AA261">
        <v>7.2279671433750164E-2</v>
      </c>
      <c r="AB261">
        <v>5.6396591009676998E-2</v>
      </c>
      <c r="AC261">
        <v>0</v>
      </c>
      <c r="AD261">
        <v>6.9491135770264834E-2</v>
      </c>
      <c r="AE261">
        <v>0</v>
      </c>
      <c r="AF261">
        <v>0.80183260178630811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25">
      <c r="A262" t="s">
        <v>128</v>
      </c>
      <c r="B262" t="s">
        <v>134</v>
      </c>
      <c r="C262" t="s">
        <v>109</v>
      </c>
      <c r="D262" s="12">
        <v>45573</v>
      </c>
      <c r="E262" t="s">
        <v>179</v>
      </c>
      <c r="G262">
        <v>6.260651629072683</v>
      </c>
      <c r="H262">
        <v>4.75</v>
      </c>
      <c r="K262">
        <v>4.75</v>
      </c>
      <c r="N262">
        <v>3.2787509988321353</v>
      </c>
      <c r="R262">
        <v>0</v>
      </c>
      <c r="S262">
        <v>0</v>
      </c>
      <c r="T262">
        <v>3.5088070456364945E-2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8.4027221777421932E-2</v>
      </c>
      <c r="AA262">
        <v>0</v>
      </c>
      <c r="AB262">
        <v>0.36040832666132905</v>
      </c>
      <c r="AC262">
        <v>0</v>
      </c>
      <c r="AD262">
        <v>0.11588404782465099</v>
      </c>
      <c r="AE262">
        <v>0</v>
      </c>
      <c r="AF262">
        <v>0.52370762551401995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25">
      <c r="A263" t="s">
        <v>128</v>
      </c>
      <c r="B263" t="s">
        <v>181</v>
      </c>
      <c r="C263" t="s">
        <v>109</v>
      </c>
      <c r="D263" s="12">
        <v>45573</v>
      </c>
      <c r="E263" t="s">
        <v>179</v>
      </c>
      <c r="G263">
        <v>9.3020664213548816</v>
      </c>
      <c r="H263">
        <v>9.5</v>
      </c>
      <c r="K263">
        <v>9.5</v>
      </c>
      <c r="N263">
        <v>7.5851158645276282</v>
      </c>
      <c r="R263">
        <v>2.9702253520956711E-3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2.2962874872188864E-4</v>
      </c>
      <c r="Y263">
        <v>0</v>
      </c>
      <c r="Z263">
        <v>2.3262120722940861E-2</v>
      </c>
      <c r="AA263">
        <v>2.2132969559164927E-3</v>
      </c>
      <c r="AB263">
        <v>0</v>
      </c>
      <c r="AC263">
        <v>0</v>
      </c>
      <c r="AD263">
        <v>0.18777718122951081</v>
      </c>
      <c r="AE263">
        <v>0</v>
      </c>
      <c r="AF263">
        <v>0.81000952181457275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25">
      <c r="A264" t="s">
        <v>128</v>
      </c>
      <c r="B264" t="s">
        <v>134</v>
      </c>
      <c r="C264" t="s">
        <v>109</v>
      </c>
      <c r="D264" s="12">
        <v>45573</v>
      </c>
      <c r="E264" t="s">
        <v>178</v>
      </c>
      <c r="G264">
        <v>9.6390977443609014</v>
      </c>
      <c r="H264">
        <v>6.6499999999999995</v>
      </c>
      <c r="K264">
        <v>6.6499999999999995</v>
      </c>
      <c r="N264">
        <v>8.0845653416757539</v>
      </c>
      <c r="R264">
        <v>6.6108709060788029E-2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3.0811232449297773E-3</v>
      </c>
      <c r="AB264">
        <v>0.20327613104524178</v>
      </c>
      <c r="AC264">
        <v>0</v>
      </c>
      <c r="AD264">
        <v>2.4106220415799524E-2</v>
      </c>
      <c r="AE264">
        <v>0</v>
      </c>
      <c r="AF264">
        <v>0.66579237552803816</v>
      </c>
      <c r="AG264">
        <v>0</v>
      </c>
      <c r="AH264">
        <v>0</v>
      </c>
      <c r="AI264">
        <v>0</v>
      </c>
      <c r="AJ264">
        <v>0.10374414976599065</v>
      </c>
      <c r="AK264">
        <v>0</v>
      </c>
    </row>
    <row r="265" spans="1:37" x14ac:dyDescent="0.25">
      <c r="A265" t="s">
        <v>128</v>
      </c>
      <c r="B265" t="s">
        <v>181</v>
      </c>
      <c r="C265" t="s">
        <v>109</v>
      </c>
      <c r="D265" s="12">
        <v>45573</v>
      </c>
      <c r="E265" t="s">
        <v>178</v>
      </c>
      <c r="G265">
        <v>10.228382649240832</v>
      </c>
      <c r="H265">
        <v>9.5</v>
      </c>
      <c r="K265">
        <v>9.5</v>
      </c>
      <c r="N265">
        <v>8.8068404634581103</v>
      </c>
      <c r="R265">
        <v>2.2642422889417847E-2</v>
      </c>
      <c r="S265">
        <v>0</v>
      </c>
      <c r="T265">
        <v>0</v>
      </c>
      <c r="U265">
        <v>0</v>
      </c>
      <c r="V265">
        <v>0.14405100107721949</v>
      </c>
      <c r="W265">
        <v>0</v>
      </c>
      <c r="X265">
        <v>8.2644370765493413E-2</v>
      </c>
      <c r="Y265">
        <v>0</v>
      </c>
      <c r="Z265">
        <v>0</v>
      </c>
      <c r="AA265">
        <v>0</v>
      </c>
      <c r="AB265">
        <v>0.29790728033490171</v>
      </c>
      <c r="AC265">
        <v>0</v>
      </c>
      <c r="AD265">
        <v>9.0410667421542093E-2</v>
      </c>
      <c r="AE265">
        <v>0</v>
      </c>
      <c r="AF265">
        <v>0.61168205224355598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25">
      <c r="A266" t="s">
        <v>128</v>
      </c>
      <c r="B266" t="s">
        <v>134</v>
      </c>
      <c r="C266" t="s">
        <v>109</v>
      </c>
      <c r="D266" s="12">
        <v>45574</v>
      </c>
      <c r="E266" t="s">
        <v>135</v>
      </c>
      <c r="G266">
        <v>31.303258145363408</v>
      </c>
      <c r="H266">
        <v>38.949999999999996</v>
      </c>
      <c r="K266">
        <v>38.949999999999996</v>
      </c>
      <c r="N266">
        <v>29.760940614490305</v>
      </c>
      <c r="R266">
        <v>0</v>
      </c>
      <c r="S266">
        <v>0</v>
      </c>
      <c r="T266">
        <v>5.1635022303557057E-2</v>
      </c>
      <c r="U266">
        <v>0</v>
      </c>
      <c r="V266">
        <v>0</v>
      </c>
      <c r="W266">
        <v>0</v>
      </c>
      <c r="X266">
        <v>1.4553626094152646E-2</v>
      </c>
      <c r="Y266">
        <v>0</v>
      </c>
      <c r="Z266">
        <v>0.17809077514112126</v>
      </c>
      <c r="AA266">
        <v>0</v>
      </c>
      <c r="AB266">
        <v>0</v>
      </c>
      <c r="AC266">
        <v>0</v>
      </c>
      <c r="AD266">
        <v>6.3823817833013233E-2</v>
      </c>
      <c r="AE266">
        <v>0</v>
      </c>
      <c r="AF266">
        <v>0.93617618216698684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25">
      <c r="A267" t="s">
        <v>128</v>
      </c>
      <c r="B267" t="s">
        <v>181</v>
      </c>
      <c r="C267" t="s">
        <v>109</v>
      </c>
      <c r="D267" s="12">
        <v>45574</v>
      </c>
      <c r="E267" t="s">
        <v>135</v>
      </c>
      <c r="G267">
        <v>30.058155215592599</v>
      </c>
      <c r="H267">
        <v>39.899999999999991</v>
      </c>
      <c r="K267">
        <v>39.899999999999991</v>
      </c>
      <c r="N267">
        <v>30.472504456327975</v>
      </c>
      <c r="R267">
        <v>6.7504317677302278E-2</v>
      </c>
      <c r="S267">
        <v>0</v>
      </c>
      <c r="T267">
        <v>0.17095125469919534</v>
      </c>
      <c r="U267">
        <v>0</v>
      </c>
      <c r="V267">
        <v>4.3616797485263023E-2</v>
      </c>
      <c r="W267">
        <v>0</v>
      </c>
      <c r="X267">
        <v>2.9203119750370658E-2</v>
      </c>
      <c r="Y267">
        <v>0</v>
      </c>
      <c r="Z267">
        <v>0.11751566604985396</v>
      </c>
      <c r="AA267">
        <v>0</v>
      </c>
      <c r="AB267">
        <v>3.3860064324868981E-2</v>
      </c>
      <c r="AC267">
        <v>0</v>
      </c>
      <c r="AD267">
        <v>9.2679251395140688E-2</v>
      </c>
      <c r="AE267">
        <v>0</v>
      </c>
      <c r="AF267">
        <v>0.87346068427999024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25">
      <c r="A268" t="s">
        <v>128</v>
      </c>
      <c r="B268" t="s">
        <v>134</v>
      </c>
      <c r="C268" t="s">
        <v>109</v>
      </c>
      <c r="D268" s="12">
        <v>45574</v>
      </c>
      <c r="E268" t="s">
        <v>179</v>
      </c>
      <c r="G268">
        <v>6.260651629072683</v>
      </c>
      <c r="H268">
        <v>4.75</v>
      </c>
      <c r="K268">
        <v>4.75</v>
      </c>
      <c r="N268">
        <v>3.2787509988321348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0.24129303442754219</v>
      </c>
      <c r="AC268">
        <v>0</v>
      </c>
      <c r="AD268">
        <v>0.23499934005843798</v>
      </c>
      <c r="AE268">
        <v>0</v>
      </c>
      <c r="AF268">
        <v>0.52370762551401984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25">
      <c r="A269" t="s">
        <v>128</v>
      </c>
      <c r="B269" t="s">
        <v>181</v>
      </c>
      <c r="C269" t="s">
        <v>109</v>
      </c>
      <c r="D269" s="12">
        <v>45574</v>
      </c>
      <c r="E269" t="s">
        <v>179</v>
      </c>
      <c r="G269">
        <v>9.3020664213548834</v>
      </c>
      <c r="H269">
        <v>8.5500000000000007</v>
      </c>
      <c r="K269">
        <v>8.5500000000000007</v>
      </c>
      <c r="N269">
        <v>6.6753119429590022</v>
      </c>
      <c r="R269">
        <v>0</v>
      </c>
      <c r="S269">
        <v>0</v>
      </c>
      <c r="T269">
        <v>7.0059731235059073E-3</v>
      </c>
      <c r="U269">
        <v>0</v>
      </c>
      <c r="V269">
        <v>0</v>
      </c>
      <c r="W269">
        <v>0</v>
      </c>
      <c r="X269">
        <v>3.6022717291660272E-3</v>
      </c>
      <c r="Y269">
        <v>0</v>
      </c>
      <c r="Z269">
        <v>9.7124378897707406E-2</v>
      </c>
      <c r="AA269">
        <v>0</v>
      </c>
      <c r="AB269">
        <v>0.1885820164862077</v>
      </c>
      <c r="AC269">
        <v>0</v>
      </c>
      <c r="AD269">
        <v>9.7404228804532103E-2</v>
      </c>
      <c r="AE269">
        <v>0</v>
      </c>
      <c r="AF269">
        <v>0.71401375470925998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25">
      <c r="A270" t="s">
        <v>128</v>
      </c>
      <c r="B270" t="s">
        <v>134</v>
      </c>
      <c r="C270" t="s">
        <v>109</v>
      </c>
      <c r="D270" s="12">
        <v>45574</v>
      </c>
      <c r="E270" t="s">
        <v>178</v>
      </c>
      <c r="G270">
        <v>9.6390977443609014</v>
      </c>
      <c r="H270">
        <v>8.5500000000000007</v>
      </c>
      <c r="K270">
        <v>8.5500000000000007</v>
      </c>
      <c r="N270">
        <v>7.3010310092206652</v>
      </c>
      <c r="R270">
        <v>1.9849088081170328E-2</v>
      </c>
      <c r="S270">
        <v>0</v>
      </c>
      <c r="T270">
        <v>0.11934477379095162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7.4687987519500787E-2</v>
      </c>
      <c r="AA270">
        <v>0</v>
      </c>
      <c r="AB270">
        <v>0.20327613104524178</v>
      </c>
      <c r="AC270">
        <v>0</v>
      </c>
      <c r="AD270">
        <v>5.9133702569198067E-2</v>
      </c>
      <c r="AE270">
        <v>0</v>
      </c>
      <c r="AF270">
        <v>0.63384601661956952</v>
      </c>
      <c r="AG270">
        <v>0</v>
      </c>
      <c r="AH270">
        <v>0</v>
      </c>
      <c r="AI270">
        <v>0</v>
      </c>
      <c r="AJ270">
        <v>0.10374414976599065</v>
      </c>
      <c r="AK270">
        <v>0</v>
      </c>
    </row>
    <row r="271" spans="1:37" x14ac:dyDescent="0.25">
      <c r="A271" t="s">
        <v>128</v>
      </c>
      <c r="B271" t="s">
        <v>181</v>
      </c>
      <c r="C271" t="s">
        <v>109</v>
      </c>
      <c r="D271" s="12">
        <v>45574</v>
      </c>
      <c r="E271" t="s">
        <v>178</v>
      </c>
      <c r="G271">
        <v>10.22838264924083</v>
      </c>
      <c r="H271">
        <v>7.6</v>
      </c>
      <c r="K271">
        <v>7.6</v>
      </c>
      <c r="N271">
        <v>8.8068404634581103</v>
      </c>
      <c r="R271">
        <v>0.115521232040199</v>
      </c>
      <c r="S271">
        <v>0</v>
      </c>
      <c r="T271">
        <v>0</v>
      </c>
      <c r="U271">
        <v>0</v>
      </c>
      <c r="V271">
        <v>8.2350037263243178E-2</v>
      </c>
      <c r="W271">
        <v>3.1177845336804816E-2</v>
      </c>
      <c r="X271">
        <v>5.1466525428688625E-2</v>
      </c>
      <c r="Y271">
        <v>0</v>
      </c>
      <c r="Z271">
        <v>0</v>
      </c>
      <c r="AA271">
        <v>2.4681417292390481E-3</v>
      </c>
      <c r="AB271">
        <v>0.38831794775644396</v>
      </c>
      <c r="AC271">
        <v>0</v>
      </c>
      <c r="AD271">
        <v>0</v>
      </c>
      <c r="AE271">
        <v>0</v>
      </c>
      <c r="AF271">
        <v>0.36136249228299855</v>
      </c>
      <c r="AG271">
        <v>0</v>
      </c>
      <c r="AH271">
        <v>0</v>
      </c>
      <c r="AI271">
        <v>0</v>
      </c>
      <c r="AJ271">
        <v>0</v>
      </c>
      <c r="AK271">
        <v>0.24785141823131851</v>
      </c>
    </row>
    <row r="272" spans="1:37" x14ac:dyDescent="0.25">
      <c r="A272" t="s">
        <v>128</v>
      </c>
      <c r="B272" t="s">
        <v>134</v>
      </c>
      <c r="C272" t="s">
        <v>109</v>
      </c>
      <c r="D272" s="12">
        <v>45575</v>
      </c>
      <c r="E272" t="s">
        <v>135</v>
      </c>
      <c r="G272">
        <v>31.303258145363415</v>
      </c>
      <c r="H272">
        <v>38</v>
      </c>
      <c r="K272">
        <v>38</v>
      </c>
      <c r="N272">
        <v>26.68516986731996</v>
      </c>
      <c r="R272">
        <v>2.1386520981491537E-3</v>
      </c>
      <c r="S272">
        <v>0</v>
      </c>
      <c r="T272">
        <v>5.1887224064966877E-3</v>
      </c>
      <c r="U272">
        <v>0</v>
      </c>
      <c r="V272">
        <v>0</v>
      </c>
      <c r="W272">
        <v>0</v>
      </c>
      <c r="X272">
        <v>1.0661100308818445E-2</v>
      </c>
      <c r="Y272">
        <v>0</v>
      </c>
      <c r="Z272">
        <v>0.19808132220061744</v>
      </c>
      <c r="AA272">
        <v>0</v>
      </c>
      <c r="AB272">
        <v>0</v>
      </c>
      <c r="AC272">
        <v>0</v>
      </c>
      <c r="AD272">
        <v>0.16032715216191853</v>
      </c>
      <c r="AE272">
        <v>0</v>
      </c>
      <c r="AF272">
        <v>0.83967284783808138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25">
      <c r="A273" t="s">
        <v>128</v>
      </c>
      <c r="B273" t="s">
        <v>181</v>
      </c>
      <c r="C273" t="s">
        <v>109</v>
      </c>
      <c r="D273" s="12">
        <v>45575</v>
      </c>
      <c r="E273" t="s">
        <v>135</v>
      </c>
      <c r="G273">
        <v>30.058155215592596</v>
      </c>
      <c r="H273">
        <v>38.950000000000003</v>
      </c>
      <c r="K273">
        <v>38.950000000000003</v>
      </c>
      <c r="N273">
        <v>30.045766488413545</v>
      </c>
      <c r="R273">
        <v>0</v>
      </c>
      <c r="S273">
        <v>0</v>
      </c>
      <c r="T273">
        <v>4.0597885036999203E-2</v>
      </c>
      <c r="U273">
        <v>0</v>
      </c>
      <c r="V273">
        <v>4.7548569656048555E-2</v>
      </c>
      <c r="W273">
        <v>0</v>
      </c>
      <c r="X273">
        <v>2.9203119750370661E-2</v>
      </c>
      <c r="Y273">
        <v>0</v>
      </c>
      <c r="Z273">
        <v>0.17847179984354317</v>
      </c>
      <c r="AA273">
        <v>0</v>
      </c>
      <c r="AB273">
        <v>0</v>
      </c>
      <c r="AC273">
        <v>0</v>
      </c>
      <c r="AD273">
        <v>7.716384800664576E-2</v>
      </c>
      <c r="AE273">
        <v>0</v>
      </c>
      <c r="AF273">
        <v>0.92283615199335423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25">
      <c r="A274" t="s">
        <v>128</v>
      </c>
      <c r="B274" t="s">
        <v>134</v>
      </c>
      <c r="C274" t="s">
        <v>109</v>
      </c>
      <c r="D274" s="12">
        <v>45575</v>
      </c>
      <c r="E274" t="s">
        <v>179</v>
      </c>
      <c r="G274">
        <v>6.2606516290726812</v>
      </c>
      <c r="H274">
        <v>5.6999999999999993</v>
      </c>
      <c r="K274">
        <v>5.6999999999999993</v>
      </c>
      <c r="N274">
        <v>3.8688302907369847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0.10280224179343476</v>
      </c>
      <c r="AA274">
        <v>1.3812835258064435E-2</v>
      </c>
      <c r="AB274">
        <v>0.17854104784842081</v>
      </c>
      <c r="AC274">
        <v>0</v>
      </c>
      <c r="AD274">
        <v>0.20349927000423859</v>
      </c>
      <c r="AE274">
        <v>0</v>
      </c>
      <c r="AF274">
        <v>0.60414684688927622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25">
      <c r="A275" t="s">
        <v>128</v>
      </c>
      <c r="B275" t="s">
        <v>181</v>
      </c>
      <c r="C275" t="s">
        <v>109</v>
      </c>
      <c r="D275" s="12">
        <v>45575</v>
      </c>
      <c r="E275" t="s">
        <v>179</v>
      </c>
      <c r="G275">
        <v>9.3020664213548834</v>
      </c>
      <c r="H275">
        <v>7.6</v>
      </c>
      <c r="K275">
        <v>7.6</v>
      </c>
      <c r="N275">
        <v>6.6439393939393936</v>
      </c>
      <c r="R275">
        <v>0</v>
      </c>
      <c r="S275">
        <v>0</v>
      </c>
      <c r="T275">
        <v>7.0059731235059073E-3</v>
      </c>
      <c r="U275">
        <v>0</v>
      </c>
      <c r="V275">
        <v>0</v>
      </c>
      <c r="W275">
        <v>0</v>
      </c>
      <c r="X275">
        <v>2.2962874872188858E-4</v>
      </c>
      <c r="Y275">
        <v>0</v>
      </c>
      <c r="Z275">
        <v>0.10049702187815154</v>
      </c>
      <c r="AA275">
        <v>0.10071938355235499</v>
      </c>
      <c r="AB275">
        <v>0.18999047818542728</v>
      </c>
      <c r="AC275">
        <v>0</v>
      </c>
      <c r="AD275">
        <v>9.5995767105312504E-2</v>
      </c>
      <c r="AE275">
        <v>0</v>
      </c>
      <c r="AF275">
        <v>0.6132943711569051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25">
      <c r="A276" t="s">
        <v>128</v>
      </c>
      <c r="B276" t="s">
        <v>134</v>
      </c>
      <c r="C276" t="s">
        <v>109</v>
      </c>
      <c r="D276" s="12">
        <v>45575</v>
      </c>
      <c r="E276" t="s">
        <v>178</v>
      </c>
      <c r="G276">
        <v>9.6390977443609014</v>
      </c>
      <c r="H276">
        <v>6.65</v>
      </c>
      <c r="K276">
        <v>6.65</v>
      </c>
      <c r="N276">
        <v>7.5259422692712459</v>
      </c>
      <c r="R276">
        <v>2.7054023337404118E-2</v>
      </c>
      <c r="S276">
        <v>0</v>
      </c>
      <c r="T276">
        <v>0.11934477379095174</v>
      </c>
      <c r="U276">
        <v>0</v>
      </c>
      <c r="V276">
        <v>0</v>
      </c>
      <c r="W276">
        <v>0</v>
      </c>
      <c r="X276">
        <v>5.4777809773648656E-2</v>
      </c>
      <c r="Y276">
        <v>0</v>
      </c>
      <c r="Z276">
        <v>1.9910177745852117E-2</v>
      </c>
      <c r="AA276">
        <v>9.9330664403046803E-2</v>
      </c>
      <c r="AB276">
        <v>0.30105935119757715</v>
      </c>
      <c r="AC276">
        <v>0</v>
      </c>
      <c r="AD276">
        <v>0</v>
      </c>
      <c r="AE276">
        <v>0</v>
      </c>
      <c r="AF276">
        <v>0.49586583463338535</v>
      </c>
      <c r="AG276">
        <v>0</v>
      </c>
      <c r="AH276">
        <v>0</v>
      </c>
      <c r="AI276">
        <v>0</v>
      </c>
      <c r="AJ276">
        <v>0.10374414976599065</v>
      </c>
      <c r="AK276">
        <v>0</v>
      </c>
    </row>
    <row r="277" spans="1:37" x14ac:dyDescent="0.25">
      <c r="A277" t="s">
        <v>128</v>
      </c>
      <c r="B277" t="s">
        <v>181</v>
      </c>
      <c r="C277" t="s">
        <v>109</v>
      </c>
      <c r="D277" s="12">
        <v>45575</v>
      </c>
      <c r="E277" t="s">
        <v>178</v>
      </c>
      <c r="G277">
        <v>10.228382649240828</v>
      </c>
      <c r="H277">
        <v>10.45</v>
      </c>
      <c r="K277">
        <v>10.45</v>
      </c>
      <c r="N277">
        <v>7.5947192513368975</v>
      </c>
      <c r="R277">
        <v>3.8514338722811891E-3</v>
      </c>
      <c r="S277">
        <v>0</v>
      </c>
      <c r="T277">
        <v>0.15457977296475747</v>
      </c>
      <c r="U277">
        <v>0</v>
      </c>
      <c r="V277">
        <v>8.2350037263243192E-2</v>
      </c>
      <c r="W277">
        <v>0</v>
      </c>
      <c r="X277">
        <v>4.4630665987954253E-2</v>
      </c>
      <c r="Y277">
        <v>0</v>
      </c>
      <c r="Z277">
        <v>3.8013704777539195E-2</v>
      </c>
      <c r="AA277">
        <v>0</v>
      </c>
      <c r="AB277">
        <v>0.29790728033490183</v>
      </c>
      <c r="AC277">
        <v>0</v>
      </c>
      <c r="AD277">
        <v>9.0410667421542065E-2</v>
      </c>
      <c r="AE277">
        <v>0</v>
      </c>
      <c r="AF277">
        <v>0.61168205224355621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25">
      <c r="A278" t="s">
        <v>128</v>
      </c>
      <c r="B278" t="s">
        <v>134</v>
      </c>
      <c r="C278" t="s">
        <v>109</v>
      </c>
      <c r="D278" s="12">
        <v>45576</v>
      </c>
      <c r="E278" t="s">
        <v>135</v>
      </c>
      <c r="G278">
        <v>31.303258145363412</v>
      </c>
      <c r="H278">
        <v>38</v>
      </c>
      <c r="K278">
        <v>38</v>
      </c>
      <c r="N278">
        <v>23.453757804062057</v>
      </c>
      <c r="R278">
        <v>0</v>
      </c>
      <c r="S278">
        <v>0</v>
      </c>
      <c r="T278">
        <v>3.5537001029394985E-2</v>
      </c>
      <c r="U278">
        <v>0</v>
      </c>
      <c r="V278">
        <v>0</v>
      </c>
      <c r="W278">
        <v>0</v>
      </c>
      <c r="X278">
        <v>1.5113032621156769E-2</v>
      </c>
      <c r="Y278">
        <v>0</v>
      </c>
      <c r="Z278">
        <v>0.16328111126538092</v>
      </c>
      <c r="AA278">
        <v>0</v>
      </c>
      <c r="AB278">
        <v>0</v>
      </c>
      <c r="AC278">
        <v>0</v>
      </c>
      <c r="AD278">
        <v>0.2658696888404713</v>
      </c>
      <c r="AE278">
        <v>0</v>
      </c>
      <c r="AF278">
        <v>0.73413031115952854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25">
      <c r="A279" t="s">
        <v>128</v>
      </c>
      <c r="B279" t="s">
        <v>181</v>
      </c>
      <c r="C279" t="s">
        <v>109</v>
      </c>
      <c r="D279" s="12">
        <v>45576</v>
      </c>
      <c r="E279" t="s">
        <v>135</v>
      </c>
      <c r="G279">
        <v>30.058155215592599</v>
      </c>
      <c r="H279">
        <v>41.8</v>
      </c>
      <c r="K279">
        <v>41.8</v>
      </c>
      <c r="N279">
        <v>30.307419786096244</v>
      </c>
      <c r="R279">
        <v>5.2423628943806394E-3</v>
      </c>
      <c r="S279">
        <v>0</v>
      </c>
      <c r="T279">
        <v>0.2341620534449009</v>
      </c>
      <c r="U279">
        <v>0</v>
      </c>
      <c r="V279">
        <v>0.10682759623096845</v>
      </c>
      <c r="W279">
        <v>0</v>
      </c>
      <c r="X279">
        <v>2.9203119750370658E-2</v>
      </c>
      <c r="Y279">
        <v>0</v>
      </c>
      <c r="Z279">
        <v>0.11751566604985396</v>
      </c>
      <c r="AA279">
        <v>3.4625391798150468E-2</v>
      </c>
      <c r="AB279">
        <v>6.2445471272423926E-2</v>
      </c>
      <c r="AC279">
        <v>0</v>
      </c>
      <c r="AD279">
        <v>7.0534864129327038E-2</v>
      </c>
      <c r="AE279">
        <v>0</v>
      </c>
      <c r="AF279">
        <v>0.83239427280009859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25">
      <c r="A280" t="s">
        <v>128</v>
      </c>
      <c r="B280" t="s">
        <v>134</v>
      </c>
      <c r="C280" t="s">
        <v>109</v>
      </c>
      <c r="D280" s="12">
        <v>45576</v>
      </c>
      <c r="E280" t="s">
        <v>179</v>
      </c>
      <c r="G280">
        <v>6.2606516290726812</v>
      </c>
      <c r="H280">
        <v>6.6499999999999995</v>
      </c>
      <c r="K280">
        <v>6.6499999999999995</v>
      </c>
      <c r="N280">
        <v>3.6666666666666665</v>
      </c>
      <c r="R280">
        <v>0</v>
      </c>
      <c r="S280">
        <v>0</v>
      </c>
      <c r="T280">
        <v>3.5088070456364952E-2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0.1868294635708567</v>
      </c>
      <c r="AA280">
        <v>4.3846842179626052E-3</v>
      </c>
      <c r="AB280">
        <v>0.15534309800781804</v>
      </c>
      <c r="AC280">
        <v>0</v>
      </c>
      <c r="AD280">
        <v>0.25898836716431972</v>
      </c>
      <c r="AE280">
        <v>0</v>
      </c>
      <c r="AF280">
        <v>0.58128385060989973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25">
      <c r="A281" t="s">
        <v>128</v>
      </c>
      <c r="B281" t="s">
        <v>181</v>
      </c>
      <c r="C281" t="s">
        <v>109</v>
      </c>
      <c r="D281" s="12">
        <v>45576</v>
      </c>
      <c r="E281" t="s">
        <v>179</v>
      </c>
      <c r="G281">
        <v>9.3020664213548834</v>
      </c>
      <c r="H281">
        <v>9.5</v>
      </c>
      <c r="K281">
        <v>9.5</v>
      </c>
      <c r="N281">
        <v>7.3712121212121211</v>
      </c>
      <c r="R281">
        <v>0</v>
      </c>
      <c r="S281">
        <v>0</v>
      </c>
      <c r="T281">
        <v>7.0059731235059073E-3</v>
      </c>
      <c r="U281">
        <v>0</v>
      </c>
      <c r="V281">
        <v>0</v>
      </c>
      <c r="W281">
        <v>0</v>
      </c>
      <c r="X281">
        <v>2.2962874872188858E-4</v>
      </c>
      <c r="Y281">
        <v>0</v>
      </c>
      <c r="Z281">
        <v>0.10049702187815154</v>
      </c>
      <c r="AA281">
        <v>0</v>
      </c>
      <c r="AB281">
        <v>8.6454171234633059E-2</v>
      </c>
      <c r="AC281">
        <v>0</v>
      </c>
      <c r="AD281">
        <v>0.12134807769126491</v>
      </c>
      <c r="AE281">
        <v>0</v>
      </c>
      <c r="AF281">
        <v>0.79219775107410195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25">
      <c r="A282" t="s">
        <v>128</v>
      </c>
      <c r="B282" t="s">
        <v>134</v>
      </c>
      <c r="C282" t="s">
        <v>109</v>
      </c>
      <c r="D282" s="12">
        <v>45576</v>
      </c>
      <c r="E282" t="s">
        <v>178</v>
      </c>
      <c r="G282">
        <v>9.6390977443609014</v>
      </c>
      <c r="H282">
        <v>5.6999999999999993</v>
      </c>
      <c r="K282">
        <v>5.6999999999999993</v>
      </c>
      <c r="N282">
        <v>7.4905648294033043</v>
      </c>
      <c r="R282">
        <v>1.5814593368048437E-2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8.9687528677617576E-2</v>
      </c>
      <c r="AB282">
        <v>0.21522666789024514</v>
      </c>
      <c r="AC282">
        <v>0</v>
      </c>
      <c r="AD282">
        <v>2.348564598432475E-2</v>
      </c>
      <c r="AE282">
        <v>0</v>
      </c>
      <c r="AF282">
        <v>0.56785600768182187</v>
      </c>
      <c r="AG282">
        <v>0</v>
      </c>
      <c r="AH282">
        <v>0</v>
      </c>
      <c r="AI282">
        <v>0</v>
      </c>
      <c r="AJ282">
        <v>0.10374414976599065</v>
      </c>
      <c r="AK282">
        <v>0</v>
      </c>
    </row>
    <row r="283" spans="1:37" x14ac:dyDescent="0.25">
      <c r="A283" t="s">
        <v>128</v>
      </c>
      <c r="B283" t="s">
        <v>181</v>
      </c>
      <c r="C283" t="s">
        <v>109</v>
      </c>
      <c r="D283" s="12">
        <v>45576</v>
      </c>
      <c r="E283" t="s">
        <v>178</v>
      </c>
      <c r="G283">
        <v>10.228382649240832</v>
      </c>
      <c r="H283">
        <v>8.5499999999999989</v>
      </c>
      <c r="K283">
        <v>8.5499999999999989</v>
      </c>
      <c r="N283">
        <v>7.8038223793916393</v>
      </c>
      <c r="R283">
        <v>6.6398022866024156E-3</v>
      </c>
      <c r="S283">
        <v>0</v>
      </c>
      <c r="T283">
        <v>6.1700963813976328E-2</v>
      </c>
      <c r="U283">
        <v>0</v>
      </c>
      <c r="V283">
        <v>8.2350037263243164E-2</v>
      </c>
      <c r="W283">
        <v>0</v>
      </c>
      <c r="X283">
        <v>6.5531482960523829E-2</v>
      </c>
      <c r="Y283">
        <v>0</v>
      </c>
      <c r="Z283">
        <v>1.7112887804969595E-2</v>
      </c>
      <c r="AA283">
        <v>0</v>
      </c>
      <c r="AB283">
        <v>0.39078608948568294</v>
      </c>
      <c r="AC283">
        <v>0</v>
      </c>
      <c r="AD283">
        <v>7.7762310667531373E-4</v>
      </c>
      <c r="AE283">
        <v>0</v>
      </c>
      <c r="AF283">
        <v>0.60843628740764155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25">
      <c r="A284" t="s">
        <v>128</v>
      </c>
      <c r="B284" t="s">
        <v>134</v>
      </c>
      <c r="C284" t="s">
        <v>109</v>
      </c>
      <c r="D284" s="12">
        <v>45577</v>
      </c>
      <c r="E284" t="s">
        <v>135</v>
      </c>
      <c r="G284">
        <v>31.303258145363415</v>
      </c>
      <c r="H284">
        <v>45.599999999999994</v>
      </c>
      <c r="K284">
        <v>45.599999999999994</v>
      </c>
      <c r="N284">
        <v>28.649938670886474</v>
      </c>
      <c r="R284">
        <v>0</v>
      </c>
      <c r="S284">
        <v>0</v>
      </c>
      <c r="T284">
        <v>0.20671737389911912</v>
      </c>
      <c r="U284">
        <v>0</v>
      </c>
      <c r="V284">
        <v>0</v>
      </c>
      <c r="W284">
        <v>0</v>
      </c>
      <c r="X284">
        <v>1.3676689250560082E-2</v>
      </c>
      <c r="Y284">
        <v>0</v>
      </c>
      <c r="Z284">
        <v>0.23632331074943988</v>
      </c>
      <c r="AA284">
        <v>0</v>
      </c>
      <c r="AB284">
        <v>0</v>
      </c>
      <c r="AC284">
        <v>0</v>
      </c>
      <c r="AD284">
        <v>9.8438456289495116E-2</v>
      </c>
      <c r="AE284">
        <v>0</v>
      </c>
      <c r="AF284">
        <v>0.90156154371050479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25">
      <c r="A285" t="s">
        <v>128</v>
      </c>
      <c r="B285" t="s">
        <v>181</v>
      </c>
      <c r="C285" t="s">
        <v>109</v>
      </c>
      <c r="D285" s="12">
        <v>45577</v>
      </c>
      <c r="E285" t="s">
        <v>135</v>
      </c>
      <c r="G285">
        <v>30.058155215592596</v>
      </c>
      <c r="H285">
        <v>41.8</v>
      </c>
      <c r="K285">
        <v>41.8</v>
      </c>
      <c r="N285">
        <v>31.7142156862745</v>
      </c>
      <c r="R285">
        <v>6.4847554581507422E-3</v>
      </c>
      <c r="S285">
        <v>0</v>
      </c>
      <c r="T285">
        <v>0.11570191645817743</v>
      </c>
      <c r="U285">
        <v>0</v>
      </c>
      <c r="V285">
        <v>7.5222196858115736E-2</v>
      </c>
      <c r="W285">
        <v>0</v>
      </c>
      <c r="X285">
        <v>2.9203119750370661E-2</v>
      </c>
      <c r="Y285">
        <v>0</v>
      </c>
      <c r="Z285">
        <v>0.17051033933885582</v>
      </c>
      <c r="AA285">
        <v>0</v>
      </c>
      <c r="AB285">
        <v>0</v>
      </c>
      <c r="AC285">
        <v>0</v>
      </c>
      <c r="AD285">
        <v>5.5814858844009697E-2</v>
      </c>
      <c r="AE285">
        <v>0</v>
      </c>
      <c r="AF285">
        <v>0.94418514115599039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25">
      <c r="A286" t="s">
        <v>128</v>
      </c>
      <c r="B286" t="s">
        <v>134</v>
      </c>
      <c r="C286" t="s">
        <v>109</v>
      </c>
      <c r="D286" s="12">
        <v>45577</v>
      </c>
      <c r="E286" t="s">
        <v>179</v>
      </c>
      <c r="G286">
        <v>6.260651629072683</v>
      </c>
      <c r="H286">
        <v>6.65</v>
      </c>
      <c r="K286">
        <v>6.65</v>
      </c>
      <c r="N286">
        <v>3.666666666666667</v>
      </c>
      <c r="R286">
        <v>0</v>
      </c>
      <c r="S286">
        <v>0</v>
      </c>
      <c r="T286">
        <v>0.12850280224179331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0.12604083266613292</v>
      </c>
      <c r="AA286">
        <v>4.3846842179626044E-3</v>
      </c>
      <c r="AB286">
        <v>0.18796919888852259</v>
      </c>
      <c r="AC286">
        <v>0</v>
      </c>
      <c r="AD286">
        <v>0.22636226628361511</v>
      </c>
      <c r="AE286">
        <v>0</v>
      </c>
      <c r="AF286">
        <v>0.58128385060989962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">
        <v>128</v>
      </c>
      <c r="B287" t="s">
        <v>181</v>
      </c>
      <c r="C287" t="s">
        <v>109</v>
      </c>
      <c r="D287" s="12">
        <v>45577</v>
      </c>
      <c r="E287" t="s">
        <v>179</v>
      </c>
      <c r="G287">
        <v>9.3020664213548816</v>
      </c>
      <c r="H287">
        <v>9.5</v>
      </c>
      <c r="K287">
        <v>9.5</v>
      </c>
      <c r="N287">
        <v>7.1287878787878789</v>
      </c>
      <c r="R287">
        <v>0</v>
      </c>
      <c r="S287">
        <v>0</v>
      </c>
      <c r="T287">
        <v>7.0059731235059082E-3</v>
      </c>
      <c r="U287">
        <v>0</v>
      </c>
      <c r="V287">
        <v>0</v>
      </c>
      <c r="W287">
        <v>0</v>
      </c>
      <c r="X287">
        <v>2.2962874872188864E-4</v>
      </c>
      <c r="Y287">
        <v>0</v>
      </c>
      <c r="Z287">
        <v>0.10049702187815156</v>
      </c>
      <c r="AA287">
        <v>0</v>
      </c>
      <c r="AB287">
        <v>8.6454171234633073E-2</v>
      </c>
      <c r="AC287">
        <v>0</v>
      </c>
      <c r="AD287">
        <v>0.14740940981287881</v>
      </c>
      <c r="AE287">
        <v>0</v>
      </c>
      <c r="AF287">
        <v>0.76613641895248807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">
        <v>128</v>
      </c>
      <c r="B288" t="s">
        <v>134</v>
      </c>
      <c r="C288" t="s">
        <v>109</v>
      </c>
      <c r="D288" s="12">
        <v>45577</v>
      </c>
      <c r="E288" t="s">
        <v>178</v>
      </c>
      <c r="G288">
        <v>9.6390977443609014</v>
      </c>
      <c r="H288">
        <v>5.7</v>
      </c>
      <c r="K288">
        <v>5.7</v>
      </c>
      <c r="N288">
        <v>5.8090336050782296</v>
      </c>
      <c r="R288">
        <v>1.1744659249666944E-2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0.12106289931110431</v>
      </c>
      <c r="AB288">
        <v>0.28759544702274908</v>
      </c>
      <c r="AC288">
        <v>0</v>
      </c>
      <c r="AD288">
        <v>0.12149595990600948</v>
      </c>
      <c r="AE288">
        <v>0</v>
      </c>
      <c r="AF288">
        <v>0.46984569376013724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25">
      <c r="A289" t="s">
        <v>128</v>
      </c>
      <c r="B289" t="s">
        <v>181</v>
      </c>
      <c r="C289" t="s">
        <v>109</v>
      </c>
      <c r="D289" s="12">
        <v>45577</v>
      </c>
      <c r="E289" t="s">
        <v>178</v>
      </c>
      <c r="G289">
        <v>10.228382649240828</v>
      </c>
      <c r="H289">
        <v>9.5</v>
      </c>
      <c r="K289">
        <v>9.5</v>
      </c>
      <c r="N289">
        <v>9.7405525846702297</v>
      </c>
      <c r="R289">
        <v>2.2272092709390737E-2</v>
      </c>
      <c r="S289">
        <v>0</v>
      </c>
      <c r="T289">
        <v>0</v>
      </c>
      <c r="U289">
        <v>0</v>
      </c>
      <c r="V289">
        <v>0.14405100107721955</v>
      </c>
      <c r="W289">
        <v>0</v>
      </c>
      <c r="X289">
        <v>8.2644370765493441E-2</v>
      </c>
      <c r="Y289">
        <v>0</v>
      </c>
      <c r="Z289">
        <v>0</v>
      </c>
      <c r="AA289">
        <v>1.2460521351497517E-3</v>
      </c>
      <c r="AB289">
        <v>0.29666122819975205</v>
      </c>
      <c r="AC289">
        <v>0</v>
      </c>
      <c r="AD289">
        <v>0</v>
      </c>
      <c r="AE289">
        <v>0</v>
      </c>
      <c r="AF289">
        <v>0.70209271966509834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25">
      <c r="A290" t="s">
        <v>128</v>
      </c>
      <c r="B290" t="s">
        <v>134</v>
      </c>
      <c r="C290" t="s">
        <v>109</v>
      </c>
      <c r="D290" s="12">
        <v>45578</v>
      </c>
      <c r="E290" t="s">
        <v>135</v>
      </c>
      <c r="G290">
        <v>31.303258145363415</v>
      </c>
      <c r="H290">
        <v>37.049999999999997</v>
      </c>
      <c r="K290">
        <v>37.049999999999997</v>
      </c>
      <c r="N290">
        <v>25.802131202131203</v>
      </c>
      <c r="R290">
        <v>0</v>
      </c>
      <c r="S290">
        <v>0</v>
      </c>
      <c r="T290">
        <v>2.8500514697472223E-2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0.15508235159556197</v>
      </c>
      <c r="AA290">
        <v>0</v>
      </c>
      <c r="AB290">
        <v>0</v>
      </c>
      <c r="AC290">
        <v>0</v>
      </c>
      <c r="AD290">
        <v>0.17573656127699366</v>
      </c>
      <c r="AE290">
        <v>0</v>
      </c>
      <c r="AF290">
        <v>0.82426343872300623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25">
      <c r="A291" t="s">
        <v>128</v>
      </c>
      <c r="B291" t="s">
        <v>181</v>
      </c>
      <c r="C291" t="s">
        <v>109</v>
      </c>
      <c r="D291" s="12">
        <v>45578</v>
      </c>
      <c r="E291" t="s">
        <v>135</v>
      </c>
      <c r="G291">
        <v>30.058155215592596</v>
      </c>
      <c r="H291">
        <v>36.099999999999994</v>
      </c>
      <c r="K291">
        <v>36.099999999999994</v>
      </c>
      <c r="N291">
        <v>32.139171122994647</v>
      </c>
      <c r="R291">
        <v>6.7504317677302278E-2</v>
      </c>
      <c r="S291">
        <v>0</v>
      </c>
      <c r="T291">
        <v>0</v>
      </c>
      <c r="U291">
        <v>0</v>
      </c>
      <c r="V291">
        <v>4.361679748526303E-2</v>
      </c>
      <c r="W291">
        <v>0</v>
      </c>
      <c r="X291">
        <v>2.9203119750370661E-2</v>
      </c>
      <c r="Y291">
        <v>0</v>
      </c>
      <c r="Z291">
        <v>0.12818525893276966</v>
      </c>
      <c r="AA291">
        <v>0</v>
      </c>
      <c r="AB291">
        <v>0</v>
      </c>
      <c r="AC291">
        <v>0</v>
      </c>
      <c r="AD291">
        <v>7.1091246644829353E-2</v>
      </c>
      <c r="AE291">
        <v>0</v>
      </c>
      <c r="AF291">
        <v>0.92890875335517065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25">
      <c r="A292" t="s">
        <v>128</v>
      </c>
      <c r="B292" t="s">
        <v>134</v>
      </c>
      <c r="C292" t="s">
        <v>109</v>
      </c>
      <c r="D292" s="12">
        <v>45578</v>
      </c>
      <c r="E292" t="s">
        <v>179</v>
      </c>
      <c r="G292">
        <v>6.260651629072683</v>
      </c>
      <c r="H292">
        <v>4.75</v>
      </c>
      <c r="K292">
        <v>4.75</v>
      </c>
      <c r="N292">
        <v>3.4645030425963488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0.24129303442754219</v>
      </c>
      <c r="AC292">
        <v>0</v>
      </c>
      <c r="AD292">
        <v>0.20532957806407393</v>
      </c>
      <c r="AE292">
        <v>0</v>
      </c>
      <c r="AF292">
        <v>0.55337738750838383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25">
      <c r="A293" t="s">
        <v>128</v>
      </c>
      <c r="B293" t="s">
        <v>181</v>
      </c>
      <c r="C293" t="s">
        <v>109</v>
      </c>
      <c r="D293" s="12">
        <v>45578</v>
      </c>
      <c r="E293" t="s">
        <v>179</v>
      </c>
      <c r="G293">
        <v>9.3020664213548834</v>
      </c>
      <c r="H293">
        <v>9.5</v>
      </c>
      <c r="K293">
        <v>9.5</v>
      </c>
      <c r="N293">
        <v>7.6136363636363633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2.2962874872188858E-4</v>
      </c>
      <c r="Y293">
        <v>0</v>
      </c>
      <c r="Z293">
        <v>2.3262120722940854E-2</v>
      </c>
      <c r="AA293">
        <v>0</v>
      </c>
      <c r="AB293">
        <v>2.2132969559164922E-3</v>
      </c>
      <c r="AC293">
        <v>0</v>
      </c>
      <c r="AD293">
        <v>0.17952761984836754</v>
      </c>
      <c r="AE293">
        <v>0</v>
      </c>
      <c r="AF293">
        <v>0.81825908319571583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25">
      <c r="A294" t="s">
        <v>128</v>
      </c>
      <c r="B294" t="s">
        <v>134</v>
      </c>
      <c r="C294" t="s">
        <v>109</v>
      </c>
      <c r="D294" s="12">
        <v>45578</v>
      </c>
      <c r="E294" t="s">
        <v>178</v>
      </c>
      <c r="G294">
        <v>9.6390977443609014</v>
      </c>
      <c r="H294">
        <v>6.6499999999999995</v>
      </c>
      <c r="K294">
        <v>6.6499999999999995</v>
      </c>
      <c r="N294">
        <v>6.4593210236692666</v>
      </c>
      <c r="R294">
        <v>1.4535875552669174E-2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0.17079906522832916</v>
      </c>
      <c r="AB294">
        <v>3.5558189061842396E-2</v>
      </c>
      <c r="AC294">
        <v>0</v>
      </c>
      <c r="AD294">
        <v>0.30886091882467026</v>
      </c>
      <c r="AE294">
        <v>0</v>
      </c>
      <c r="AF294">
        <v>0.38103767711916747</v>
      </c>
      <c r="AG294">
        <v>0</v>
      </c>
      <c r="AH294">
        <v>0</v>
      </c>
      <c r="AI294">
        <v>0</v>
      </c>
      <c r="AJ294">
        <v>0.10374414976599065</v>
      </c>
      <c r="AK294">
        <v>0</v>
      </c>
    </row>
    <row r="295" spans="1:37" x14ac:dyDescent="0.25">
      <c r="A295" t="s">
        <v>128</v>
      </c>
      <c r="B295" t="s">
        <v>181</v>
      </c>
      <c r="C295" t="s">
        <v>109</v>
      </c>
      <c r="D295" s="12">
        <v>45578</v>
      </c>
      <c r="E295" t="s">
        <v>178</v>
      </c>
      <c r="G295">
        <v>10.228382649240828</v>
      </c>
      <c r="H295">
        <v>11.399999999999999</v>
      </c>
      <c r="K295">
        <v>11.399999999999999</v>
      </c>
      <c r="N295">
        <v>9.801158645276292</v>
      </c>
      <c r="R295">
        <v>9.4281707009236469E-3</v>
      </c>
      <c r="S295">
        <v>0</v>
      </c>
      <c r="T295">
        <v>0.16698841341266241</v>
      </c>
      <c r="U295">
        <v>0</v>
      </c>
      <c r="V295">
        <v>0.16282020596611929</v>
      </c>
      <c r="W295">
        <v>0</v>
      </c>
      <c r="X295">
        <v>8.2644370765493441E-2</v>
      </c>
      <c r="Y295">
        <v>0</v>
      </c>
      <c r="Z295">
        <v>0</v>
      </c>
      <c r="AA295">
        <v>1.2460521351497517E-3</v>
      </c>
      <c r="AB295">
        <v>0.29666122819975205</v>
      </c>
      <c r="AC295">
        <v>0</v>
      </c>
      <c r="AD295">
        <v>0</v>
      </c>
      <c r="AE295">
        <v>0</v>
      </c>
      <c r="AF295">
        <v>0.70209271966509834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25">
      <c r="A296" t="s">
        <v>128</v>
      </c>
      <c r="B296" t="s">
        <v>134</v>
      </c>
      <c r="C296" t="s">
        <v>109</v>
      </c>
      <c r="D296" s="12">
        <v>45579</v>
      </c>
      <c r="E296" t="s">
        <v>135</v>
      </c>
      <c r="G296">
        <v>31.303258145363412</v>
      </c>
      <c r="H296">
        <v>39.900000000000006</v>
      </c>
      <c r="K296">
        <v>39.900000000000006</v>
      </c>
      <c r="N296">
        <v>25.072973139098892</v>
      </c>
      <c r="R296">
        <v>2.1386520981491537E-3</v>
      </c>
      <c r="S296">
        <v>0</v>
      </c>
      <c r="T296">
        <v>5.6823744710053643E-2</v>
      </c>
      <c r="U296">
        <v>0</v>
      </c>
      <c r="V296">
        <v>0</v>
      </c>
      <c r="W296">
        <v>0</v>
      </c>
      <c r="X296">
        <v>1.0661100308818445E-2</v>
      </c>
      <c r="Y296">
        <v>0</v>
      </c>
      <c r="Z296">
        <v>0.20714285714285716</v>
      </c>
      <c r="AA296">
        <v>0</v>
      </c>
      <c r="AB296">
        <v>0</v>
      </c>
      <c r="AC296">
        <v>0</v>
      </c>
      <c r="AD296">
        <v>0.21182967374400072</v>
      </c>
      <c r="AE296">
        <v>0</v>
      </c>
      <c r="AF296">
        <v>0.78817032625599925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">
        <v>128</v>
      </c>
      <c r="B297" t="s">
        <v>181</v>
      </c>
      <c r="C297" t="s">
        <v>109</v>
      </c>
      <c r="D297" s="12">
        <v>45579</v>
      </c>
      <c r="E297" t="s">
        <v>135</v>
      </c>
      <c r="G297">
        <v>30.058155215592599</v>
      </c>
      <c r="H297">
        <v>42.75</v>
      </c>
      <c r="K297">
        <v>42.75</v>
      </c>
      <c r="N297">
        <v>30.495600967659783</v>
      </c>
      <c r="R297">
        <v>0</v>
      </c>
      <c r="S297">
        <v>0</v>
      </c>
      <c r="T297">
        <v>0.29278578465802324</v>
      </c>
      <c r="U297">
        <v>0</v>
      </c>
      <c r="V297">
        <v>7.9809264390698825E-2</v>
      </c>
      <c r="W297">
        <v>0</v>
      </c>
      <c r="X297">
        <v>2.9203119750370658E-2</v>
      </c>
      <c r="Y297">
        <v>0</v>
      </c>
      <c r="Z297">
        <v>0.11751566604985396</v>
      </c>
      <c r="AA297">
        <v>3.5592238380763988E-2</v>
      </c>
      <c r="AB297">
        <v>6.1478624689810399E-2</v>
      </c>
      <c r="AC297">
        <v>0</v>
      </c>
      <c r="AD297">
        <v>3.29804460849E-2</v>
      </c>
      <c r="AE297">
        <v>0</v>
      </c>
      <c r="AF297">
        <v>0.86994869084452553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">
        <v>128</v>
      </c>
      <c r="B298" t="s">
        <v>134</v>
      </c>
      <c r="C298" t="s">
        <v>109</v>
      </c>
      <c r="D298" s="12">
        <v>45579</v>
      </c>
      <c r="E298" t="s">
        <v>179</v>
      </c>
      <c r="G298">
        <v>6.260651629072683</v>
      </c>
      <c r="H298">
        <v>4.75</v>
      </c>
      <c r="K298">
        <v>4.75</v>
      </c>
      <c r="N298">
        <v>3.8688302907369847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1.381283525806443E-2</v>
      </c>
      <c r="AB298">
        <v>0.2274801991694777</v>
      </c>
      <c r="AC298">
        <v>0</v>
      </c>
      <c r="AD298">
        <v>0.15456011868318173</v>
      </c>
      <c r="AE298">
        <v>0</v>
      </c>
      <c r="AF298">
        <v>0.604146846889276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25">
      <c r="A299" t="s">
        <v>128</v>
      </c>
      <c r="B299" t="s">
        <v>181</v>
      </c>
      <c r="C299" t="s">
        <v>109</v>
      </c>
      <c r="D299" s="12">
        <v>45579</v>
      </c>
      <c r="E299" t="s">
        <v>179</v>
      </c>
      <c r="G299">
        <v>9.3020664213548834</v>
      </c>
      <c r="H299">
        <v>5.6999999999999993</v>
      </c>
      <c r="K299">
        <v>5.6999999999999993</v>
      </c>
      <c r="N299">
        <v>5.4071969696969697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3.0660390731310511E-3</v>
      </c>
      <c r="AB299">
        <v>0.38416688941742133</v>
      </c>
      <c r="AC299">
        <v>0</v>
      </c>
      <c r="AD299">
        <v>3.4543241776267733E-2</v>
      </c>
      <c r="AE299">
        <v>0</v>
      </c>
      <c r="AF299">
        <v>0.57822382973317987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25">
      <c r="A300" t="s">
        <v>128</v>
      </c>
      <c r="B300" t="s">
        <v>134</v>
      </c>
      <c r="C300" t="s">
        <v>109</v>
      </c>
      <c r="D300" s="12">
        <v>45579</v>
      </c>
      <c r="E300" t="s">
        <v>178</v>
      </c>
      <c r="G300">
        <v>9.6390977443609014</v>
      </c>
      <c r="H300">
        <v>8.5500000000000007</v>
      </c>
      <c r="K300">
        <v>8.5500000000000007</v>
      </c>
      <c r="N300">
        <v>7.3211510207880437</v>
      </c>
      <c r="R300">
        <v>1.4535875552669174E-2</v>
      </c>
      <c r="S300">
        <v>0</v>
      </c>
      <c r="T300">
        <v>2.0787831513260555E-2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7.4687987519500773E-2</v>
      </c>
      <c r="AA300">
        <v>0</v>
      </c>
      <c r="AB300">
        <v>0.1047191887675506</v>
      </c>
      <c r="AC300">
        <v>0</v>
      </c>
      <c r="AD300">
        <v>0.15029009882504846</v>
      </c>
      <c r="AE300">
        <v>0</v>
      </c>
      <c r="AF300">
        <v>0.64124656264141022</v>
      </c>
      <c r="AG300">
        <v>0</v>
      </c>
      <c r="AH300">
        <v>0</v>
      </c>
      <c r="AI300">
        <v>0</v>
      </c>
      <c r="AJ300">
        <v>0.10374414976599065</v>
      </c>
      <c r="AK300">
        <v>0</v>
      </c>
    </row>
    <row r="301" spans="1:37" x14ac:dyDescent="0.25">
      <c r="A301" t="s">
        <v>128</v>
      </c>
      <c r="B301" t="s">
        <v>181</v>
      </c>
      <c r="C301" t="s">
        <v>109</v>
      </c>
      <c r="D301" s="12">
        <v>45579</v>
      </c>
      <c r="E301" t="s">
        <v>178</v>
      </c>
      <c r="G301">
        <v>10.228382649240832</v>
      </c>
      <c r="H301">
        <v>9.5</v>
      </c>
      <c r="K301">
        <v>9.5</v>
      </c>
      <c r="N301">
        <v>7.2654867772547433</v>
      </c>
      <c r="R301">
        <v>2.7574938804653172E-3</v>
      </c>
      <c r="S301">
        <v>0</v>
      </c>
      <c r="T301">
        <v>6.1700963813976328E-2</v>
      </c>
      <c r="U301">
        <v>0</v>
      </c>
      <c r="V301">
        <v>8.2350037263243164E-2</v>
      </c>
      <c r="W301">
        <v>0</v>
      </c>
      <c r="X301">
        <v>7.5566784685334801E-2</v>
      </c>
      <c r="Y301">
        <v>0</v>
      </c>
      <c r="Z301">
        <v>7.0775860801586222E-3</v>
      </c>
      <c r="AA301">
        <v>0</v>
      </c>
      <c r="AB301">
        <v>0.29790728033490188</v>
      </c>
      <c r="AC301">
        <v>0</v>
      </c>
      <c r="AD301">
        <v>0.15244097257607092</v>
      </c>
      <c r="AE301">
        <v>0</v>
      </c>
      <c r="AF301">
        <v>0.5496517470890272</v>
      </c>
      <c r="AG301">
        <v>0</v>
      </c>
      <c r="AH301">
        <v>0</v>
      </c>
      <c r="AI301">
        <v>0</v>
      </c>
      <c r="AJ301">
        <v>0</v>
      </c>
      <c r="AK301">
        <v>0</v>
      </c>
    </row>
    <row r="302" spans="1:37" x14ac:dyDescent="0.25">
      <c r="A302" t="s">
        <v>128</v>
      </c>
      <c r="B302" t="s">
        <v>134</v>
      </c>
      <c r="C302" t="s">
        <v>109</v>
      </c>
      <c r="D302" s="12">
        <v>45580</v>
      </c>
      <c r="E302" t="s">
        <v>135</v>
      </c>
      <c r="G302">
        <v>31.303258145363412</v>
      </c>
      <c r="H302">
        <v>39.9</v>
      </c>
      <c r="K302">
        <v>39.9</v>
      </c>
      <c r="N302">
        <v>28.821748636758777</v>
      </c>
      <c r="R302">
        <v>0</v>
      </c>
      <c r="S302">
        <v>0</v>
      </c>
      <c r="T302">
        <v>3.5537001029394985E-2</v>
      </c>
      <c r="U302">
        <v>0</v>
      </c>
      <c r="V302">
        <v>0</v>
      </c>
      <c r="W302">
        <v>0</v>
      </c>
      <c r="X302">
        <v>1.4553626094152644E-2</v>
      </c>
      <c r="Y302">
        <v>0</v>
      </c>
      <c r="Z302">
        <v>0.2245370750381816</v>
      </c>
      <c r="AA302">
        <v>0</v>
      </c>
      <c r="AB302">
        <v>0</v>
      </c>
      <c r="AC302">
        <v>0</v>
      </c>
      <c r="AD302">
        <v>9.3826828170473581E-2</v>
      </c>
      <c r="AE302">
        <v>0</v>
      </c>
      <c r="AF302">
        <v>0.90617317182952639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25">
      <c r="A303" t="s">
        <v>128</v>
      </c>
      <c r="B303" t="s">
        <v>181</v>
      </c>
      <c r="C303" t="s">
        <v>109</v>
      </c>
      <c r="D303" s="12">
        <v>45580</v>
      </c>
      <c r="E303" t="s">
        <v>135</v>
      </c>
      <c r="G303">
        <v>30.058155215592599</v>
      </c>
      <c r="H303">
        <v>39.9</v>
      </c>
      <c r="K303">
        <v>39.9</v>
      </c>
      <c r="N303">
        <v>28.712792632204394</v>
      </c>
      <c r="R303">
        <v>0</v>
      </c>
      <c r="S303">
        <v>0</v>
      </c>
      <c r="T303">
        <v>0.13380994383097583</v>
      </c>
      <c r="U303">
        <v>0</v>
      </c>
      <c r="V303">
        <v>8.0758108353482641E-2</v>
      </c>
      <c r="W303">
        <v>0</v>
      </c>
      <c r="X303">
        <v>2.9203119750370658E-2</v>
      </c>
      <c r="Y303">
        <v>0</v>
      </c>
      <c r="Z303">
        <v>0.11751566604985396</v>
      </c>
      <c r="AA303">
        <v>0</v>
      </c>
      <c r="AB303">
        <v>3.3860064324868981E-2</v>
      </c>
      <c r="AC303">
        <v>0</v>
      </c>
      <c r="AD303">
        <v>0.12085981825190763</v>
      </c>
      <c r="AE303">
        <v>0</v>
      </c>
      <c r="AF303">
        <v>0.8452801174232234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25">
      <c r="A304" t="s">
        <v>128</v>
      </c>
      <c r="B304" t="s">
        <v>134</v>
      </c>
      <c r="C304" t="s">
        <v>109</v>
      </c>
      <c r="D304" s="12">
        <v>45580</v>
      </c>
      <c r="E304" t="s">
        <v>179</v>
      </c>
      <c r="G304">
        <v>6.2606516290726812</v>
      </c>
      <c r="H304">
        <v>4.75</v>
      </c>
      <c r="K304">
        <v>4.75</v>
      </c>
      <c r="N304">
        <v>2.3051201671891324</v>
      </c>
      <c r="R304">
        <v>0</v>
      </c>
      <c r="S304">
        <v>0</v>
      </c>
      <c r="T304">
        <v>3.5088070456364952E-2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8.4027221777421959E-2</v>
      </c>
      <c r="AA304">
        <v>0</v>
      </c>
      <c r="AB304">
        <v>0.36040832666132905</v>
      </c>
      <c r="AC304">
        <v>0</v>
      </c>
      <c r="AD304">
        <v>0.2713999412696303</v>
      </c>
      <c r="AE304">
        <v>0</v>
      </c>
      <c r="AF304">
        <v>0.36819173206904077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25">
      <c r="A305" t="s">
        <v>128</v>
      </c>
      <c r="B305" t="s">
        <v>181</v>
      </c>
      <c r="C305" t="s">
        <v>109</v>
      </c>
      <c r="D305" s="12">
        <v>45580</v>
      </c>
      <c r="E305" t="s">
        <v>179</v>
      </c>
      <c r="G305">
        <v>9.3020664213548834</v>
      </c>
      <c r="H305">
        <v>9.5</v>
      </c>
      <c r="K305">
        <v>9.5</v>
      </c>
      <c r="N305">
        <v>7.342691622103386</v>
      </c>
      <c r="R305">
        <v>0</v>
      </c>
      <c r="S305">
        <v>0</v>
      </c>
      <c r="T305">
        <v>7.0059731235059073E-3</v>
      </c>
      <c r="U305">
        <v>0</v>
      </c>
      <c r="V305">
        <v>0</v>
      </c>
      <c r="W305">
        <v>0</v>
      </c>
      <c r="X305">
        <v>2.2962874872188858E-4</v>
      </c>
      <c r="Y305">
        <v>0</v>
      </c>
      <c r="Z305">
        <v>0.10049702187815154</v>
      </c>
      <c r="AA305">
        <v>2.1174832348811417E-3</v>
      </c>
      <c r="AB305">
        <v>8.4336687999751928E-2</v>
      </c>
      <c r="AC305">
        <v>0</v>
      </c>
      <c r="AD305">
        <v>0.12653159999927713</v>
      </c>
      <c r="AE305">
        <v>0</v>
      </c>
      <c r="AF305">
        <v>0.78701422876608973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25">
      <c r="A306" t="s">
        <v>128</v>
      </c>
      <c r="B306" t="s">
        <v>134</v>
      </c>
      <c r="C306" t="s">
        <v>109</v>
      </c>
      <c r="D306" s="12">
        <v>45580</v>
      </c>
      <c r="E306" t="s">
        <v>178</v>
      </c>
      <c r="G306">
        <v>9.6390977443609014</v>
      </c>
      <c r="H306">
        <v>6.6499999999999995</v>
      </c>
      <c r="K306">
        <v>6.6499999999999995</v>
      </c>
      <c r="N306">
        <v>6.2544432543364969</v>
      </c>
      <c r="R306">
        <v>2.994655283168739E-2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2.8117418814399619E-2</v>
      </c>
      <c r="AB306">
        <v>0.28198398524176255</v>
      </c>
      <c r="AC306">
        <v>0</v>
      </c>
      <c r="AD306">
        <v>9.9100669909149258E-2</v>
      </c>
      <c r="AE306">
        <v>0</v>
      </c>
      <c r="AF306">
        <v>0.5907979260346885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25">
      <c r="A307" t="s">
        <v>128</v>
      </c>
      <c r="B307" t="s">
        <v>181</v>
      </c>
      <c r="C307" t="s">
        <v>109</v>
      </c>
      <c r="D307" s="12">
        <v>45580</v>
      </c>
      <c r="E307" t="s">
        <v>178</v>
      </c>
      <c r="G307">
        <v>10.22838264924083</v>
      </c>
      <c r="H307">
        <v>9.5</v>
      </c>
      <c r="K307">
        <v>9.5</v>
      </c>
      <c r="N307">
        <v>6.8169128516151467</v>
      </c>
      <c r="R307">
        <v>1.1532517488606625E-2</v>
      </c>
      <c r="S307">
        <v>0</v>
      </c>
      <c r="T307">
        <v>0</v>
      </c>
      <c r="U307">
        <v>0</v>
      </c>
      <c r="V307">
        <v>0.14405100107721952</v>
      </c>
      <c r="W307">
        <v>0</v>
      </c>
      <c r="X307">
        <v>8.2644370765493427E-2</v>
      </c>
      <c r="Y307">
        <v>0</v>
      </c>
      <c r="Z307">
        <v>0</v>
      </c>
      <c r="AA307">
        <v>0</v>
      </c>
      <c r="AB307">
        <v>0.29790728033490177</v>
      </c>
      <c r="AC307">
        <v>0</v>
      </c>
      <c r="AD307">
        <v>0.27385034821465959</v>
      </c>
      <c r="AE307">
        <v>0</v>
      </c>
      <c r="AF307">
        <v>0.42824237145043859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25">
      <c r="A308" t="s">
        <v>128</v>
      </c>
      <c r="B308" t="s">
        <v>134</v>
      </c>
      <c r="C308" t="s">
        <v>109</v>
      </c>
      <c r="D308" s="12">
        <v>45581</v>
      </c>
      <c r="E308" t="s">
        <v>135</v>
      </c>
      <c r="G308">
        <v>31.303258145363412</v>
      </c>
      <c r="H308">
        <v>38.950000000000003</v>
      </c>
      <c r="K308">
        <v>38.950000000000003</v>
      </c>
      <c r="N308">
        <v>24.970845516890137</v>
      </c>
      <c r="R308">
        <v>0</v>
      </c>
      <c r="S308">
        <v>0</v>
      </c>
      <c r="T308">
        <v>5.1887224064966877E-3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0.2390907011323343</v>
      </c>
      <c r="AA308">
        <v>0</v>
      </c>
      <c r="AB308">
        <v>0</v>
      </c>
      <c r="AC308">
        <v>0</v>
      </c>
      <c r="AD308">
        <v>0.20229244505691243</v>
      </c>
      <c r="AE308">
        <v>0</v>
      </c>
      <c r="AF308">
        <v>0.79770755494308754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25">
      <c r="A309" t="s">
        <v>128</v>
      </c>
      <c r="B309" t="s">
        <v>181</v>
      </c>
      <c r="C309" t="s">
        <v>109</v>
      </c>
      <c r="D309" s="12">
        <v>45581</v>
      </c>
      <c r="E309" t="s">
        <v>135</v>
      </c>
      <c r="G309">
        <v>30.058155215592599</v>
      </c>
      <c r="H309">
        <v>38.950000000000003</v>
      </c>
      <c r="K309">
        <v>38.950000000000003</v>
      </c>
      <c r="N309">
        <v>29.602605611622636</v>
      </c>
      <c r="R309">
        <v>3.6198709299927835E-2</v>
      </c>
      <c r="S309">
        <v>0</v>
      </c>
      <c r="T309">
        <v>0.13934585532634261</v>
      </c>
      <c r="U309">
        <v>0</v>
      </c>
      <c r="V309">
        <v>4.3616797485263023E-2</v>
      </c>
      <c r="W309">
        <v>0</v>
      </c>
      <c r="X309">
        <v>2.9203119750370658E-2</v>
      </c>
      <c r="Y309">
        <v>0</v>
      </c>
      <c r="Z309">
        <v>0.11751566604985396</v>
      </c>
      <c r="AA309">
        <v>0</v>
      </c>
      <c r="AB309">
        <v>3.3860064324868981E-2</v>
      </c>
      <c r="AC309">
        <v>0</v>
      </c>
      <c r="AD309">
        <v>9.031416975555101E-2</v>
      </c>
      <c r="AE309">
        <v>0</v>
      </c>
      <c r="AF309">
        <v>0.87582576591957995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25">
      <c r="A310" t="s">
        <v>128</v>
      </c>
      <c r="B310" t="s">
        <v>134</v>
      </c>
      <c r="C310" t="s">
        <v>109</v>
      </c>
      <c r="D310" s="12">
        <v>45581</v>
      </c>
      <c r="E310" t="s">
        <v>179</v>
      </c>
      <c r="G310">
        <v>6.2606516290726812</v>
      </c>
      <c r="H310">
        <v>3.8</v>
      </c>
      <c r="K310">
        <v>3.8</v>
      </c>
      <c r="N310">
        <v>4.0373716884873074</v>
      </c>
      <c r="R310">
        <v>3.2593376932783476E-2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3.2626100880704619E-2</v>
      </c>
      <c r="AB310">
        <v>0.36040832666132905</v>
      </c>
      <c r="AC310">
        <v>0</v>
      </c>
      <c r="AD310">
        <v>2.7304624448221571E-2</v>
      </c>
      <c r="AE310">
        <v>0</v>
      </c>
      <c r="AF310">
        <v>0.57966094800974488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25">
      <c r="A311" t="s">
        <v>128</v>
      </c>
      <c r="B311" t="s">
        <v>181</v>
      </c>
      <c r="C311" t="s">
        <v>109</v>
      </c>
      <c r="D311" s="12">
        <v>45581</v>
      </c>
      <c r="E311" t="s">
        <v>179</v>
      </c>
      <c r="G311">
        <v>9.3020664213548816</v>
      </c>
      <c r="H311">
        <v>10.45</v>
      </c>
      <c r="K311">
        <v>10.45</v>
      </c>
      <c r="N311">
        <v>7.422170231729055</v>
      </c>
      <c r="R311">
        <v>2.9702253520956711E-3</v>
      </c>
      <c r="S311">
        <v>0</v>
      </c>
      <c r="T311">
        <v>0.21126166362665511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0.10072665062687346</v>
      </c>
      <c r="AA311">
        <v>2.2132969559164927E-3</v>
      </c>
      <c r="AB311">
        <v>0.18636871953029124</v>
      </c>
      <c r="AC311">
        <v>0</v>
      </c>
      <c r="AD311">
        <v>1.8695976498784687E-2</v>
      </c>
      <c r="AE311">
        <v>0</v>
      </c>
      <c r="AF311">
        <v>0.79272200701500761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25">
      <c r="A312" t="s">
        <v>128</v>
      </c>
      <c r="B312" t="s">
        <v>134</v>
      </c>
      <c r="C312" t="s">
        <v>109</v>
      </c>
      <c r="D312" s="12">
        <v>45581</v>
      </c>
      <c r="E312" t="s">
        <v>178</v>
      </c>
      <c r="G312">
        <v>9.6390977443609014</v>
      </c>
      <c r="H312">
        <v>8.5500000000000007</v>
      </c>
      <c r="K312">
        <v>8.5500000000000007</v>
      </c>
      <c r="N312">
        <v>5.3266908885570121</v>
      </c>
      <c r="R312">
        <v>0</v>
      </c>
      <c r="S312">
        <v>0</v>
      </c>
      <c r="T312">
        <v>0.11934477379095174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7.4687987519500773E-2</v>
      </c>
      <c r="AA312">
        <v>1.251814778473492E-2</v>
      </c>
      <c r="AB312">
        <v>0.29450213302649753</v>
      </c>
      <c r="AC312">
        <v>0</v>
      </c>
      <c r="AD312">
        <v>0.15288484967390598</v>
      </c>
      <c r="AE312">
        <v>0</v>
      </c>
      <c r="AF312">
        <v>0.54009486951486163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25">
      <c r="A313" t="s">
        <v>128</v>
      </c>
      <c r="B313" t="s">
        <v>181</v>
      </c>
      <c r="C313" t="s">
        <v>109</v>
      </c>
      <c r="D313" s="12">
        <v>45581</v>
      </c>
      <c r="E313" t="s">
        <v>178</v>
      </c>
      <c r="G313">
        <v>10.228382649240832</v>
      </c>
      <c r="H313">
        <v>8.5499999999999989</v>
      </c>
      <c r="K313">
        <v>8.5499999999999989</v>
      </c>
      <c r="N313">
        <v>6.8428253119429581</v>
      </c>
      <c r="R313">
        <v>1.5161753252871637E-2</v>
      </c>
      <c r="S313">
        <v>0</v>
      </c>
      <c r="T313">
        <v>0</v>
      </c>
      <c r="U313">
        <v>0</v>
      </c>
      <c r="V313">
        <v>8.2350037263243164E-2</v>
      </c>
      <c r="W313">
        <v>0</v>
      </c>
      <c r="X313">
        <v>5.1466525428688611E-2</v>
      </c>
      <c r="Y313">
        <v>0</v>
      </c>
      <c r="Z313">
        <v>0</v>
      </c>
      <c r="AA313">
        <v>0</v>
      </c>
      <c r="AB313">
        <v>0.29790728033490171</v>
      </c>
      <c r="AC313">
        <v>0</v>
      </c>
      <c r="AD313">
        <v>0.18206738697823399</v>
      </c>
      <c r="AE313">
        <v>0</v>
      </c>
      <c r="AF313">
        <v>0.52002533268686413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25">
      <c r="A314" t="s">
        <v>128</v>
      </c>
      <c r="B314" t="s">
        <v>134</v>
      </c>
      <c r="C314" t="s">
        <v>109</v>
      </c>
      <c r="D314" s="12">
        <v>45582</v>
      </c>
      <c r="E314" t="s">
        <v>135</v>
      </c>
      <c r="G314">
        <v>31.303258145363415</v>
      </c>
      <c r="H314">
        <v>38</v>
      </c>
      <c r="K314">
        <v>38</v>
      </c>
      <c r="N314">
        <v>29.766851661283376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1.3676689250560082E-2</v>
      </c>
      <c r="Y314">
        <v>0</v>
      </c>
      <c r="Z314">
        <v>0.20025445566537242</v>
      </c>
      <c r="AA314">
        <v>0</v>
      </c>
      <c r="AB314">
        <v>0</v>
      </c>
      <c r="AC314">
        <v>0</v>
      </c>
      <c r="AD314">
        <v>6.2758049310442807E-2</v>
      </c>
      <c r="AE314">
        <v>0</v>
      </c>
      <c r="AF314">
        <v>0.93724195068955718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25">
      <c r="A315" t="s">
        <v>128</v>
      </c>
      <c r="B315" t="s">
        <v>181</v>
      </c>
      <c r="C315" t="s">
        <v>109</v>
      </c>
      <c r="D315" s="12">
        <v>45582</v>
      </c>
      <c r="E315" t="s">
        <v>135</v>
      </c>
      <c r="G315">
        <v>30.058155215592596</v>
      </c>
      <c r="H315">
        <v>35.15</v>
      </c>
      <c r="K315">
        <v>35.15</v>
      </c>
      <c r="N315">
        <v>32.077753374076899</v>
      </c>
      <c r="R315">
        <v>6.7504317677302278E-2</v>
      </c>
      <c r="S315">
        <v>0</v>
      </c>
      <c r="T315">
        <v>0</v>
      </c>
      <c r="U315">
        <v>0</v>
      </c>
      <c r="V315">
        <v>4.361679748526303E-2</v>
      </c>
      <c r="W315">
        <v>0</v>
      </c>
      <c r="X315">
        <v>2.9203119750370661E-2</v>
      </c>
      <c r="Y315">
        <v>0</v>
      </c>
      <c r="Z315">
        <v>9.6579859559916881E-2</v>
      </c>
      <c r="AA315">
        <v>0</v>
      </c>
      <c r="AB315">
        <v>0</v>
      </c>
      <c r="AC315">
        <v>0</v>
      </c>
      <c r="AD315">
        <v>7.3134543995489368E-2</v>
      </c>
      <c r="AE315">
        <v>0</v>
      </c>
      <c r="AF315">
        <v>0.92686545600451076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">
        <v>128</v>
      </c>
      <c r="B316" t="s">
        <v>134</v>
      </c>
      <c r="C316" t="s">
        <v>109</v>
      </c>
      <c r="D316" s="12">
        <v>45582</v>
      </c>
      <c r="E316" t="s">
        <v>179</v>
      </c>
      <c r="G316">
        <v>6.2606516290726812</v>
      </c>
      <c r="H316">
        <v>4.75</v>
      </c>
      <c r="K316">
        <v>4.75</v>
      </c>
      <c r="N316">
        <v>3.666666666666667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4.3846842179626052E-3</v>
      </c>
      <c r="AB316">
        <v>0.23690835020957948</v>
      </c>
      <c r="AC316">
        <v>0</v>
      </c>
      <c r="AD316">
        <v>0.17742311496255814</v>
      </c>
      <c r="AE316">
        <v>0</v>
      </c>
      <c r="AF316">
        <v>0.58128385060989984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">
        <v>128</v>
      </c>
      <c r="B317" t="s">
        <v>181</v>
      </c>
      <c r="C317" t="s">
        <v>109</v>
      </c>
      <c r="D317" s="12">
        <v>45582</v>
      </c>
      <c r="E317" t="s">
        <v>179</v>
      </c>
      <c r="G317">
        <v>9.3020664213548816</v>
      </c>
      <c r="H317">
        <v>8.5499999999999989</v>
      </c>
      <c r="K317">
        <v>8.5499999999999989</v>
      </c>
      <c r="N317">
        <v>6.6753119429590022</v>
      </c>
      <c r="R317">
        <v>0</v>
      </c>
      <c r="S317">
        <v>0</v>
      </c>
      <c r="T317">
        <v>0.21126166362665511</v>
      </c>
      <c r="U317">
        <v>0</v>
      </c>
      <c r="V317">
        <v>0</v>
      </c>
      <c r="W317">
        <v>0</v>
      </c>
      <c r="X317">
        <v>3.6022717291660277E-3</v>
      </c>
      <c r="Y317">
        <v>0</v>
      </c>
      <c r="Z317">
        <v>9.7124378897707433E-2</v>
      </c>
      <c r="AA317">
        <v>0.1068514616986171</v>
      </c>
      <c r="AB317">
        <v>0.28598624529073985</v>
      </c>
      <c r="AC317">
        <v>0</v>
      </c>
      <c r="AD317">
        <v>0</v>
      </c>
      <c r="AE317">
        <v>0</v>
      </c>
      <c r="AF317">
        <v>0.60716229301064306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">
        <v>128</v>
      </c>
      <c r="B318" t="s">
        <v>134</v>
      </c>
      <c r="C318" t="s">
        <v>109</v>
      </c>
      <c r="D318" s="12">
        <v>45582</v>
      </c>
      <c r="E318" t="s">
        <v>178</v>
      </c>
      <c r="G318">
        <v>9.6390977443609014</v>
      </c>
      <c r="H318">
        <v>6.6499999999999995</v>
      </c>
      <c r="K318">
        <v>6.6499999999999995</v>
      </c>
      <c r="N318">
        <v>8.4210751487257536</v>
      </c>
      <c r="R318">
        <v>2.6978308733867383E-2</v>
      </c>
      <c r="S318">
        <v>0</v>
      </c>
      <c r="T318">
        <v>0.21790171606864275</v>
      </c>
      <c r="U318">
        <v>0</v>
      </c>
      <c r="V318">
        <v>0</v>
      </c>
      <c r="W318">
        <v>0</v>
      </c>
      <c r="X318">
        <v>5.4187235866062347E-2</v>
      </c>
      <c r="Y318">
        <v>0</v>
      </c>
      <c r="Z318">
        <v>2.0500751653438426E-2</v>
      </c>
      <c r="AA318">
        <v>0.291418694698452</v>
      </c>
      <c r="AB318">
        <v>0.20752826317986306</v>
      </c>
      <c r="AC318">
        <v>0</v>
      </c>
      <c r="AD318">
        <v>0</v>
      </c>
      <c r="AE318">
        <v>0</v>
      </c>
      <c r="AF318">
        <v>0.39730889235569417</v>
      </c>
      <c r="AG318">
        <v>0</v>
      </c>
      <c r="AH318">
        <v>0</v>
      </c>
      <c r="AI318">
        <v>0</v>
      </c>
      <c r="AJ318">
        <v>0.10374414976599065</v>
      </c>
      <c r="AK318">
        <v>0</v>
      </c>
    </row>
    <row r="319" spans="1:37" x14ac:dyDescent="0.25">
      <c r="A319" t="s">
        <v>128</v>
      </c>
      <c r="B319" t="s">
        <v>181</v>
      </c>
      <c r="C319" t="s">
        <v>109</v>
      </c>
      <c r="D319" s="12">
        <v>45582</v>
      </c>
      <c r="E319" t="s">
        <v>178</v>
      </c>
      <c r="G319">
        <v>10.228382649240828</v>
      </c>
      <c r="H319">
        <v>10.45</v>
      </c>
      <c r="K319">
        <v>10.45</v>
      </c>
      <c r="N319">
        <v>8.5644162210338681</v>
      </c>
      <c r="R319">
        <v>6.6398022866024173E-3</v>
      </c>
      <c r="S319">
        <v>0</v>
      </c>
      <c r="T319">
        <v>0.10057732006969614</v>
      </c>
      <c r="U319">
        <v>0</v>
      </c>
      <c r="V319">
        <v>0.13635249015830453</v>
      </c>
      <c r="W319">
        <v>0</v>
      </c>
      <c r="X319">
        <v>8.2644370765493441E-2</v>
      </c>
      <c r="Y319">
        <v>0</v>
      </c>
      <c r="Z319">
        <v>0</v>
      </c>
      <c r="AA319">
        <v>0</v>
      </c>
      <c r="AB319">
        <v>0.29790728033490183</v>
      </c>
      <c r="AC319">
        <v>0</v>
      </c>
      <c r="AD319">
        <v>9.0410667421542065E-2</v>
      </c>
      <c r="AE319">
        <v>0</v>
      </c>
      <c r="AF319">
        <v>0.61168205224355621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">
        <v>128</v>
      </c>
      <c r="B320" t="s">
        <v>134</v>
      </c>
      <c r="C320" t="s">
        <v>109</v>
      </c>
      <c r="D320" s="12">
        <v>45583</v>
      </c>
      <c r="E320" t="s">
        <v>135</v>
      </c>
      <c r="G320">
        <v>31.303258145363412</v>
      </c>
      <c r="H320">
        <v>37.049999999999997</v>
      </c>
      <c r="K320">
        <v>37.049999999999997</v>
      </c>
      <c r="N320">
        <v>29.31550977757874</v>
      </c>
      <c r="R320">
        <v>3.0155889417416378E-3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1.0661100308818445E-2</v>
      </c>
      <c r="Y320">
        <v>0</v>
      </c>
      <c r="Z320">
        <v>0.17292176598421583</v>
      </c>
      <c r="AA320">
        <v>0</v>
      </c>
      <c r="AB320">
        <v>0</v>
      </c>
      <c r="AC320">
        <v>0</v>
      </c>
      <c r="AD320">
        <v>7.7176416932392258E-2</v>
      </c>
      <c r="AE320">
        <v>0</v>
      </c>
      <c r="AF320">
        <v>0.92282358306760781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">
        <v>128</v>
      </c>
      <c r="B321" t="s">
        <v>181</v>
      </c>
      <c r="C321" t="s">
        <v>109</v>
      </c>
      <c r="D321" s="12">
        <v>45583</v>
      </c>
      <c r="E321" t="s">
        <v>135</v>
      </c>
      <c r="G321">
        <v>30.058155215592599</v>
      </c>
      <c r="H321">
        <v>41.8</v>
      </c>
      <c r="K321">
        <v>41.8</v>
      </c>
      <c r="N321">
        <v>29.61080659536541</v>
      </c>
      <c r="R321">
        <v>0</v>
      </c>
      <c r="S321">
        <v>0</v>
      </c>
      <c r="T321">
        <v>0.19702074257668115</v>
      </c>
      <c r="U321">
        <v>0</v>
      </c>
      <c r="V321">
        <v>8.0758108353482641E-2</v>
      </c>
      <c r="W321">
        <v>0</v>
      </c>
      <c r="X321">
        <v>2.9203119750370658E-2</v>
      </c>
      <c r="Y321">
        <v>0</v>
      </c>
      <c r="Z321">
        <v>0.11751566604985396</v>
      </c>
      <c r="AA321">
        <v>0</v>
      </c>
      <c r="AB321">
        <v>3.3860064324868981E-2</v>
      </c>
      <c r="AC321">
        <v>0</v>
      </c>
      <c r="AD321">
        <v>9.0983934096010646E-2</v>
      </c>
      <c r="AE321">
        <v>0</v>
      </c>
      <c r="AF321">
        <v>0.87515600157912043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">
        <v>128</v>
      </c>
      <c r="B322" t="s">
        <v>134</v>
      </c>
      <c r="C322" t="s">
        <v>109</v>
      </c>
      <c r="D322" s="12">
        <v>45583</v>
      </c>
      <c r="E322" t="s">
        <v>179</v>
      </c>
      <c r="G322">
        <v>6.260651629072683</v>
      </c>
      <c r="H322">
        <v>5.6999999999999993</v>
      </c>
      <c r="K322">
        <v>5.6999999999999993</v>
      </c>
      <c r="N322">
        <v>3.6666666666666665</v>
      </c>
      <c r="R322">
        <v>0</v>
      </c>
      <c r="S322">
        <v>0</v>
      </c>
      <c r="T322">
        <v>3.5088070456364945E-2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8.4027221777421932E-2</v>
      </c>
      <c r="AA322">
        <v>4.3846842179626044E-3</v>
      </c>
      <c r="AB322">
        <v>0.20428224932887495</v>
      </c>
      <c r="AC322">
        <v>0</v>
      </c>
      <c r="AD322">
        <v>0.21004921584326283</v>
      </c>
      <c r="AE322">
        <v>0</v>
      </c>
      <c r="AF322">
        <v>0.58128385060989951</v>
      </c>
      <c r="AG322">
        <v>0</v>
      </c>
      <c r="AH322">
        <v>0</v>
      </c>
      <c r="AI322">
        <v>0</v>
      </c>
      <c r="AJ322">
        <v>0</v>
      </c>
      <c r="AK322">
        <v>0</v>
      </c>
    </row>
    <row r="323" spans="1:37" x14ac:dyDescent="0.25">
      <c r="A323" t="s">
        <v>128</v>
      </c>
      <c r="B323" t="s">
        <v>181</v>
      </c>
      <c r="C323" t="s">
        <v>109</v>
      </c>
      <c r="D323" s="12">
        <v>45583</v>
      </c>
      <c r="E323" t="s">
        <v>179</v>
      </c>
      <c r="G323">
        <v>9.3020664213548834</v>
      </c>
      <c r="H323">
        <v>10.45</v>
      </c>
      <c r="K323">
        <v>10.45</v>
      </c>
      <c r="N323">
        <v>7.342691622103386</v>
      </c>
      <c r="R323">
        <v>0</v>
      </c>
      <c r="S323">
        <v>0</v>
      </c>
      <c r="T323">
        <v>0.21126166362665505</v>
      </c>
      <c r="U323">
        <v>0</v>
      </c>
      <c r="V323">
        <v>0</v>
      </c>
      <c r="W323">
        <v>0</v>
      </c>
      <c r="X323">
        <v>2.2962874872188858E-4</v>
      </c>
      <c r="Y323">
        <v>0</v>
      </c>
      <c r="Z323">
        <v>0.10049702187815154</v>
      </c>
      <c r="AA323">
        <v>2.1174832348811417E-3</v>
      </c>
      <c r="AB323">
        <v>0.18646453325132656</v>
      </c>
      <c r="AC323">
        <v>0</v>
      </c>
      <c r="AD323">
        <v>2.440375474770248E-2</v>
      </c>
      <c r="AE323">
        <v>0</v>
      </c>
      <c r="AF323">
        <v>0.78701422876608973</v>
      </c>
      <c r="AG323">
        <v>0</v>
      </c>
      <c r="AH323">
        <v>0</v>
      </c>
      <c r="AI323">
        <v>0</v>
      </c>
      <c r="AJ323">
        <v>0</v>
      </c>
      <c r="AK323">
        <v>0</v>
      </c>
    </row>
    <row r="324" spans="1:37" x14ac:dyDescent="0.25">
      <c r="A324" t="s">
        <v>128</v>
      </c>
      <c r="B324" t="s">
        <v>134</v>
      </c>
      <c r="C324" t="s">
        <v>109</v>
      </c>
      <c r="D324" s="12">
        <v>45583</v>
      </c>
      <c r="E324" t="s">
        <v>178</v>
      </c>
      <c r="G324">
        <v>9.6390977443609014</v>
      </c>
      <c r="H324">
        <v>5.6999999999999993</v>
      </c>
      <c r="K324">
        <v>5.6999999999999993</v>
      </c>
      <c r="N324">
        <v>7.1581730221056734</v>
      </c>
      <c r="R324">
        <v>1.9849088081170328E-2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6.7736860734933596E-2</v>
      </c>
      <c r="AB324">
        <v>0.2371773358329291</v>
      </c>
      <c r="AC324">
        <v>0</v>
      </c>
      <c r="AD324">
        <v>4.0053178192036361E-2</v>
      </c>
      <c r="AE324">
        <v>0</v>
      </c>
      <c r="AF324">
        <v>0.55128847547411031</v>
      </c>
      <c r="AG324">
        <v>0</v>
      </c>
      <c r="AH324">
        <v>0</v>
      </c>
      <c r="AI324">
        <v>0</v>
      </c>
      <c r="AJ324">
        <v>0.10374414976599065</v>
      </c>
      <c r="AK324">
        <v>0</v>
      </c>
    </row>
    <row r="325" spans="1:37" x14ac:dyDescent="0.25">
      <c r="A325" t="s">
        <v>128</v>
      </c>
      <c r="B325" t="s">
        <v>181</v>
      </c>
      <c r="C325" t="s">
        <v>109</v>
      </c>
      <c r="D325" s="12">
        <v>45583</v>
      </c>
      <c r="E325" t="s">
        <v>178</v>
      </c>
      <c r="G325">
        <v>10.22838264924083</v>
      </c>
      <c r="H325">
        <v>8.5500000000000007</v>
      </c>
      <c r="K325">
        <v>8.5500000000000007</v>
      </c>
      <c r="N325">
        <v>9.801158645276292</v>
      </c>
      <c r="R325">
        <v>2.8197375589823409E-2</v>
      </c>
      <c r="S325">
        <v>0</v>
      </c>
      <c r="T325">
        <v>0</v>
      </c>
      <c r="U325">
        <v>0</v>
      </c>
      <c r="V325">
        <v>0.14405100107721952</v>
      </c>
      <c r="W325">
        <v>0</v>
      </c>
      <c r="X325">
        <v>8.2644370765493427E-2</v>
      </c>
      <c r="Y325">
        <v>0</v>
      </c>
      <c r="Z325">
        <v>0</v>
      </c>
      <c r="AA325">
        <v>9.4124861285930908E-2</v>
      </c>
      <c r="AB325">
        <v>0.29666122819975205</v>
      </c>
      <c r="AC325">
        <v>0</v>
      </c>
      <c r="AD325">
        <v>0</v>
      </c>
      <c r="AE325">
        <v>0</v>
      </c>
      <c r="AF325">
        <v>0.60921391051431706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25">
      <c r="A326" t="s">
        <v>128</v>
      </c>
      <c r="B326" t="s">
        <v>134</v>
      </c>
      <c r="C326" t="s">
        <v>109</v>
      </c>
      <c r="D326" s="12">
        <v>45584</v>
      </c>
      <c r="E326" t="s">
        <v>135</v>
      </c>
      <c r="G326">
        <v>31.303258145363415</v>
      </c>
      <c r="H326">
        <v>42.75</v>
      </c>
      <c r="K326">
        <v>42.75</v>
      </c>
      <c r="N326">
        <v>30.212029150878301</v>
      </c>
      <c r="R326">
        <v>0</v>
      </c>
      <c r="S326">
        <v>0</v>
      </c>
      <c r="T326">
        <v>0.11567253803042413</v>
      </c>
      <c r="U326">
        <v>0</v>
      </c>
      <c r="V326">
        <v>0</v>
      </c>
      <c r="W326">
        <v>0</v>
      </c>
      <c r="X326">
        <v>1.4553626094152642E-2</v>
      </c>
      <c r="Y326">
        <v>0</v>
      </c>
      <c r="Z326">
        <v>0.23544637390584736</v>
      </c>
      <c r="AA326">
        <v>0</v>
      </c>
      <c r="AB326">
        <v>0</v>
      </c>
      <c r="AC326">
        <v>0</v>
      </c>
      <c r="AD326">
        <v>4.9413543532067734E-2</v>
      </c>
      <c r="AE326">
        <v>0</v>
      </c>
      <c r="AF326">
        <v>0.95058645646793216</v>
      </c>
      <c r="AG326">
        <v>0</v>
      </c>
      <c r="AH326">
        <v>0</v>
      </c>
      <c r="AI326">
        <v>0</v>
      </c>
      <c r="AJ326">
        <v>0</v>
      </c>
      <c r="AK326">
        <v>0</v>
      </c>
    </row>
    <row r="327" spans="1:37" x14ac:dyDescent="0.25">
      <c r="A327" t="s">
        <v>128</v>
      </c>
      <c r="B327" t="s">
        <v>181</v>
      </c>
      <c r="C327" t="s">
        <v>109</v>
      </c>
      <c r="D327" s="12">
        <v>45584</v>
      </c>
      <c r="E327" t="s">
        <v>135</v>
      </c>
      <c r="G327">
        <v>30.058155215592596</v>
      </c>
      <c r="H327">
        <v>40.849999999999994</v>
      </c>
      <c r="K327">
        <v>40.849999999999994</v>
      </c>
      <c r="N327">
        <v>31.682843137254896</v>
      </c>
      <c r="R327">
        <v>3.8090154831003455E-2</v>
      </c>
      <c r="S327">
        <v>0</v>
      </c>
      <c r="T327">
        <v>6.5415375547403912E-2</v>
      </c>
      <c r="U327">
        <v>0</v>
      </c>
      <c r="V327">
        <v>4.361679748526303E-2</v>
      </c>
      <c r="W327">
        <v>0</v>
      </c>
      <c r="X327">
        <v>2.9203119750370661E-2</v>
      </c>
      <c r="Y327">
        <v>0</v>
      </c>
      <c r="Z327">
        <v>0.22079688024962935</v>
      </c>
      <c r="AA327">
        <v>0</v>
      </c>
      <c r="AB327">
        <v>0</v>
      </c>
      <c r="AC327">
        <v>0</v>
      </c>
      <c r="AD327">
        <v>5.685858720307186E-2</v>
      </c>
      <c r="AE327">
        <v>0</v>
      </c>
      <c r="AF327">
        <v>0.9431414127969282</v>
      </c>
      <c r="AG327">
        <v>0</v>
      </c>
      <c r="AH327">
        <v>0</v>
      </c>
      <c r="AI327">
        <v>0</v>
      </c>
      <c r="AJ327">
        <v>0</v>
      </c>
      <c r="AK327">
        <v>0</v>
      </c>
    </row>
    <row r="328" spans="1:37" x14ac:dyDescent="0.25">
      <c r="A328" t="s">
        <v>128</v>
      </c>
      <c r="B328" t="s">
        <v>134</v>
      </c>
      <c r="C328" t="s">
        <v>109</v>
      </c>
      <c r="D328" s="12">
        <v>45584</v>
      </c>
      <c r="E328" t="s">
        <v>179</v>
      </c>
      <c r="G328">
        <v>6.260651629072683</v>
      </c>
      <c r="H328">
        <v>5.6999999999999993</v>
      </c>
      <c r="K328">
        <v>5.6999999999999993</v>
      </c>
      <c r="N328">
        <v>3.4645030425963492</v>
      </c>
      <c r="R328">
        <v>0</v>
      </c>
      <c r="S328">
        <v>0</v>
      </c>
      <c r="T328">
        <v>3.5088070456364945E-2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8.4027221777421932E-2</v>
      </c>
      <c r="AA328">
        <v>0</v>
      </c>
      <c r="AB328">
        <v>0.20866693354683757</v>
      </c>
      <c r="AC328">
        <v>0</v>
      </c>
      <c r="AD328">
        <v>0.23795567894477843</v>
      </c>
      <c r="AE328">
        <v>0</v>
      </c>
      <c r="AF328">
        <v>0.55337738750838394</v>
      </c>
      <c r="AG328">
        <v>0</v>
      </c>
      <c r="AH328">
        <v>0</v>
      </c>
      <c r="AI328">
        <v>0</v>
      </c>
      <c r="AJ328">
        <v>0</v>
      </c>
      <c r="AK328">
        <v>0</v>
      </c>
    </row>
    <row r="329" spans="1:37" x14ac:dyDescent="0.25">
      <c r="A329" t="s">
        <v>128</v>
      </c>
      <c r="B329" t="s">
        <v>181</v>
      </c>
      <c r="C329" t="s">
        <v>109</v>
      </c>
      <c r="D329" s="12">
        <v>45584</v>
      </c>
      <c r="E329" t="s">
        <v>179</v>
      </c>
      <c r="G329">
        <v>9.3020664213548816</v>
      </c>
      <c r="H329">
        <v>8.5500000000000007</v>
      </c>
      <c r="K329">
        <v>8.5500000000000007</v>
      </c>
      <c r="N329">
        <v>8.1013368983957221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3.6022717291660277E-3</v>
      </c>
      <c r="Y329">
        <v>0</v>
      </c>
      <c r="Z329">
        <v>2.0025067696386989E-3</v>
      </c>
      <c r="AA329">
        <v>2.1174832348811422E-3</v>
      </c>
      <c r="AB329">
        <v>8.4336687999751941E-2</v>
      </c>
      <c r="AC329">
        <v>0</v>
      </c>
      <c r="AD329">
        <v>4.8347603634435306E-2</v>
      </c>
      <c r="AE329">
        <v>0</v>
      </c>
      <c r="AF329">
        <v>0.86519822513093159</v>
      </c>
      <c r="AG329">
        <v>0</v>
      </c>
      <c r="AH329">
        <v>0</v>
      </c>
      <c r="AI329">
        <v>0</v>
      </c>
      <c r="AJ329">
        <v>0</v>
      </c>
      <c r="AK329">
        <v>0</v>
      </c>
    </row>
    <row r="330" spans="1:37" x14ac:dyDescent="0.25">
      <c r="A330" t="s">
        <v>128</v>
      </c>
      <c r="B330" t="s">
        <v>134</v>
      </c>
      <c r="C330" t="s">
        <v>109</v>
      </c>
      <c r="D330" s="12">
        <v>45584</v>
      </c>
      <c r="E330" t="s">
        <v>178</v>
      </c>
      <c r="G330">
        <v>9.6390977443609014</v>
      </c>
      <c r="H330">
        <v>5.6999999999999993</v>
      </c>
      <c r="K330">
        <v>5.6999999999999993</v>
      </c>
      <c r="N330">
        <v>6.4594658113140557</v>
      </c>
      <c r="R330">
        <v>1.4535875552669174E-2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0.17598627271662876</v>
      </c>
      <c r="AB330">
        <v>0.23267207361722456</v>
      </c>
      <c r="AC330">
        <v>0</v>
      </c>
      <c r="AD330">
        <v>0.11173201339818288</v>
      </c>
      <c r="AE330">
        <v>0</v>
      </c>
      <c r="AF330">
        <v>0.47960964026796377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">
        <v>128</v>
      </c>
      <c r="B331" t="s">
        <v>181</v>
      </c>
      <c r="C331" t="s">
        <v>109</v>
      </c>
      <c r="D331" s="12">
        <v>45584</v>
      </c>
      <c r="E331" t="s">
        <v>178</v>
      </c>
      <c r="G331">
        <v>10.228382649240828</v>
      </c>
      <c r="H331">
        <v>10.45</v>
      </c>
      <c r="K331">
        <v>10.45</v>
      </c>
      <c r="N331">
        <v>9.801158645276292</v>
      </c>
      <c r="R331">
        <v>9.4281707009236469E-3</v>
      </c>
      <c r="S331">
        <v>0</v>
      </c>
      <c r="T331">
        <v>7.4109604261881359E-2</v>
      </c>
      <c r="U331">
        <v>0</v>
      </c>
      <c r="V331">
        <v>0.16282020596611929</v>
      </c>
      <c r="W331">
        <v>0</v>
      </c>
      <c r="X331">
        <v>8.2644370765493441E-2</v>
      </c>
      <c r="Y331">
        <v>0</v>
      </c>
      <c r="Z331">
        <v>0</v>
      </c>
      <c r="AA331">
        <v>1.2460521351497517E-3</v>
      </c>
      <c r="AB331">
        <v>0.29666122819975205</v>
      </c>
      <c r="AC331">
        <v>0</v>
      </c>
      <c r="AD331">
        <v>0</v>
      </c>
      <c r="AE331">
        <v>0</v>
      </c>
      <c r="AF331">
        <v>0.70209271966509834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">
        <v>128</v>
      </c>
      <c r="B332" t="s">
        <v>134</v>
      </c>
      <c r="C332" t="s">
        <v>109</v>
      </c>
      <c r="D332" s="12">
        <v>45585</v>
      </c>
      <c r="E332" t="s">
        <v>135</v>
      </c>
      <c r="G332">
        <v>31.303258145363408</v>
      </c>
      <c r="H332">
        <v>37.049999999999997</v>
      </c>
      <c r="K332">
        <v>37.049999999999997</v>
      </c>
      <c r="N332">
        <v>30.045145320543661</v>
      </c>
      <c r="R332">
        <v>0</v>
      </c>
      <c r="S332">
        <v>0</v>
      </c>
      <c r="T332">
        <v>5.1887224064967883E-3</v>
      </c>
      <c r="U332">
        <v>0</v>
      </c>
      <c r="V332">
        <v>0</v>
      </c>
      <c r="W332">
        <v>0</v>
      </c>
      <c r="X332">
        <v>8.0878946854962934E-3</v>
      </c>
      <c r="Y332">
        <v>0</v>
      </c>
      <c r="Z332">
        <v>0.17030624920104129</v>
      </c>
      <c r="AA332">
        <v>0</v>
      </c>
      <c r="AB332">
        <v>0</v>
      </c>
      <c r="AC332">
        <v>0</v>
      </c>
      <c r="AD332">
        <v>4.827900894515038E-2</v>
      </c>
      <c r="AE332">
        <v>0</v>
      </c>
      <c r="AF332">
        <v>0.95172099105484953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">
        <v>128</v>
      </c>
      <c r="B333" t="s">
        <v>181</v>
      </c>
      <c r="C333" t="s">
        <v>109</v>
      </c>
      <c r="D333" s="12">
        <v>45585</v>
      </c>
      <c r="E333" t="s">
        <v>135</v>
      </c>
      <c r="G333">
        <v>30.058155215592596</v>
      </c>
      <c r="H333">
        <v>41.8</v>
      </c>
      <c r="K333">
        <v>41.8</v>
      </c>
      <c r="N333">
        <v>31.440418894830657</v>
      </c>
      <c r="R333">
        <v>3.7141310868219618E-2</v>
      </c>
      <c r="S333">
        <v>0</v>
      </c>
      <c r="T333">
        <v>9.7020774920256667E-2</v>
      </c>
      <c r="U333">
        <v>0</v>
      </c>
      <c r="V333">
        <v>4.361679748526303E-2</v>
      </c>
      <c r="W333">
        <v>0</v>
      </c>
      <c r="X333">
        <v>2.9203119750370661E-2</v>
      </c>
      <c r="Y333">
        <v>0</v>
      </c>
      <c r="Z333">
        <v>0.22079688024962935</v>
      </c>
      <c r="AA333">
        <v>0</v>
      </c>
      <c r="AB333">
        <v>0</v>
      </c>
      <c r="AC333">
        <v>0</v>
      </c>
      <c r="AD333">
        <v>6.397491692395052E-2</v>
      </c>
      <c r="AE333">
        <v>0</v>
      </c>
      <c r="AF333">
        <v>0.93602508307604948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25">
      <c r="A334" t="s">
        <v>128</v>
      </c>
      <c r="B334" t="s">
        <v>134</v>
      </c>
      <c r="C334" t="s">
        <v>109</v>
      </c>
      <c r="D334" s="12">
        <v>45585</v>
      </c>
      <c r="E334" t="s">
        <v>179</v>
      </c>
      <c r="G334">
        <v>6.2606516290726812</v>
      </c>
      <c r="H334">
        <v>6.6499999999999995</v>
      </c>
      <c r="K334">
        <v>6.6499999999999995</v>
      </c>
      <c r="N334">
        <v>4.4052168961958653</v>
      </c>
      <c r="R334">
        <v>0</v>
      </c>
      <c r="S334">
        <v>0</v>
      </c>
      <c r="T334">
        <v>3.5088070456364952E-2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0.1868294635708567</v>
      </c>
      <c r="AA334">
        <v>0</v>
      </c>
      <c r="AB334">
        <v>0.15972778222578063</v>
      </c>
      <c r="AC334">
        <v>0</v>
      </c>
      <c r="AD334">
        <v>0.13663669272131698</v>
      </c>
      <c r="AE334">
        <v>0</v>
      </c>
      <c r="AF334">
        <v>0.7036355250529025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">
        <v>128</v>
      </c>
      <c r="B335" t="s">
        <v>181</v>
      </c>
      <c r="C335" t="s">
        <v>109</v>
      </c>
      <c r="D335" s="12">
        <v>45585</v>
      </c>
      <c r="E335" t="s">
        <v>179</v>
      </c>
      <c r="G335">
        <v>9.3020664213548816</v>
      </c>
      <c r="H335">
        <v>9.5</v>
      </c>
      <c r="K335">
        <v>9.5</v>
      </c>
      <c r="N335">
        <v>8.3437611408199643</v>
      </c>
      <c r="R335">
        <v>2.9702253520956711E-3</v>
      </c>
      <c r="S335">
        <v>0</v>
      </c>
      <c r="T335">
        <v>7.0059731235059082E-3</v>
      </c>
      <c r="U335">
        <v>0</v>
      </c>
      <c r="V335">
        <v>0</v>
      </c>
      <c r="W335">
        <v>0</v>
      </c>
      <c r="X335">
        <v>3.6022717291660277E-3</v>
      </c>
      <c r="Y335">
        <v>0</v>
      </c>
      <c r="Z335">
        <v>9.7124378897707433E-2</v>
      </c>
      <c r="AA335">
        <v>2.2132969559164927E-3</v>
      </c>
      <c r="AB335">
        <v>8.4240874278716585E-2</v>
      </c>
      <c r="AC335">
        <v>0</v>
      </c>
      <c r="AD335">
        <v>2.5352310585952411E-2</v>
      </c>
      <c r="AE335">
        <v>0</v>
      </c>
      <c r="AF335">
        <v>0.88819351817941461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25">
      <c r="A336" t="s">
        <v>128</v>
      </c>
      <c r="B336" t="s">
        <v>134</v>
      </c>
      <c r="C336" t="s">
        <v>109</v>
      </c>
      <c r="D336" s="12">
        <v>45585</v>
      </c>
      <c r="E336" t="s">
        <v>178</v>
      </c>
      <c r="G336">
        <v>9.6390977443609014</v>
      </c>
      <c r="H336">
        <v>5.6999999999999993</v>
      </c>
      <c r="K336">
        <v>5.6999999999999993</v>
      </c>
      <c r="N336">
        <v>5.4914941091611844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9.0491909737241416E-2</v>
      </c>
      <c r="AB336">
        <v>0.31816643659661187</v>
      </c>
      <c r="AC336">
        <v>0</v>
      </c>
      <c r="AD336">
        <v>0.1121231761035147</v>
      </c>
      <c r="AE336">
        <v>0</v>
      </c>
      <c r="AF336">
        <v>0.47921847756263197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">
        <v>128</v>
      </c>
      <c r="B337" t="s">
        <v>181</v>
      </c>
      <c r="C337" t="s">
        <v>109</v>
      </c>
      <c r="D337" s="12">
        <v>45585</v>
      </c>
      <c r="E337" t="s">
        <v>178</v>
      </c>
      <c r="G337">
        <v>10.228382649240828</v>
      </c>
      <c r="H337">
        <v>11.399999999999999</v>
      </c>
      <c r="K337">
        <v>11.399999999999999</v>
      </c>
      <c r="N337">
        <v>9.801158645276292</v>
      </c>
      <c r="R337">
        <v>9.4281707009236469E-3</v>
      </c>
      <c r="S337">
        <v>0</v>
      </c>
      <c r="T337">
        <v>0.16698841341266241</v>
      </c>
      <c r="U337">
        <v>0</v>
      </c>
      <c r="V337">
        <v>0.16282020596611929</v>
      </c>
      <c r="W337">
        <v>0</v>
      </c>
      <c r="X337">
        <v>8.2644370765493441E-2</v>
      </c>
      <c r="Y337">
        <v>0</v>
      </c>
      <c r="Z337">
        <v>0</v>
      </c>
      <c r="AA337">
        <v>1.2460521351497517E-3</v>
      </c>
      <c r="AB337">
        <v>0.29666122819975205</v>
      </c>
      <c r="AC337">
        <v>0</v>
      </c>
      <c r="AD337">
        <v>0</v>
      </c>
      <c r="AE337">
        <v>0</v>
      </c>
      <c r="AF337">
        <v>0.70209271966509834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25">
      <c r="A338" t="s">
        <v>128</v>
      </c>
      <c r="C338" t="s">
        <v>110</v>
      </c>
      <c r="D338" s="12">
        <v>45572</v>
      </c>
      <c r="G338">
        <v>96.791611804985322</v>
      </c>
      <c r="H338">
        <v>106.39999999999998</v>
      </c>
      <c r="K338">
        <v>106.39999999999998</v>
      </c>
      <c r="N338">
        <v>88.096022966126782</v>
      </c>
      <c r="R338">
        <v>5.7320526261075751E-3</v>
      </c>
      <c r="S338">
        <v>0</v>
      </c>
      <c r="T338">
        <v>9.9877672788495436E-2</v>
      </c>
      <c r="U338">
        <v>0</v>
      </c>
      <c r="V338">
        <v>4.0006855392839422E-2</v>
      </c>
      <c r="W338">
        <v>0</v>
      </c>
      <c r="X338">
        <v>2.6705268604784293E-2</v>
      </c>
      <c r="Y338">
        <v>0</v>
      </c>
      <c r="Z338">
        <v>6.8507500491345505E-2</v>
      </c>
      <c r="AA338">
        <v>2.4003212340411077E-2</v>
      </c>
      <c r="AB338">
        <v>0.1014938003959887</v>
      </c>
      <c r="AC338">
        <v>0</v>
      </c>
      <c r="AD338">
        <v>6.0788624364144242E-2</v>
      </c>
      <c r="AE338">
        <v>0</v>
      </c>
      <c r="AF338">
        <v>0.80338288911415723</v>
      </c>
      <c r="AG338">
        <v>0</v>
      </c>
      <c r="AH338">
        <v>0</v>
      </c>
      <c r="AI338">
        <v>0</v>
      </c>
      <c r="AJ338">
        <v>1.0331473785298554E-2</v>
      </c>
      <c r="AK338">
        <v>0</v>
      </c>
    </row>
    <row r="339" spans="1:37" x14ac:dyDescent="0.25">
      <c r="A339" t="s">
        <v>128</v>
      </c>
      <c r="C339" t="s">
        <v>110</v>
      </c>
      <c r="D339" s="12">
        <v>45573</v>
      </c>
      <c r="G339">
        <v>96.791611804985308</v>
      </c>
      <c r="H339">
        <v>112.09999999999998</v>
      </c>
      <c r="K339">
        <v>112.09999999999998</v>
      </c>
      <c r="N339">
        <v>85.878749284845497</v>
      </c>
      <c r="R339">
        <v>9.2616797117409076E-3</v>
      </c>
      <c r="S339">
        <v>0</v>
      </c>
      <c r="T339">
        <v>0.10379346872074001</v>
      </c>
      <c r="U339">
        <v>0</v>
      </c>
      <c r="V339">
        <v>4.0301514181724937E-2</v>
      </c>
      <c r="W339">
        <v>0</v>
      </c>
      <c r="X339">
        <v>2.2531106260266602E-2</v>
      </c>
      <c r="Y339">
        <v>0</v>
      </c>
      <c r="Z339">
        <v>0.11737936715558507</v>
      </c>
      <c r="AA339">
        <v>2.2965637464336802E-2</v>
      </c>
      <c r="AB339">
        <v>9.25501337367131E-2</v>
      </c>
      <c r="AC339">
        <v>0</v>
      </c>
      <c r="AD339">
        <v>9.2290119466411025E-2</v>
      </c>
      <c r="AE339">
        <v>0</v>
      </c>
      <c r="AF339">
        <v>0.78186263554724023</v>
      </c>
      <c r="AG339">
        <v>0</v>
      </c>
      <c r="AH339">
        <v>0</v>
      </c>
      <c r="AI339">
        <v>0</v>
      </c>
      <c r="AJ339">
        <v>1.0331473785298556E-2</v>
      </c>
      <c r="AK339">
        <v>0</v>
      </c>
    </row>
    <row r="340" spans="1:37" x14ac:dyDescent="0.25">
      <c r="A340" t="s">
        <v>128</v>
      </c>
      <c r="C340" t="s">
        <v>110</v>
      </c>
      <c r="D340" s="12">
        <v>45574</v>
      </c>
      <c r="G340">
        <v>96.791611804985308</v>
      </c>
      <c r="H340">
        <v>108.29999999999998</v>
      </c>
      <c r="K340">
        <v>108.29999999999998</v>
      </c>
      <c r="N340">
        <v>86.295379485288208</v>
      </c>
      <c r="R340">
        <v>3.5147445740350065E-2</v>
      </c>
      <c r="S340">
        <v>0</v>
      </c>
      <c r="T340">
        <v>8.2345666108008184E-2</v>
      </c>
      <c r="U340">
        <v>0</v>
      </c>
      <c r="V340">
        <v>2.2247260077302357E-2</v>
      </c>
      <c r="W340">
        <v>3.2946959590486272E-3</v>
      </c>
      <c r="X340">
        <v>1.956053496899204E-2</v>
      </c>
      <c r="Y340">
        <v>0</v>
      </c>
      <c r="Z340">
        <v>0.11086196079914182</v>
      </c>
      <c r="AA340">
        <v>2.6081906859945145E-4</v>
      </c>
      <c r="AB340">
        <v>0.10552451815171278</v>
      </c>
      <c r="AC340">
        <v>0</v>
      </c>
      <c r="AD340">
        <v>7.9872271690285837E-2</v>
      </c>
      <c r="AE340">
        <v>0</v>
      </c>
      <c r="AF340">
        <v>0.77781940030638352</v>
      </c>
      <c r="AG340">
        <v>0</v>
      </c>
      <c r="AH340">
        <v>0</v>
      </c>
      <c r="AI340">
        <v>0</v>
      </c>
      <c r="AJ340">
        <v>1.0331473785298556E-2</v>
      </c>
      <c r="AK340">
        <v>2.6191516997719606E-2</v>
      </c>
    </row>
    <row r="341" spans="1:37" x14ac:dyDescent="0.25">
      <c r="A341" t="s">
        <v>128</v>
      </c>
      <c r="C341" t="s">
        <v>110</v>
      </c>
      <c r="D341" s="12">
        <v>45575</v>
      </c>
      <c r="G341">
        <v>96.791611804985322</v>
      </c>
      <c r="H341">
        <v>107.35000000000002</v>
      </c>
      <c r="K341">
        <v>107.35000000000002</v>
      </c>
      <c r="N341">
        <v>82.364367561018042</v>
      </c>
      <c r="R341">
        <v>3.7928606269368469E-3</v>
      </c>
      <c r="S341">
        <v>0</v>
      </c>
      <c r="T341">
        <v>4.3179035907880789E-2</v>
      </c>
      <c r="U341">
        <v>0</v>
      </c>
      <c r="V341">
        <v>2.3468252433746735E-2</v>
      </c>
      <c r="W341">
        <v>0</v>
      </c>
      <c r="X341">
        <v>2.2710266462592818E-2</v>
      </c>
      <c r="Y341">
        <v>0</v>
      </c>
      <c r="Z341">
        <v>0.14179222177404088</v>
      </c>
      <c r="AA341">
        <v>2.0464931738782062E-2</v>
      </c>
      <c r="AB341">
        <v>9.1269660202380545E-2</v>
      </c>
      <c r="AC341">
        <v>0</v>
      </c>
      <c r="AD341">
        <v>0.10775641502154323</v>
      </c>
      <c r="AE341">
        <v>0</v>
      </c>
      <c r="AF341">
        <v>0.77017751925199529</v>
      </c>
      <c r="AG341">
        <v>0</v>
      </c>
      <c r="AH341">
        <v>0</v>
      </c>
      <c r="AI341">
        <v>0</v>
      </c>
      <c r="AJ341">
        <v>1.0331473785298554E-2</v>
      </c>
      <c r="AK341">
        <v>0</v>
      </c>
    </row>
    <row r="342" spans="1:37" x14ac:dyDescent="0.25">
      <c r="A342" t="s">
        <v>128</v>
      </c>
      <c r="C342" t="s">
        <v>110</v>
      </c>
      <c r="D342" s="12">
        <v>45576</v>
      </c>
      <c r="G342">
        <v>96.791611804985322</v>
      </c>
      <c r="H342">
        <v>110.19999999999997</v>
      </c>
      <c r="K342">
        <v>110.19999999999997</v>
      </c>
      <c r="N342">
        <v>80.093443586832052</v>
      </c>
      <c r="R342">
        <v>3.9045594994514326E-3</v>
      </c>
      <c r="S342">
        <v>0</v>
      </c>
      <c r="T342">
        <v>9.3673908063156883E-2</v>
      </c>
      <c r="U342">
        <v>0</v>
      </c>
      <c r="V342">
        <v>4.1877060269369604E-2</v>
      </c>
      <c r="W342">
        <v>0</v>
      </c>
      <c r="X342">
        <v>2.0903631370220069E-2</v>
      </c>
      <c r="Y342">
        <v>0</v>
      </c>
      <c r="Z342">
        <v>0.11285147571904589</v>
      </c>
      <c r="AA342">
        <v>1.9967982770340134E-2</v>
      </c>
      <c r="AB342">
        <v>0.10047820772625286</v>
      </c>
      <c r="AC342">
        <v>0</v>
      </c>
      <c r="AD342">
        <v>0.13872373062114424</v>
      </c>
      <c r="AE342">
        <v>0</v>
      </c>
      <c r="AF342">
        <v>0.73049860509696396</v>
      </c>
      <c r="AG342">
        <v>0</v>
      </c>
      <c r="AH342">
        <v>0</v>
      </c>
      <c r="AI342">
        <v>0</v>
      </c>
      <c r="AJ342">
        <v>1.0331473785298554E-2</v>
      </c>
      <c r="AK342">
        <v>0</v>
      </c>
    </row>
    <row r="343" spans="1:37" x14ac:dyDescent="0.25">
      <c r="A343" t="s">
        <v>128</v>
      </c>
      <c r="C343" t="s">
        <v>110</v>
      </c>
      <c r="D343" s="12">
        <v>45577</v>
      </c>
      <c r="G343">
        <v>96.791611804985322</v>
      </c>
      <c r="H343">
        <v>118.75</v>
      </c>
      <c r="K343">
        <v>118.75</v>
      </c>
      <c r="N343">
        <v>86.709195092363984</v>
      </c>
      <c r="R343">
        <v>5.5370003785949968E-3</v>
      </c>
      <c r="S343">
        <v>0</v>
      </c>
      <c r="T343">
        <v>0.11176996214579533</v>
      </c>
      <c r="U343">
        <v>0</v>
      </c>
      <c r="V343">
        <v>3.8582364310320978E-2</v>
      </c>
      <c r="W343">
        <v>0</v>
      </c>
      <c r="X343">
        <v>2.2247497175964265E-2</v>
      </c>
      <c r="Y343">
        <v>0</v>
      </c>
      <c r="Z343">
        <v>0.1471908908138812</v>
      </c>
      <c r="AA343">
        <v>1.2471464991604305E-2</v>
      </c>
      <c r="AB343">
        <v>8.0456737450153942E-2</v>
      </c>
      <c r="AC343">
        <v>0</v>
      </c>
      <c r="AD343">
        <v>9.0076348373629531E-2</v>
      </c>
      <c r="AE343">
        <v>0</v>
      </c>
      <c r="AF343">
        <v>0.81699544918461209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">
        <v>128</v>
      </c>
      <c r="C344" t="s">
        <v>110</v>
      </c>
      <c r="D344" s="12">
        <v>45578</v>
      </c>
      <c r="G344">
        <v>96.791611804985322</v>
      </c>
      <c r="H344">
        <v>105.45</v>
      </c>
      <c r="K344">
        <v>105.45</v>
      </c>
      <c r="N344">
        <v>85.279921400304119</v>
      </c>
      <c r="R344">
        <v>2.3407017189621626E-2</v>
      </c>
      <c r="S344">
        <v>0</v>
      </c>
      <c r="T344">
        <v>2.6863695218381556E-2</v>
      </c>
      <c r="U344">
        <v>0</v>
      </c>
      <c r="V344">
        <v>3.0750886186973015E-2</v>
      </c>
      <c r="W344">
        <v>0</v>
      </c>
      <c r="X344">
        <v>1.7824335641607549E-2</v>
      </c>
      <c r="Y344">
        <v>0</v>
      </c>
      <c r="Z344">
        <v>9.2197876662952108E-2</v>
      </c>
      <c r="AA344">
        <v>1.7140885986724527E-2</v>
      </c>
      <c r="AB344">
        <v>5.0710523278158427E-2</v>
      </c>
      <c r="AC344">
        <v>0</v>
      </c>
      <c r="AD344">
        <v>0.14020444338048033</v>
      </c>
      <c r="AE344">
        <v>0</v>
      </c>
      <c r="AF344">
        <v>0.78161267356933806</v>
      </c>
      <c r="AG344">
        <v>0</v>
      </c>
      <c r="AH344">
        <v>0</v>
      </c>
      <c r="AI344">
        <v>0</v>
      </c>
      <c r="AJ344">
        <v>1.0331473785298554E-2</v>
      </c>
      <c r="AK344">
        <v>0</v>
      </c>
    </row>
    <row r="345" spans="1:37" x14ac:dyDescent="0.25">
      <c r="A345" t="s">
        <v>128</v>
      </c>
      <c r="C345" t="s">
        <v>110</v>
      </c>
      <c r="D345" s="12">
        <v>45579</v>
      </c>
      <c r="G345">
        <v>96.791611804985322</v>
      </c>
      <c r="H345">
        <v>111.14999999999999</v>
      </c>
      <c r="K345">
        <v>111.14999999999999</v>
      </c>
      <c r="N345">
        <v>79.431239165235397</v>
      </c>
      <c r="R345">
        <v>2.4306259823410857E-3</v>
      </c>
      <c r="S345">
        <v>0</v>
      </c>
      <c r="T345">
        <v>0.11789085546143559</v>
      </c>
      <c r="U345">
        <v>0</v>
      </c>
      <c r="V345">
        <v>3.348665125585442E-2</v>
      </c>
      <c r="W345">
        <v>0</v>
      </c>
      <c r="X345">
        <v>2.0502242225797114E-2</v>
      </c>
      <c r="Y345">
        <v>0</v>
      </c>
      <c r="Z345">
        <v>0.11167153154727617</v>
      </c>
      <c r="AA345">
        <v>1.2241090444653579E-2</v>
      </c>
      <c r="AB345">
        <v>0.11263540502447666</v>
      </c>
      <c r="AC345">
        <v>0</v>
      </c>
      <c r="AD345">
        <v>0.12314234927010631</v>
      </c>
      <c r="AE345">
        <v>0</v>
      </c>
      <c r="AF345">
        <v>0.74164968147546462</v>
      </c>
      <c r="AG345">
        <v>0</v>
      </c>
      <c r="AH345">
        <v>0</v>
      </c>
      <c r="AI345">
        <v>0</v>
      </c>
      <c r="AJ345">
        <v>1.0331473785298554E-2</v>
      </c>
      <c r="AK345">
        <v>0</v>
      </c>
    </row>
    <row r="346" spans="1:37" x14ac:dyDescent="0.25">
      <c r="A346" t="s">
        <v>128</v>
      </c>
      <c r="C346" t="s">
        <v>110</v>
      </c>
      <c r="D346" s="12">
        <v>45580</v>
      </c>
      <c r="G346">
        <v>96.791611804985308</v>
      </c>
      <c r="H346">
        <v>110.19999999999997</v>
      </c>
      <c r="K346">
        <v>110.19999999999997</v>
      </c>
      <c r="N346">
        <v>80.253709164207336</v>
      </c>
      <c r="R346">
        <v>4.2009503101681986E-3</v>
      </c>
      <c r="S346">
        <v>0</v>
      </c>
      <c r="T346">
        <v>5.5989853766667062E-2</v>
      </c>
      <c r="U346">
        <v>0</v>
      </c>
      <c r="V346">
        <v>4.0301514181724937E-2</v>
      </c>
      <c r="W346">
        <v>0</v>
      </c>
      <c r="X346">
        <v>2.2531106260266602E-2</v>
      </c>
      <c r="Y346">
        <v>0</v>
      </c>
      <c r="Z346">
        <v>0.12420437127654363</v>
      </c>
      <c r="AA346">
        <v>3.0036024046571981E-3</v>
      </c>
      <c r="AB346">
        <v>0.10149483194064414</v>
      </c>
      <c r="AC346">
        <v>0</v>
      </c>
      <c r="AD346">
        <v>0.136399646408533</v>
      </c>
      <c r="AE346">
        <v>0</v>
      </c>
      <c r="AF346">
        <v>0.75910191924616555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25">
      <c r="A347" t="s">
        <v>128</v>
      </c>
      <c r="C347" t="s">
        <v>110</v>
      </c>
      <c r="D347" s="12">
        <v>45581</v>
      </c>
      <c r="G347">
        <v>96.791611804985322</v>
      </c>
      <c r="H347">
        <v>109.25000000000001</v>
      </c>
      <c r="K347">
        <v>109.25000000000001</v>
      </c>
      <c r="N347">
        <v>78.202509249229109</v>
      </c>
      <c r="R347">
        <v>1.5237184514701137E-2</v>
      </c>
      <c r="S347">
        <v>0</v>
      </c>
      <c r="T347">
        <v>7.7139424511474597E-2</v>
      </c>
      <c r="U347">
        <v>0</v>
      </c>
      <c r="V347">
        <v>2.2247260077302353E-2</v>
      </c>
      <c r="W347">
        <v>0</v>
      </c>
      <c r="X347">
        <v>1.4507571428574605E-2</v>
      </c>
      <c r="Y347">
        <v>0</v>
      </c>
      <c r="Z347">
        <v>0.13093606603212646</v>
      </c>
      <c r="AA347">
        <v>3.5696537184930904E-3</v>
      </c>
      <c r="AB347">
        <v>0.11254715728711766</v>
      </c>
      <c r="AC347">
        <v>0</v>
      </c>
      <c r="AD347">
        <v>0.13149768448048199</v>
      </c>
      <c r="AE347">
        <v>0</v>
      </c>
      <c r="AF347">
        <v>0.75238550451390707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">
        <v>128</v>
      </c>
      <c r="C348" t="s">
        <v>110</v>
      </c>
      <c r="D348" s="12">
        <v>45582</v>
      </c>
      <c r="G348">
        <v>96.791611804985308</v>
      </c>
      <c r="H348">
        <v>103.55000000000003</v>
      </c>
      <c r="K348">
        <v>103.55000000000003</v>
      </c>
      <c r="N348">
        <v>89.172075014745587</v>
      </c>
      <c r="R348">
        <v>2.4351451617335193E-2</v>
      </c>
      <c r="S348">
        <v>0</v>
      </c>
      <c r="T348">
        <v>5.263151617892925E-2</v>
      </c>
      <c r="U348">
        <v>0</v>
      </c>
      <c r="V348">
        <v>2.7953929714348749E-2</v>
      </c>
      <c r="W348">
        <v>0</v>
      </c>
      <c r="X348">
        <v>2.7967916556363548E-2</v>
      </c>
      <c r="Y348">
        <v>0</v>
      </c>
      <c r="Z348">
        <v>0.10613208428806302</v>
      </c>
      <c r="AA348">
        <v>3.957371497006841E-2</v>
      </c>
      <c r="AB348">
        <v>9.4956147514672129E-2</v>
      </c>
      <c r="AC348">
        <v>0</v>
      </c>
      <c r="AD348">
        <v>6.4038194977855151E-2</v>
      </c>
      <c r="AE348">
        <v>0</v>
      </c>
      <c r="AF348">
        <v>0.79110046875210571</v>
      </c>
      <c r="AG348">
        <v>0</v>
      </c>
      <c r="AH348">
        <v>0</v>
      </c>
      <c r="AI348">
        <v>0</v>
      </c>
      <c r="AJ348">
        <v>1.0331473785298556E-2</v>
      </c>
      <c r="AK348">
        <v>0</v>
      </c>
    </row>
    <row r="349" spans="1:37" x14ac:dyDescent="0.25">
      <c r="A349" t="s">
        <v>128</v>
      </c>
      <c r="C349" t="s">
        <v>110</v>
      </c>
      <c r="D349" s="12">
        <v>45583</v>
      </c>
      <c r="G349">
        <v>96.791611804985322</v>
      </c>
      <c r="H349">
        <v>109.24999999999997</v>
      </c>
      <c r="K349">
        <v>109.24999999999997</v>
      </c>
      <c r="N349">
        <v>86.895006329096177</v>
      </c>
      <c r="R349">
        <v>5.9316979620952738E-3</v>
      </c>
      <c r="S349">
        <v>0</v>
      </c>
      <c r="T349">
        <v>8.3756475614846393E-2</v>
      </c>
      <c r="U349">
        <v>0</v>
      </c>
      <c r="V349">
        <v>4.0301514181724937E-2</v>
      </c>
      <c r="W349">
        <v>0</v>
      </c>
      <c r="X349">
        <v>2.127222920239407E-2</v>
      </c>
      <c r="Y349">
        <v>0</v>
      </c>
      <c r="Z349">
        <v>0.10751152658227039</v>
      </c>
      <c r="AA349">
        <v>1.7179332368167929E-2</v>
      </c>
      <c r="AB349">
        <v>9.6617428383902096E-2</v>
      </c>
      <c r="AC349">
        <v>0</v>
      </c>
      <c r="AD349">
        <v>7.3134532999902954E-2</v>
      </c>
      <c r="AE349">
        <v>0</v>
      </c>
      <c r="AF349">
        <v>0.80273723246272821</v>
      </c>
      <c r="AG349">
        <v>0</v>
      </c>
      <c r="AH349">
        <v>0</v>
      </c>
      <c r="AI349">
        <v>0</v>
      </c>
      <c r="AJ349">
        <v>1.0331473785298554E-2</v>
      </c>
      <c r="AK349">
        <v>0</v>
      </c>
    </row>
    <row r="350" spans="1:37" x14ac:dyDescent="0.25">
      <c r="A350" t="s">
        <v>128</v>
      </c>
      <c r="C350" t="s">
        <v>110</v>
      </c>
      <c r="D350" s="12">
        <v>45584</v>
      </c>
      <c r="G350">
        <v>96.791611804985308</v>
      </c>
      <c r="H350">
        <v>113.99999999999999</v>
      </c>
      <c r="K350">
        <v>113.99999999999999</v>
      </c>
      <c r="N350">
        <v>89.721336685715599</v>
      </c>
      <c r="R350">
        <v>1.4272594734170498E-2</v>
      </c>
      <c r="S350">
        <v>0</v>
      </c>
      <c r="T350">
        <v>6.7824972468179742E-2</v>
      </c>
      <c r="U350">
        <v>0</v>
      </c>
      <c r="V350">
        <v>3.0750886186973019E-2</v>
      </c>
      <c r="W350">
        <v>0</v>
      </c>
      <c r="X350">
        <v>2.2855230928040673E-2</v>
      </c>
      <c r="Y350">
        <v>0</v>
      </c>
      <c r="Z350">
        <v>0.15034028116643713</v>
      </c>
      <c r="AA350">
        <v>1.7860958402063528E-2</v>
      </c>
      <c r="AB350">
        <v>7.6122400823531625E-2</v>
      </c>
      <c r="AC350">
        <v>0</v>
      </c>
      <c r="AD350">
        <v>6.4802673075236003E-2</v>
      </c>
      <c r="AE350">
        <v>0</v>
      </c>
      <c r="AF350">
        <v>0.8412139676991689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">
        <v>128</v>
      </c>
      <c r="C351" t="s">
        <v>110</v>
      </c>
      <c r="D351" s="12">
        <v>45585</v>
      </c>
      <c r="G351">
        <v>96.791611804985308</v>
      </c>
      <c r="H351">
        <v>112.1</v>
      </c>
      <c r="K351">
        <v>112.1</v>
      </c>
      <c r="N351">
        <v>89.527195006827611</v>
      </c>
      <c r="R351">
        <v>1.2815815699089588E-2</v>
      </c>
      <c r="S351">
        <v>0</v>
      </c>
      <c r="T351">
        <v>5.2396637861786312E-2</v>
      </c>
      <c r="U351">
        <v>0</v>
      </c>
      <c r="V351">
        <v>3.0750886186973019E-2</v>
      </c>
      <c r="W351">
        <v>0</v>
      </c>
      <c r="X351">
        <v>2.0764156550732604E-2</v>
      </c>
      <c r="Y351">
        <v>0</v>
      </c>
      <c r="Z351">
        <v>0.14506441960656077</v>
      </c>
      <c r="AA351">
        <v>9.356117534121319E-3</v>
      </c>
      <c r="AB351">
        <v>8.1461771339963171E-2</v>
      </c>
      <c r="AC351">
        <v>0</v>
      </c>
      <c r="AD351">
        <v>5.7921218812480565E-2</v>
      </c>
      <c r="AE351">
        <v>0</v>
      </c>
      <c r="AF351">
        <v>0.85126089231343494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">
        <v>128</v>
      </c>
      <c r="C352" t="s">
        <v>115</v>
      </c>
      <c r="D352" s="12"/>
      <c r="G352">
        <v>1355.0825652697931</v>
      </c>
      <c r="H352">
        <v>1538.0499999999995</v>
      </c>
      <c r="K352">
        <v>1538.0499999999995</v>
      </c>
      <c r="N352">
        <v>1187.9201499918349</v>
      </c>
      <c r="R352">
        <v>1.1858781185193177E-2</v>
      </c>
      <c r="S352">
        <v>0</v>
      </c>
      <c r="T352">
        <v>7.636665320112701E-2</v>
      </c>
      <c r="U352">
        <v>0</v>
      </c>
      <c r="V352">
        <v>3.3073345331227064E-2</v>
      </c>
      <c r="W352">
        <v>2.3533542564633072E-4</v>
      </c>
      <c r="X352">
        <v>2.1634506688328364E-2</v>
      </c>
      <c r="Y352">
        <v>0</v>
      </c>
      <c r="Z352">
        <v>0.11904582670823373</v>
      </c>
      <c r="AA352">
        <v>1.571852887164454E-2</v>
      </c>
      <c r="AB352">
        <v>9.2737051661119216E-2</v>
      </c>
      <c r="AC352">
        <v>0</v>
      </c>
      <c r="AD352">
        <v>9.718916092444542E-2</v>
      </c>
      <c r="AE352">
        <v>0</v>
      </c>
      <c r="AF352">
        <v>0.7858427741809767</v>
      </c>
      <c r="AG352">
        <v>0</v>
      </c>
      <c r="AH352">
        <v>0</v>
      </c>
      <c r="AI352">
        <v>0</v>
      </c>
      <c r="AJ352">
        <v>6.6416617191205063E-3</v>
      </c>
      <c r="AK352">
        <v>1.8708226426942592E-3</v>
      </c>
    </row>
    <row r="353" spans="1:37" x14ac:dyDescent="0.25">
      <c r="A353" t="s">
        <v>128</v>
      </c>
      <c r="B353" t="s">
        <v>134</v>
      </c>
      <c r="C353" t="s">
        <v>116</v>
      </c>
      <c r="D353" s="12"/>
      <c r="G353">
        <v>660.84210526315849</v>
      </c>
      <c r="H353">
        <v>717.25000000000011</v>
      </c>
      <c r="K353">
        <v>717.25000000000011</v>
      </c>
      <c r="N353">
        <v>538.72975650317949</v>
      </c>
      <c r="R353">
        <v>4.9979704641665663E-3</v>
      </c>
      <c r="S353">
        <v>0</v>
      </c>
      <c r="T353">
        <v>4.4998623852216854E-2</v>
      </c>
      <c r="U353">
        <v>0</v>
      </c>
      <c r="V353">
        <v>0</v>
      </c>
      <c r="W353">
        <v>0</v>
      </c>
      <c r="X353">
        <v>9.5606199750879976E-3</v>
      </c>
      <c r="Y353">
        <v>0</v>
      </c>
      <c r="Z353">
        <v>0.14092636838508546</v>
      </c>
      <c r="AA353">
        <v>1.9496214005541926E-2</v>
      </c>
      <c r="AB353">
        <v>7.701281330719896E-2</v>
      </c>
      <c r="AC353">
        <v>0</v>
      </c>
      <c r="AD353">
        <v>0.12232871966467636</v>
      </c>
      <c r="AE353">
        <v>0</v>
      </c>
      <c r="AF353">
        <v>0.76754326608406653</v>
      </c>
      <c r="AG353">
        <v>0</v>
      </c>
      <c r="AH353">
        <v>0</v>
      </c>
      <c r="AI353">
        <v>0</v>
      </c>
      <c r="AJ353">
        <v>1.3618986938515439E-2</v>
      </c>
      <c r="AK353">
        <v>0</v>
      </c>
    </row>
    <row r="354" spans="1:37" x14ac:dyDescent="0.25">
      <c r="A354" t="s">
        <v>128</v>
      </c>
      <c r="B354" t="s">
        <v>181</v>
      </c>
      <c r="C354" t="s">
        <v>116</v>
      </c>
      <c r="D354" s="12"/>
      <c r="G354">
        <v>694.240460006636</v>
      </c>
      <c r="H354">
        <v>820.79999999999916</v>
      </c>
      <c r="K354">
        <v>820.79999999999916</v>
      </c>
      <c r="N354">
        <v>649.19039348865545</v>
      </c>
      <c r="R354">
        <v>1.8389533657689413E-2</v>
      </c>
      <c r="S354">
        <v>0</v>
      </c>
      <c r="T354">
        <v>0.10622563686320302</v>
      </c>
      <c r="U354">
        <v>0</v>
      </c>
      <c r="V354">
        <v>6.4555606040397756E-2</v>
      </c>
      <c r="W354">
        <v>4.5934939067169932E-4</v>
      </c>
      <c r="X354">
        <v>3.3127545734497374E-2</v>
      </c>
      <c r="Y354">
        <v>0</v>
      </c>
      <c r="Z354">
        <v>9.8217908920366706E-2</v>
      </c>
      <c r="AA354">
        <v>1.2122579714659016E-2</v>
      </c>
      <c r="AB354">
        <v>0.10770483210042826</v>
      </c>
      <c r="AC354">
        <v>0</v>
      </c>
      <c r="AD354">
        <v>7.325901009007546E-2</v>
      </c>
      <c r="AE354">
        <v>0</v>
      </c>
      <c r="AF354">
        <v>0.80326193389967915</v>
      </c>
      <c r="AG354">
        <v>0</v>
      </c>
      <c r="AH354">
        <v>0</v>
      </c>
      <c r="AI354">
        <v>0</v>
      </c>
      <c r="AJ354">
        <v>0</v>
      </c>
      <c r="AK354">
        <v>3.6516441951578537E-3</v>
      </c>
    </row>
    <row r="355" spans="1:37" x14ac:dyDescent="0.25">
      <c r="A355" t="s">
        <v>128</v>
      </c>
      <c r="B355" t="s">
        <v>134</v>
      </c>
      <c r="C355" t="s">
        <v>117</v>
      </c>
      <c r="D355" s="12">
        <v>45572</v>
      </c>
      <c r="G355">
        <v>47.203007518797001</v>
      </c>
      <c r="H355">
        <v>47.5</v>
      </c>
      <c r="K355">
        <v>47.5</v>
      </c>
      <c r="N355">
        <v>41.887177155075094</v>
      </c>
      <c r="R355">
        <v>7.5243962853355252E-3</v>
      </c>
      <c r="S355">
        <v>0</v>
      </c>
      <c r="T355">
        <v>3.8487386034375418E-2</v>
      </c>
      <c r="U355">
        <v>0</v>
      </c>
      <c r="V355">
        <v>0</v>
      </c>
      <c r="W355">
        <v>0</v>
      </c>
      <c r="X355">
        <v>1.8255951961696666E-2</v>
      </c>
      <c r="Y355">
        <v>0</v>
      </c>
      <c r="Z355">
        <v>6.5645123600735988E-2</v>
      </c>
      <c r="AA355">
        <v>2.774642684552155E-2</v>
      </c>
      <c r="AB355">
        <v>6.7165131278843201E-2</v>
      </c>
      <c r="AC355">
        <v>0</v>
      </c>
      <c r="AD355">
        <v>7.123156586513299E-2</v>
      </c>
      <c r="AE355">
        <v>0</v>
      </c>
      <c r="AF355">
        <v>0.81267178521725592</v>
      </c>
      <c r="AG355">
        <v>0</v>
      </c>
      <c r="AH355">
        <v>0</v>
      </c>
      <c r="AI355">
        <v>0</v>
      </c>
      <c r="AJ355">
        <v>2.1185090793246254E-2</v>
      </c>
      <c r="AK355">
        <v>0</v>
      </c>
    </row>
    <row r="356" spans="1:37" x14ac:dyDescent="0.25">
      <c r="A356" t="s">
        <v>128</v>
      </c>
      <c r="B356" t="s">
        <v>181</v>
      </c>
      <c r="C356" t="s">
        <v>117</v>
      </c>
      <c r="D356" s="12">
        <v>45572</v>
      </c>
      <c r="G356">
        <v>49.588604286188314</v>
      </c>
      <c r="H356">
        <v>58.899999999999991</v>
      </c>
      <c r="K356">
        <v>58.899999999999991</v>
      </c>
      <c r="N356">
        <v>46.208845811051681</v>
      </c>
      <c r="R356">
        <v>4.0259346088604283E-3</v>
      </c>
      <c r="S356">
        <v>0</v>
      </c>
      <c r="T356">
        <v>0.15831461024517121</v>
      </c>
      <c r="U356">
        <v>0</v>
      </c>
      <c r="V356">
        <v>7.8089070512525768E-2</v>
      </c>
      <c r="W356">
        <v>0</v>
      </c>
      <c r="X356">
        <v>3.4748107534684297E-2</v>
      </c>
      <c r="Y356">
        <v>0</v>
      </c>
      <c r="Z356">
        <v>7.1232174836065962E-2</v>
      </c>
      <c r="AA356">
        <v>2.0440075507410661E-2</v>
      </c>
      <c r="AB356">
        <v>0.13417099407329172</v>
      </c>
      <c r="AC356">
        <v>0</v>
      </c>
      <c r="AD356">
        <v>5.0848069406302369E-2</v>
      </c>
      <c r="AE356">
        <v>0</v>
      </c>
      <c r="AF356">
        <v>0.79454086101299515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25">
      <c r="A357" t="s">
        <v>128</v>
      </c>
      <c r="B357" t="s">
        <v>134</v>
      </c>
      <c r="C357" t="s">
        <v>117</v>
      </c>
      <c r="D357" s="12">
        <v>45573</v>
      </c>
      <c r="G357">
        <v>47.203007518796994</v>
      </c>
      <c r="H357">
        <v>53.199999999999996</v>
      </c>
      <c r="K357">
        <v>53.199999999999996</v>
      </c>
      <c r="N357">
        <v>39.907358910513956</v>
      </c>
      <c r="R357">
        <v>1.3499739569278472E-2</v>
      </c>
      <c r="S357">
        <v>0</v>
      </c>
      <c r="T357">
        <v>6.7246924255525697E-2</v>
      </c>
      <c r="U357">
        <v>0</v>
      </c>
      <c r="V357">
        <v>0</v>
      </c>
      <c r="W357">
        <v>0</v>
      </c>
      <c r="X357">
        <v>9.651417113516329E-3</v>
      </c>
      <c r="Y357">
        <v>0</v>
      </c>
      <c r="Z357">
        <v>0.16127464365803659</v>
      </c>
      <c r="AA357">
        <v>6.2918126791971553E-4</v>
      </c>
      <c r="AB357">
        <v>8.9311882765211834E-2</v>
      </c>
      <c r="AC357">
        <v>0</v>
      </c>
      <c r="AD357">
        <v>8.8398252079679981E-2</v>
      </c>
      <c r="AE357">
        <v>0</v>
      </c>
      <c r="AF357">
        <v>0.80047559309394234</v>
      </c>
      <c r="AG357">
        <v>0</v>
      </c>
      <c r="AH357">
        <v>0</v>
      </c>
      <c r="AI357">
        <v>0</v>
      </c>
      <c r="AJ357">
        <v>2.1185090793246257E-2</v>
      </c>
      <c r="AK357">
        <v>0</v>
      </c>
    </row>
    <row r="358" spans="1:37" x14ac:dyDescent="0.25">
      <c r="A358" t="s">
        <v>128</v>
      </c>
      <c r="B358" t="s">
        <v>181</v>
      </c>
      <c r="C358" t="s">
        <v>117</v>
      </c>
      <c r="D358" s="12">
        <v>45573</v>
      </c>
      <c r="G358">
        <v>49.588604286188307</v>
      </c>
      <c r="H358">
        <v>58.899999999999991</v>
      </c>
      <c r="K358">
        <v>58.899999999999991</v>
      </c>
      <c r="N358">
        <v>45.971390374331534</v>
      </c>
      <c r="R358">
        <v>5.2275034286996822E-3</v>
      </c>
      <c r="S358">
        <v>0</v>
      </c>
      <c r="T358">
        <v>0.13858184072696816</v>
      </c>
      <c r="U358">
        <v>0</v>
      </c>
      <c r="V358">
        <v>7.8664212715442702E-2</v>
      </c>
      <c r="W358">
        <v>0</v>
      </c>
      <c r="X358">
        <v>3.479118238834495E-2</v>
      </c>
      <c r="Y358">
        <v>0</v>
      </c>
      <c r="Z358">
        <v>7.5595794163150778E-2</v>
      </c>
      <c r="AA358">
        <v>4.4227536744620002E-2</v>
      </c>
      <c r="AB358">
        <v>9.5632599701541643E-2</v>
      </c>
      <c r="AC358">
        <v>0</v>
      </c>
      <c r="AD358">
        <v>9.5994757823598939E-2</v>
      </c>
      <c r="AE358">
        <v>0</v>
      </c>
      <c r="AF358">
        <v>0.76414510573023953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25">
      <c r="A359" t="s">
        <v>128</v>
      </c>
      <c r="B359" t="s">
        <v>134</v>
      </c>
      <c r="C359" t="s">
        <v>117</v>
      </c>
      <c r="D359" s="12">
        <v>45574</v>
      </c>
      <c r="G359">
        <v>47.203007518796994</v>
      </c>
      <c r="H359">
        <v>52.249999999999993</v>
      </c>
      <c r="K359">
        <v>52.249999999999993</v>
      </c>
      <c r="N359">
        <v>40.340722622543105</v>
      </c>
      <c r="R359">
        <v>4.0532862249220069E-3</v>
      </c>
      <c r="S359">
        <v>0</v>
      </c>
      <c r="T359">
        <v>5.8613222287959406E-2</v>
      </c>
      <c r="U359">
        <v>0</v>
      </c>
      <c r="V359">
        <v>0</v>
      </c>
      <c r="W359">
        <v>0</v>
      </c>
      <c r="X359">
        <v>9.651417113516329E-3</v>
      </c>
      <c r="Y359">
        <v>0</v>
      </c>
      <c r="Z359">
        <v>0.13335477230076481</v>
      </c>
      <c r="AA359">
        <v>0</v>
      </c>
      <c r="AB359">
        <v>7.351332696187747E-2</v>
      </c>
      <c r="AC359">
        <v>0</v>
      </c>
      <c r="AD359">
        <v>8.5569504952821965E-2</v>
      </c>
      <c r="AE359">
        <v>0</v>
      </c>
      <c r="AF359">
        <v>0.81973207729205422</v>
      </c>
      <c r="AG359">
        <v>0</v>
      </c>
      <c r="AH359">
        <v>0</v>
      </c>
      <c r="AI359">
        <v>0</v>
      </c>
      <c r="AJ359">
        <v>2.1185090793246257E-2</v>
      </c>
      <c r="AK359">
        <v>0</v>
      </c>
    </row>
    <row r="360" spans="1:37" x14ac:dyDescent="0.25">
      <c r="A360" t="s">
        <v>128</v>
      </c>
      <c r="B360" t="s">
        <v>181</v>
      </c>
      <c r="C360" t="s">
        <v>117</v>
      </c>
      <c r="D360" s="12">
        <v>45574</v>
      </c>
      <c r="G360">
        <v>49.588604286188314</v>
      </c>
      <c r="H360">
        <v>56.05</v>
      </c>
      <c r="K360">
        <v>56.05</v>
      </c>
      <c r="N360">
        <v>45.954656862745097</v>
      </c>
      <c r="R360">
        <v>6.4745734833681651E-2</v>
      </c>
      <c r="S360">
        <v>0</v>
      </c>
      <c r="T360">
        <v>0.10493639517172587</v>
      </c>
      <c r="U360">
        <v>0</v>
      </c>
      <c r="V360">
        <v>4.3424254264130581E-2</v>
      </c>
      <c r="W360">
        <v>6.4308914694037869E-3</v>
      </c>
      <c r="X360">
        <v>2.8992947342149789E-2</v>
      </c>
      <c r="Y360">
        <v>0</v>
      </c>
      <c r="Z360">
        <v>8.9451228117445533E-2</v>
      </c>
      <c r="AA360">
        <v>5.0909071555069641E-4</v>
      </c>
      <c r="AB360">
        <v>0.13599572257801487</v>
      </c>
      <c r="AC360">
        <v>0</v>
      </c>
      <c r="AD360">
        <v>7.4449119568967978E-2</v>
      </c>
      <c r="AE360">
        <v>0</v>
      </c>
      <c r="AF360">
        <v>0.73792304840525647</v>
      </c>
      <c r="AG360">
        <v>0</v>
      </c>
      <c r="AH360">
        <v>0</v>
      </c>
      <c r="AI360">
        <v>0</v>
      </c>
      <c r="AJ360">
        <v>0</v>
      </c>
      <c r="AK360">
        <v>5.1123018732209924E-2</v>
      </c>
    </row>
    <row r="361" spans="1:37" x14ac:dyDescent="0.25">
      <c r="A361" t="s">
        <v>128</v>
      </c>
      <c r="B361" t="s">
        <v>134</v>
      </c>
      <c r="C361" t="s">
        <v>117</v>
      </c>
      <c r="D361" s="12">
        <v>45575</v>
      </c>
      <c r="G361">
        <v>47.203007518797001</v>
      </c>
      <c r="H361">
        <v>50.349999999999994</v>
      </c>
      <c r="K361">
        <v>50.349999999999994</v>
      </c>
      <c r="N361">
        <v>38.079942427328191</v>
      </c>
      <c r="R361">
        <v>6.9428447733640829E-3</v>
      </c>
      <c r="S361">
        <v>0</v>
      </c>
      <c r="T361">
        <v>2.7811784159347132E-2</v>
      </c>
      <c r="U361">
        <v>0</v>
      </c>
      <c r="V361">
        <v>0</v>
      </c>
      <c r="W361">
        <v>0</v>
      </c>
      <c r="X361">
        <v>1.8255951961696666E-2</v>
      </c>
      <c r="Y361">
        <v>0</v>
      </c>
      <c r="Z361">
        <v>0.14906075490582241</v>
      </c>
      <c r="AA361">
        <v>2.2115864806666819E-2</v>
      </c>
      <c r="AB361">
        <v>8.5158213987004155E-2</v>
      </c>
      <c r="AC361">
        <v>0</v>
      </c>
      <c r="AD361">
        <v>0.13331354502351866</v>
      </c>
      <c r="AE361">
        <v>0</v>
      </c>
      <c r="AF361">
        <v>0.73822728538956395</v>
      </c>
      <c r="AG361">
        <v>0</v>
      </c>
      <c r="AH361">
        <v>0</v>
      </c>
      <c r="AI361">
        <v>0</v>
      </c>
      <c r="AJ361">
        <v>2.1185090793246254E-2</v>
      </c>
      <c r="AK361">
        <v>0</v>
      </c>
    </row>
    <row r="362" spans="1:37" x14ac:dyDescent="0.25">
      <c r="A362" t="s">
        <v>128</v>
      </c>
      <c r="B362" t="s">
        <v>181</v>
      </c>
      <c r="C362" t="s">
        <v>117</v>
      </c>
      <c r="D362" s="12">
        <v>45575</v>
      </c>
      <c r="G362">
        <v>49.588604286188314</v>
      </c>
      <c r="H362">
        <v>57</v>
      </c>
      <c r="K362">
        <v>57</v>
      </c>
      <c r="N362">
        <v>44.284425133689837</v>
      </c>
      <c r="R362">
        <v>7.9441516777901207E-4</v>
      </c>
      <c r="S362">
        <v>0</v>
      </c>
      <c r="T362">
        <v>5.7807003568412778E-2</v>
      </c>
      <c r="U362">
        <v>0</v>
      </c>
      <c r="V362">
        <v>4.580749976746764E-2</v>
      </c>
      <c r="W362">
        <v>0</v>
      </c>
      <c r="X362">
        <v>2.6950293862102622E-2</v>
      </c>
      <c r="Y362">
        <v>0</v>
      </c>
      <c r="Z362">
        <v>0.13487336150344303</v>
      </c>
      <c r="AA362">
        <v>1.8893421365821235E-2</v>
      </c>
      <c r="AB362">
        <v>9.7087098418432202E-2</v>
      </c>
      <c r="AC362">
        <v>0</v>
      </c>
      <c r="AD362">
        <v>8.3428781344260586E-2</v>
      </c>
      <c r="AE362">
        <v>0</v>
      </c>
      <c r="AF362">
        <v>0.80059069887148571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25">
      <c r="A363" t="s">
        <v>128</v>
      </c>
      <c r="B363" t="s">
        <v>134</v>
      </c>
      <c r="C363" t="s">
        <v>117</v>
      </c>
      <c r="D363" s="12">
        <v>45576</v>
      </c>
      <c r="G363">
        <v>47.203007518797001</v>
      </c>
      <c r="H363">
        <v>50.35</v>
      </c>
      <c r="K363">
        <v>50.35</v>
      </c>
      <c r="N363">
        <v>34.610989300132026</v>
      </c>
      <c r="R363">
        <v>3.2294215829624232E-3</v>
      </c>
      <c r="S363">
        <v>0</v>
      </c>
      <c r="T363">
        <v>2.8220619244830786E-2</v>
      </c>
      <c r="U363">
        <v>0</v>
      </c>
      <c r="V363">
        <v>0</v>
      </c>
      <c r="W363">
        <v>0</v>
      </c>
      <c r="X363">
        <v>1.0022394469483276E-2</v>
      </c>
      <c r="Y363">
        <v>0</v>
      </c>
      <c r="Z363">
        <v>0.13306154187663838</v>
      </c>
      <c r="AA363">
        <v>1.8896207734447685E-2</v>
      </c>
      <c r="AB363">
        <v>6.455393562330955E-2</v>
      </c>
      <c r="AC363">
        <v>0</v>
      </c>
      <c r="AD363">
        <v>0.21546092966176433</v>
      </c>
      <c r="AE363">
        <v>0</v>
      </c>
      <c r="AF363">
        <v>0.67990383618723194</v>
      </c>
      <c r="AG363">
        <v>0</v>
      </c>
      <c r="AH363">
        <v>0</v>
      </c>
      <c r="AI363">
        <v>0</v>
      </c>
      <c r="AJ363">
        <v>2.1185090793246254E-2</v>
      </c>
      <c r="AK363">
        <v>0</v>
      </c>
    </row>
    <row r="364" spans="1:37" x14ac:dyDescent="0.25">
      <c r="A364" t="s">
        <v>128</v>
      </c>
      <c r="B364" t="s">
        <v>181</v>
      </c>
      <c r="C364" t="s">
        <v>117</v>
      </c>
      <c r="D364" s="12">
        <v>45576</v>
      </c>
      <c r="G364">
        <v>49.588604286188307</v>
      </c>
      <c r="H364">
        <v>59.849999999999994</v>
      </c>
      <c r="K364">
        <v>59.849999999999994</v>
      </c>
      <c r="N364">
        <v>45.482454286700005</v>
      </c>
      <c r="R364">
        <v>4.5472180418119788E-3</v>
      </c>
      <c r="S364">
        <v>0</v>
      </c>
      <c r="T364">
        <v>0.15597838564818081</v>
      </c>
      <c r="U364">
        <v>0</v>
      </c>
      <c r="V364">
        <v>8.1739508894703009E-2</v>
      </c>
      <c r="W364">
        <v>0</v>
      </c>
      <c r="X364">
        <v>3.1261396317082038E-2</v>
      </c>
      <c r="Y364">
        <v>0</v>
      </c>
      <c r="Z364">
        <v>9.3613670611917082E-2</v>
      </c>
      <c r="AA364">
        <v>2.0988197108007658E-2</v>
      </c>
      <c r="AB364">
        <v>0.13467424350084412</v>
      </c>
      <c r="AC364">
        <v>0</v>
      </c>
      <c r="AD364">
        <v>6.567818647997356E-2</v>
      </c>
      <c r="AE364">
        <v>0</v>
      </c>
      <c r="AF364">
        <v>0.77865937291117471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25">
      <c r="A365" t="s">
        <v>128</v>
      </c>
      <c r="B365" t="s">
        <v>134</v>
      </c>
      <c r="C365" t="s">
        <v>117</v>
      </c>
      <c r="D365" s="12">
        <v>45577</v>
      </c>
      <c r="G365">
        <v>47.203007518797001</v>
      </c>
      <c r="H365">
        <v>57.949999999999996</v>
      </c>
      <c r="K365">
        <v>57.949999999999996</v>
      </c>
      <c r="N365">
        <v>38.125638942631369</v>
      </c>
      <c r="R365">
        <v>2.3983200315503377E-3</v>
      </c>
      <c r="S365">
        <v>0</v>
      </c>
      <c r="T365">
        <v>0.15413082722735466</v>
      </c>
      <c r="U365">
        <v>0</v>
      </c>
      <c r="V365">
        <v>0</v>
      </c>
      <c r="W365">
        <v>0</v>
      </c>
      <c r="X365">
        <v>9.0698656015448364E-3</v>
      </c>
      <c r="Y365">
        <v>0</v>
      </c>
      <c r="Z365">
        <v>0.17343783324097398</v>
      </c>
      <c r="AA365">
        <v>2.5303220342305279E-2</v>
      </c>
      <c r="AB365">
        <v>8.3659294258947747E-2</v>
      </c>
      <c r="AC365">
        <v>0</v>
      </c>
      <c r="AD365">
        <v>0.12011376882397669</v>
      </c>
      <c r="AE365">
        <v>0</v>
      </c>
      <c r="AF365">
        <v>0.77092371657477032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25">
      <c r="A366" t="s">
        <v>128</v>
      </c>
      <c r="B366" t="s">
        <v>181</v>
      </c>
      <c r="C366" t="s">
        <v>117</v>
      </c>
      <c r="D366" s="12">
        <v>45577</v>
      </c>
      <c r="G366">
        <v>49.5886042861883</v>
      </c>
      <c r="H366">
        <v>60.79999999999999</v>
      </c>
      <c r="K366">
        <v>60.79999999999999</v>
      </c>
      <c r="N366">
        <v>48.583556149732608</v>
      </c>
      <c r="R366">
        <v>8.524685838859394E-3</v>
      </c>
      <c r="S366">
        <v>0</v>
      </c>
      <c r="T366">
        <v>7.1446983474977688E-2</v>
      </c>
      <c r="U366">
        <v>0</v>
      </c>
      <c r="V366">
        <v>7.5308617425299235E-2</v>
      </c>
      <c r="W366">
        <v>0</v>
      </c>
      <c r="X366">
        <v>3.4791182388344957E-2</v>
      </c>
      <c r="Y366">
        <v>0</v>
      </c>
      <c r="Z366">
        <v>0.12220663004337659</v>
      </c>
      <c r="AA366">
        <v>2.5701667192849477E-4</v>
      </c>
      <c r="AB366">
        <v>7.7408248481752553E-2</v>
      </c>
      <c r="AC366">
        <v>0</v>
      </c>
      <c r="AD366">
        <v>6.1483960994057528E-2</v>
      </c>
      <c r="AE366">
        <v>0</v>
      </c>
      <c r="AF366">
        <v>0.8608507738522615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">
        <v>128</v>
      </c>
      <c r="B367" t="s">
        <v>134</v>
      </c>
      <c r="C367" t="s">
        <v>117</v>
      </c>
      <c r="D367" s="12">
        <v>45578</v>
      </c>
      <c r="G367">
        <v>47.203007518797001</v>
      </c>
      <c r="H367">
        <v>48.45</v>
      </c>
      <c r="K367">
        <v>48.45</v>
      </c>
      <c r="N367">
        <v>35.725955268396817</v>
      </c>
      <c r="R367">
        <v>2.9683008057537234E-3</v>
      </c>
      <c r="S367">
        <v>0</v>
      </c>
      <c r="T367">
        <v>1.8900468757110975E-2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0.10284477919871345</v>
      </c>
      <c r="AA367">
        <v>3.4878050592978327E-2</v>
      </c>
      <c r="AB367">
        <v>3.926445763681885E-2</v>
      </c>
      <c r="AC367">
        <v>0</v>
      </c>
      <c r="AD367">
        <v>0.20684623713249384</v>
      </c>
      <c r="AE367">
        <v>0</v>
      </c>
      <c r="AF367">
        <v>0.69782616384446261</v>
      </c>
      <c r="AG367">
        <v>0</v>
      </c>
      <c r="AH367">
        <v>0</v>
      </c>
      <c r="AI367">
        <v>0</v>
      </c>
      <c r="AJ367">
        <v>2.1185090793246254E-2</v>
      </c>
      <c r="AK367">
        <v>0</v>
      </c>
    </row>
    <row r="368" spans="1:37" x14ac:dyDescent="0.25">
      <c r="A368" t="s">
        <v>128</v>
      </c>
      <c r="B368" t="s">
        <v>181</v>
      </c>
      <c r="C368" t="s">
        <v>117</v>
      </c>
      <c r="D368" s="12">
        <v>45578</v>
      </c>
      <c r="G368">
        <v>49.588604286188314</v>
      </c>
      <c r="H368">
        <v>56.999999999999986</v>
      </c>
      <c r="K368">
        <v>56.999999999999986</v>
      </c>
      <c r="N368">
        <v>49.553966131907309</v>
      </c>
      <c r="R368">
        <v>4.2862472672384411E-2</v>
      </c>
      <c r="S368">
        <v>0</v>
      </c>
      <c r="T368">
        <v>3.4443828677187795E-2</v>
      </c>
      <c r="U368">
        <v>0</v>
      </c>
      <c r="V368">
        <v>6.0022416063397616E-2</v>
      </c>
      <c r="W368">
        <v>0</v>
      </c>
      <c r="X368">
        <v>3.479118238834495E-2</v>
      </c>
      <c r="Y368">
        <v>0</v>
      </c>
      <c r="Z368">
        <v>8.2063172779233098E-2</v>
      </c>
      <c r="AA368">
        <v>2.5701667192849466E-4</v>
      </c>
      <c r="AB368">
        <v>6.1605944319062377E-2</v>
      </c>
      <c r="AC368">
        <v>0</v>
      </c>
      <c r="AD368">
        <v>7.6768637174122384E-2</v>
      </c>
      <c r="AE368">
        <v>0</v>
      </c>
      <c r="AF368">
        <v>0.86136840183488661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25">
      <c r="A369" t="s">
        <v>128</v>
      </c>
      <c r="B369" t="s">
        <v>134</v>
      </c>
      <c r="C369" t="s">
        <v>117</v>
      </c>
      <c r="D369" s="12">
        <v>45579</v>
      </c>
      <c r="G369">
        <v>47.203007518797001</v>
      </c>
      <c r="H369">
        <v>53.2</v>
      </c>
      <c r="K369">
        <v>53.2</v>
      </c>
      <c r="N369">
        <v>36.262954450623916</v>
      </c>
      <c r="R369">
        <v>4.3865743910719212E-3</v>
      </c>
      <c r="S369">
        <v>0</v>
      </c>
      <c r="T369">
        <v>4.1928351461642241E-2</v>
      </c>
      <c r="U369">
        <v>0</v>
      </c>
      <c r="V369">
        <v>0</v>
      </c>
      <c r="W369">
        <v>0</v>
      </c>
      <c r="X369">
        <v>7.0700405042551963E-3</v>
      </c>
      <c r="Y369">
        <v>0</v>
      </c>
      <c r="Z369">
        <v>0.15262101973634307</v>
      </c>
      <c r="AA369">
        <v>1.832030501998776E-3</v>
      </c>
      <c r="AB369">
        <v>5.1555460206294722E-2</v>
      </c>
      <c r="AC369">
        <v>0</v>
      </c>
      <c r="AD369">
        <v>0.19166717222121124</v>
      </c>
      <c r="AE369">
        <v>0</v>
      </c>
      <c r="AF369">
        <v>0.73376024627724878</v>
      </c>
      <c r="AG369">
        <v>0</v>
      </c>
      <c r="AH369">
        <v>0</v>
      </c>
      <c r="AI369">
        <v>0</v>
      </c>
      <c r="AJ369">
        <v>2.1185090793246254E-2</v>
      </c>
      <c r="AK369">
        <v>0</v>
      </c>
    </row>
    <row r="370" spans="1:37" x14ac:dyDescent="0.25">
      <c r="A370" t="s">
        <v>128</v>
      </c>
      <c r="B370" t="s">
        <v>181</v>
      </c>
      <c r="C370" t="s">
        <v>117</v>
      </c>
      <c r="D370" s="12">
        <v>45579</v>
      </c>
      <c r="G370">
        <v>49.588604286188314</v>
      </c>
      <c r="H370">
        <v>57.949999999999996</v>
      </c>
      <c r="K370">
        <v>57.949999999999996</v>
      </c>
      <c r="N370">
        <v>43.168284714611495</v>
      </c>
      <c r="R370">
        <v>5.6877387392399237E-4</v>
      </c>
      <c r="S370">
        <v>0</v>
      </c>
      <c r="T370">
        <v>0.19019897340633993</v>
      </c>
      <c r="U370">
        <v>0</v>
      </c>
      <c r="V370">
        <v>6.5362334666643346E-2</v>
      </c>
      <c r="W370">
        <v>0</v>
      </c>
      <c r="X370">
        <v>3.3288250785278549E-2</v>
      </c>
      <c r="Y370">
        <v>0</v>
      </c>
      <c r="Z370">
        <v>7.2692031585471703E-2</v>
      </c>
      <c r="AA370">
        <v>2.2149393810102273E-2</v>
      </c>
      <c r="AB370">
        <v>0.17077693040117256</v>
      </c>
      <c r="AC370">
        <v>0</v>
      </c>
      <c r="AD370">
        <v>5.7914102184996229E-2</v>
      </c>
      <c r="AE370">
        <v>0</v>
      </c>
      <c r="AF370">
        <v>0.74915957360372887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">
        <v>128</v>
      </c>
      <c r="B371" t="s">
        <v>134</v>
      </c>
      <c r="C371" t="s">
        <v>117</v>
      </c>
      <c r="D371" s="12">
        <v>45580</v>
      </c>
      <c r="G371">
        <v>47.203007518797001</v>
      </c>
      <c r="H371">
        <v>51.3</v>
      </c>
      <c r="K371">
        <v>51.3</v>
      </c>
      <c r="N371">
        <v>37.381312058284408</v>
      </c>
      <c r="R371">
        <v>6.1152406387740086E-3</v>
      </c>
      <c r="S371">
        <v>0</v>
      </c>
      <c r="T371">
        <v>2.8220619244830786E-2</v>
      </c>
      <c r="U371">
        <v>0</v>
      </c>
      <c r="V371">
        <v>0</v>
      </c>
      <c r="W371">
        <v>0</v>
      </c>
      <c r="X371">
        <v>9.6514171135163272E-3</v>
      </c>
      <c r="Y371">
        <v>0</v>
      </c>
      <c r="Z371">
        <v>0.16004927616156356</v>
      </c>
      <c r="AA371">
        <v>5.7417220325040302E-3</v>
      </c>
      <c r="AB371">
        <v>0.10538443279387376</v>
      </c>
      <c r="AC371">
        <v>0</v>
      </c>
      <c r="AD371">
        <v>0.1184557350329903</v>
      </c>
      <c r="AE371">
        <v>0</v>
      </c>
      <c r="AF371">
        <v>0.77041811014063188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25">
      <c r="A372" t="s">
        <v>128</v>
      </c>
      <c r="B372" t="s">
        <v>181</v>
      </c>
      <c r="C372" t="s">
        <v>117</v>
      </c>
      <c r="D372" s="12">
        <v>45580</v>
      </c>
      <c r="G372">
        <v>49.588604286188314</v>
      </c>
      <c r="H372">
        <v>58.899999999999991</v>
      </c>
      <c r="K372">
        <v>58.899999999999991</v>
      </c>
      <c r="N372">
        <v>42.872397105922936</v>
      </c>
      <c r="R372">
        <v>2.3787522048767363E-3</v>
      </c>
      <c r="S372">
        <v>0</v>
      </c>
      <c r="T372">
        <v>8.2423172566296249E-2</v>
      </c>
      <c r="U372">
        <v>0</v>
      </c>
      <c r="V372">
        <v>7.8664212715442688E-2</v>
      </c>
      <c r="W372">
        <v>0</v>
      </c>
      <c r="X372">
        <v>3.479118238834495E-2</v>
      </c>
      <c r="Y372">
        <v>0</v>
      </c>
      <c r="Z372">
        <v>9.0083884540654163E-2</v>
      </c>
      <c r="AA372">
        <v>3.9720758388950853E-4</v>
      </c>
      <c r="AB372">
        <v>9.779235107910364E-2</v>
      </c>
      <c r="AC372">
        <v>0</v>
      </c>
      <c r="AD372">
        <v>0.15348031636826973</v>
      </c>
      <c r="AE372">
        <v>0</v>
      </c>
      <c r="AF372">
        <v>0.74833012496873719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25">
      <c r="A373" t="s">
        <v>128</v>
      </c>
      <c r="B373" t="s">
        <v>134</v>
      </c>
      <c r="C373" t="s">
        <v>117</v>
      </c>
      <c r="D373" s="12">
        <v>45581</v>
      </c>
      <c r="G373">
        <v>47.203007518796994</v>
      </c>
      <c r="H373">
        <v>51.3</v>
      </c>
      <c r="K373">
        <v>51.3</v>
      </c>
      <c r="N373">
        <v>34.334908093934459</v>
      </c>
      <c r="R373">
        <v>4.3229401921043385E-3</v>
      </c>
      <c r="S373">
        <v>0</v>
      </c>
      <c r="T373">
        <v>2.7811784159347135E-2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0.17380762754289347</v>
      </c>
      <c r="AA373">
        <v>6.8835508325417131E-3</v>
      </c>
      <c r="AB373">
        <v>0.10794070317616593</v>
      </c>
      <c r="AC373">
        <v>0</v>
      </c>
      <c r="AD373">
        <v>0.1689940916681712</v>
      </c>
      <c r="AE373">
        <v>0</v>
      </c>
      <c r="AF373">
        <v>0.7161816543231212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">
        <v>128</v>
      </c>
      <c r="B374" t="s">
        <v>181</v>
      </c>
      <c r="C374" t="s">
        <v>117</v>
      </c>
      <c r="D374" s="12">
        <v>45581</v>
      </c>
      <c r="G374">
        <v>49.588604286188307</v>
      </c>
      <c r="H374">
        <v>57.95</v>
      </c>
      <c r="K374">
        <v>57.95</v>
      </c>
      <c r="N374">
        <v>43.867601155294651</v>
      </c>
      <c r="R374">
        <v>2.5626368970231714E-2</v>
      </c>
      <c r="S374">
        <v>0</v>
      </c>
      <c r="T374">
        <v>0.12409402248701208</v>
      </c>
      <c r="U374">
        <v>0</v>
      </c>
      <c r="V374">
        <v>4.3424254264130588E-2</v>
      </c>
      <c r="W374">
        <v>0</v>
      </c>
      <c r="X374">
        <v>2.8317216065280509E-2</v>
      </c>
      <c r="Y374">
        <v>0</v>
      </c>
      <c r="Z374">
        <v>9.0126959394314823E-2</v>
      </c>
      <c r="AA374">
        <v>4.1518077773066364E-4</v>
      </c>
      <c r="AB374">
        <v>0.11693200520054871</v>
      </c>
      <c r="AC374">
        <v>0</v>
      </c>
      <c r="AD374">
        <v>9.580514552145869E-2</v>
      </c>
      <c r="AE374">
        <v>0</v>
      </c>
      <c r="AF374">
        <v>0.786847668500262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25">
      <c r="A375" t="s">
        <v>128</v>
      </c>
      <c r="B375" t="s">
        <v>134</v>
      </c>
      <c r="C375" t="s">
        <v>117</v>
      </c>
      <c r="D375" s="12">
        <v>45582</v>
      </c>
      <c r="G375">
        <v>47.203007518797001</v>
      </c>
      <c r="H375">
        <v>49.400000000000006</v>
      </c>
      <c r="K375">
        <v>49.400000000000006</v>
      </c>
      <c r="N375">
        <v>41.854593476675795</v>
      </c>
      <c r="R375">
        <v>5.5091098752497571E-3</v>
      </c>
      <c r="S375">
        <v>0</v>
      </c>
      <c r="T375">
        <v>4.4496654985664214E-2</v>
      </c>
      <c r="U375">
        <v>0</v>
      </c>
      <c r="V375">
        <v>0</v>
      </c>
      <c r="W375">
        <v>0</v>
      </c>
      <c r="X375">
        <v>2.013517881917655E-2</v>
      </c>
      <c r="Y375">
        <v>0</v>
      </c>
      <c r="Z375">
        <v>0.13698757789739968</v>
      </c>
      <c r="AA375">
        <v>6.0090752946093062E-2</v>
      </c>
      <c r="AB375">
        <v>7.3800082776536186E-2</v>
      </c>
      <c r="AC375">
        <v>0</v>
      </c>
      <c r="AD375">
        <v>6.5150843000100919E-2</v>
      </c>
      <c r="AE375">
        <v>0</v>
      </c>
      <c r="AF375">
        <v>0.77977323048402369</v>
      </c>
      <c r="AG375">
        <v>0</v>
      </c>
      <c r="AH375">
        <v>0</v>
      </c>
      <c r="AI375">
        <v>0</v>
      </c>
      <c r="AJ375">
        <v>2.1185090793246254E-2</v>
      </c>
      <c r="AK375">
        <v>0</v>
      </c>
    </row>
    <row r="376" spans="1:37" x14ac:dyDescent="0.25">
      <c r="A376" t="s">
        <v>128</v>
      </c>
      <c r="B376" t="s">
        <v>181</v>
      </c>
      <c r="C376" t="s">
        <v>117</v>
      </c>
      <c r="D376" s="12">
        <v>45582</v>
      </c>
      <c r="G376">
        <v>49.588604286188307</v>
      </c>
      <c r="H376">
        <v>54.149999999999991</v>
      </c>
      <c r="K376">
        <v>54.149999999999991</v>
      </c>
      <c r="N376">
        <v>47.317481538069764</v>
      </c>
      <c r="R376">
        <v>4.2287330469467484E-2</v>
      </c>
      <c r="S376">
        <v>0</v>
      </c>
      <c r="T376">
        <v>6.0375027406911322E-2</v>
      </c>
      <c r="U376">
        <v>0</v>
      </c>
      <c r="V376">
        <v>5.4563058434147063E-2</v>
      </c>
      <c r="W376">
        <v>0</v>
      </c>
      <c r="X376">
        <v>3.5423838811553574E-2</v>
      </c>
      <c r="Y376">
        <v>0</v>
      </c>
      <c r="Z376">
        <v>7.6760979418241629E-2</v>
      </c>
      <c r="AA376">
        <v>2.0043705771655103E-2</v>
      </c>
      <c r="AB376">
        <v>0.11509444132788457</v>
      </c>
      <c r="AC376">
        <v>0</v>
      </c>
      <c r="AD376">
        <v>6.2979073961729484E-2</v>
      </c>
      <c r="AE376">
        <v>0</v>
      </c>
      <c r="AF376">
        <v>0.80188277893873094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">
        <v>128</v>
      </c>
      <c r="B377" t="s">
        <v>134</v>
      </c>
      <c r="C377" t="s">
        <v>117</v>
      </c>
      <c r="D377" s="12">
        <v>45583</v>
      </c>
      <c r="G377">
        <v>47.203007518797001</v>
      </c>
      <c r="H377">
        <v>48.45</v>
      </c>
      <c r="K377">
        <v>48.45</v>
      </c>
      <c r="N377">
        <v>40.140349466351083</v>
      </c>
      <c r="R377">
        <v>6.0531113222116453E-3</v>
      </c>
      <c r="S377">
        <v>0</v>
      </c>
      <c r="T377">
        <v>4.6538175639800165E-3</v>
      </c>
      <c r="U377">
        <v>0</v>
      </c>
      <c r="V377">
        <v>0</v>
      </c>
      <c r="W377">
        <v>0</v>
      </c>
      <c r="X377">
        <v>7.0700405042551963E-3</v>
      </c>
      <c r="Y377">
        <v>0</v>
      </c>
      <c r="Z377">
        <v>0.12581994569092361</v>
      </c>
      <c r="AA377">
        <v>1.441376805580467E-2</v>
      </c>
      <c r="AB377">
        <v>7.5527295977326894E-2</v>
      </c>
      <c r="AC377">
        <v>0</v>
      </c>
      <c r="AD377">
        <v>8.7218907931858422E-2</v>
      </c>
      <c r="AE377">
        <v>0</v>
      </c>
      <c r="AF377">
        <v>0.80165493724176362</v>
      </c>
      <c r="AG377">
        <v>0</v>
      </c>
      <c r="AH377">
        <v>0</v>
      </c>
      <c r="AI377">
        <v>0</v>
      </c>
      <c r="AJ377">
        <v>2.1185090793246254E-2</v>
      </c>
      <c r="AK377">
        <v>0</v>
      </c>
    </row>
    <row r="378" spans="1:37" x14ac:dyDescent="0.25">
      <c r="A378" t="s">
        <v>128</v>
      </c>
      <c r="B378" t="s">
        <v>181</v>
      </c>
      <c r="C378" t="s">
        <v>117</v>
      </c>
      <c r="D378" s="12">
        <v>45583</v>
      </c>
      <c r="G378">
        <v>49.588604286188314</v>
      </c>
      <c r="H378">
        <v>60.8</v>
      </c>
      <c r="K378">
        <v>60.8</v>
      </c>
      <c r="N378">
        <v>46.754656862745087</v>
      </c>
      <c r="R378">
        <v>5.816125526997484E-3</v>
      </c>
      <c r="S378">
        <v>0</v>
      </c>
      <c r="T378">
        <v>0.15905368182744101</v>
      </c>
      <c r="U378">
        <v>0</v>
      </c>
      <c r="V378">
        <v>7.8664212715442688E-2</v>
      </c>
      <c r="W378">
        <v>0</v>
      </c>
      <c r="X378">
        <v>3.479118238834495E-2</v>
      </c>
      <c r="Y378">
        <v>0</v>
      </c>
      <c r="Z378">
        <v>9.0083884540654163E-2</v>
      </c>
      <c r="AA378">
        <v>1.9811851571104218E-2</v>
      </c>
      <c r="AB378">
        <v>0.11669296172246134</v>
      </c>
      <c r="AC378">
        <v>0</v>
      </c>
      <c r="AD378">
        <v>5.972772582352473E-2</v>
      </c>
      <c r="AE378">
        <v>0</v>
      </c>
      <c r="AF378">
        <v>0.80376746088290973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25">
      <c r="A379" t="s">
        <v>128</v>
      </c>
      <c r="B379" t="s">
        <v>134</v>
      </c>
      <c r="C379" t="s">
        <v>117</v>
      </c>
      <c r="D379" s="12">
        <v>45584</v>
      </c>
      <c r="G379">
        <v>47.203007518797001</v>
      </c>
      <c r="H379">
        <v>54.150000000000006</v>
      </c>
      <c r="K379">
        <v>54.150000000000006</v>
      </c>
      <c r="N379">
        <v>40.135998004788711</v>
      </c>
      <c r="R379">
        <v>2.9683008057537234E-3</v>
      </c>
      <c r="S379">
        <v>0</v>
      </c>
      <c r="T379">
        <v>8.13634915578208E-2</v>
      </c>
      <c r="U379">
        <v>0</v>
      </c>
      <c r="V379">
        <v>0</v>
      </c>
      <c r="W379">
        <v>0</v>
      </c>
      <c r="X379">
        <v>9.6514171135163272E-3</v>
      </c>
      <c r="Y379">
        <v>0</v>
      </c>
      <c r="Z379">
        <v>0.16728391260932535</v>
      </c>
      <c r="AA379">
        <v>3.5937305132640651E-2</v>
      </c>
      <c r="AB379">
        <v>7.5188849693737167E-2</v>
      </c>
      <c r="AC379">
        <v>0</v>
      </c>
      <c r="AD379">
        <v>8.7146106416533586E-2</v>
      </c>
      <c r="AE379">
        <v>0</v>
      </c>
      <c r="AF379">
        <v>0.80172773875708858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25">
      <c r="A380" t="s">
        <v>128</v>
      </c>
      <c r="B380" t="s">
        <v>181</v>
      </c>
      <c r="C380" t="s">
        <v>117</v>
      </c>
      <c r="D380" s="12">
        <v>45584</v>
      </c>
      <c r="G380">
        <v>49.588604286188314</v>
      </c>
      <c r="H380">
        <v>59.849999999999987</v>
      </c>
      <c r="K380">
        <v>59.849999999999987</v>
      </c>
      <c r="N380">
        <v>49.585338680926917</v>
      </c>
      <c r="R380">
        <v>2.5033064381959486E-2</v>
      </c>
      <c r="S380">
        <v>0</v>
      </c>
      <c r="T380">
        <v>5.4937761231228309E-2</v>
      </c>
      <c r="U380">
        <v>0</v>
      </c>
      <c r="V380">
        <v>6.0022416063397616E-2</v>
      </c>
      <c r="W380">
        <v>0</v>
      </c>
      <c r="X380">
        <v>3.5423838811553574E-2</v>
      </c>
      <c r="Y380">
        <v>0</v>
      </c>
      <c r="Z380">
        <v>0.13421176991053271</v>
      </c>
      <c r="AA380">
        <v>6.5422425581800319E-4</v>
      </c>
      <c r="AB380">
        <v>7.7011040897863009E-2</v>
      </c>
      <c r="AC380">
        <v>0</v>
      </c>
      <c r="AD380">
        <v>4.353413230489684E-2</v>
      </c>
      <c r="AE380">
        <v>0</v>
      </c>
      <c r="AF380">
        <v>0.878800602541422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25">
      <c r="A381" t="s">
        <v>128</v>
      </c>
      <c r="B381" t="s">
        <v>134</v>
      </c>
      <c r="C381" t="s">
        <v>117</v>
      </c>
      <c r="D381" s="12">
        <v>45585</v>
      </c>
      <c r="G381">
        <v>47.203007518796994</v>
      </c>
      <c r="H381">
        <v>49.399999999999991</v>
      </c>
      <c r="K381">
        <v>49.399999999999991</v>
      </c>
      <c r="N381">
        <v>39.941856325900709</v>
      </c>
      <c r="R381">
        <v>0</v>
      </c>
      <c r="S381">
        <v>0</v>
      </c>
      <c r="T381">
        <v>8.0947829912469231E-3</v>
      </c>
      <c r="U381">
        <v>0</v>
      </c>
      <c r="V381">
        <v>0</v>
      </c>
      <c r="W381">
        <v>0</v>
      </c>
      <c r="X381">
        <v>5.3635873750583355E-3</v>
      </c>
      <c r="Y381">
        <v>0</v>
      </c>
      <c r="Z381">
        <v>0.13772034897106328</v>
      </c>
      <c r="AA381">
        <v>1.847891498616494E-2</v>
      </c>
      <c r="AB381">
        <v>8.6156319164838555E-2</v>
      </c>
      <c r="AC381">
        <v>0</v>
      </c>
      <c r="AD381">
        <v>7.3035415495215861E-2</v>
      </c>
      <c r="AE381">
        <v>0</v>
      </c>
      <c r="AF381">
        <v>0.82232935035378052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25">
      <c r="A382" t="s">
        <v>128</v>
      </c>
      <c r="B382" t="s">
        <v>181</v>
      </c>
      <c r="C382" t="s">
        <v>117</v>
      </c>
      <c r="D382" s="12">
        <v>45585</v>
      </c>
      <c r="G382">
        <v>49.588604286188314</v>
      </c>
      <c r="H382">
        <v>62.699999999999989</v>
      </c>
      <c r="K382">
        <v>62.699999999999989</v>
      </c>
      <c r="N382">
        <v>49.585338680926917</v>
      </c>
      <c r="R382">
        <v>2.5015091188118323E-2</v>
      </c>
      <c r="S382">
        <v>0</v>
      </c>
      <c r="T382">
        <v>9.456722964698748E-2</v>
      </c>
      <c r="U382">
        <v>0</v>
      </c>
      <c r="V382">
        <v>6.0022416063397616E-2</v>
      </c>
      <c r="W382">
        <v>0</v>
      </c>
      <c r="X382">
        <v>3.5423838811553574E-2</v>
      </c>
      <c r="Y382">
        <v>0</v>
      </c>
      <c r="Z382">
        <v>0.15205518344063218</v>
      </c>
      <c r="AA382">
        <v>6.7219744965915835E-4</v>
      </c>
      <c r="AB382">
        <v>7.6993067704021853E-2</v>
      </c>
      <c r="AC382">
        <v>0</v>
      </c>
      <c r="AD382">
        <v>4.3534132304896785E-2</v>
      </c>
      <c r="AE382">
        <v>0</v>
      </c>
      <c r="AF382">
        <v>0.878800602541422</v>
      </c>
      <c r="AG382">
        <v>0</v>
      </c>
      <c r="AH382">
        <v>0</v>
      </c>
      <c r="AI382">
        <v>0</v>
      </c>
      <c r="AJ382">
        <v>0</v>
      </c>
      <c r="AK382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BE94249-3B36-4707-AA17-526BB3CFBEAA}"/>
</file>

<file path=customXml/itemProps2.xml><?xml version="1.0" encoding="utf-8"?>
<ds:datastoreItem xmlns:ds="http://schemas.openxmlformats.org/officeDocument/2006/customXml" ds:itemID="{C430B266-53C0-41AB-B031-A9D00437F9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30DA8C-6012-47E1-B59D-5757DA4D5C55}">
  <ds:schemaRefs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3be0b85a-8471-4f10-b038-505fde09e598"/>
    <ds:schemaRef ds:uri="http://purl.org/dc/terms/"/>
    <ds:schemaRef ds:uri="http://purl.org/dc/dcmitype/"/>
    <ds:schemaRef ds:uri="http://schemas.microsoft.com/office/infopath/2007/PartnerControls"/>
    <ds:schemaRef ds:uri="f82d1b6b-c0e6-44b0-99a2-d357b2d50896"/>
    <ds:schemaRef ds:uri="http://schemas.microsoft.com/office/2006/metadata/properties"/>
    <ds:schemaRef ds:uri="a6ef9c2c-1ad1-4c09-9d1c-8c71a768c11f"/>
    <ds:schemaRef ds:uri="f574b478-68e4-495d-9b17-0f93d51a8ef7"/>
  </ds:schemaRefs>
</ds:datastoreItem>
</file>

<file path=customXml/itemProps4.xml><?xml version="1.0" encoding="utf-8"?>
<ds:datastoreItem xmlns:ds="http://schemas.openxmlformats.org/officeDocument/2006/customXml" ds:itemID="{DCDFC47C-1447-4337-BA3D-135A6AAD4B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FILEPATH</vt:lpstr>
      <vt:lpstr>DateAlignment!!</vt:lpstr>
      <vt:lpstr>InefficienciesAGL2Day32</vt:lpstr>
      <vt:lpstr>IMPORT InefficienciesAGL2Day321</vt:lpstr>
      <vt:lpstr>FILEPATH!Client</vt:lpstr>
      <vt:lpstr>FILEPATH!Location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2023-01-07T08:03:22Z</dcterms:created>
  <dcterms:modified xsi:type="dcterms:W3CDTF">2024-12-08T02:59:43Z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